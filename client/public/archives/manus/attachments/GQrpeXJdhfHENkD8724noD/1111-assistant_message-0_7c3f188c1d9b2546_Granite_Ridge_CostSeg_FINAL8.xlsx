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6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4" fontId="0" fillId="6" borderId="0" applyAlignment="1" pivotButton="0" quotePrefix="0" xfId="1">
      <alignment horizontal="center"/>
    </xf>
    <xf numFmtId="166" fontId="0" fillId="6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4" fontId="5" fillId="6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5" fillId="0" borderId="0" pivotButton="0" quotePrefix="0" xfId="0"/>
    <xf numFmtId="4" fontId="0" fillId="0" borderId="0" pivotButton="0" quotePrefix="0" xfId="0"/>
    <xf numFmtId="4" fontId="5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tabSelected="1" topLeftCell="I9" workbookViewId="0">
      <selection activeCell="T39" sqref="T39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4" min="5" max="5"/>
    <col width="16" customWidth="1" style="24" min="6" max="13"/>
    <col width="8.83203125" customWidth="1" style="24" min="14" max="14"/>
    <col width="16" customWidth="1" style="24" min="15" max="15"/>
    <col width="8.83203125" customWidth="1" style="24" min="16" max="16"/>
    <col width="16" customWidth="1" style="24" min="17" max="24"/>
    <col width="8.83203125" customWidth="1" style="24" min="25" max="25"/>
    <col width="16" customWidth="1" style="24" min="26" max="26"/>
    <col width="8.83203125" customWidth="1" style="24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5" t="inlineStr">
        <is>
          <t>end deprec</t>
        </is>
      </c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6" t="inlineStr">
        <is>
          <t>#</t>
        </is>
      </c>
      <c r="F10" s="26" t="inlineStr">
        <is>
          <t>apt 1-16</t>
        </is>
      </c>
      <c r="G10" s="26" t="inlineStr">
        <is>
          <t>apt 17-32</t>
        </is>
      </c>
      <c r="H10" s="26" t="inlineStr">
        <is>
          <t>apt 33-48</t>
        </is>
      </c>
      <c r="I10" s="26" t="inlineStr">
        <is>
          <t>apt 49-64</t>
        </is>
      </c>
      <c r="J10" s="26" t="inlineStr">
        <is>
          <t>apt 65-80</t>
        </is>
      </c>
      <c r="K10" s="26" t="inlineStr">
        <is>
          <t>laundry 1</t>
        </is>
      </c>
      <c r="L10" s="26" t="inlineStr">
        <is>
          <t>laundry 2</t>
        </is>
      </c>
      <c r="M10" s="26" t="inlineStr">
        <is>
          <t>site</t>
        </is>
      </c>
      <c r="N10" s="24" t="n"/>
      <c r="O10" s="26" t="inlineStr">
        <is>
          <t>total cost</t>
        </is>
      </c>
      <c r="P10" s="24" t="n"/>
      <c r="Q10" s="26" t="inlineStr">
        <is>
          <t>apt 1-16</t>
        </is>
      </c>
      <c r="R10" s="26" t="inlineStr">
        <is>
          <t>apt 17-32</t>
        </is>
      </c>
      <c r="S10" s="26" t="inlineStr">
        <is>
          <t>apt 33-48</t>
        </is>
      </c>
      <c r="T10" s="26" t="inlineStr">
        <is>
          <t>apt 49-64</t>
        </is>
      </c>
      <c r="U10" s="26" t="inlineStr">
        <is>
          <t>apt 65-80</t>
        </is>
      </c>
      <c r="V10" s="26" t="inlineStr">
        <is>
          <t>laundry 1</t>
        </is>
      </c>
      <c r="W10" s="26" t="inlineStr">
        <is>
          <t>laundry 2</t>
        </is>
      </c>
      <c r="X10" s="26" t="inlineStr">
        <is>
          <t>site</t>
        </is>
      </c>
      <c r="Y10" s="24" t="n"/>
      <c r="Z10" s="26" t="inlineStr">
        <is>
          <t>total</t>
        </is>
      </c>
      <c r="AA10" s="24" t="n"/>
      <c r="AB10" s="24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7" t="n">
        <v>389188.67</v>
      </c>
      <c r="G11" s="27" t="n">
        <v>389188.67</v>
      </c>
      <c r="H11" s="27" t="n">
        <v>402217.16</v>
      </c>
      <c r="I11" s="27" t="n">
        <v>389188.67</v>
      </c>
      <c r="J11" s="27" t="n">
        <v>389188.67</v>
      </c>
      <c r="K11" s="27" t="n">
        <v>26288.67</v>
      </c>
      <c r="L11" s="27" t="n">
        <v>30475.01</v>
      </c>
      <c r="M11" s="27" t="n">
        <v>254562.48</v>
      </c>
      <c r="O11" s="27" t="n">
        <v>2270298</v>
      </c>
      <c r="Q11" s="28" t="n">
        <v>120883.96</v>
      </c>
      <c r="R11" s="28" t="n">
        <v>120883.96</v>
      </c>
      <c r="S11" s="28" t="n">
        <v>124930.68</v>
      </c>
      <c r="T11" s="28" t="n">
        <v>120883.96</v>
      </c>
      <c r="U11" s="28" t="n">
        <v>120883.96</v>
      </c>
      <c r="V11" s="28" t="n">
        <v>8165.39</v>
      </c>
      <c r="W11" s="28" t="n">
        <v>9465.690000000001</v>
      </c>
      <c r="X11" s="28" t="n">
        <v>78068.39999999999</v>
      </c>
      <c r="Y11" s="29" t="n"/>
      <c r="Z11" s="28" t="n">
        <v>704166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7" t="n">
        <v>48291.12</v>
      </c>
      <c r="G12" s="27" t="n">
        <v>48291.12</v>
      </c>
      <c r="H12" s="27" t="n">
        <v>49907.71</v>
      </c>
      <c r="I12" s="27" t="n">
        <v>48291.12</v>
      </c>
      <c r="J12" s="27" t="n">
        <v>48291.12</v>
      </c>
      <c r="K12" s="27" t="n">
        <v>3261.92</v>
      </c>
      <c r="L12" s="27" t="n">
        <v>3781.39</v>
      </c>
      <c r="M12" s="27" t="n">
        <v>31586.5</v>
      </c>
      <c r="O12" s="27" t="n">
        <v>281702</v>
      </c>
      <c r="Q12" s="28" t="n">
        <v>48291.12</v>
      </c>
      <c r="R12" s="28" t="n">
        <v>48291.12</v>
      </c>
      <c r="S12" s="28" t="n">
        <v>49907.71</v>
      </c>
      <c r="T12" s="28" t="n">
        <v>48291.12</v>
      </c>
      <c r="U12" s="28" t="n">
        <v>48291.12</v>
      </c>
      <c r="V12" s="28" t="n">
        <v>3261.92</v>
      </c>
      <c r="W12" s="28" t="n">
        <v>3781.39</v>
      </c>
      <c r="X12" s="28" t="n">
        <v>31586.5</v>
      </c>
      <c r="Y12" s="29" t="n"/>
      <c r="Z12" s="28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7" t="n">
        <v>39985.86</v>
      </c>
      <c r="G13" s="27" t="n">
        <v>39985.86</v>
      </c>
      <c r="H13" s="27" t="n">
        <v>41324.43</v>
      </c>
      <c r="I13" s="27" t="n">
        <v>39985.86</v>
      </c>
      <c r="J13" s="27" t="n">
        <v>39985.86</v>
      </c>
      <c r="K13" s="27" t="n">
        <v>2700.93</v>
      </c>
      <c r="L13" s="27" t="n">
        <v>3131.05</v>
      </c>
      <c r="M13" s="27" t="n">
        <v>26154.15</v>
      </c>
      <c r="O13" s="27" t="n">
        <v>233254</v>
      </c>
      <c r="Q13" s="28" t="n">
        <v>22178.95</v>
      </c>
      <c r="R13" s="28" t="n">
        <v>22178.95</v>
      </c>
      <c r="S13" s="28" t="n">
        <v>22921.42</v>
      </c>
      <c r="T13" s="28" t="n">
        <v>22178.95</v>
      </c>
      <c r="U13" s="28" t="n">
        <v>22178.95</v>
      </c>
      <c r="V13" s="28" t="n">
        <v>1498.12</v>
      </c>
      <c r="W13" s="28" t="n">
        <v>1736.7</v>
      </c>
      <c r="X13" s="28" t="n">
        <v>14506.96</v>
      </c>
      <c r="Y13" s="29" t="n"/>
      <c r="Z13" s="28" t="n">
        <v>129379</v>
      </c>
    </row>
    <row r="14"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E15" s="30" t="n"/>
      <c r="F15" s="30">
        <f>SUM(F11:F13)</f>
        <v/>
      </c>
      <c r="G15" s="30">
        <f>SUM(G11:G13)</f>
        <v/>
      </c>
      <c r="H15" s="30">
        <f>SUM(H11:H13)</f>
        <v/>
      </c>
      <c r="I15" s="30">
        <f>SUM(I11:I13)</f>
        <v/>
      </c>
      <c r="J15" s="30">
        <f>SUM(J11:J13)</f>
        <v/>
      </c>
      <c r="K15" s="30">
        <f>SUM(K11:K13)</f>
        <v/>
      </c>
      <c r="L15" s="30">
        <f>SUM(L11:L13)</f>
        <v/>
      </c>
      <c r="M15" s="30">
        <f>SUM(M11:M13)</f>
        <v/>
      </c>
      <c r="N15" s="30" t="n"/>
      <c r="O15" s="30">
        <f>SUM(O11:O13)</f>
        <v/>
      </c>
      <c r="P15" s="24" t="b">
        <v>1</v>
      </c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B16" s="1" t="inlineStr">
        <is>
          <t>Total</t>
        </is>
      </c>
      <c r="F16" s="27" t="n">
        <v>477465.65</v>
      </c>
      <c r="G16" s="27" t="n">
        <v>477465.65</v>
      </c>
      <c r="H16" s="27" t="n">
        <v>493449.3</v>
      </c>
      <c r="I16" s="27" t="n">
        <v>477465.65</v>
      </c>
      <c r="J16" s="27" t="n">
        <v>477465.65</v>
      </c>
      <c r="K16" s="27" t="n">
        <v>32251.52</v>
      </c>
      <c r="L16" s="27" t="n">
        <v>37387.45</v>
      </c>
      <c r="M16" s="27" t="n">
        <v>312303.13</v>
      </c>
      <c r="O16" s="27" t="n">
        <v>2785254</v>
      </c>
      <c r="Q16" s="31">
        <f>SUM(Q11:Q13)</f>
        <v/>
      </c>
      <c r="R16" s="31">
        <f>SUM(R11:R13)</f>
        <v/>
      </c>
      <c r="S16" s="31">
        <f>SUM(S11:S13)</f>
        <v/>
      </c>
      <c r="T16" s="31">
        <f>SUM(T11:T13)</f>
        <v/>
      </c>
      <c r="U16" s="31">
        <f>SUM(U11:U13)</f>
        <v/>
      </c>
      <c r="V16" s="31">
        <f>SUM(V11:V13)</f>
        <v/>
      </c>
      <c r="W16" s="31">
        <f>SUM(W11:W13)</f>
        <v/>
      </c>
      <c r="X16" s="31">
        <f>SUM(X11:X13)</f>
        <v/>
      </c>
      <c r="Y16" s="29" t="n"/>
      <c r="Z16" s="31" t="n">
        <v>1115247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7" t="n">
        <v>99963.17</v>
      </c>
      <c r="G20" s="27" t="n">
        <v>99963.17</v>
      </c>
      <c r="H20" s="27" t="n">
        <v>103151.35</v>
      </c>
      <c r="I20" s="27" t="n">
        <v>99963.17</v>
      </c>
      <c r="J20" s="27" t="n">
        <v>99963.17</v>
      </c>
      <c r="K20" s="27" t="n">
        <v>6825.37</v>
      </c>
      <c r="L20" s="27" t="n">
        <v>11011.74</v>
      </c>
      <c r="Q20" s="27" t="n"/>
      <c r="R20" s="27" t="n"/>
      <c r="S20" s="27" t="n"/>
      <c r="T20" s="27" t="n"/>
      <c r="U20" s="27" t="n"/>
      <c r="V20" s="27" t="n"/>
      <c r="W20" s="27" t="n"/>
    </row>
    <row r="21">
      <c r="B21" s="2" t="inlineStr">
        <is>
          <t>2 - Building - Granite Ridge, LLC - Site - 15yr</t>
        </is>
      </c>
      <c r="M21" s="27" t="n">
        <v>182460.43</v>
      </c>
      <c r="X21" s="27" t="n"/>
    </row>
    <row r="22">
      <c r="B22" s="2" t="inlineStr">
        <is>
          <t>2 - Building - Granite Ridge, LLC - 27.5yr</t>
        </is>
      </c>
      <c r="F22" s="27" t="n">
        <v>289225.5</v>
      </c>
      <c r="G22" s="27" t="n">
        <v>289225.5</v>
      </c>
      <c r="H22" s="27" t="n">
        <v>299065.81</v>
      </c>
      <c r="I22" s="27" t="n">
        <v>289225.5</v>
      </c>
      <c r="J22" s="27" t="n">
        <v>289225.5</v>
      </c>
      <c r="K22" s="27" t="n">
        <v>19463.3</v>
      </c>
      <c r="L22" s="27" t="n">
        <v>19463.27</v>
      </c>
      <c r="M22" s="27" t="n">
        <v>72102.05</v>
      </c>
      <c r="Q22" s="27" t="n"/>
      <c r="R22" s="27" t="n"/>
      <c r="S22" s="27" t="n"/>
      <c r="T22" s="27" t="n"/>
      <c r="U22" s="27" t="n"/>
      <c r="V22" s="27" t="n"/>
      <c r="W22" s="27" t="n"/>
      <c r="X22" s="27" t="n"/>
    </row>
    <row r="23">
      <c r="B23" s="2" t="inlineStr">
        <is>
          <t>4 - Equipment - Granite Ridge, LLC - 5yr</t>
        </is>
      </c>
      <c r="F23" s="27" t="n">
        <v>12403.58</v>
      </c>
      <c r="G23" s="27" t="n">
        <v>12403.58</v>
      </c>
      <c r="H23" s="27" t="n">
        <v>12799.17</v>
      </c>
      <c r="I23" s="27" t="n">
        <v>12403.58</v>
      </c>
      <c r="J23" s="27" t="n">
        <v>12403.58</v>
      </c>
      <c r="K23" s="27" t="n">
        <v>846.9</v>
      </c>
      <c r="L23" s="27" t="n">
        <v>1366.36</v>
      </c>
      <c r="Q23" s="27" t="n"/>
      <c r="R23" s="27" t="n"/>
      <c r="S23" s="27" t="n"/>
      <c r="T23" s="27" t="n"/>
      <c r="U23" s="27" t="n"/>
      <c r="V23" s="27" t="n"/>
      <c r="W23" s="27" t="n"/>
    </row>
    <row r="24">
      <c r="B24" s="2" t="inlineStr">
        <is>
          <t>4 - Equipment - Granite Ridge, LLC - Site - 15yr</t>
        </is>
      </c>
      <c r="M24" s="27" t="n">
        <v>22639.97</v>
      </c>
      <c r="X24" s="27" t="n"/>
    </row>
    <row r="25">
      <c r="B25" s="2" t="inlineStr">
        <is>
          <t>4 - Equipment - Granite Ridge, LLC - 27.5yr</t>
        </is>
      </c>
      <c r="F25" s="27" t="n">
        <v>35887.54</v>
      </c>
      <c r="G25" s="27" t="n">
        <v>35887.54</v>
      </c>
      <c r="H25" s="27" t="n">
        <v>37108.54</v>
      </c>
      <c r="I25" s="27" t="n">
        <v>35887.54</v>
      </c>
      <c r="J25" s="27" t="n">
        <v>35887.54</v>
      </c>
      <c r="K25" s="27" t="n">
        <v>2415.02</v>
      </c>
      <c r="L25" s="27" t="n">
        <v>2415.03</v>
      </c>
      <c r="M25" s="27" t="n">
        <v>8946.530000000001</v>
      </c>
      <c r="Q25" s="27" t="n"/>
      <c r="R25" s="27" t="n"/>
      <c r="S25" s="27" t="n"/>
      <c r="T25" s="27" t="n"/>
      <c r="U25" s="27" t="n"/>
      <c r="V25" s="27" t="n"/>
      <c r="W25" s="27" t="n"/>
      <c r="X25" s="27" t="n"/>
    </row>
    <row r="26">
      <c r="B26" s="2" t="inlineStr">
        <is>
          <t>5 - Land Improvements - Granite Ridge, LLC - 5yr</t>
        </is>
      </c>
      <c r="F26" s="27" t="n">
        <v>10270.37</v>
      </c>
      <c r="G26" s="27" t="n">
        <v>10270.37</v>
      </c>
      <c r="H26" s="27" t="n">
        <v>10597.94</v>
      </c>
      <c r="I26" s="27" t="n">
        <v>10270.37</v>
      </c>
      <c r="J26" s="27" t="n">
        <v>10270.37</v>
      </c>
      <c r="K26" s="27" t="n">
        <v>701.24</v>
      </c>
      <c r="L26" s="27" t="n">
        <v>1131.36</v>
      </c>
      <c r="Q26" s="27" t="n"/>
      <c r="R26" s="27" t="n"/>
      <c r="S26" s="27" t="n"/>
      <c r="T26" s="27" t="n"/>
      <c r="U26" s="27" t="n"/>
      <c r="V26" s="27" t="n"/>
      <c r="W26" s="27" t="n"/>
    </row>
    <row r="27">
      <c r="B27" s="2" t="inlineStr">
        <is>
          <t>5 - Land Improvements - Granite Ridge, LLC - Site - 15yr</t>
        </is>
      </c>
      <c r="M27" s="27" t="n">
        <v>18746.27</v>
      </c>
      <c r="X27" s="27" t="n"/>
    </row>
    <row r="28">
      <c r="B28" s="2" t="inlineStr">
        <is>
          <t>5 - Land Improvements - Granite Ridge, LLC - 27.5yr</t>
        </is>
      </c>
      <c r="F28" s="27" t="n">
        <v>29715.49</v>
      </c>
      <c r="G28" s="27" t="n">
        <v>29715.49</v>
      </c>
      <c r="H28" s="27" t="n">
        <v>30726.49</v>
      </c>
      <c r="I28" s="27" t="n">
        <v>29715.49</v>
      </c>
      <c r="J28" s="27" t="n">
        <v>29715.49</v>
      </c>
      <c r="K28" s="27" t="n">
        <v>1999.69</v>
      </c>
      <c r="L28" s="27" t="n">
        <v>1999.69</v>
      </c>
      <c r="M28" s="27" t="n">
        <v>7407.88</v>
      </c>
      <c r="Q28" s="27" t="n"/>
      <c r="R28" s="27" t="n"/>
      <c r="S28" s="27" t="n"/>
      <c r="T28" s="27" t="n"/>
      <c r="U28" s="27" t="n"/>
      <c r="V28" s="27" t="n"/>
      <c r="W28" s="27" t="n"/>
      <c r="X28" s="27" t="n"/>
    </row>
    <row r="32" customFormat="1" s="10">
      <c r="E32" s="30" t="n"/>
      <c r="F32" s="30">
        <f>SUM(F20:F28)</f>
        <v/>
      </c>
      <c r="G32" s="30">
        <f>SUM(G20:G28)</f>
        <v/>
      </c>
      <c r="H32" s="30">
        <f>SUM(H20:H28)</f>
        <v/>
      </c>
      <c r="I32" s="30">
        <f>SUM(I20:I28)</f>
        <v/>
      </c>
      <c r="J32" s="30">
        <f>SUM(J20:J28)</f>
        <v/>
      </c>
      <c r="K32" s="30">
        <f>SUM(K20:K28)</f>
        <v/>
      </c>
      <c r="L32" s="30">
        <f>SUM(L20:L28)</f>
        <v/>
      </c>
      <c r="M32" s="30">
        <f>SUM(M20:M28)</f>
        <v/>
      </c>
      <c r="N32" s="30" t="n"/>
      <c r="O32" s="30">
        <f>O15</f>
        <v/>
      </c>
      <c r="P32" s="30" t="b">
        <v>1</v>
      </c>
      <c r="Q32" s="30">
        <f>SUM(Q20:Q28)</f>
        <v/>
      </c>
      <c r="R32" s="30">
        <f>SUM(R20:R28)</f>
        <v/>
      </c>
      <c r="S32" s="30">
        <f>SUM(S20:S28)</f>
        <v/>
      </c>
      <c r="T32" s="30">
        <f>SUM(T20:T28)</f>
        <v/>
      </c>
      <c r="U32" s="30">
        <f>SUM(U20:U28)</f>
        <v/>
      </c>
      <c r="V32" s="30">
        <f>SUM(V20:V28)</f>
        <v/>
      </c>
      <c r="W32" s="30">
        <f>SUM(W20:W28)</f>
        <v/>
      </c>
      <c r="X32" s="30">
        <f>SUM(X20:X28)</f>
        <v/>
      </c>
      <c r="Y32" s="30" t="n"/>
      <c r="Z32" s="30">
        <f>SUM(Z20:Z28)</f>
        <v/>
      </c>
      <c r="AA32" s="30" t="n"/>
      <c r="AB32" s="30" t="n"/>
    </row>
    <row r="33">
      <c r="B33" s="4" t="inlineStr">
        <is>
          <t>Total MACRS Reclassification</t>
        </is>
      </c>
      <c r="F33" s="32">
        <f>SUM(F20:F31)</f>
        <v/>
      </c>
      <c r="G33" s="32">
        <f>SUM(G20:G31)</f>
        <v/>
      </c>
      <c r="H33" s="32">
        <f>SUM(H20:H31)</f>
        <v/>
      </c>
      <c r="I33" s="32">
        <f>SUM(I20:I31)</f>
        <v/>
      </c>
      <c r="J33" s="32">
        <f>SUM(J20:J31)</f>
        <v/>
      </c>
      <c r="K33" s="32">
        <f>SUM(K20:K31)</f>
        <v/>
      </c>
      <c r="L33" s="32">
        <f>SUM(L20:L31)</f>
        <v/>
      </c>
      <c r="M33" s="32">
        <f>SUM(M20:M31)</f>
        <v/>
      </c>
      <c r="O33" s="32">
        <f>SUM(F33:M33)</f>
        <v/>
      </c>
    </row>
    <row r="35">
      <c r="B35" s="1" t="inlineStr">
        <is>
          <t>Difference (should be zero)</t>
        </is>
      </c>
      <c r="F35" s="24">
        <f>+F16-F33</f>
        <v/>
      </c>
      <c r="G35" s="24">
        <f>+G16-G33</f>
        <v/>
      </c>
      <c r="H35" s="24">
        <f>+H16-H33</f>
        <v/>
      </c>
      <c r="I35" s="24">
        <f>+I16-I33</f>
        <v/>
      </c>
      <c r="J35" s="24">
        <f>+J16-J33</f>
        <v/>
      </c>
      <c r="K35" s="24">
        <f>+K16-K33</f>
        <v/>
      </c>
      <c r="L35" s="24">
        <f>+L16-L33</f>
        <v/>
      </c>
      <c r="M35" s="24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7" t="n">
        <v>191354.03</v>
      </c>
      <c r="G38" s="27" t="n">
        <v>191354.03</v>
      </c>
      <c r="H38" s="27" t="n">
        <v>197759.81</v>
      </c>
      <c r="I38" s="27" t="n">
        <v>191354.03</v>
      </c>
      <c r="J38" s="27" t="n">
        <v>191354.03</v>
      </c>
      <c r="K38" s="27" t="n">
        <v>12925.43</v>
      </c>
      <c r="L38" s="27" t="n">
        <v>14983.78</v>
      </c>
      <c r="M38" s="27" t="n">
        <v>124161.86</v>
      </c>
      <c r="O38" s="27" t="n">
        <v>1115247</v>
      </c>
    </row>
    <row r="39">
      <c r="B39" s="2" t="inlineStr">
        <is>
          <t>2 - Building - Granite Ridge, LLC - 5yr</t>
        </is>
      </c>
      <c r="F39" s="27" t="n">
        <v>99963.17</v>
      </c>
      <c r="G39" s="27" t="n">
        <v>99963.17</v>
      </c>
      <c r="H39" s="27" t="n">
        <v>103151.35</v>
      </c>
      <c r="I39" s="27" t="n">
        <v>99963.17</v>
      </c>
      <c r="J39" s="27" t="n">
        <v>99963.17</v>
      </c>
      <c r="K39" s="27" t="n">
        <v>6825.37</v>
      </c>
      <c r="L39" s="27" t="n">
        <v>11011.74</v>
      </c>
      <c r="O39" s="24">
        <f>SUM(F39:M39)</f>
        <v/>
      </c>
    </row>
    <row r="40">
      <c r="B40" s="2" t="inlineStr">
        <is>
          <t>2 - Building - Granite Ridge, LLC - Site - 15yr</t>
        </is>
      </c>
      <c r="M40" s="27" t="n">
        <v>112428.75</v>
      </c>
      <c r="O40" s="24">
        <f>SUM(F40:M40)</f>
        <v/>
      </c>
    </row>
    <row r="41">
      <c r="B41" s="2" t="inlineStr">
        <is>
          <t>2 - Building - Granite Ridge, LLC - 27.5yr</t>
        </is>
      </c>
      <c r="F41" s="27" t="n">
        <v>117259.4</v>
      </c>
      <c r="G41" s="27" t="n">
        <v>117259.4</v>
      </c>
      <c r="H41" s="27" t="n">
        <v>92891.64999999999</v>
      </c>
      <c r="I41" s="27" t="n">
        <v>117259.4</v>
      </c>
      <c r="J41" s="27" t="n">
        <v>117259.4</v>
      </c>
      <c r="K41" s="27" t="n">
        <v>6045.45</v>
      </c>
      <c r="L41" s="27" t="n">
        <v>6045.53</v>
      </c>
      <c r="M41" s="27" t="n">
        <v>22395.31</v>
      </c>
      <c r="O41" s="24">
        <f>SUM(F41:M41)</f>
        <v/>
      </c>
    </row>
    <row r="42">
      <c r="B42" s="2" t="inlineStr">
        <is>
          <t>4 - Equipment - Granite Ridge, LLC - 5yr</t>
        </is>
      </c>
      <c r="F42" s="27" t="n">
        <v>12403.58</v>
      </c>
      <c r="G42" s="27" t="n">
        <v>12403.58</v>
      </c>
      <c r="H42" s="27" t="n">
        <v>12799.17</v>
      </c>
      <c r="I42" s="27" t="n">
        <v>12403.58</v>
      </c>
      <c r="J42" s="27" t="n">
        <v>12403.58</v>
      </c>
      <c r="K42" s="27" t="n">
        <v>846.9</v>
      </c>
      <c r="L42" s="27" t="n">
        <v>1366.36</v>
      </c>
      <c r="O42" s="24">
        <f>SUM(F42:M42)</f>
        <v/>
      </c>
    </row>
    <row r="43">
      <c r="B43" s="2" t="inlineStr">
        <is>
          <t>4 - Equipment - Granite Ridge, LLC - Site - 15yr</t>
        </is>
      </c>
      <c r="M43" s="27" t="n">
        <v>13950.35</v>
      </c>
      <c r="O43" s="24">
        <f>SUM(F43:M43)</f>
        <v/>
      </c>
    </row>
    <row r="44">
      <c r="B44" s="2" t="inlineStr">
        <is>
          <t>4 - Equipment - Granite Ridge, LLC - 27.5yr</t>
        </is>
      </c>
      <c r="F44" s="27" t="n">
        <v>11146.88</v>
      </c>
      <c r="G44" s="27" t="n">
        <v>11146.88</v>
      </c>
      <c r="H44" s="27" t="n">
        <v>11526.13</v>
      </c>
      <c r="I44" s="27" t="n">
        <v>11146.88</v>
      </c>
      <c r="J44" s="27" t="n">
        <v>11146.88</v>
      </c>
      <c r="K44" s="27" t="n">
        <v>750.13</v>
      </c>
      <c r="L44" s="27" t="n">
        <v>750.13</v>
      </c>
      <c r="M44" s="27" t="n">
        <v>2778.86</v>
      </c>
      <c r="O44" s="24">
        <f>SUM(F44:M44)</f>
        <v/>
      </c>
    </row>
    <row r="45">
      <c r="B45" s="2" t="inlineStr">
        <is>
          <t>5 - Land Improvements - Granite Ridge, LLC - 5yr</t>
        </is>
      </c>
      <c r="F45" s="27" t="n">
        <v>10270.37</v>
      </c>
      <c r="G45" s="27" t="n">
        <v>10270.37</v>
      </c>
      <c r="H45" s="27" t="n">
        <v>10597.94</v>
      </c>
      <c r="I45" s="27" t="n">
        <v>10270.37</v>
      </c>
      <c r="J45" s="27" t="n">
        <v>10270.37</v>
      </c>
      <c r="K45" s="27" t="n">
        <v>701.24</v>
      </c>
      <c r="L45" s="27" t="n">
        <v>1131.36</v>
      </c>
      <c r="O45" s="24">
        <f>SUM(F45:M45)</f>
        <v/>
      </c>
    </row>
    <row r="46">
      <c r="B46" s="2" t="inlineStr">
        <is>
          <t>5 - Land Improvements - Granite Ridge, LLC - Site - 15yr</t>
        </is>
      </c>
      <c r="M46" s="27" t="n">
        <v>11551.12</v>
      </c>
      <c r="O46" s="24">
        <f>SUM(F46:M46)</f>
        <v/>
      </c>
    </row>
    <row r="47">
      <c r="B47" s="2" t="inlineStr">
        <is>
          <t>5 - Land Improvements - Granite Ridge, LLC - 27.5yr</t>
        </is>
      </c>
      <c r="F47" s="27" t="n">
        <v>9229.790000000001</v>
      </c>
      <c r="G47" s="27" t="n">
        <v>9229.790000000001</v>
      </c>
      <c r="H47" s="27" t="n">
        <v>9543.860000000001</v>
      </c>
      <c r="I47" s="27" t="n">
        <v>9229.790000000001</v>
      </c>
      <c r="J47" s="27" t="n">
        <v>9229.790000000001</v>
      </c>
      <c r="K47" s="27" t="n">
        <v>621.15</v>
      </c>
      <c r="L47" s="27" t="n">
        <v>621.15</v>
      </c>
      <c r="M47" s="27" t="n">
        <v>2300.95</v>
      </c>
      <c r="O47" s="24">
        <f>SUM(F47:M47)</f>
        <v/>
      </c>
    </row>
    <row r="50" customFormat="1" s="10">
      <c r="E50" s="30" t="n"/>
      <c r="F50" s="30">
        <f>SUM(F39:F47)</f>
        <v/>
      </c>
      <c r="G50" s="30">
        <f>SUM(G39:G47)</f>
        <v/>
      </c>
      <c r="H50" s="30">
        <f>SUM(H39:H47)</f>
        <v/>
      </c>
      <c r="I50" s="30">
        <f>SUM(I39:I47)</f>
        <v/>
      </c>
      <c r="J50" s="30">
        <f>SUM(J39:J47)</f>
        <v/>
      </c>
      <c r="K50" s="30">
        <f>SUM(K39:K47)</f>
        <v/>
      </c>
      <c r="L50" s="30">
        <f>SUM(L39:L47)</f>
        <v/>
      </c>
      <c r="M50" s="30">
        <f>SUM(M39:M47)</f>
        <v/>
      </c>
      <c r="N50" s="30" t="n"/>
      <c r="O50" s="30">
        <f>SUM(O39:O47)</f>
        <v/>
      </c>
      <c r="P50" s="30" t="b">
        <v>1</v>
      </c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</row>
    <row r="51">
      <c r="B51" s="2" t="inlineStr">
        <is>
          <t>After Cost Segregation (Corrected)</t>
        </is>
      </c>
      <c r="F51" s="27" t="n">
        <v>260273.19</v>
      </c>
      <c r="G51" s="27" t="n">
        <v>260273.19</v>
      </c>
      <c r="H51" s="27" t="n">
        <v>240510.1</v>
      </c>
      <c r="I51" s="27" t="n">
        <v>260273.19</v>
      </c>
      <c r="J51" s="27" t="n">
        <v>260273.19</v>
      </c>
      <c r="K51" s="27" t="n">
        <v>15790.24</v>
      </c>
      <c r="L51" s="27" t="n">
        <v>20926.27</v>
      </c>
      <c r="M51" s="27" t="n">
        <v>165405.34</v>
      </c>
      <c r="O51" s="27" t="n">
        <v>1483724.71</v>
      </c>
    </row>
    <row r="52">
      <c r="B52" s="5" t="inlineStr">
        <is>
          <t>Section 481(a) Adjustment</t>
        </is>
      </c>
      <c r="F52" s="33" t="n">
        <v>-68919.16</v>
      </c>
      <c r="G52" s="33" t="n">
        <v>-68919.16</v>
      </c>
      <c r="H52" s="33" t="n">
        <v>-42750.29</v>
      </c>
      <c r="I52" s="33" t="n">
        <v>-68919.16</v>
      </c>
      <c r="J52" s="33" t="n">
        <v>-68919.16</v>
      </c>
      <c r="K52" s="33" t="n">
        <v>-2864.81</v>
      </c>
      <c r="L52" s="33" t="n">
        <v>-5942.49</v>
      </c>
      <c r="M52" s="33" t="n">
        <v>-41243.48</v>
      </c>
      <c r="O52" s="33" t="n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  <row r="61">
      <c r="A61" s="34" t="inlineStr">
        <is>
          <t>End Depreciation Reconciliation</t>
        </is>
      </c>
    </row>
    <row r="62">
      <c r="A62" t="inlineStr">
        <is>
          <t>Before Cost Segregation (As Previously Filed)</t>
        </is>
      </c>
      <c r="B62" s="35" t="n">
        <v>191354.03</v>
      </c>
    </row>
    <row r="63">
      <c r="A63" t="inlineStr">
        <is>
          <t>After Cost Segregation (Corrected)</t>
        </is>
      </c>
      <c r="B63" s="35" t="n">
        <v>260273.19</v>
      </c>
    </row>
    <row r="64">
      <c r="A64" s="34" t="inlineStr">
        <is>
          <t>Section 481(a) Adjustment</t>
        </is>
      </c>
      <c r="B64" s="36" t="n">
        <v>-68919.16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  <row r="61">
      <c r="A61" s="34" t="inlineStr">
        <is>
          <t>End Depreciation Reconciliation</t>
        </is>
      </c>
    </row>
    <row r="62">
      <c r="A62" t="inlineStr">
        <is>
          <t>Before Cost Segregation (As Previously Filed)</t>
        </is>
      </c>
      <c r="B62" s="35" t="n">
        <v>191354.03</v>
      </c>
    </row>
    <row r="63">
      <c r="A63" t="inlineStr">
        <is>
          <t>After Cost Segregation (Corrected)</t>
        </is>
      </c>
      <c r="B63" s="35" t="n">
        <v>260273.19</v>
      </c>
    </row>
    <row r="64">
      <c r="A64" s="34" t="inlineStr">
        <is>
          <t>Section 481(a) Adjustment</t>
        </is>
      </c>
      <c r="B64" s="36" t="n">
        <v>-68919.16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  <row r="62">
      <c r="A62" s="34" t="inlineStr">
        <is>
          <t>End Depreciation Reconciliation</t>
        </is>
      </c>
    </row>
    <row r="63">
      <c r="A63" t="inlineStr">
        <is>
          <t>Before Cost Segregation (As Previously Filed)</t>
        </is>
      </c>
      <c r="B63" s="35" t="n">
        <v>197759.81</v>
      </c>
    </row>
    <row r="64">
      <c r="A64" t="inlineStr">
        <is>
          <t>After Cost Segregation (Corrected)</t>
        </is>
      </c>
      <c r="B64" s="35" t="n">
        <v>240510.1</v>
      </c>
    </row>
    <row r="65">
      <c r="A65" s="34" t="inlineStr">
        <is>
          <t>Section 481(a) Adjustment</t>
        </is>
      </c>
      <c r="B65" s="36" t="n">
        <v>-42750.29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  <row r="61">
      <c r="A61" s="34" t="inlineStr">
        <is>
          <t>End Depreciation Reconciliation</t>
        </is>
      </c>
    </row>
    <row r="62">
      <c r="A62" t="inlineStr">
        <is>
          <t>Before Cost Segregation (As Previously Filed)</t>
        </is>
      </c>
      <c r="B62" s="35" t="n">
        <v>191354.03</v>
      </c>
    </row>
    <row r="63">
      <c r="A63" t="inlineStr">
        <is>
          <t>After Cost Segregation (Corrected)</t>
        </is>
      </c>
      <c r="B63" s="35" t="n">
        <v>260273.19</v>
      </c>
    </row>
    <row r="64">
      <c r="A64" s="34" t="inlineStr">
        <is>
          <t>Section 481(a) Adjustment</t>
        </is>
      </c>
      <c r="B64" s="36" t="n">
        <v>-68919.16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  <row r="61">
      <c r="A61" s="34" t="inlineStr">
        <is>
          <t>End Depreciation Reconciliation</t>
        </is>
      </c>
    </row>
    <row r="62">
      <c r="A62" t="inlineStr">
        <is>
          <t>Before Cost Segregation (As Previously Filed)</t>
        </is>
      </c>
      <c r="B62" s="35" t="n">
        <v>191354.03</v>
      </c>
    </row>
    <row r="63">
      <c r="A63" t="inlineStr">
        <is>
          <t>After Cost Segregation (Corrected)</t>
        </is>
      </c>
      <c r="B63" s="35" t="n">
        <v>260273.19</v>
      </c>
    </row>
    <row r="64">
      <c r="A64" s="34" t="inlineStr">
        <is>
          <t>Section 481(a) Adjustment</t>
        </is>
      </c>
      <c r="B64" s="36" t="n">
        <v>-68919.16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  <row r="54">
      <c r="A54" s="34" t="inlineStr">
        <is>
          <t>End Depreciation Reconciliation</t>
        </is>
      </c>
    </row>
    <row r="55">
      <c r="A55" t="inlineStr">
        <is>
          <t>Before Cost Segregation (As Previously Filed)</t>
        </is>
      </c>
      <c r="B55" s="35" t="n">
        <v>12925.43</v>
      </c>
    </row>
    <row r="56">
      <c r="A56" t="inlineStr">
        <is>
          <t>After Cost Segregation (Corrected)</t>
        </is>
      </c>
      <c r="B56" s="35" t="n">
        <v>15790.24</v>
      </c>
    </row>
    <row r="57">
      <c r="A57" s="34" t="inlineStr">
        <is>
          <t>Section 481(a) Adjustment</t>
        </is>
      </c>
      <c r="B57" s="36" t="n">
        <v>-2864.81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  <row r="55">
      <c r="A55" s="34" t="inlineStr">
        <is>
          <t>End Depreciation Reconciliation</t>
        </is>
      </c>
    </row>
    <row r="56">
      <c r="A56" t="inlineStr">
        <is>
          <t>Before Cost Segregation (As Previously Filed)</t>
        </is>
      </c>
      <c r="B56" s="35" t="n">
        <v>14983.78</v>
      </c>
    </row>
    <row r="57">
      <c r="A57" t="inlineStr">
        <is>
          <t>After Cost Segregation (Corrected)</t>
        </is>
      </c>
      <c r="B57" s="35" t="n">
        <v>20926.27</v>
      </c>
    </row>
    <row r="58">
      <c r="A58" s="34" t="inlineStr">
        <is>
          <t>Section 481(a) Adjustment</t>
        </is>
      </c>
      <c r="B58" s="36" t="n">
        <v>-5942.49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  <row r="41">
      <c r="A41" s="34" t="inlineStr">
        <is>
          <t>End Depreciation Reconciliation</t>
        </is>
      </c>
    </row>
    <row r="42">
      <c r="A42" t="inlineStr">
        <is>
          <t>Before Cost Segregation (As Previously Filed)</t>
        </is>
      </c>
      <c r="B42" s="35" t="n">
        <v>124161.86</v>
      </c>
    </row>
    <row r="43">
      <c r="A43" t="inlineStr">
        <is>
          <t>After Cost Segregation (Corrected)</t>
        </is>
      </c>
      <c r="B43" s="35" t="n">
        <v>165405.34</v>
      </c>
    </row>
    <row r="44">
      <c r="A44" s="34" t="inlineStr">
        <is>
          <t>Section 481(a) Adjustment</t>
        </is>
      </c>
      <c r="B44" s="36" t="n">
        <v>-41243.48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2026-06-24T00:44:00Z</dcterms:modified>
  <cp:lastModifiedBy>Brandon Rose</cp:lastModifiedBy>
</cp:coreProperties>
</file>