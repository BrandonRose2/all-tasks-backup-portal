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dacca\AppData\Local\Temp\grove cost seg summary (2)_1055622\"/>
    </mc:Choice>
  </mc:AlternateContent>
  <xr:revisionPtr revIDLastSave="0" documentId="13_ncr:1_{0DC252D5-4EA5-40AB-BC42-4A4EEFD354C2}" xr6:coauthVersionLast="47" xr6:coauthVersionMax="47" xr10:uidLastSave="{00000000-0000-0000-0000-000000000000}"/>
  <bookViews>
    <workbookView xWindow="28680" yWindow="-120" windowWidth="29040" windowHeight="15720" xr2:uid="{AFAEBE03-D833-4AD9-9D98-24DDC656E569}"/>
  </bookViews>
  <sheets>
    <sheet name="summary" sheetId="8" r:id="rId1"/>
    <sheet name="apt site" sheetId="9" r:id="rId2"/>
    <sheet name="apt office" sheetId="7" r:id="rId3"/>
    <sheet name="bldg 1" sheetId="1" r:id="rId4"/>
    <sheet name="bldg 2" sheetId="2" r:id="rId5"/>
    <sheet name="bldg 3" sheetId="3" r:id="rId6"/>
    <sheet name="bldg 4" sheetId="4" r:id="rId7"/>
    <sheet name="bldg 5" sheetId="5" r:id="rId8"/>
    <sheet name="apt impr" sheetId="6" r:id="rId9"/>
  </sheets>
  <externalReferences>
    <externalReference r:id="rId10"/>
  </externalReferences>
  <definedNames>
    <definedName name="BuildingTypes">'[1]Standard Cost Basis'!$H$2:$H$52</definedName>
    <definedName name="Components">'[1]Cabinets, Moldings'!$A$3:$U$508+[1]Flooring!$A$3:$U$32,[1]Flooring!$A$3:$U$47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4" i="8" l="1"/>
  <c r="AC34" i="8"/>
  <c r="AA34" i="8"/>
  <c r="AI34" i="8"/>
  <c r="AG34" i="8"/>
  <c r="AK34" i="8"/>
  <c r="Y34" i="8"/>
  <c r="AM32" i="8"/>
  <c r="AO35" i="8"/>
  <c r="AU26" i="8"/>
  <c r="AS26" i="8"/>
  <c r="AU23" i="8"/>
  <c r="AS23" i="8"/>
  <c r="AU20" i="8"/>
  <c r="AS20" i="8"/>
  <c r="AU32" i="8"/>
  <c r="AS32" i="8"/>
  <c r="AR28" i="8"/>
  <c r="AP28" i="8"/>
  <c r="AR25" i="8"/>
  <c r="AP25" i="8"/>
  <c r="AR22" i="8"/>
  <c r="AP22" i="8"/>
  <c r="AR32" i="8"/>
  <c r="AO32" i="8"/>
  <c r="AO27" i="8"/>
  <c r="AM27" i="8"/>
  <c r="AO24" i="8"/>
  <c r="AM24" i="8"/>
  <c r="AO21" i="8"/>
  <c r="AM21" i="8"/>
  <c r="AG13" i="8"/>
  <c r="AG12" i="8"/>
  <c r="AG11" i="8"/>
  <c r="AE32" i="8"/>
  <c r="AC32" i="8"/>
  <c r="AA32" i="8"/>
  <c r="AE30" i="8"/>
  <c r="AA29" i="8"/>
  <c r="AE28" i="8"/>
  <c r="AC27" i="8"/>
  <c r="AA26" i="8"/>
  <c r="AE25" i="8"/>
  <c r="AC24" i="8"/>
  <c r="AA23" i="8"/>
  <c r="AE22" i="8"/>
  <c r="AC21" i="8"/>
  <c r="AA20" i="8"/>
  <c r="AG23" i="8"/>
  <c r="AK32" i="8"/>
  <c r="AI32" i="8"/>
  <c r="AG32" i="8"/>
  <c r="AK30" i="8"/>
  <c r="AK28" i="8"/>
  <c r="AK25" i="8"/>
  <c r="AK22" i="8"/>
  <c r="AI27" i="8"/>
  <c r="AI24" i="8"/>
  <c r="AI21" i="8"/>
  <c r="AG29" i="8"/>
  <c r="AG26" i="8"/>
  <c r="AG20" i="8"/>
  <c r="Y14" i="8"/>
  <c r="W34" i="8"/>
  <c r="U34" i="8"/>
  <c r="T34" i="8"/>
  <c r="R34" i="8"/>
  <c r="Q34" i="8"/>
  <c r="X32" i="8"/>
  <c r="X34" i="8" s="1"/>
  <c r="W32" i="8"/>
  <c r="V32" i="8"/>
  <c r="V34" i="8" s="1"/>
  <c r="U32" i="8"/>
  <c r="T32" i="8"/>
  <c r="S32" i="8"/>
  <c r="R32" i="8"/>
  <c r="Q32" i="8"/>
  <c r="M32" i="8"/>
  <c r="L32" i="8"/>
  <c r="K32" i="8"/>
  <c r="J32" i="8"/>
  <c r="I32" i="8"/>
  <c r="H32" i="8"/>
  <c r="G32" i="8"/>
  <c r="Y30" i="8"/>
  <c r="Y29" i="8"/>
  <c r="Y28" i="8"/>
  <c r="Y27" i="8"/>
  <c r="Y26" i="8"/>
  <c r="Y25" i="8"/>
  <c r="Y24" i="8"/>
  <c r="Y23" i="8"/>
  <c r="Y22" i="8"/>
  <c r="Y21" i="8"/>
  <c r="Y20" i="8"/>
  <c r="Y13" i="8"/>
  <c r="Y16" i="8" s="1"/>
  <c r="Y12" i="8"/>
  <c r="Y11" i="8"/>
  <c r="X16" i="8"/>
  <c r="W16" i="8"/>
  <c r="V16" i="8"/>
  <c r="U16" i="8"/>
  <c r="T16" i="8"/>
  <c r="S16" i="8"/>
  <c r="S34" i="8" s="1"/>
  <c r="R16" i="8"/>
  <c r="Q16" i="8"/>
  <c r="O30" i="8"/>
  <c r="O29" i="8"/>
  <c r="O28" i="8"/>
  <c r="O27" i="8"/>
  <c r="O26" i="8"/>
  <c r="O25" i="8"/>
  <c r="O24" i="8"/>
  <c r="O23" i="8"/>
  <c r="O22" i="8"/>
  <c r="O21" i="8"/>
  <c r="O20" i="8"/>
  <c r="O32" i="8" s="1"/>
  <c r="O14" i="8"/>
  <c r="O13" i="8"/>
  <c r="O12" i="8"/>
  <c r="O11" i="8"/>
  <c r="F32" i="8"/>
  <c r="M16" i="8"/>
  <c r="L16" i="8"/>
  <c r="K16" i="8"/>
  <c r="J16" i="8"/>
  <c r="I16" i="8"/>
  <c r="H16" i="8"/>
  <c r="G16" i="8"/>
  <c r="F16" i="8"/>
  <c r="AP32" i="8" l="1"/>
  <c r="Y32" i="8"/>
  <c r="J34" i="8"/>
  <c r="K34" i="8"/>
  <c r="H34" i="8"/>
  <c r="I34" i="8"/>
  <c r="O16" i="8"/>
  <c r="G34" i="8"/>
  <c r="M34" i="8"/>
  <c r="O34" i="8"/>
  <c r="L34" i="8"/>
  <c r="F34" i="8"/>
  <c r="Y35" i="8" l="1"/>
</calcChain>
</file>

<file path=xl/sharedStrings.xml><?xml version="1.0" encoding="utf-8"?>
<sst xmlns="http://schemas.openxmlformats.org/spreadsheetml/2006/main" count="567" uniqueCount="108">
  <si>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</si>
  <si>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</si>
  <si>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</si>
  <si>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</si>
  <si>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</si>
  <si>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</si>
  <si>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</si>
  <si>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</si>
  <si>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XXXXX</t>
  </si>
  <si>
    <t>Cabinets / Millwork</t>
  </si>
  <si>
    <t>Moldings</t>
  </si>
  <si>
    <t>Flooring - Vinyl Plank</t>
  </si>
  <si>
    <t>Window Treatments</t>
  </si>
  <si>
    <t>Building Signage</t>
  </si>
  <si>
    <t>Specialty Electrical - Appliances</t>
  </si>
  <si>
    <t>Communication / Data</t>
  </si>
  <si>
    <t>Specialty Plumbing - Kitchen Sinks / Laundry</t>
  </si>
  <si>
    <t>Security / Exterior Lighting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</si>
  <si>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</si>
  <si>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</si>
  <si>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</si>
  <si>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</si>
  <si>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</si>
  <si>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</si>
  <si>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</si>
  <si>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</si>
  <si>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</si>
  <si>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</si>
  <si>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</si>
  <si>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</si>
  <si>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</si>
  <si>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</si>
  <si>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</si>
  <si>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</si>
  <si>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</si>
  <si>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</si>
  <si>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</si>
  <si>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</si>
  <si>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</si>
  <si>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</si>
  <si>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 3-Building-Peters Street</t>
  </si>
  <si>
    <t>Asset # 2-Land Improvements-Peters Street</t>
  </si>
  <si>
    <t>Asset # 4-Equipmet-Peters Street</t>
  </si>
  <si>
    <t>Total Allocation:</t>
  </si>
  <si>
    <t>Miscellaneous Building Components</t>
  </si>
  <si>
    <t>Specialty HVAC - Dryer Vents</t>
  </si>
  <si>
    <t>Specialty Plumbing - Laundry</t>
  </si>
  <si>
    <t>Interior Windows</t>
  </si>
  <si>
    <t>Mailboxes</t>
  </si>
  <si>
    <t>Emergency Lighting</t>
  </si>
  <si>
    <t>Flooring - Sealed Concrete</t>
  </si>
  <si>
    <t>Site Components</t>
  </si>
  <si>
    <t>Site Work / Improvements</t>
  </si>
  <si>
    <t>Site Drainage</t>
  </si>
  <si>
    <t>Parking Lot</t>
  </si>
  <si>
    <t>Exterior Signage</t>
  </si>
  <si>
    <t>Parking Lot Striping / Barriers</t>
  </si>
  <si>
    <t>Sidewalks / Curbs</t>
  </si>
  <si>
    <t>Landscaping</t>
  </si>
  <si>
    <t xml:space="preserve">Security Lighting Poles </t>
  </si>
  <si>
    <t>Exterior Fencing</t>
  </si>
  <si>
    <t>Fire Hydrants</t>
  </si>
  <si>
    <t>Exterior Equipment Concrete Pads</t>
  </si>
  <si>
    <t>Mailbox Canopy</t>
  </si>
  <si>
    <t>Playground</t>
  </si>
  <si>
    <t>Basketball Court</t>
  </si>
  <si>
    <t>Site Seating</t>
  </si>
  <si>
    <t>Site Utilities</t>
  </si>
  <si>
    <t>Total Site Cost</t>
  </si>
  <si>
    <t>% of Site Cost</t>
  </si>
  <si>
    <t>Grove Park Apartments</t>
  </si>
  <si>
    <t>Summary of Cost Seg Adjustments</t>
  </si>
  <si>
    <t>As of December 31, 2024</t>
  </si>
  <si>
    <t>Acq Date</t>
  </si>
  <si>
    <t>apt site</t>
  </si>
  <si>
    <t>2 - Land Imp - Peter St - Site - 15yr</t>
  </si>
  <si>
    <t>2 - Land Imp - Peter St - Site - 27.5yr</t>
  </si>
  <si>
    <t>3 - Building - Peter St - Site - 15yr</t>
  </si>
  <si>
    <t>3 - Building - Peter St - Site - 27.5yr</t>
  </si>
  <si>
    <t>4 - Equipment - Peter St - Site - 15yr</t>
  </si>
  <si>
    <t>4 - Equipment - Peter St - Site - 27.5yr</t>
  </si>
  <si>
    <t>apt office</t>
  </si>
  <si>
    <t>2- Land Imp - Peter St - Site</t>
  </si>
  <si>
    <t>3- Building - Peter St - Site</t>
  </si>
  <si>
    <t>4- Equipment - Peter St - Site</t>
  </si>
  <si>
    <t>2 - Land Imp - Peter St - Office - 5yr</t>
  </si>
  <si>
    <t>3 - Building - Peter St - Office - 5yr</t>
  </si>
  <si>
    <t>4 - Equipment - Peter St - Office - 5yr</t>
  </si>
  <si>
    <t>bldg 1</t>
  </si>
  <si>
    <t>bldg 2</t>
  </si>
  <si>
    <t>bldg 3</t>
  </si>
  <si>
    <t>bldg 4</t>
  </si>
  <si>
    <t>bldg 5</t>
  </si>
  <si>
    <t>8 - Building Improvement - Peter St</t>
  </si>
  <si>
    <t>apt impr</t>
  </si>
  <si>
    <t>8 - Building Improvement - Peter St - 5yr</t>
  </si>
  <si>
    <t>8 - Building Improvement - Peter St - 27.5yr</t>
  </si>
  <si>
    <t>total</t>
  </si>
  <si>
    <t>total cost</t>
  </si>
  <si>
    <t>end deprec</t>
  </si>
  <si>
    <t>5 YR</t>
  </si>
  <si>
    <t>15 YR</t>
  </si>
  <si>
    <t>27.5 YR</t>
  </si>
  <si>
    <t>Building</t>
  </si>
  <si>
    <t>Depreciation</t>
  </si>
  <si>
    <t>Land Improvements</t>
  </si>
  <si>
    <t>Equipment</t>
  </si>
  <si>
    <t>TX/NY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</si>
</sst>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22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23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23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44" fontId="3" fillId="0" borderId="0" xfId="1" applyNumberFormat="1" applyFont="1"/>
    <xf numFmtId="44" fontId="2" fillId="0" borderId="0" xfId="1" applyNumberFormat="1" applyFont="1"/>
    <xf numFmtId="0" fontId="2" fillId="0" borderId="1" xfId="1" applyFont="1" applyBorder="1"/>
    <xf numFmtId="44" fontId="3" fillId="0" borderId="1" xfId="1" applyNumberFormat="1" applyFont="1" applyBorder="1"/>
    <xf numFmtId="44" fontId="2" fillId="0" borderId="1" xfId="1" applyNumberFormat="1" applyFont="1" applyBorder="1"/>
    <xf numFmtId="0" fontId="4" fillId="0" borderId="0" xfId="1" applyFont="1"/>
    <xf numFmtId="0" fontId="5" fillId="2" borderId="0" xfId="1" applyFont="1" applyFill="1"/>
    <xf numFmtId="44" fontId="5" fillId="2" borderId="0" xfId="1" applyNumberFormat="1" applyFont="1" applyFill="1" applyAlignment="1">
      <alignment horizontal="center"/>
    </xf>
    <xf numFmtId="44" fontId="5" fillId="2" borderId="0" xfId="1" applyNumberFormat="1" applyFont="1" applyFill="1" applyAlignment="1">
      <alignment horizontal="center" wrapText="1"/>
    </xf>
    <xf numFmtId="0" fontId="5" fillId="0" borderId="0" xfId="1" applyFont="1"/>
    <xf numFmtId="44" fontId="5" fillId="0" borderId="0" xfId="1" applyNumberFormat="1" applyFont="1" applyAlignment="1">
      <alignment horizontal="center"/>
    </xf>
    <xf numFmtId="44" fontId="5" fillId="0" borderId="0" xfId="1" applyNumberFormat="1" applyFont="1" applyAlignment="1">
      <alignment horizontal="center" wrapText="1"/>
    </xf>
    <xf numFmtId="0" fontId="4" fillId="3" borderId="0" xfId="1" applyFont="1" applyFill="1" applyAlignment="1">
      <alignment horizontal="left" indent="2"/>
    </xf>
    <xf numFmtId="44" fontId="6" fillId="3" borderId="0" xfId="1" applyNumberFormat="1" applyFont="1" applyFill="1"/>
    <xf numFmtId="44" fontId="2" fillId="3" borderId="0" xfId="1" applyNumberFormat="1" applyFont="1" applyFill="1"/>
    <xf numFmtId="0" fontId="3" fillId="0" borderId="0" xfId="1" applyFont="1" applyAlignment="1">
      <alignment horizontal="left" indent="2"/>
    </xf>
    <xf numFmtId="0" fontId="2" fillId="0" borderId="0" xfId="1" applyFont="1" applyAlignment="1">
      <alignment horizontal="left" indent="2"/>
    </xf>
    <xf numFmtId="0" fontId="5" fillId="2" borderId="0" xfId="1" applyFont="1" applyFill="1" applyAlignment="1">
      <alignment horizontal="left" indent="2"/>
    </xf>
    <xf numFmtId="44" fontId="2" fillId="3" borderId="2" xfId="1" applyNumberFormat="1" applyFont="1" applyFill="1" applyBorder="1"/>
    <xf numFmtId="0" fontId="4" fillId="0" borderId="0" xfId="1" applyFont="1" applyAlignment="1">
      <alignment horizontal="left" indent="2"/>
    </xf>
    <xf numFmtId="164" fontId="2" fillId="0" borderId="0" xfId="1" applyNumberFormat="1" applyFont="1"/>
    <xf numFmtId="0" fontId="3" fillId="0" borderId="0" xfId="1" applyFont="1"/>
    <xf numFmtId="0" fontId="3" fillId="0" borderId="3" xfId="1" applyFont="1" applyBorder="1"/>
    <xf numFmtId="44" fontId="3" fillId="0" borderId="3" xfId="1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3" fontId="0" fillId="0" borderId="0" xfId="2" applyFont="1"/>
    <xf numFmtId="43" fontId="0" fillId="0" borderId="4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0" fillId="0" borderId="4" xfId="2" applyFont="1" applyBorder="1"/>
    <xf numFmtId="43" fontId="0" fillId="0" borderId="0" xfId="2" applyFont="1" applyBorder="1" applyAlignment="1">
      <alignment horizontal="center"/>
    </xf>
    <xf numFmtId="43" fontId="0" fillId="4" borderId="0" xfId="2" applyFont="1" applyFill="1"/>
    <xf numFmtId="43" fontId="0" fillId="5" borderId="0" xfId="2" applyFont="1" applyFill="1"/>
    <xf numFmtId="43" fontId="0" fillId="6" borderId="0" xfId="2" applyFont="1" applyFill="1"/>
    <xf numFmtId="43" fontId="0" fillId="7" borderId="0" xfId="2" applyFont="1" applyFill="1"/>
    <xf numFmtId="43" fontId="0" fillId="6" borderId="4" xfId="2" applyFont="1" applyFill="1" applyBorder="1"/>
    <xf numFmtId="43" fontId="0" fillId="0" borderId="0" xfId="0" applyNumberFormat="1"/>
    <xf numFmtId="43" fontId="0" fillId="4" borderId="0" xfId="0" applyNumberFormat="1" applyFill="1"/>
    <xf numFmtId="0" fontId="0" fillId="4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Comma" xfId="2" builtinId="3"/>
    <cellStyle name="Normal" xfId="0" builtinId="0"/>
    <cellStyle name="Normal 2" xfId="1" xr:uid="{56F3EB56-CA10-4561-83EF-79307A7CE5EA}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cts%20with%20Contract\Marc%20Menowitz_%23107752-01_JJacobs\Engineering%20Files\14\Grove%20Park%20Terrace_107752-14_KH_Apt_Bldg%201.xlsm" TargetMode="External"/><Relationship Id="rId1" Type="http://schemas.openxmlformats.org/officeDocument/2006/relationships/externalLinkPath" Target="file:///S:\Projects%20with%20Contract\Marc%20Menowitz_%23107752-01_JJacobs\Engineering%20Files\14\Grove%20Park%20Terrace_107752-14_KH_Apt_Bldg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Info"/>
      <sheetName val="Main Info_OLD"/>
      <sheetName val="Overhead"/>
      <sheetName val="Cabinets, Moldings"/>
      <sheetName val="Flooring"/>
      <sheetName val="Walls, Ceilings, Windows"/>
      <sheetName val="Electrical"/>
      <sheetName val="Mechanical"/>
      <sheetName val="Site Work"/>
      <sheetName val="Special Site Work"/>
      <sheetName val="Special Building Components"/>
      <sheetName val="Special Building Components 2"/>
      <sheetName val="Special Building Components QIP"/>
      <sheetName val="Other 5 Year"/>
      <sheetName val="Other 7 Year"/>
      <sheetName val="Other 15 Year"/>
      <sheetName val="Big Calcs"/>
      <sheetName val="Cost Detail"/>
      <sheetName val="Cost Summary"/>
      <sheetName val="Internal Notes"/>
      <sheetName val="SF Costs"/>
      <sheetName val="Clean Up"/>
      <sheetName val="Main Info Report"/>
      <sheetName val="Detailed - BC"/>
      <sheetName val="Detailed - SW"/>
      <sheetName val="Overhead Summary"/>
      <sheetName val="Cost Summary Report"/>
      <sheetName val="Cost Detail Report"/>
      <sheetName val="Demolition_Disposition"/>
      <sheetName val="Building Systems"/>
      <sheetName val="Removal"/>
      <sheetName val="Setup"/>
      <sheetName val="Component Disoposal"/>
      <sheetName val="Standard Cost Basis"/>
      <sheetName val="Demolition_Disposition_Calcs"/>
      <sheetName val="PMExportTempCalcs"/>
      <sheetName val="PMExportBuildingInformation"/>
      <sheetName val="PMExportBuildingResults"/>
      <sheetName val="PMExportOverheadBuilding"/>
      <sheetName val="PMExportOverheadOther"/>
      <sheetName val="PMExportCostDetail"/>
      <sheetName val="PMExportAssetAllocation"/>
      <sheetName val="Del- Site Work Prep Allocations"/>
    </sheetNames>
    <sheetDataSet>
      <sheetData sheetId="0"/>
      <sheetData sheetId="1"/>
      <sheetData sheetId="2"/>
      <sheetData sheetId="3">
        <row r="3">
          <cell r="A3" t="str">
            <v>Qty</v>
          </cell>
          <cell r="B3" t="str">
            <v xml:space="preserve"> CSSI Number</v>
          </cell>
          <cell r="C3" t="str">
            <v>Description</v>
          </cell>
          <cell r="D3" t="str">
            <v>Cost Source</v>
          </cell>
          <cell r="E3" t="str">
            <v>Unit</v>
          </cell>
          <cell r="F3" t="str">
            <v>Bare Mat.</v>
          </cell>
          <cell r="G3" t="str">
            <v xml:space="preserve"> Bare Labor</v>
          </cell>
          <cell r="H3" t="str">
            <v>Bare Equip.</v>
          </cell>
          <cell r="I3" t="str">
            <v>Bare Total</v>
          </cell>
          <cell r="J3" t="str">
            <v>Bare Total O&amp;P</v>
          </cell>
          <cell r="K3" t="str">
            <v>Factor</v>
          </cell>
          <cell r="L3" t="str">
            <v>Release</v>
          </cell>
          <cell r="M3" t="str">
            <v>Notes / Comments</v>
          </cell>
          <cell r="N3" t="str">
            <v>Extended Cost</v>
          </cell>
          <cell r="O3" t="str">
            <v>Life</v>
          </cell>
          <cell r="P3" t="str">
            <v>Direct Cost / Relative Value</v>
          </cell>
          <cell r="Q3" t="str">
            <v>Allocated Fees</v>
          </cell>
          <cell r="R3" t="str">
            <v>Total Cost</v>
          </cell>
          <cell r="S3" t="str">
            <v>Disposal</v>
          </cell>
          <cell r="T3" t="str">
            <v>Category</v>
          </cell>
          <cell r="U3" t="str">
            <v>Building System</v>
          </cell>
        </row>
        <row r="4">
          <cell r="A4" t="str">
            <v>Cabinets / Millwork</v>
          </cell>
        </row>
        <row r="5">
          <cell r="A5">
            <v>144</v>
          </cell>
          <cell r="B5">
            <v>105723190600</v>
          </cell>
          <cell r="C5" t="str">
            <v>Wood shelving, plywood, with lumber edge, 3/4" thick x 12" wide</v>
          </cell>
          <cell r="D5" t="str">
            <v>RS Means</v>
          </cell>
          <cell r="E5" t="str">
            <v>L.F.</v>
          </cell>
          <cell r="F5">
            <v>2.06</v>
          </cell>
          <cell r="G5">
            <v>6.9</v>
          </cell>
          <cell r="H5">
            <v>0</v>
          </cell>
          <cell r="I5">
            <v>8.9600000000000009</v>
          </cell>
          <cell r="J5">
            <v>12.3</v>
          </cell>
          <cell r="K5">
            <v>0.81399999999999995</v>
          </cell>
          <cell r="L5">
            <v>2026</v>
          </cell>
          <cell r="N5">
            <v>1441.7568000000001</v>
          </cell>
          <cell r="O5">
            <v>5</v>
          </cell>
          <cell r="P5">
            <v>503.56</v>
          </cell>
          <cell r="Q5">
            <v>130.65</v>
          </cell>
          <cell r="R5">
            <v>634.21</v>
          </cell>
          <cell r="S5" t="b">
            <v>0</v>
          </cell>
          <cell r="T5" t="str">
            <v>Building Components</v>
          </cell>
          <cell r="U5" t="str">
            <v>Miscellaneous Building Components</v>
          </cell>
        </row>
        <row r="6">
          <cell r="A6">
            <v>0</v>
          </cell>
          <cell r="B6">
            <v>105723190700</v>
          </cell>
          <cell r="C6" t="str">
            <v>Wood shelving, plywood, with lumber edge, 3/4" thick x 24" wide</v>
          </cell>
          <cell r="D6" t="str">
            <v>RS Means</v>
          </cell>
          <cell r="E6" t="str">
            <v>L.F.</v>
          </cell>
          <cell r="F6">
            <v>3.84</v>
          </cell>
          <cell r="G6">
            <v>7.4</v>
          </cell>
          <cell r="H6">
            <v>0</v>
          </cell>
          <cell r="I6">
            <v>11.24</v>
          </cell>
          <cell r="J6">
            <v>15</v>
          </cell>
          <cell r="K6">
            <v>0.81399999999999995</v>
          </cell>
          <cell r="L6">
            <v>2026</v>
          </cell>
          <cell r="N6">
            <v>0</v>
          </cell>
          <cell r="O6">
            <v>5</v>
          </cell>
          <cell r="P6">
            <v>0</v>
          </cell>
          <cell r="Q6">
            <v>0</v>
          </cell>
          <cell r="R6">
            <v>0</v>
          </cell>
          <cell r="S6" t="b">
            <v>0</v>
          </cell>
          <cell r="T6" t="str">
            <v>Building Components</v>
          </cell>
          <cell r="U6" t="str">
            <v>Miscellaneous Building Components</v>
          </cell>
        </row>
        <row r="7">
          <cell r="A7">
            <v>0</v>
          </cell>
          <cell r="B7">
            <v>105723190900</v>
          </cell>
          <cell r="C7" t="str">
            <v>Wood shelving, bookcase, clear grade pine, 8" deep, shelves 12" OC</v>
          </cell>
          <cell r="D7" t="str">
            <v>RS Means</v>
          </cell>
          <cell r="E7" t="str">
            <v>S.F.</v>
          </cell>
          <cell r="F7">
            <v>7.2</v>
          </cell>
          <cell r="G7">
            <v>7.4</v>
          </cell>
          <cell r="H7">
            <v>0</v>
          </cell>
          <cell r="I7">
            <v>14.6</v>
          </cell>
          <cell r="J7">
            <v>18.75</v>
          </cell>
          <cell r="K7">
            <v>0.81399999999999995</v>
          </cell>
          <cell r="L7">
            <v>2026</v>
          </cell>
          <cell r="N7">
            <v>0</v>
          </cell>
          <cell r="O7">
            <v>5</v>
          </cell>
          <cell r="P7">
            <v>0</v>
          </cell>
          <cell r="Q7">
            <v>0</v>
          </cell>
          <cell r="R7">
            <v>0</v>
          </cell>
          <cell r="S7" t="b">
            <v>0</v>
          </cell>
          <cell r="T7" t="str">
            <v>Building Components</v>
          </cell>
          <cell r="U7" t="str">
            <v>Miscellaneous Building Components</v>
          </cell>
        </row>
        <row r="8">
          <cell r="A8">
            <v>0</v>
          </cell>
          <cell r="C8" t="str">
            <v>rubbermaid fasttrack garage satin nickel steel wire shelf per lowes.com - 16" deep</v>
          </cell>
          <cell r="D8" t="str">
            <v>internet</v>
          </cell>
          <cell r="E8" t="str">
            <v>L.F.</v>
          </cell>
          <cell r="F8">
            <v>5.5177499999999995</v>
          </cell>
          <cell r="G8">
            <v>6.9</v>
          </cell>
          <cell r="H8">
            <v>0</v>
          </cell>
          <cell r="I8">
            <v>12.41775</v>
          </cell>
          <cell r="J8">
            <v>17.046688058035713</v>
          </cell>
          <cell r="K8">
            <v>0.81399999999999995</v>
          </cell>
          <cell r="L8">
            <v>2026</v>
          </cell>
          <cell r="N8">
            <v>0</v>
          </cell>
          <cell r="O8">
            <v>5</v>
          </cell>
          <cell r="P8">
            <v>0</v>
          </cell>
          <cell r="Q8">
            <v>0</v>
          </cell>
          <cell r="R8">
            <v>0</v>
          </cell>
          <cell r="S8" t="b">
            <v>0</v>
          </cell>
          <cell r="T8" t="str">
            <v>Building Components</v>
          </cell>
          <cell r="U8" t="str">
            <v>Miscellaneous Building Components</v>
          </cell>
        </row>
        <row r="9">
          <cell r="A9">
            <v>0</v>
          </cell>
          <cell r="B9">
            <v>123570130500</v>
          </cell>
          <cell r="C9" t="str">
            <v>Casework, base cabinets, hospital, laminated plastic</v>
          </cell>
          <cell r="D9" t="str">
            <v>RS Means</v>
          </cell>
          <cell r="E9" t="str">
            <v>L.F.</v>
          </cell>
          <cell r="F9">
            <v>310</v>
          </cell>
          <cell r="G9">
            <v>103</v>
          </cell>
          <cell r="H9">
            <v>0</v>
          </cell>
          <cell r="I9">
            <v>413</v>
          </cell>
          <cell r="J9">
            <v>490</v>
          </cell>
          <cell r="K9">
            <v>0.81399999999999995</v>
          </cell>
          <cell r="L9">
            <v>2026</v>
          </cell>
          <cell r="N9">
            <v>0</v>
          </cell>
          <cell r="O9">
            <v>5</v>
          </cell>
          <cell r="P9">
            <v>0</v>
          </cell>
          <cell r="Q9">
            <v>0</v>
          </cell>
          <cell r="R9">
            <v>0</v>
          </cell>
          <cell r="S9" t="b">
            <v>0</v>
          </cell>
          <cell r="T9" t="str">
            <v>Building Components</v>
          </cell>
          <cell r="U9" t="str">
            <v>Miscellaneous Building Components</v>
          </cell>
        </row>
        <row r="10">
          <cell r="A10">
            <v>0</v>
          </cell>
          <cell r="B10">
            <v>123570131650</v>
          </cell>
          <cell r="C10" t="str">
            <v>Casework, base cabinets, hospital, counter top, laminated plastic, incl. backsplash</v>
          </cell>
          <cell r="D10" t="str">
            <v>RS Means</v>
          </cell>
          <cell r="E10" t="str">
            <v>L.F.</v>
          </cell>
          <cell r="F10">
            <v>85</v>
          </cell>
          <cell r="G10">
            <v>26</v>
          </cell>
          <cell r="H10">
            <v>0</v>
          </cell>
          <cell r="I10">
            <v>111</v>
          </cell>
          <cell r="J10">
            <v>131</v>
          </cell>
          <cell r="K10">
            <v>0.81399999999999995</v>
          </cell>
          <cell r="L10">
            <v>2026</v>
          </cell>
          <cell r="N10">
            <v>0</v>
          </cell>
          <cell r="O10">
            <v>5</v>
          </cell>
          <cell r="P10">
            <v>0</v>
          </cell>
          <cell r="Q10">
            <v>0</v>
          </cell>
          <cell r="R10">
            <v>0</v>
          </cell>
          <cell r="S10" t="b">
            <v>0</v>
          </cell>
          <cell r="T10" t="str">
            <v>Building Components</v>
          </cell>
          <cell r="U10" t="str">
            <v>Miscellaneous Building Components</v>
          </cell>
        </row>
        <row r="11">
          <cell r="A11">
            <v>0</v>
          </cell>
          <cell r="B11">
            <v>123570132500</v>
          </cell>
          <cell r="C11" t="str">
            <v>Casework, wall cabinets, laminated plastic</v>
          </cell>
          <cell r="D11" t="str">
            <v>RS Means</v>
          </cell>
          <cell r="E11" t="str">
            <v>L.F.</v>
          </cell>
          <cell r="F11">
            <v>220</v>
          </cell>
          <cell r="G11">
            <v>69</v>
          </cell>
          <cell r="H11">
            <v>0</v>
          </cell>
          <cell r="I11">
            <v>289</v>
          </cell>
          <cell r="J11">
            <v>345</v>
          </cell>
          <cell r="K11">
            <v>0.81399999999999995</v>
          </cell>
          <cell r="L11">
            <v>2026</v>
          </cell>
          <cell r="N11">
            <v>0</v>
          </cell>
          <cell r="O11">
            <v>5</v>
          </cell>
          <cell r="P11">
            <v>0</v>
          </cell>
          <cell r="Q11">
            <v>0</v>
          </cell>
          <cell r="R11">
            <v>0</v>
          </cell>
          <cell r="S11" t="b">
            <v>0</v>
          </cell>
          <cell r="T11" t="str">
            <v>Building Components</v>
          </cell>
          <cell r="U11" t="str">
            <v>Miscellaneous Building Components</v>
          </cell>
        </row>
        <row r="12">
          <cell r="A12">
            <v>24</v>
          </cell>
          <cell r="B12">
            <v>123223101200</v>
          </cell>
          <cell r="C12" t="str">
            <v>Custom cabinets, kitchen base cabinets, hardwood, prefinished, 2 top drawers, 2 doors below, 24" deep, 35" high, 27" wide, excl. countertops</v>
          </cell>
          <cell r="D12" t="str">
            <v>RS Means</v>
          </cell>
          <cell r="E12" t="str">
            <v>Ea.</v>
          </cell>
          <cell r="F12">
            <v>495</v>
          </cell>
          <cell r="G12">
            <v>47</v>
          </cell>
          <cell r="H12">
            <v>0</v>
          </cell>
          <cell r="I12">
            <v>542</v>
          </cell>
          <cell r="J12">
            <v>615</v>
          </cell>
          <cell r="K12">
            <v>0.81399999999999995</v>
          </cell>
          <cell r="L12">
            <v>2026</v>
          </cell>
          <cell r="N12">
            <v>12014.64</v>
          </cell>
          <cell r="O12">
            <v>5</v>
          </cell>
          <cell r="P12">
            <v>4196.3500000000004</v>
          </cell>
          <cell r="Q12">
            <v>1088.73</v>
          </cell>
          <cell r="R12">
            <v>5285.08</v>
          </cell>
          <cell r="S12" t="b">
            <v>0</v>
          </cell>
          <cell r="T12" t="str">
            <v>Building Components</v>
          </cell>
          <cell r="U12" t="str">
            <v>Miscellaneous Building Components</v>
          </cell>
        </row>
        <row r="13">
          <cell r="A13">
            <v>0</v>
          </cell>
          <cell r="B13">
            <v>123223101260</v>
          </cell>
          <cell r="C13" t="str">
            <v>Custom cabinets, kitchen base cabinets, hardwood, prefinished, 2 top drawers, 2 doors below, 24" deep, 35" high, 36" wide, excl. countertops</v>
          </cell>
          <cell r="D13" t="str">
            <v>RS Means</v>
          </cell>
          <cell r="E13" t="str">
            <v>Ea.</v>
          </cell>
          <cell r="F13">
            <v>470</v>
          </cell>
          <cell r="G13">
            <v>51</v>
          </cell>
          <cell r="H13">
            <v>0</v>
          </cell>
          <cell r="I13">
            <v>521</v>
          </cell>
          <cell r="J13">
            <v>590</v>
          </cell>
          <cell r="K13">
            <v>0.81399999999999995</v>
          </cell>
          <cell r="L13">
            <v>2026</v>
          </cell>
          <cell r="N13">
            <v>0</v>
          </cell>
          <cell r="O13">
            <v>5</v>
          </cell>
          <cell r="P13">
            <v>0</v>
          </cell>
          <cell r="Q13">
            <v>0</v>
          </cell>
          <cell r="R13">
            <v>0</v>
          </cell>
          <cell r="S13" t="b">
            <v>0</v>
          </cell>
          <cell r="T13" t="str">
            <v>Building Components</v>
          </cell>
          <cell r="U13" t="str">
            <v>Miscellaneous Building Components</v>
          </cell>
        </row>
        <row r="14">
          <cell r="A14">
            <v>0</v>
          </cell>
          <cell r="B14">
            <v>123223101300</v>
          </cell>
          <cell r="C14" t="str">
            <v>Custom cabinets, kitchen base cabinets, hardwood, prefinished, 2 top drawers, 2 doors below, 24" deep, 35" high, 48" wide, excl. countertops</v>
          </cell>
          <cell r="D14" t="str">
            <v>RS Means</v>
          </cell>
          <cell r="E14" t="str">
            <v>Ea.</v>
          </cell>
          <cell r="F14">
            <v>850</v>
          </cell>
          <cell r="G14">
            <v>54.5</v>
          </cell>
          <cell r="H14">
            <v>0</v>
          </cell>
          <cell r="I14">
            <v>904.5</v>
          </cell>
          <cell r="J14">
            <v>1025</v>
          </cell>
          <cell r="K14">
            <v>0.81399999999999995</v>
          </cell>
          <cell r="L14">
            <v>2026</v>
          </cell>
          <cell r="N14">
            <v>0</v>
          </cell>
          <cell r="O14">
            <v>5</v>
          </cell>
          <cell r="P14">
            <v>0</v>
          </cell>
          <cell r="Q14">
            <v>0</v>
          </cell>
          <cell r="R14">
            <v>0</v>
          </cell>
          <cell r="S14" t="b">
            <v>0</v>
          </cell>
          <cell r="T14" t="str">
            <v>Building Components</v>
          </cell>
          <cell r="U14" t="str">
            <v>Miscellaneous Building Components</v>
          </cell>
        </row>
        <row r="15">
          <cell r="A15">
            <v>0</v>
          </cell>
          <cell r="B15">
            <v>123223104050</v>
          </cell>
          <cell r="C15" t="str">
            <v>Custom cabinets, kitchen wall cabinets, hardwood, prefinished, 2 doors, 12" deep, 12" high, 30" wide</v>
          </cell>
          <cell r="D15" t="str">
            <v>RS Means</v>
          </cell>
          <cell r="E15" t="str">
            <v>Ea.</v>
          </cell>
          <cell r="F15">
            <v>182</v>
          </cell>
          <cell r="G15">
            <v>41.5</v>
          </cell>
          <cell r="H15">
            <v>0</v>
          </cell>
          <cell r="I15">
            <v>223.5</v>
          </cell>
          <cell r="J15">
            <v>262</v>
          </cell>
          <cell r="K15">
            <v>0.81399999999999995</v>
          </cell>
          <cell r="L15">
            <v>2026</v>
          </cell>
          <cell r="N15">
            <v>0</v>
          </cell>
          <cell r="O15">
            <v>5</v>
          </cell>
          <cell r="P15">
            <v>0</v>
          </cell>
          <cell r="Q15">
            <v>0</v>
          </cell>
          <cell r="R15">
            <v>0</v>
          </cell>
          <cell r="S15" t="b">
            <v>0</v>
          </cell>
          <cell r="T15" t="str">
            <v>Building Components</v>
          </cell>
          <cell r="U15" t="str">
            <v>Miscellaneous Building Components</v>
          </cell>
        </row>
        <row r="16">
          <cell r="A16">
            <v>24</v>
          </cell>
          <cell r="B16">
            <v>123223104400</v>
          </cell>
          <cell r="C16" t="str">
            <v>Custom cabinets, kitchen wall cabinets, hardwood, prefinished, 2 doors, 12" deep, 15" high, 30" wide</v>
          </cell>
          <cell r="D16" t="str">
            <v>RS Means</v>
          </cell>
          <cell r="E16" t="str">
            <v>Ea.</v>
          </cell>
          <cell r="F16">
            <v>194</v>
          </cell>
          <cell r="G16">
            <v>43</v>
          </cell>
          <cell r="H16">
            <v>0</v>
          </cell>
          <cell r="I16">
            <v>237</v>
          </cell>
          <cell r="J16">
            <v>277</v>
          </cell>
          <cell r="K16">
            <v>0.81399999999999995</v>
          </cell>
          <cell r="L16">
            <v>2026</v>
          </cell>
          <cell r="N16">
            <v>5411.4719999999998</v>
          </cell>
          <cell r="O16">
            <v>5</v>
          </cell>
          <cell r="P16">
            <v>1890.06</v>
          </cell>
          <cell r="Q16">
            <v>490.37</v>
          </cell>
          <cell r="R16">
            <v>2380.4299999999998</v>
          </cell>
          <cell r="S16" t="b">
            <v>0</v>
          </cell>
          <cell r="T16" t="str">
            <v>Building Components</v>
          </cell>
          <cell r="U16" t="str">
            <v>Miscellaneous Building Components</v>
          </cell>
        </row>
        <row r="17">
          <cell r="A17">
            <v>0</v>
          </cell>
          <cell r="B17">
            <v>125416200020</v>
          </cell>
          <cell r="C17" t="str">
            <v>Restaurant furniture, bar, built-in, front bar</v>
          </cell>
          <cell r="D17" t="str">
            <v>RS Means</v>
          </cell>
          <cell r="E17" t="str">
            <v>L.F.</v>
          </cell>
          <cell r="F17">
            <v>355</v>
          </cell>
          <cell r="G17">
            <v>103</v>
          </cell>
          <cell r="H17">
            <v>0</v>
          </cell>
          <cell r="I17">
            <v>458</v>
          </cell>
          <cell r="J17">
            <v>540</v>
          </cell>
          <cell r="K17">
            <v>0.81399999999999995</v>
          </cell>
          <cell r="L17">
            <v>2026</v>
          </cell>
          <cell r="N17">
            <v>0</v>
          </cell>
          <cell r="O17">
            <v>5</v>
          </cell>
          <cell r="P17">
            <v>0</v>
          </cell>
          <cell r="Q17">
            <v>0</v>
          </cell>
          <cell r="R17">
            <v>0</v>
          </cell>
          <cell r="S17" t="b">
            <v>0</v>
          </cell>
          <cell r="T17" t="str">
            <v>Building Components</v>
          </cell>
          <cell r="U17" t="str">
            <v>Miscellaneous Building Components</v>
          </cell>
        </row>
        <row r="18">
          <cell r="A18">
            <v>0</v>
          </cell>
          <cell r="B18">
            <v>125416200200</v>
          </cell>
          <cell r="C18" t="str">
            <v>Restaurant furniture, bar, built-in, back bar</v>
          </cell>
          <cell r="D18" t="str">
            <v>RS Means</v>
          </cell>
          <cell r="E18" t="str">
            <v>L.F.</v>
          </cell>
          <cell r="F18">
            <v>259</v>
          </cell>
          <cell r="G18">
            <v>103</v>
          </cell>
          <cell r="H18">
            <v>0</v>
          </cell>
          <cell r="I18">
            <v>362</v>
          </cell>
          <cell r="J18">
            <v>435</v>
          </cell>
          <cell r="K18">
            <v>0.81399999999999995</v>
          </cell>
          <cell r="L18">
            <v>2026</v>
          </cell>
          <cell r="N18">
            <v>0</v>
          </cell>
          <cell r="O18">
            <v>5</v>
          </cell>
          <cell r="P18">
            <v>0</v>
          </cell>
          <cell r="Q18">
            <v>0</v>
          </cell>
          <cell r="R18">
            <v>0</v>
          </cell>
          <cell r="S18" t="b">
            <v>0</v>
          </cell>
          <cell r="T18" t="str">
            <v>Building Components</v>
          </cell>
          <cell r="U18" t="str">
            <v>Miscellaneous Building Components</v>
          </cell>
        </row>
        <row r="19">
          <cell r="A19">
            <v>0</v>
          </cell>
          <cell r="B19">
            <v>112216133100</v>
          </cell>
          <cell r="C19" t="str">
            <v>Counters, for banks, frontal only, complete with steel undercounter</v>
          </cell>
          <cell r="D19" t="str">
            <v>RS Means</v>
          </cell>
          <cell r="E19" t="str">
            <v>Station</v>
          </cell>
          <cell r="F19">
            <v>6200</v>
          </cell>
          <cell r="G19">
            <v>2075</v>
          </cell>
          <cell r="H19">
            <v>0</v>
          </cell>
          <cell r="I19">
            <v>8275</v>
          </cell>
          <cell r="J19">
            <v>9850</v>
          </cell>
          <cell r="K19">
            <v>0.81399999999999995</v>
          </cell>
          <cell r="L19">
            <v>2026</v>
          </cell>
          <cell r="N19">
            <v>0</v>
          </cell>
          <cell r="O19">
            <v>5</v>
          </cell>
          <cell r="P19">
            <v>0</v>
          </cell>
          <cell r="Q19">
            <v>0</v>
          </cell>
          <cell r="R19">
            <v>0</v>
          </cell>
          <cell r="S19" t="b">
            <v>0</v>
          </cell>
          <cell r="T19" t="str">
            <v>Building Components</v>
          </cell>
          <cell r="U19" t="str">
            <v>Miscellaneous Building Components</v>
          </cell>
        </row>
        <row r="20">
          <cell r="A20">
            <v>0</v>
          </cell>
          <cell r="B20">
            <v>123223101000</v>
          </cell>
          <cell r="C20" t="str">
            <v>Custom cabinets, kitchen base cabinets, hardwood, prefinished, 4 drawers, 24" deep, 35" high, 12" wide, excl. countertops</v>
          </cell>
          <cell r="D20" t="str">
            <v>RS Means</v>
          </cell>
          <cell r="E20" t="str">
            <v>Ea.</v>
          </cell>
          <cell r="F20">
            <v>780</v>
          </cell>
          <cell r="G20">
            <v>41.5</v>
          </cell>
          <cell r="H20">
            <v>0</v>
          </cell>
          <cell r="I20">
            <v>821.5</v>
          </cell>
          <cell r="J20">
            <v>920</v>
          </cell>
          <cell r="K20">
            <v>0.81399999999999995</v>
          </cell>
          <cell r="L20">
            <v>2026</v>
          </cell>
          <cell r="N20">
            <v>0</v>
          </cell>
          <cell r="O20">
            <v>5</v>
          </cell>
          <cell r="P20">
            <v>0</v>
          </cell>
          <cell r="Q20">
            <v>0</v>
          </cell>
          <cell r="R20">
            <v>0</v>
          </cell>
          <cell r="S20" t="b">
            <v>0</v>
          </cell>
          <cell r="T20" t="str">
            <v>Building Components</v>
          </cell>
          <cell r="U20" t="str">
            <v>Miscellaneous Building Components</v>
          </cell>
        </row>
        <row r="21">
          <cell r="A21">
            <v>0</v>
          </cell>
          <cell r="B21">
            <v>123223101040</v>
          </cell>
          <cell r="C21" t="str">
            <v>Custom cabinets, kitchen base cabinets, hardwood, prefinished, 4 drawers, 24" deep, 35" high, 18" wide, excl. countertops</v>
          </cell>
          <cell r="D21" t="str">
            <v>RS Means</v>
          </cell>
          <cell r="E21" t="str">
            <v>Ea.</v>
          </cell>
          <cell r="F21">
            <v>830</v>
          </cell>
          <cell r="G21">
            <v>44.5</v>
          </cell>
          <cell r="H21">
            <v>0</v>
          </cell>
          <cell r="I21">
            <v>874.5</v>
          </cell>
          <cell r="J21">
            <v>975</v>
          </cell>
          <cell r="K21">
            <v>0.81399999999999995</v>
          </cell>
          <cell r="L21">
            <v>2026</v>
          </cell>
          <cell r="N21">
            <v>0</v>
          </cell>
          <cell r="O21">
            <v>5</v>
          </cell>
          <cell r="P21">
            <v>0</v>
          </cell>
          <cell r="Q21">
            <v>0</v>
          </cell>
          <cell r="R21">
            <v>0</v>
          </cell>
          <cell r="S21" t="b">
            <v>0</v>
          </cell>
          <cell r="T21" t="str">
            <v>Building Components</v>
          </cell>
          <cell r="U21" t="str">
            <v>Miscellaneous Building Components</v>
          </cell>
        </row>
        <row r="22">
          <cell r="A22">
            <v>0</v>
          </cell>
          <cell r="B22">
            <v>123223101060</v>
          </cell>
          <cell r="C22" t="str">
            <v>Custom cabinets, kitchen base cabinets, hardwood, prefinished, 4 drawers, 24" deep, 35" high, 24" wide, excl. countertops</v>
          </cell>
          <cell r="D22" t="str">
            <v>RS Means</v>
          </cell>
          <cell r="E22" t="str">
            <v>Ea.</v>
          </cell>
          <cell r="F22">
            <v>890</v>
          </cell>
          <cell r="G22">
            <v>46.5</v>
          </cell>
          <cell r="H22">
            <v>0</v>
          </cell>
          <cell r="I22">
            <v>936.5</v>
          </cell>
          <cell r="J22">
            <v>1050</v>
          </cell>
          <cell r="K22">
            <v>0.81399999999999995</v>
          </cell>
          <cell r="L22">
            <v>2026</v>
          </cell>
          <cell r="N22">
            <v>0</v>
          </cell>
          <cell r="O22">
            <v>5</v>
          </cell>
          <cell r="P22">
            <v>0</v>
          </cell>
          <cell r="Q22">
            <v>0</v>
          </cell>
          <cell r="R22">
            <v>0</v>
          </cell>
          <cell r="S22" t="b">
            <v>0</v>
          </cell>
          <cell r="T22" t="str">
            <v>Building Components</v>
          </cell>
          <cell r="U22" t="str">
            <v>Miscellaneous Building Components</v>
          </cell>
        </row>
        <row r="23">
          <cell r="A23">
            <v>24</v>
          </cell>
          <cell r="B23">
            <v>123223105300</v>
          </cell>
          <cell r="C23" t="str">
            <v>Custom cabinets, kitchen wall cabinets, hardwood, prefinished, 2 doors, 12" deep, 30" high, 27" wide</v>
          </cell>
          <cell r="D23" t="str">
            <v>RS Means</v>
          </cell>
          <cell r="E23" t="str">
            <v>Ea.</v>
          </cell>
          <cell r="F23">
            <v>360</v>
          </cell>
          <cell r="G23">
            <v>52</v>
          </cell>
          <cell r="H23">
            <v>0</v>
          </cell>
          <cell r="I23">
            <v>412</v>
          </cell>
          <cell r="J23">
            <v>470</v>
          </cell>
          <cell r="K23">
            <v>0.81399999999999995</v>
          </cell>
          <cell r="L23">
            <v>2026</v>
          </cell>
          <cell r="N23">
            <v>9181.92</v>
          </cell>
          <cell r="O23">
            <v>5</v>
          </cell>
          <cell r="P23">
            <v>3206.97</v>
          </cell>
          <cell r="Q23">
            <v>832.04</v>
          </cell>
          <cell r="R23">
            <v>4039.0099999999998</v>
          </cell>
          <cell r="S23" t="b">
            <v>0</v>
          </cell>
          <cell r="T23" t="str">
            <v>Building Components</v>
          </cell>
          <cell r="U23" t="str">
            <v>Miscellaneous Building Components</v>
          </cell>
        </row>
        <row r="24">
          <cell r="A24">
            <v>0</v>
          </cell>
          <cell r="B24">
            <v>123223105340</v>
          </cell>
          <cell r="C24" t="str">
            <v>Custom cabinets, kitchen wall cabinets, hardwood, prefinished, 2 doors, 12" deep, 30" high, 36" wide</v>
          </cell>
          <cell r="D24" t="str">
            <v>RS Means</v>
          </cell>
          <cell r="E24" t="str">
            <v>Ea.</v>
          </cell>
          <cell r="F24">
            <v>470</v>
          </cell>
          <cell r="G24">
            <v>55</v>
          </cell>
          <cell r="H24">
            <v>0</v>
          </cell>
          <cell r="I24">
            <v>525</v>
          </cell>
          <cell r="J24">
            <v>600</v>
          </cell>
          <cell r="K24">
            <v>0.81399999999999995</v>
          </cell>
          <cell r="L24">
            <v>2026</v>
          </cell>
          <cell r="N24">
            <v>0</v>
          </cell>
          <cell r="O24">
            <v>5</v>
          </cell>
          <cell r="P24">
            <v>0</v>
          </cell>
          <cell r="Q24">
            <v>0</v>
          </cell>
          <cell r="R24">
            <v>0</v>
          </cell>
          <cell r="S24" t="b">
            <v>0</v>
          </cell>
          <cell r="T24" t="str">
            <v>Building Components</v>
          </cell>
          <cell r="U24" t="str">
            <v>Miscellaneous Building Components</v>
          </cell>
        </row>
        <row r="25">
          <cell r="A25">
            <v>0</v>
          </cell>
          <cell r="B25">
            <v>123223105380</v>
          </cell>
          <cell r="C25" t="str">
            <v>Custom cabinets, kitchen wall cabinets, hardwood, prefinished, 2 doors, 12" deep, 30" high, 48" wide</v>
          </cell>
          <cell r="D25" t="str">
            <v>RS Means</v>
          </cell>
          <cell r="E25" t="str">
            <v>Ea.</v>
          </cell>
          <cell r="F25">
            <v>490</v>
          </cell>
          <cell r="G25">
            <v>56</v>
          </cell>
          <cell r="H25">
            <v>0</v>
          </cell>
          <cell r="I25">
            <v>546</v>
          </cell>
          <cell r="J25">
            <v>620</v>
          </cell>
          <cell r="K25">
            <v>0.81399999999999995</v>
          </cell>
          <cell r="L25">
            <v>2026</v>
          </cell>
          <cell r="N25">
            <v>0</v>
          </cell>
          <cell r="O25">
            <v>5</v>
          </cell>
          <cell r="P25">
            <v>0</v>
          </cell>
          <cell r="Q25">
            <v>0</v>
          </cell>
          <cell r="R25">
            <v>0</v>
          </cell>
          <cell r="S25" t="b">
            <v>0</v>
          </cell>
          <cell r="T25" t="str">
            <v>Building Components</v>
          </cell>
          <cell r="U25" t="str">
            <v>Miscellaneous Building Components</v>
          </cell>
        </row>
        <row r="26">
          <cell r="A26">
            <v>0</v>
          </cell>
          <cell r="B26">
            <v>123223107000</v>
          </cell>
          <cell r="C26" t="str">
            <v>Custom cabinets, kitchen wall cabinets, hardwood, prefinished, broom cabinet, 84" high x 24" deep x 18" wide</v>
          </cell>
          <cell r="D26" t="str">
            <v>RS Means</v>
          </cell>
          <cell r="E26" t="str">
            <v>Ea.</v>
          </cell>
          <cell r="F26">
            <v>965</v>
          </cell>
          <cell r="G26">
            <v>103</v>
          </cell>
          <cell r="H26">
            <v>0</v>
          </cell>
          <cell r="I26">
            <v>1068</v>
          </cell>
          <cell r="J26">
            <v>1200</v>
          </cell>
          <cell r="K26">
            <v>0.81399999999999995</v>
          </cell>
          <cell r="L26">
            <v>2026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  <cell r="R26">
            <v>0</v>
          </cell>
          <cell r="S26" t="b">
            <v>0</v>
          </cell>
          <cell r="T26" t="str">
            <v>Building Components</v>
          </cell>
          <cell r="U26" t="str">
            <v>Miscellaneous Building Components</v>
          </cell>
        </row>
        <row r="27">
          <cell r="A27">
            <v>0</v>
          </cell>
          <cell r="B27">
            <v>123223107500</v>
          </cell>
          <cell r="C27" t="str">
            <v>Custom cabinets, kitchen wall cabinets, hardwood, prefinished, oven cabinet, 84" high x 24" deep x 27" wide</v>
          </cell>
          <cell r="D27" t="str">
            <v>RS Means</v>
          </cell>
          <cell r="E27" t="str">
            <v>Ea.</v>
          </cell>
          <cell r="F27">
            <v>1575</v>
          </cell>
          <cell r="G27">
            <v>129</v>
          </cell>
          <cell r="H27">
            <v>0</v>
          </cell>
          <cell r="I27">
            <v>1704</v>
          </cell>
          <cell r="J27">
            <v>1925</v>
          </cell>
          <cell r="K27">
            <v>0.81399999999999995</v>
          </cell>
          <cell r="L27">
            <v>2026</v>
          </cell>
          <cell r="N27">
            <v>0</v>
          </cell>
          <cell r="O27">
            <v>5</v>
          </cell>
          <cell r="P27">
            <v>0</v>
          </cell>
          <cell r="Q27">
            <v>0</v>
          </cell>
          <cell r="R27">
            <v>0</v>
          </cell>
          <cell r="S27" t="b">
            <v>0</v>
          </cell>
          <cell r="T27" t="str">
            <v>Building Components</v>
          </cell>
          <cell r="U27" t="str">
            <v>Miscellaneous Building Components</v>
          </cell>
        </row>
        <row r="28">
          <cell r="A28">
            <v>72</v>
          </cell>
          <cell r="B28">
            <v>123623130020</v>
          </cell>
          <cell r="C28" t="str">
            <v>Countertops, stock, plastic laminate, 24" wide, includes backsplash, minimum</v>
          </cell>
          <cell r="D28" t="str">
            <v>RS Means</v>
          </cell>
          <cell r="E28" t="str">
            <v>L.F.</v>
          </cell>
          <cell r="F28">
            <v>16.850000000000001</v>
          </cell>
          <cell r="G28">
            <v>17.25</v>
          </cell>
          <cell r="H28">
            <v>0</v>
          </cell>
          <cell r="I28">
            <v>34.1</v>
          </cell>
          <cell r="J28">
            <v>43.5</v>
          </cell>
          <cell r="K28">
            <v>0.81399999999999995</v>
          </cell>
          <cell r="L28">
            <v>2026</v>
          </cell>
          <cell r="N28">
            <v>2549.4479999999999</v>
          </cell>
          <cell r="O28">
            <v>5</v>
          </cell>
          <cell r="P28">
            <v>890.44</v>
          </cell>
          <cell r="Q28">
            <v>231.02</v>
          </cell>
          <cell r="R28">
            <v>1121.46</v>
          </cell>
          <cell r="S28" t="b">
            <v>0</v>
          </cell>
          <cell r="T28" t="str">
            <v>Building Components</v>
          </cell>
          <cell r="U28" t="str">
            <v>Miscellaneous Building Components</v>
          </cell>
        </row>
        <row r="29">
          <cell r="A29">
            <v>0</v>
          </cell>
          <cell r="B29">
            <v>123633102300</v>
          </cell>
          <cell r="C29" t="str">
            <v>Countertops, built in place, ceramic tile mosaic, 25" wide</v>
          </cell>
          <cell r="D29" t="str">
            <v>RS Means</v>
          </cell>
          <cell r="E29" t="str">
            <v>L.F.</v>
          </cell>
          <cell r="F29">
            <v>44.5</v>
          </cell>
          <cell r="G29">
            <v>20.5</v>
          </cell>
          <cell r="H29">
            <v>0</v>
          </cell>
          <cell r="I29">
            <v>65</v>
          </cell>
          <cell r="J29">
            <v>79</v>
          </cell>
          <cell r="K29">
            <v>0.81399999999999995</v>
          </cell>
          <cell r="L29">
            <v>2026</v>
          </cell>
          <cell r="N29">
            <v>0</v>
          </cell>
          <cell r="O29">
            <v>5</v>
          </cell>
          <cell r="P29">
            <v>0</v>
          </cell>
          <cell r="Q29">
            <v>0</v>
          </cell>
          <cell r="R29">
            <v>0</v>
          </cell>
          <cell r="S29" t="b">
            <v>0</v>
          </cell>
          <cell r="T29" t="str">
            <v>Building Components</v>
          </cell>
          <cell r="U29" t="str">
            <v>Miscellaneous Building Components</v>
          </cell>
        </row>
        <row r="30">
          <cell r="A30">
            <v>0</v>
          </cell>
          <cell r="B30">
            <v>123640102500</v>
          </cell>
          <cell r="C30" t="str">
            <v>Countertops, marble, stock, 1/2" thick, incl backsplash, minimum</v>
          </cell>
          <cell r="D30" t="str">
            <v>RS Means</v>
          </cell>
          <cell r="E30" t="str">
            <v>L.F.</v>
          </cell>
          <cell r="F30">
            <v>53.5</v>
          </cell>
          <cell r="G30">
            <v>30</v>
          </cell>
          <cell r="H30">
            <v>0</v>
          </cell>
          <cell r="I30">
            <v>83.5</v>
          </cell>
          <cell r="J30">
            <v>103</v>
          </cell>
          <cell r="K30">
            <v>0.81399999999999995</v>
          </cell>
          <cell r="L30">
            <v>2026</v>
          </cell>
          <cell r="N30">
            <v>0</v>
          </cell>
          <cell r="O30">
            <v>5</v>
          </cell>
          <cell r="P30">
            <v>0</v>
          </cell>
          <cell r="Q30">
            <v>0</v>
          </cell>
          <cell r="R30">
            <v>0</v>
          </cell>
          <cell r="S30" t="b">
            <v>0</v>
          </cell>
          <cell r="T30" t="str">
            <v>Building Components</v>
          </cell>
          <cell r="U30" t="str">
            <v>Miscellaneous Building Components</v>
          </cell>
        </row>
        <row r="31">
          <cell r="A31">
            <v>0</v>
          </cell>
          <cell r="B31">
            <v>123661161100</v>
          </cell>
          <cell r="C31" t="str">
            <v>Solid surface countertop, acrylic polymer, solid colors, pricing for orders of 51-99 LF, 25" wide</v>
          </cell>
          <cell r="D31" t="str">
            <v>RS Means</v>
          </cell>
          <cell r="E31" t="str">
            <v>L.F.</v>
          </cell>
          <cell r="F31">
            <v>64</v>
          </cell>
          <cell r="G31">
            <v>43</v>
          </cell>
          <cell r="H31">
            <v>0</v>
          </cell>
          <cell r="I31">
            <v>107</v>
          </cell>
          <cell r="J31">
            <v>134</v>
          </cell>
          <cell r="K31">
            <v>0.81399999999999995</v>
          </cell>
          <cell r="L31">
            <v>2026</v>
          </cell>
          <cell r="N31">
            <v>0</v>
          </cell>
          <cell r="O31">
            <v>5</v>
          </cell>
          <cell r="P31">
            <v>0</v>
          </cell>
          <cell r="Q31">
            <v>0</v>
          </cell>
          <cell r="R31">
            <v>0</v>
          </cell>
          <cell r="S31" t="b">
            <v>0</v>
          </cell>
          <cell r="T31" t="str">
            <v>Building Components</v>
          </cell>
          <cell r="U31" t="str">
            <v>Miscellaneous Building Components</v>
          </cell>
        </row>
        <row r="32">
          <cell r="A32">
            <v>0</v>
          </cell>
          <cell r="B32">
            <v>123661190100</v>
          </cell>
          <cell r="C32" t="str">
            <v>Engineered stone countertops, color group A, 25" wide, 4" backsplash, minimum</v>
          </cell>
          <cell r="D32" t="str">
            <v>RS Means</v>
          </cell>
          <cell r="E32" t="str">
            <v>L.F.</v>
          </cell>
          <cell r="F32">
            <v>61.5</v>
          </cell>
          <cell r="G32">
            <v>69</v>
          </cell>
          <cell r="H32">
            <v>0</v>
          </cell>
          <cell r="I32">
            <v>130.5</v>
          </cell>
          <cell r="J32">
            <v>169</v>
          </cell>
          <cell r="K32">
            <v>0.81399999999999995</v>
          </cell>
          <cell r="L32">
            <v>2026</v>
          </cell>
          <cell r="N32">
            <v>0</v>
          </cell>
          <cell r="O32">
            <v>5</v>
          </cell>
          <cell r="P32">
            <v>0</v>
          </cell>
          <cell r="Q32">
            <v>0</v>
          </cell>
          <cell r="R32">
            <v>0</v>
          </cell>
          <cell r="S32" t="b">
            <v>0</v>
          </cell>
          <cell r="T32" t="str">
            <v>Building Components</v>
          </cell>
          <cell r="U32" t="str">
            <v>Miscellaneous Building Components</v>
          </cell>
        </row>
        <row r="33">
          <cell r="A33">
            <v>0</v>
          </cell>
          <cell r="B33">
            <v>123640102800</v>
          </cell>
          <cell r="C33" t="str">
            <v>Countertops, granite, average, 24" wide, 1-1/4" thick, excl. backsplash</v>
          </cell>
          <cell r="D33" t="str">
            <v>RS Means</v>
          </cell>
          <cell r="E33" t="str">
            <v>L.F.</v>
          </cell>
          <cell r="F33">
            <v>126</v>
          </cell>
          <cell r="G33">
            <v>39</v>
          </cell>
          <cell r="H33">
            <v>0</v>
          </cell>
          <cell r="I33">
            <v>165</v>
          </cell>
          <cell r="J33">
            <v>197</v>
          </cell>
          <cell r="K33">
            <v>0.81399999999999995</v>
          </cell>
          <cell r="L33">
            <v>2026</v>
          </cell>
          <cell r="N33">
            <v>0</v>
          </cell>
          <cell r="O33">
            <v>5</v>
          </cell>
          <cell r="P33">
            <v>0</v>
          </cell>
          <cell r="Q33">
            <v>0</v>
          </cell>
          <cell r="R33">
            <v>0</v>
          </cell>
          <cell r="S33" t="b">
            <v>0</v>
          </cell>
          <cell r="T33" t="str">
            <v>Building Components</v>
          </cell>
          <cell r="U33" t="str">
            <v>Miscellaneous Building Components</v>
          </cell>
        </row>
        <row r="34">
          <cell r="A34">
            <v>0</v>
          </cell>
          <cell r="B34">
            <v>61110260200</v>
          </cell>
          <cell r="C34" t="str">
            <v>Wood framing, partitions, standard &amp; better lumber, 2" x 4" studs, 16" OC, 4' high, includes single bottom plate and double top plate, excludes waste</v>
          </cell>
          <cell r="D34" t="str">
            <v>RS Means</v>
          </cell>
          <cell r="E34" t="str">
            <v>L.F.</v>
          </cell>
          <cell r="F34">
            <v>2.4350000000000001</v>
          </cell>
          <cell r="G34">
            <v>5.1749999999999998</v>
          </cell>
          <cell r="H34">
            <v>0</v>
          </cell>
          <cell r="I34">
            <v>7.6099999999999994</v>
          </cell>
          <cell r="J34">
            <v>10.25</v>
          </cell>
          <cell r="K34">
            <v>0.81399999999999995</v>
          </cell>
          <cell r="L34">
            <v>2026</v>
          </cell>
          <cell r="N34">
            <v>0</v>
          </cell>
          <cell r="O34">
            <v>5</v>
          </cell>
          <cell r="P34">
            <v>0</v>
          </cell>
          <cell r="Q34">
            <v>0</v>
          </cell>
          <cell r="R34">
            <v>0</v>
          </cell>
          <cell r="S34" t="b">
            <v>0</v>
          </cell>
          <cell r="T34" t="str">
            <v>Building Components</v>
          </cell>
          <cell r="U34" t="str">
            <v>Miscellaneous Building Components</v>
          </cell>
        </row>
        <row r="35">
          <cell r="A35">
            <v>0</v>
          </cell>
          <cell r="B35">
            <v>92910300350</v>
          </cell>
          <cell r="C35" t="str">
            <v>Gypsum wallboard, on walls, standard, taped &amp; finished (level 4 finish), 1/2" thick</v>
          </cell>
          <cell r="D35" t="str">
            <v>RS Means</v>
          </cell>
          <cell r="E35" t="str">
            <v>S.F.</v>
          </cell>
          <cell r="F35">
            <v>0.88</v>
          </cell>
          <cell r="G35">
            <v>1.07</v>
          </cell>
          <cell r="H35">
            <v>0</v>
          </cell>
          <cell r="I35">
            <v>1.95</v>
          </cell>
          <cell r="J35">
            <v>2.5299999999999998</v>
          </cell>
          <cell r="K35">
            <v>0.81399999999999995</v>
          </cell>
          <cell r="L35">
            <v>2026</v>
          </cell>
          <cell r="N35">
            <v>0</v>
          </cell>
          <cell r="O35">
            <v>5</v>
          </cell>
          <cell r="P35">
            <v>0</v>
          </cell>
          <cell r="Q35">
            <v>0</v>
          </cell>
          <cell r="R35">
            <v>0</v>
          </cell>
          <cell r="S35" t="b">
            <v>0</v>
          </cell>
          <cell r="T35" t="str">
            <v>Building Components</v>
          </cell>
          <cell r="U35" t="str">
            <v>Miscellaneous Building Components</v>
          </cell>
        </row>
        <row r="36">
          <cell r="A36">
            <v>0</v>
          </cell>
          <cell r="B36">
            <v>99123740840</v>
          </cell>
          <cell r="C36" t="str">
            <v>Paints &amp; coatings, walls &amp; ceilings, interior, concrete, drywall or plaster, zero voc latex, 2 coats, smooth finish, roller</v>
          </cell>
          <cell r="D36" t="str">
            <v>RS Means</v>
          </cell>
          <cell r="E36" t="str">
            <v>S.F.</v>
          </cell>
          <cell r="F36">
            <v>0.37</v>
          </cell>
          <cell r="G36">
            <v>0.54</v>
          </cell>
          <cell r="H36">
            <v>0</v>
          </cell>
          <cell r="I36">
            <v>0.91</v>
          </cell>
          <cell r="J36">
            <v>1.2</v>
          </cell>
          <cell r="K36">
            <v>0.81399999999999995</v>
          </cell>
          <cell r="L36">
            <v>2026</v>
          </cell>
          <cell r="N36">
            <v>0</v>
          </cell>
          <cell r="O36">
            <v>5</v>
          </cell>
          <cell r="P36">
            <v>0</v>
          </cell>
          <cell r="Q36">
            <v>0</v>
          </cell>
          <cell r="R36">
            <v>0</v>
          </cell>
          <cell r="S36" t="b">
            <v>0</v>
          </cell>
          <cell r="T36" t="str">
            <v>Building Components</v>
          </cell>
          <cell r="U36" t="str">
            <v>Miscellaneous Building Components</v>
          </cell>
        </row>
        <row r="37">
          <cell r="A37">
            <v>0</v>
          </cell>
          <cell r="B37">
            <v>62526100100</v>
          </cell>
          <cell r="C37" t="str">
            <v>Panel systems, standard, paint grade, 3/4" MDO</v>
          </cell>
          <cell r="D37" t="str">
            <v>RS Means</v>
          </cell>
          <cell r="E37" t="str">
            <v>S.F.</v>
          </cell>
          <cell r="F37">
            <v>14.1</v>
          </cell>
          <cell r="G37">
            <v>3.45</v>
          </cell>
          <cell r="H37">
            <v>0</v>
          </cell>
          <cell r="I37">
            <v>17.55</v>
          </cell>
          <cell r="J37">
            <v>20.5</v>
          </cell>
          <cell r="K37">
            <v>0.81399999999999995</v>
          </cell>
          <cell r="L37">
            <v>2026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 t="b">
            <v>0</v>
          </cell>
          <cell r="T37" t="str">
            <v>Building Components</v>
          </cell>
          <cell r="U37" t="str">
            <v>Miscellaneous Building Components</v>
          </cell>
        </row>
        <row r="38">
          <cell r="A38">
            <v>0</v>
          </cell>
          <cell r="B38">
            <v>62516104300</v>
          </cell>
          <cell r="C38" t="str">
            <v>Plywood paneling, prefinished, architectural grade, custom, 3/4" thick</v>
          </cell>
          <cell r="D38" t="str">
            <v>RS Means</v>
          </cell>
          <cell r="E38" t="str">
            <v>S.F.</v>
          </cell>
          <cell r="F38">
            <v>3.99</v>
          </cell>
          <cell r="G38">
            <v>4.6100000000000003</v>
          </cell>
          <cell r="H38">
            <v>0</v>
          </cell>
          <cell r="I38">
            <v>8.6</v>
          </cell>
          <cell r="J38">
            <v>11.15</v>
          </cell>
          <cell r="K38">
            <v>0.81399999999999995</v>
          </cell>
          <cell r="L38">
            <v>2026</v>
          </cell>
          <cell r="N38">
            <v>0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 t="b">
            <v>0</v>
          </cell>
          <cell r="T38" t="str">
            <v>Building Components</v>
          </cell>
          <cell r="U38" t="str">
            <v>Miscellaneous Building Components</v>
          </cell>
        </row>
        <row r="39">
          <cell r="A39">
            <v>0</v>
          </cell>
          <cell r="D39" t="str">
            <v>RS Means</v>
          </cell>
          <cell r="K39">
            <v>0.81399999999999995</v>
          </cell>
          <cell r="L39">
            <v>2026</v>
          </cell>
          <cell r="N39">
            <v>0</v>
          </cell>
          <cell r="O39">
            <v>5</v>
          </cell>
          <cell r="P39">
            <v>0</v>
          </cell>
          <cell r="Q39">
            <v>0</v>
          </cell>
          <cell r="R39">
            <v>0</v>
          </cell>
          <cell r="S39" t="b">
            <v>0</v>
          </cell>
          <cell r="T39" t="str">
            <v>Building Components</v>
          </cell>
          <cell r="U39" t="str">
            <v>Miscellaneous Building Components</v>
          </cell>
        </row>
        <row r="40">
          <cell r="A40">
            <v>0</v>
          </cell>
          <cell r="D40" t="str">
            <v>RS Means</v>
          </cell>
          <cell r="K40">
            <v>0.81399999999999995</v>
          </cell>
          <cell r="L40">
            <v>2026</v>
          </cell>
          <cell r="N40">
            <v>0</v>
          </cell>
          <cell r="O40">
            <v>5</v>
          </cell>
          <cell r="P40">
            <v>0</v>
          </cell>
          <cell r="Q40">
            <v>0</v>
          </cell>
          <cell r="R40">
            <v>0</v>
          </cell>
          <cell r="S40" t="b">
            <v>0</v>
          </cell>
          <cell r="T40" t="str">
            <v>Building Components</v>
          </cell>
          <cell r="U40" t="str">
            <v>Miscellaneous Building Components</v>
          </cell>
        </row>
        <row r="41">
          <cell r="A41">
            <v>0</v>
          </cell>
          <cell r="D41" t="str">
            <v>RS Means</v>
          </cell>
          <cell r="K41">
            <v>0.81399999999999995</v>
          </cell>
          <cell r="L41">
            <v>2026</v>
          </cell>
          <cell r="N41">
            <v>0</v>
          </cell>
          <cell r="O41">
            <v>5</v>
          </cell>
          <cell r="P41">
            <v>0</v>
          </cell>
          <cell r="Q41">
            <v>0</v>
          </cell>
          <cell r="R41">
            <v>0</v>
          </cell>
          <cell r="S41" t="b">
            <v>0</v>
          </cell>
          <cell r="T41" t="str">
            <v>Building Components</v>
          </cell>
          <cell r="U41" t="str">
            <v>Miscellaneous Building Components</v>
          </cell>
        </row>
        <row r="42">
          <cell r="A42">
            <v>0</v>
          </cell>
          <cell r="D42" t="str">
            <v>RS Means</v>
          </cell>
          <cell r="K42">
            <v>0.81399999999999995</v>
          </cell>
          <cell r="L42">
            <v>2026</v>
          </cell>
          <cell r="N42">
            <v>0</v>
          </cell>
          <cell r="O42">
            <v>5</v>
          </cell>
          <cell r="P42">
            <v>0</v>
          </cell>
          <cell r="Q42">
            <v>0</v>
          </cell>
          <cell r="R42">
            <v>0</v>
          </cell>
          <cell r="S42" t="b">
            <v>0</v>
          </cell>
          <cell r="T42" t="str">
            <v>Building Components</v>
          </cell>
          <cell r="U42" t="str">
            <v>Miscellaneous Building Components</v>
          </cell>
        </row>
        <row r="43">
          <cell r="O43" t="str">
            <v>SUBTOTAL:</v>
          </cell>
          <cell r="P43">
            <v>10687.380000000001</v>
          </cell>
          <cell r="Q43">
            <v>2772.81</v>
          </cell>
          <cell r="R43">
            <v>13460.19</v>
          </cell>
        </row>
        <row r="44">
          <cell r="A44" t="str">
            <v>Moldings</v>
          </cell>
        </row>
        <row r="45">
          <cell r="A45">
            <v>0</v>
          </cell>
          <cell r="B45">
            <v>96513131100</v>
          </cell>
          <cell r="C45" t="str">
            <v>Wall base, rubber, straight or cove, standard colors, 4" high, 1/8" thick</v>
          </cell>
          <cell r="D45" t="str">
            <v>RS Means</v>
          </cell>
          <cell r="E45" t="str">
            <v>L.F.</v>
          </cell>
          <cell r="F45">
            <v>2.06</v>
          </cell>
          <cell r="G45">
            <v>1.54</v>
          </cell>
          <cell r="H45">
            <v>0</v>
          </cell>
          <cell r="I45">
            <v>3.6</v>
          </cell>
          <cell r="J45">
            <v>4.49</v>
          </cell>
          <cell r="K45">
            <v>0.81399999999999995</v>
          </cell>
          <cell r="L45">
            <v>2026</v>
          </cell>
          <cell r="N45">
            <v>0</v>
          </cell>
          <cell r="O45">
            <v>5</v>
          </cell>
          <cell r="P45">
            <v>0</v>
          </cell>
          <cell r="Q45">
            <v>0</v>
          </cell>
          <cell r="R45">
            <v>0</v>
          </cell>
          <cell r="S45" t="b">
            <v>0</v>
          </cell>
          <cell r="T45" t="str">
            <v>Building Components</v>
          </cell>
          <cell r="U45" t="str">
            <v>Miscellaneous Building Components</v>
          </cell>
        </row>
        <row r="46">
          <cell r="A46">
            <v>0</v>
          </cell>
          <cell r="B46">
            <v>96513131110</v>
          </cell>
          <cell r="C46" t="str">
            <v>Wall base, rubber, straight or cove, standard colors, 6" high, 1/8" thick</v>
          </cell>
          <cell r="D46" t="str">
            <v>RS Means</v>
          </cell>
          <cell r="E46" t="str">
            <v>L.F.</v>
          </cell>
          <cell r="F46">
            <v>3.73</v>
          </cell>
          <cell r="G46">
            <v>1.54</v>
          </cell>
          <cell r="H46">
            <v>0</v>
          </cell>
          <cell r="I46">
            <v>5.27</v>
          </cell>
          <cell r="J46">
            <v>6.3</v>
          </cell>
          <cell r="K46">
            <v>0.81399999999999995</v>
          </cell>
          <cell r="L46">
            <v>2026</v>
          </cell>
          <cell r="N46">
            <v>0</v>
          </cell>
          <cell r="O46">
            <v>5</v>
          </cell>
          <cell r="P46">
            <v>0</v>
          </cell>
          <cell r="Q46">
            <v>0</v>
          </cell>
          <cell r="R46">
            <v>0</v>
          </cell>
          <cell r="S46" t="b">
            <v>0</v>
          </cell>
          <cell r="T46" t="str">
            <v>Building Components</v>
          </cell>
          <cell r="U46" t="str">
            <v>Miscellaneous Building Components</v>
          </cell>
        </row>
        <row r="47">
          <cell r="A47">
            <v>2940</v>
          </cell>
          <cell r="B47">
            <v>62213155155</v>
          </cell>
          <cell r="C47" t="str">
            <v>Moldings, base, modern profile, 5/8" x 3-1/2", poplar</v>
          </cell>
          <cell r="D47" t="str">
            <v>RS Means</v>
          </cell>
          <cell r="E47" t="str">
            <v>L.F.</v>
          </cell>
          <cell r="F47">
            <v>1.37</v>
          </cell>
          <cell r="G47">
            <v>2.15</v>
          </cell>
          <cell r="H47">
            <v>0</v>
          </cell>
          <cell r="I47">
            <v>3.52</v>
          </cell>
          <cell r="J47">
            <v>4.6399999999999997</v>
          </cell>
          <cell r="K47">
            <v>0.81399999999999995</v>
          </cell>
          <cell r="L47">
            <v>2026</v>
          </cell>
          <cell r="N47">
            <v>11104.262399999998</v>
          </cell>
          <cell r="O47">
            <v>5</v>
          </cell>
          <cell r="P47">
            <v>3878.38</v>
          </cell>
          <cell r="Q47">
            <v>1006.23</v>
          </cell>
          <cell r="R47">
            <v>4884.6100000000006</v>
          </cell>
          <cell r="S47" t="b">
            <v>0</v>
          </cell>
          <cell r="T47" t="str">
            <v>Building Components</v>
          </cell>
          <cell r="U47" t="str">
            <v>Miscellaneous Building Components</v>
          </cell>
        </row>
        <row r="48">
          <cell r="A48">
            <v>0</v>
          </cell>
          <cell r="B48">
            <v>62213155105</v>
          </cell>
          <cell r="C48" t="str">
            <v>Moldings, base, classic profile, 5/8" x 5-1/2", poplar</v>
          </cell>
          <cell r="D48" t="str">
            <v>RS Means</v>
          </cell>
          <cell r="E48" t="str">
            <v>L.F.</v>
          </cell>
          <cell r="F48">
            <v>2.12</v>
          </cell>
          <cell r="G48">
            <v>2.15</v>
          </cell>
          <cell r="H48">
            <v>0</v>
          </cell>
          <cell r="I48">
            <v>4.2699999999999996</v>
          </cell>
          <cell r="J48">
            <v>5.45</v>
          </cell>
          <cell r="K48">
            <v>0.81399999999999995</v>
          </cell>
          <cell r="L48">
            <v>2026</v>
          </cell>
          <cell r="N48">
            <v>0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 t="b">
            <v>0</v>
          </cell>
          <cell r="T48" t="str">
            <v>Building Components</v>
          </cell>
          <cell r="U48" t="str">
            <v>Miscellaneous Building Components</v>
          </cell>
        </row>
        <row r="49">
          <cell r="A49">
            <v>0</v>
          </cell>
          <cell r="B49">
            <v>62213155130</v>
          </cell>
          <cell r="C49" t="str">
            <v>Moldings, base, classic profile, 3/4" x 7-1/2", poplar</v>
          </cell>
          <cell r="D49" t="str">
            <v>RS Means</v>
          </cell>
          <cell r="E49" t="str">
            <v>L.F.</v>
          </cell>
          <cell r="F49">
            <v>3.37</v>
          </cell>
          <cell r="G49">
            <v>2.15</v>
          </cell>
          <cell r="H49">
            <v>0</v>
          </cell>
          <cell r="I49">
            <v>5.52</v>
          </cell>
          <cell r="J49">
            <v>6.85</v>
          </cell>
          <cell r="K49">
            <v>0.81399999999999995</v>
          </cell>
          <cell r="L49">
            <v>2026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0</v>
          </cell>
          <cell r="S49" t="b">
            <v>0</v>
          </cell>
          <cell r="T49" t="str">
            <v>Building Components</v>
          </cell>
          <cell r="U49" t="str">
            <v>Miscellaneous Building Components</v>
          </cell>
        </row>
        <row r="50">
          <cell r="A50">
            <v>2940</v>
          </cell>
          <cell r="B50">
            <v>62213155325</v>
          </cell>
          <cell r="C50" t="str">
            <v>Moldings, base, shoe, 1/2" x 3/4", poplar</v>
          </cell>
          <cell r="D50" t="str">
            <v>RS Means</v>
          </cell>
          <cell r="E50" t="str">
            <v>L.F.</v>
          </cell>
          <cell r="F50">
            <v>0.59</v>
          </cell>
          <cell r="G50">
            <v>2.15</v>
          </cell>
          <cell r="H50">
            <v>0</v>
          </cell>
          <cell r="I50">
            <v>2.74</v>
          </cell>
          <cell r="J50">
            <v>3.78</v>
          </cell>
          <cell r="K50">
            <v>0.81399999999999995</v>
          </cell>
          <cell r="L50">
            <v>2026</v>
          </cell>
          <cell r="N50">
            <v>9046.1447999999982</v>
          </cell>
          <cell r="O50">
            <v>5</v>
          </cell>
          <cell r="P50">
            <v>3159.54</v>
          </cell>
          <cell r="Q50">
            <v>819.73</v>
          </cell>
          <cell r="R50">
            <v>3979.27</v>
          </cell>
          <cell r="S50" t="b">
            <v>0</v>
          </cell>
          <cell r="T50" t="str">
            <v>Building Components</v>
          </cell>
          <cell r="U50" t="str">
            <v>Miscellaneous Building Components</v>
          </cell>
        </row>
        <row r="51">
          <cell r="A51">
            <v>0</v>
          </cell>
          <cell r="B51">
            <v>62213300785</v>
          </cell>
          <cell r="C51" t="str">
            <v>Moldings, casings, ogee, 3/4" x 3-1/2", poplar</v>
          </cell>
          <cell r="D51" t="str">
            <v>RS Means</v>
          </cell>
          <cell r="E51" t="str">
            <v>L.F.</v>
          </cell>
          <cell r="F51">
            <v>1.53</v>
          </cell>
          <cell r="G51">
            <v>2.35</v>
          </cell>
          <cell r="H51">
            <v>0</v>
          </cell>
          <cell r="I51">
            <v>3.88</v>
          </cell>
          <cell r="J51">
            <v>5.0999999999999996</v>
          </cell>
          <cell r="K51">
            <v>0.81399999999999995</v>
          </cell>
          <cell r="L51">
            <v>2026</v>
          </cell>
          <cell r="N51">
            <v>0</v>
          </cell>
          <cell r="O51">
            <v>5</v>
          </cell>
          <cell r="P51">
            <v>0</v>
          </cell>
          <cell r="Q51">
            <v>0</v>
          </cell>
          <cell r="R51">
            <v>0</v>
          </cell>
          <cell r="S51" t="b">
            <v>0</v>
          </cell>
          <cell r="T51" t="str">
            <v>Building Components</v>
          </cell>
          <cell r="U51" t="str">
            <v>Miscellaneous Building Components</v>
          </cell>
        </row>
        <row r="52">
          <cell r="A52">
            <v>0</v>
          </cell>
          <cell r="B52">
            <v>62213352710</v>
          </cell>
          <cell r="C52" t="str">
            <v>Ceiling molding, crown, poplar, 3/4" x 1-3/4"</v>
          </cell>
          <cell r="D52" t="str">
            <v>RS Means</v>
          </cell>
          <cell r="E52" t="str">
            <v>L.F.</v>
          </cell>
          <cell r="F52">
            <v>1</v>
          </cell>
          <cell r="G52">
            <v>1.91</v>
          </cell>
          <cell r="H52">
            <v>0</v>
          </cell>
          <cell r="I52">
            <v>2.91</v>
          </cell>
          <cell r="J52">
            <v>3.88</v>
          </cell>
          <cell r="K52">
            <v>0.81399999999999995</v>
          </cell>
          <cell r="L52">
            <v>2026</v>
          </cell>
          <cell r="N52">
            <v>0</v>
          </cell>
          <cell r="O52">
            <v>5</v>
          </cell>
          <cell r="P52">
            <v>0</v>
          </cell>
          <cell r="Q52">
            <v>0</v>
          </cell>
          <cell r="R52">
            <v>0</v>
          </cell>
          <cell r="S52" t="b">
            <v>0</v>
          </cell>
          <cell r="T52" t="str">
            <v>Building Components</v>
          </cell>
          <cell r="U52" t="str">
            <v>Miscellaneous Building Components</v>
          </cell>
        </row>
        <row r="53">
          <cell r="A53">
            <v>0</v>
          </cell>
          <cell r="B53">
            <v>62213352790</v>
          </cell>
          <cell r="C53" t="str">
            <v>Ceiling molding, crown, poplar, 3/4" x 2-3/4"</v>
          </cell>
          <cell r="D53" t="str">
            <v>RS Means</v>
          </cell>
          <cell r="E53" t="str">
            <v>L.F.</v>
          </cell>
          <cell r="F53">
            <v>1.4</v>
          </cell>
          <cell r="G53">
            <v>1.95</v>
          </cell>
          <cell r="H53">
            <v>0</v>
          </cell>
          <cell r="I53">
            <v>3.35</v>
          </cell>
          <cell r="J53">
            <v>4.3899999999999997</v>
          </cell>
          <cell r="K53">
            <v>0.81399999999999995</v>
          </cell>
          <cell r="L53">
            <v>2026</v>
          </cell>
          <cell r="N53">
            <v>0</v>
          </cell>
          <cell r="O53">
            <v>5</v>
          </cell>
          <cell r="P53">
            <v>0</v>
          </cell>
          <cell r="Q53">
            <v>0</v>
          </cell>
          <cell r="R53">
            <v>0</v>
          </cell>
          <cell r="S53" t="b">
            <v>0</v>
          </cell>
          <cell r="T53" t="str">
            <v>Building Components</v>
          </cell>
          <cell r="U53" t="str">
            <v>Miscellaneous Building Components</v>
          </cell>
        </row>
        <row r="54">
          <cell r="A54">
            <v>0</v>
          </cell>
          <cell r="B54">
            <v>62213352600</v>
          </cell>
          <cell r="C54" t="str">
            <v>Ceiling molding, crown, pine, 9/16" x 3-5/8"</v>
          </cell>
          <cell r="D54" t="str">
            <v>RS Means</v>
          </cell>
          <cell r="E54" t="str">
            <v>L.F.</v>
          </cell>
          <cell r="F54">
            <v>1.56</v>
          </cell>
          <cell r="G54">
            <v>2.0699999999999998</v>
          </cell>
          <cell r="H54">
            <v>0</v>
          </cell>
          <cell r="I54">
            <v>3.63</v>
          </cell>
          <cell r="J54">
            <v>4.74</v>
          </cell>
          <cell r="K54">
            <v>0.81399999999999995</v>
          </cell>
          <cell r="L54">
            <v>2026</v>
          </cell>
          <cell r="N54">
            <v>0</v>
          </cell>
          <cell r="O54">
            <v>5</v>
          </cell>
          <cell r="P54">
            <v>0</v>
          </cell>
          <cell r="Q54">
            <v>0</v>
          </cell>
          <cell r="R54">
            <v>0</v>
          </cell>
          <cell r="S54" t="b">
            <v>0</v>
          </cell>
          <cell r="T54" t="str">
            <v>Building Components</v>
          </cell>
          <cell r="U54" t="str">
            <v>Miscellaneous Building Components</v>
          </cell>
        </row>
        <row r="55">
          <cell r="A55">
            <v>0</v>
          </cell>
          <cell r="B55">
            <v>62213352880</v>
          </cell>
          <cell r="C55" t="str">
            <v>Ceiling molding, crown, poplar, 3/4" x 5"</v>
          </cell>
          <cell r="D55" t="str">
            <v>RS Means</v>
          </cell>
          <cell r="E55" t="str">
            <v>L.F.</v>
          </cell>
          <cell r="F55">
            <v>2.09</v>
          </cell>
          <cell r="G55">
            <v>2.11</v>
          </cell>
          <cell r="H55">
            <v>0</v>
          </cell>
          <cell r="I55">
            <v>4.2</v>
          </cell>
          <cell r="J55">
            <v>5.4</v>
          </cell>
          <cell r="K55">
            <v>0.81399999999999995</v>
          </cell>
          <cell r="L55">
            <v>2026</v>
          </cell>
          <cell r="N55">
            <v>0</v>
          </cell>
          <cell r="O55">
            <v>5</v>
          </cell>
          <cell r="P55">
            <v>0</v>
          </cell>
          <cell r="Q55">
            <v>0</v>
          </cell>
          <cell r="R55">
            <v>0</v>
          </cell>
          <cell r="S55" t="b">
            <v>0</v>
          </cell>
          <cell r="T55" t="str">
            <v>Building Components</v>
          </cell>
          <cell r="U55" t="str">
            <v>Miscellaneous Building Components</v>
          </cell>
        </row>
        <row r="56">
          <cell r="A56">
            <v>0</v>
          </cell>
          <cell r="B56">
            <v>62213352930</v>
          </cell>
          <cell r="C56" t="str">
            <v>Ceiling molding, crown, poplar, 3/4" x 6-3/4"</v>
          </cell>
          <cell r="D56" t="str">
            <v>RS Means</v>
          </cell>
          <cell r="E56" t="str">
            <v>L.F.</v>
          </cell>
          <cell r="F56">
            <v>3.12</v>
          </cell>
          <cell r="G56">
            <v>2.15</v>
          </cell>
          <cell r="H56">
            <v>0</v>
          </cell>
          <cell r="I56">
            <v>5.27</v>
          </cell>
          <cell r="J56">
            <v>6.55</v>
          </cell>
          <cell r="K56">
            <v>0.81399999999999995</v>
          </cell>
          <cell r="L56">
            <v>2026</v>
          </cell>
          <cell r="N56">
            <v>0</v>
          </cell>
          <cell r="O56">
            <v>5</v>
          </cell>
          <cell r="P56">
            <v>0</v>
          </cell>
          <cell r="Q56">
            <v>0</v>
          </cell>
          <cell r="R56">
            <v>0</v>
          </cell>
          <cell r="S56" t="b">
            <v>0</v>
          </cell>
          <cell r="T56" t="str">
            <v>Building Components</v>
          </cell>
          <cell r="U56" t="str">
            <v>Miscellaneous Building Components</v>
          </cell>
        </row>
        <row r="57">
          <cell r="A57">
            <v>0</v>
          </cell>
          <cell r="B57">
            <v>62213352970</v>
          </cell>
          <cell r="C57" t="str">
            <v>Ceiling molding, crown, poplar, 7/8" x 8-3/4"</v>
          </cell>
          <cell r="D57" t="str">
            <v>RS Means</v>
          </cell>
          <cell r="E57" t="str">
            <v>L.F.</v>
          </cell>
          <cell r="F57">
            <v>6.45</v>
          </cell>
          <cell r="G57">
            <v>2.35</v>
          </cell>
          <cell r="H57">
            <v>0</v>
          </cell>
          <cell r="I57">
            <v>8.8000000000000007</v>
          </cell>
          <cell r="J57">
            <v>10.55</v>
          </cell>
          <cell r="K57">
            <v>0.81399999999999995</v>
          </cell>
          <cell r="L57">
            <v>2026</v>
          </cell>
          <cell r="N57">
            <v>0</v>
          </cell>
          <cell r="O57">
            <v>5</v>
          </cell>
          <cell r="P57">
            <v>0</v>
          </cell>
          <cell r="Q57">
            <v>0</v>
          </cell>
          <cell r="R57">
            <v>0</v>
          </cell>
          <cell r="S57" t="b">
            <v>0</v>
          </cell>
          <cell r="T57" t="str">
            <v>Building Components</v>
          </cell>
          <cell r="U57" t="str">
            <v>Miscellaneous Building Components</v>
          </cell>
        </row>
        <row r="58">
          <cell r="A58">
            <v>0</v>
          </cell>
          <cell r="B58">
            <v>62213450800</v>
          </cell>
          <cell r="C58" t="str">
            <v>Moldings, trim, chair rail, stock pine, 2-1/2" x 5/8" thick</v>
          </cell>
          <cell r="D58" t="str">
            <v>RS Means</v>
          </cell>
          <cell r="E58" t="str">
            <v>L.F.</v>
          </cell>
          <cell r="F58">
            <v>1.1000000000000001</v>
          </cell>
          <cell r="G58">
            <v>1.91</v>
          </cell>
          <cell r="H58">
            <v>0</v>
          </cell>
          <cell r="I58">
            <v>3.01</v>
          </cell>
          <cell r="J58">
            <v>4</v>
          </cell>
          <cell r="K58">
            <v>0.81399999999999995</v>
          </cell>
          <cell r="L58">
            <v>2026</v>
          </cell>
          <cell r="N58">
            <v>0</v>
          </cell>
          <cell r="O58">
            <v>5</v>
          </cell>
          <cell r="P58">
            <v>0</v>
          </cell>
          <cell r="Q58">
            <v>0</v>
          </cell>
          <cell r="R58">
            <v>0</v>
          </cell>
          <cell r="S58" t="b">
            <v>0</v>
          </cell>
          <cell r="T58" t="str">
            <v>Building Components</v>
          </cell>
          <cell r="U58" t="str">
            <v>Miscellaneous Building Components</v>
          </cell>
        </row>
        <row r="59">
          <cell r="A59">
            <v>0</v>
          </cell>
          <cell r="B59">
            <v>62213450900</v>
          </cell>
          <cell r="C59" t="str">
            <v>Moldings, trim, chair rail, stock pine, 3-1/2" x 5/8" thick</v>
          </cell>
          <cell r="D59" t="str">
            <v>RS Means</v>
          </cell>
          <cell r="E59" t="str">
            <v>L.F.</v>
          </cell>
          <cell r="F59">
            <v>2.09</v>
          </cell>
          <cell r="G59">
            <v>2.15</v>
          </cell>
          <cell r="H59">
            <v>0</v>
          </cell>
          <cell r="I59">
            <v>4.24</v>
          </cell>
          <cell r="J59">
            <v>5.45</v>
          </cell>
          <cell r="K59">
            <v>0.81399999999999995</v>
          </cell>
          <cell r="L59">
            <v>2026</v>
          </cell>
          <cell r="N59">
            <v>0</v>
          </cell>
          <cell r="O59">
            <v>5</v>
          </cell>
          <cell r="P59">
            <v>0</v>
          </cell>
          <cell r="Q59">
            <v>0</v>
          </cell>
          <cell r="R59">
            <v>0</v>
          </cell>
          <cell r="S59" t="b">
            <v>0</v>
          </cell>
          <cell r="T59" t="str">
            <v>Building Components</v>
          </cell>
          <cell r="U59" t="str">
            <v>Miscellaneous Building Components</v>
          </cell>
        </row>
        <row r="60">
          <cell r="A60">
            <v>0</v>
          </cell>
          <cell r="B60">
            <v>93113101000</v>
          </cell>
          <cell r="C60" t="str">
            <v>Ceramic tile, cove base, thin set, 6" x 4-1/4" h</v>
          </cell>
          <cell r="D60" t="str">
            <v>RS Means</v>
          </cell>
          <cell r="E60" t="str">
            <v>L.F.</v>
          </cell>
          <cell r="F60">
            <v>7.8</v>
          </cell>
          <cell r="G60">
            <v>6.45</v>
          </cell>
          <cell r="H60">
            <v>0</v>
          </cell>
          <cell r="I60">
            <v>14.25</v>
          </cell>
          <cell r="J60">
            <v>17.850000000000001</v>
          </cell>
          <cell r="K60">
            <v>0.81399999999999995</v>
          </cell>
          <cell r="L60">
            <v>2026</v>
          </cell>
          <cell r="N60">
            <v>0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 t="b">
            <v>0</v>
          </cell>
          <cell r="T60" t="str">
            <v>Building Components</v>
          </cell>
          <cell r="U60" t="str">
            <v>Miscellaneous Building Components</v>
          </cell>
        </row>
        <row r="61">
          <cell r="A61">
            <v>0</v>
          </cell>
          <cell r="B61">
            <v>96816105600</v>
          </cell>
          <cell r="C61" t="str">
            <v>Carpet, for bound carpet baseboard, add</v>
          </cell>
          <cell r="D61" t="str">
            <v>RS Means</v>
          </cell>
          <cell r="E61" t="str">
            <v>L.F.</v>
          </cell>
          <cell r="F61">
            <v>2.2200000000000002</v>
          </cell>
          <cell r="G61">
            <v>1.62</v>
          </cell>
          <cell r="H61">
            <v>0</v>
          </cell>
          <cell r="I61">
            <v>3.84</v>
          </cell>
          <cell r="J61">
            <v>4.7699999999999996</v>
          </cell>
          <cell r="K61">
            <v>0.81399999999999995</v>
          </cell>
          <cell r="L61">
            <v>2026</v>
          </cell>
          <cell r="N61">
            <v>0</v>
          </cell>
          <cell r="O61">
            <v>5</v>
          </cell>
          <cell r="P61">
            <v>0</v>
          </cell>
          <cell r="Q61">
            <v>0</v>
          </cell>
          <cell r="R61">
            <v>0</v>
          </cell>
          <cell r="S61" t="b">
            <v>0</v>
          </cell>
          <cell r="T61" t="str">
            <v>Building Components</v>
          </cell>
          <cell r="U61" t="str">
            <v>Miscellaneous Building Components</v>
          </cell>
        </row>
        <row r="62">
          <cell r="A62">
            <v>0</v>
          </cell>
          <cell r="B62">
            <v>93216100300</v>
          </cell>
          <cell r="C62" t="str">
            <v>Quarry tile, bullnose trim, red, mud set, 6" x 6" x 1/2" thick</v>
          </cell>
          <cell r="D62" t="str">
            <v>RS Means</v>
          </cell>
          <cell r="E62" t="str">
            <v>L.F.</v>
          </cell>
          <cell r="F62">
            <v>15.5</v>
          </cell>
          <cell r="G62">
            <v>7.35</v>
          </cell>
          <cell r="H62">
            <v>0</v>
          </cell>
          <cell r="I62">
            <v>22.85</v>
          </cell>
          <cell r="J62">
            <v>27.5</v>
          </cell>
          <cell r="K62">
            <v>0.81399999999999995</v>
          </cell>
          <cell r="L62">
            <v>2026</v>
          </cell>
          <cell r="N62">
            <v>0</v>
          </cell>
          <cell r="O62">
            <v>5</v>
          </cell>
          <cell r="P62">
            <v>0</v>
          </cell>
          <cell r="Q62">
            <v>0</v>
          </cell>
          <cell r="R62">
            <v>0</v>
          </cell>
          <cell r="S62" t="b">
            <v>0</v>
          </cell>
          <cell r="T62" t="str">
            <v>Building Components</v>
          </cell>
          <cell r="U62" t="str">
            <v>Miscellaneous Building Components</v>
          </cell>
        </row>
        <row r="63">
          <cell r="A63">
            <v>0</v>
          </cell>
          <cell r="D63" t="str">
            <v>RS Means</v>
          </cell>
          <cell r="K63">
            <v>0.81399999999999995</v>
          </cell>
          <cell r="L63">
            <v>2026</v>
          </cell>
          <cell r="N63">
            <v>0</v>
          </cell>
          <cell r="O63">
            <v>5</v>
          </cell>
          <cell r="P63">
            <v>0</v>
          </cell>
          <cell r="Q63">
            <v>0</v>
          </cell>
          <cell r="R63">
            <v>0</v>
          </cell>
          <cell r="S63" t="b">
            <v>0</v>
          </cell>
          <cell r="T63" t="str">
            <v>Building Components</v>
          </cell>
          <cell r="U63" t="str">
            <v>Miscellaneous Building Components</v>
          </cell>
        </row>
        <row r="64">
          <cell r="A64">
            <v>0</v>
          </cell>
          <cell r="D64" t="str">
            <v>RS Means</v>
          </cell>
          <cell r="K64">
            <v>0.81399999999999995</v>
          </cell>
          <cell r="L64">
            <v>2026</v>
          </cell>
          <cell r="N64">
            <v>0</v>
          </cell>
          <cell r="O64">
            <v>5</v>
          </cell>
          <cell r="P64">
            <v>0</v>
          </cell>
          <cell r="Q64">
            <v>0</v>
          </cell>
          <cell r="R64">
            <v>0</v>
          </cell>
          <cell r="S64" t="b">
            <v>0</v>
          </cell>
          <cell r="T64" t="str">
            <v>Building Components</v>
          </cell>
          <cell r="U64" t="str">
            <v>Miscellaneous Building Components</v>
          </cell>
        </row>
        <row r="65">
          <cell r="A65">
            <v>0</v>
          </cell>
          <cell r="D65" t="str">
            <v>RS Means</v>
          </cell>
          <cell r="K65">
            <v>0.81399999999999995</v>
          </cell>
          <cell r="L65">
            <v>2026</v>
          </cell>
          <cell r="N65">
            <v>0</v>
          </cell>
          <cell r="O65">
            <v>5</v>
          </cell>
          <cell r="P65">
            <v>0</v>
          </cell>
          <cell r="Q65">
            <v>0</v>
          </cell>
          <cell r="R65">
            <v>0</v>
          </cell>
          <cell r="S65" t="b">
            <v>0</v>
          </cell>
          <cell r="T65" t="str">
            <v>Building Components</v>
          </cell>
          <cell r="U65" t="str">
            <v>Miscellaneous Building Components</v>
          </cell>
        </row>
        <row r="66">
          <cell r="A66">
            <v>0</v>
          </cell>
          <cell r="D66" t="str">
            <v>RS Means</v>
          </cell>
          <cell r="K66">
            <v>0.81399999999999995</v>
          </cell>
          <cell r="L66">
            <v>2026</v>
          </cell>
          <cell r="N66">
            <v>0</v>
          </cell>
          <cell r="O66">
            <v>5</v>
          </cell>
          <cell r="P66">
            <v>0</v>
          </cell>
          <cell r="Q66">
            <v>0</v>
          </cell>
          <cell r="R66">
            <v>0</v>
          </cell>
          <cell r="S66" t="b">
            <v>0</v>
          </cell>
          <cell r="T66" t="str">
            <v>Building Components</v>
          </cell>
          <cell r="U66" t="str">
            <v>Miscellaneous Building Components</v>
          </cell>
        </row>
        <row r="67">
          <cell r="O67" t="str">
            <v>SUBTOTAL:</v>
          </cell>
          <cell r="P67">
            <v>7037.92</v>
          </cell>
          <cell r="Q67">
            <v>1825.96</v>
          </cell>
          <cell r="R67">
            <v>8863.880000000001</v>
          </cell>
        </row>
      </sheetData>
      <sheetData sheetId="4">
        <row r="3">
          <cell r="A3" t="str">
            <v>Qty</v>
          </cell>
          <cell r="B3" t="str">
            <v xml:space="preserve"> CSSI Number</v>
          </cell>
          <cell r="C3" t="str">
            <v>Description</v>
          </cell>
          <cell r="D3" t="str">
            <v>Cost Source</v>
          </cell>
          <cell r="E3" t="str">
            <v>Unit</v>
          </cell>
          <cell r="F3" t="str">
            <v>Bare Mat.</v>
          </cell>
          <cell r="G3" t="str">
            <v xml:space="preserve"> Bare Labor</v>
          </cell>
          <cell r="H3" t="str">
            <v>Bare Equip.</v>
          </cell>
          <cell r="I3" t="str">
            <v>Bare Total</v>
          </cell>
          <cell r="J3" t="str">
            <v>Bare Total O&amp;P</v>
          </cell>
          <cell r="K3" t="str">
            <v>Factor</v>
          </cell>
          <cell r="L3" t="str">
            <v>Release</v>
          </cell>
          <cell r="M3" t="str">
            <v>Notes / Comments</v>
          </cell>
          <cell r="N3" t="str">
            <v>Extended Cost</v>
          </cell>
          <cell r="O3" t="str">
            <v>Life</v>
          </cell>
          <cell r="P3" t="str">
            <v>Direct Cost / Relative Value</v>
          </cell>
          <cell r="Q3" t="str">
            <v>Allocated Fees</v>
          </cell>
          <cell r="R3" t="str">
            <v>Total Cost</v>
          </cell>
          <cell r="S3" t="str">
            <v>Disposal</v>
          </cell>
          <cell r="T3" t="str">
            <v>Category</v>
          </cell>
          <cell r="U3" t="str">
            <v>Building System</v>
          </cell>
        </row>
        <row r="4">
          <cell r="A4" t="str">
            <v>Flooring - Vinyl Tile</v>
          </cell>
        </row>
        <row r="5">
          <cell r="A5">
            <v>0</v>
          </cell>
          <cell r="B5">
            <v>96519197150</v>
          </cell>
          <cell r="C5" t="str">
            <v>Flooring, vinyl composition tile, solid, 12" x 12" x 1/16"</v>
          </cell>
          <cell r="D5" t="str">
            <v>RS Means</v>
          </cell>
          <cell r="E5" t="str">
            <v>S.F.</v>
          </cell>
          <cell r="F5">
            <v>1.95</v>
          </cell>
          <cell r="G5">
            <v>0.94</v>
          </cell>
          <cell r="H5">
            <v>0</v>
          </cell>
          <cell r="I5">
            <v>2.89</v>
          </cell>
          <cell r="J5">
            <v>3.51</v>
          </cell>
          <cell r="K5">
            <v>0.81399999999999995</v>
          </cell>
          <cell r="L5">
            <v>2025</v>
          </cell>
          <cell r="N5">
            <v>0</v>
          </cell>
          <cell r="O5">
            <v>5</v>
          </cell>
          <cell r="P5">
            <v>0</v>
          </cell>
          <cell r="Q5">
            <v>0</v>
          </cell>
          <cell r="R5">
            <v>0</v>
          </cell>
          <cell r="S5" t="b">
            <v>0</v>
          </cell>
          <cell r="T5" t="str">
            <v>Building Components</v>
          </cell>
          <cell r="U5" t="str">
            <v>Miscellaneous Building Components</v>
          </cell>
        </row>
        <row r="6">
          <cell r="A6">
            <v>0</v>
          </cell>
          <cell r="B6">
            <v>96519237700</v>
          </cell>
          <cell r="C6" t="str">
            <v>Flooring, vinyl tile, marbleized or Travertine pattern, 12" x 12"x 1/8"</v>
          </cell>
          <cell r="D6" t="str">
            <v>RS Means</v>
          </cell>
          <cell r="E6" t="str">
            <v>S.F.</v>
          </cell>
          <cell r="F6">
            <v>3.93</v>
          </cell>
          <cell r="G6">
            <v>0.97</v>
          </cell>
          <cell r="H6">
            <v>0</v>
          </cell>
          <cell r="I6">
            <v>4.9000000000000004</v>
          </cell>
          <cell r="J6">
            <v>5.7</v>
          </cell>
          <cell r="K6">
            <v>0.81399999999999995</v>
          </cell>
          <cell r="L6">
            <v>2026</v>
          </cell>
          <cell r="N6">
            <v>0</v>
          </cell>
          <cell r="O6">
            <v>5</v>
          </cell>
          <cell r="P6">
            <v>0</v>
          </cell>
          <cell r="Q6">
            <v>0</v>
          </cell>
          <cell r="R6">
            <v>0</v>
          </cell>
          <cell r="S6" t="b">
            <v>0</v>
          </cell>
          <cell r="T6" t="str">
            <v>Building Components</v>
          </cell>
          <cell r="U6" t="str">
            <v>Miscellaneous Building Components</v>
          </cell>
        </row>
        <row r="7">
          <cell r="A7">
            <v>0</v>
          </cell>
          <cell r="B7">
            <v>96519238000</v>
          </cell>
          <cell r="C7" t="str">
            <v>Resilient tile flooring, luxury vinyl, floating</v>
          </cell>
          <cell r="D7" t="str">
            <v>RS Means</v>
          </cell>
          <cell r="E7" t="str">
            <v>S.F.</v>
          </cell>
          <cell r="F7">
            <v>7.5</v>
          </cell>
          <cell r="G7">
            <v>0.97</v>
          </cell>
          <cell r="H7">
            <v>0</v>
          </cell>
          <cell r="I7">
            <v>8.4700000000000006</v>
          </cell>
          <cell r="J7">
            <v>9.65</v>
          </cell>
          <cell r="K7">
            <v>0.81399999999999995</v>
          </cell>
          <cell r="L7">
            <v>2026</v>
          </cell>
          <cell r="N7">
            <v>0</v>
          </cell>
          <cell r="O7">
            <v>5</v>
          </cell>
          <cell r="P7">
            <v>0</v>
          </cell>
          <cell r="Q7">
            <v>0</v>
          </cell>
          <cell r="R7">
            <v>0</v>
          </cell>
          <cell r="S7" t="b">
            <v>0</v>
          </cell>
          <cell r="T7" t="str">
            <v>Building Components</v>
          </cell>
          <cell r="U7" t="str">
            <v>Miscellaneous Building Components</v>
          </cell>
        </row>
        <row r="8">
          <cell r="A8">
            <v>0</v>
          </cell>
          <cell r="D8" t="str">
            <v>RS Means</v>
          </cell>
          <cell r="K8">
            <v>0.81399999999999995</v>
          </cell>
          <cell r="L8">
            <v>2026</v>
          </cell>
          <cell r="N8">
            <v>0</v>
          </cell>
          <cell r="O8">
            <v>5</v>
          </cell>
          <cell r="P8">
            <v>0</v>
          </cell>
          <cell r="Q8">
            <v>0</v>
          </cell>
          <cell r="R8">
            <v>0</v>
          </cell>
          <cell r="S8" t="b">
            <v>0</v>
          </cell>
          <cell r="T8" t="str">
            <v>Building Components</v>
          </cell>
          <cell r="U8" t="str">
            <v>Miscellaneous Building Components</v>
          </cell>
        </row>
        <row r="9">
          <cell r="A9">
            <v>0</v>
          </cell>
          <cell r="D9" t="str">
            <v>RS Means</v>
          </cell>
          <cell r="K9">
            <v>0.81399999999999995</v>
          </cell>
          <cell r="L9">
            <v>2026</v>
          </cell>
          <cell r="N9">
            <v>0</v>
          </cell>
          <cell r="O9">
            <v>5</v>
          </cell>
          <cell r="P9">
            <v>0</v>
          </cell>
          <cell r="Q9">
            <v>0</v>
          </cell>
          <cell r="R9">
            <v>0</v>
          </cell>
          <cell r="S9" t="b">
            <v>0</v>
          </cell>
          <cell r="T9" t="str">
            <v>Building Components</v>
          </cell>
          <cell r="U9" t="str">
            <v>Miscellaneous Building Components</v>
          </cell>
        </row>
        <row r="10">
          <cell r="A10">
            <v>0</v>
          </cell>
          <cell r="D10" t="str">
            <v>RS Means</v>
          </cell>
          <cell r="K10">
            <v>0.81399999999999995</v>
          </cell>
          <cell r="L10">
            <v>2026</v>
          </cell>
          <cell r="N10">
            <v>0</v>
          </cell>
          <cell r="O10">
            <v>5</v>
          </cell>
          <cell r="P10">
            <v>0</v>
          </cell>
          <cell r="Q10">
            <v>0</v>
          </cell>
          <cell r="R10">
            <v>0</v>
          </cell>
          <cell r="S10" t="b">
            <v>0</v>
          </cell>
          <cell r="T10" t="str">
            <v>Building Components</v>
          </cell>
          <cell r="U10" t="str">
            <v>Miscellaneous Building Components</v>
          </cell>
        </row>
        <row r="11">
          <cell r="A11">
            <v>0</v>
          </cell>
          <cell r="D11" t="str">
            <v>RS Means</v>
          </cell>
          <cell r="K11">
            <v>0.81399999999999995</v>
          </cell>
          <cell r="L11">
            <v>2026</v>
          </cell>
          <cell r="N11">
            <v>0</v>
          </cell>
          <cell r="O11">
            <v>5</v>
          </cell>
          <cell r="P11">
            <v>0</v>
          </cell>
          <cell r="Q11">
            <v>0</v>
          </cell>
          <cell r="R11">
            <v>0</v>
          </cell>
          <cell r="S11" t="b">
            <v>0</v>
          </cell>
          <cell r="T11" t="str">
            <v>Building Components</v>
          </cell>
          <cell r="U11" t="str">
            <v>Miscellaneous Building Components</v>
          </cell>
        </row>
        <row r="12">
          <cell r="O12" t="str">
            <v>SUBTOTAL: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Flooring - Seamless Vinyl</v>
          </cell>
        </row>
        <row r="14">
          <cell r="A14">
            <v>0</v>
          </cell>
          <cell r="B14">
            <v>96516105900</v>
          </cell>
          <cell r="C14" t="str">
            <v>Resilient flooring, rubber, sheet goods, 3' w, 1/8" thick</v>
          </cell>
          <cell r="D14" t="str">
            <v>RS Means</v>
          </cell>
          <cell r="E14" t="str">
            <v>S.F.</v>
          </cell>
          <cell r="F14">
            <v>3.81</v>
          </cell>
          <cell r="G14">
            <v>4.05</v>
          </cell>
          <cell r="H14">
            <v>0</v>
          </cell>
          <cell r="I14">
            <v>7.86</v>
          </cell>
          <cell r="J14">
            <v>10.050000000000001</v>
          </cell>
          <cell r="K14">
            <v>0.81399999999999995</v>
          </cell>
          <cell r="L14">
            <v>2026</v>
          </cell>
          <cell r="N14">
            <v>0</v>
          </cell>
          <cell r="O14">
            <v>5</v>
          </cell>
          <cell r="P14">
            <v>0</v>
          </cell>
          <cell r="Q14">
            <v>0</v>
          </cell>
          <cell r="R14">
            <v>0</v>
          </cell>
          <cell r="S14" t="b">
            <v>0</v>
          </cell>
          <cell r="T14" t="str">
            <v>Building Components</v>
          </cell>
          <cell r="U14" t="str">
            <v>Miscellaneous Building Components</v>
          </cell>
        </row>
        <row r="15">
          <cell r="A15">
            <v>0</v>
          </cell>
          <cell r="B15">
            <v>96516105950</v>
          </cell>
          <cell r="C15" t="str">
            <v>Resilient flooring, rubber, sheet goods, 3' w, 3/16" thick</v>
          </cell>
          <cell r="D15" t="str">
            <v>RS Means</v>
          </cell>
          <cell r="E15" t="str">
            <v>S.F.</v>
          </cell>
          <cell r="F15">
            <v>5.7</v>
          </cell>
          <cell r="G15">
            <v>4.8600000000000003</v>
          </cell>
          <cell r="H15">
            <v>0</v>
          </cell>
          <cell r="I15">
            <v>10.56</v>
          </cell>
          <cell r="J15">
            <v>13.3</v>
          </cell>
          <cell r="K15">
            <v>0.81399999999999995</v>
          </cell>
          <cell r="L15">
            <v>2026</v>
          </cell>
          <cell r="N15">
            <v>0</v>
          </cell>
          <cell r="O15">
            <v>5</v>
          </cell>
          <cell r="P15">
            <v>0</v>
          </cell>
          <cell r="Q15">
            <v>0</v>
          </cell>
          <cell r="R15">
            <v>0</v>
          </cell>
          <cell r="S15" t="b">
            <v>0</v>
          </cell>
          <cell r="T15" t="str">
            <v>Building Components</v>
          </cell>
          <cell r="U15" t="str">
            <v>Miscellaneous Building Components</v>
          </cell>
        </row>
        <row r="16">
          <cell r="A16">
            <v>0</v>
          </cell>
          <cell r="B16">
            <v>96516105500</v>
          </cell>
          <cell r="C16" t="str">
            <v>Resilient flooring, linoleum sheet goods</v>
          </cell>
          <cell r="D16" t="str">
            <v>RS Means</v>
          </cell>
          <cell r="E16" t="str">
            <v>S.F.</v>
          </cell>
          <cell r="F16">
            <v>5.2</v>
          </cell>
          <cell r="G16">
            <v>1.35</v>
          </cell>
          <cell r="H16">
            <v>0</v>
          </cell>
          <cell r="I16">
            <v>6.55</v>
          </cell>
          <cell r="J16">
            <v>7.7</v>
          </cell>
          <cell r="K16">
            <v>0.81399999999999995</v>
          </cell>
          <cell r="L16">
            <v>2026</v>
          </cell>
          <cell r="N16">
            <v>0</v>
          </cell>
          <cell r="O16">
            <v>5</v>
          </cell>
          <cell r="P16">
            <v>0</v>
          </cell>
          <cell r="Q16">
            <v>0</v>
          </cell>
          <cell r="R16">
            <v>0</v>
          </cell>
          <cell r="S16" t="b">
            <v>0</v>
          </cell>
          <cell r="T16" t="str">
            <v>Building Components</v>
          </cell>
          <cell r="U16" t="str">
            <v>Miscellaneous Building Components</v>
          </cell>
        </row>
        <row r="17">
          <cell r="A17">
            <v>0</v>
          </cell>
          <cell r="B17">
            <v>96516108000</v>
          </cell>
          <cell r="C17" t="str">
            <v>Resilient flooring, vinyl sheet goods, backed, plain pattern/colors, .065" thick</v>
          </cell>
          <cell r="D17" t="str">
            <v>RS Means</v>
          </cell>
          <cell r="E17" t="str">
            <v>S.F.</v>
          </cell>
          <cell r="F17">
            <v>4.96</v>
          </cell>
          <cell r="G17">
            <v>1.94</v>
          </cell>
          <cell r="H17">
            <v>0</v>
          </cell>
          <cell r="I17">
            <v>6.9</v>
          </cell>
          <cell r="J17">
            <v>8.25</v>
          </cell>
          <cell r="K17">
            <v>0.81399999999999995</v>
          </cell>
          <cell r="L17">
            <v>2026</v>
          </cell>
          <cell r="N17">
            <v>0</v>
          </cell>
          <cell r="O17">
            <v>5</v>
          </cell>
          <cell r="P17">
            <v>0</v>
          </cell>
          <cell r="Q17">
            <v>0</v>
          </cell>
          <cell r="R17">
            <v>0</v>
          </cell>
          <cell r="S17" t="b">
            <v>0</v>
          </cell>
          <cell r="T17" t="str">
            <v>Building Components</v>
          </cell>
          <cell r="U17" t="str">
            <v>Miscellaneous Building Components</v>
          </cell>
        </row>
        <row r="18">
          <cell r="A18">
            <v>0</v>
          </cell>
          <cell r="B18">
            <v>96566101000</v>
          </cell>
          <cell r="C18" t="str">
            <v>Resilient flooring, athletic, recycled rubber rolled goods, for weight rooms, 3/8" thick</v>
          </cell>
          <cell r="D18" t="str">
            <v>RS Means</v>
          </cell>
          <cell r="E18" t="str">
            <v>S.F.</v>
          </cell>
          <cell r="F18">
            <v>2.2799999999999998</v>
          </cell>
          <cell r="G18">
            <v>1.54</v>
          </cell>
          <cell r="H18">
            <v>0</v>
          </cell>
          <cell r="I18">
            <v>3.82</v>
          </cell>
          <cell r="J18">
            <v>4.7300000000000004</v>
          </cell>
          <cell r="K18">
            <v>0.81399999999999995</v>
          </cell>
          <cell r="L18">
            <v>2026</v>
          </cell>
          <cell r="N18">
            <v>0</v>
          </cell>
          <cell r="O18">
            <v>5</v>
          </cell>
          <cell r="P18">
            <v>0</v>
          </cell>
          <cell r="Q18">
            <v>0</v>
          </cell>
          <cell r="R18">
            <v>0</v>
          </cell>
          <cell r="S18" t="b">
            <v>0</v>
          </cell>
          <cell r="T18" t="str">
            <v>Building Components</v>
          </cell>
          <cell r="U18" t="str">
            <v>Miscellaneous Building Components</v>
          </cell>
        </row>
        <row r="19">
          <cell r="A19">
            <v>0</v>
          </cell>
          <cell r="D19" t="str">
            <v>RS Means</v>
          </cell>
          <cell r="K19">
            <v>0.81399999999999995</v>
          </cell>
          <cell r="L19">
            <v>2026</v>
          </cell>
          <cell r="N19">
            <v>0</v>
          </cell>
          <cell r="O19">
            <v>5</v>
          </cell>
          <cell r="P19">
            <v>0</v>
          </cell>
          <cell r="Q19">
            <v>0</v>
          </cell>
          <cell r="R19">
            <v>0</v>
          </cell>
          <cell r="S19" t="b">
            <v>0</v>
          </cell>
          <cell r="T19" t="str">
            <v>Building Components</v>
          </cell>
          <cell r="U19" t="str">
            <v>Miscellaneous Building Components</v>
          </cell>
        </row>
        <row r="20">
          <cell r="A20">
            <v>0</v>
          </cell>
          <cell r="D20" t="str">
            <v>RS Means</v>
          </cell>
          <cell r="K20">
            <v>0.81399999999999995</v>
          </cell>
          <cell r="L20">
            <v>2026</v>
          </cell>
          <cell r="N20">
            <v>0</v>
          </cell>
          <cell r="O20">
            <v>5</v>
          </cell>
          <cell r="P20">
            <v>0</v>
          </cell>
          <cell r="Q20">
            <v>0</v>
          </cell>
          <cell r="R20">
            <v>0</v>
          </cell>
          <cell r="S20" t="b">
            <v>0</v>
          </cell>
          <cell r="T20" t="str">
            <v>Building Components</v>
          </cell>
          <cell r="U20" t="str">
            <v>Miscellaneous Building Components</v>
          </cell>
        </row>
        <row r="21">
          <cell r="A21">
            <v>0</v>
          </cell>
          <cell r="D21" t="str">
            <v>RS Means</v>
          </cell>
          <cell r="K21">
            <v>0.81399999999999995</v>
          </cell>
          <cell r="L21">
            <v>2026</v>
          </cell>
          <cell r="N21">
            <v>0</v>
          </cell>
          <cell r="O21">
            <v>5</v>
          </cell>
          <cell r="P21">
            <v>0</v>
          </cell>
          <cell r="Q21">
            <v>0</v>
          </cell>
          <cell r="R21">
            <v>0</v>
          </cell>
          <cell r="S21" t="b">
            <v>0</v>
          </cell>
          <cell r="T21" t="str">
            <v>Building Components</v>
          </cell>
          <cell r="U21" t="str">
            <v>Miscellaneous Building Components</v>
          </cell>
        </row>
        <row r="22">
          <cell r="A22">
            <v>0</v>
          </cell>
          <cell r="D22" t="str">
            <v>RS Means</v>
          </cell>
          <cell r="K22">
            <v>0.81399999999999995</v>
          </cell>
          <cell r="L22">
            <v>2026</v>
          </cell>
          <cell r="N22">
            <v>0</v>
          </cell>
          <cell r="O22">
            <v>5</v>
          </cell>
          <cell r="P22">
            <v>0</v>
          </cell>
          <cell r="Q22">
            <v>0</v>
          </cell>
          <cell r="R22">
            <v>0</v>
          </cell>
          <cell r="S22" t="b">
            <v>0</v>
          </cell>
          <cell r="T22" t="str">
            <v>Building Components</v>
          </cell>
          <cell r="U22" t="str">
            <v>Miscellaneous Building Components</v>
          </cell>
        </row>
        <row r="23">
          <cell r="O23" t="str">
            <v>SUBTOTAL: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Flooring - Carpet</v>
          </cell>
        </row>
        <row r="25">
          <cell r="A25">
            <v>0</v>
          </cell>
          <cell r="B25">
            <v>96816103000</v>
          </cell>
          <cell r="C25" t="str">
            <v>Carpet, commercial grades, direct cement, nylon, plush, 36 oz., medium traffic</v>
          </cell>
          <cell r="D25" t="str">
            <v>RS Means</v>
          </cell>
          <cell r="E25" t="str">
            <v>S.Y.</v>
          </cell>
          <cell r="F25">
            <v>42</v>
          </cell>
          <cell r="G25">
            <v>6.45</v>
          </cell>
          <cell r="H25">
            <v>0</v>
          </cell>
          <cell r="I25">
            <v>48.45</v>
          </cell>
          <cell r="J25">
            <v>56</v>
          </cell>
          <cell r="K25">
            <v>0.81399999999999995</v>
          </cell>
          <cell r="L25">
            <v>2026</v>
          </cell>
          <cell r="N25">
            <v>0</v>
          </cell>
          <cell r="O25">
            <v>5</v>
          </cell>
          <cell r="P25">
            <v>0</v>
          </cell>
          <cell r="Q25">
            <v>0</v>
          </cell>
          <cell r="R25">
            <v>0</v>
          </cell>
          <cell r="S25" t="b">
            <v>0</v>
          </cell>
          <cell r="T25" t="str">
            <v>Building Components</v>
          </cell>
          <cell r="U25" t="str">
            <v>Miscellaneous Building Components</v>
          </cell>
        </row>
        <row r="26">
          <cell r="A26">
            <v>0</v>
          </cell>
          <cell r="B26">
            <v>96816103200</v>
          </cell>
          <cell r="C26" t="str">
            <v>Carpet, commercial grades, direct cement, nylon, plush, 46 oz., medium to heavy traffic</v>
          </cell>
          <cell r="D26" t="str">
            <v>RS Means</v>
          </cell>
          <cell r="E26" t="str">
            <v>S.Y.</v>
          </cell>
          <cell r="F26">
            <v>59</v>
          </cell>
          <cell r="G26">
            <v>6.95</v>
          </cell>
          <cell r="H26">
            <v>0</v>
          </cell>
          <cell r="I26">
            <v>65.95</v>
          </cell>
          <cell r="J26">
            <v>75</v>
          </cell>
          <cell r="K26">
            <v>0.81399999999999995</v>
          </cell>
          <cell r="L26">
            <v>2026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  <cell r="R26">
            <v>0</v>
          </cell>
          <cell r="S26" t="b">
            <v>0</v>
          </cell>
          <cell r="T26" t="str">
            <v>Building Components</v>
          </cell>
          <cell r="U26" t="str">
            <v>Miscellaneous Building Components</v>
          </cell>
        </row>
        <row r="27">
          <cell r="A27">
            <v>0</v>
          </cell>
          <cell r="B27">
            <v>96816103340</v>
          </cell>
          <cell r="C27" t="str">
            <v>Carpet, commercial grades, direct cement, nylon, plush, 60 oz., heavy traffic</v>
          </cell>
          <cell r="D27" t="str">
            <v>RS Means</v>
          </cell>
          <cell r="E27" t="str">
            <v>S.Y.</v>
          </cell>
          <cell r="F27">
            <v>75.5</v>
          </cell>
          <cell r="G27">
            <v>6.95</v>
          </cell>
          <cell r="H27">
            <v>0</v>
          </cell>
          <cell r="I27">
            <v>82.45</v>
          </cell>
          <cell r="J27">
            <v>93</v>
          </cell>
          <cell r="K27">
            <v>0.81399999999999995</v>
          </cell>
          <cell r="L27">
            <v>2026</v>
          </cell>
          <cell r="N27">
            <v>0</v>
          </cell>
          <cell r="O27">
            <v>5</v>
          </cell>
          <cell r="P27">
            <v>0</v>
          </cell>
          <cell r="Q27">
            <v>0</v>
          </cell>
          <cell r="R27">
            <v>0</v>
          </cell>
          <cell r="S27" t="b">
            <v>0</v>
          </cell>
          <cell r="T27" t="str">
            <v>Building Components</v>
          </cell>
          <cell r="U27" t="str">
            <v>Miscellaneous Building Components</v>
          </cell>
        </row>
        <row r="28">
          <cell r="A28">
            <v>0</v>
          </cell>
          <cell r="B28">
            <v>96810109400</v>
          </cell>
          <cell r="C28" t="str">
            <v>Carpet pad, 2.7 density, for tackless, stretched installation, add padding to above, bonded urethane</v>
          </cell>
          <cell r="D28" t="str">
            <v>RS Means</v>
          </cell>
          <cell r="E28" t="str">
            <v>S.Y.</v>
          </cell>
          <cell r="F28">
            <v>6.5</v>
          </cell>
          <cell r="G28">
            <v>3.24</v>
          </cell>
          <cell r="H28">
            <v>0</v>
          </cell>
          <cell r="I28">
            <v>9.74</v>
          </cell>
          <cell r="J28">
            <v>11.8</v>
          </cell>
          <cell r="K28">
            <v>0.81399999999999995</v>
          </cell>
          <cell r="L28">
            <v>2026</v>
          </cell>
          <cell r="N28">
            <v>0</v>
          </cell>
          <cell r="O28">
            <v>5</v>
          </cell>
          <cell r="P28">
            <v>0</v>
          </cell>
          <cell r="Q28">
            <v>0</v>
          </cell>
          <cell r="R28">
            <v>0</v>
          </cell>
          <cell r="S28" t="b">
            <v>0</v>
          </cell>
          <cell r="T28" t="str">
            <v>Building Components</v>
          </cell>
          <cell r="U28" t="str">
            <v>Miscellaneous Building Components</v>
          </cell>
        </row>
        <row r="29">
          <cell r="A29">
            <v>0</v>
          </cell>
          <cell r="D29" t="str">
            <v>RS Means</v>
          </cell>
          <cell r="K29">
            <v>0.81399999999999995</v>
          </cell>
          <cell r="L29">
            <v>2026</v>
          </cell>
          <cell r="N29">
            <v>0</v>
          </cell>
          <cell r="O29">
            <v>5</v>
          </cell>
          <cell r="P29">
            <v>0</v>
          </cell>
          <cell r="Q29">
            <v>0</v>
          </cell>
          <cell r="R29">
            <v>0</v>
          </cell>
          <cell r="S29" t="b">
            <v>0</v>
          </cell>
          <cell r="T29" t="str">
            <v>Building Components</v>
          </cell>
          <cell r="U29" t="str">
            <v>Miscellaneous Building Components</v>
          </cell>
        </row>
        <row r="30">
          <cell r="A30">
            <v>0</v>
          </cell>
          <cell r="D30" t="str">
            <v>RS Means</v>
          </cell>
          <cell r="K30">
            <v>0.81399999999999995</v>
          </cell>
          <cell r="L30">
            <v>2026</v>
          </cell>
          <cell r="N30">
            <v>0</v>
          </cell>
          <cell r="O30">
            <v>5</v>
          </cell>
          <cell r="P30">
            <v>0</v>
          </cell>
          <cell r="Q30">
            <v>0</v>
          </cell>
          <cell r="R30">
            <v>0</v>
          </cell>
          <cell r="S30" t="b">
            <v>0</v>
          </cell>
          <cell r="T30" t="str">
            <v>Building Components</v>
          </cell>
          <cell r="U30" t="str">
            <v>Miscellaneous Building Components</v>
          </cell>
        </row>
        <row r="31">
          <cell r="A31">
            <v>0</v>
          </cell>
          <cell r="D31" t="str">
            <v>RS Means</v>
          </cell>
          <cell r="K31">
            <v>0.81399999999999995</v>
          </cell>
          <cell r="L31">
            <v>2026</v>
          </cell>
          <cell r="N31">
            <v>0</v>
          </cell>
          <cell r="O31">
            <v>5</v>
          </cell>
          <cell r="P31">
            <v>0</v>
          </cell>
          <cell r="Q31">
            <v>0</v>
          </cell>
          <cell r="R31">
            <v>0</v>
          </cell>
          <cell r="S31" t="b">
            <v>0</v>
          </cell>
          <cell r="T31" t="str">
            <v>Building Components</v>
          </cell>
          <cell r="U31" t="str">
            <v>Miscellaneous Building Components</v>
          </cell>
        </row>
        <row r="32">
          <cell r="A32">
            <v>0</v>
          </cell>
          <cell r="D32" t="str">
            <v>RS Means</v>
          </cell>
          <cell r="K32">
            <v>0.81399999999999995</v>
          </cell>
          <cell r="L32">
            <v>2026</v>
          </cell>
          <cell r="N32">
            <v>0</v>
          </cell>
          <cell r="O32">
            <v>5</v>
          </cell>
          <cell r="P32">
            <v>0</v>
          </cell>
          <cell r="Q32">
            <v>0</v>
          </cell>
          <cell r="R32">
            <v>0</v>
          </cell>
          <cell r="S32" t="b">
            <v>0</v>
          </cell>
          <cell r="T32" t="str">
            <v>Building Components</v>
          </cell>
          <cell r="U32" t="str">
            <v>Miscellaneous Building Components</v>
          </cell>
        </row>
        <row r="33">
          <cell r="O33" t="str">
            <v>SUBTOTAL: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Wood Flooring</v>
          </cell>
        </row>
        <row r="35">
          <cell r="A35">
            <v>0</v>
          </cell>
          <cell r="B35">
            <v>96429106200</v>
          </cell>
          <cell r="C35" t="str">
            <v>Wood strip flooring, prefinished, white oak, prime grade, 3-1/4" wide</v>
          </cell>
          <cell r="D35" t="str">
            <v>RS Means</v>
          </cell>
          <cell r="E35" t="str">
            <v>S.F.</v>
          </cell>
          <cell r="F35">
            <v>5.7</v>
          </cell>
          <cell r="G35">
            <v>2.79</v>
          </cell>
          <cell r="H35">
            <v>0</v>
          </cell>
          <cell r="I35">
            <v>8.49</v>
          </cell>
          <cell r="J35">
            <v>10.4</v>
          </cell>
          <cell r="K35">
            <v>0.81399999999999995</v>
          </cell>
          <cell r="L35">
            <v>2026</v>
          </cell>
          <cell r="N35">
            <v>0</v>
          </cell>
          <cell r="O35">
            <v>5</v>
          </cell>
          <cell r="P35">
            <v>0</v>
          </cell>
          <cell r="Q35">
            <v>0</v>
          </cell>
          <cell r="R35">
            <v>0</v>
          </cell>
          <cell r="S35" t="b">
            <v>0</v>
          </cell>
          <cell r="T35" t="str">
            <v>Building Components</v>
          </cell>
          <cell r="U35" t="str">
            <v>Miscellaneous Building Components</v>
          </cell>
        </row>
        <row r="36">
          <cell r="A36">
            <v>0</v>
          </cell>
          <cell r="B36">
            <v>96429104300</v>
          </cell>
          <cell r="C36" t="str">
            <v>Wood strip flooring, maple, #1 grade, 33/32" x 3-1/4", excl. finish</v>
          </cell>
          <cell r="D36" t="str">
            <v>RS Means</v>
          </cell>
          <cell r="E36" t="str">
            <v>S.F.</v>
          </cell>
          <cell r="F36">
            <v>5.65</v>
          </cell>
          <cell r="G36">
            <v>3.04</v>
          </cell>
          <cell r="H36">
            <v>0</v>
          </cell>
          <cell r="I36">
            <v>8.69</v>
          </cell>
          <cell r="J36">
            <v>10.7</v>
          </cell>
          <cell r="K36">
            <v>0.81399999999999995</v>
          </cell>
          <cell r="L36">
            <v>2026</v>
          </cell>
          <cell r="N36">
            <v>0</v>
          </cell>
          <cell r="O36">
            <v>5</v>
          </cell>
          <cell r="P36">
            <v>0</v>
          </cell>
          <cell r="Q36">
            <v>0</v>
          </cell>
          <cell r="R36">
            <v>0</v>
          </cell>
          <cell r="S36" t="b">
            <v>0</v>
          </cell>
          <cell r="T36" t="str">
            <v>Building Components</v>
          </cell>
          <cell r="U36" t="str">
            <v>Miscellaneous Building Components</v>
          </cell>
        </row>
        <row r="37">
          <cell r="A37">
            <v>0</v>
          </cell>
          <cell r="B37">
            <v>96423106700</v>
          </cell>
          <cell r="C37" t="str">
            <v>Parquetry, oak, plain pattern, 5/16" thick</v>
          </cell>
          <cell r="D37" t="str">
            <v>RS Means</v>
          </cell>
          <cell r="E37" t="str">
            <v>S.F.</v>
          </cell>
          <cell r="F37">
            <v>14.5</v>
          </cell>
          <cell r="G37">
            <v>3.23</v>
          </cell>
          <cell r="H37">
            <v>0</v>
          </cell>
          <cell r="I37">
            <v>17.73</v>
          </cell>
          <cell r="J37">
            <v>20.5</v>
          </cell>
          <cell r="K37">
            <v>0.81399999999999995</v>
          </cell>
          <cell r="L37">
            <v>2026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 t="b">
            <v>0</v>
          </cell>
          <cell r="T37" t="str">
            <v>Building Components</v>
          </cell>
          <cell r="U37" t="str">
            <v>Miscellaneous Building Components</v>
          </cell>
        </row>
        <row r="38">
          <cell r="A38">
            <v>0</v>
          </cell>
          <cell r="B38">
            <v>96429107800</v>
          </cell>
          <cell r="C38" t="str">
            <v>Wood strip flooring, sanding &amp; finishing, 2 coats polyurethane</v>
          </cell>
          <cell r="D38" t="str">
            <v>RS Means</v>
          </cell>
          <cell r="E38" t="str">
            <v>S.F.</v>
          </cell>
          <cell r="F38">
            <v>0.34</v>
          </cell>
          <cell r="G38">
            <v>1.38</v>
          </cell>
          <cell r="H38">
            <v>0</v>
          </cell>
          <cell r="I38">
            <v>1.72</v>
          </cell>
          <cell r="J38">
            <v>2.39</v>
          </cell>
          <cell r="K38">
            <v>0.81399999999999995</v>
          </cell>
          <cell r="L38">
            <v>2026</v>
          </cell>
          <cell r="N38">
            <v>0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 t="b">
            <v>0</v>
          </cell>
          <cell r="T38" t="str">
            <v>Building Components</v>
          </cell>
          <cell r="U38" t="str">
            <v>Miscellaneous Building Components</v>
          </cell>
        </row>
        <row r="39">
          <cell r="A39">
            <v>0</v>
          </cell>
          <cell r="D39" t="str">
            <v>RS Means</v>
          </cell>
          <cell r="K39">
            <v>0.81399999999999995</v>
          </cell>
          <cell r="L39">
            <v>2026</v>
          </cell>
          <cell r="N39">
            <v>0</v>
          </cell>
          <cell r="O39">
            <v>5</v>
          </cell>
          <cell r="P39">
            <v>0</v>
          </cell>
          <cell r="Q39">
            <v>0</v>
          </cell>
          <cell r="R39">
            <v>0</v>
          </cell>
          <cell r="S39" t="b">
            <v>0</v>
          </cell>
          <cell r="T39" t="str">
            <v>Building Components</v>
          </cell>
          <cell r="U39" t="str">
            <v>Miscellaneous Building Components</v>
          </cell>
        </row>
        <row r="40">
          <cell r="A40">
            <v>0</v>
          </cell>
          <cell r="D40" t="str">
            <v>RS Means</v>
          </cell>
          <cell r="K40">
            <v>0.81399999999999995</v>
          </cell>
          <cell r="L40">
            <v>2026</v>
          </cell>
          <cell r="N40">
            <v>0</v>
          </cell>
          <cell r="O40">
            <v>5</v>
          </cell>
          <cell r="P40">
            <v>0</v>
          </cell>
          <cell r="Q40">
            <v>0</v>
          </cell>
          <cell r="R40">
            <v>0</v>
          </cell>
          <cell r="S40" t="b">
            <v>0</v>
          </cell>
          <cell r="T40" t="str">
            <v>Building Components</v>
          </cell>
          <cell r="U40" t="str">
            <v>Miscellaneous Building Components</v>
          </cell>
        </row>
        <row r="41">
          <cell r="A41">
            <v>0</v>
          </cell>
          <cell r="D41" t="str">
            <v>RS Means</v>
          </cell>
          <cell r="K41">
            <v>0.81399999999999995</v>
          </cell>
          <cell r="L41">
            <v>2026</v>
          </cell>
          <cell r="N41">
            <v>0</v>
          </cell>
          <cell r="O41">
            <v>5</v>
          </cell>
          <cell r="P41">
            <v>0</v>
          </cell>
          <cell r="Q41">
            <v>0</v>
          </cell>
          <cell r="R41">
            <v>0</v>
          </cell>
          <cell r="S41" t="b">
            <v>0</v>
          </cell>
          <cell r="T41" t="str">
            <v>Building Components</v>
          </cell>
          <cell r="U41" t="str">
            <v>Miscellaneous Building Components</v>
          </cell>
        </row>
        <row r="42">
          <cell r="A42">
            <v>0</v>
          </cell>
          <cell r="D42" t="str">
            <v>RS Means</v>
          </cell>
          <cell r="K42">
            <v>0.81399999999999995</v>
          </cell>
          <cell r="L42">
            <v>2026</v>
          </cell>
          <cell r="N42">
            <v>0</v>
          </cell>
          <cell r="O42">
            <v>5</v>
          </cell>
          <cell r="P42">
            <v>0</v>
          </cell>
          <cell r="Q42">
            <v>0</v>
          </cell>
          <cell r="R42">
            <v>0</v>
          </cell>
          <cell r="S42" t="b">
            <v>0</v>
          </cell>
          <cell r="T42" t="str">
            <v>Building Components</v>
          </cell>
          <cell r="U42" t="str">
            <v>Miscellaneous Building Components</v>
          </cell>
        </row>
        <row r="43">
          <cell r="O43" t="str">
            <v>SUBTOTAL: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Special Kitchen Flooring</v>
          </cell>
        </row>
        <row r="45">
          <cell r="A45">
            <v>0</v>
          </cell>
          <cell r="B45">
            <v>93216100700</v>
          </cell>
          <cell r="C45" t="str">
            <v>Quarry tile, floors, mud set, red, 4" x 4" x 1/2" thick, 1,000 S.F. lots</v>
          </cell>
          <cell r="D45" t="str">
            <v>RS Means</v>
          </cell>
          <cell r="E45" t="str">
            <v>S.F.</v>
          </cell>
          <cell r="F45">
            <v>12.85</v>
          </cell>
          <cell r="G45">
            <v>7.35</v>
          </cell>
          <cell r="H45">
            <v>0</v>
          </cell>
          <cell r="I45">
            <v>20.2</v>
          </cell>
          <cell r="J45">
            <v>24.5</v>
          </cell>
          <cell r="K45">
            <v>0.81399999999999995</v>
          </cell>
          <cell r="L45">
            <v>2026</v>
          </cell>
          <cell r="N45">
            <v>0</v>
          </cell>
          <cell r="O45">
            <v>5</v>
          </cell>
          <cell r="P45">
            <v>0</v>
          </cell>
          <cell r="Q45">
            <v>0</v>
          </cell>
          <cell r="R45">
            <v>0</v>
          </cell>
          <cell r="S45" t="b">
            <v>0</v>
          </cell>
          <cell r="T45" t="str">
            <v>Building Components</v>
          </cell>
          <cell r="U45" t="str">
            <v>Miscellaneous Building Components</v>
          </cell>
        </row>
        <row r="46">
          <cell r="A46">
            <v>0</v>
          </cell>
          <cell r="B46">
            <v>93216100900</v>
          </cell>
          <cell r="C46" t="str">
            <v>Quarry tile, floors, mud set, red, 6" x 6" x 1/2" thick, 3/4" thick P.C. bed, 1,000 S.F. lots</v>
          </cell>
          <cell r="D46" t="str">
            <v>RS Means</v>
          </cell>
          <cell r="E46" t="str">
            <v>S.F.</v>
          </cell>
          <cell r="F46">
            <v>12.6</v>
          </cell>
          <cell r="G46">
            <v>6.1</v>
          </cell>
          <cell r="H46">
            <v>0</v>
          </cell>
          <cell r="I46">
            <v>18.7</v>
          </cell>
          <cell r="J46">
            <v>22.5</v>
          </cell>
          <cell r="K46">
            <v>0.81399999999999995</v>
          </cell>
          <cell r="L46">
            <v>2025</v>
          </cell>
          <cell r="N46">
            <v>0</v>
          </cell>
          <cell r="O46">
            <v>5</v>
          </cell>
          <cell r="P46">
            <v>0</v>
          </cell>
          <cell r="Q46">
            <v>0</v>
          </cell>
          <cell r="R46">
            <v>0</v>
          </cell>
          <cell r="S46" t="b">
            <v>0</v>
          </cell>
          <cell r="T46" t="str">
            <v>Building Components</v>
          </cell>
          <cell r="U46" t="str">
            <v>Miscellaneous Building Components</v>
          </cell>
        </row>
        <row r="47">
          <cell r="A47">
            <v>0</v>
          </cell>
          <cell r="B47">
            <v>96313100560</v>
          </cell>
          <cell r="C47" t="str">
            <v>Brick flooring, pavers, ironspot, 4" x 8" x 1-3/8" to 1-3/4" thick</v>
          </cell>
          <cell r="D47" t="str">
            <v>RS Means</v>
          </cell>
          <cell r="E47" t="str">
            <v>S.F.</v>
          </cell>
          <cell r="F47">
            <v>10.199999999999999</v>
          </cell>
          <cell r="G47">
            <v>9.65</v>
          </cell>
          <cell r="H47">
            <v>0</v>
          </cell>
          <cell r="I47">
            <v>19.850000000000001</v>
          </cell>
          <cell r="J47">
            <v>25.5</v>
          </cell>
          <cell r="K47">
            <v>0.81399999999999995</v>
          </cell>
          <cell r="L47">
            <v>2026</v>
          </cell>
          <cell r="N47">
            <v>0</v>
          </cell>
          <cell r="O47">
            <v>5</v>
          </cell>
          <cell r="P47">
            <v>0</v>
          </cell>
          <cell r="Q47">
            <v>0</v>
          </cell>
          <cell r="R47">
            <v>0</v>
          </cell>
          <cell r="S47" t="b">
            <v>0</v>
          </cell>
          <cell r="T47" t="str">
            <v>Building Components</v>
          </cell>
          <cell r="U47" t="str">
            <v>Miscellaneous Building Components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">
          <cell r="H2" t="str">
            <v>Auto Sales with Repair</v>
          </cell>
        </row>
        <row r="3">
          <cell r="H3" t="str">
            <v>Bank</v>
          </cell>
        </row>
        <row r="4">
          <cell r="H4" t="str">
            <v>Court House</v>
          </cell>
        </row>
        <row r="5">
          <cell r="H5" t="str">
            <v>Data Center</v>
          </cell>
        </row>
        <row r="6">
          <cell r="H6" t="str">
            <v>Detention Center</v>
          </cell>
        </row>
        <row r="7">
          <cell r="H7" t="str">
            <v>Fire Station</v>
          </cell>
        </row>
        <row r="8">
          <cell r="H8" t="str">
            <v>Gymnasium</v>
          </cell>
        </row>
        <row r="9">
          <cell r="H9" t="str">
            <v>Hospital</v>
          </cell>
        </row>
        <row r="10">
          <cell r="H10" t="str">
            <v>Industrial Building</v>
          </cell>
        </row>
        <row r="11">
          <cell r="H11" t="str">
            <v>Medical Clinic &amp; Office</v>
          </cell>
        </row>
        <row r="12">
          <cell r="H12" t="str">
            <v>Mixed Use</v>
          </cell>
        </row>
        <row r="13">
          <cell r="H13" t="str">
            <v>Multi-Family Housing</v>
          </cell>
        </row>
        <row r="14">
          <cell r="H14" t="str">
            <v>Nursing Home &amp; Assisted Living</v>
          </cell>
        </row>
        <row r="15">
          <cell r="H15" t="str">
            <v xml:space="preserve">Office  </v>
          </cell>
        </row>
        <row r="16">
          <cell r="H16" t="str">
            <v>Parking Garage</v>
          </cell>
        </row>
        <row r="17">
          <cell r="H17" t="str">
            <v>Parking Garage / Mixed Use</v>
          </cell>
        </row>
        <row r="18">
          <cell r="H18" t="str">
            <v>Police  Station</v>
          </cell>
        </row>
        <row r="19">
          <cell r="H19" t="str">
            <v>Police / Fire</v>
          </cell>
        </row>
        <row r="20">
          <cell r="H20" t="str">
            <v>Public Assembly Building</v>
          </cell>
        </row>
        <row r="21">
          <cell r="H21" t="str">
            <v>Recreational</v>
          </cell>
        </row>
        <row r="22">
          <cell r="H22" t="str">
            <v>Restaurant</v>
          </cell>
        </row>
        <row r="23">
          <cell r="H23" t="str">
            <v>Retail</v>
          </cell>
        </row>
        <row r="24">
          <cell r="H24" t="str">
            <v>School</v>
          </cell>
        </row>
        <row r="25">
          <cell r="H25" t="str">
            <v>School Classrooms &amp; Admin Building</v>
          </cell>
        </row>
        <row r="26">
          <cell r="H26" t="str">
            <v>School Dormitory</v>
          </cell>
        </row>
        <row r="27">
          <cell r="H27" t="str">
            <v>School Science, Eng. &amp; Lab Building</v>
          </cell>
        </row>
        <row r="28">
          <cell r="H28" t="str">
            <v>School Student Union Building</v>
          </cell>
        </row>
        <row r="29">
          <cell r="H29" t="str">
            <v>Warehouse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4D02-97BD-4CD4-89F6-CE3E38DED44C}">
  <dimension ref="A1:AU35"/>
  <sheetViews>
    <sheetView tabSelected="1" topLeftCell="A7" workbookViewId="0">
      <pane xSplit="4" ySplit="4" topLeftCell="E11" activePane="bottomRight" state="frozen"/>
      <selection activeCell="A7" sqref="A7"/>
      <selection pane="topRight" activeCell="E7" sqref="E7"/>
      <selection pane="bottomLeft" activeCell="A11" sqref="A11"/>
      <selection pane="bottomRight" activeCell="AE22" sqref="AE22:AE28"/>
    </sheetView>
  </sheetViews>
  <sheetFormatPr defaultRowHeight="15" x14ac:dyDescent="0.25"/>
  <cols>
    <col min="1" max="1" width="11.85546875" customWidth="1"/>
    <col min="4" max="4" width="21.7109375" customWidth="1"/>
    <col min="5" max="5" width="0.140625" customWidth="1"/>
    <col min="6" max="12" width="11.5703125" style="29" hidden="1" customWidth="1"/>
    <col min="13" max="13" width="10.5703125" style="29" hidden="1" customWidth="1"/>
    <col min="14" max="14" width="9.140625" style="29" hidden="1" customWidth="1"/>
    <col min="15" max="15" width="13.28515625" style="29" bestFit="1" customWidth="1"/>
    <col min="16" max="16" width="1.85546875" style="29" customWidth="1"/>
    <col min="17" max="18" width="0.140625" style="29" customWidth="1"/>
    <col min="19" max="24" width="13.42578125" style="29" hidden="1" customWidth="1"/>
    <col min="25" max="25" width="13.42578125" style="29" customWidth="1"/>
    <col min="26" max="26" width="1.7109375" customWidth="1"/>
    <col min="27" max="27" width="12.28515625" customWidth="1"/>
    <col min="28" max="28" width="1.7109375" customWidth="1"/>
    <col min="29" max="29" width="13" customWidth="1"/>
    <col min="30" max="30" width="1.7109375" customWidth="1"/>
    <col min="31" max="31" width="13" customWidth="1"/>
    <col min="32" max="32" width="1.7109375" customWidth="1"/>
    <col min="33" max="33" width="13" customWidth="1"/>
    <col min="34" max="34" width="1.7109375" customWidth="1"/>
    <col min="35" max="35" width="11.7109375" customWidth="1"/>
    <col min="36" max="36" width="1.5703125" customWidth="1"/>
    <col min="37" max="37" width="11.42578125" customWidth="1"/>
    <col min="38" max="38" width="3.7109375" customWidth="1"/>
    <col min="39" max="39" width="11.5703125" customWidth="1"/>
    <col min="40" max="40" width="1.7109375" customWidth="1"/>
    <col min="41" max="41" width="11.5703125" customWidth="1"/>
    <col min="42" max="42" width="13.7109375" customWidth="1"/>
    <col min="43" max="43" width="1.7109375" customWidth="1"/>
    <col min="44" max="44" width="12.7109375" customWidth="1"/>
    <col min="45" max="45" width="11.5703125" customWidth="1"/>
    <col min="46" max="46" width="1.7109375" customWidth="1"/>
    <col min="47" max="47" width="11.5703125" customWidth="1"/>
  </cols>
  <sheetData>
    <row r="1" spans="1:47" x14ac:dyDescent="0.25">
      <c r="A1" t="s">
        <v>70</v>
      </c>
    </row>
    <row r="2" spans="1:47" x14ac:dyDescent="0.25">
      <c r="A2" t="s">
        <v>71</v>
      </c>
    </row>
    <row r="3" spans="1:47" x14ac:dyDescent="0.25">
      <c r="A3" t="s">
        <v>72</v>
      </c>
    </row>
    <row r="9" spans="1:47" x14ac:dyDescent="0.25">
      <c r="Q9" s="29" t="s">
        <v>99</v>
      </c>
      <c r="Y9" s="29" t="s">
        <v>99</v>
      </c>
      <c r="AI9" s="29" t="s">
        <v>99</v>
      </c>
    </row>
    <row r="10" spans="1:47" s="27" customFormat="1" x14ac:dyDescent="0.25">
      <c r="A10" s="28" t="s">
        <v>73</v>
      </c>
      <c r="F10" s="30" t="s">
        <v>74</v>
      </c>
      <c r="G10" s="30" t="s">
        <v>81</v>
      </c>
      <c r="H10" s="30" t="s">
        <v>88</v>
      </c>
      <c r="I10" s="30" t="s">
        <v>89</v>
      </c>
      <c r="J10" s="30" t="s">
        <v>90</v>
      </c>
      <c r="K10" s="30" t="s">
        <v>91</v>
      </c>
      <c r="L10" s="30" t="s">
        <v>92</v>
      </c>
      <c r="M10" s="30" t="s">
        <v>94</v>
      </c>
      <c r="N10" s="31"/>
      <c r="O10" s="30" t="s">
        <v>98</v>
      </c>
      <c r="P10" s="31"/>
      <c r="Q10" s="30" t="s">
        <v>74</v>
      </c>
      <c r="R10" s="30" t="s">
        <v>81</v>
      </c>
      <c r="S10" s="30" t="s">
        <v>88</v>
      </c>
      <c r="T10" s="30" t="s">
        <v>89</v>
      </c>
      <c r="U10" s="30" t="s">
        <v>90</v>
      </c>
      <c r="V10" s="30" t="s">
        <v>91</v>
      </c>
      <c r="W10" s="30" t="s">
        <v>92</v>
      </c>
      <c r="X10" s="30" t="s">
        <v>94</v>
      </c>
      <c r="Y10" s="33" t="s">
        <v>97</v>
      </c>
      <c r="AG10" s="30" t="s">
        <v>98</v>
      </c>
      <c r="AI10" s="33" t="s">
        <v>97</v>
      </c>
    </row>
    <row r="11" spans="1:47" x14ac:dyDescent="0.25">
      <c r="A11" s="26">
        <v>44134</v>
      </c>
      <c r="B11" t="s">
        <v>82</v>
      </c>
      <c r="E11">
        <v>2</v>
      </c>
      <c r="F11" s="29">
        <v>27390.6</v>
      </c>
      <c r="G11" s="29">
        <v>17779.38</v>
      </c>
      <c r="H11" s="29">
        <v>39470.870000000003</v>
      </c>
      <c r="I11" s="29">
        <v>36341.07</v>
      </c>
      <c r="J11" s="29">
        <v>39460.94</v>
      </c>
      <c r="K11" s="29">
        <v>40404.35</v>
      </c>
      <c r="L11" s="29">
        <v>41152.79</v>
      </c>
      <c r="O11" s="34">
        <f>SUM(F11:N11)</f>
        <v>242000.00000000003</v>
      </c>
      <c r="P11" s="34"/>
      <c r="Q11" s="34">
        <v>27390.6</v>
      </c>
      <c r="R11" s="34">
        <v>17779.38</v>
      </c>
      <c r="S11" s="34">
        <v>39470.870000000003</v>
      </c>
      <c r="T11" s="34">
        <v>36341.07</v>
      </c>
      <c r="U11" s="34">
        <v>39460.94</v>
      </c>
      <c r="V11" s="34">
        <v>40404.35</v>
      </c>
      <c r="W11" s="34">
        <v>41152.79</v>
      </c>
      <c r="X11" s="34"/>
      <c r="Y11" s="34">
        <f>SUM(Q11:X11)</f>
        <v>242000.00000000003</v>
      </c>
      <c r="AA11">
        <v>18977.490000000002</v>
      </c>
      <c r="AC11">
        <v>185230.12</v>
      </c>
      <c r="AE11">
        <v>14115.49</v>
      </c>
      <c r="AG11">
        <f>SUM(AA11:AE11)</f>
        <v>218323.09999999998</v>
      </c>
      <c r="AI11">
        <v>218323.1</v>
      </c>
    </row>
    <row r="12" spans="1:47" x14ac:dyDescent="0.25">
      <c r="A12" s="26">
        <v>44134</v>
      </c>
      <c r="B12" t="s">
        <v>83</v>
      </c>
      <c r="E12">
        <v>3</v>
      </c>
      <c r="F12" s="29">
        <v>267346.37</v>
      </c>
      <c r="G12" s="29">
        <v>173535.93</v>
      </c>
      <c r="H12" s="29">
        <v>385256.09</v>
      </c>
      <c r="I12" s="29">
        <v>354707.57</v>
      </c>
      <c r="J12" s="29">
        <v>385159.17</v>
      </c>
      <c r="K12" s="29">
        <v>394367.34</v>
      </c>
      <c r="L12" s="29">
        <v>401672.53</v>
      </c>
      <c r="O12" s="35">
        <f t="shared" ref="O12:O14" si="0">SUM(F12:N12)</f>
        <v>2362045</v>
      </c>
      <c r="P12" s="35"/>
      <c r="Q12" s="35">
        <v>40915.550000000003</v>
      </c>
      <c r="R12" s="35">
        <v>26558.5</v>
      </c>
      <c r="S12" s="35">
        <v>58960.84</v>
      </c>
      <c r="T12" s="35">
        <v>54285.599999999999</v>
      </c>
      <c r="U12" s="35">
        <v>58946</v>
      </c>
      <c r="V12" s="35">
        <v>60355.26</v>
      </c>
      <c r="W12" s="35">
        <v>61473.25</v>
      </c>
      <c r="X12" s="35"/>
      <c r="Y12" s="35">
        <f t="shared" ref="Y12:Y14" si="1">SUM(Q12:X12)</f>
        <v>361495</v>
      </c>
      <c r="AA12">
        <v>179356.56</v>
      </c>
      <c r="AC12">
        <v>1750612.53</v>
      </c>
      <c r="AE12">
        <v>133405.69</v>
      </c>
      <c r="AG12">
        <f>SUM(AA12:AE12)</f>
        <v>2063374.78</v>
      </c>
      <c r="AI12">
        <v>315758.92</v>
      </c>
    </row>
    <row r="13" spans="1:47" x14ac:dyDescent="0.25">
      <c r="A13" s="26">
        <v>44134</v>
      </c>
      <c r="B13" t="s">
        <v>84</v>
      </c>
      <c r="E13">
        <v>4</v>
      </c>
      <c r="F13" s="29">
        <v>20373.169999999998</v>
      </c>
      <c r="G13" s="29">
        <v>13224.33</v>
      </c>
      <c r="H13" s="29">
        <v>29358.5</v>
      </c>
      <c r="I13" s="29">
        <v>27030.55</v>
      </c>
      <c r="J13" s="29">
        <v>29351.11</v>
      </c>
      <c r="K13" s="29">
        <v>30052.82</v>
      </c>
      <c r="L13" s="29">
        <v>30609.52</v>
      </c>
      <c r="O13" s="37">
        <f t="shared" si="0"/>
        <v>180000</v>
      </c>
      <c r="P13" s="37"/>
      <c r="Q13" s="37">
        <v>20373.169999999998</v>
      </c>
      <c r="R13" s="37">
        <v>13224.33</v>
      </c>
      <c r="S13" s="37">
        <v>29358.5</v>
      </c>
      <c r="T13" s="37">
        <v>27030.55</v>
      </c>
      <c r="U13" s="37">
        <v>29351.11</v>
      </c>
      <c r="V13" s="37">
        <v>30052.82</v>
      </c>
      <c r="W13" s="37">
        <v>30609.52</v>
      </c>
      <c r="X13" s="37"/>
      <c r="Y13" s="37">
        <f t="shared" si="1"/>
        <v>180000</v>
      </c>
      <c r="AA13">
        <v>43665.95</v>
      </c>
      <c r="AC13">
        <v>426202.35</v>
      </c>
      <c r="AE13">
        <v>32478.82</v>
      </c>
      <c r="AG13">
        <f>SUM(AA13:AE13)</f>
        <v>502347.12</v>
      </c>
      <c r="AI13">
        <v>502347.12</v>
      </c>
    </row>
    <row r="14" spans="1:47" x14ac:dyDescent="0.25">
      <c r="A14" s="26">
        <v>44378</v>
      </c>
      <c r="B14" t="s">
        <v>93</v>
      </c>
      <c r="E14">
        <v>8</v>
      </c>
      <c r="F14" s="32"/>
      <c r="G14" s="32"/>
      <c r="H14" s="32"/>
      <c r="I14" s="32"/>
      <c r="J14" s="32"/>
      <c r="K14" s="32"/>
      <c r="L14" s="32"/>
      <c r="M14" s="32">
        <v>86347</v>
      </c>
      <c r="O14" s="38">
        <f t="shared" si="0"/>
        <v>86347</v>
      </c>
      <c r="P14" s="36"/>
      <c r="Q14" s="38"/>
      <c r="R14" s="38"/>
      <c r="S14" s="38"/>
      <c r="T14" s="38"/>
      <c r="U14" s="38"/>
      <c r="V14" s="38"/>
      <c r="W14" s="38"/>
      <c r="X14" s="38">
        <v>26548</v>
      </c>
      <c r="Y14" s="38">
        <f t="shared" si="1"/>
        <v>26548</v>
      </c>
    </row>
    <row r="16" spans="1:47" x14ac:dyDescent="0.25">
      <c r="F16" s="29">
        <f>SUM(F11:F15)</f>
        <v>315110.13999999996</v>
      </c>
      <c r="G16" s="29">
        <f>SUM(G11:G15)</f>
        <v>204539.63999999998</v>
      </c>
      <c r="H16" s="29">
        <f t="shared" ref="H16:O16" si="2">SUM(H11:H15)</f>
        <v>454085.46</v>
      </c>
      <c r="I16" s="29">
        <f t="shared" si="2"/>
        <v>418079.19</v>
      </c>
      <c r="J16" s="29">
        <f t="shared" si="2"/>
        <v>453971.22</v>
      </c>
      <c r="K16" s="29">
        <f t="shared" si="2"/>
        <v>464824.51</v>
      </c>
      <c r="L16" s="29">
        <f t="shared" si="2"/>
        <v>473434.84</v>
      </c>
      <c r="M16" s="29">
        <f t="shared" si="2"/>
        <v>86347</v>
      </c>
      <c r="O16" s="29">
        <f t="shared" si="2"/>
        <v>2870392</v>
      </c>
      <c r="Q16" s="29">
        <f t="shared" ref="Q16" si="3">SUM(Q11:Q15)</f>
        <v>88679.319999999992</v>
      </c>
      <c r="R16" s="29">
        <f t="shared" ref="R16" si="4">SUM(R11:R15)</f>
        <v>57562.210000000006</v>
      </c>
      <c r="S16" s="29">
        <f t="shared" ref="S16" si="5">SUM(S11:S15)</f>
        <v>127790.20999999999</v>
      </c>
      <c r="T16" s="29">
        <f t="shared" ref="T16" si="6">SUM(T11:T15)</f>
        <v>117657.22</v>
      </c>
      <c r="U16" s="29">
        <f t="shared" ref="U16" si="7">SUM(U11:U15)</f>
        <v>127758.05</v>
      </c>
      <c r="V16" s="29">
        <f t="shared" ref="V16" si="8">SUM(V11:V15)</f>
        <v>130812.43</v>
      </c>
      <c r="W16" s="29">
        <f t="shared" ref="W16" si="9">SUM(W11:W15)</f>
        <v>133235.56</v>
      </c>
      <c r="X16" s="29">
        <f t="shared" ref="X16:Y16" si="10">SUM(X11:X15)</f>
        <v>26548</v>
      </c>
      <c r="Y16" s="29">
        <f t="shared" si="10"/>
        <v>810043</v>
      </c>
      <c r="AM16" s="43">
        <v>44134</v>
      </c>
      <c r="AN16" s="43"/>
      <c r="AO16" s="43"/>
      <c r="AP16" s="43">
        <v>44134</v>
      </c>
      <c r="AQ16" s="43"/>
      <c r="AR16" s="43"/>
      <c r="AS16" s="43">
        <v>44134</v>
      </c>
      <c r="AT16" s="43"/>
      <c r="AU16" s="43"/>
    </row>
    <row r="17" spans="2:47" x14ac:dyDescent="0.25">
      <c r="AA17" s="42" t="s">
        <v>103</v>
      </c>
      <c r="AB17" s="42"/>
      <c r="AC17" s="42"/>
      <c r="AD17" s="42"/>
      <c r="AE17" s="42"/>
      <c r="AG17" s="42" t="s">
        <v>104</v>
      </c>
      <c r="AH17" s="42"/>
      <c r="AI17" s="42"/>
      <c r="AJ17" s="42"/>
      <c r="AK17" s="42"/>
      <c r="AM17" s="42" t="s">
        <v>105</v>
      </c>
      <c r="AN17" s="42"/>
      <c r="AO17" s="42"/>
      <c r="AP17" s="42" t="s">
        <v>103</v>
      </c>
      <c r="AQ17" s="42"/>
      <c r="AR17" s="42"/>
      <c r="AS17" s="42" t="s">
        <v>106</v>
      </c>
      <c r="AT17" s="42"/>
      <c r="AU17" s="42"/>
    </row>
    <row r="18" spans="2:47" x14ac:dyDescent="0.25">
      <c r="AA18" s="27" t="s">
        <v>100</v>
      </c>
      <c r="AB18" s="27"/>
      <c r="AC18" s="27" t="s">
        <v>101</v>
      </c>
      <c r="AD18" s="27"/>
      <c r="AE18" s="27" t="s">
        <v>102</v>
      </c>
      <c r="AG18" s="27" t="s">
        <v>100</v>
      </c>
      <c r="AH18" s="27"/>
      <c r="AI18" s="27" t="s">
        <v>101</v>
      </c>
      <c r="AJ18" s="27"/>
      <c r="AK18" s="27" t="s">
        <v>102</v>
      </c>
      <c r="AM18" s="42" t="s">
        <v>101</v>
      </c>
      <c r="AN18" s="42"/>
      <c r="AO18" s="42"/>
      <c r="AP18" s="42" t="s">
        <v>102</v>
      </c>
      <c r="AQ18" s="42"/>
      <c r="AR18" s="42"/>
      <c r="AS18" s="42" t="s">
        <v>100</v>
      </c>
      <c r="AT18" s="42"/>
      <c r="AU18" s="42"/>
    </row>
    <row r="20" spans="2:47" x14ac:dyDescent="0.25">
      <c r="B20" t="s">
        <v>85</v>
      </c>
      <c r="G20" s="29">
        <v>2803.75</v>
      </c>
      <c r="H20" s="29">
        <v>8187.59</v>
      </c>
      <c r="I20" s="29">
        <v>7790.52</v>
      </c>
      <c r="J20" s="29">
        <v>8072.77</v>
      </c>
      <c r="K20" s="29">
        <v>8405.66</v>
      </c>
      <c r="L20" s="29">
        <v>8405.66</v>
      </c>
      <c r="O20" s="34">
        <f t="shared" ref="O20:O30" si="11">SUM(F20:N20)</f>
        <v>43665.95</v>
      </c>
      <c r="P20" s="34"/>
      <c r="Q20" s="34"/>
      <c r="R20" s="34">
        <v>2803.75</v>
      </c>
      <c r="S20" s="34">
        <v>8187.59</v>
      </c>
      <c r="T20" s="34">
        <v>7790.52</v>
      </c>
      <c r="U20" s="34">
        <v>8072.77</v>
      </c>
      <c r="V20" s="34">
        <v>8405.66</v>
      </c>
      <c r="W20" s="34">
        <v>8405.66</v>
      </c>
      <c r="X20" s="34"/>
      <c r="Y20" s="34">
        <f t="shared" ref="Y20:Y30" si="12">SUM(Q20:X20)</f>
        <v>43665.95</v>
      </c>
      <c r="AA20" s="39">
        <f>O20</f>
        <v>43665.95</v>
      </c>
      <c r="AG20" s="39">
        <f>Y20</f>
        <v>43665.95</v>
      </c>
      <c r="AS20" s="39">
        <f>AA20</f>
        <v>43665.95</v>
      </c>
      <c r="AU20" s="39">
        <f>AG20</f>
        <v>43665.95</v>
      </c>
    </row>
    <row r="21" spans="2:47" x14ac:dyDescent="0.25">
      <c r="B21" t="s">
        <v>75</v>
      </c>
      <c r="F21" s="29">
        <v>18977.490000000002</v>
      </c>
      <c r="O21" s="34">
        <f t="shared" si="11"/>
        <v>18977.490000000002</v>
      </c>
      <c r="P21" s="34"/>
      <c r="Q21" s="34">
        <v>18977.490000000002</v>
      </c>
      <c r="R21" s="34"/>
      <c r="S21" s="34"/>
      <c r="T21" s="34"/>
      <c r="U21" s="34"/>
      <c r="V21" s="34"/>
      <c r="W21" s="34"/>
      <c r="X21" s="34"/>
      <c r="Y21" s="34">
        <f t="shared" si="12"/>
        <v>18977.490000000002</v>
      </c>
      <c r="AC21" s="39">
        <f>O21</f>
        <v>18977.490000000002</v>
      </c>
      <c r="AI21" s="39">
        <f>Y21</f>
        <v>18977.490000000002</v>
      </c>
      <c r="AM21" s="39">
        <f>O21</f>
        <v>18977.490000000002</v>
      </c>
      <c r="AO21" s="39">
        <f>AI21</f>
        <v>18977.490000000002</v>
      </c>
      <c r="AP21" s="39"/>
      <c r="AR21" s="39"/>
      <c r="AS21" s="39"/>
      <c r="AU21" s="39"/>
    </row>
    <row r="22" spans="2:47" x14ac:dyDescent="0.25">
      <c r="B22" t="s">
        <v>76</v>
      </c>
      <c r="F22" s="29">
        <v>8413.11</v>
      </c>
      <c r="G22" s="29">
        <v>14975.63</v>
      </c>
      <c r="H22" s="29">
        <v>31283.279999999999</v>
      </c>
      <c r="I22" s="29">
        <v>28550.55</v>
      </c>
      <c r="J22" s="29">
        <v>31388.17</v>
      </c>
      <c r="K22" s="29">
        <v>31998.69</v>
      </c>
      <c r="L22" s="29">
        <v>32747.13</v>
      </c>
      <c r="O22" s="34">
        <f t="shared" si="11"/>
        <v>179356.56</v>
      </c>
      <c r="P22" s="34"/>
      <c r="Q22" s="34">
        <v>1287.46</v>
      </c>
      <c r="R22" s="34">
        <v>2291.73</v>
      </c>
      <c r="S22" s="34">
        <v>4787.2700000000004</v>
      </c>
      <c r="T22" s="34">
        <v>4369.09</v>
      </c>
      <c r="U22" s="34">
        <v>4803.3500000000004</v>
      </c>
      <c r="V22" s="34">
        <v>4896.7700000000004</v>
      </c>
      <c r="W22" s="34">
        <v>5011.28</v>
      </c>
      <c r="X22" s="34"/>
      <c r="Y22" s="34">
        <f t="shared" si="12"/>
        <v>27446.95</v>
      </c>
      <c r="AE22" s="39">
        <f>O22</f>
        <v>179356.56</v>
      </c>
      <c r="AK22" s="39">
        <f>Y22</f>
        <v>27446.95</v>
      </c>
      <c r="AP22" s="39">
        <f>AE22</f>
        <v>179356.56</v>
      </c>
      <c r="AR22" s="39">
        <f>AK22</f>
        <v>27446.95</v>
      </c>
    </row>
    <row r="23" spans="2:47" x14ac:dyDescent="0.25">
      <c r="B23" t="s">
        <v>86</v>
      </c>
      <c r="G23" s="29">
        <v>27366.04</v>
      </c>
      <c r="H23" s="29">
        <v>79915.16</v>
      </c>
      <c r="I23" s="29">
        <v>76039.509999999995</v>
      </c>
      <c r="J23" s="29">
        <v>78794.38</v>
      </c>
      <c r="K23" s="29">
        <v>82043.63</v>
      </c>
      <c r="L23" s="29">
        <v>82043.63</v>
      </c>
      <c r="O23" s="35">
        <f t="shared" si="11"/>
        <v>426202.35000000003</v>
      </c>
      <c r="P23" s="35"/>
      <c r="Q23" s="35"/>
      <c r="R23" s="35">
        <v>27366.04</v>
      </c>
      <c r="S23" s="35">
        <v>79915.16</v>
      </c>
      <c r="T23" s="35">
        <v>76039.509999999995</v>
      </c>
      <c r="U23" s="35">
        <v>78794.38</v>
      </c>
      <c r="V23" s="35">
        <v>82043.63</v>
      </c>
      <c r="W23" s="35">
        <v>82043.63</v>
      </c>
      <c r="X23" s="35"/>
      <c r="Y23" s="35">
        <f t="shared" si="12"/>
        <v>426202.35000000003</v>
      </c>
      <c r="AA23" s="39">
        <f>O23</f>
        <v>426202.35000000003</v>
      </c>
      <c r="AG23" s="39">
        <f>Y23</f>
        <v>426202.35000000003</v>
      </c>
      <c r="AS23" s="39">
        <f>AA23</f>
        <v>426202.35000000003</v>
      </c>
      <c r="AU23" s="39">
        <f>AG23</f>
        <v>426202.35000000003</v>
      </c>
    </row>
    <row r="24" spans="2:47" x14ac:dyDescent="0.25">
      <c r="B24" t="s">
        <v>77</v>
      </c>
      <c r="F24" s="29">
        <v>185230.12</v>
      </c>
      <c r="O24" s="35">
        <f t="shared" si="11"/>
        <v>185230.12</v>
      </c>
      <c r="P24" s="35"/>
      <c r="Q24" s="35">
        <v>185230.12</v>
      </c>
      <c r="R24" s="35"/>
      <c r="S24" s="35"/>
      <c r="T24" s="35"/>
      <c r="U24" s="35"/>
      <c r="V24" s="35"/>
      <c r="W24" s="35"/>
      <c r="X24" s="35"/>
      <c r="Y24" s="35">
        <f t="shared" si="12"/>
        <v>185230.12</v>
      </c>
      <c r="AC24" s="39">
        <f>O24</f>
        <v>185230.12</v>
      </c>
      <c r="AI24" s="39">
        <f>Y24</f>
        <v>185230.12</v>
      </c>
      <c r="AM24" s="39">
        <f>O24</f>
        <v>185230.12</v>
      </c>
      <c r="AO24" s="39">
        <f>AI24</f>
        <v>185230.12</v>
      </c>
      <c r="AP24" s="39"/>
      <c r="AR24" s="39"/>
      <c r="AS24" s="39"/>
      <c r="AU24" s="39"/>
    </row>
    <row r="25" spans="2:47" x14ac:dyDescent="0.25">
      <c r="B25" t="s">
        <v>78</v>
      </c>
      <c r="F25" s="29">
        <v>82116.25</v>
      </c>
      <c r="G25" s="29">
        <v>146169.89000000001</v>
      </c>
      <c r="H25" s="29">
        <v>305340.93</v>
      </c>
      <c r="I25" s="29">
        <v>278668.06</v>
      </c>
      <c r="J25" s="29">
        <v>306364.78999999998</v>
      </c>
      <c r="K25" s="29">
        <v>312323.71000000002</v>
      </c>
      <c r="L25" s="29">
        <v>319628.90000000002</v>
      </c>
      <c r="O25" s="35">
        <f t="shared" si="11"/>
        <v>1750612.5300000003</v>
      </c>
      <c r="P25" s="35"/>
      <c r="Q25" s="35">
        <v>12566.29</v>
      </c>
      <c r="R25" s="35">
        <v>22368.43</v>
      </c>
      <c r="S25" s="35">
        <v>46726.43</v>
      </c>
      <c r="T25" s="35">
        <v>42644.639999999999</v>
      </c>
      <c r="U25" s="35">
        <v>46883.11</v>
      </c>
      <c r="V25" s="35">
        <v>47795.01</v>
      </c>
      <c r="W25" s="35">
        <v>48912.91</v>
      </c>
      <c r="X25" s="35"/>
      <c r="Y25" s="35">
        <f t="shared" si="12"/>
        <v>267896.82</v>
      </c>
      <c r="AE25" s="39">
        <f>O25</f>
        <v>1750612.5300000003</v>
      </c>
      <c r="AK25" s="39">
        <f>Y25</f>
        <v>267896.82</v>
      </c>
      <c r="AP25" s="39">
        <f>AE25</f>
        <v>1750612.5300000003</v>
      </c>
      <c r="AR25" s="39">
        <f>AK25</f>
        <v>267896.82</v>
      </c>
    </row>
    <row r="26" spans="2:47" x14ac:dyDescent="0.25">
      <c r="B26" t="s">
        <v>87</v>
      </c>
      <c r="G26" s="29">
        <v>2085.4299999999998</v>
      </c>
      <c r="H26" s="29">
        <v>6089.95</v>
      </c>
      <c r="I26" s="29">
        <v>5794.61</v>
      </c>
      <c r="J26" s="29">
        <v>6004.53</v>
      </c>
      <c r="K26" s="29">
        <v>6252.15</v>
      </c>
      <c r="L26" s="29">
        <v>6252.15</v>
      </c>
      <c r="O26" s="37">
        <f t="shared" si="11"/>
        <v>32478.82</v>
      </c>
      <c r="P26" s="37"/>
      <c r="Q26" s="37"/>
      <c r="R26" s="37">
        <v>2085.4299999999998</v>
      </c>
      <c r="S26" s="37">
        <v>6089.95</v>
      </c>
      <c r="T26" s="37">
        <v>5794.61</v>
      </c>
      <c r="U26" s="37">
        <v>6004.53</v>
      </c>
      <c r="V26" s="37">
        <v>6252.15</v>
      </c>
      <c r="W26" s="37">
        <v>6252.15</v>
      </c>
      <c r="X26" s="37"/>
      <c r="Y26" s="37">
        <f t="shared" si="12"/>
        <v>32478.82</v>
      </c>
      <c r="AA26" s="39">
        <f>O26</f>
        <v>32478.82</v>
      </c>
      <c r="AG26" s="39">
        <f>Y26</f>
        <v>32478.82</v>
      </c>
      <c r="AS26" s="39">
        <f>AA26</f>
        <v>32478.82</v>
      </c>
      <c r="AU26" s="39">
        <f>AG26</f>
        <v>32478.82</v>
      </c>
    </row>
    <row r="27" spans="2:47" x14ac:dyDescent="0.25">
      <c r="B27" t="s">
        <v>79</v>
      </c>
      <c r="F27" s="29">
        <v>14115.49</v>
      </c>
      <c r="O27" s="37">
        <f t="shared" si="11"/>
        <v>14115.49</v>
      </c>
      <c r="P27" s="37"/>
      <c r="Q27" s="37">
        <v>14115.49</v>
      </c>
      <c r="R27" s="37"/>
      <c r="S27" s="37"/>
      <c r="T27" s="37"/>
      <c r="U27" s="37"/>
      <c r="V27" s="37"/>
      <c r="W27" s="37"/>
      <c r="X27" s="37"/>
      <c r="Y27" s="37">
        <f t="shared" si="12"/>
        <v>14115.49</v>
      </c>
      <c r="AC27" s="39">
        <f>O27</f>
        <v>14115.49</v>
      </c>
      <c r="AI27" s="39">
        <f>Y27</f>
        <v>14115.49</v>
      </c>
      <c r="AM27" s="39">
        <f>O27</f>
        <v>14115.49</v>
      </c>
      <c r="AO27" s="39">
        <f>AI27</f>
        <v>14115.49</v>
      </c>
      <c r="AP27" s="39"/>
      <c r="AR27" s="39"/>
      <c r="AS27" s="39"/>
      <c r="AU27" s="39"/>
    </row>
    <row r="28" spans="2:47" x14ac:dyDescent="0.25">
      <c r="B28" t="s">
        <v>80</v>
      </c>
      <c r="F28" s="29">
        <v>6257.68</v>
      </c>
      <c r="G28" s="29">
        <v>11138.9</v>
      </c>
      <c r="H28" s="29">
        <v>23268.55</v>
      </c>
      <c r="I28" s="29">
        <v>21235.94</v>
      </c>
      <c r="J28" s="29">
        <v>23346.58</v>
      </c>
      <c r="K28" s="29">
        <v>23800.67</v>
      </c>
      <c r="L28" s="29">
        <v>24357.37</v>
      </c>
      <c r="O28" s="37">
        <f t="shared" si="11"/>
        <v>133405.69</v>
      </c>
      <c r="P28" s="37"/>
      <c r="Q28" s="37">
        <v>957.61</v>
      </c>
      <c r="R28" s="37">
        <v>1704.59</v>
      </c>
      <c r="S28" s="37">
        <v>3560.8</v>
      </c>
      <c r="T28" s="37">
        <v>3249.76</v>
      </c>
      <c r="U28" s="37">
        <v>3572.75</v>
      </c>
      <c r="V28" s="37">
        <v>3642.23</v>
      </c>
      <c r="W28" s="37">
        <v>3727.41</v>
      </c>
      <c r="X28" s="37"/>
      <c r="Y28" s="37">
        <f t="shared" si="12"/>
        <v>20415.150000000001</v>
      </c>
      <c r="AE28" s="39">
        <f>O28</f>
        <v>133405.69</v>
      </c>
      <c r="AK28" s="39">
        <f>Y28</f>
        <v>20415.150000000001</v>
      </c>
      <c r="AP28" s="39">
        <f>AE28</f>
        <v>133405.69</v>
      </c>
      <c r="AR28" s="39">
        <f>AK28</f>
        <v>20415.150000000001</v>
      </c>
    </row>
    <row r="29" spans="2:47" x14ac:dyDescent="0.25">
      <c r="B29" t="s">
        <v>95</v>
      </c>
      <c r="M29" s="29">
        <v>23596</v>
      </c>
      <c r="O29" s="36">
        <f t="shared" si="11"/>
        <v>23596</v>
      </c>
      <c r="P29" s="36"/>
      <c r="Q29" s="36"/>
      <c r="R29" s="36"/>
      <c r="S29" s="36"/>
      <c r="T29" s="36"/>
      <c r="U29" s="36"/>
      <c r="V29" s="36"/>
      <c r="W29" s="36"/>
      <c r="X29" s="36">
        <v>23596</v>
      </c>
      <c r="Y29" s="36">
        <f t="shared" si="12"/>
        <v>23596</v>
      </c>
      <c r="AA29" s="39">
        <f>O29</f>
        <v>23596</v>
      </c>
      <c r="AG29" s="39">
        <f>Y29</f>
        <v>23596</v>
      </c>
      <c r="AK29" s="29"/>
    </row>
    <row r="30" spans="2:47" x14ac:dyDescent="0.25">
      <c r="B30" t="s">
        <v>96</v>
      </c>
      <c r="F30" s="32"/>
      <c r="G30" s="32"/>
      <c r="H30" s="32"/>
      <c r="I30" s="32"/>
      <c r="J30" s="32"/>
      <c r="K30" s="32"/>
      <c r="L30" s="32"/>
      <c r="M30" s="32">
        <v>62751</v>
      </c>
      <c r="O30" s="38">
        <f t="shared" si="11"/>
        <v>62751</v>
      </c>
      <c r="P30" s="36"/>
      <c r="Q30" s="38"/>
      <c r="R30" s="38"/>
      <c r="S30" s="38"/>
      <c r="T30" s="38"/>
      <c r="U30" s="38"/>
      <c r="V30" s="38"/>
      <c r="W30" s="38"/>
      <c r="X30" s="38">
        <v>7891.4</v>
      </c>
      <c r="Y30" s="38">
        <f t="shared" si="12"/>
        <v>7891.4</v>
      </c>
      <c r="AE30" s="39">
        <f>O30</f>
        <v>62751</v>
      </c>
      <c r="AK30" s="39">
        <f>Y30</f>
        <v>7891.4</v>
      </c>
    </row>
    <row r="32" spans="2:47" x14ac:dyDescent="0.25">
      <c r="F32" s="29">
        <f>SUM(F20:F31)</f>
        <v>315110.13999999996</v>
      </c>
      <c r="G32" s="29">
        <f t="shared" ref="G32:M32" si="13">SUM(G20:G31)</f>
        <v>204539.63999999998</v>
      </c>
      <c r="H32" s="29">
        <f t="shared" si="13"/>
        <v>454085.45999999996</v>
      </c>
      <c r="I32" s="29">
        <f t="shared" si="13"/>
        <v>418079.19</v>
      </c>
      <c r="J32" s="29">
        <f t="shared" si="13"/>
        <v>453971.22000000003</v>
      </c>
      <c r="K32" s="29">
        <f t="shared" si="13"/>
        <v>464824.51000000007</v>
      </c>
      <c r="L32" s="29">
        <f t="shared" si="13"/>
        <v>473434.84000000008</v>
      </c>
      <c r="M32" s="29">
        <f t="shared" si="13"/>
        <v>86347</v>
      </c>
      <c r="O32" s="29">
        <f>SUM(O20:O31)</f>
        <v>2870392.0000000005</v>
      </c>
      <c r="Q32" s="29">
        <f t="shared" ref="Q32:Y32" si="14">SUM(Q20:Q31)</f>
        <v>233134.46</v>
      </c>
      <c r="R32" s="29">
        <f t="shared" si="14"/>
        <v>58619.969999999994</v>
      </c>
      <c r="S32" s="29">
        <f t="shared" si="14"/>
        <v>149267.20000000001</v>
      </c>
      <c r="T32" s="29">
        <f t="shared" si="14"/>
        <v>139888.13</v>
      </c>
      <c r="U32" s="29">
        <f t="shared" si="14"/>
        <v>148130.88999999998</v>
      </c>
      <c r="V32" s="29">
        <f t="shared" si="14"/>
        <v>153035.45000000001</v>
      </c>
      <c r="W32" s="29">
        <f t="shared" si="14"/>
        <v>154353.04</v>
      </c>
      <c r="X32" s="29">
        <f t="shared" si="14"/>
        <v>31487.4</v>
      </c>
      <c r="Y32" s="29">
        <f t="shared" si="14"/>
        <v>1067916.54</v>
      </c>
      <c r="AA32" s="39">
        <f>SUM(AA20:AA30)</f>
        <v>525943.12000000011</v>
      </c>
      <c r="AC32" s="39">
        <f>SUM(AC20:AC30)</f>
        <v>218323.09999999998</v>
      </c>
      <c r="AE32" s="39">
        <f>SUM(AE20:AE30)</f>
        <v>2126125.7800000003</v>
      </c>
      <c r="AG32" s="39">
        <f>SUM(AG20:AG30)</f>
        <v>525943.12000000011</v>
      </c>
      <c r="AI32" s="39">
        <f>SUM(AI20:AI30)</f>
        <v>218323.09999999998</v>
      </c>
      <c r="AK32" s="39">
        <f>SUM(AK20:AK30)</f>
        <v>323650.32000000007</v>
      </c>
      <c r="AM32" s="40">
        <f>SUM(AM20:AM30)</f>
        <v>218323.09999999998</v>
      </c>
      <c r="AN32" s="41"/>
      <c r="AO32" s="40">
        <f>SUM(AO20:AO30)</f>
        <v>218323.09999999998</v>
      </c>
      <c r="AP32" s="40">
        <f>SUM(AP20:AP30)</f>
        <v>2063374.7800000003</v>
      </c>
      <c r="AR32" s="40">
        <f>SUM(AR20:AR30)</f>
        <v>315758.92000000004</v>
      </c>
      <c r="AS32" s="40">
        <f>SUM(AS20:AS30)</f>
        <v>502347.12000000005</v>
      </c>
      <c r="AU32" s="40">
        <f>SUM(AU20:AU30)</f>
        <v>502347.12000000005</v>
      </c>
    </row>
    <row r="34" spans="6:41" x14ac:dyDescent="0.25">
      <c r="F34" s="29">
        <f>+F16-F32</f>
        <v>0</v>
      </c>
      <c r="G34" s="29">
        <f t="shared" ref="G34:M34" si="15">+G16-G32</f>
        <v>0</v>
      </c>
      <c r="H34" s="29">
        <f t="shared" si="15"/>
        <v>0</v>
      </c>
      <c r="I34" s="29">
        <f t="shared" si="15"/>
        <v>0</v>
      </c>
      <c r="J34" s="29">
        <f t="shared" si="15"/>
        <v>0</v>
      </c>
      <c r="K34" s="29">
        <f t="shared" si="15"/>
        <v>0</v>
      </c>
      <c r="L34" s="29">
        <f t="shared" si="15"/>
        <v>0</v>
      </c>
      <c r="M34" s="29">
        <f t="shared" si="15"/>
        <v>0</v>
      </c>
      <c r="O34" s="29">
        <f t="shared" ref="O34" si="16">+O16-O32</f>
        <v>0</v>
      </c>
      <c r="Q34" s="29">
        <f>+Q16-Q32</f>
        <v>-144455.14000000001</v>
      </c>
      <c r="R34" s="29">
        <f t="shared" ref="R34:X34" si="17">+R16-R32</f>
        <v>-1057.7599999999875</v>
      </c>
      <c r="S34" s="29">
        <f t="shared" si="17"/>
        <v>-21476.99000000002</v>
      </c>
      <c r="T34" s="29">
        <f t="shared" si="17"/>
        <v>-22230.910000000003</v>
      </c>
      <c r="U34" s="29">
        <f t="shared" si="17"/>
        <v>-20372.839999999982</v>
      </c>
      <c r="V34" s="29">
        <f t="shared" si="17"/>
        <v>-22223.020000000019</v>
      </c>
      <c r="W34" s="29">
        <f t="shared" si="17"/>
        <v>-21117.48000000001</v>
      </c>
      <c r="X34" s="29">
        <f t="shared" si="17"/>
        <v>-4939.4000000000015</v>
      </c>
      <c r="Y34" s="29">
        <f>SUM(Q34:X34)</f>
        <v>-257873.54000000004</v>
      </c>
      <c r="AA34" s="39">
        <f>AA32-Y13</f>
        <v>345943.12000000011</v>
      </c>
      <c r="AC34" s="39">
        <f>AC32-O11-O14</f>
        <v>-110023.90000000005</v>
      </c>
      <c r="AE34" s="39">
        <f>AE32-O12</f>
        <v>-235919.21999999974</v>
      </c>
      <c r="AG34" s="39">
        <f>Y13-AG32</f>
        <v>-345943.12000000011</v>
      </c>
      <c r="AI34" s="39">
        <f>Y11+Y14-AI32</f>
        <v>50224.900000000023</v>
      </c>
      <c r="AK34" s="39">
        <f>Y12-AK32</f>
        <v>37844.679999999935</v>
      </c>
      <c r="AM34" s="42" t="s">
        <v>107</v>
      </c>
      <c r="AN34" s="42"/>
      <c r="AO34" s="42"/>
    </row>
    <row r="35" spans="6:41" x14ac:dyDescent="0.25">
      <c r="Y35" s="29">
        <f>+Y16-Y32-Y34</f>
        <v>0</v>
      </c>
      <c r="AM35">
        <v>218323.1</v>
      </c>
      <c r="AO35" s="39">
        <f>AM35/O11*86532</f>
        <v>78065.844996694199</v>
      </c>
    </row>
  </sheetData>
  <mergeCells count="12">
    <mergeCell ref="AA17:AE17"/>
    <mergeCell ref="AG17:AK17"/>
    <mergeCell ref="AM17:AO17"/>
    <mergeCell ref="AM18:AO18"/>
    <mergeCell ref="AP17:AR17"/>
    <mergeCell ref="AP18:AR18"/>
    <mergeCell ref="AM34:AO34"/>
    <mergeCell ref="AS17:AU17"/>
    <mergeCell ref="AS18:AU18"/>
    <mergeCell ref="AM16:AO16"/>
    <mergeCell ref="AP16:AR16"/>
    <mergeCell ref="AS16:AU16"/>
  </mergeCells>
  <pageMargins left="0.45" right="0.4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ABAC-4F9D-4533-B1A9-7587DD6412CC}">
  <dimension ref="A1:G65"/>
  <sheetViews>
    <sheetView topLeftCell="A24" workbookViewId="0">
      <selection activeCell="K12" sqref="K12"/>
    </sheetView>
  </sheetViews>
  <sheetFormatPr defaultRowHeight="15" x14ac:dyDescent="0.2"/>
  <cols>
    <col min="1" max="1" width="51.140625" style="1" customWidth="1"/>
    <col min="2" max="2" width="18.28515625" style="1" customWidth="1"/>
    <col min="3" max="4" width="18.28515625" style="1" hidden="1" customWidth="1"/>
    <col min="5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hidden="1" x14ac:dyDescent="0.25">
      <c r="A15" s="14" t="s">
        <v>51</v>
      </c>
      <c r="B15" s="15">
        <v>6</v>
      </c>
      <c r="C15" s="16"/>
      <c r="D15" s="16"/>
      <c r="E15" s="16"/>
      <c r="F15" s="16"/>
      <c r="G15" s="16"/>
    </row>
    <row r="16" spans="1:7" hidden="1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hidden="1" x14ac:dyDescent="0.2">
      <c r="A17" s="17" t="s">
        <v>8</v>
      </c>
      <c r="B17" s="17" t="s">
        <v>8</v>
      </c>
      <c r="C17" s="17" t="s">
        <v>8</v>
      </c>
      <c r="D17" s="17" t="s">
        <v>8</v>
      </c>
      <c r="E17" s="17" t="s">
        <v>8</v>
      </c>
      <c r="F17" s="17" t="s">
        <v>8</v>
      </c>
      <c r="G17" s="17"/>
    </row>
    <row r="18" spans="1:7" ht="15.75" x14ac:dyDescent="0.25">
      <c r="A18" s="14" t="s">
        <v>52</v>
      </c>
      <c r="B18" s="15">
        <v>5464546</v>
      </c>
      <c r="C18" s="16"/>
      <c r="D18" s="16"/>
      <c r="E18" s="16"/>
      <c r="F18" s="16"/>
      <c r="G18" s="16"/>
    </row>
    <row r="19" spans="1:7" x14ac:dyDescent="0.2">
      <c r="A19" s="17" t="s">
        <v>8</v>
      </c>
      <c r="B19" s="17" t="s">
        <v>8</v>
      </c>
      <c r="C19" s="17" t="s">
        <v>8</v>
      </c>
      <c r="D19" s="17" t="s">
        <v>8</v>
      </c>
      <c r="E19" s="17" t="s">
        <v>8</v>
      </c>
      <c r="F19" s="17" t="s">
        <v>8</v>
      </c>
      <c r="G19" s="17"/>
    </row>
    <row r="20" spans="1:7" x14ac:dyDescent="0.2">
      <c r="A20" s="18" t="s">
        <v>53</v>
      </c>
      <c r="B20" s="3">
        <v>8837.7099999999991</v>
      </c>
      <c r="C20" s="3"/>
      <c r="D20" s="3"/>
      <c r="E20" s="3">
        <v>8837.7099999999991</v>
      </c>
      <c r="F20" s="3"/>
      <c r="G20" s="3"/>
    </row>
    <row r="21" spans="1:7" x14ac:dyDescent="0.2">
      <c r="A21" s="18" t="s">
        <v>54</v>
      </c>
      <c r="B21" s="3">
        <v>95451.19</v>
      </c>
      <c r="C21" s="3"/>
      <c r="D21" s="3"/>
      <c r="E21" s="3">
        <v>95451.19</v>
      </c>
      <c r="F21" s="3"/>
      <c r="G21" s="3"/>
    </row>
    <row r="22" spans="1:7" x14ac:dyDescent="0.2">
      <c r="A22" s="18" t="s">
        <v>55</v>
      </c>
      <c r="B22" s="3">
        <v>1321.0900000000001</v>
      </c>
      <c r="C22" s="3"/>
      <c r="D22" s="3"/>
      <c r="E22" s="3">
        <v>1321.0900000000001</v>
      </c>
      <c r="F22" s="3"/>
      <c r="G22" s="3"/>
    </row>
    <row r="23" spans="1:7" x14ac:dyDescent="0.2">
      <c r="A23" s="18" t="s">
        <v>56</v>
      </c>
      <c r="B23" s="3">
        <v>1952.8999999999999</v>
      </c>
      <c r="C23" s="3"/>
      <c r="D23" s="3"/>
      <c r="E23" s="3">
        <v>1952.8999999999999</v>
      </c>
      <c r="F23" s="3"/>
      <c r="G23" s="3"/>
    </row>
    <row r="24" spans="1:7" x14ac:dyDescent="0.2">
      <c r="A24" s="18" t="s">
        <v>57</v>
      </c>
      <c r="B24" s="3">
        <v>59245.72</v>
      </c>
      <c r="C24" s="3"/>
      <c r="D24" s="3"/>
      <c r="E24" s="3">
        <v>59245.72</v>
      </c>
      <c r="F24" s="3"/>
      <c r="G24" s="3"/>
    </row>
    <row r="25" spans="1:7" x14ac:dyDescent="0.2">
      <c r="A25" s="18" t="s">
        <v>58</v>
      </c>
      <c r="B25" s="3">
        <v>618.32999999999993</v>
      </c>
      <c r="C25" s="3"/>
      <c r="D25" s="3"/>
      <c r="E25" s="3">
        <v>618.32999999999993</v>
      </c>
      <c r="F25" s="3"/>
      <c r="G25" s="3"/>
    </row>
    <row r="26" spans="1:7" x14ac:dyDescent="0.2">
      <c r="A26" s="18" t="s">
        <v>59</v>
      </c>
      <c r="B26" s="3">
        <v>12771.52</v>
      </c>
      <c r="C26" s="3"/>
      <c r="D26" s="3"/>
      <c r="E26" s="3">
        <v>12771.52</v>
      </c>
      <c r="F26" s="3"/>
      <c r="G26" s="3"/>
    </row>
    <row r="27" spans="1:7" x14ac:dyDescent="0.2">
      <c r="A27" s="18" t="s">
        <v>60</v>
      </c>
      <c r="B27" s="3">
        <v>15090.039999999999</v>
      </c>
      <c r="C27" s="3"/>
      <c r="D27" s="3"/>
      <c r="E27" s="3">
        <v>15090.039999999999</v>
      </c>
      <c r="F27" s="3"/>
      <c r="G27" s="3"/>
    </row>
    <row r="28" spans="1:7" x14ac:dyDescent="0.2">
      <c r="A28" s="18" t="s">
        <v>61</v>
      </c>
      <c r="B28" s="3">
        <v>2157.0300000000002</v>
      </c>
      <c r="C28" s="3"/>
      <c r="D28" s="3"/>
      <c r="E28" s="3">
        <v>2157.0300000000002</v>
      </c>
      <c r="F28" s="3"/>
      <c r="G28" s="3"/>
    </row>
    <row r="29" spans="1:7" x14ac:dyDescent="0.2">
      <c r="A29" s="18" t="s">
        <v>62</v>
      </c>
      <c r="B29" s="3">
        <v>4129.2300000000005</v>
      </c>
      <c r="C29" s="3"/>
      <c r="D29" s="3"/>
      <c r="E29" s="3">
        <v>4129.2300000000005</v>
      </c>
      <c r="F29" s="3"/>
      <c r="G29" s="3"/>
    </row>
    <row r="30" spans="1:7" x14ac:dyDescent="0.2">
      <c r="A30" s="18" t="s">
        <v>48</v>
      </c>
      <c r="B30" s="3">
        <v>5494.17</v>
      </c>
      <c r="C30" s="3"/>
      <c r="D30" s="3"/>
      <c r="E30" s="3">
        <v>5494.17</v>
      </c>
      <c r="F30" s="3"/>
      <c r="G30" s="3"/>
    </row>
    <row r="31" spans="1:7" x14ac:dyDescent="0.2">
      <c r="A31" s="18" t="s">
        <v>63</v>
      </c>
      <c r="B31" s="3">
        <v>1151.6300000000001</v>
      </c>
      <c r="C31" s="3"/>
      <c r="D31" s="3"/>
      <c r="E31" s="3">
        <v>1151.6300000000001</v>
      </c>
      <c r="F31" s="3"/>
      <c r="G31" s="3"/>
    </row>
    <row r="32" spans="1:7" x14ac:dyDescent="0.2">
      <c r="A32" s="18" t="s">
        <v>64</v>
      </c>
      <c r="B32" s="3">
        <v>6453.82</v>
      </c>
      <c r="C32" s="3"/>
      <c r="D32" s="3"/>
      <c r="E32" s="3">
        <v>6453.82</v>
      </c>
      <c r="F32" s="3"/>
      <c r="G32" s="3"/>
    </row>
    <row r="33" spans="1:7" x14ac:dyDescent="0.2">
      <c r="A33" s="18" t="s">
        <v>65</v>
      </c>
      <c r="B33" s="3">
        <v>3396.2799999999997</v>
      </c>
      <c r="C33" s="3"/>
      <c r="D33" s="3"/>
      <c r="E33" s="3">
        <v>3396.2799999999997</v>
      </c>
      <c r="F33" s="3"/>
      <c r="G33" s="3"/>
    </row>
    <row r="34" spans="1:7" x14ac:dyDescent="0.2">
      <c r="A34" s="18" t="s">
        <v>66</v>
      </c>
      <c r="B34" s="3">
        <v>252.44</v>
      </c>
      <c r="C34" s="3"/>
      <c r="D34" s="3"/>
      <c r="E34" s="3">
        <v>252.44</v>
      </c>
      <c r="F34" s="3"/>
      <c r="G34" s="3"/>
    </row>
    <row r="35" spans="1:7" x14ac:dyDescent="0.2">
      <c r="A35" s="17" t="s">
        <v>8</v>
      </c>
      <c r="B35" s="17" t="s">
        <v>8</v>
      </c>
      <c r="C35" s="17" t="s">
        <v>8</v>
      </c>
      <c r="D35" s="17" t="s">
        <v>8</v>
      </c>
      <c r="E35" s="17" t="s">
        <v>8</v>
      </c>
      <c r="F35" s="17" t="s">
        <v>8</v>
      </c>
      <c r="G35" s="17"/>
    </row>
    <row r="36" spans="1:7" ht="15.75" x14ac:dyDescent="0.25">
      <c r="A36" s="14" t="s">
        <v>67</v>
      </c>
      <c r="B36" s="15">
        <v>8</v>
      </c>
      <c r="C36" s="16"/>
      <c r="D36" s="16"/>
      <c r="E36" s="16"/>
      <c r="F36" s="16"/>
      <c r="G36" s="16"/>
    </row>
    <row r="37" spans="1:7" x14ac:dyDescent="0.2">
      <c r="A37" s="17" t="s">
        <v>8</v>
      </c>
      <c r="B37" s="17" t="s">
        <v>8</v>
      </c>
      <c r="C37" s="17" t="s">
        <v>8</v>
      </c>
      <c r="D37" s="17" t="s">
        <v>8</v>
      </c>
      <c r="E37" s="17" t="s">
        <v>8</v>
      </c>
      <c r="F37" s="17" t="s">
        <v>8</v>
      </c>
      <c r="G37" s="17"/>
    </row>
    <row r="38" spans="1:7" x14ac:dyDescent="0.2">
      <c r="A38" s="18" t="s">
        <v>67</v>
      </c>
      <c r="B38" s="3">
        <v>96787.040000000008</v>
      </c>
      <c r="C38" s="3"/>
      <c r="D38" s="3"/>
      <c r="E38" s="3"/>
      <c r="F38" s="3">
        <v>96787.040000000008</v>
      </c>
      <c r="G38" s="3"/>
    </row>
    <row r="39" spans="1:7" ht="15.75" thickBot="1" x14ac:dyDescent="0.25">
      <c r="A39" s="17" t="s">
        <v>8</v>
      </c>
      <c r="B39" s="17" t="s">
        <v>8</v>
      </c>
      <c r="C39" s="17" t="s">
        <v>8</v>
      </c>
      <c r="D39" s="17" t="s">
        <v>8</v>
      </c>
      <c r="E39" s="17" t="s">
        <v>8</v>
      </c>
      <c r="F39" s="3"/>
      <c r="G39" s="3"/>
    </row>
    <row r="40" spans="1:7" ht="16.5" thickTop="1" x14ac:dyDescent="0.25">
      <c r="A40" s="19" t="s">
        <v>68</v>
      </c>
      <c r="B40" s="20">
        <v>315110.14</v>
      </c>
      <c r="C40" s="20"/>
      <c r="D40" s="20"/>
      <c r="E40" s="20">
        <v>218323.1</v>
      </c>
      <c r="F40" s="20">
        <v>96787.040000000008</v>
      </c>
      <c r="G40" s="20"/>
    </row>
    <row r="41" spans="1:7" ht="15.75" x14ac:dyDescent="0.25">
      <c r="A41" s="21" t="s">
        <v>69</v>
      </c>
      <c r="B41" s="2">
        <v>654</v>
      </c>
      <c r="C41" s="22"/>
      <c r="D41" s="22"/>
      <c r="E41" s="22">
        <v>0.69299999999999995</v>
      </c>
      <c r="F41" s="22">
        <v>0.307</v>
      </c>
      <c r="G41" s="22"/>
    </row>
    <row r="42" spans="1:7" ht="15.75" x14ac:dyDescent="0.25">
      <c r="A42" s="21"/>
      <c r="B42" s="2">
        <v>654</v>
      </c>
      <c r="C42" s="22"/>
      <c r="D42" s="22"/>
      <c r="E42" s="22"/>
      <c r="F42" s="22"/>
      <c r="G42" s="22"/>
    </row>
    <row r="43" spans="1:7" ht="15.75" x14ac:dyDescent="0.25">
      <c r="A43" s="21" t="s">
        <v>39</v>
      </c>
      <c r="B43" s="2" t="s">
        <v>8</v>
      </c>
      <c r="C43" s="22"/>
      <c r="D43" s="22"/>
      <c r="E43" s="22"/>
      <c r="F43" s="22"/>
      <c r="G43" s="22"/>
    </row>
    <row r="44" spans="1:7" x14ac:dyDescent="0.2">
      <c r="A44" s="18" t="s">
        <v>40</v>
      </c>
      <c r="B44" s="3">
        <v>267346.37</v>
      </c>
      <c r="C44" s="3"/>
      <c r="D44" s="3"/>
      <c r="E44" s="3">
        <v>185230.12</v>
      </c>
      <c r="F44" s="3">
        <v>82116.25</v>
      </c>
      <c r="G44" s="3"/>
    </row>
    <row r="45" spans="1:7" x14ac:dyDescent="0.2">
      <c r="A45" s="18" t="s">
        <v>41</v>
      </c>
      <c r="B45" s="3">
        <v>27390.6</v>
      </c>
      <c r="C45" s="3"/>
      <c r="D45" s="3"/>
      <c r="E45" s="3">
        <v>18977.490000000002</v>
      </c>
      <c r="F45" s="3">
        <v>8413.1099999999969</v>
      </c>
      <c r="G45" s="3"/>
    </row>
    <row r="46" spans="1:7" ht="15.75" thickBot="1" x14ac:dyDescent="0.25">
      <c r="A46" s="18" t="s">
        <v>42</v>
      </c>
      <c r="B46" s="3">
        <v>20373.169999999998</v>
      </c>
      <c r="C46" s="3"/>
      <c r="D46" s="3"/>
      <c r="E46" s="3">
        <v>14115.49</v>
      </c>
      <c r="F46" s="3">
        <v>6257.6799999999985</v>
      </c>
      <c r="G46" s="3"/>
    </row>
    <row r="47" spans="1:7" ht="16.5" thickTop="1" x14ac:dyDescent="0.25">
      <c r="A47" s="19" t="s">
        <v>43</v>
      </c>
      <c r="B47" s="20">
        <v>315110.13999999996</v>
      </c>
      <c r="C47" s="20"/>
      <c r="D47" s="20"/>
      <c r="E47" s="20">
        <v>218323.09999999998</v>
      </c>
      <c r="F47" s="20">
        <v>96787.04</v>
      </c>
      <c r="G47" s="20"/>
    </row>
    <row r="48" spans="1:7" x14ac:dyDescent="0.2">
      <c r="A48" s="23"/>
      <c r="B48" s="2">
        <v>654</v>
      </c>
      <c r="C48" s="2"/>
      <c r="D48" s="2"/>
      <c r="E48" s="2"/>
      <c r="F48" s="2"/>
      <c r="G48" s="2"/>
    </row>
    <row r="49" spans="1:7" x14ac:dyDescent="0.2">
      <c r="A49" s="23"/>
      <c r="B49" s="2">
        <v>645</v>
      </c>
      <c r="C49" s="2"/>
      <c r="D49" s="2"/>
      <c r="E49" s="2"/>
      <c r="F49" s="2"/>
      <c r="G49" s="2"/>
    </row>
    <row r="50" spans="1:7" ht="15.75" thickBot="1" x14ac:dyDescent="0.25">
      <c r="A50" s="24"/>
      <c r="B50" s="25">
        <v>654</v>
      </c>
      <c r="C50" s="25"/>
      <c r="D50" s="25"/>
      <c r="E50" s="25"/>
      <c r="F50" s="25"/>
      <c r="G50" s="25"/>
    </row>
    <row r="51" spans="1:7" ht="15.75" thickTop="1" x14ac:dyDescent="0.2">
      <c r="A51" s="23"/>
      <c r="B51" s="2">
        <v>654</v>
      </c>
      <c r="C51" s="2"/>
      <c r="D51" s="2"/>
      <c r="E51" s="2"/>
      <c r="F51" s="2"/>
    </row>
    <row r="52" spans="1:7" x14ac:dyDescent="0.2">
      <c r="B52" s="3"/>
      <c r="C52" s="3"/>
      <c r="D52" s="3"/>
      <c r="E52" s="3"/>
      <c r="F52" s="3"/>
    </row>
    <row r="53" spans="1:7" x14ac:dyDescent="0.2">
      <c r="B53" s="3"/>
      <c r="C53" s="3"/>
      <c r="D53" s="3"/>
      <c r="E53" s="3"/>
      <c r="F53" s="3"/>
    </row>
    <row r="54" spans="1:7" x14ac:dyDescent="0.2">
      <c r="B54" s="3"/>
      <c r="C54" s="3"/>
      <c r="D54" s="3"/>
      <c r="E54" s="3"/>
      <c r="F54" s="3"/>
    </row>
    <row r="55" spans="1:7" x14ac:dyDescent="0.2">
      <c r="B55" s="3"/>
      <c r="C55" s="3"/>
      <c r="D55" s="3"/>
      <c r="E55" s="3"/>
      <c r="F55" s="3"/>
    </row>
    <row r="56" spans="1:7" x14ac:dyDescent="0.2">
      <c r="B56" s="3"/>
      <c r="C56" s="3"/>
      <c r="D56" s="3"/>
      <c r="E56" s="3"/>
      <c r="F56" s="3"/>
    </row>
    <row r="57" spans="1:7" x14ac:dyDescent="0.2">
      <c r="B57" s="3"/>
      <c r="C57" s="3"/>
      <c r="D57" s="3"/>
      <c r="E57" s="3"/>
      <c r="F57" s="3"/>
    </row>
    <row r="58" spans="1:7" x14ac:dyDescent="0.2">
      <c r="B58" s="3"/>
      <c r="C58" s="3"/>
      <c r="D58" s="3"/>
      <c r="E58" s="3"/>
      <c r="F58" s="3"/>
    </row>
    <row r="59" spans="1:7" x14ac:dyDescent="0.2">
      <c r="B59" s="3"/>
      <c r="C59" s="3"/>
      <c r="D59" s="3"/>
      <c r="E59" s="3"/>
      <c r="F59" s="3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</sheetData>
  <conditionalFormatting sqref="A1:XFD1048576">
    <cfRule type="cellIs" dxfId="7" priority="1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14E6-6D0F-400D-BCF4-00015E95B6E7}">
  <dimension ref="A1:G76"/>
  <sheetViews>
    <sheetView topLeftCell="A30" workbookViewId="0">
      <selection activeCell="B55" sqref="B55:B57"/>
    </sheetView>
  </sheetViews>
  <sheetFormatPr defaultRowHeight="15" x14ac:dyDescent="0.2"/>
  <cols>
    <col min="1" max="1" width="51.14062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303.64</v>
      </c>
      <c r="C17" s="3">
        <v>303.64</v>
      </c>
      <c r="D17" s="3"/>
      <c r="E17" s="3"/>
      <c r="F17" s="3"/>
      <c r="G17" s="3"/>
    </row>
    <row r="18" spans="1:7" x14ac:dyDescent="0.2">
      <c r="A18" s="18" t="s">
        <v>10</v>
      </c>
      <c r="B18" s="3">
        <v>2289.4</v>
      </c>
      <c r="C18" s="3">
        <v>2289.4</v>
      </c>
      <c r="D18" s="3"/>
      <c r="E18" s="3"/>
      <c r="F18" s="3"/>
      <c r="G18" s="3"/>
    </row>
    <row r="19" spans="1:7" x14ac:dyDescent="0.2">
      <c r="A19" s="18" t="s">
        <v>11</v>
      </c>
      <c r="B19" s="3">
        <v>16164.519999999999</v>
      </c>
      <c r="C19" s="3">
        <v>16164.519999999999</v>
      </c>
      <c r="D19" s="3"/>
      <c r="E19" s="3"/>
      <c r="F19" s="3"/>
      <c r="G19" s="3"/>
    </row>
    <row r="20" spans="1:7" x14ac:dyDescent="0.2">
      <c r="A20" s="18" t="s">
        <v>12</v>
      </c>
      <c r="B20" s="3">
        <v>1679.16</v>
      </c>
      <c r="C20" s="3">
        <v>1679.16</v>
      </c>
      <c r="D20" s="3"/>
      <c r="E20" s="3"/>
      <c r="F20" s="3"/>
      <c r="G20" s="3"/>
    </row>
    <row r="21" spans="1:7" x14ac:dyDescent="0.2">
      <c r="A21" s="18" t="s">
        <v>45</v>
      </c>
      <c r="B21" s="3">
        <v>230.59</v>
      </c>
      <c r="C21" s="3">
        <v>230.59</v>
      </c>
      <c r="D21" s="3"/>
      <c r="E21" s="3"/>
      <c r="F21" s="3"/>
      <c r="G21" s="3"/>
    </row>
    <row r="22" spans="1:7" x14ac:dyDescent="0.2">
      <c r="A22" s="18" t="s">
        <v>14</v>
      </c>
      <c r="B22" s="3">
        <v>1250.74</v>
      </c>
      <c r="C22" s="3">
        <v>1250.74</v>
      </c>
      <c r="D22" s="3"/>
      <c r="E22" s="3"/>
      <c r="F22" s="3"/>
      <c r="G22" s="3"/>
    </row>
    <row r="23" spans="1:7" x14ac:dyDescent="0.2">
      <c r="A23" s="18" t="s">
        <v>15</v>
      </c>
      <c r="B23" s="3">
        <v>5275.08</v>
      </c>
      <c r="C23" s="3">
        <v>5275.08</v>
      </c>
      <c r="D23" s="3"/>
      <c r="E23" s="3"/>
      <c r="F23" s="3"/>
      <c r="G23" s="3"/>
    </row>
    <row r="24" spans="1:7" x14ac:dyDescent="0.2">
      <c r="A24" s="18" t="s">
        <v>46</v>
      </c>
      <c r="B24" s="3">
        <v>962.76</v>
      </c>
      <c r="C24" s="3">
        <v>962.76</v>
      </c>
      <c r="D24" s="3"/>
      <c r="E24" s="3"/>
      <c r="F24" s="3"/>
      <c r="G24" s="3"/>
    </row>
    <row r="25" spans="1:7" x14ac:dyDescent="0.2">
      <c r="A25" s="18" t="s">
        <v>17</v>
      </c>
      <c r="B25" s="3">
        <v>645.41000000000008</v>
      </c>
      <c r="C25" s="3">
        <v>645.41000000000008</v>
      </c>
      <c r="D25" s="3"/>
      <c r="E25" s="3"/>
      <c r="F25" s="3"/>
      <c r="G25" s="3"/>
    </row>
    <row r="26" spans="1:7" x14ac:dyDescent="0.2">
      <c r="A26" s="18" t="s">
        <v>47</v>
      </c>
      <c r="B26" s="3">
        <v>99.899999999999991</v>
      </c>
      <c r="C26" s="3">
        <v>99.899999999999991</v>
      </c>
      <c r="D26" s="3"/>
      <c r="E26" s="3"/>
      <c r="F26" s="3"/>
      <c r="G26" s="3"/>
    </row>
    <row r="27" spans="1:7" x14ac:dyDescent="0.2">
      <c r="A27" s="18" t="s">
        <v>48</v>
      </c>
      <c r="B27" s="3">
        <v>45.48</v>
      </c>
      <c r="C27" s="3">
        <v>45.48</v>
      </c>
      <c r="D27" s="3"/>
      <c r="E27" s="3"/>
      <c r="F27" s="3"/>
      <c r="G27" s="3"/>
    </row>
    <row r="28" spans="1:7" x14ac:dyDescent="0.2">
      <c r="A28" s="18" t="s">
        <v>18</v>
      </c>
      <c r="B28" s="3">
        <v>3308.54</v>
      </c>
      <c r="C28" s="3">
        <v>3308.54</v>
      </c>
      <c r="D28" s="3"/>
      <c r="E28" s="3"/>
      <c r="F28" s="3"/>
      <c r="G28" s="3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ht="15.75" x14ac:dyDescent="0.25">
      <c r="A30" s="14" t="s">
        <v>19</v>
      </c>
      <c r="B30" s="15">
        <v>8</v>
      </c>
      <c r="C30" s="16"/>
      <c r="D30" s="16"/>
      <c r="E30" s="16"/>
      <c r="F30" s="16"/>
      <c r="G30" s="16"/>
    </row>
    <row r="31" spans="1:7" x14ac:dyDescent="0.2">
      <c r="A31" s="17" t="s">
        <v>8</v>
      </c>
      <c r="B31" s="17" t="s">
        <v>8</v>
      </c>
      <c r="C31" s="17" t="s">
        <v>8</v>
      </c>
      <c r="D31" s="17" t="s">
        <v>8</v>
      </c>
      <c r="E31" s="17" t="s">
        <v>8</v>
      </c>
      <c r="F31" s="17" t="s">
        <v>8</v>
      </c>
      <c r="G31" s="17"/>
    </row>
    <row r="32" spans="1:7" x14ac:dyDescent="0.2">
      <c r="A32" s="18" t="s">
        <v>20</v>
      </c>
      <c r="B32" s="3">
        <v>11830.029999999999</v>
      </c>
      <c r="C32" s="3"/>
      <c r="D32" s="3"/>
      <c r="E32" s="3"/>
      <c r="F32" s="3">
        <v>11830.029999999999</v>
      </c>
      <c r="G32" s="3"/>
    </row>
    <row r="33" spans="1:7" x14ac:dyDescent="0.2">
      <c r="A33" s="18" t="s">
        <v>21</v>
      </c>
      <c r="B33" s="3">
        <v>21317.77</v>
      </c>
      <c r="C33" s="3"/>
      <c r="D33" s="3"/>
      <c r="E33" s="3"/>
      <c r="F33" s="3">
        <v>21317.77</v>
      </c>
      <c r="G33" s="3"/>
    </row>
    <row r="34" spans="1:7" x14ac:dyDescent="0.2">
      <c r="A34" s="18" t="s">
        <v>22</v>
      </c>
      <c r="B34" s="3">
        <v>15636.59</v>
      </c>
      <c r="C34" s="3"/>
      <c r="D34" s="3"/>
      <c r="E34" s="3"/>
      <c r="F34" s="3">
        <v>15636.59</v>
      </c>
      <c r="G34" s="3"/>
    </row>
    <row r="35" spans="1:7" x14ac:dyDescent="0.2">
      <c r="A35" s="18" t="s">
        <v>23</v>
      </c>
      <c r="B35" s="3">
        <v>15927.28</v>
      </c>
      <c r="C35" s="3"/>
      <c r="D35" s="3"/>
      <c r="E35" s="3"/>
      <c r="F35" s="3">
        <v>15927.28</v>
      </c>
      <c r="G35" s="3"/>
    </row>
    <row r="36" spans="1:7" x14ac:dyDescent="0.2">
      <c r="A36" s="18" t="s">
        <v>24</v>
      </c>
      <c r="B36" s="3">
        <v>12830.5</v>
      </c>
      <c r="C36" s="3"/>
      <c r="D36" s="3"/>
      <c r="E36" s="3"/>
      <c r="F36" s="3">
        <v>12830.5</v>
      </c>
      <c r="G36" s="3"/>
    </row>
    <row r="37" spans="1:7" x14ac:dyDescent="0.2">
      <c r="A37" s="18" t="s">
        <v>25</v>
      </c>
      <c r="B37" s="3">
        <v>1203.33</v>
      </c>
      <c r="C37" s="3"/>
      <c r="D37" s="3"/>
      <c r="E37" s="3"/>
      <c r="F37" s="3">
        <v>1203.33</v>
      </c>
      <c r="G37" s="3"/>
    </row>
    <row r="38" spans="1:7" x14ac:dyDescent="0.2">
      <c r="A38" s="18" t="s">
        <v>26</v>
      </c>
      <c r="B38" s="3">
        <v>17377.25</v>
      </c>
      <c r="C38" s="3"/>
      <c r="D38" s="3"/>
      <c r="E38" s="3"/>
      <c r="F38" s="3">
        <v>17377.25</v>
      </c>
      <c r="G38" s="3"/>
    </row>
    <row r="39" spans="1:7" x14ac:dyDescent="0.2">
      <c r="A39" s="18" t="s">
        <v>27</v>
      </c>
      <c r="B39" s="3">
        <v>4999.87</v>
      </c>
      <c r="C39" s="3"/>
      <c r="D39" s="3"/>
      <c r="E39" s="3"/>
      <c r="F39" s="3">
        <v>4999.87</v>
      </c>
      <c r="G39" s="3"/>
    </row>
    <row r="40" spans="1:7" x14ac:dyDescent="0.2">
      <c r="A40" s="18" t="s">
        <v>28</v>
      </c>
      <c r="B40" s="3">
        <v>8291.76</v>
      </c>
      <c r="C40" s="3"/>
      <c r="D40" s="3"/>
      <c r="E40" s="3"/>
      <c r="F40" s="3">
        <v>8291.76</v>
      </c>
      <c r="G40" s="3"/>
    </row>
    <row r="41" spans="1:7" x14ac:dyDescent="0.2">
      <c r="A41" s="18" t="s">
        <v>29</v>
      </c>
      <c r="B41" s="3">
        <v>7199.05</v>
      </c>
      <c r="C41" s="3"/>
      <c r="D41" s="3"/>
      <c r="E41" s="3"/>
      <c r="F41" s="3">
        <v>7199.05</v>
      </c>
      <c r="G41" s="3"/>
    </row>
    <row r="42" spans="1:7" x14ac:dyDescent="0.2">
      <c r="A42" s="18" t="s">
        <v>30</v>
      </c>
      <c r="B42" s="3">
        <v>18442.919999999998</v>
      </c>
      <c r="C42" s="3"/>
      <c r="D42" s="3"/>
      <c r="E42" s="3"/>
      <c r="F42" s="3">
        <v>18442.919999999998</v>
      </c>
      <c r="G42" s="3"/>
    </row>
    <row r="43" spans="1:7" x14ac:dyDescent="0.2">
      <c r="A43" s="18" t="s">
        <v>31</v>
      </c>
      <c r="B43" s="3">
        <v>7118.71</v>
      </c>
      <c r="C43" s="3"/>
      <c r="D43" s="3"/>
      <c r="E43" s="3"/>
      <c r="F43" s="3">
        <v>7118.71</v>
      </c>
      <c r="G43" s="3"/>
    </row>
    <row r="44" spans="1:7" x14ac:dyDescent="0.2">
      <c r="A44" s="18" t="s">
        <v>32</v>
      </c>
      <c r="B44" s="3">
        <v>1681.12</v>
      </c>
      <c r="C44" s="3"/>
      <c r="D44" s="3"/>
      <c r="E44" s="3"/>
      <c r="F44" s="3">
        <v>1681.12</v>
      </c>
      <c r="G44" s="3"/>
    </row>
    <row r="45" spans="1:7" x14ac:dyDescent="0.2">
      <c r="A45" s="18" t="s">
        <v>49</v>
      </c>
      <c r="B45" s="3">
        <v>1496.36</v>
      </c>
      <c r="C45" s="3"/>
      <c r="D45" s="3"/>
      <c r="E45" s="3"/>
      <c r="F45" s="3">
        <v>1496.36</v>
      </c>
      <c r="G45" s="3"/>
    </row>
    <row r="46" spans="1:7" x14ac:dyDescent="0.2">
      <c r="A46" s="18" t="s">
        <v>33</v>
      </c>
      <c r="B46" s="3">
        <v>22170.89</v>
      </c>
      <c r="C46" s="3"/>
      <c r="D46" s="3"/>
      <c r="E46" s="3"/>
      <c r="F46" s="3">
        <v>22170.89</v>
      </c>
      <c r="G46" s="3"/>
    </row>
    <row r="47" spans="1:7" x14ac:dyDescent="0.2">
      <c r="A47" s="18" t="s">
        <v>34</v>
      </c>
      <c r="B47" s="3">
        <v>2533.5</v>
      </c>
      <c r="C47" s="3"/>
      <c r="D47" s="3"/>
      <c r="E47" s="3"/>
      <c r="F47" s="3">
        <v>2533.5</v>
      </c>
      <c r="G47" s="3"/>
    </row>
    <row r="48" spans="1:7" x14ac:dyDescent="0.2">
      <c r="A48" s="18" t="s">
        <v>50</v>
      </c>
      <c r="B48" s="3">
        <v>1724.77</v>
      </c>
      <c r="C48" s="3"/>
      <c r="D48" s="3"/>
      <c r="E48" s="3"/>
      <c r="F48" s="3">
        <v>1724.77</v>
      </c>
      <c r="G48" s="3"/>
    </row>
    <row r="49" spans="1:7" x14ac:dyDescent="0.2">
      <c r="A49" s="18" t="s">
        <v>35</v>
      </c>
      <c r="B49" s="3">
        <v>502.71999999999997</v>
      </c>
      <c r="C49" s="3"/>
      <c r="D49" s="3"/>
      <c r="E49" s="3"/>
      <c r="F49" s="3">
        <v>502.71999999999997</v>
      </c>
      <c r="G49" s="3"/>
    </row>
    <row r="50" spans="1:7" ht="15.75" thickBot="1" x14ac:dyDescent="0.25">
      <c r="A50" s="17" t="s">
        <v>8</v>
      </c>
      <c r="B50" s="17" t="s">
        <v>8</v>
      </c>
      <c r="C50" s="17" t="s">
        <v>8</v>
      </c>
      <c r="D50" s="17" t="s">
        <v>8</v>
      </c>
      <c r="E50" s="17" t="s">
        <v>8</v>
      </c>
      <c r="F50" s="3"/>
      <c r="G50" s="3"/>
    </row>
    <row r="51" spans="1:7" ht="16.5" thickTop="1" x14ac:dyDescent="0.25">
      <c r="A51" s="19" t="s">
        <v>37</v>
      </c>
      <c r="B51" s="20">
        <v>204539.63999999996</v>
      </c>
      <c r="C51" s="20">
        <v>32255.219999999998</v>
      </c>
      <c r="D51" s="20"/>
      <c r="E51" s="20"/>
      <c r="F51" s="20">
        <v>172284.41999999993</v>
      </c>
      <c r="G51" s="20"/>
    </row>
    <row r="52" spans="1:7" ht="15.75" x14ac:dyDescent="0.25">
      <c r="A52" s="21" t="s">
        <v>38</v>
      </c>
      <c r="B52" s="2">
        <v>654</v>
      </c>
      <c r="C52" s="22">
        <v>0.158</v>
      </c>
      <c r="D52" s="22">
        <v>0</v>
      </c>
      <c r="E52" s="22">
        <v>0</v>
      </c>
      <c r="F52" s="22">
        <v>0.84199999999999997</v>
      </c>
      <c r="G52" s="22">
        <v>0</v>
      </c>
    </row>
    <row r="53" spans="1:7" ht="15.75" x14ac:dyDescent="0.25">
      <c r="A53" s="21"/>
      <c r="B53" s="2">
        <v>654</v>
      </c>
      <c r="C53" s="22"/>
      <c r="D53" s="22"/>
      <c r="E53" s="22"/>
      <c r="F53" s="22"/>
      <c r="G53" s="22"/>
    </row>
    <row r="54" spans="1:7" ht="15.75" x14ac:dyDescent="0.25">
      <c r="A54" s="21" t="s">
        <v>39</v>
      </c>
      <c r="B54" s="2" t="s">
        <v>8</v>
      </c>
      <c r="C54" s="22"/>
      <c r="D54" s="22"/>
      <c r="E54" s="22"/>
      <c r="F54" s="22"/>
      <c r="G54" s="22"/>
    </row>
    <row r="55" spans="1:7" x14ac:dyDescent="0.2">
      <c r="A55" s="18" t="s">
        <v>40</v>
      </c>
      <c r="B55" s="3">
        <v>173535.93</v>
      </c>
      <c r="C55" s="3">
        <v>27366.04</v>
      </c>
      <c r="D55" s="3"/>
      <c r="E55" s="3"/>
      <c r="F55" s="3">
        <v>146169.88999999998</v>
      </c>
      <c r="G55" s="3"/>
    </row>
    <row r="56" spans="1:7" x14ac:dyDescent="0.2">
      <c r="A56" s="18" t="s">
        <v>41</v>
      </c>
      <c r="B56" s="3">
        <v>17779.38</v>
      </c>
      <c r="C56" s="3">
        <v>2803.75</v>
      </c>
      <c r="D56" s="3"/>
      <c r="E56" s="3"/>
      <c r="F56" s="3">
        <v>14975.630000000001</v>
      </c>
      <c r="G56" s="3"/>
    </row>
    <row r="57" spans="1:7" ht="15.75" thickBot="1" x14ac:dyDescent="0.25">
      <c r="A57" s="18" t="s">
        <v>42</v>
      </c>
      <c r="B57" s="3">
        <v>13224.33</v>
      </c>
      <c r="C57" s="3">
        <v>2085.4299999999998</v>
      </c>
      <c r="D57" s="3"/>
      <c r="E57" s="3"/>
      <c r="F57" s="3">
        <v>11138.9</v>
      </c>
      <c r="G57" s="3"/>
    </row>
    <row r="58" spans="1:7" ht="16.5" thickTop="1" x14ac:dyDescent="0.25">
      <c r="A58" s="19" t="s">
        <v>43</v>
      </c>
      <c r="B58" s="20">
        <v>204539.63999999998</v>
      </c>
      <c r="C58" s="20">
        <v>32255.22</v>
      </c>
      <c r="D58" s="20"/>
      <c r="E58" s="20"/>
      <c r="F58" s="20">
        <v>172284.41999999998</v>
      </c>
      <c r="G58" s="20"/>
    </row>
    <row r="59" spans="1:7" x14ac:dyDescent="0.2">
      <c r="A59" s="23"/>
      <c r="B59" s="2">
        <v>654</v>
      </c>
      <c r="C59" s="2"/>
      <c r="D59" s="2"/>
      <c r="E59" s="2"/>
      <c r="F59" s="2"/>
      <c r="G59" s="2"/>
    </row>
    <row r="60" spans="1:7" x14ac:dyDescent="0.2">
      <c r="A60" s="23"/>
      <c r="B60" s="2">
        <v>645</v>
      </c>
      <c r="C60" s="2"/>
      <c r="D60" s="2"/>
      <c r="E60" s="2"/>
      <c r="F60" s="2"/>
      <c r="G60" s="2"/>
    </row>
    <row r="61" spans="1:7" ht="15.75" thickBot="1" x14ac:dyDescent="0.25">
      <c r="A61" s="24"/>
      <c r="B61" s="25">
        <v>654</v>
      </c>
      <c r="C61" s="25"/>
      <c r="D61" s="25"/>
      <c r="E61" s="25"/>
      <c r="F61" s="25"/>
      <c r="G61" s="25"/>
    </row>
    <row r="62" spans="1:7" ht="15.75" thickTop="1" x14ac:dyDescent="0.2">
      <c r="A62" s="23"/>
      <c r="B62" s="2">
        <v>654</v>
      </c>
      <c r="C62" s="2"/>
      <c r="D62" s="2"/>
      <c r="E62" s="2"/>
      <c r="F62" s="2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  <row r="74" spans="2:6" x14ac:dyDescent="0.2">
      <c r="B74" s="3"/>
      <c r="C74" s="3"/>
      <c r="D74" s="3"/>
      <c r="E74" s="3"/>
      <c r="F74" s="3"/>
    </row>
    <row r="75" spans="2:6" x14ac:dyDescent="0.2">
      <c r="B75" s="3"/>
      <c r="C75" s="3"/>
      <c r="D75" s="3"/>
      <c r="E75" s="3"/>
      <c r="F75" s="3"/>
    </row>
    <row r="76" spans="2:6" x14ac:dyDescent="0.2">
      <c r="B76" s="3"/>
      <c r="C76" s="3"/>
      <c r="D76" s="3"/>
      <c r="E76" s="3"/>
      <c r="F76" s="3"/>
    </row>
  </sheetData>
  <conditionalFormatting sqref="A1:XFD1048576">
    <cfRule type="cellIs" dxfId="6" priority="1" stopIfTrue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84F4-298A-41BD-9C51-6307426DF919}">
  <sheetPr codeName="Sheet23">
    <pageSetUpPr fitToPage="1"/>
  </sheetPr>
  <dimension ref="A1:G73"/>
  <sheetViews>
    <sheetView topLeftCell="A9" zoomScale="75" zoomScaleNormal="75" workbookViewId="0">
      <selection activeCell="N65" sqref="N65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13460.19</v>
      </c>
      <c r="C17" s="3">
        <v>13460.19</v>
      </c>
      <c r="D17" s="3"/>
      <c r="E17" s="3"/>
      <c r="F17" s="3"/>
      <c r="G17" s="3"/>
    </row>
    <row r="18" spans="1:7" x14ac:dyDescent="0.2">
      <c r="A18" s="18" t="s">
        <v>10</v>
      </c>
      <c r="B18" s="3">
        <v>8863.880000000001</v>
      </c>
      <c r="C18" s="3">
        <v>8863.880000000001</v>
      </c>
      <c r="D18" s="3"/>
      <c r="E18" s="3"/>
      <c r="F18" s="3"/>
      <c r="G18" s="3"/>
    </row>
    <row r="19" spans="1:7" x14ac:dyDescent="0.2">
      <c r="A19" s="18" t="s">
        <v>11</v>
      </c>
      <c r="B19" s="3">
        <v>33857.279999999999</v>
      </c>
      <c r="C19" s="3">
        <v>33857.279999999999</v>
      </c>
      <c r="D19" s="3"/>
      <c r="E19" s="3"/>
      <c r="F19" s="3"/>
      <c r="G19" s="3"/>
    </row>
    <row r="20" spans="1:7" x14ac:dyDescent="0.2">
      <c r="A20" s="18" t="s">
        <v>12</v>
      </c>
      <c r="B20" s="3">
        <v>3263.85</v>
      </c>
      <c r="C20" s="3">
        <v>3263.85</v>
      </c>
      <c r="D20" s="3"/>
      <c r="E20" s="3"/>
      <c r="F20" s="3"/>
      <c r="G20" s="3"/>
    </row>
    <row r="21" spans="1:7" x14ac:dyDescent="0.2">
      <c r="A21" s="18" t="s">
        <v>13</v>
      </c>
      <c r="B21" s="3">
        <v>199.25</v>
      </c>
      <c r="C21" s="3">
        <v>199.25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2957.54</v>
      </c>
      <c r="C23" s="3">
        <v>2957.54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13938.650000000001</v>
      </c>
      <c r="C30" s="3"/>
      <c r="D30" s="3"/>
      <c r="E30" s="3"/>
      <c r="F30" s="3">
        <v>13938.650000000001</v>
      </c>
      <c r="G30" s="3"/>
    </row>
    <row r="31" spans="1:7" x14ac:dyDescent="0.2">
      <c r="A31" s="18" t="s">
        <v>21</v>
      </c>
      <c r="B31" s="3">
        <v>23175.05</v>
      </c>
      <c r="C31" s="3"/>
      <c r="D31" s="3"/>
      <c r="E31" s="3"/>
      <c r="F31" s="3">
        <v>23175.05</v>
      </c>
      <c r="G31" s="3"/>
    </row>
    <row r="32" spans="1:7" x14ac:dyDescent="0.2">
      <c r="A32" s="18" t="s">
        <v>22</v>
      </c>
      <c r="B32" s="3">
        <v>33234.480000000003</v>
      </c>
      <c r="C32" s="3"/>
      <c r="D32" s="3"/>
      <c r="E32" s="3"/>
      <c r="F32" s="3">
        <v>33234.480000000003</v>
      </c>
      <c r="G32" s="3"/>
    </row>
    <row r="33" spans="1:7" x14ac:dyDescent="0.2">
      <c r="A33" s="18" t="s">
        <v>23</v>
      </c>
      <c r="B33" s="3">
        <v>35980.1</v>
      </c>
      <c r="C33" s="3"/>
      <c r="D33" s="3"/>
      <c r="E33" s="3"/>
      <c r="F33" s="3">
        <v>35980.1</v>
      </c>
      <c r="G33" s="3"/>
    </row>
    <row r="34" spans="1:7" x14ac:dyDescent="0.2">
      <c r="A34" s="18" t="s">
        <v>24</v>
      </c>
      <c r="B34" s="3">
        <v>28890.57</v>
      </c>
      <c r="C34" s="3"/>
      <c r="D34" s="3"/>
      <c r="E34" s="3"/>
      <c r="F34" s="3">
        <v>28890.57</v>
      </c>
      <c r="G34" s="3"/>
    </row>
    <row r="35" spans="1:7" x14ac:dyDescent="0.2">
      <c r="A35" s="18" t="s">
        <v>25</v>
      </c>
      <c r="B35" s="3">
        <v>1919.47</v>
      </c>
      <c r="C35" s="3"/>
      <c r="D35" s="3"/>
      <c r="E35" s="3"/>
      <c r="F35" s="3">
        <v>1919.47</v>
      </c>
      <c r="G35" s="3"/>
    </row>
    <row r="36" spans="1:7" x14ac:dyDescent="0.2">
      <c r="A36" s="18" t="s">
        <v>26</v>
      </c>
      <c r="B36" s="3">
        <v>37996.67</v>
      </c>
      <c r="C36" s="3"/>
      <c r="D36" s="3"/>
      <c r="E36" s="3"/>
      <c r="F36" s="3">
        <v>37996.67</v>
      </c>
      <c r="G36" s="3"/>
    </row>
    <row r="37" spans="1:7" x14ac:dyDescent="0.2">
      <c r="A37" s="18" t="s">
        <v>27</v>
      </c>
      <c r="B37" s="3">
        <v>24344.21</v>
      </c>
      <c r="C37" s="3"/>
      <c r="D37" s="3"/>
      <c r="E37" s="3"/>
      <c r="F37" s="3">
        <v>24344.21</v>
      </c>
      <c r="G37" s="3"/>
    </row>
    <row r="38" spans="1:7" x14ac:dyDescent="0.2">
      <c r="A38" s="18" t="s">
        <v>28</v>
      </c>
      <c r="B38" s="3">
        <v>14385.720000000001</v>
      </c>
      <c r="C38" s="3"/>
      <c r="D38" s="3"/>
      <c r="E38" s="3"/>
      <c r="F38" s="3">
        <v>14385.720000000001</v>
      </c>
      <c r="G38" s="3"/>
    </row>
    <row r="39" spans="1:7" x14ac:dyDescent="0.2">
      <c r="A39" s="18" t="s">
        <v>29</v>
      </c>
      <c r="B39" s="3">
        <v>15078.71</v>
      </c>
      <c r="C39" s="3"/>
      <c r="D39" s="3"/>
      <c r="E39" s="3"/>
      <c r="F39" s="3">
        <v>15078.71</v>
      </c>
      <c r="G39" s="3"/>
    </row>
    <row r="40" spans="1:7" x14ac:dyDescent="0.2">
      <c r="A40" s="18" t="s">
        <v>30</v>
      </c>
      <c r="B40" s="3">
        <v>38493.03</v>
      </c>
      <c r="C40" s="3"/>
      <c r="D40" s="3"/>
      <c r="E40" s="3"/>
      <c r="F40" s="3">
        <v>38493.03</v>
      </c>
      <c r="G40" s="3"/>
    </row>
    <row r="41" spans="1:7" x14ac:dyDescent="0.2">
      <c r="A41" s="18" t="s">
        <v>31</v>
      </c>
      <c r="B41" s="3">
        <v>16746.670000000002</v>
      </c>
      <c r="C41" s="3"/>
      <c r="D41" s="3"/>
      <c r="E41" s="3"/>
      <c r="F41" s="3">
        <v>16746.670000000002</v>
      </c>
      <c r="G41" s="3"/>
    </row>
    <row r="42" spans="1:7" x14ac:dyDescent="0.2">
      <c r="A42" s="18" t="s">
        <v>32</v>
      </c>
      <c r="B42" s="3">
        <v>1740.2</v>
      </c>
      <c r="C42" s="3"/>
      <c r="D42" s="3"/>
      <c r="E42" s="3"/>
      <c r="F42" s="3">
        <v>1740.2</v>
      </c>
      <c r="G42" s="3"/>
    </row>
    <row r="43" spans="1:7" x14ac:dyDescent="0.2">
      <c r="A43" s="18" t="s">
        <v>33</v>
      </c>
      <c r="B43" s="3">
        <v>56850.600000000006</v>
      </c>
      <c r="C43" s="3"/>
      <c r="D43" s="3"/>
      <c r="E43" s="3"/>
      <c r="F43" s="3">
        <v>56850.600000000006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2575.94</v>
      </c>
      <c r="C46" s="3"/>
      <c r="D46" s="3"/>
      <c r="E46" s="3"/>
      <c r="F46" s="3">
        <v>2575.94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454085.45999999996</v>
      </c>
      <c r="C48" s="20">
        <v>94192.699999999983</v>
      </c>
      <c r="D48" s="20"/>
      <c r="E48" s="20"/>
      <c r="F48" s="20">
        <v>359892.76</v>
      </c>
      <c r="G48" s="20"/>
    </row>
    <row r="49" spans="1:7" ht="15.75" x14ac:dyDescent="0.25">
      <c r="A49" s="21" t="s">
        <v>38</v>
      </c>
      <c r="B49" s="2">
        <v>654</v>
      </c>
      <c r="C49" s="22">
        <v>0.20699999999999999</v>
      </c>
      <c r="D49" s="22">
        <v>0</v>
      </c>
      <c r="E49" s="22">
        <v>0</v>
      </c>
      <c r="F49" s="22">
        <v>0.79300000000000004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385256.09</v>
      </c>
      <c r="C52" s="3">
        <v>79915.16</v>
      </c>
      <c r="D52" s="3"/>
      <c r="E52" s="3"/>
      <c r="F52" s="3">
        <v>305340.93000000005</v>
      </c>
      <c r="G52" s="3"/>
    </row>
    <row r="53" spans="1:7" x14ac:dyDescent="0.2">
      <c r="A53" s="18" t="s">
        <v>41</v>
      </c>
      <c r="B53" s="3">
        <v>39470.870000000003</v>
      </c>
      <c r="C53" s="3">
        <v>8187.59</v>
      </c>
      <c r="D53" s="3"/>
      <c r="E53" s="3"/>
      <c r="F53" s="3">
        <v>31283.280000000002</v>
      </c>
      <c r="G53" s="3"/>
    </row>
    <row r="54" spans="1:7" ht="15.75" thickBot="1" x14ac:dyDescent="0.25">
      <c r="A54" s="18" t="s">
        <v>42</v>
      </c>
      <c r="B54" s="3">
        <v>29358.5</v>
      </c>
      <c r="C54" s="3">
        <v>6089.95</v>
      </c>
      <c r="D54" s="3"/>
      <c r="E54" s="3"/>
      <c r="F54" s="3">
        <v>23268.55</v>
      </c>
      <c r="G54" s="3"/>
    </row>
    <row r="55" spans="1:7" ht="16.5" thickTop="1" x14ac:dyDescent="0.25">
      <c r="A55" s="19" t="s">
        <v>43</v>
      </c>
      <c r="B55" s="20">
        <v>454085.46</v>
      </c>
      <c r="C55" s="20">
        <v>94192.7</v>
      </c>
      <c r="D55" s="20"/>
      <c r="E55" s="20"/>
      <c r="F55" s="20">
        <v>359892.76000000007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5" priority="1" stopIfTrue="1" operator="lessThan">
      <formula>0</formula>
    </cfRule>
  </conditionalFormatting>
  <printOptions horizontalCentered="1"/>
  <pageMargins left="0.75" right="0.75" top="1" bottom="1" header="0.5" footer="0.5"/>
  <pageSetup scale="74" orientation="portrait" r:id="rId1"/>
  <headerFooter>
    <oddHeader xml:space="preserve">&amp;C&amp;"Arial,bold"&amp;16 &amp;"Arial,bold"&amp;16 Cost Segregation Study
&amp;"Arial,bold"&amp;13Cost Detail&amp;"Arial,bold"&amp;14
Grove Park Terrace&amp;"Arial,bold"&amp;13
400 Peters St
Waxahachie, TX 75165
Building 1
</oddHeader>
    <oddFooter xml:space="preserve">&amp;C&amp;"Times New Roman,Regular"&amp;14 20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65F7-B714-4BC3-8E2A-7F0D0CC86BF9}">
  <dimension ref="A1:G73"/>
  <sheetViews>
    <sheetView topLeftCell="A7" workbookViewId="0">
      <selection activeCell="L28" sqref="L28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12955.58</v>
      </c>
      <c r="C17" s="3">
        <v>12955.58</v>
      </c>
      <c r="D17" s="3"/>
      <c r="E17" s="3"/>
      <c r="F17" s="3"/>
      <c r="G17" s="3"/>
    </row>
    <row r="18" spans="1:7" x14ac:dyDescent="0.2">
      <c r="A18" s="18" t="s">
        <v>10</v>
      </c>
      <c r="B18" s="3">
        <v>7814.7</v>
      </c>
      <c r="C18" s="3">
        <v>7814.7</v>
      </c>
      <c r="D18" s="3"/>
      <c r="E18" s="3"/>
      <c r="F18" s="3"/>
      <c r="G18" s="3"/>
    </row>
    <row r="19" spans="1:7" x14ac:dyDescent="0.2">
      <c r="A19" s="18" t="s">
        <v>11</v>
      </c>
      <c r="B19" s="3">
        <v>31009.21</v>
      </c>
      <c r="C19" s="3">
        <v>31009.21</v>
      </c>
      <c r="D19" s="3"/>
      <c r="E19" s="3"/>
      <c r="F19" s="3"/>
      <c r="G19" s="3"/>
    </row>
    <row r="20" spans="1:7" x14ac:dyDescent="0.2">
      <c r="A20" s="18" t="s">
        <v>12</v>
      </c>
      <c r="B20" s="3">
        <v>3263.85</v>
      </c>
      <c r="C20" s="3">
        <v>3263.85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2708.75</v>
      </c>
      <c r="C23" s="3">
        <v>2708.75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11905.280000000002</v>
      </c>
      <c r="C30" s="3"/>
      <c r="D30" s="3"/>
      <c r="E30" s="3"/>
      <c r="F30" s="3">
        <v>11905.280000000002</v>
      </c>
      <c r="G30" s="3"/>
    </row>
    <row r="31" spans="1:7" x14ac:dyDescent="0.2">
      <c r="A31" s="18" t="s">
        <v>21</v>
      </c>
      <c r="B31" s="3">
        <v>21103.899999999998</v>
      </c>
      <c r="C31" s="3"/>
      <c r="D31" s="3"/>
      <c r="E31" s="3"/>
      <c r="F31" s="3">
        <v>21103.899999999998</v>
      </c>
      <c r="G31" s="3"/>
    </row>
    <row r="32" spans="1:7" x14ac:dyDescent="0.2">
      <c r="A32" s="18" t="s">
        <v>22</v>
      </c>
      <c r="B32" s="3">
        <v>30438.799999999999</v>
      </c>
      <c r="C32" s="3"/>
      <c r="D32" s="3"/>
      <c r="E32" s="3"/>
      <c r="F32" s="3">
        <v>30438.799999999999</v>
      </c>
      <c r="G32" s="3"/>
    </row>
    <row r="33" spans="1:7" x14ac:dyDescent="0.2">
      <c r="A33" s="18" t="s">
        <v>23</v>
      </c>
      <c r="B33" s="3">
        <v>32953.46</v>
      </c>
      <c r="C33" s="3"/>
      <c r="D33" s="3"/>
      <c r="E33" s="3"/>
      <c r="F33" s="3">
        <v>32953.46</v>
      </c>
      <c r="G33" s="3"/>
    </row>
    <row r="34" spans="1:7" x14ac:dyDescent="0.2">
      <c r="A34" s="18" t="s">
        <v>24</v>
      </c>
      <c r="B34" s="3">
        <v>26460.29</v>
      </c>
      <c r="C34" s="3"/>
      <c r="D34" s="3"/>
      <c r="E34" s="3"/>
      <c r="F34" s="3">
        <v>26460.29</v>
      </c>
      <c r="G34" s="3"/>
    </row>
    <row r="35" spans="1:7" x14ac:dyDescent="0.2">
      <c r="A35" s="18" t="s">
        <v>25</v>
      </c>
      <c r="B35" s="3">
        <v>1706.2</v>
      </c>
      <c r="C35" s="3"/>
      <c r="D35" s="3"/>
      <c r="E35" s="3"/>
      <c r="F35" s="3">
        <v>1706.2</v>
      </c>
      <c r="G35" s="3"/>
    </row>
    <row r="36" spans="1:7" x14ac:dyDescent="0.2">
      <c r="A36" s="18" t="s">
        <v>26</v>
      </c>
      <c r="B36" s="3">
        <v>32377.329999999998</v>
      </c>
      <c r="C36" s="3"/>
      <c r="D36" s="3"/>
      <c r="E36" s="3"/>
      <c r="F36" s="3">
        <v>32377.329999999998</v>
      </c>
      <c r="G36" s="3"/>
    </row>
    <row r="37" spans="1:7" x14ac:dyDescent="0.2">
      <c r="A37" s="18" t="s">
        <v>27</v>
      </c>
      <c r="B37" s="3">
        <v>21744.5</v>
      </c>
      <c r="C37" s="3"/>
      <c r="D37" s="3"/>
      <c r="E37" s="3"/>
      <c r="F37" s="3">
        <v>21744.5</v>
      </c>
      <c r="G37" s="3"/>
    </row>
    <row r="38" spans="1:7" x14ac:dyDescent="0.2">
      <c r="A38" s="18" t="s">
        <v>28</v>
      </c>
      <c r="B38" s="3">
        <v>14385.720000000001</v>
      </c>
      <c r="C38" s="3"/>
      <c r="D38" s="3"/>
      <c r="E38" s="3"/>
      <c r="F38" s="3">
        <v>14385.720000000001</v>
      </c>
      <c r="G38" s="3"/>
    </row>
    <row r="39" spans="1:7" x14ac:dyDescent="0.2">
      <c r="A39" s="18" t="s">
        <v>29</v>
      </c>
      <c r="B39" s="3">
        <v>13810.289999999999</v>
      </c>
      <c r="C39" s="3"/>
      <c r="D39" s="3"/>
      <c r="E39" s="3"/>
      <c r="F39" s="3">
        <v>13810.289999999999</v>
      </c>
      <c r="G39" s="3"/>
    </row>
    <row r="40" spans="1:7" x14ac:dyDescent="0.2">
      <c r="A40" s="18" t="s">
        <v>30</v>
      </c>
      <c r="B40" s="3">
        <v>33717.230000000003</v>
      </c>
      <c r="C40" s="3"/>
      <c r="D40" s="3"/>
      <c r="E40" s="3"/>
      <c r="F40" s="3">
        <v>33717.230000000003</v>
      </c>
      <c r="G40" s="3"/>
    </row>
    <row r="41" spans="1:7" x14ac:dyDescent="0.2">
      <c r="A41" s="18" t="s">
        <v>31</v>
      </c>
      <c r="B41" s="3">
        <v>14723.39</v>
      </c>
      <c r="C41" s="3"/>
      <c r="D41" s="3"/>
      <c r="E41" s="3"/>
      <c r="F41" s="3">
        <v>14723.39</v>
      </c>
      <c r="G41" s="3"/>
    </row>
    <row r="42" spans="1:7" x14ac:dyDescent="0.2">
      <c r="A42" s="18" t="s">
        <v>32</v>
      </c>
      <c r="B42" s="3">
        <v>1691.3200000000002</v>
      </c>
      <c r="C42" s="3"/>
      <c r="D42" s="3"/>
      <c r="E42" s="3"/>
      <c r="F42" s="3">
        <v>1691.3200000000002</v>
      </c>
      <c r="G42" s="3"/>
    </row>
    <row r="43" spans="1:7" x14ac:dyDescent="0.2">
      <c r="A43" s="18" t="s">
        <v>33</v>
      </c>
      <c r="B43" s="3">
        <v>49611.06</v>
      </c>
      <c r="C43" s="3"/>
      <c r="D43" s="3"/>
      <c r="E43" s="3"/>
      <c r="F43" s="3">
        <v>49611.06</v>
      </c>
      <c r="G43" s="3"/>
    </row>
    <row r="44" spans="1:7" x14ac:dyDescent="0.2">
      <c r="A44" s="18" t="s">
        <v>34</v>
      </c>
      <c r="B44" s="3">
        <v>16018.5</v>
      </c>
      <c r="C44" s="3"/>
      <c r="D44" s="3"/>
      <c r="E44" s="3"/>
      <c r="F44" s="3">
        <v>16018.5</v>
      </c>
      <c r="G44" s="3"/>
    </row>
    <row r="45" spans="1:7" x14ac:dyDescent="0.2">
      <c r="A45" s="18" t="s">
        <v>35</v>
      </c>
      <c r="B45" s="3">
        <v>4089.9900000000002</v>
      </c>
      <c r="C45" s="3"/>
      <c r="D45" s="3"/>
      <c r="E45" s="3"/>
      <c r="F45" s="3">
        <v>4089.9900000000002</v>
      </c>
      <c r="G45" s="3"/>
    </row>
    <row r="46" spans="1:7" x14ac:dyDescent="0.2">
      <c r="A46" s="18" t="s">
        <v>36</v>
      </c>
      <c r="B46" s="3">
        <v>1717.2900000000002</v>
      </c>
      <c r="C46" s="3"/>
      <c r="D46" s="3"/>
      <c r="E46" s="3"/>
      <c r="F46" s="3">
        <v>1717.2900000000002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418079.18999999994</v>
      </c>
      <c r="C48" s="20">
        <v>89624.639999999985</v>
      </c>
      <c r="D48" s="20"/>
      <c r="E48" s="20"/>
      <c r="F48" s="20">
        <v>328454.55</v>
      </c>
      <c r="G48" s="20"/>
    </row>
    <row r="49" spans="1:7" ht="15.75" x14ac:dyDescent="0.25">
      <c r="A49" s="21" t="s">
        <v>38</v>
      </c>
      <c r="B49" s="2">
        <v>654</v>
      </c>
      <c r="C49" s="22">
        <v>0.214</v>
      </c>
      <c r="D49" s="22">
        <v>0</v>
      </c>
      <c r="E49" s="22">
        <v>0</v>
      </c>
      <c r="F49" s="22">
        <v>0.78600000000000003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354707.57</v>
      </c>
      <c r="C52" s="3">
        <v>76039.509999999995</v>
      </c>
      <c r="D52" s="3"/>
      <c r="E52" s="3"/>
      <c r="F52" s="3">
        <v>278668.06</v>
      </c>
      <c r="G52" s="3"/>
    </row>
    <row r="53" spans="1:7" x14ac:dyDescent="0.2">
      <c r="A53" s="18" t="s">
        <v>41</v>
      </c>
      <c r="B53" s="3">
        <v>36341.07</v>
      </c>
      <c r="C53" s="3">
        <v>7790.52</v>
      </c>
      <c r="D53" s="3"/>
      <c r="E53" s="3"/>
      <c r="F53" s="3">
        <v>28550.55</v>
      </c>
      <c r="G53" s="3"/>
    </row>
    <row r="54" spans="1:7" ht="15.75" thickBot="1" x14ac:dyDescent="0.25">
      <c r="A54" s="18" t="s">
        <v>42</v>
      </c>
      <c r="B54" s="3">
        <v>27030.55</v>
      </c>
      <c r="C54" s="3">
        <v>5794.6100000000006</v>
      </c>
      <c r="D54" s="3"/>
      <c r="E54" s="3"/>
      <c r="F54" s="3">
        <v>21235.94</v>
      </c>
      <c r="G54" s="3"/>
    </row>
    <row r="55" spans="1:7" ht="16.5" thickTop="1" x14ac:dyDescent="0.25">
      <c r="A55" s="19" t="s">
        <v>43</v>
      </c>
      <c r="B55" s="20">
        <v>418079.19</v>
      </c>
      <c r="C55" s="20">
        <v>89624.639999999999</v>
      </c>
      <c r="D55" s="20"/>
      <c r="E55" s="20"/>
      <c r="F55" s="20">
        <v>328454.55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4" priority="1" stopIfTrue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1D3D-5C80-4905-8CAE-C34E2273198A}">
  <dimension ref="A1:G73"/>
  <sheetViews>
    <sheetView topLeftCell="A24" workbookViewId="0">
      <selection activeCell="K27" sqref="K27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13928.669999999998</v>
      </c>
      <c r="C17" s="3">
        <v>13928.669999999998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32335.989999999998</v>
      </c>
      <c r="C19" s="3">
        <v>32335.989999999998</v>
      </c>
      <c r="D19" s="3"/>
      <c r="E19" s="3"/>
      <c r="F19" s="3"/>
      <c r="G19" s="3"/>
    </row>
    <row r="20" spans="1:7" x14ac:dyDescent="0.2">
      <c r="A20" s="18" t="s">
        <v>12</v>
      </c>
      <c r="B20" s="3">
        <v>2901.21</v>
      </c>
      <c r="C20" s="3">
        <v>2901.21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2824.6600000000003</v>
      </c>
      <c r="C23" s="3">
        <v>2824.6600000000003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13679.099999999999</v>
      </c>
      <c r="C30" s="3"/>
      <c r="D30" s="3"/>
      <c r="E30" s="3"/>
      <c r="F30" s="3">
        <v>13679.099999999999</v>
      </c>
      <c r="G30" s="3"/>
    </row>
    <row r="31" spans="1:7" x14ac:dyDescent="0.2">
      <c r="A31" s="18" t="s">
        <v>21</v>
      </c>
      <c r="B31" s="3">
        <v>22351.4</v>
      </c>
      <c r="C31" s="3"/>
      <c r="D31" s="3"/>
      <c r="E31" s="3"/>
      <c r="F31" s="3">
        <v>22351.4</v>
      </c>
      <c r="G31" s="3"/>
    </row>
    <row r="32" spans="1:7" x14ac:dyDescent="0.2">
      <c r="A32" s="18" t="s">
        <v>22</v>
      </c>
      <c r="B32" s="3">
        <v>31741.18</v>
      </c>
      <c r="C32" s="3"/>
      <c r="D32" s="3"/>
      <c r="E32" s="3"/>
      <c r="F32" s="3">
        <v>31741.18</v>
      </c>
      <c r="G32" s="3"/>
    </row>
    <row r="33" spans="1:7" x14ac:dyDescent="0.2">
      <c r="A33" s="18" t="s">
        <v>23</v>
      </c>
      <c r="B33" s="3">
        <v>34363.440000000002</v>
      </c>
      <c r="C33" s="3"/>
      <c r="D33" s="3"/>
      <c r="E33" s="3"/>
      <c r="F33" s="3">
        <v>34363.440000000002</v>
      </c>
      <c r="G33" s="3"/>
    </row>
    <row r="34" spans="1:7" x14ac:dyDescent="0.2">
      <c r="A34" s="18" t="s">
        <v>24</v>
      </c>
      <c r="B34" s="3">
        <v>27592.440000000002</v>
      </c>
      <c r="C34" s="3"/>
      <c r="D34" s="3"/>
      <c r="E34" s="3"/>
      <c r="F34" s="3">
        <v>27592.440000000002</v>
      </c>
      <c r="G34" s="3"/>
    </row>
    <row r="35" spans="1:7" x14ac:dyDescent="0.2">
      <c r="A35" s="18" t="s">
        <v>25</v>
      </c>
      <c r="B35" s="3">
        <v>2132.75</v>
      </c>
      <c r="C35" s="3"/>
      <c r="D35" s="3"/>
      <c r="E35" s="3"/>
      <c r="F35" s="3">
        <v>2132.75</v>
      </c>
      <c r="G35" s="3"/>
    </row>
    <row r="36" spans="1:7" x14ac:dyDescent="0.2">
      <c r="A36" s="18" t="s">
        <v>26</v>
      </c>
      <c r="B36" s="3">
        <v>38791.31</v>
      </c>
      <c r="C36" s="3"/>
      <c r="D36" s="3"/>
      <c r="E36" s="3"/>
      <c r="F36" s="3">
        <v>38791.31</v>
      </c>
      <c r="G36" s="3"/>
    </row>
    <row r="37" spans="1:7" x14ac:dyDescent="0.2">
      <c r="A37" s="18" t="s">
        <v>27</v>
      </c>
      <c r="B37" s="3">
        <v>26943.94</v>
      </c>
      <c r="C37" s="3"/>
      <c r="D37" s="3"/>
      <c r="E37" s="3"/>
      <c r="F37" s="3">
        <v>26943.94</v>
      </c>
      <c r="G37" s="3"/>
    </row>
    <row r="38" spans="1:7" x14ac:dyDescent="0.2">
      <c r="A38" s="18" t="s">
        <v>28</v>
      </c>
      <c r="B38" s="3">
        <v>12787.300000000001</v>
      </c>
      <c r="C38" s="3"/>
      <c r="D38" s="3"/>
      <c r="E38" s="3"/>
      <c r="F38" s="3">
        <v>12787.300000000001</v>
      </c>
      <c r="G38" s="3"/>
    </row>
    <row r="39" spans="1:7" x14ac:dyDescent="0.2">
      <c r="A39" s="18" t="s">
        <v>29</v>
      </c>
      <c r="B39" s="3">
        <v>14401.19</v>
      </c>
      <c r="C39" s="3"/>
      <c r="D39" s="3"/>
      <c r="E39" s="3"/>
      <c r="F39" s="3">
        <v>14401.19</v>
      </c>
      <c r="G39" s="3"/>
    </row>
    <row r="40" spans="1:7" x14ac:dyDescent="0.2">
      <c r="A40" s="18" t="s">
        <v>30</v>
      </c>
      <c r="B40" s="3">
        <v>39311.25</v>
      </c>
      <c r="C40" s="3"/>
      <c r="D40" s="3"/>
      <c r="E40" s="3"/>
      <c r="F40" s="3">
        <v>39311.25</v>
      </c>
      <c r="G40" s="3"/>
    </row>
    <row r="41" spans="1:7" x14ac:dyDescent="0.2">
      <c r="A41" s="18" t="s">
        <v>31</v>
      </c>
      <c r="B41" s="3">
        <v>16831.850000000002</v>
      </c>
      <c r="C41" s="3"/>
      <c r="D41" s="3"/>
      <c r="E41" s="3"/>
      <c r="F41" s="3">
        <v>16831.850000000002</v>
      </c>
      <c r="G41" s="3"/>
    </row>
    <row r="42" spans="1:7" x14ac:dyDescent="0.2">
      <c r="A42" s="18" t="s">
        <v>32</v>
      </c>
      <c r="B42" s="3">
        <v>1717.6399999999999</v>
      </c>
      <c r="C42" s="3"/>
      <c r="D42" s="3"/>
      <c r="E42" s="3"/>
      <c r="F42" s="3">
        <v>1717.6399999999999</v>
      </c>
      <c r="G42" s="3"/>
    </row>
    <row r="43" spans="1:7" x14ac:dyDescent="0.2">
      <c r="A43" s="18" t="s">
        <v>33</v>
      </c>
      <c r="B43" s="3">
        <v>55823.329999999994</v>
      </c>
      <c r="C43" s="3"/>
      <c r="D43" s="3"/>
      <c r="E43" s="3"/>
      <c r="F43" s="3">
        <v>55823.329999999994</v>
      </c>
      <c r="G43" s="3"/>
    </row>
    <row r="44" spans="1:7" x14ac:dyDescent="0.2">
      <c r="A44" s="18" t="s">
        <v>34</v>
      </c>
      <c r="B44" s="3">
        <v>16018.5</v>
      </c>
      <c r="C44" s="3"/>
      <c r="D44" s="3"/>
      <c r="E44" s="3"/>
      <c r="F44" s="3">
        <v>16018.5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2749.2300000000005</v>
      </c>
      <c r="C46" s="3"/>
      <c r="D46" s="3"/>
      <c r="E46" s="3"/>
      <c r="F46" s="3">
        <v>2749.2300000000005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453971.22</v>
      </c>
      <c r="C48" s="20">
        <v>92871.679999999993</v>
      </c>
      <c r="D48" s="20"/>
      <c r="E48" s="20"/>
      <c r="F48" s="20">
        <v>361099.54</v>
      </c>
      <c r="G48" s="20"/>
    </row>
    <row r="49" spans="1:7" ht="15.75" x14ac:dyDescent="0.25">
      <c r="A49" s="21" t="s">
        <v>38</v>
      </c>
      <c r="B49" s="2">
        <v>654</v>
      </c>
      <c r="C49" s="22">
        <v>0.20499999999999999</v>
      </c>
      <c r="D49" s="22">
        <v>0</v>
      </c>
      <c r="E49" s="22">
        <v>0</v>
      </c>
      <c r="F49" s="22">
        <v>0.79500000000000004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385159.17</v>
      </c>
      <c r="C52" s="3">
        <v>78794.38</v>
      </c>
      <c r="D52" s="3"/>
      <c r="E52" s="3"/>
      <c r="F52" s="3">
        <v>306364.78999999998</v>
      </c>
      <c r="G52" s="3"/>
    </row>
    <row r="53" spans="1:7" x14ac:dyDescent="0.2">
      <c r="A53" s="18" t="s">
        <v>41</v>
      </c>
      <c r="B53" s="3">
        <v>39460.94</v>
      </c>
      <c r="C53" s="3">
        <v>8072.77</v>
      </c>
      <c r="D53" s="3"/>
      <c r="E53" s="3"/>
      <c r="F53" s="3">
        <v>31388.170000000002</v>
      </c>
      <c r="G53" s="3"/>
    </row>
    <row r="54" spans="1:7" ht="15.75" thickBot="1" x14ac:dyDescent="0.25">
      <c r="A54" s="18" t="s">
        <v>42</v>
      </c>
      <c r="B54" s="3">
        <v>29351.11</v>
      </c>
      <c r="C54" s="3">
        <v>6004.53</v>
      </c>
      <c r="D54" s="3"/>
      <c r="E54" s="3"/>
      <c r="F54" s="3">
        <v>23346.58</v>
      </c>
      <c r="G54" s="3"/>
    </row>
    <row r="55" spans="1:7" ht="16.5" thickTop="1" x14ac:dyDescent="0.25">
      <c r="A55" s="19" t="s">
        <v>43</v>
      </c>
      <c r="B55" s="20">
        <v>453971.22</v>
      </c>
      <c r="C55" s="20">
        <v>92871.680000000008</v>
      </c>
      <c r="D55" s="20"/>
      <c r="E55" s="20"/>
      <c r="F55" s="20">
        <v>361099.54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3" priority="1" stopIfTrue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7CEC-9E91-49CF-B3F1-06BE4CA2BBFA}">
  <dimension ref="A1:G73"/>
  <sheetViews>
    <sheetView topLeftCell="A30" workbookViewId="0">
      <selection activeCell="L11" sqref="L11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14397.169999999998</v>
      </c>
      <c r="C17" s="3">
        <v>14397.169999999998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35260.479999999996</v>
      </c>
      <c r="C19" s="3">
        <v>35260.479999999996</v>
      </c>
      <c r="D19" s="3"/>
      <c r="E19" s="3"/>
      <c r="F19" s="3"/>
      <c r="G19" s="3"/>
    </row>
    <row r="20" spans="1:7" x14ac:dyDescent="0.2">
      <c r="A20" s="18" t="s">
        <v>12</v>
      </c>
      <c r="B20" s="3">
        <v>3082.53</v>
      </c>
      <c r="C20" s="3">
        <v>3082.53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3080.11</v>
      </c>
      <c r="C23" s="3">
        <v>3080.11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5968.07</v>
      </c>
      <c r="C30" s="3"/>
      <c r="D30" s="3"/>
      <c r="E30" s="3"/>
      <c r="F30" s="3">
        <v>5968.07</v>
      </c>
      <c r="G30" s="3"/>
    </row>
    <row r="31" spans="1:7" x14ac:dyDescent="0.2">
      <c r="A31" s="18" t="s">
        <v>21</v>
      </c>
      <c r="B31" s="3">
        <v>24046.3</v>
      </c>
      <c r="C31" s="3"/>
      <c r="D31" s="3"/>
      <c r="E31" s="3"/>
      <c r="F31" s="3">
        <v>24046.3</v>
      </c>
      <c r="G31" s="3"/>
    </row>
    <row r="32" spans="1:7" x14ac:dyDescent="0.2">
      <c r="A32" s="18" t="s">
        <v>22</v>
      </c>
      <c r="B32" s="3">
        <v>34611.870000000003</v>
      </c>
      <c r="C32" s="3"/>
      <c r="D32" s="3"/>
      <c r="E32" s="3"/>
      <c r="F32" s="3">
        <v>34611.870000000003</v>
      </c>
      <c r="G32" s="3"/>
    </row>
    <row r="33" spans="1:7" x14ac:dyDescent="0.2">
      <c r="A33" s="18" t="s">
        <v>23</v>
      </c>
      <c r="B33" s="3">
        <v>37471.269999999997</v>
      </c>
      <c r="C33" s="3"/>
      <c r="D33" s="3"/>
      <c r="E33" s="3"/>
      <c r="F33" s="3">
        <v>37471.269999999997</v>
      </c>
      <c r="G33" s="3"/>
    </row>
    <row r="34" spans="1:7" x14ac:dyDescent="0.2">
      <c r="A34" s="18" t="s">
        <v>24</v>
      </c>
      <c r="B34" s="3">
        <v>30087.91</v>
      </c>
      <c r="C34" s="3"/>
      <c r="D34" s="3"/>
      <c r="E34" s="3"/>
      <c r="F34" s="3">
        <v>30087.91</v>
      </c>
      <c r="G34" s="3"/>
    </row>
    <row r="35" spans="1:7" x14ac:dyDescent="0.2">
      <c r="A35" s="18" t="s">
        <v>25</v>
      </c>
      <c r="B35" s="3">
        <v>2346.02</v>
      </c>
      <c r="C35" s="3"/>
      <c r="D35" s="3"/>
      <c r="E35" s="3"/>
      <c r="F35" s="3">
        <v>2346.02</v>
      </c>
      <c r="G35" s="3"/>
    </row>
    <row r="36" spans="1:7" x14ac:dyDescent="0.2">
      <c r="A36" s="18" t="s">
        <v>26</v>
      </c>
      <c r="B36" s="3">
        <v>39682.92</v>
      </c>
      <c r="C36" s="3"/>
      <c r="D36" s="3"/>
      <c r="E36" s="3"/>
      <c r="F36" s="3">
        <v>39682.92</v>
      </c>
      <c r="G36" s="3"/>
    </row>
    <row r="37" spans="1:7" x14ac:dyDescent="0.2">
      <c r="A37" s="18" t="s">
        <v>27</v>
      </c>
      <c r="B37" s="3">
        <v>29543.65</v>
      </c>
      <c r="C37" s="3"/>
      <c r="D37" s="3"/>
      <c r="E37" s="3"/>
      <c r="F37" s="3">
        <v>29543.65</v>
      </c>
      <c r="G37" s="3"/>
    </row>
    <row r="38" spans="1:7" x14ac:dyDescent="0.2">
      <c r="A38" s="18" t="s">
        <v>28</v>
      </c>
      <c r="B38" s="3">
        <v>13586.51</v>
      </c>
      <c r="C38" s="3"/>
      <c r="D38" s="3"/>
      <c r="E38" s="3"/>
      <c r="F38" s="3">
        <v>13586.51</v>
      </c>
      <c r="G38" s="3"/>
    </row>
    <row r="39" spans="1:7" x14ac:dyDescent="0.2">
      <c r="A39" s="18" t="s">
        <v>29</v>
      </c>
      <c r="B39" s="3">
        <v>15703.630000000001</v>
      </c>
      <c r="C39" s="3"/>
      <c r="D39" s="3"/>
      <c r="E39" s="3"/>
      <c r="F39" s="3">
        <v>15703.630000000001</v>
      </c>
      <c r="G39" s="3"/>
    </row>
    <row r="40" spans="1:7" x14ac:dyDescent="0.2">
      <c r="A40" s="18" t="s">
        <v>30</v>
      </c>
      <c r="B40" s="3">
        <v>39231.5</v>
      </c>
      <c r="C40" s="3"/>
      <c r="D40" s="3"/>
      <c r="E40" s="3"/>
      <c r="F40" s="3">
        <v>39231.5</v>
      </c>
      <c r="G40" s="3"/>
    </row>
    <row r="41" spans="1:7" x14ac:dyDescent="0.2">
      <c r="A41" s="18" t="s">
        <v>31</v>
      </c>
      <c r="B41" s="3">
        <v>17248.350000000002</v>
      </c>
      <c r="C41" s="3"/>
      <c r="D41" s="3"/>
      <c r="E41" s="3"/>
      <c r="F41" s="3">
        <v>17248.350000000002</v>
      </c>
      <c r="G41" s="3"/>
    </row>
    <row r="42" spans="1:7" x14ac:dyDescent="0.2">
      <c r="A42" s="18" t="s">
        <v>32</v>
      </c>
      <c r="B42" s="3">
        <v>1732.68</v>
      </c>
      <c r="C42" s="3"/>
      <c r="D42" s="3"/>
      <c r="E42" s="3"/>
      <c r="F42" s="3">
        <v>1732.68</v>
      </c>
      <c r="G42" s="3"/>
    </row>
    <row r="43" spans="1:7" x14ac:dyDescent="0.2">
      <c r="A43" s="18" t="s">
        <v>33</v>
      </c>
      <c r="B43" s="3">
        <v>59397.15</v>
      </c>
      <c r="C43" s="3"/>
      <c r="D43" s="3"/>
      <c r="E43" s="3"/>
      <c r="F43" s="3">
        <v>59397.15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2922.55</v>
      </c>
      <c r="C46" s="3"/>
      <c r="D46" s="3"/>
      <c r="E46" s="3"/>
      <c r="F46" s="3">
        <v>2922.55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464824.51</v>
      </c>
      <c r="C48" s="20">
        <v>96701.440000000002</v>
      </c>
      <c r="D48" s="20"/>
      <c r="E48" s="20"/>
      <c r="F48" s="20">
        <v>368123.07</v>
      </c>
      <c r="G48" s="20"/>
    </row>
    <row r="49" spans="1:7" ht="15.75" x14ac:dyDescent="0.25">
      <c r="A49" s="21" t="s">
        <v>38</v>
      </c>
      <c r="B49" s="2">
        <v>654</v>
      </c>
      <c r="C49" s="22">
        <v>0.20799999999999999</v>
      </c>
      <c r="D49" s="22">
        <v>0</v>
      </c>
      <c r="E49" s="22">
        <v>0</v>
      </c>
      <c r="F49" s="22">
        <v>0.79200000000000004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394367.34</v>
      </c>
      <c r="C52" s="3">
        <v>82043.63</v>
      </c>
      <c r="D52" s="3"/>
      <c r="E52" s="3"/>
      <c r="F52" s="3">
        <v>312323.71000000002</v>
      </c>
      <c r="G52" s="3"/>
    </row>
    <row r="53" spans="1:7" x14ac:dyDescent="0.2">
      <c r="A53" s="18" t="s">
        <v>41</v>
      </c>
      <c r="B53" s="3">
        <v>40404.35</v>
      </c>
      <c r="C53" s="3">
        <v>8405.66</v>
      </c>
      <c r="D53" s="3"/>
      <c r="E53" s="3"/>
      <c r="F53" s="3">
        <v>31998.69</v>
      </c>
      <c r="G53" s="3"/>
    </row>
    <row r="54" spans="1:7" ht="15.75" thickBot="1" x14ac:dyDescent="0.25">
      <c r="A54" s="18" t="s">
        <v>42</v>
      </c>
      <c r="B54" s="3">
        <v>30052.82</v>
      </c>
      <c r="C54" s="3">
        <v>6252.15</v>
      </c>
      <c r="D54" s="3"/>
      <c r="E54" s="3"/>
      <c r="F54" s="3">
        <v>23800.67</v>
      </c>
      <c r="G54" s="3"/>
    </row>
    <row r="55" spans="1:7" ht="16.5" thickTop="1" x14ac:dyDescent="0.25">
      <c r="A55" s="19" t="s">
        <v>43</v>
      </c>
      <c r="B55" s="20">
        <v>464824.51</v>
      </c>
      <c r="C55" s="20">
        <v>96701.440000000002</v>
      </c>
      <c r="D55" s="20"/>
      <c r="E55" s="20"/>
      <c r="F55" s="20">
        <v>368123.07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2" priority="1" stopIfTrue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85DA-4CBF-420E-8716-D96A6D8806D3}">
  <dimension ref="A1:G73"/>
  <sheetViews>
    <sheetView topLeftCell="A21" workbookViewId="0">
      <selection activeCell="F13" sqref="F13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14397.169999999998</v>
      </c>
      <c r="C17" s="3">
        <v>14397.169999999998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35260.479999999996</v>
      </c>
      <c r="C19" s="3">
        <v>35260.479999999996</v>
      </c>
      <c r="D19" s="3"/>
      <c r="E19" s="3"/>
      <c r="F19" s="3"/>
      <c r="G19" s="3"/>
    </row>
    <row r="20" spans="1:7" x14ac:dyDescent="0.2">
      <c r="A20" s="18" t="s">
        <v>12</v>
      </c>
      <c r="B20" s="3">
        <v>3082.53</v>
      </c>
      <c r="C20" s="3">
        <v>3082.53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3080.11</v>
      </c>
      <c r="C23" s="3">
        <v>3080.11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14578.39</v>
      </c>
      <c r="C30" s="3"/>
      <c r="D30" s="3"/>
      <c r="E30" s="3"/>
      <c r="F30" s="3">
        <v>14578.39</v>
      </c>
      <c r="G30" s="3"/>
    </row>
    <row r="31" spans="1:7" x14ac:dyDescent="0.2">
      <c r="A31" s="18" t="s">
        <v>21</v>
      </c>
      <c r="B31" s="3">
        <v>24046.3</v>
      </c>
      <c r="C31" s="3"/>
      <c r="D31" s="3"/>
      <c r="E31" s="3"/>
      <c r="F31" s="3">
        <v>24046.3</v>
      </c>
      <c r="G31" s="3"/>
    </row>
    <row r="32" spans="1:7" x14ac:dyDescent="0.2">
      <c r="A32" s="18" t="s">
        <v>22</v>
      </c>
      <c r="B32" s="3">
        <v>34611.880000000005</v>
      </c>
      <c r="C32" s="3"/>
      <c r="D32" s="3"/>
      <c r="E32" s="3"/>
      <c r="F32" s="3">
        <v>34611.880000000005</v>
      </c>
      <c r="G32" s="3"/>
    </row>
    <row r="33" spans="1:7" x14ac:dyDescent="0.2">
      <c r="A33" s="18" t="s">
        <v>23</v>
      </c>
      <c r="B33" s="3">
        <v>37471.269999999997</v>
      </c>
      <c r="C33" s="3"/>
      <c r="D33" s="3"/>
      <c r="E33" s="3"/>
      <c r="F33" s="3">
        <v>37471.269999999997</v>
      </c>
      <c r="G33" s="3"/>
    </row>
    <row r="34" spans="1:7" x14ac:dyDescent="0.2">
      <c r="A34" s="18" t="s">
        <v>24</v>
      </c>
      <c r="B34" s="3">
        <v>30087.91</v>
      </c>
      <c r="C34" s="3"/>
      <c r="D34" s="3"/>
      <c r="E34" s="3"/>
      <c r="F34" s="3">
        <v>30087.91</v>
      </c>
      <c r="G34" s="3"/>
    </row>
    <row r="35" spans="1:7" x14ac:dyDescent="0.2">
      <c r="A35" s="18" t="s">
        <v>25</v>
      </c>
      <c r="B35" s="3">
        <v>2346.02</v>
      </c>
      <c r="C35" s="3"/>
      <c r="D35" s="3"/>
      <c r="E35" s="3"/>
      <c r="F35" s="3">
        <v>2346.02</v>
      </c>
      <c r="G35" s="3"/>
    </row>
    <row r="36" spans="1:7" x14ac:dyDescent="0.2">
      <c r="A36" s="18" t="s">
        <v>26</v>
      </c>
      <c r="B36" s="3">
        <v>39682.92</v>
      </c>
      <c r="C36" s="3"/>
      <c r="D36" s="3"/>
      <c r="E36" s="3"/>
      <c r="F36" s="3">
        <v>39682.92</v>
      </c>
      <c r="G36" s="3"/>
    </row>
    <row r="37" spans="1:7" x14ac:dyDescent="0.2">
      <c r="A37" s="18" t="s">
        <v>27</v>
      </c>
      <c r="B37" s="3">
        <v>29543.65</v>
      </c>
      <c r="C37" s="3"/>
      <c r="D37" s="3"/>
      <c r="E37" s="3"/>
      <c r="F37" s="3">
        <v>29543.65</v>
      </c>
      <c r="G37" s="3"/>
    </row>
    <row r="38" spans="1:7" x14ac:dyDescent="0.2">
      <c r="A38" s="18" t="s">
        <v>28</v>
      </c>
      <c r="B38" s="3">
        <v>13586.51</v>
      </c>
      <c r="C38" s="3"/>
      <c r="D38" s="3"/>
      <c r="E38" s="3"/>
      <c r="F38" s="3">
        <v>13586.51</v>
      </c>
      <c r="G38" s="3"/>
    </row>
    <row r="39" spans="1:7" x14ac:dyDescent="0.2">
      <c r="A39" s="18" t="s">
        <v>29</v>
      </c>
      <c r="B39" s="3">
        <v>15703.630000000001</v>
      </c>
      <c r="C39" s="3"/>
      <c r="D39" s="3"/>
      <c r="E39" s="3"/>
      <c r="F39" s="3">
        <v>15703.630000000001</v>
      </c>
      <c r="G39" s="3"/>
    </row>
    <row r="40" spans="1:7" x14ac:dyDescent="0.2">
      <c r="A40" s="18" t="s">
        <v>30</v>
      </c>
      <c r="B40" s="3">
        <v>39231.5</v>
      </c>
      <c r="C40" s="3"/>
      <c r="D40" s="3"/>
      <c r="E40" s="3"/>
      <c r="F40" s="3">
        <v>39231.5</v>
      </c>
      <c r="G40" s="3"/>
    </row>
    <row r="41" spans="1:7" x14ac:dyDescent="0.2">
      <c r="A41" s="18" t="s">
        <v>31</v>
      </c>
      <c r="B41" s="3">
        <v>17248.350000000002</v>
      </c>
      <c r="C41" s="3"/>
      <c r="D41" s="3"/>
      <c r="E41" s="3"/>
      <c r="F41" s="3">
        <v>17248.350000000002</v>
      </c>
      <c r="G41" s="3"/>
    </row>
    <row r="42" spans="1:7" x14ac:dyDescent="0.2">
      <c r="A42" s="18" t="s">
        <v>32</v>
      </c>
      <c r="B42" s="3">
        <v>1732.68</v>
      </c>
      <c r="C42" s="3"/>
      <c r="D42" s="3"/>
      <c r="E42" s="3"/>
      <c r="F42" s="3">
        <v>1732.68</v>
      </c>
      <c r="G42" s="3"/>
    </row>
    <row r="43" spans="1:7" x14ac:dyDescent="0.2">
      <c r="A43" s="18" t="s">
        <v>33</v>
      </c>
      <c r="B43" s="3">
        <v>59397.15</v>
      </c>
      <c r="C43" s="3"/>
      <c r="D43" s="3"/>
      <c r="E43" s="3"/>
      <c r="F43" s="3">
        <v>59397.15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2922.55</v>
      </c>
      <c r="C46" s="3"/>
      <c r="D46" s="3"/>
      <c r="E46" s="3"/>
      <c r="F46" s="3">
        <v>2922.55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473434.84</v>
      </c>
      <c r="C48" s="20">
        <v>96701.440000000002</v>
      </c>
      <c r="D48" s="20"/>
      <c r="E48" s="20"/>
      <c r="F48" s="20">
        <v>376733.39999999997</v>
      </c>
      <c r="G48" s="20"/>
    </row>
    <row r="49" spans="1:7" ht="15.75" x14ac:dyDescent="0.25">
      <c r="A49" s="21" t="s">
        <v>38</v>
      </c>
      <c r="B49" s="2">
        <v>654</v>
      </c>
      <c r="C49" s="22">
        <v>0.20399999999999999</v>
      </c>
      <c r="D49" s="22">
        <v>0</v>
      </c>
      <c r="E49" s="22">
        <v>0</v>
      </c>
      <c r="F49" s="22">
        <v>0.79600000000000004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401672.53</v>
      </c>
      <c r="C52" s="3">
        <v>82043.63</v>
      </c>
      <c r="D52" s="3"/>
      <c r="E52" s="3"/>
      <c r="F52" s="3">
        <v>319628.90000000002</v>
      </c>
      <c r="G52" s="3"/>
    </row>
    <row r="53" spans="1:7" x14ac:dyDescent="0.2">
      <c r="A53" s="18" t="s">
        <v>41</v>
      </c>
      <c r="B53" s="3">
        <v>41152.79</v>
      </c>
      <c r="C53" s="3">
        <v>8405.66</v>
      </c>
      <c r="D53" s="3"/>
      <c r="E53" s="3"/>
      <c r="F53" s="3">
        <v>32747.13</v>
      </c>
      <c r="G53" s="3"/>
    </row>
    <row r="54" spans="1:7" ht="15.75" thickBot="1" x14ac:dyDescent="0.25">
      <c r="A54" s="18" t="s">
        <v>42</v>
      </c>
      <c r="B54" s="3">
        <v>30609.52</v>
      </c>
      <c r="C54" s="3">
        <v>6252.15</v>
      </c>
      <c r="D54" s="3"/>
      <c r="E54" s="3"/>
      <c r="F54" s="3">
        <v>24357.370000000003</v>
      </c>
      <c r="G54" s="3"/>
    </row>
    <row r="55" spans="1:7" ht="16.5" thickTop="1" x14ac:dyDescent="0.25">
      <c r="A55" s="19" t="s">
        <v>43</v>
      </c>
      <c r="B55" s="20">
        <v>473434.84</v>
      </c>
      <c r="C55" s="20">
        <v>96701.440000000002</v>
      </c>
      <c r="D55" s="20"/>
      <c r="E55" s="20"/>
      <c r="F55" s="20">
        <v>376733.4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1" priority="1" stopIfTrue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DCDB-4536-4222-AC93-B965DA7D2F6D}">
  <dimension ref="A1:G43"/>
  <sheetViews>
    <sheetView workbookViewId="0">
      <selection activeCell="C26" sqref="C26"/>
    </sheetView>
  </sheetViews>
  <sheetFormatPr defaultRowHeight="15" x14ac:dyDescent="0.2"/>
  <cols>
    <col min="1" max="1" width="50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12</v>
      </c>
      <c r="B17" s="3">
        <v>23596</v>
      </c>
      <c r="C17" s="3">
        <v>23596</v>
      </c>
      <c r="D17" s="3"/>
      <c r="E17" s="3"/>
      <c r="F17" s="3"/>
      <c r="G17" s="3"/>
    </row>
    <row r="18" spans="1:7" x14ac:dyDescent="0.2">
      <c r="A18" s="17" t="s">
        <v>8</v>
      </c>
      <c r="B18" s="17" t="s">
        <v>8</v>
      </c>
      <c r="C18" s="17" t="s">
        <v>8</v>
      </c>
      <c r="D18" s="17" t="s">
        <v>8</v>
      </c>
      <c r="E18" s="17" t="s">
        <v>8</v>
      </c>
      <c r="F18" s="17" t="s">
        <v>8</v>
      </c>
      <c r="G18" s="17"/>
    </row>
    <row r="19" spans="1:7" ht="15.75" x14ac:dyDescent="0.25">
      <c r="A19" s="14" t="s">
        <v>19</v>
      </c>
      <c r="B19" s="15">
        <v>8</v>
      </c>
      <c r="C19" s="16"/>
      <c r="D19" s="16"/>
      <c r="E19" s="16"/>
      <c r="F19" s="16"/>
      <c r="G19" s="16"/>
    </row>
    <row r="20" spans="1:7" x14ac:dyDescent="0.2">
      <c r="A20" s="17" t="s">
        <v>8</v>
      </c>
      <c r="B20" s="17" t="s">
        <v>8</v>
      </c>
      <c r="C20" s="17" t="s">
        <v>8</v>
      </c>
      <c r="D20" s="17" t="s">
        <v>8</v>
      </c>
      <c r="E20" s="17" t="s">
        <v>8</v>
      </c>
      <c r="F20" s="17" t="s">
        <v>8</v>
      </c>
      <c r="G20" s="17"/>
    </row>
    <row r="21" spans="1:7" x14ac:dyDescent="0.2">
      <c r="A21" s="18" t="s">
        <v>44</v>
      </c>
      <c r="B21" s="3">
        <v>62751</v>
      </c>
      <c r="C21" s="3"/>
      <c r="D21" s="3"/>
      <c r="E21" s="3"/>
      <c r="F21" s="3">
        <v>62751</v>
      </c>
      <c r="G21" s="3"/>
    </row>
    <row r="22" spans="1:7" ht="15.75" thickBot="1" x14ac:dyDescent="0.25">
      <c r="A22" s="17" t="s">
        <v>8</v>
      </c>
      <c r="B22" s="17" t="s">
        <v>8</v>
      </c>
      <c r="C22" s="17" t="s">
        <v>8</v>
      </c>
      <c r="D22" s="17" t="s">
        <v>8</v>
      </c>
      <c r="E22" s="17" t="s">
        <v>8</v>
      </c>
      <c r="F22" s="3"/>
      <c r="G22" s="3"/>
    </row>
    <row r="23" spans="1:7" ht="16.5" thickTop="1" x14ac:dyDescent="0.25">
      <c r="A23" s="19" t="s">
        <v>37</v>
      </c>
      <c r="B23" s="20">
        <v>86347</v>
      </c>
      <c r="C23" s="20">
        <v>23596</v>
      </c>
      <c r="D23" s="20"/>
      <c r="E23" s="20"/>
      <c r="F23" s="20">
        <v>62751</v>
      </c>
      <c r="G23" s="20"/>
    </row>
    <row r="24" spans="1:7" ht="15.75" x14ac:dyDescent="0.25">
      <c r="A24" s="21" t="s">
        <v>38</v>
      </c>
      <c r="B24" s="2">
        <v>654</v>
      </c>
      <c r="C24" s="22">
        <v>0.27300000000000002</v>
      </c>
      <c r="D24" s="22">
        <v>0</v>
      </c>
      <c r="E24" s="22">
        <v>0</v>
      </c>
      <c r="F24" s="22">
        <v>0.72699999999999998</v>
      </c>
      <c r="G24" s="22">
        <v>0</v>
      </c>
    </row>
    <row r="25" spans="1:7" ht="15.75" x14ac:dyDescent="0.25">
      <c r="A25" s="21"/>
      <c r="B25" s="2">
        <v>654</v>
      </c>
      <c r="C25" s="22"/>
      <c r="D25" s="22"/>
      <c r="E25" s="22"/>
      <c r="F25" s="22"/>
      <c r="G25" s="22"/>
    </row>
    <row r="26" spans="1:7" x14ac:dyDescent="0.2">
      <c r="A26" s="23"/>
      <c r="B26" s="2">
        <v>654</v>
      </c>
      <c r="C26" s="2"/>
      <c r="D26" s="2"/>
      <c r="E26" s="2"/>
      <c r="F26" s="2"/>
      <c r="G26" s="2"/>
    </row>
    <row r="27" spans="1:7" x14ac:dyDescent="0.2">
      <c r="A27" s="23"/>
      <c r="B27" s="2">
        <v>645</v>
      </c>
      <c r="C27" s="2"/>
      <c r="D27" s="2"/>
      <c r="E27" s="2"/>
      <c r="F27" s="2"/>
      <c r="G27" s="2"/>
    </row>
    <row r="28" spans="1:7" ht="15.75" thickBot="1" x14ac:dyDescent="0.25">
      <c r="A28" s="24"/>
      <c r="B28" s="25">
        <v>654</v>
      </c>
      <c r="C28" s="25"/>
      <c r="D28" s="25"/>
      <c r="E28" s="25"/>
      <c r="F28" s="25"/>
      <c r="G28" s="25"/>
    </row>
    <row r="29" spans="1:7" ht="15.75" thickTop="1" x14ac:dyDescent="0.2">
      <c r="A29" s="23"/>
      <c r="B29" s="2">
        <v>654</v>
      </c>
      <c r="C29" s="2"/>
      <c r="D29" s="2"/>
      <c r="E29" s="2"/>
      <c r="F29" s="2"/>
    </row>
    <row r="30" spans="1:7" x14ac:dyDescent="0.2">
      <c r="B30" s="3"/>
      <c r="C30" s="3"/>
      <c r="D30" s="3"/>
      <c r="E30" s="3"/>
      <c r="F30" s="3"/>
    </row>
    <row r="31" spans="1:7" x14ac:dyDescent="0.2">
      <c r="B31" s="3"/>
      <c r="C31" s="3"/>
      <c r="D31" s="3"/>
      <c r="E31" s="3"/>
      <c r="F31" s="3"/>
    </row>
    <row r="32" spans="1:7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  <row r="38" spans="2:6" x14ac:dyDescent="0.2">
      <c r="B38" s="3"/>
      <c r="C38" s="3"/>
      <c r="D38" s="3"/>
      <c r="E38" s="3"/>
      <c r="F38" s="3"/>
    </row>
    <row r="39" spans="2:6" x14ac:dyDescent="0.2">
      <c r="B39" s="3"/>
      <c r="C39" s="3"/>
      <c r="D39" s="3"/>
      <c r="E39" s="3"/>
      <c r="F39" s="3"/>
    </row>
    <row r="40" spans="2:6" x14ac:dyDescent="0.2">
      <c r="B40" s="3"/>
      <c r="C40" s="3"/>
      <c r="D40" s="3"/>
      <c r="E40" s="3"/>
      <c r="F40" s="3"/>
    </row>
    <row r="41" spans="2:6" x14ac:dyDescent="0.2">
      <c r="B41" s="3"/>
      <c r="C41" s="3"/>
      <c r="D41" s="3"/>
      <c r="E41" s="3"/>
      <c r="F41" s="3"/>
    </row>
    <row r="42" spans="2:6" x14ac:dyDescent="0.2">
      <c r="B42" s="3"/>
      <c r="C42" s="3"/>
      <c r="D42" s="3"/>
      <c r="E42" s="3"/>
      <c r="F42" s="3"/>
    </row>
    <row r="43" spans="2:6" x14ac:dyDescent="0.2">
      <c r="B43" s="3"/>
      <c r="C43" s="3"/>
      <c r="D43" s="3"/>
      <c r="E43" s="3"/>
      <c r="F43" s="3"/>
    </row>
  </sheetData>
  <conditionalFormatting sqref="A1:XFD1048576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apt site</vt:lpstr>
      <vt:lpstr>apt office</vt:lpstr>
      <vt:lpstr>bldg 1</vt:lpstr>
      <vt:lpstr>bldg 2</vt:lpstr>
      <vt:lpstr>bldg 3</vt:lpstr>
      <vt:lpstr>bldg 4</vt:lpstr>
      <vt:lpstr>bldg 5</vt:lpstr>
      <vt:lpstr>apt impr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Boyd</dc:creator>
  <cp:lastModifiedBy>Jeffrey Sedacca</cp:lastModifiedBy>
  <cp:lastPrinted>2026-06-15T22:13:15Z</cp:lastPrinted>
  <dcterms:created xsi:type="dcterms:W3CDTF">2026-06-10T12:30:05Z</dcterms:created>
  <dcterms:modified xsi:type="dcterms:W3CDTF">2026-06-17T23:01:39Z</dcterms:modified>
</cp:coreProperties>
</file>