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right"/>
    </xf>
    <xf numFmtId="0" fontId="4" fillId="5" borderId="0" applyAlignment="1" pivotButton="0" quotePrefix="0" xfId="0">
      <alignment horizontal="left"/>
    </xf>
    <xf numFmtId="4" fontId="4" fillId="5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" fontId="2" fillId="6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4" fontId="4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15" customHeight="1">
      <c r="B1" s="1" t="inlineStr">
        <is>
          <t>MARRERO 3, LLC — COST SEGREGATION SUMMARY</t>
        </is>
      </c>
    </row>
    <row r="2" ht="15" customHeight="1">
      <c r="B2" s="2" t="inlineStr">
        <is>
          <t>Form 3115 — Section 481(a) Adjustment Summary</t>
        </is>
      </c>
    </row>
    <row r="4" ht="15" customHeight="1">
      <c r="B4" s="3" t="inlineStr">
        <is>
          <t>Property</t>
        </is>
      </c>
      <c r="C4" s="3" t="inlineStr">
        <is>
          <t>Total Basis</t>
        </is>
      </c>
      <c r="D4" s="3" t="inlineStr">
        <is>
          <t>5-Year Cost</t>
        </is>
      </c>
      <c r="E4" s="3" t="inlineStr">
        <is>
          <t>7-Year Cost</t>
        </is>
      </c>
      <c r="F4" s="3" t="inlineStr">
        <is>
          <t>15-Year Cost</t>
        </is>
      </c>
      <c r="G4" s="3" t="inlineStr">
        <is>
          <t>27.5-Year Cost</t>
        </is>
      </c>
      <c r="H4" s="3" t="inlineStr">
        <is>
          <t>481(a) Adjustment</t>
        </is>
      </c>
    </row>
    <row r="5" ht="15" customHeight="1">
      <c r="B5" s="4" t="inlineStr">
        <is>
          <t>530 Ames Blvd</t>
        </is>
      </c>
      <c r="C5" s="5" t="n">
        <v>2017604</v>
      </c>
      <c r="D5" s="5" t="n">
        <v>369968</v>
      </c>
      <c r="E5" s="5" t="n">
        <v>0</v>
      </c>
      <c r="F5" s="5" t="n">
        <v>33717</v>
      </c>
      <c r="G5" s="5" t="n">
        <v>1613919</v>
      </c>
      <c r="H5" s="5" t="n">
        <v>26690.17000000004</v>
      </c>
    </row>
    <row r="6" ht="15" customHeight="1">
      <c r="B6" s="4" t="inlineStr">
        <is>
          <t>540 Freedom Ct</t>
        </is>
      </c>
      <c r="C6" s="5" t="n">
        <v>81271</v>
      </c>
      <c r="D6" s="5" t="n">
        <v>17500</v>
      </c>
      <c r="E6" s="5" t="n">
        <v>0</v>
      </c>
      <c r="F6" s="5" t="n">
        <v>2702</v>
      </c>
      <c r="G6" s="5" t="n">
        <v>61069</v>
      </c>
      <c r="H6" s="5" t="n">
        <v>1568.459999999999</v>
      </c>
    </row>
    <row r="7" ht="15" customHeight="1">
      <c r="B7" s="4" t="inlineStr">
        <is>
          <t>1208 Smith Square</t>
        </is>
      </c>
      <c r="C7" s="5" t="n">
        <v>730531</v>
      </c>
      <c r="D7" s="5" t="n">
        <v>135919</v>
      </c>
      <c r="E7" s="5" t="n">
        <v>0</v>
      </c>
      <c r="F7" s="5" t="n">
        <v>21326</v>
      </c>
      <c r="G7" s="5" t="n">
        <v>573286</v>
      </c>
      <c r="H7" s="5" t="n">
        <v>17908.09000000003</v>
      </c>
    </row>
    <row r="8" ht="15" customHeight="1">
      <c r="B8" s="4" t="inlineStr">
        <is>
          <t>1209 Smith Square</t>
        </is>
      </c>
      <c r="C8" s="5" t="n">
        <v>148349</v>
      </c>
      <c r="D8" s="5" t="n">
        <v>25271</v>
      </c>
      <c r="E8" s="5" t="n">
        <v>0</v>
      </c>
      <c r="F8" s="5" t="n">
        <v>4482</v>
      </c>
      <c r="G8" s="5" t="n">
        <v>118596</v>
      </c>
      <c r="H8" s="5" t="n">
        <v>4878.090000000004</v>
      </c>
    </row>
    <row r="9" ht="15" customHeight="1">
      <c r="B9" s="4" t="inlineStr">
        <is>
          <t>3112 Havenwood Dr</t>
        </is>
      </c>
      <c r="C9" s="5" t="n">
        <v>418115</v>
      </c>
      <c r="D9" s="5" t="n">
        <v>79743</v>
      </c>
      <c r="E9" s="5" t="n">
        <v>0</v>
      </c>
      <c r="F9" s="5" t="n">
        <v>12524</v>
      </c>
      <c r="G9" s="5" t="n">
        <v>325848</v>
      </c>
      <c r="H9" s="5" t="n">
        <v>13894.60000000001</v>
      </c>
    </row>
    <row r="10" ht="15" customHeight="1">
      <c r="B10" s="4" t="inlineStr">
        <is>
          <t>3117 Barbwood Dr</t>
        </is>
      </c>
      <c r="C10" s="5" t="n">
        <v>66097</v>
      </c>
      <c r="D10" s="5" t="n">
        <v>12606</v>
      </c>
      <c r="E10" s="5" t="n">
        <v>0</v>
      </c>
      <c r="F10" s="5" t="n">
        <v>1980</v>
      </c>
      <c r="G10" s="5" t="n">
        <v>51511</v>
      </c>
      <c r="H10" s="5" t="n">
        <v>2207.709999999999</v>
      </c>
    </row>
    <row r="11" ht="15" customHeight="1">
      <c r="B11" s="4" t="inlineStr">
        <is>
          <t>6805 Sayres</t>
        </is>
      </c>
      <c r="C11" s="5" t="n">
        <v>467829</v>
      </c>
      <c r="D11" s="5" t="n">
        <v>89252</v>
      </c>
      <c r="E11" s="5" t="n">
        <v>0</v>
      </c>
      <c r="F11" s="5" t="n">
        <v>14019</v>
      </c>
      <c r="G11" s="5" t="n">
        <v>364558</v>
      </c>
      <c r="H11" s="5" t="n">
        <v>15130.26000000001</v>
      </c>
    </row>
    <row r="12" ht="15" customHeight="1">
      <c r="B12" s="4" t="inlineStr">
        <is>
          <t>6800 Sayres</t>
        </is>
      </c>
      <c r="C12" s="5" t="n">
        <v>87716</v>
      </c>
      <c r="D12" s="5" t="n">
        <v>16732</v>
      </c>
      <c r="E12" s="5" t="n">
        <v>0</v>
      </c>
      <c r="F12" s="5" t="n">
        <v>2628</v>
      </c>
      <c r="G12" s="5" t="n">
        <v>68356</v>
      </c>
      <c r="H12" s="5" t="n">
        <v>2827.07</v>
      </c>
    </row>
    <row r="13" ht="15" customHeight="1">
      <c r="B13" s="4" t="inlineStr">
        <is>
          <t>7112 Kayla Ct</t>
        </is>
      </c>
      <c r="C13" s="5" t="n">
        <v>342714</v>
      </c>
      <c r="D13" s="5" t="n">
        <v>65410</v>
      </c>
      <c r="E13" s="5" t="n">
        <v>0</v>
      </c>
      <c r="F13" s="5" t="n">
        <v>10274</v>
      </c>
      <c r="G13" s="5" t="n">
        <v>267030</v>
      </c>
      <c r="H13" s="5" t="n">
        <v>11364.54999999999</v>
      </c>
    </row>
    <row r="14" ht="15" customHeight="1">
      <c r="B14" s="4" t="inlineStr">
        <is>
          <t>7141 Kayla Ct</t>
        </is>
      </c>
      <c r="C14" s="5" t="n">
        <v>79960</v>
      </c>
      <c r="D14" s="5" t="n">
        <v>15265</v>
      </c>
      <c r="E14" s="5" t="n">
        <v>0</v>
      </c>
      <c r="F14" s="5" t="n">
        <v>2397</v>
      </c>
      <c r="G14" s="5" t="n">
        <v>62298</v>
      </c>
      <c r="H14" s="5" t="n">
        <v>2659.850000000002</v>
      </c>
    </row>
    <row r="15" ht="15" customHeight="1">
      <c r="B15" s="6" t="inlineStr">
        <is>
          <t>GRAND TOTAL</t>
        </is>
      </c>
      <c r="C15" s="7">
        <f>SUM(C5:C14)</f>
        <v/>
      </c>
      <c r="D15" s="7">
        <f>SUM(D5:D14)</f>
        <v/>
      </c>
      <c r="E15" s="7">
        <f>SUM(E5:E14)</f>
        <v/>
      </c>
      <c r="F15" s="7">
        <f>SUM(F5:F14)</f>
        <v/>
      </c>
      <c r="G15" s="7">
        <f>SUM(G5:G14)</f>
        <v/>
      </c>
      <c r="H15" s="7">
        <f>SUM(H5:H14)</f>
        <v/>
      </c>
    </row>
  </sheetData>
  <mergeCells count="2">
    <mergeCell ref="B1:H1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530 Ames Blvd</t>
        </is>
      </c>
    </row>
    <row r="3" ht="15" customHeight="1">
      <c r="B3" s="8" t="inlineStr">
        <is>
          <t>530 Ames Blvd,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1051.54</v>
      </c>
      <c r="D10" s="5" t="n">
        <v>1051.54</v>
      </c>
    </row>
    <row r="11" ht="15" customHeight="1">
      <c r="B11" s="4" t="inlineStr">
        <is>
          <t xml:space="preserve">  Moldings</t>
        </is>
      </c>
      <c r="C11" s="5" t="n">
        <v>998.91</v>
      </c>
      <c r="D11" s="5" t="n">
        <v>998.91</v>
      </c>
    </row>
    <row r="12" ht="15" customHeight="1">
      <c r="B12" s="4" t="inlineStr">
        <is>
          <t xml:space="preserve">  Flooring - Wood Laminate</t>
        </is>
      </c>
      <c r="C12" s="5" t="n">
        <v>2190.16</v>
      </c>
      <c r="D12" s="5" t="n">
        <v>2190.16</v>
      </c>
    </row>
    <row r="13" ht="15" customHeight="1">
      <c r="B13" s="4" t="inlineStr">
        <is>
          <t xml:space="preserve">  Security System</t>
        </is>
      </c>
      <c r="C13" s="5" t="n">
        <v>503.17</v>
      </c>
      <c r="D13" s="5" t="n">
        <v>503.17</v>
      </c>
    </row>
    <row r="14" ht="15" customHeight="1">
      <c r="B14" s="4" t="inlineStr">
        <is>
          <t xml:space="preserve">  Window Treatments</t>
        </is>
      </c>
      <c r="C14" s="5" t="n">
        <v>382.43</v>
      </c>
      <c r="D14" s="5" t="n">
        <v>382.43</v>
      </c>
    </row>
    <row r="15" ht="15" customHeight="1">
      <c r="B15" s="4" t="inlineStr">
        <is>
          <t xml:space="preserve">  Specialty HVAC - Dryer Vents</t>
        </is>
      </c>
      <c r="C15" s="5" t="n">
        <v>42.81</v>
      </c>
      <c r="D15" s="5" t="n">
        <v>42.81</v>
      </c>
    </row>
    <row r="16" ht="15" customHeight="1">
      <c r="B16" s="4" t="inlineStr">
        <is>
          <t xml:space="preserve">  Building Signage</t>
        </is>
      </c>
      <c r="C16" s="5" t="n">
        <v>21.12</v>
      </c>
      <c r="D16" s="5" t="n">
        <v>21.12</v>
      </c>
    </row>
    <row r="17" ht="15" customHeight="1">
      <c r="B17" s="4" t="inlineStr">
        <is>
          <t xml:space="preserve">  Specialty Electrical - Appliances</t>
        </is>
      </c>
      <c r="C17" s="5" t="n">
        <v>731.0700000000001</v>
      </c>
      <c r="D17" s="5" t="n">
        <v>731.0700000000001</v>
      </c>
    </row>
    <row r="18" ht="15" customHeight="1">
      <c r="B18" s="4" t="inlineStr">
        <is>
          <t xml:space="preserve">  Communication / Data</t>
        </is>
      </c>
      <c r="C18" s="5" t="n">
        <v>286.8</v>
      </c>
      <c r="D18" s="5" t="n">
        <v>286.8</v>
      </c>
    </row>
    <row r="19" ht="15" customHeight="1">
      <c r="B19" s="4" t="inlineStr">
        <is>
          <t xml:space="preserve">  Specialty Plumbing - Kitchen Sink / Laundry</t>
        </is>
      </c>
      <c r="C19" s="5" t="n">
        <v>800.46</v>
      </c>
      <c r="D19" s="5" t="n">
        <v>800.46</v>
      </c>
    </row>
    <row r="20" ht="15" customHeight="1">
      <c r="B20" s="4" t="inlineStr">
        <is>
          <t xml:space="preserve">  Security / Exterior Lighting</t>
        </is>
      </c>
      <c r="C20" s="5" t="n">
        <v>232.42</v>
      </c>
      <c r="D20" s="5" t="n">
        <v>232.42</v>
      </c>
    </row>
    <row r="21" ht="15" customHeight="1">
      <c r="B21" s="4" t="inlineStr">
        <is>
          <t xml:space="preserve">  Appliances</t>
        </is>
      </c>
      <c r="C21" s="5" t="n">
        <v>801.88</v>
      </c>
      <c r="D21" s="5" t="n">
        <v>801.88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463.54</v>
      </c>
      <c r="F23" s="5" t="n">
        <v>463.54</v>
      </c>
    </row>
    <row r="24" ht="15" customHeight="1">
      <c r="B24" s="4" t="inlineStr">
        <is>
          <t xml:space="preserve">  Sidewalks / Curbs</t>
        </is>
      </c>
      <c r="C24" s="5" t="n">
        <v>189.36</v>
      </c>
      <c r="F24" s="5" t="n">
        <v>189.36</v>
      </c>
    </row>
    <row r="25" ht="15" customHeight="1">
      <c r="B25" s="4" t="inlineStr">
        <is>
          <t xml:space="preserve">  Exterior Equipment Concrete Pads</t>
        </is>
      </c>
      <c r="C25" s="5" t="n">
        <v>49.43</v>
      </c>
      <c r="F25" s="5" t="n">
        <v>49.43</v>
      </c>
    </row>
    <row r="26" ht="15" customHeight="1">
      <c r="B26" s="4" t="inlineStr">
        <is>
          <t xml:space="preserve">  Mailboxes</t>
        </is>
      </c>
      <c r="C26" s="5" t="n">
        <v>30.65</v>
      </c>
      <c r="F26" s="5" t="n">
        <v>30.65</v>
      </c>
    </row>
    <row r="27" ht="15" customHeight="1">
      <c r="B27" s="11" t="inlineStr">
        <is>
          <t>Building Structure</t>
        </is>
      </c>
    </row>
    <row r="28" ht="15" customHeight="1">
      <c r="B28" s="4" t="inlineStr">
        <is>
          <t xml:space="preserve">  Roofing Systems</t>
        </is>
      </c>
      <c r="C28" s="5" t="n">
        <v>2790.25</v>
      </c>
      <c r="G28" s="5" t="n">
        <v>2790.25</v>
      </c>
    </row>
    <row r="29" ht="15" customHeight="1">
      <c r="B29" s="4" t="inlineStr">
        <is>
          <t xml:space="preserve">  Foundations</t>
        </is>
      </c>
      <c r="C29" s="5" t="n">
        <v>4444.19</v>
      </c>
      <c r="G29" s="5" t="n">
        <v>4444.19</v>
      </c>
    </row>
    <row r="30" ht="15" customHeight="1">
      <c r="B30" s="4" t="inlineStr">
        <is>
          <t xml:space="preserve">  HVAC</t>
        </is>
      </c>
      <c r="C30" s="5" t="n">
        <v>2944.42</v>
      </c>
      <c r="G30" s="5" t="n">
        <v>2944.42</v>
      </c>
    </row>
    <row r="31" ht="15" customHeight="1">
      <c r="B31" s="4" t="inlineStr">
        <is>
          <t xml:space="preserve">  Electrical</t>
        </is>
      </c>
      <c r="C31" s="5" t="n">
        <v>2757.96</v>
      </c>
      <c r="G31" s="5" t="n">
        <v>2757.96</v>
      </c>
    </row>
    <row r="32" ht="15" customHeight="1">
      <c r="B32" s="4" t="inlineStr">
        <is>
          <t xml:space="preserve">  Plumbing</t>
        </is>
      </c>
      <c r="C32" s="5" t="n">
        <v>2596.79</v>
      </c>
      <c r="G32" s="5" t="n">
        <v>2596.79</v>
      </c>
    </row>
    <row r="33" ht="15" customHeight="1">
      <c r="B33" s="4" t="inlineStr">
        <is>
          <t xml:space="preserve">  Fire Protection &amp; Alarm</t>
        </is>
      </c>
      <c r="C33" s="5" t="n">
        <v>144.58</v>
      </c>
      <c r="G33" s="5" t="n">
        <v>144.58</v>
      </c>
    </row>
    <row r="34" ht="15" customHeight="1">
      <c r="B34" s="4" t="inlineStr">
        <is>
          <t xml:space="preserve">  Exterior Façade / Building Skin</t>
        </is>
      </c>
      <c r="C34" s="5" t="n">
        <v>1066.87</v>
      </c>
      <c r="G34" s="5" t="n">
        <v>1066.87</v>
      </c>
    </row>
    <row r="35" ht="15" customHeight="1">
      <c r="B35" s="4" t="inlineStr">
        <is>
          <t xml:space="preserve">  Doors &amp; Frames</t>
        </is>
      </c>
      <c r="C35" s="5" t="n">
        <v>1148.22</v>
      </c>
      <c r="G35" s="5" t="n">
        <v>1148.22</v>
      </c>
    </row>
    <row r="36" ht="15" customHeight="1">
      <c r="B36" s="4" t="inlineStr">
        <is>
          <t xml:space="preserve">  Windows</t>
        </is>
      </c>
      <c r="C36" s="5" t="n">
        <v>994.37</v>
      </c>
      <c r="G36" s="5" t="n">
        <v>994.37</v>
      </c>
    </row>
    <row r="37" ht="15" customHeight="1">
      <c r="B37" s="4" t="inlineStr">
        <is>
          <t xml:space="preserve">  Ceiling Systems</t>
        </is>
      </c>
      <c r="C37" s="5" t="n">
        <v>1546.74</v>
      </c>
      <c r="G37" s="5" t="n">
        <v>1546.74</v>
      </c>
    </row>
    <row r="38" ht="15" customHeight="1">
      <c r="B38" s="4" t="inlineStr">
        <is>
          <t xml:space="preserve">  Interior Framing / Partitions</t>
        </is>
      </c>
      <c r="C38" s="5" t="n">
        <v>4019.57</v>
      </c>
      <c r="G38" s="5" t="n">
        <v>4019.57</v>
      </c>
    </row>
    <row r="39" ht="15" customHeight="1">
      <c r="B39" s="4" t="inlineStr">
        <is>
          <t xml:space="preserve">  Painting</t>
        </is>
      </c>
      <c r="C39" s="5" t="n">
        <v>1406.33</v>
      </c>
      <c r="G39" s="5" t="n">
        <v>1406.33</v>
      </c>
    </row>
    <row r="40" ht="15" customHeight="1">
      <c r="B40" s="4" t="inlineStr">
        <is>
          <t xml:space="preserve">  Structural Framing</t>
        </is>
      </c>
      <c r="C40" s="5" t="n">
        <v>4035.02</v>
      </c>
      <c r="G40" s="5" t="n">
        <v>4035.02</v>
      </c>
    </row>
    <row r="41" ht="15" customHeight="1">
      <c r="B41" s="4" t="inlineStr">
        <is>
          <t xml:space="preserve">  Site Utilities</t>
        </is>
      </c>
      <c r="C41" s="5" t="n">
        <v>699</v>
      </c>
      <c r="G41" s="5" t="n">
        <v>699</v>
      </c>
    </row>
    <row r="42" ht="15" customHeight="1">
      <c r="B42" s="4" t="inlineStr">
        <is>
          <t xml:space="preserve">  Bathroom Accessories</t>
        </is>
      </c>
      <c r="C42" s="5" t="n">
        <v>465.2</v>
      </c>
      <c r="G42" s="5" t="n">
        <v>465.2</v>
      </c>
    </row>
    <row r="43" ht="15" customHeight="1">
      <c r="B43" s="4" t="inlineStr">
        <is>
          <t xml:space="preserve">  Cabinets / Millwork - Restrooms</t>
        </is>
      </c>
      <c r="C43" s="5" t="n">
        <v>276.98</v>
      </c>
      <c r="G43" s="5" t="n">
        <v>276.98</v>
      </c>
    </row>
    <row r="44" ht="15" customHeight="1">
      <c r="B44" s="6" t="inlineStr">
        <is>
          <t>Total Building Cost</t>
        </is>
      </c>
      <c r="C44" s="7">
        <f>SUM(C9:C43)</f>
        <v/>
      </c>
      <c r="D44" s="7">
        <f>SUM(D9:D43)</f>
        <v/>
      </c>
      <c r="E44" s="7">
        <f>SUM(E9:E43)</f>
        <v/>
      </c>
      <c r="F44" s="7">
        <f>SUM(F9:F43)</f>
        <v/>
      </c>
      <c r="G44" s="7">
        <f>SUM(G9:G43)</f>
        <v/>
      </c>
    </row>
    <row r="45" ht="15" customHeight="1">
      <c r="B45" s="6" t="inlineStr">
        <is>
          <t>TOTALS (check)</t>
        </is>
      </c>
      <c r="C45" s="7">
        <f>SUM(C9:C43)</f>
        <v/>
      </c>
      <c r="D45" s="7">
        <f>SUM(D9:D43)</f>
        <v/>
      </c>
      <c r="E45" s="7">
        <f>SUM(E9:E43)</f>
        <v/>
      </c>
      <c r="F45" s="7">
        <f>SUM(F9:F43)</f>
        <v/>
      </c>
      <c r="G45" s="7">
        <f>SUM(G9:G43)</f>
        <v/>
      </c>
    </row>
    <row r="47" ht="15" customHeight="1">
      <c r="B47" s="9" t="inlineStr">
        <is>
          <t>ASSET ALLOCATION</t>
        </is>
      </c>
    </row>
    <row r="48" ht="15" customHeight="1">
      <c r="B48" s="10" t="inlineStr">
        <is>
          <t>Asset</t>
        </is>
      </c>
      <c r="C48" s="10" t="inlineStr">
        <is>
          <t>Total</t>
        </is>
      </c>
      <c r="D48" s="10" t="inlineStr">
        <is>
          <t>5 Year</t>
        </is>
      </c>
      <c r="E48" s="10" t="inlineStr">
        <is>
          <t>7 Year</t>
        </is>
      </c>
      <c r="F48" s="10" t="inlineStr">
        <is>
          <t>15 Year</t>
        </is>
      </c>
      <c r="G48" s="10" t="inlineStr">
        <is>
          <t>27.5 Year</t>
        </is>
      </c>
    </row>
    <row r="49" ht="15" customHeight="1">
      <c r="B49" s="4" t="inlineStr">
        <is>
          <t>Asset # 17-Land Improvements - Ames</t>
        </is>
      </c>
      <c r="C49" s="5" t="n">
        <v>121057</v>
      </c>
      <c r="D49" s="5" t="n">
        <v>22198</v>
      </c>
      <c r="F49" s="5" t="n">
        <v>2023</v>
      </c>
      <c r="G49" s="5" t="n">
        <v>96836</v>
      </c>
    </row>
    <row r="50" ht="15" customHeight="1">
      <c r="B50" s="4" t="inlineStr">
        <is>
          <t>Asset # 18-Building - Ames</t>
        </is>
      </c>
      <c r="C50" s="5" t="n">
        <v>1573731</v>
      </c>
      <c r="D50" s="5" t="n">
        <v>288575</v>
      </c>
      <c r="F50" s="5" t="n">
        <v>26299</v>
      </c>
      <c r="G50" s="5" t="n">
        <v>1258857</v>
      </c>
    </row>
    <row r="51" ht="15" customHeight="1">
      <c r="B51" s="4" t="inlineStr">
        <is>
          <t>Asset # 19-Equipment - Ames</t>
        </is>
      </c>
      <c r="C51" s="5" t="n">
        <v>322816</v>
      </c>
      <c r="D51" s="5" t="n">
        <v>59195</v>
      </c>
      <c r="F51" s="5" t="n">
        <v>5395</v>
      </c>
      <c r="G51" s="5" t="n">
        <v>258226</v>
      </c>
    </row>
    <row r="52" ht="15" customHeight="1">
      <c r="B52" s="6" t="inlineStr">
        <is>
          <t>Total Allocation:</t>
        </is>
      </c>
      <c r="C52" s="7">
        <f>SUM(C49:C51)</f>
        <v/>
      </c>
      <c r="D52" s="7">
        <f>SUM(D49:D51)</f>
        <v/>
      </c>
      <c r="E52" s="7">
        <f>SUM(E49:E51)</f>
        <v/>
      </c>
      <c r="F52" s="7">
        <f>SUM(F49:F51)</f>
        <v/>
      </c>
      <c r="G52" s="7">
        <f>SUM(G49:G51)</f>
        <v/>
      </c>
    </row>
    <row r="53" ht="15" customHeight="1">
      <c r="B53" s="6" t="inlineStr">
        <is>
          <t>TOTALS (check)</t>
        </is>
      </c>
      <c r="C53" s="7">
        <f>SUM(C49:C51)</f>
        <v/>
      </c>
      <c r="D53" s="7">
        <f>SUM(D49:D51)</f>
        <v/>
      </c>
      <c r="E53" s="7">
        <f>SUM(E49:E51)</f>
        <v/>
      </c>
      <c r="F53" s="7">
        <f>SUM(F49:F51)</f>
        <v/>
      </c>
      <c r="G53" s="7">
        <f>SUM(G49:G51)</f>
        <v/>
      </c>
    </row>
    <row r="55" ht="15" customHeight="1">
      <c r="B55" s="9" t="inlineStr">
        <is>
          <t>DEPRECIATION SCHEDULE — AS PREVIOUSLY FILED</t>
        </is>
      </c>
    </row>
    <row r="56" ht="15" customHeight="1">
      <c r="B56" s="10" t="inlineStr">
        <is>
          <t>Property Description</t>
        </is>
      </c>
      <c r="C56" s="10" t="inlineStr">
        <is>
          <t>Tax Cost</t>
        </is>
      </c>
      <c r="D56" s="10" t="inlineStr">
        <is>
          <t>Tax Bonus Amt</t>
        </is>
      </c>
      <c r="E56" s="10" t="inlineStr">
        <is>
          <t>Tax Prior Depr</t>
        </is>
      </c>
      <c r="F56" s="10" t="inlineStr">
        <is>
          <t>Tax Current Depr</t>
        </is>
      </c>
      <c r="G56" s="10" t="inlineStr">
        <is>
          <t>Tax End Depr</t>
        </is>
      </c>
      <c r="H56" s="10" t="inlineStr">
        <is>
          <t>Tax Net Book Value</t>
        </is>
      </c>
      <c r="I56" s="10" t="inlineStr">
        <is>
          <t>Tax Method</t>
        </is>
      </c>
      <c r="J56" s="10" t="inlineStr">
        <is>
          <t>Tax Period</t>
        </is>
      </c>
    </row>
    <row r="57" ht="15" customHeight="1">
      <c r="B57" s="4" t="inlineStr">
        <is>
          <t>17 - Land Improvements - Ames</t>
        </is>
      </c>
      <c r="C57" s="5" t="n">
        <v>2017604</v>
      </c>
      <c r="D57" s="5" t="n">
        <v>0</v>
      </c>
      <c r="E57" s="5" t="n">
        <v>725880.53</v>
      </c>
      <c r="F57" s="5" t="n">
        <v>64375.35</v>
      </c>
      <c r="G57" s="5" t="n">
        <v>790255.88</v>
      </c>
      <c r="H57" s="5" t="n">
        <v>1227348.12</v>
      </c>
      <c r="I57" s="8" t="inlineStr">
        <is>
          <t>150DB</t>
        </is>
      </c>
      <c r="J57" s="12" t="n">
        <v>15</v>
      </c>
    </row>
    <row r="58" ht="15" customHeight="1">
      <c r="B58" s="4" t="inlineStr">
        <is>
          <t>17 - Land Improvements - Ames</t>
        </is>
      </c>
      <c r="C58" s="5" t="n">
        <v>121057</v>
      </c>
      <c r="D58" s="5" t="n">
        <v>0</v>
      </c>
      <c r="E58" s="5" t="n">
        <v>57319.39</v>
      </c>
      <c r="F58" s="5" t="n">
        <v>7148.5</v>
      </c>
      <c r="G58" s="5" t="n">
        <v>64467.89</v>
      </c>
      <c r="H58" s="5" t="n">
        <v>56589.11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18 - Building - Ames</t>
        </is>
      </c>
      <c r="C59" s="5" t="n">
        <v>1573731</v>
      </c>
      <c r="D59" s="5" t="n">
        <v>0</v>
      </c>
      <c r="E59" s="5" t="n">
        <v>345745.14</v>
      </c>
      <c r="F59" s="5" t="n">
        <v>57226.85</v>
      </c>
      <c r="G59" s="5" t="n">
        <v>402971.99</v>
      </c>
      <c r="H59" s="5" t="n">
        <v>1170759.01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19 - Equipment - Ames</t>
        </is>
      </c>
      <c r="C60" s="5" t="n">
        <v>322816</v>
      </c>
      <c r="D60" s="5" t="n">
        <v>0</v>
      </c>
      <c r="E60" s="5" t="n">
        <v>322816</v>
      </c>
      <c r="F60" s="5" t="n">
        <v>0</v>
      </c>
      <c r="G60" s="5" t="n">
        <v>322816</v>
      </c>
      <c r="H60" s="5" t="n">
        <v>0</v>
      </c>
      <c r="I60" s="8" t="inlineStr">
        <is>
          <t>S/L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SUM(C57:C60)</f>
        <v/>
      </c>
      <c r="D61" s="7">
        <f>SUM(D57:D60)</f>
        <v/>
      </c>
      <c r="E61" s="7">
        <f>SUM(E57:E60)</f>
        <v/>
      </c>
      <c r="F61" s="7">
        <f>SUM(F57:F60)</f>
        <v/>
      </c>
      <c r="G61" s="7">
        <f>SUM(G57:G60)</f>
        <v/>
      </c>
      <c r="H61" s="7">
        <f>SUM(H57:H60)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17 - Land Improvements - Ames - 5yr</t>
        </is>
      </c>
      <c r="C65" s="5" t="n">
        <v>22198</v>
      </c>
      <c r="D65" s="5" t="n">
        <v>0</v>
      </c>
      <c r="E65" s="5" t="n">
        <v>22198</v>
      </c>
      <c r="F65" s="5" t="n">
        <v>22198</v>
      </c>
      <c r="G65" s="5" t="n">
        <v>22198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17 - Land Improvements - Ames - 15yr</t>
        </is>
      </c>
      <c r="C66" s="5" t="n">
        <v>2023</v>
      </c>
      <c r="D66" s="5" t="n">
        <v>0</v>
      </c>
      <c r="E66" s="5" t="n">
        <v>2023</v>
      </c>
      <c r="F66" s="5" t="n">
        <v>2023</v>
      </c>
      <c r="G66" s="5" t="n">
        <v>2023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17 - Land Improvements - Ames - 27.5yr</t>
        </is>
      </c>
      <c r="C67" s="5" t="n">
        <v>96835</v>
      </c>
      <c r="D67" s="5" t="n">
        <v>0</v>
      </c>
      <c r="E67" s="5" t="n">
        <v>0</v>
      </c>
      <c r="F67" s="5" t="n">
        <v>3521.27</v>
      </c>
      <c r="G67" s="5" t="n">
        <v>24795.61</v>
      </c>
      <c r="H67" s="5" t="n">
        <v>72039.39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18 - Building - Ames - 5yr</t>
        </is>
      </c>
      <c r="C68" s="5" t="n">
        <v>288575</v>
      </c>
      <c r="D68" s="5" t="n">
        <v>0</v>
      </c>
      <c r="E68" s="5" t="n">
        <v>288575</v>
      </c>
      <c r="F68" s="5" t="n">
        <v>288575</v>
      </c>
      <c r="G68" s="5" t="n">
        <v>288575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18 - Building - Ames - 15yr</t>
        </is>
      </c>
      <c r="C69" s="5" t="n">
        <v>26299</v>
      </c>
      <c r="D69" s="5" t="n">
        <v>0</v>
      </c>
      <c r="E69" s="5" t="n">
        <v>26299</v>
      </c>
      <c r="F69" s="5" t="n">
        <v>26299</v>
      </c>
      <c r="G69" s="5" t="n">
        <v>26299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18 - Building - Ames - 27.5yr</t>
        </is>
      </c>
      <c r="C70" s="5" t="n">
        <v>1258857</v>
      </c>
      <c r="D70" s="5" t="n">
        <v>0</v>
      </c>
      <c r="E70" s="5" t="n">
        <v>0</v>
      </c>
      <c r="F70" s="5" t="n">
        <v>45776.62</v>
      </c>
      <c r="G70" s="5" t="n">
        <v>322343.7</v>
      </c>
      <c r="H70" s="5" t="n">
        <v>936513.3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19 - Equipment - Ames - 5yr</t>
        </is>
      </c>
      <c r="C71" s="5" t="n">
        <v>59195</v>
      </c>
      <c r="D71" s="5" t="n">
        <v>0</v>
      </c>
      <c r="E71" s="5" t="n">
        <v>59195</v>
      </c>
      <c r="F71" s="5" t="n">
        <v>59195</v>
      </c>
      <c r="G71" s="5" t="n">
        <v>59195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19 - Equipment - Ames - 15yr</t>
        </is>
      </c>
      <c r="C72" s="5" t="n">
        <v>5395</v>
      </c>
      <c r="D72" s="5" t="n">
        <v>0</v>
      </c>
      <c r="E72" s="5" t="n">
        <v>5395</v>
      </c>
      <c r="F72" s="5" t="n">
        <v>5395</v>
      </c>
      <c r="G72" s="5" t="n">
        <v>5395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19 - Equipment - Ames - 27.5yr</t>
        </is>
      </c>
      <c r="C73" s="5" t="n">
        <v>258227</v>
      </c>
      <c r="D73" s="5" t="n">
        <v>0</v>
      </c>
      <c r="E73" s="5" t="n">
        <v>0</v>
      </c>
      <c r="F73" s="5" t="n">
        <v>9390.07</v>
      </c>
      <c r="G73" s="5" t="n">
        <v>66121.74000000001</v>
      </c>
      <c r="H73" s="5" t="n">
        <v>192105.26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790255.88</v>
      </c>
    </row>
    <row r="78" ht="15" customHeight="1">
      <c r="B78" s="4" t="inlineStr">
        <is>
          <t>Cost Segregation Corrected Depreciation</t>
        </is>
      </c>
      <c r="C78" s="13" t="n">
        <v>816946.05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2:J22"/>
    <mergeCell ref="B76:J76"/>
    <mergeCell ref="B63:J63"/>
    <mergeCell ref="B9:J9"/>
    <mergeCell ref="B1:J1"/>
    <mergeCell ref="B27:J27"/>
    <mergeCell ref="B55:J55"/>
    <mergeCell ref="B47:J47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8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540 Freedom Ct</t>
        </is>
      </c>
    </row>
    <row r="3" ht="15" customHeight="1">
      <c r="B3" s="8" t="inlineStr">
        <is>
          <t>540 Freedom Ct,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1413.34</v>
      </c>
      <c r="D10" s="5" t="n">
        <v>1413.34</v>
      </c>
    </row>
    <row r="11" ht="15" customHeight="1">
      <c r="B11" s="4" t="inlineStr">
        <is>
          <t xml:space="preserve">  Moldings</t>
        </is>
      </c>
      <c r="C11" s="5" t="n">
        <v>704.98</v>
      </c>
      <c r="D11" s="5" t="n">
        <v>704.98</v>
      </c>
    </row>
    <row r="12" ht="15" customHeight="1">
      <c r="B12" s="4" t="inlineStr">
        <is>
          <t xml:space="preserve">  Flooring - Wood Laminate</t>
        </is>
      </c>
      <c r="C12" s="5" t="n">
        <v>115.67</v>
      </c>
      <c r="D12" s="5" t="n">
        <v>115.67</v>
      </c>
    </row>
    <row r="13" ht="15" customHeight="1">
      <c r="B13" s="4" t="inlineStr">
        <is>
          <t xml:space="preserve">  Flooring - Carpet</t>
        </is>
      </c>
      <c r="C13" s="5" t="n">
        <v>2552.89</v>
      </c>
      <c r="D13" s="5" t="n">
        <v>2552.89</v>
      </c>
    </row>
    <row r="14" ht="15" customHeight="1">
      <c r="B14" s="4" t="inlineStr">
        <is>
          <t xml:space="preserve">  Security System</t>
        </is>
      </c>
      <c r="C14" s="5" t="n">
        <v>74.23999999999999</v>
      </c>
      <c r="D14" s="5" t="n">
        <v>74.23999999999999</v>
      </c>
    </row>
    <row r="15" ht="15" customHeight="1">
      <c r="B15" s="4" t="inlineStr">
        <is>
          <t xml:space="preserve">  Window Treatments</t>
        </is>
      </c>
      <c r="C15" s="5" t="n">
        <v>503.17</v>
      </c>
      <c r="D15" s="5" t="n">
        <v>503.17</v>
      </c>
    </row>
    <row r="16" ht="15" customHeight="1">
      <c r="B16" s="4" t="inlineStr">
        <is>
          <t xml:space="preserve">  Specialty HVAC - Dryer Vents</t>
        </is>
      </c>
      <c r="C16" s="5" t="n">
        <v>417.2</v>
      </c>
      <c r="D16" s="5" t="n">
        <v>417.2</v>
      </c>
    </row>
    <row r="17" ht="15" customHeight="1">
      <c r="B17" s="4" t="inlineStr">
        <is>
          <t xml:space="preserve">  Building Signage</t>
        </is>
      </c>
      <c r="C17" s="5" t="n">
        <v>42.81</v>
      </c>
      <c r="D17" s="5" t="n">
        <v>42.81</v>
      </c>
    </row>
    <row r="18" ht="15" customHeight="1">
      <c r="B18" s="4" t="inlineStr">
        <is>
          <t xml:space="preserve">  Specialty Electrical - Appliances</t>
        </is>
      </c>
      <c r="C18" s="5" t="n">
        <v>21.12</v>
      </c>
      <c r="D18" s="5" t="n">
        <v>21.12</v>
      </c>
    </row>
    <row r="19" ht="15" customHeight="1">
      <c r="B19" s="4" t="inlineStr">
        <is>
          <t xml:space="preserve">  Communication / Data</t>
        </is>
      </c>
      <c r="C19" s="5" t="n">
        <v>731.0700000000001</v>
      </c>
      <c r="D19" s="5" t="n">
        <v>731.0700000000001</v>
      </c>
    </row>
    <row r="20" ht="15" customHeight="1">
      <c r="B20" s="4" t="inlineStr">
        <is>
          <t xml:space="preserve">  Specialty Plumbing - Kitchen Sink / Laundry</t>
        </is>
      </c>
      <c r="C20" s="5" t="n">
        <v>338.82</v>
      </c>
      <c r="D20" s="5" t="n">
        <v>338.82</v>
      </c>
    </row>
    <row r="21" ht="15" customHeight="1">
      <c r="B21" s="4" t="inlineStr">
        <is>
          <t xml:space="preserve">  Security / Exterior Lighting</t>
        </is>
      </c>
      <c r="C21" s="5" t="n">
        <v>800.46</v>
      </c>
      <c r="D21" s="5" t="n">
        <v>800.46</v>
      </c>
    </row>
    <row r="22" ht="15" customHeight="1">
      <c r="B22" s="4" t="inlineStr">
        <is>
          <t xml:space="preserve">  Access Control</t>
        </is>
      </c>
      <c r="C22" s="5" t="n">
        <v>232.42</v>
      </c>
      <c r="D22" s="5" t="n">
        <v>232.42</v>
      </c>
    </row>
    <row r="23" ht="15" customHeight="1">
      <c r="B23" s="4" t="inlineStr">
        <is>
          <t xml:space="preserve">  Appliances</t>
        </is>
      </c>
      <c r="C23" s="5" t="n">
        <v>801.88</v>
      </c>
      <c r="D23" s="5" t="n">
        <v>801.88</v>
      </c>
    </row>
    <row r="24" ht="15" customHeight="1">
      <c r="B24" s="11" t="inlineStr">
        <is>
          <t>Site Work / Improvements</t>
        </is>
      </c>
    </row>
    <row r="25" ht="15" customHeight="1">
      <c r="B25" s="4" t="inlineStr">
        <is>
          <t xml:space="preserve">  Driveway</t>
        </is>
      </c>
      <c r="C25" s="5" t="n">
        <v>1053.33</v>
      </c>
      <c r="F25" s="5" t="n">
        <v>1053.33</v>
      </c>
    </row>
    <row r="26" ht="15" customHeight="1">
      <c r="B26" s="4" t="inlineStr">
        <is>
          <t xml:space="preserve">  Sidewalks / Curbs</t>
        </is>
      </c>
      <c r="C26" s="5" t="n">
        <v>217.91</v>
      </c>
      <c r="F26" s="5" t="n">
        <v>217.91</v>
      </c>
    </row>
    <row r="27" ht="15" customHeight="1">
      <c r="B27" s="4" t="inlineStr">
        <is>
          <t xml:space="preserve">  Exterior Equipment Concrete Pads</t>
        </is>
      </c>
      <c r="C27" s="5" t="n">
        <v>49.43</v>
      </c>
      <c r="F27" s="5" t="n">
        <v>49.43</v>
      </c>
    </row>
    <row r="28" ht="15" customHeight="1">
      <c r="B28" s="4" t="inlineStr">
        <is>
          <t xml:space="preserve">  Mailboxes</t>
        </is>
      </c>
      <c r="C28" s="5" t="n">
        <v>30.65</v>
      </c>
      <c r="F28" s="5" t="n">
        <v>30.65</v>
      </c>
    </row>
    <row r="29" ht="15" customHeight="1">
      <c r="B29" s="11" t="inlineStr">
        <is>
          <t>Building Structure</t>
        </is>
      </c>
    </row>
    <row r="30" ht="15" customHeight="1">
      <c r="B30" s="4" t="inlineStr">
        <is>
          <t xml:space="preserve">  Roofing Systems</t>
        </is>
      </c>
      <c r="C30" s="5" t="n">
        <v>3154.94</v>
      </c>
      <c r="G30" s="5" t="n">
        <v>3154.94</v>
      </c>
    </row>
    <row r="31" ht="15" customHeight="1">
      <c r="B31" s="4" t="inlineStr">
        <is>
          <t xml:space="preserve">  Foundations</t>
        </is>
      </c>
      <c r="C31" s="5" t="n">
        <v>5238.39</v>
      </c>
      <c r="G31" s="5" t="n">
        <v>5238.39</v>
      </c>
    </row>
    <row r="32" ht="15" customHeight="1">
      <c r="B32" s="4" t="inlineStr">
        <is>
          <t xml:space="preserve">  HVAC</t>
        </is>
      </c>
      <c r="C32" s="5" t="n">
        <v>3486.17</v>
      </c>
      <c r="G32" s="5" t="n">
        <v>3486.17</v>
      </c>
    </row>
    <row r="33" ht="15" customHeight="1">
      <c r="B33" s="4" t="inlineStr">
        <is>
          <t xml:space="preserve">  Electrical</t>
        </is>
      </c>
      <c r="C33" s="5" t="n">
        <v>3268.17</v>
      </c>
      <c r="G33" s="5" t="n">
        <v>3268.17</v>
      </c>
    </row>
    <row r="34" ht="15" customHeight="1">
      <c r="B34" s="4" t="inlineStr">
        <is>
          <t xml:space="preserve">  Plumbing</t>
        </is>
      </c>
      <c r="C34" s="5" t="n">
        <v>2758.08</v>
      </c>
      <c r="G34" s="5" t="n">
        <v>2758.08</v>
      </c>
    </row>
    <row r="35" ht="15" customHeight="1">
      <c r="B35" s="4" t="inlineStr">
        <is>
          <t xml:space="preserve">  Fire Protection &amp; Alarm</t>
        </is>
      </c>
      <c r="C35" s="5" t="n">
        <v>153.77</v>
      </c>
      <c r="G35" s="5" t="n">
        <v>153.77</v>
      </c>
    </row>
    <row r="36" ht="15" customHeight="1">
      <c r="B36" s="4" t="inlineStr">
        <is>
          <t xml:space="preserve">  Exterior Façade / Building Skin</t>
        </is>
      </c>
      <c r="C36" s="5" t="n">
        <v>1133.82</v>
      </c>
      <c r="G36" s="5" t="n">
        <v>1133.82</v>
      </c>
    </row>
    <row r="37" ht="15" customHeight="1">
      <c r="B37" s="4" t="inlineStr">
        <is>
          <t xml:space="preserve">  Doors &amp; Frames</t>
        </is>
      </c>
      <c r="C37" s="5" t="n">
        <v>1220.79</v>
      </c>
      <c r="G37" s="5" t="n">
        <v>1220.79</v>
      </c>
    </row>
    <row r="38" ht="15" customHeight="1">
      <c r="B38" s="4" t="inlineStr">
        <is>
          <t xml:space="preserve">  Windows</t>
        </is>
      </c>
      <c r="C38" s="5" t="n">
        <v>1057.07</v>
      </c>
      <c r="G38" s="5" t="n">
        <v>1057.07</v>
      </c>
    </row>
    <row r="39" ht="15" customHeight="1">
      <c r="B39" s="4" t="inlineStr">
        <is>
          <t xml:space="preserve">  Ceiling Systems</t>
        </is>
      </c>
      <c r="C39" s="5" t="n">
        <v>1644.3</v>
      </c>
      <c r="G39" s="5" t="n">
        <v>1644.3</v>
      </c>
    </row>
    <row r="40" ht="15" customHeight="1">
      <c r="B40" s="4" t="inlineStr">
        <is>
          <t xml:space="preserve">  Interior Framing / Partitions</t>
        </is>
      </c>
      <c r="C40" s="5" t="n">
        <v>4273.54</v>
      </c>
      <c r="G40" s="5" t="n">
        <v>4273.54</v>
      </c>
    </row>
    <row r="41" ht="15" customHeight="1">
      <c r="B41" s="4" t="inlineStr">
        <is>
          <t xml:space="preserve">  Painting</t>
        </is>
      </c>
      <c r="C41" s="5" t="n">
        <v>1495.36</v>
      </c>
      <c r="G41" s="5" t="n">
        <v>1495.36</v>
      </c>
    </row>
    <row r="42" ht="15" customHeight="1">
      <c r="B42" s="4" t="inlineStr">
        <is>
          <t xml:space="preserve">  Structural Framing</t>
        </is>
      </c>
      <c r="C42" s="5" t="n">
        <v>4290.93</v>
      </c>
      <c r="G42" s="5" t="n">
        <v>4290.93</v>
      </c>
    </row>
    <row r="43" ht="15" customHeight="1">
      <c r="B43" s="4" t="inlineStr">
        <is>
          <t xml:space="preserve">  Site Utilities</t>
        </is>
      </c>
      <c r="C43" s="5" t="n">
        <v>743.3099999999999</v>
      </c>
      <c r="G43" s="5" t="n">
        <v>743.3099999999999</v>
      </c>
    </row>
    <row r="44" ht="15" customHeight="1">
      <c r="B44" s="4" t="inlineStr">
        <is>
          <t xml:space="preserve">  Bathroom Accessories</t>
        </is>
      </c>
      <c r="C44" s="5" t="n">
        <v>494.77</v>
      </c>
      <c r="G44" s="5" t="n">
        <v>494.77</v>
      </c>
    </row>
    <row r="45" ht="15" customHeight="1">
      <c r="B45" s="4" t="inlineStr">
        <is>
          <t xml:space="preserve">  Cabinets / Millwork - Restrooms</t>
        </is>
      </c>
      <c r="C45" s="5" t="n">
        <v>294.61</v>
      </c>
      <c r="G45" s="5" t="n">
        <v>294.61</v>
      </c>
    </row>
    <row r="46" ht="15" customHeight="1">
      <c r="B46" s="6" t="inlineStr">
        <is>
          <t>Total Building Cost</t>
        </is>
      </c>
      <c r="C46" s="7">
        <f>SUM(C9:C45)</f>
        <v/>
      </c>
      <c r="D46" s="7">
        <f>SUM(D9:D45)</f>
        <v/>
      </c>
      <c r="E46" s="7">
        <f>SUM(E9:E45)</f>
        <v/>
      </c>
      <c r="F46" s="7">
        <f>SUM(F9:F45)</f>
        <v/>
      </c>
      <c r="G46" s="7">
        <f>SUM(G9:G45)</f>
        <v/>
      </c>
    </row>
    <row r="47" ht="15" customHeight="1">
      <c r="B47" s="6" t="inlineStr">
        <is>
          <t>TOTALS (check)</t>
        </is>
      </c>
      <c r="C47" s="7">
        <f>SUM(C9:C45)</f>
        <v/>
      </c>
      <c r="D47" s="7">
        <f>SUM(D9:D45)</f>
        <v/>
      </c>
      <c r="E47" s="7">
        <f>SUM(E9:E45)</f>
        <v/>
      </c>
      <c r="F47" s="7">
        <f>SUM(F9:F45)</f>
        <v/>
      </c>
      <c r="G47" s="7">
        <f>SUM(G9:G45)</f>
        <v/>
      </c>
    </row>
    <row r="49" ht="15" customHeight="1">
      <c r="B49" s="9" t="inlineStr">
        <is>
          <t>ASSET ALLOCATION</t>
        </is>
      </c>
    </row>
    <row r="50" ht="15" customHeight="1">
      <c r="B50" s="10" t="inlineStr">
        <is>
          <t>Asset</t>
        </is>
      </c>
      <c r="C50" s="10" t="inlineStr">
        <is>
          <t>Total</t>
        </is>
      </c>
      <c r="D50" s="10" t="inlineStr">
        <is>
          <t>5 Year</t>
        </is>
      </c>
      <c r="E50" s="10" t="inlineStr">
        <is>
          <t>7 Year</t>
        </is>
      </c>
      <c r="F50" s="10" t="inlineStr">
        <is>
          <t>15 Year</t>
        </is>
      </c>
      <c r="G50" s="10" t="inlineStr">
        <is>
          <t>27.5 Year</t>
        </is>
      </c>
    </row>
    <row r="51" ht="15" customHeight="1">
      <c r="B51" s="4" t="inlineStr">
        <is>
          <t>Asset # 17-Land Improvements - Ames</t>
        </is>
      </c>
      <c r="C51" s="5" t="n">
        <v>4876</v>
      </c>
      <c r="D51" s="5" t="n">
        <v>1050</v>
      </c>
      <c r="F51" s="5" t="n">
        <v>162</v>
      </c>
      <c r="G51" s="5" t="n">
        <v>3664</v>
      </c>
    </row>
    <row r="52" ht="15" customHeight="1">
      <c r="B52" s="4" t="inlineStr">
        <is>
          <t>Asset # 18-Building - Ames</t>
        </is>
      </c>
      <c r="C52" s="5" t="n">
        <v>63391</v>
      </c>
      <c r="D52" s="5" t="n">
        <v>13650</v>
      </c>
      <c r="F52" s="5" t="n">
        <v>2108</v>
      </c>
      <c r="G52" s="5" t="n">
        <v>47633</v>
      </c>
    </row>
    <row r="53" ht="15" customHeight="1">
      <c r="B53" s="4" t="inlineStr">
        <is>
          <t>Asset # 19-Equipment - Ames</t>
        </is>
      </c>
      <c r="C53" s="5" t="n">
        <v>13004</v>
      </c>
      <c r="D53" s="5" t="n">
        <v>2800</v>
      </c>
      <c r="F53" s="5" t="n">
        <v>432</v>
      </c>
      <c r="G53" s="5" t="n">
        <v>9772</v>
      </c>
    </row>
    <row r="54" ht="15" customHeight="1">
      <c r="B54" s="6" t="inlineStr">
        <is>
          <t>Total Allocation:</t>
        </is>
      </c>
      <c r="C54" s="7">
        <f>SUM(C51:C53)</f>
        <v/>
      </c>
      <c r="D54" s="7">
        <f>SUM(D51:D53)</f>
        <v/>
      </c>
      <c r="E54" s="7">
        <f>SUM(E51:E53)</f>
        <v/>
      </c>
      <c r="F54" s="7">
        <f>SUM(F51:F53)</f>
        <v/>
      </c>
      <c r="G54" s="7">
        <f>SUM(G51:G53)</f>
        <v/>
      </c>
    </row>
    <row r="55" ht="15" customHeight="1">
      <c r="B55" s="6" t="inlineStr">
        <is>
          <t>TOTALS (check)</t>
        </is>
      </c>
      <c r="C55" s="7">
        <f>SUM(C51:C53)</f>
        <v/>
      </c>
      <c r="D55" s="7">
        <f>SUM(D51:D53)</f>
        <v/>
      </c>
      <c r="E55" s="7">
        <f>SUM(E51:E53)</f>
        <v/>
      </c>
      <c r="F55" s="7">
        <f>SUM(F51:F53)</f>
        <v/>
      </c>
      <c r="G55" s="7">
        <f>SUM(G51:G53)</f>
        <v/>
      </c>
    </row>
    <row r="57" ht="15" customHeight="1">
      <c r="B57" s="9" t="inlineStr">
        <is>
          <t>DEPRECIATION SCHEDULE — AS PREVIOUSLY FILED</t>
        </is>
      </c>
    </row>
    <row r="58" ht="15" customHeight="1">
      <c r="B58" s="10" t="inlineStr">
        <is>
          <t>Property Description</t>
        </is>
      </c>
      <c r="C58" s="10" t="inlineStr">
        <is>
          <t>Tax Cost</t>
        </is>
      </c>
      <c r="D58" s="10" t="inlineStr">
        <is>
          <t>Tax Bonus Amt</t>
        </is>
      </c>
      <c r="E58" s="10" t="inlineStr">
        <is>
          <t>Tax Prior Depr</t>
        </is>
      </c>
      <c r="F58" s="10" t="inlineStr">
        <is>
          <t>Tax Current Depr</t>
        </is>
      </c>
      <c r="G58" s="10" t="inlineStr">
        <is>
          <t>Tax End Depr</t>
        </is>
      </c>
      <c r="H58" s="10" t="inlineStr">
        <is>
          <t>Tax Net Book Value</t>
        </is>
      </c>
      <c r="I58" s="10" t="inlineStr">
        <is>
          <t>Tax Method</t>
        </is>
      </c>
      <c r="J58" s="10" t="inlineStr">
        <is>
          <t>Tax Period</t>
        </is>
      </c>
    </row>
    <row r="59" ht="15" customHeight="1">
      <c r="B59" s="4" t="inlineStr">
        <is>
          <t>17 - Land Improvements - Ames</t>
        </is>
      </c>
      <c r="C59" s="5" t="n">
        <v>4876</v>
      </c>
      <c r="D59" s="5" t="n">
        <v>0</v>
      </c>
      <c r="E59" s="5" t="n">
        <v>1071.25</v>
      </c>
      <c r="F59" s="5" t="n">
        <v>177.31</v>
      </c>
      <c r="G59" s="5" t="n">
        <v>1248.56</v>
      </c>
      <c r="H59" s="5" t="n">
        <v>3627.44</v>
      </c>
      <c r="I59" s="8" t="inlineStr">
        <is>
          <t>150DB</t>
        </is>
      </c>
      <c r="J59" s="12" t="n">
        <v>15</v>
      </c>
    </row>
    <row r="60" ht="15" customHeight="1">
      <c r="B60" s="4" t="inlineStr">
        <is>
          <t>18 - Building - Ames</t>
        </is>
      </c>
      <c r="C60" s="5" t="n">
        <v>63391</v>
      </c>
      <c r="D60" s="5" t="n">
        <v>0</v>
      </c>
      <c r="E60" s="5" t="n">
        <v>13926.83</v>
      </c>
      <c r="F60" s="5" t="n">
        <v>2305.13</v>
      </c>
      <c r="G60" s="5" t="n">
        <v>16231.96</v>
      </c>
      <c r="H60" s="5" t="n">
        <v>47159.04</v>
      </c>
      <c r="I60" s="8" t="inlineStr">
        <is>
          <t>S/L</t>
        </is>
      </c>
      <c r="J60" s="12" t="n">
        <v>27.5</v>
      </c>
    </row>
    <row r="61" ht="15" customHeight="1">
      <c r="B61" s="4" t="inlineStr">
        <is>
          <t>19 - Equipment - Ames</t>
        </is>
      </c>
      <c r="C61" s="5" t="n">
        <v>13004</v>
      </c>
      <c r="D61" s="5" t="n">
        <v>0</v>
      </c>
      <c r="E61" s="5" t="n">
        <v>13004</v>
      </c>
      <c r="F61" s="5" t="n">
        <v>0</v>
      </c>
      <c r="G61" s="5" t="n">
        <v>13004</v>
      </c>
      <c r="H61" s="5" t="n">
        <v>0</v>
      </c>
      <c r="I61" s="8" t="inlineStr">
        <is>
          <t>200DB</t>
        </is>
      </c>
      <c r="J61" s="12" t="n">
        <v>5</v>
      </c>
    </row>
    <row r="62" ht="15" customHeight="1">
      <c r="B62" s="6" t="inlineStr">
        <is>
          <t>Grand Total</t>
        </is>
      </c>
      <c r="C62" s="7">
        <f>SUM(C59:C61)</f>
        <v/>
      </c>
      <c r="D62" s="7">
        <f>SUM(D59:D61)</f>
        <v/>
      </c>
      <c r="E62" s="7">
        <f>SUM(E59:E61)</f>
        <v/>
      </c>
      <c r="F62" s="7">
        <f>SUM(F59:F61)</f>
        <v/>
      </c>
      <c r="G62" s="7">
        <f>SUM(G59:G61)</f>
        <v/>
      </c>
      <c r="H62" s="7">
        <f>SUM(H59:H61)</f>
        <v/>
      </c>
    </row>
    <row r="64" ht="15" customHeight="1">
      <c r="B64" s="9" t="inlineStr">
        <is>
          <t>DEPRECIATION SCHEDULE — AFTER COST SEGREGATION CORRECTION</t>
        </is>
      </c>
    </row>
    <row r="65" ht="15" customHeight="1">
      <c r="B65" s="10" t="inlineStr">
        <is>
          <t>Property Description</t>
        </is>
      </c>
      <c r="C65" s="10" t="inlineStr">
        <is>
          <t>Tax Cost</t>
        </is>
      </c>
      <c r="D65" s="10" t="inlineStr">
        <is>
          <t>Tax Bonus Amt</t>
        </is>
      </c>
      <c r="E65" s="10" t="inlineStr">
        <is>
          <t>Tax Prior Depr</t>
        </is>
      </c>
      <c r="F65" s="10" t="inlineStr">
        <is>
          <t>Tax Current Depr</t>
        </is>
      </c>
      <c r="G65" s="10" t="inlineStr">
        <is>
          <t>Tax End Depr</t>
        </is>
      </c>
      <c r="H65" s="10" t="inlineStr">
        <is>
          <t>Tax Net Book Value</t>
        </is>
      </c>
      <c r="I65" s="10" t="inlineStr">
        <is>
          <t>Tax Method</t>
        </is>
      </c>
      <c r="J65" s="10" t="inlineStr">
        <is>
          <t>Tax Period</t>
        </is>
      </c>
    </row>
    <row r="66" ht="15" customHeight="1">
      <c r="B66" s="4" t="inlineStr">
        <is>
          <t>17 - Land Improvements - Ames - 5yr</t>
        </is>
      </c>
      <c r="C66" s="5" t="n">
        <v>1050</v>
      </c>
      <c r="D66" s="5" t="n">
        <v>0</v>
      </c>
      <c r="E66" s="5" t="n">
        <v>1050</v>
      </c>
      <c r="F66" s="5" t="n">
        <v>1050</v>
      </c>
      <c r="G66" s="5" t="n">
        <v>1050</v>
      </c>
      <c r="H66" s="5" t="n">
        <v>0</v>
      </c>
      <c r="I66" s="8" t="inlineStr">
        <is>
          <t>200DB</t>
        </is>
      </c>
      <c r="J66" s="12" t="n">
        <v>5</v>
      </c>
    </row>
    <row r="67" ht="15" customHeight="1">
      <c r="B67" s="4" t="inlineStr">
        <is>
          <t>17 - Land Improvements - Ames - 15yr</t>
        </is>
      </c>
      <c r="C67" s="5" t="n">
        <v>162</v>
      </c>
      <c r="D67" s="5" t="n">
        <v>0</v>
      </c>
      <c r="E67" s="5" t="n">
        <v>162</v>
      </c>
      <c r="F67" s="5" t="n">
        <v>162</v>
      </c>
      <c r="G67" s="5" t="n">
        <v>162</v>
      </c>
      <c r="H67" s="5" t="n">
        <v>0</v>
      </c>
      <c r="I67" s="8" t="inlineStr">
        <is>
          <t>150DB</t>
        </is>
      </c>
      <c r="J67" s="12" t="n">
        <v>15</v>
      </c>
    </row>
    <row r="68" ht="15" customHeight="1">
      <c r="B68" s="4" t="inlineStr">
        <is>
          <t>17 - Land Improvements - Ames - 27.5yr</t>
        </is>
      </c>
      <c r="C68" s="5" t="n">
        <v>4876</v>
      </c>
      <c r="D68" s="5" t="n">
        <v>0</v>
      </c>
      <c r="E68" s="5" t="n">
        <v>0</v>
      </c>
      <c r="F68" s="5" t="n">
        <v>177.31</v>
      </c>
      <c r="G68" s="5" t="n">
        <v>1248.56</v>
      </c>
      <c r="H68" s="5" t="n">
        <v>3627.44</v>
      </c>
      <c r="I68" s="8" t="inlineStr">
        <is>
          <t>S/L</t>
        </is>
      </c>
      <c r="J68" s="12" t="n">
        <v>27.5</v>
      </c>
    </row>
    <row r="69" ht="15" customHeight="1">
      <c r="B69" s="4" t="inlineStr">
        <is>
          <t>18 - Building - Ames - 5yr</t>
        </is>
      </c>
      <c r="C69" s="5" t="n">
        <v>13650</v>
      </c>
      <c r="D69" s="5" t="n">
        <v>0</v>
      </c>
      <c r="E69" s="5" t="n">
        <v>13650</v>
      </c>
      <c r="F69" s="5" t="n">
        <v>13650</v>
      </c>
      <c r="G69" s="5" t="n">
        <v>13650</v>
      </c>
      <c r="H69" s="5" t="n">
        <v>0</v>
      </c>
      <c r="I69" s="8" t="inlineStr">
        <is>
          <t>200DB</t>
        </is>
      </c>
      <c r="J69" s="12" t="n">
        <v>5</v>
      </c>
    </row>
    <row r="70" ht="15" customHeight="1">
      <c r="B70" s="4" t="inlineStr">
        <is>
          <t>18 - Building - Ames - 15yr</t>
        </is>
      </c>
      <c r="C70" s="5" t="n">
        <v>2108</v>
      </c>
      <c r="D70" s="5" t="n">
        <v>0</v>
      </c>
      <c r="E70" s="5" t="n">
        <v>2108</v>
      </c>
      <c r="F70" s="5" t="n">
        <v>2108</v>
      </c>
      <c r="G70" s="5" t="n">
        <v>2108</v>
      </c>
      <c r="H70" s="5" t="n">
        <v>0</v>
      </c>
      <c r="I70" s="8" t="inlineStr">
        <is>
          <t>150DB</t>
        </is>
      </c>
      <c r="J70" s="12" t="n">
        <v>15</v>
      </c>
    </row>
    <row r="71" ht="15" customHeight="1">
      <c r="B71" s="4" t="inlineStr">
        <is>
          <t>18 - Building - Ames - 27.5yr</t>
        </is>
      </c>
      <c r="C71" s="5" t="n">
        <v>63391</v>
      </c>
      <c r="D71" s="5" t="n">
        <v>0</v>
      </c>
      <c r="E71" s="5" t="n">
        <v>0</v>
      </c>
      <c r="F71" s="5" t="n">
        <v>2305.13</v>
      </c>
      <c r="G71" s="5" t="n">
        <v>16231.96</v>
      </c>
      <c r="H71" s="5" t="n">
        <v>47159.04</v>
      </c>
      <c r="I71" s="8" t="inlineStr">
        <is>
          <t>S/L</t>
        </is>
      </c>
      <c r="J71" s="12" t="n">
        <v>27.5</v>
      </c>
    </row>
    <row r="72" ht="15" customHeight="1">
      <c r="B72" s="4" t="inlineStr">
        <is>
          <t>19 - Equipment - Ames - 5yr</t>
        </is>
      </c>
      <c r="C72" s="5" t="n">
        <v>2800</v>
      </c>
      <c r="D72" s="5" t="n">
        <v>0</v>
      </c>
      <c r="E72" s="5" t="n">
        <v>2800</v>
      </c>
      <c r="F72" s="5" t="n">
        <v>2800</v>
      </c>
      <c r="G72" s="5" t="n">
        <v>2800</v>
      </c>
      <c r="H72" s="5" t="n">
        <v>0</v>
      </c>
      <c r="I72" s="8" t="inlineStr">
        <is>
          <t>200DB</t>
        </is>
      </c>
      <c r="J72" s="12" t="n">
        <v>5</v>
      </c>
    </row>
    <row r="73" ht="15" customHeight="1">
      <c r="B73" s="4" t="inlineStr">
        <is>
          <t>19 - Equipment - Ames - 15yr</t>
        </is>
      </c>
      <c r="C73" s="5" t="n">
        <v>432</v>
      </c>
      <c r="D73" s="5" t="n">
        <v>0</v>
      </c>
      <c r="E73" s="5" t="n">
        <v>432</v>
      </c>
      <c r="F73" s="5" t="n">
        <v>432</v>
      </c>
      <c r="G73" s="5" t="n">
        <v>432</v>
      </c>
      <c r="H73" s="5" t="n">
        <v>0</v>
      </c>
      <c r="I73" s="8" t="inlineStr">
        <is>
          <t>150DB</t>
        </is>
      </c>
      <c r="J73" s="12" t="n">
        <v>15</v>
      </c>
    </row>
    <row r="74" ht="15" customHeight="1">
      <c r="B74" s="4" t="inlineStr">
        <is>
          <t>19 - Equipment - Ames - 27.5yr</t>
        </is>
      </c>
      <c r="C74" s="5" t="n">
        <v>13004</v>
      </c>
      <c r="D74" s="5" t="n">
        <v>0</v>
      </c>
      <c r="E74" s="5" t="n">
        <v>0</v>
      </c>
      <c r="F74" s="5" t="n">
        <v>472.87</v>
      </c>
      <c r="G74" s="5" t="n">
        <v>3329.61</v>
      </c>
      <c r="H74" s="5" t="n">
        <v>9674.389999999999</v>
      </c>
      <c r="I74" s="8" t="inlineStr">
        <is>
          <t>S/L</t>
        </is>
      </c>
      <c r="J74" s="12" t="n">
        <v>27.5</v>
      </c>
    </row>
    <row r="75" ht="15" customHeight="1">
      <c r="B75" s="6" t="inlineStr">
        <is>
          <t>Grand Total</t>
        </is>
      </c>
      <c r="C75" s="7">
        <f>SUM(C66:C74)</f>
        <v/>
      </c>
      <c r="D75" s="7">
        <f>SUM(D66:D74)</f>
        <v/>
      </c>
      <c r="E75" s="7">
        <f>SUM(E66:E74)</f>
        <v/>
      </c>
      <c r="F75" s="7">
        <f>SUM(F66:F74)</f>
        <v/>
      </c>
      <c r="G75" s="7">
        <f>SUM(G66:G74)</f>
        <v/>
      </c>
      <c r="H75" s="7">
        <f>SUM(H66:H74)</f>
        <v/>
      </c>
    </row>
    <row r="77" ht="15" customHeight="1">
      <c r="B77" s="9" t="inlineStr">
        <is>
          <t>SECTION 481(a) ADJUSTMENT</t>
        </is>
      </c>
    </row>
    <row r="78" ht="15" customHeight="1">
      <c r="B78" s="4" t="inlineStr">
        <is>
          <t>Depreciation Previously Reported</t>
        </is>
      </c>
      <c r="C78" s="13" t="n">
        <v>17202.08</v>
      </c>
    </row>
    <row r="79" ht="15" customHeight="1">
      <c r="B79" s="4" t="inlineStr">
        <is>
          <t>Cost Segregation Corrected Depreciation</t>
        </is>
      </c>
      <c r="C79" s="13" t="n">
        <v>18770.54</v>
      </c>
    </row>
    <row r="80" ht="15" customHeight="1">
      <c r="B80" s="14" t="inlineStr">
        <is>
          <t>Section 481(a) Adjustment</t>
        </is>
      </c>
      <c r="C80" s="15">
        <f>C79-C78</f>
        <v/>
      </c>
    </row>
  </sheetData>
  <mergeCells count="11">
    <mergeCell ref="B29:J29"/>
    <mergeCell ref="B7:J7"/>
    <mergeCell ref="B3:J3"/>
    <mergeCell ref="B9:J9"/>
    <mergeCell ref="B1:J1"/>
    <mergeCell ref="B57:J57"/>
    <mergeCell ref="B49:J49"/>
    <mergeCell ref="B77:J77"/>
    <mergeCell ref="B24:J24"/>
    <mergeCell ref="B2:J2"/>
    <mergeCell ref="B64:J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1208 Smith Square</t>
        </is>
      </c>
    </row>
    <row r="3" ht="15" customHeight="1">
      <c r="B3" s="8" t="inlineStr">
        <is>
          <t>1208 Smith Square Dr., Hammond, LA 70403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857.75</v>
      </c>
      <c r="D10" s="5" t="n">
        <v>857.75</v>
      </c>
    </row>
    <row r="11" ht="15" customHeight="1">
      <c r="B11" s="4" t="inlineStr">
        <is>
          <t xml:space="preserve">  Moldings</t>
        </is>
      </c>
      <c r="C11" s="5" t="n">
        <v>846.0700000000001</v>
      </c>
      <c r="D11" s="5" t="n">
        <v>846.0700000000001</v>
      </c>
    </row>
    <row r="12" ht="15" customHeight="1">
      <c r="B12" s="4" t="inlineStr">
        <is>
          <t xml:space="preserve">  Flooring - Wood Laminate</t>
        </is>
      </c>
      <c r="C12" s="5" t="n">
        <v>2095.24</v>
      </c>
      <c r="D12" s="5" t="n">
        <v>2095.24</v>
      </c>
    </row>
    <row r="13" ht="15" customHeight="1">
      <c r="B13" s="4" t="inlineStr">
        <is>
          <t xml:space="preserve">  Security System</t>
        </is>
      </c>
      <c r="C13" s="5" t="n">
        <v>326.42</v>
      </c>
      <c r="D13" s="5" t="n">
        <v>326.42</v>
      </c>
    </row>
    <row r="14" ht="15" customHeight="1">
      <c r="B14" s="4" t="inlineStr">
        <is>
          <t xml:space="preserve">  Window Treatments</t>
        </is>
      </c>
      <c r="C14" s="5" t="n">
        <v>208.64</v>
      </c>
      <c r="D14" s="5" t="n">
        <v>208.64</v>
      </c>
    </row>
    <row r="15" ht="15" customHeight="1">
      <c r="B15" s="4" t="inlineStr">
        <is>
          <t xml:space="preserve">  Specialty HVAC - Dryer Vents</t>
        </is>
      </c>
      <c r="C15" s="5" t="n">
        <v>27.77</v>
      </c>
      <c r="D15" s="5" t="n">
        <v>27.77</v>
      </c>
    </row>
    <row r="16" ht="15" customHeight="1">
      <c r="B16" s="4" t="inlineStr">
        <is>
          <t xml:space="preserve">  Building Signage</t>
        </is>
      </c>
      <c r="C16" s="5" t="n">
        <v>18.26</v>
      </c>
      <c r="D16" s="5" t="n">
        <v>18.26</v>
      </c>
    </row>
    <row r="17" ht="15" customHeight="1">
      <c r="B17" s="4" t="inlineStr">
        <is>
          <t xml:space="preserve">  Specialty Electrical - Appliances</t>
        </is>
      </c>
      <c r="C17" s="5" t="n">
        <v>474.3</v>
      </c>
      <c r="D17" s="5" t="n">
        <v>474.3</v>
      </c>
    </row>
    <row r="18" ht="15" customHeight="1">
      <c r="B18" s="4" t="inlineStr">
        <is>
          <t xml:space="preserve">  Communication / Data</t>
        </is>
      </c>
      <c r="C18" s="5" t="n">
        <v>274.37</v>
      </c>
      <c r="D18" s="5" t="n">
        <v>274.37</v>
      </c>
    </row>
    <row r="19" ht="15" customHeight="1">
      <c r="B19" s="4" t="inlineStr">
        <is>
          <t xml:space="preserve">  Specialty Plumbing - Kitchen Sink / Laundry</t>
        </is>
      </c>
      <c r="C19" s="5" t="n">
        <v>519.3</v>
      </c>
      <c r="D19" s="5" t="n">
        <v>519.3</v>
      </c>
    </row>
    <row r="20" ht="15" customHeight="1">
      <c r="B20" s="4" t="inlineStr">
        <is>
          <t xml:space="preserve">  Security / Exterior Lighting</t>
        </is>
      </c>
      <c r="C20" s="5" t="n">
        <v>103</v>
      </c>
      <c r="D20" s="5" t="n">
        <v>103</v>
      </c>
    </row>
    <row r="21" ht="15" customHeight="1">
      <c r="B21" s="4" t="inlineStr">
        <is>
          <t xml:space="preserve">  Access Control</t>
        </is>
      </c>
      <c r="C21" s="5" t="n">
        <v>46.57</v>
      </c>
      <c r="D21" s="5" t="n">
        <v>46.57</v>
      </c>
    </row>
    <row r="22" ht="15" customHeight="1">
      <c r="B22" s="4" t="inlineStr">
        <is>
          <t xml:space="preserve">  Appliances</t>
        </is>
      </c>
      <c r="C22" s="5" t="n">
        <v>520.23</v>
      </c>
      <c r="D22" s="5" t="n">
        <v>520.23</v>
      </c>
    </row>
    <row r="23" ht="15" customHeight="1">
      <c r="B23" s="11" t="inlineStr">
        <is>
          <t>Site Work / Improvements</t>
        </is>
      </c>
    </row>
    <row r="24" ht="15" customHeight="1">
      <c r="B24" s="4" t="inlineStr">
        <is>
          <t xml:space="preserve">  Driveway</t>
        </is>
      </c>
      <c r="C24" s="5" t="n">
        <v>938.3099999999999</v>
      </c>
      <c r="F24" s="5" t="n">
        <v>938.3099999999999</v>
      </c>
    </row>
    <row r="25" ht="15" customHeight="1">
      <c r="B25" s="4" t="inlineStr">
        <is>
          <t xml:space="preserve">  Sidewalks / Curbs</t>
        </is>
      </c>
      <c r="C25" s="5" t="n">
        <v>130.23</v>
      </c>
      <c r="F25" s="5" t="n">
        <v>130.23</v>
      </c>
    </row>
    <row r="26" ht="15" customHeight="1">
      <c r="B26" s="4" t="inlineStr">
        <is>
          <t xml:space="preserve">  Exterior Equipment Concrete Pads</t>
        </is>
      </c>
      <c r="C26" s="5" t="n">
        <v>32.07</v>
      </c>
      <c r="F26" s="5" t="n">
        <v>32.07</v>
      </c>
    </row>
    <row r="27" ht="15" customHeight="1">
      <c r="B27" s="4" t="inlineStr">
        <is>
          <t xml:space="preserve">  Mailboxes</t>
        </is>
      </c>
      <c r="C27" s="5" t="n">
        <v>19.9</v>
      </c>
      <c r="F27" s="5" t="n">
        <v>19.9</v>
      </c>
    </row>
    <row r="28" ht="15" customHeight="1">
      <c r="B28" s="11" t="inlineStr">
        <is>
          <t>Building Structure</t>
        </is>
      </c>
    </row>
    <row r="29" ht="15" customHeight="1">
      <c r="B29" s="4" t="inlineStr">
        <is>
          <t xml:space="preserve">  Roofing Systems</t>
        </is>
      </c>
      <c r="C29" s="5" t="n">
        <v>2029.7</v>
      </c>
      <c r="G29" s="5" t="n">
        <v>2029.7</v>
      </c>
    </row>
    <row r="30" ht="15" customHeight="1">
      <c r="B30" s="4" t="inlineStr">
        <is>
          <t xml:space="preserve">  Foundations</t>
        </is>
      </c>
      <c r="C30" s="5" t="n">
        <v>4782.96</v>
      </c>
      <c r="G30" s="5" t="n">
        <v>4782.96</v>
      </c>
    </row>
    <row r="31" ht="15" customHeight="1">
      <c r="B31" s="4" t="inlineStr">
        <is>
          <t xml:space="preserve">  HVAC</t>
        </is>
      </c>
      <c r="C31" s="5" t="n">
        <v>2829.99</v>
      </c>
      <c r="G31" s="5" t="n">
        <v>2829.99</v>
      </c>
    </row>
    <row r="32" ht="15" customHeight="1">
      <c r="B32" s="4" t="inlineStr">
        <is>
          <t xml:space="preserve">  Electrical</t>
        </is>
      </c>
      <c r="C32" s="5" t="n">
        <v>2863.54</v>
      </c>
      <c r="G32" s="5" t="n">
        <v>2863.54</v>
      </c>
    </row>
    <row r="33" ht="15" customHeight="1">
      <c r="B33" s="4" t="inlineStr">
        <is>
          <t xml:space="preserve">  Plumbing</t>
        </is>
      </c>
      <c r="C33" s="5" t="n">
        <v>2484.23</v>
      </c>
      <c r="G33" s="5" t="n">
        <v>2484.23</v>
      </c>
    </row>
    <row r="34" ht="15" customHeight="1">
      <c r="B34" s="4" t="inlineStr">
        <is>
          <t xml:space="preserve">  Fire Protection &amp; Alarm</t>
        </is>
      </c>
      <c r="C34" s="5" t="n">
        <v>138.55</v>
      </c>
      <c r="G34" s="5" t="n">
        <v>138.55</v>
      </c>
    </row>
    <row r="35" ht="15" customHeight="1">
      <c r="B35" s="4" t="inlineStr">
        <is>
          <t xml:space="preserve">  Exterior Façade / Building Skin</t>
        </is>
      </c>
      <c r="C35" s="5" t="n">
        <v>994.37</v>
      </c>
      <c r="G35" s="5" t="n">
        <v>994.37</v>
      </c>
    </row>
    <row r="36" ht="15" customHeight="1">
      <c r="B36" s="4" t="inlineStr">
        <is>
          <t xml:space="preserve">  Doors &amp; Frames</t>
        </is>
      </c>
      <c r="C36" s="5" t="n">
        <v>1066.87</v>
      </c>
      <c r="G36" s="5" t="n">
        <v>1066.87</v>
      </c>
    </row>
    <row r="37" ht="15" customHeight="1">
      <c r="B37" s="4" t="inlineStr">
        <is>
          <t xml:space="preserve">  Windows</t>
        </is>
      </c>
      <c r="C37" s="5" t="n">
        <v>919.58</v>
      </c>
      <c r="G37" s="5" t="n">
        <v>919.58</v>
      </c>
    </row>
    <row r="38" ht="15" customHeight="1">
      <c r="B38" s="4" t="inlineStr">
        <is>
          <t xml:space="preserve">  Ceiling Systems</t>
        </is>
      </c>
      <c r="C38" s="5" t="n">
        <v>1434.53</v>
      </c>
      <c r="G38" s="5" t="n">
        <v>1434.53</v>
      </c>
    </row>
    <row r="39" ht="15" customHeight="1">
      <c r="B39" s="4" t="inlineStr">
        <is>
          <t xml:space="preserve">  Interior Framing / Partitions</t>
        </is>
      </c>
      <c r="C39" s="5" t="n">
        <v>3724.72</v>
      </c>
      <c r="G39" s="5" t="n">
        <v>3724.72</v>
      </c>
    </row>
    <row r="40" ht="15" customHeight="1">
      <c r="B40" s="4" t="inlineStr">
        <is>
          <t xml:space="preserve">  Painting</t>
        </is>
      </c>
      <c r="C40" s="5" t="n">
        <v>1303.94</v>
      </c>
      <c r="G40" s="5" t="n">
        <v>1303.94</v>
      </c>
    </row>
    <row r="41" ht="15" customHeight="1">
      <c r="B41" s="4" t="inlineStr">
        <is>
          <t xml:space="preserve">  Structural Framing</t>
        </is>
      </c>
      <c r="C41" s="5" t="n">
        <v>3740.14</v>
      </c>
      <c r="G41" s="5" t="n">
        <v>3740.14</v>
      </c>
    </row>
    <row r="42" ht="15" customHeight="1">
      <c r="B42" s="4" t="inlineStr">
        <is>
          <t xml:space="preserve">  Site Utilities</t>
        </is>
      </c>
      <c r="C42" s="5" t="n">
        <v>647.78</v>
      </c>
      <c r="G42" s="5" t="n">
        <v>647.78</v>
      </c>
    </row>
    <row r="43" ht="15" customHeight="1">
      <c r="B43" s="4" t="inlineStr">
        <is>
          <t xml:space="preserve">  Bathroom Accessories</t>
        </is>
      </c>
      <c r="C43" s="5" t="n">
        <v>431.12</v>
      </c>
      <c r="G43" s="5" t="n">
        <v>431.12</v>
      </c>
    </row>
    <row r="44" ht="15" customHeight="1">
      <c r="B44" s="4" t="inlineStr">
        <is>
          <t xml:space="preserve">  Cabinets / Millwork - Restrooms</t>
        </is>
      </c>
      <c r="C44" s="5" t="n">
        <v>256.73</v>
      </c>
      <c r="G44" s="5" t="n">
        <v>256.73</v>
      </c>
    </row>
    <row r="45" ht="15" customHeight="1">
      <c r="B45" s="6" t="inlineStr">
        <is>
          <t>Total Building Cost</t>
        </is>
      </c>
      <c r="C45" s="7">
        <f>SUM(C9:C44)</f>
        <v/>
      </c>
      <c r="D45" s="7">
        <f>SUM(D9:D44)</f>
        <v/>
      </c>
      <c r="E45" s="7">
        <f>SUM(E9:E44)</f>
        <v/>
      </c>
      <c r="F45" s="7">
        <f>SUM(F9:F44)</f>
        <v/>
      </c>
      <c r="G45" s="7">
        <f>SUM(G9:G44)</f>
        <v/>
      </c>
    </row>
    <row r="46" ht="15" customHeight="1">
      <c r="B46" s="6" t="inlineStr">
        <is>
          <t>TOTALS (check)</t>
        </is>
      </c>
      <c r="C46" s="7">
        <f>SUM(C9:C44)</f>
        <v/>
      </c>
      <c r="D46" s="7">
        <f>SUM(D9:D44)</f>
        <v/>
      </c>
      <c r="E46" s="7">
        <f>SUM(E9:E44)</f>
        <v/>
      </c>
      <c r="F46" s="7">
        <f>SUM(F9:F44)</f>
        <v/>
      </c>
      <c r="G46" s="7">
        <f>SUM(G9:G44)</f>
        <v/>
      </c>
    </row>
    <row r="48" ht="15" customHeight="1">
      <c r="B48" s="9" t="inlineStr">
        <is>
          <t>ASSET ALLOCATION</t>
        </is>
      </c>
    </row>
    <row r="49" ht="15" customHeight="1">
      <c r="B49" s="10" t="inlineStr">
        <is>
          <t>Asset</t>
        </is>
      </c>
      <c r="C49" s="10" t="inlineStr">
        <is>
          <t>Total</t>
        </is>
      </c>
      <c r="D49" s="10" t="inlineStr">
        <is>
          <t>5 Year</t>
        </is>
      </c>
      <c r="E49" s="10" t="inlineStr">
        <is>
          <t>7 Year</t>
        </is>
      </c>
      <c r="F49" s="10" t="inlineStr">
        <is>
          <t>15 Year</t>
        </is>
      </c>
      <c r="G49" s="10" t="inlineStr">
        <is>
          <t>27.5 Year</t>
        </is>
      </c>
    </row>
    <row r="50" ht="15" customHeight="1">
      <c r="B50" s="4" t="inlineStr">
        <is>
          <t>Asset # 12-Land Improvements - Smith Square</t>
        </is>
      </c>
      <c r="C50" s="5" t="n">
        <v>43832</v>
      </c>
      <c r="D50" s="5" t="n">
        <v>8155</v>
      </c>
      <c r="F50" s="5" t="n">
        <v>1280</v>
      </c>
      <c r="G50" s="5" t="n">
        <v>34397</v>
      </c>
    </row>
    <row r="51" ht="15" customHeight="1">
      <c r="B51" s="4" t="inlineStr">
        <is>
          <t>Asset # 13-Building - Smith Square</t>
        </is>
      </c>
      <c r="C51" s="5" t="n">
        <v>569814</v>
      </c>
      <c r="D51" s="5" t="n">
        <v>106017</v>
      </c>
      <c r="F51" s="5" t="n">
        <v>16634</v>
      </c>
      <c r="G51" s="5" t="n">
        <v>447163</v>
      </c>
    </row>
    <row r="52" ht="15" customHeight="1">
      <c r="B52" s="4" t="inlineStr">
        <is>
          <t>Asset # 14-Equipment - Smith Square</t>
        </is>
      </c>
      <c r="C52" s="5" t="n">
        <v>116885</v>
      </c>
      <c r="D52" s="5" t="n">
        <v>21747</v>
      </c>
      <c r="F52" s="5" t="n">
        <v>3412</v>
      </c>
      <c r="G52" s="5" t="n">
        <v>91726</v>
      </c>
    </row>
    <row r="53" ht="15" customHeight="1">
      <c r="B53" s="6" t="inlineStr">
        <is>
          <t>Total Allocation:</t>
        </is>
      </c>
      <c r="C53" s="7">
        <f>SUM(C50:C52)</f>
        <v/>
      </c>
      <c r="D53" s="7">
        <f>SUM(D50:D52)</f>
        <v/>
      </c>
      <c r="E53" s="7">
        <f>SUM(E50:E52)</f>
        <v/>
      </c>
      <c r="F53" s="7">
        <f>SUM(F50:F52)</f>
        <v/>
      </c>
      <c r="G53" s="7">
        <f>SUM(G50:G52)</f>
        <v/>
      </c>
    </row>
    <row r="54" ht="15" customHeight="1">
      <c r="B54" s="6" t="inlineStr">
        <is>
          <t>TOTALS (check)</t>
        </is>
      </c>
      <c r="C54" s="7">
        <f>SUM(C50:C52)</f>
        <v/>
      </c>
      <c r="D54" s="7">
        <f>SUM(D50:D52)</f>
        <v/>
      </c>
      <c r="E54" s="7">
        <f>SUM(E50:E52)</f>
        <v/>
      </c>
      <c r="F54" s="7">
        <f>SUM(F50:F52)</f>
        <v/>
      </c>
      <c r="G54" s="7">
        <f>SUM(G50:G52)</f>
        <v/>
      </c>
    </row>
    <row r="56" ht="15" customHeight="1">
      <c r="B56" s="9" t="inlineStr">
        <is>
          <t>DEPRECIATION SCHEDULE — AS PREVIOUSLY FILED</t>
        </is>
      </c>
    </row>
    <row r="57" ht="15" customHeight="1">
      <c r="B57" s="10" t="inlineStr">
        <is>
          <t>Property Description</t>
        </is>
      </c>
      <c r="C57" s="10" t="inlineStr">
        <is>
          <t>Tax Cost</t>
        </is>
      </c>
      <c r="D57" s="10" t="inlineStr">
        <is>
          <t>Tax Bonus Amt</t>
        </is>
      </c>
      <c r="E57" s="10" t="inlineStr">
        <is>
          <t>Tax Prior Depr</t>
        </is>
      </c>
      <c r="F57" s="10" t="inlineStr">
        <is>
          <t>Tax Current Depr</t>
        </is>
      </c>
      <c r="G57" s="10" t="inlineStr">
        <is>
          <t>Tax End Depr</t>
        </is>
      </c>
      <c r="H57" s="10" t="inlineStr">
        <is>
          <t>Tax Net Book Value</t>
        </is>
      </c>
      <c r="I57" s="10" t="inlineStr">
        <is>
          <t>Tax Method</t>
        </is>
      </c>
      <c r="J57" s="10" t="inlineStr">
        <is>
          <t>Tax Period</t>
        </is>
      </c>
    </row>
    <row r="58" ht="15" customHeight="1">
      <c r="B58" s="4" t="inlineStr">
        <is>
          <t>12 - Land Improvements - Smith Square</t>
        </is>
      </c>
      <c r="C58" s="5" t="n">
        <v>43832</v>
      </c>
      <c r="D58" s="5" t="n">
        <v>0</v>
      </c>
      <c r="E58" s="5" t="n">
        <v>8154.96</v>
      </c>
      <c r="F58" s="5" t="n">
        <v>1279.68</v>
      </c>
      <c r="G58" s="5" t="n">
        <v>9434.639999999999</v>
      </c>
      <c r="H58" s="5" t="n">
        <v>34397.36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13 - Building - Smith Square</t>
        </is>
      </c>
      <c r="C59" s="5" t="n">
        <v>569814</v>
      </c>
      <c r="D59" s="5" t="n">
        <v>0</v>
      </c>
      <c r="E59" s="5" t="n">
        <v>106016.64</v>
      </c>
      <c r="F59" s="5" t="n">
        <v>16633.92</v>
      </c>
      <c r="G59" s="5" t="n">
        <v>122650.56</v>
      </c>
      <c r="H59" s="5" t="n">
        <v>447163.44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14 - Equipment - Smith Square</t>
        </is>
      </c>
      <c r="C60" s="5" t="n">
        <v>116885</v>
      </c>
      <c r="D60" s="5" t="n">
        <v>0</v>
      </c>
      <c r="E60" s="5" t="n">
        <v>116885</v>
      </c>
      <c r="F60" s="5" t="n">
        <v>0</v>
      </c>
      <c r="G60" s="5" t="n">
        <v>116885</v>
      </c>
      <c r="H60" s="5" t="n">
        <v>0</v>
      </c>
      <c r="I60" s="8" t="inlineStr">
        <is>
          <t>200DB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SUM(C58:C60)</f>
        <v/>
      </c>
      <c r="D61" s="7">
        <f>SUM(D58:D60)</f>
        <v/>
      </c>
      <c r="E61" s="7">
        <f>SUM(E58:E60)</f>
        <v/>
      </c>
      <c r="F61" s="7">
        <f>SUM(F58:F60)</f>
        <v/>
      </c>
      <c r="G61" s="7">
        <f>SUM(G58:G60)</f>
        <v/>
      </c>
      <c r="H61" s="7">
        <f>SUM(H58:H60)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12 - Land Improvements - Smith Square - 5yr</t>
        </is>
      </c>
      <c r="C65" s="5" t="n">
        <v>8155</v>
      </c>
      <c r="D65" s="5" t="n">
        <v>0</v>
      </c>
      <c r="E65" s="5" t="n">
        <v>8155</v>
      </c>
      <c r="F65" s="5" t="n">
        <v>8155</v>
      </c>
      <c r="G65" s="5" t="n">
        <v>8155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12 - Land Improvements - Smith Square - 15yr</t>
        </is>
      </c>
      <c r="C66" s="5" t="n">
        <v>1280</v>
      </c>
      <c r="D66" s="5" t="n">
        <v>0</v>
      </c>
      <c r="E66" s="5" t="n">
        <v>1280</v>
      </c>
      <c r="F66" s="5" t="n">
        <v>1280</v>
      </c>
      <c r="G66" s="5" t="n">
        <v>1280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12 - Land Improvements - Smith Square - 27.5yr</t>
        </is>
      </c>
      <c r="C67" s="5" t="n">
        <v>34397</v>
      </c>
      <c r="D67" s="5" t="n">
        <v>0</v>
      </c>
      <c r="E67" s="5" t="n">
        <v>0</v>
      </c>
      <c r="F67" s="5" t="n">
        <v>7556.92</v>
      </c>
      <c r="G67" s="5" t="n">
        <v>8807.719999999999</v>
      </c>
      <c r="H67" s="5" t="n">
        <v>25589.28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13 - Building - Smith Square - 5yr</t>
        </is>
      </c>
      <c r="C68" s="5" t="n">
        <v>106017</v>
      </c>
      <c r="D68" s="5" t="n">
        <v>0</v>
      </c>
      <c r="E68" s="5" t="n">
        <v>106017</v>
      </c>
      <c r="F68" s="5" t="n">
        <v>106017</v>
      </c>
      <c r="G68" s="5" t="n">
        <v>106017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13 - Building - Smith Square - 15yr</t>
        </is>
      </c>
      <c r="C69" s="5" t="n">
        <v>16634</v>
      </c>
      <c r="D69" s="5" t="n">
        <v>0</v>
      </c>
      <c r="E69" s="5" t="n">
        <v>16634</v>
      </c>
      <c r="F69" s="5" t="n">
        <v>16634</v>
      </c>
      <c r="G69" s="5" t="n">
        <v>16634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13 - Building - Smith Square - 27.5yr</t>
        </is>
      </c>
      <c r="C70" s="5" t="n">
        <v>447163</v>
      </c>
      <c r="D70" s="5" t="n">
        <v>0</v>
      </c>
      <c r="E70" s="5" t="n">
        <v>0</v>
      </c>
      <c r="F70" s="5" t="n">
        <v>98240.34</v>
      </c>
      <c r="G70" s="5" t="n">
        <v>114500.81</v>
      </c>
      <c r="H70" s="5" t="n">
        <v>332662.19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14 - Equipment - Smith Square - 5yr</t>
        </is>
      </c>
      <c r="C71" s="5" t="n">
        <v>21747</v>
      </c>
      <c r="D71" s="5" t="n">
        <v>0</v>
      </c>
      <c r="E71" s="5" t="n">
        <v>21747</v>
      </c>
      <c r="F71" s="5" t="n">
        <v>21747</v>
      </c>
      <c r="G71" s="5" t="n">
        <v>21747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14 - Equipment - Smith Square - 15yr</t>
        </is>
      </c>
      <c r="C72" s="5" t="n">
        <v>3412</v>
      </c>
      <c r="D72" s="5" t="n">
        <v>0</v>
      </c>
      <c r="E72" s="5" t="n">
        <v>3412</v>
      </c>
      <c r="F72" s="5" t="n">
        <v>3412</v>
      </c>
      <c r="G72" s="5" t="n">
        <v>3412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14 - Equipment - Smith Square - 27.5yr</t>
        </is>
      </c>
      <c r="C73" s="5" t="n">
        <v>91726</v>
      </c>
      <c r="D73" s="5" t="n">
        <v>0</v>
      </c>
      <c r="E73" s="5" t="n">
        <v>0</v>
      </c>
      <c r="F73" s="5" t="n">
        <v>20151.92</v>
      </c>
      <c r="G73" s="5" t="n">
        <v>23487.41</v>
      </c>
      <c r="H73" s="5" t="n">
        <v>68238.59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286132.85</v>
      </c>
    </row>
    <row r="78" ht="15" customHeight="1">
      <c r="B78" s="4" t="inlineStr">
        <is>
          <t>Cost Segregation Corrected Depreciation</t>
        </is>
      </c>
      <c r="C78" s="13" t="n">
        <v>304040.94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8:J28"/>
    <mergeCell ref="B76:J76"/>
    <mergeCell ref="B63:J63"/>
    <mergeCell ref="B23:J23"/>
    <mergeCell ref="B9:J9"/>
    <mergeCell ref="B1:J1"/>
    <mergeCell ref="B48:J48"/>
    <mergeCell ref="B56:J56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1209 Smith Square</t>
        </is>
      </c>
    </row>
    <row r="3" ht="15" customHeight="1">
      <c r="B3" s="8" t="inlineStr">
        <is>
          <t>1209 Smith Square Dr., Hammond, LA 70403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990.47</v>
      </c>
      <c r="D10" s="5" t="n">
        <v>990.47</v>
      </c>
    </row>
    <row r="11" ht="15" customHeight="1">
      <c r="B11" s="4" t="inlineStr">
        <is>
          <t xml:space="preserve">  Moldings</t>
        </is>
      </c>
      <c r="C11" s="5" t="n">
        <v>702.0700000000001</v>
      </c>
      <c r="D11" s="5" t="n">
        <v>702.0700000000001</v>
      </c>
    </row>
    <row r="12" ht="15" customHeight="1">
      <c r="B12" s="4" t="inlineStr">
        <is>
          <t xml:space="preserve">  Flooring - Wood Laminate</t>
        </is>
      </c>
      <c r="C12" s="5" t="n">
        <v>1541.32</v>
      </c>
      <c r="D12" s="5" t="n">
        <v>1541.32</v>
      </c>
    </row>
    <row r="13" ht="15" customHeight="1">
      <c r="B13" s="4" t="inlineStr">
        <is>
          <t xml:space="preserve">  Security System</t>
        </is>
      </c>
      <c r="C13" s="5" t="n">
        <v>326.42</v>
      </c>
      <c r="D13" s="5" t="n">
        <v>326.42</v>
      </c>
    </row>
    <row r="14" ht="15" customHeight="1">
      <c r="B14" s="4" t="inlineStr">
        <is>
          <t xml:space="preserve">  Window Treatments</t>
        </is>
      </c>
      <c r="C14" s="5" t="n">
        <v>191.73</v>
      </c>
      <c r="D14" s="5" t="n">
        <v>191.73</v>
      </c>
    </row>
    <row r="15" ht="15" customHeight="1">
      <c r="B15" s="4" t="inlineStr">
        <is>
          <t xml:space="preserve">  Specialty HVAC - Dryer Vents</t>
        </is>
      </c>
      <c r="C15" s="5" t="n">
        <v>27.77</v>
      </c>
      <c r="D15" s="5" t="n">
        <v>27.77</v>
      </c>
    </row>
    <row r="16" ht="15" customHeight="1">
      <c r="B16" s="4" t="inlineStr">
        <is>
          <t xml:space="preserve">  Building Signage</t>
        </is>
      </c>
      <c r="C16" s="5" t="n">
        <v>18.26</v>
      </c>
      <c r="D16" s="5" t="n">
        <v>18.26</v>
      </c>
    </row>
    <row r="17" ht="15" customHeight="1">
      <c r="B17" s="4" t="inlineStr">
        <is>
          <t xml:space="preserve">  Specialty Electrical - Appliances</t>
        </is>
      </c>
      <c r="C17" s="5" t="n">
        <v>474.3</v>
      </c>
      <c r="D17" s="5" t="n">
        <v>474.3</v>
      </c>
    </row>
    <row r="18" ht="15" customHeight="1">
      <c r="B18" s="4" t="inlineStr">
        <is>
          <t xml:space="preserve">  Communication / Data</t>
        </is>
      </c>
      <c r="C18" s="5" t="n">
        <v>201.84</v>
      </c>
      <c r="D18" s="5" t="n">
        <v>201.84</v>
      </c>
    </row>
    <row r="19" ht="15" customHeight="1">
      <c r="B19" s="4" t="inlineStr">
        <is>
          <t xml:space="preserve">  Specialty Plumbing - Kitchen Sink / Laundry</t>
        </is>
      </c>
      <c r="C19" s="5" t="n">
        <v>519.3</v>
      </c>
      <c r="D19" s="5" t="n">
        <v>519.3</v>
      </c>
    </row>
    <row r="20" ht="15" customHeight="1">
      <c r="B20" s="4" t="inlineStr">
        <is>
          <t xml:space="preserve">  Security / Exterior Lighting</t>
        </is>
      </c>
      <c r="C20" s="5" t="n">
        <v>103</v>
      </c>
      <c r="D20" s="5" t="n">
        <v>103</v>
      </c>
    </row>
    <row r="21" ht="15" customHeight="1">
      <c r="B21" s="4" t="inlineStr">
        <is>
          <t xml:space="preserve">  Access Control</t>
        </is>
      </c>
      <c r="C21" s="5" t="n">
        <v>46.57</v>
      </c>
      <c r="D21" s="5" t="n">
        <v>46.57</v>
      </c>
    </row>
    <row r="22" ht="15" customHeight="1">
      <c r="B22" s="4" t="inlineStr">
        <is>
          <t xml:space="preserve">  Appliances</t>
        </is>
      </c>
      <c r="C22" s="5" t="n">
        <v>520.23</v>
      </c>
      <c r="D22" s="5" t="n">
        <v>520.23</v>
      </c>
    </row>
    <row r="23" ht="15" customHeight="1">
      <c r="B23" s="11" t="inlineStr">
        <is>
          <t>Site Work / Improvements</t>
        </is>
      </c>
    </row>
    <row r="24" ht="15" customHeight="1">
      <c r="B24" s="4" t="inlineStr">
        <is>
          <t xml:space="preserve">  Driveway</t>
        </is>
      </c>
      <c r="C24" s="5" t="n">
        <v>685.64</v>
      </c>
      <c r="F24" s="5" t="n">
        <v>685.64</v>
      </c>
    </row>
    <row r="25" ht="15" customHeight="1">
      <c r="B25" s="4" t="inlineStr">
        <is>
          <t xml:space="preserve">  Sidewalks / Curbs</t>
        </is>
      </c>
      <c r="C25" s="5" t="n">
        <v>150.96</v>
      </c>
      <c r="F25" s="5" t="n">
        <v>150.96</v>
      </c>
    </row>
    <row r="26" ht="15" customHeight="1">
      <c r="B26" s="4" t="inlineStr">
        <is>
          <t xml:space="preserve">  Exterior Equipment Concrete Pads</t>
        </is>
      </c>
      <c r="C26" s="5" t="n">
        <v>32.07</v>
      </c>
      <c r="F26" s="5" t="n">
        <v>32.07</v>
      </c>
    </row>
    <row r="27" ht="15" customHeight="1">
      <c r="B27" s="4" t="inlineStr">
        <is>
          <t xml:space="preserve">  Mailboxes</t>
        </is>
      </c>
      <c r="C27" s="5" t="n">
        <v>19.9</v>
      </c>
      <c r="F27" s="5" t="n">
        <v>19.9</v>
      </c>
    </row>
    <row r="28" ht="15" customHeight="1">
      <c r="B28" s="11" t="inlineStr">
        <is>
          <t>Building Structure</t>
        </is>
      </c>
    </row>
    <row r="29" ht="15" customHeight="1">
      <c r="B29" s="4" t="inlineStr">
        <is>
          <t xml:space="preserve">  Roofing Systems</t>
        </is>
      </c>
      <c r="C29" s="5" t="n">
        <v>1795.53</v>
      </c>
      <c r="G29" s="5" t="n">
        <v>1795.53</v>
      </c>
    </row>
    <row r="30" ht="15" customHeight="1">
      <c r="B30" s="4" t="inlineStr">
        <is>
          <t xml:space="preserve">  Foundations</t>
        </is>
      </c>
      <c r="C30" s="5" t="n">
        <v>3640.65</v>
      </c>
      <c r="G30" s="5" t="n">
        <v>3640.65</v>
      </c>
    </row>
    <row r="31" ht="15" customHeight="1">
      <c r="B31" s="4" t="inlineStr">
        <is>
          <t xml:space="preserve">  HVAC</t>
        </is>
      </c>
      <c r="C31" s="5" t="n">
        <v>2156.54</v>
      </c>
      <c r="G31" s="5" t="n">
        <v>2156.54</v>
      </c>
    </row>
    <row r="32" ht="15" customHeight="1">
      <c r="B32" s="4" t="inlineStr">
        <is>
          <t xml:space="preserve">  Electrical</t>
        </is>
      </c>
      <c r="C32" s="5" t="n">
        <v>2183.5</v>
      </c>
      <c r="G32" s="5" t="n">
        <v>2183.5</v>
      </c>
    </row>
    <row r="33" ht="15" customHeight="1">
      <c r="B33" s="4" t="inlineStr">
        <is>
          <t xml:space="preserve">  Plumbing</t>
        </is>
      </c>
      <c r="C33" s="5" t="n">
        <v>1895.28</v>
      </c>
      <c r="G33" s="5" t="n">
        <v>1895.28</v>
      </c>
    </row>
    <row r="34" ht="15" customHeight="1">
      <c r="B34" s="4" t="inlineStr">
        <is>
          <t xml:space="preserve">  Fire Protection &amp; Alarm</t>
        </is>
      </c>
      <c r="C34" s="5" t="n">
        <v>105.67</v>
      </c>
      <c r="G34" s="5" t="n">
        <v>105.67</v>
      </c>
    </row>
    <row r="35" ht="15" customHeight="1">
      <c r="B35" s="4" t="inlineStr">
        <is>
          <t xml:space="preserve">  Exterior Façade / Building Skin</t>
        </is>
      </c>
      <c r="C35" s="5" t="n">
        <v>758.4400000000001</v>
      </c>
      <c r="G35" s="5" t="n">
        <v>758.4400000000001</v>
      </c>
    </row>
    <row r="36" ht="15" customHeight="1">
      <c r="B36" s="4" t="inlineStr">
        <is>
          <t xml:space="preserve">  Doors &amp; Frames</t>
        </is>
      </c>
      <c r="C36" s="5" t="n">
        <v>813.85</v>
      </c>
      <c r="G36" s="5" t="n">
        <v>813.85</v>
      </c>
    </row>
    <row r="37" ht="15" customHeight="1">
      <c r="B37" s="4" t="inlineStr">
        <is>
          <t xml:space="preserve">  Windows</t>
        </is>
      </c>
      <c r="C37" s="5" t="n">
        <v>701.23</v>
      </c>
      <c r="G37" s="5" t="n">
        <v>701.23</v>
      </c>
    </row>
    <row r="38" ht="15" customHeight="1">
      <c r="B38" s="4" t="inlineStr">
        <is>
          <t xml:space="preserve">  Ceiling Systems</t>
        </is>
      </c>
      <c r="C38" s="5" t="n">
        <v>1094.14</v>
      </c>
      <c r="G38" s="5" t="n">
        <v>1094.14</v>
      </c>
    </row>
    <row r="39" ht="15" customHeight="1">
      <c r="B39" s="4" t="inlineStr">
        <is>
          <t xml:space="preserve">  Interior Framing / Partitions</t>
        </is>
      </c>
      <c r="C39" s="5" t="n">
        <v>2840.85</v>
      </c>
      <c r="G39" s="5" t="n">
        <v>2840.85</v>
      </c>
    </row>
    <row r="40" ht="15" customHeight="1">
      <c r="B40" s="4" t="inlineStr">
        <is>
          <t xml:space="preserve">  Painting</t>
        </is>
      </c>
      <c r="C40" s="5" t="n">
        <v>994.52</v>
      </c>
      <c r="G40" s="5" t="n">
        <v>994.52</v>
      </c>
    </row>
    <row r="41" ht="15" customHeight="1">
      <c r="B41" s="4" t="inlineStr">
        <is>
          <t xml:space="preserve">  Structural Framing</t>
        </is>
      </c>
      <c r="C41" s="5" t="n">
        <v>2852.49</v>
      </c>
      <c r="G41" s="5" t="n">
        <v>2852.49</v>
      </c>
    </row>
    <row r="42" ht="15" customHeight="1">
      <c r="B42" s="4" t="inlineStr">
        <is>
          <t xml:space="preserve">  Site Utilities</t>
        </is>
      </c>
      <c r="C42" s="5" t="n">
        <v>494.23</v>
      </c>
      <c r="G42" s="5" t="n">
        <v>494.23</v>
      </c>
    </row>
    <row r="43" ht="15" customHeight="1">
      <c r="B43" s="4" t="inlineStr">
        <is>
          <t xml:space="preserve">  Bathroom Accessories</t>
        </is>
      </c>
      <c r="C43" s="5" t="n">
        <v>328.8</v>
      </c>
      <c r="G43" s="5" t="n">
        <v>328.8</v>
      </c>
    </row>
    <row r="44" ht="15" customHeight="1">
      <c r="B44" s="4" t="inlineStr">
        <is>
          <t xml:space="preserve">  Cabinets / Millwork - Restrooms</t>
        </is>
      </c>
      <c r="C44" s="5" t="n">
        <v>195.78</v>
      </c>
      <c r="G44" s="5" t="n">
        <v>195.78</v>
      </c>
    </row>
    <row r="45" ht="15" customHeight="1">
      <c r="B45" s="6" t="inlineStr">
        <is>
          <t>Total Building Cost</t>
        </is>
      </c>
      <c r="C45" s="7">
        <f>SUM(C9:C44)</f>
        <v/>
      </c>
      <c r="D45" s="7">
        <f>SUM(D9:D44)</f>
        <v/>
      </c>
      <c r="E45" s="7">
        <f>SUM(E9:E44)</f>
        <v/>
      </c>
      <c r="F45" s="7">
        <f>SUM(F9:F44)</f>
        <v/>
      </c>
      <c r="G45" s="7">
        <f>SUM(G9:G44)</f>
        <v/>
      </c>
    </row>
    <row r="46" ht="15" customHeight="1">
      <c r="B46" s="6" t="inlineStr">
        <is>
          <t>TOTALS (check)</t>
        </is>
      </c>
      <c r="C46" s="7">
        <f>SUM(C9:C44)</f>
        <v/>
      </c>
      <c r="D46" s="7">
        <f>SUM(D9:D44)</f>
        <v/>
      </c>
      <c r="E46" s="7">
        <f>SUM(E9:E44)</f>
        <v/>
      </c>
      <c r="F46" s="7">
        <f>SUM(F9:F44)</f>
        <v/>
      </c>
      <c r="G46" s="7">
        <f>SUM(G9:G44)</f>
        <v/>
      </c>
    </row>
    <row r="48" ht="15" customHeight="1">
      <c r="B48" s="9" t="inlineStr">
        <is>
          <t>ASSET ALLOCATION</t>
        </is>
      </c>
    </row>
    <row r="49" ht="15" customHeight="1">
      <c r="B49" s="10" t="inlineStr">
        <is>
          <t>Asset</t>
        </is>
      </c>
      <c r="C49" s="10" t="inlineStr">
        <is>
          <t>Total</t>
        </is>
      </c>
      <c r="D49" s="10" t="inlineStr">
        <is>
          <t>5 Year</t>
        </is>
      </c>
      <c r="E49" s="10" t="inlineStr">
        <is>
          <t>7 Year</t>
        </is>
      </c>
      <c r="F49" s="10" t="inlineStr">
        <is>
          <t>15 Year</t>
        </is>
      </c>
      <c r="G49" s="10" t="inlineStr">
        <is>
          <t>27.5 Year</t>
        </is>
      </c>
    </row>
    <row r="50" ht="15" customHeight="1">
      <c r="B50" s="4" t="inlineStr">
        <is>
          <t>Asset # 12-Land Improvements - Smith Square</t>
        </is>
      </c>
      <c r="C50" s="5" t="n">
        <v>8901</v>
      </c>
      <c r="D50" s="5" t="n">
        <v>1516</v>
      </c>
      <c r="F50" s="5" t="n">
        <v>269</v>
      </c>
      <c r="G50" s="5" t="n">
        <v>7116</v>
      </c>
    </row>
    <row r="51" ht="15" customHeight="1">
      <c r="B51" s="4" t="inlineStr">
        <is>
          <t>Asset # 13-Building - Smith Square</t>
        </is>
      </c>
      <c r="C51" s="5" t="n">
        <v>115712</v>
      </c>
      <c r="D51" s="5" t="n">
        <v>19712</v>
      </c>
      <c r="F51" s="5" t="n">
        <v>3496</v>
      </c>
      <c r="G51" s="5" t="n">
        <v>92504</v>
      </c>
    </row>
    <row r="52" ht="15" customHeight="1">
      <c r="B52" s="4" t="inlineStr">
        <is>
          <t>Asset # 14-Equipment - Smith Square</t>
        </is>
      </c>
      <c r="C52" s="5" t="n">
        <v>23736</v>
      </c>
      <c r="D52" s="5" t="n">
        <v>4043</v>
      </c>
      <c r="F52" s="5" t="n">
        <v>717</v>
      </c>
      <c r="G52" s="5" t="n">
        <v>18976</v>
      </c>
    </row>
    <row r="53" ht="15" customHeight="1">
      <c r="B53" s="6" t="inlineStr">
        <is>
          <t>Total Allocation:</t>
        </is>
      </c>
      <c r="C53" s="7">
        <f>SUM(C50:C52)</f>
        <v/>
      </c>
      <c r="D53" s="7">
        <f>SUM(D50:D52)</f>
        <v/>
      </c>
      <c r="E53" s="7">
        <f>SUM(E50:E52)</f>
        <v/>
      </c>
      <c r="F53" s="7">
        <f>SUM(F50:F52)</f>
        <v/>
      </c>
      <c r="G53" s="7">
        <f>SUM(G50:G52)</f>
        <v/>
      </c>
    </row>
    <row r="54" ht="15" customHeight="1">
      <c r="B54" s="6" t="inlineStr">
        <is>
          <t>TOTALS (check)</t>
        </is>
      </c>
      <c r="C54" s="7">
        <f>SUM(C50:C52)</f>
        <v/>
      </c>
      <c r="D54" s="7">
        <f>SUM(D50:D52)</f>
        <v/>
      </c>
      <c r="E54" s="7">
        <f>SUM(E50:E52)</f>
        <v/>
      </c>
      <c r="F54" s="7">
        <f>SUM(F50:F52)</f>
        <v/>
      </c>
      <c r="G54" s="7">
        <f>SUM(G50:G52)</f>
        <v/>
      </c>
    </row>
    <row r="56" ht="15" customHeight="1">
      <c r="B56" s="9" t="inlineStr">
        <is>
          <t>DEPRECIATION SCHEDULE — AS PREVIOUSLY FILED</t>
        </is>
      </c>
    </row>
    <row r="57" ht="15" customHeight="1">
      <c r="B57" s="10" t="inlineStr">
        <is>
          <t>Property Description</t>
        </is>
      </c>
      <c r="C57" s="10" t="inlineStr">
        <is>
          <t>Tax Cost</t>
        </is>
      </c>
      <c r="D57" s="10" t="inlineStr">
        <is>
          <t>Tax Bonus Amt</t>
        </is>
      </c>
      <c r="E57" s="10" t="inlineStr">
        <is>
          <t>Tax Prior Depr</t>
        </is>
      </c>
      <c r="F57" s="10" t="inlineStr">
        <is>
          <t>Tax Current Depr</t>
        </is>
      </c>
      <c r="G57" s="10" t="inlineStr">
        <is>
          <t>Tax End Depr</t>
        </is>
      </c>
      <c r="H57" s="10" t="inlineStr">
        <is>
          <t>Tax Net Book Value</t>
        </is>
      </c>
      <c r="I57" s="10" t="inlineStr">
        <is>
          <t>Tax Method</t>
        </is>
      </c>
      <c r="J57" s="10" t="inlineStr">
        <is>
          <t>Tax Period</t>
        </is>
      </c>
    </row>
    <row r="58" ht="15" customHeight="1">
      <c r="B58" s="4" t="inlineStr">
        <is>
          <t>12 - Land Improvements - Smith Square</t>
        </is>
      </c>
      <c r="C58" s="5" t="n">
        <v>8901</v>
      </c>
      <c r="D58" s="5" t="n">
        <v>0</v>
      </c>
      <c r="E58" s="5" t="n">
        <v>4214.44</v>
      </c>
      <c r="F58" s="5" t="n">
        <v>525.63</v>
      </c>
      <c r="G58" s="5" t="n">
        <v>4740.07</v>
      </c>
      <c r="H58" s="5" t="n">
        <v>4160.93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13 - Building - Smith Square</t>
        </is>
      </c>
      <c r="C59" s="5" t="n">
        <v>115712</v>
      </c>
      <c r="D59" s="5" t="n">
        <v>0</v>
      </c>
      <c r="E59" s="5" t="n">
        <v>25421.41</v>
      </c>
      <c r="F59" s="5" t="n">
        <v>4207.67</v>
      </c>
      <c r="G59" s="5" t="n">
        <v>29629.08</v>
      </c>
      <c r="H59" s="5" t="n">
        <v>86082.92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14 - Equipment - Smith Square</t>
        </is>
      </c>
      <c r="C60" s="5" t="n">
        <v>23736</v>
      </c>
      <c r="D60" s="5" t="n">
        <v>0</v>
      </c>
      <c r="E60" s="5" t="n">
        <v>23736</v>
      </c>
      <c r="F60" s="5" t="n">
        <v>0</v>
      </c>
      <c r="G60" s="5" t="n">
        <v>23736</v>
      </c>
      <c r="H60" s="5" t="n">
        <v>0</v>
      </c>
      <c r="I60" s="8" t="inlineStr">
        <is>
          <t>200DB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SUM(C58:C60)</f>
        <v/>
      </c>
      <c r="D61" s="7">
        <f>SUM(D58:D60)</f>
        <v/>
      </c>
      <c r="E61" s="7">
        <f>SUM(E58:E60)</f>
        <v/>
      </c>
      <c r="F61" s="7">
        <f>SUM(F58:F60)</f>
        <v/>
      </c>
      <c r="G61" s="7">
        <f>SUM(G58:G60)</f>
        <v/>
      </c>
      <c r="H61" s="7">
        <f>SUM(H58:H60)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12 - Land Improvements - Smith Square - 5yr</t>
        </is>
      </c>
      <c r="C65" s="5" t="n">
        <v>1516</v>
      </c>
      <c r="D65" s="5" t="n">
        <v>0</v>
      </c>
      <c r="E65" s="5" t="n">
        <v>1516</v>
      </c>
      <c r="F65" s="5" t="n">
        <v>1516</v>
      </c>
      <c r="G65" s="5" t="n">
        <v>1516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12 - Land Improvements - Smith Square - 15yr</t>
        </is>
      </c>
      <c r="C66" s="5" t="n">
        <v>269</v>
      </c>
      <c r="D66" s="5" t="n">
        <v>0</v>
      </c>
      <c r="E66" s="5" t="n">
        <v>269</v>
      </c>
      <c r="F66" s="5" t="n">
        <v>269</v>
      </c>
      <c r="G66" s="5" t="n">
        <v>269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12 - Land Improvements - Smith Square - 27.5yr</t>
        </is>
      </c>
      <c r="C67" s="5" t="n">
        <v>7116</v>
      </c>
      <c r="D67" s="5" t="n">
        <v>0</v>
      </c>
      <c r="E67" s="5" t="n">
        <v>0</v>
      </c>
      <c r="F67" s="5" t="n">
        <v>1563.34</v>
      </c>
      <c r="G67" s="5" t="n">
        <v>1822.1</v>
      </c>
      <c r="H67" s="5" t="n">
        <v>5293.9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13 - Building - Smith Square - 5yr</t>
        </is>
      </c>
      <c r="C68" s="5" t="n">
        <v>19712</v>
      </c>
      <c r="D68" s="5" t="n">
        <v>0</v>
      </c>
      <c r="E68" s="5" t="n">
        <v>19712</v>
      </c>
      <c r="F68" s="5" t="n">
        <v>19712</v>
      </c>
      <c r="G68" s="5" t="n">
        <v>19712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13 - Building - Smith Square - 15yr</t>
        </is>
      </c>
      <c r="C69" s="5" t="n">
        <v>3496</v>
      </c>
      <c r="D69" s="5" t="n">
        <v>0</v>
      </c>
      <c r="E69" s="5" t="n">
        <v>3496</v>
      </c>
      <c r="F69" s="5" t="n">
        <v>3496</v>
      </c>
      <c r="G69" s="5" t="n">
        <v>3496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13 - Building - Smith Square - 27.5yr</t>
        </is>
      </c>
      <c r="C70" s="5" t="n">
        <v>92504</v>
      </c>
      <c r="D70" s="5" t="n">
        <v>0</v>
      </c>
      <c r="E70" s="5" t="n">
        <v>0</v>
      </c>
      <c r="F70" s="5" t="n">
        <v>20322.84</v>
      </c>
      <c r="G70" s="5" t="n">
        <v>23686.62</v>
      </c>
      <c r="H70" s="5" t="n">
        <v>68817.38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14 - Equipment - Smith Square - 5yr</t>
        </is>
      </c>
      <c r="C71" s="5" t="n">
        <v>4043</v>
      </c>
      <c r="D71" s="5" t="n">
        <v>0</v>
      </c>
      <c r="E71" s="5" t="n">
        <v>4043</v>
      </c>
      <c r="F71" s="5" t="n">
        <v>4043</v>
      </c>
      <c r="G71" s="5" t="n">
        <v>4043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14 - Equipment - Smith Square - 15yr</t>
        </is>
      </c>
      <c r="C72" s="5" t="n">
        <v>717</v>
      </c>
      <c r="D72" s="5" t="n">
        <v>0</v>
      </c>
      <c r="E72" s="5" t="n">
        <v>717</v>
      </c>
      <c r="F72" s="5" t="n">
        <v>717</v>
      </c>
      <c r="G72" s="5" t="n">
        <v>717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14 - Equipment - Smith Square - 27.5yr</t>
        </is>
      </c>
      <c r="C73" s="5" t="n">
        <v>18976</v>
      </c>
      <c r="D73" s="5" t="n">
        <v>0</v>
      </c>
      <c r="E73" s="5" t="n">
        <v>0</v>
      </c>
      <c r="F73" s="5" t="n">
        <v>4168.75</v>
      </c>
      <c r="G73" s="5" t="n">
        <v>4858.79</v>
      </c>
      <c r="H73" s="5" t="n">
        <v>14117.21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53371.52</v>
      </c>
    </row>
    <row r="78" ht="15" customHeight="1">
      <c r="B78" s="4" t="inlineStr">
        <is>
          <t>Cost Segregation Corrected Depreciation</t>
        </is>
      </c>
      <c r="C78" s="13" t="n">
        <v>58249.61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8:J28"/>
    <mergeCell ref="B76:J76"/>
    <mergeCell ref="B63:J63"/>
    <mergeCell ref="B23:J23"/>
    <mergeCell ref="B9:J9"/>
    <mergeCell ref="B1:J1"/>
    <mergeCell ref="B48:J48"/>
    <mergeCell ref="B56:J56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3112 Havenwood Dr</t>
        </is>
      </c>
    </row>
    <row r="3" ht="15" customHeight="1">
      <c r="B3" s="8" t="inlineStr">
        <is>
          <t>3112 Havenwood Dr, Harvey, LA 70058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1065.36</v>
      </c>
      <c r="D10" s="5" t="n">
        <v>1065.36</v>
      </c>
    </row>
    <row r="11" ht="15" customHeight="1">
      <c r="B11" s="4" t="inlineStr">
        <is>
          <t xml:space="preserve">  Moldings</t>
        </is>
      </c>
      <c r="C11" s="5" t="n">
        <v>894.1</v>
      </c>
      <c r="D11" s="5" t="n">
        <v>894.1</v>
      </c>
    </row>
    <row r="12" ht="15" customHeight="1">
      <c r="B12" s="4" t="inlineStr">
        <is>
          <t xml:space="preserve">  Flooring - Wood Laminate</t>
        </is>
      </c>
      <c r="C12" s="5" t="n">
        <v>1954.35</v>
      </c>
      <c r="D12" s="5" t="n">
        <v>1954.35</v>
      </c>
    </row>
    <row r="13" ht="15" customHeight="1">
      <c r="B13" s="4" t="inlineStr">
        <is>
          <t xml:space="preserve">  Security System</t>
        </is>
      </c>
      <c r="C13" s="5" t="n">
        <v>613.8</v>
      </c>
      <c r="D13" s="5" t="n">
        <v>613.8</v>
      </c>
    </row>
    <row r="14" ht="15" customHeight="1">
      <c r="B14" s="4" t="inlineStr">
        <is>
          <t xml:space="preserve">  Window Treatments</t>
        </is>
      </c>
      <c r="C14" s="5" t="n">
        <v>136.47</v>
      </c>
      <c r="D14" s="5" t="n">
        <v>136.47</v>
      </c>
    </row>
    <row r="15" ht="15" customHeight="1">
      <c r="B15" s="4" t="inlineStr">
        <is>
          <t xml:space="preserve">  Specialty HVAC - Dryer Vents</t>
        </is>
      </c>
      <c r="C15" s="5" t="n">
        <v>302.35</v>
      </c>
      <c r="D15" s="5" t="n">
        <v>302.35</v>
      </c>
    </row>
    <row r="16" ht="15" customHeight="1">
      <c r="B16" s="4" t="inlineStr">
        <is>
          <t xml:space="preserve">  Building Signage</t>
        </is>
      </c>
      <c r="C16" s="5" t="n">
        <v>30.15</v>
      </c>
      <c r="D16" s="5" t="n">
        <v>30.15</v>
      </c>
    </row>
    <row r="17" ht="15" customHeight="1">
      <c r="B17" s="4" t="inlineStr">
        <is>
          <t xml:space="preserve">  Specialty Electrical - Appliances</t>
        </is>
      </c>
      <c r="C17" s="5" t="n">
        <v>19.82</v>
      </c>
      <c r="D17" s="5" t="n">
        <v>19.82</v>
      </c>
    </row>
    <row r="18" ht="15" customHeight="1">
      <c r="B18" s="4" t="inlineStr">
        <is>
          <t xml:space="preserve">  Communication / Data</t>
        </is>
      </c>
      <c r="C18" s="5" t="n">
        <v>514.89</v>
      </c>
      <c r="D18" s="5" t="n">
        <v>514.89</v>
      </c>
    </row>
    <row r="19" ht="15" customHeight="1">
      <c r="B19" s="4" t="inlineStr">
        <is>
          <t xml:space="preserve">  Specialty Plumbing - Kitchen Sink / Laundry</t>
        </is>
      </c>
      <c r="C19" s="5" t="n">
        <v>255.92</v>
      </c>
      <c r="D19" s="5" t="n">
        <v>255.92</v>
      </c>
    </row>
    <row r="20" ht="15" customHeight="1">
      <c r="B20" s="4" t="inlineStr">
        <is>
          <t xml:space="preserve">  Security / Exterior Lighting</t>
        </is>
      </c>
      <c r="C20" s="5" t="n">
        <v>563.75</v>
      </c>
      <c r="D20" s="5" t="n">
        <v>563.75</v>
      </c>
    </row>
    <row r="21" ht="15" customHeight="1">
      <c r="B21" s="4" t="inlineStr">
        <is>
          <t xml:space="preserve">  Access Control</t>
        </is>
      </c>
      <c r="C21" s="5" t="n">
        <v>192.79</v>
      </c>
      <c r="D21" s="5" t="n">
        <v>192.79</v>
      </c>
    </row>
    <row r="22" ht="15" customHeight="1">
      <c r="B22" s="4" t="inlineStr">
        <is>
          <t xml:space="preserve">  Appliances</t>
        </is>
      </c>
      <c r="C22" s="5" t="n">
        <v>50.57</v>
      </c>
      <c r="D22" s="5" t="n">
        <v>50.57</v>
      </c>
    </row>
    <row r="23" ht="15" customHeight="1">
      <c r="B23" s="11" t="inlineStr">
        <is>
          <t>Site Work / Improvements</t>
        </is>
      </c>
    </row>
    <row r="24" ht="15" customHeight="1">
      <c r="B24" s="4" t="inlineStr">
        <is>
          <t xml:space="preserve">  Driveway</t>
        </is>
      </c>
      <c r="C24" s="5" t="n">
        <v>679.12</v>
      </c>
      <c r="F24" s="5" t="n">
        <v>679.12</v>
      </c>
    </row>
    <row r="25" ht="15" customHeight="1">
      <c r="B25" s="4" t="inlineStr">
        <is>
          <t xml:space="preserve">  Sidewalks / Curbs</t>
        </is>
      </c>
      <c r="C25" s="5" t="n">
        <v>285.36</v>
      </c>
      <c r="F25" s="5" t="n">
        <v>285.36</v>
      </c>
    </row>
    <row r="26" ht="15" customHeight="1">
      <c r="B26" s="4" t="inlineStr">
        <is>
          <t xml:space="preserve">  Exterior Equipment Concrete Pads</t>
        </is>
      </c>
      <c r="C26" s="5" t="n">
        <v>34.81</v>
      </c>
      <c r="F26" s="5" t="n">
        <v>34.81</v>
      </c>
    </row>
    <row r="27" ht="15" customHeight="1">
      <c r="B27" s="4" t="inlineStr">
        <is>
          <t xml:space="preserve">  Mailboxes</t>
        </is>
      </c>
      <c r="C27" s="5" t="n">
        <v>21.6</v>
      </c>
      <c r="F27" s="5" t="n">
        <v>21.6</v>
      </c>
    </row>
    <row r="28" ht="15" customHeight="1">
      <c r="B28" s="11" t="inlineStr">
        <is>
          <t>Building Structure</t>
        </is>
      </c>
    </row>
    <row r="29" ht="15" customHeight="1">
      <c r="B29" s="4" t="inlineStr">
        <is>
          <t xml:space="preserve">  Roofing Systems</t>
        </is>
      </c>
      <c r="C29" s="5" t="n">
        <v>2393.31</v>
      </c>
      <c r="G29" s="5" t="n">
        <v>2393.31</v>
      </c>
    </row>
    <row r="30" ht="15" customHeight="1">
      <c r="B30" s="4" t="inlineStr">
        <is>
          <t xml:space="preserve">  Foundations</t>
        </is>
      </c>
      <c r="C30" s="5" t="n">
        <v>5241.81</v>
      </c>
      <c r="G30" s="5" t="n">
        <v>5241.81</v>
      </c>
    </row>
    <row r="31" ht="15" customHeight="1">
      <c r="B31" s="4" t="inlineStr">
        <is>
          <t xml:space="preserve">  HVAC</t>
        </is>
      </c>
      <c r="C31" s="5" t="n">
        <v>2635.44</v>
      </c>
      <c r="G31" s="5" t="n">
        <v>2635.44</v>
      </c>
    </row>
    <row r="32" ht="15" customHeight="1">
      <c r="B32" s="4" t="inlineStr">
        <is>
          <t xml:space="preserve">  Electrical</t>
        </is>
      </c>
      <c r="C32" s="5" t="n">
        <v>2810.27</v>
      </c>
      <c r="G32" s="5" t="n">
        <v>2810.27</v>
      </c>
    </row>
    <row r="33" ht="15" customHeight="1">
      <c r="B33" s="4" t="inlineStr">
        <is>
          <t xml:space="preserve">  Plumbing</t>
        </is>
      </c>
      <c r="C33" s="5" t="n">
        <v>2440.85</v>
      </c>
      <c r="G33" s="5" t="n">
        <v>2440.85</v>
      </c>
    </row>
    <row r="34" ht="15" customHeight="1">
      <c r="B34" s="4" t="inlineStr">
        <is>
          <t xml:space="preserve">  Fire Protection &amp; Alarm</t>
        </is>
      </c>
      <c r="C34" s="5" t="n">
        <v>135.95</v>
      </c>
      <c r="G34" s="5" t="n">
        <v>135.95</v>
      </c>
    </row>
    <row r="35" ht="15" customHeight="1">
      <c r="B35" s="4" t="inlineStr">
        <is>
          <t xml:space="preserve">  Exterior Façade / Building Skin</t>
        </is>
      </c>
      <c r="C35" s="5" t="n">
        <v>925.22</v>
      </c>
      <c r="G35" s="5" t="n">
        <v>925.22</v>
      </c>
    </row>
    <row r="36" ht="15" customHeight="1">
      <c r="B36" s="4" t="inlineStr">
        <is>
          <t xml:space="preserve">  Doors &amp; Frames</t>
        </is>
      </c>
      <c r="C36" s="5" t="n">
        <v>993.78</v>
      </c>
      <c r="G36" s="5" t="n">
        <v>993.78</v>
      </c>
    </row>
    <row r="37" ht="15" customHeight="1">
      <c r="B37" s="4" t="inlineStr">
        <is>
          <t xml:space="preserve">  Windows</t>
        </is>
      </c>
      <c r="C37" s="5" t="n">
        <v>856.54</v>
      </c>
      <c r="G37" s="5" t="n">
        <v>856.54</v>
      </c>
    </row>
    <row r="38" ht="15" customHeight="1">
      <c r="B38" s="4" t="inlineStr">
        <is>
          <t xml:space="preserve">  Ceiling Systems</t>
        </is>
      </c>
      <c r="C38" s="5" t="n">
        <v>1335.88</v>
      </c>
      <c r="G38" s="5" t="n">
        <v>1335.88</v>
      </c>
    </row>
    <row r="39" ht="15" customHeight="1">
      <c r="B39" s="4" t="inlineStr">
        <is>
          <t xml:space="preserve">  Interior Framing / Partitions</t>
        </is>
      </c>
      <c r="C39" s="5" t="n">
        <v>3468.43</v>
      </c>
      <c r="G39" s="5" t="n">
        <v>3468.43</v>
      </c>
    </row>
    <row r="40" ht="15" customHeight="1">
      <c r="B40" s="4" t="inlineStr">
        <is>
          <t xml:space="preserve">  Painting</t>
        </is>
      </c>
      <c r="C40" s="5" t="n">
        <v>1214.12</v>
      </c>
      <c r="G40" s="5" t="n">
        <v>1214.12</v>
      </c>
    </row>
    <row r="41" ht="15" customHeight="1">
      <c r="B41" s="4" t="inlineStr">
        <is>
          <t xml:space="preserve">  Structural Framing</t>
        </is>
      </c>
      <c r="C41" s="5" t="n">
        <v>3482.77</v>
      </c>
      <c r="G41" s="5" t="n">
        <v>3482.77</v>
      </c>
    </row>
    <row r="42" ht="15" customHeight="1">
      <c r="B42" s="4" t="inlineStr">
        <is>
          <t xml:space="preserve">  Site Utilities</t>
        </is>
      </c>
      <c r="C42" s="5" t="n">
        <v>603.09</v>
      </c>
      <c r="G42" s="5" t="n">
        <v>603.09</v>
      </c>
    </row>
    <row r="43" ht="15" customHeight="1">
      <c r="B43" s="4" t="inlineStr">
        <is>
          <t xml:space="preserve">  Bathroom Accessories</t>
        </is>
      </c>
      <c r="C43" s="5" t="n">
        <v>401.59</v>
      </c>
      <c r="G43" s="5" t="n">
        <v>401.59</v>
      </c>
    </row>
    <row r="44" ht="15" customHeight="1">
      <c r="B44" s="4" t="inlineStr">
        <is>
          <t xml:space="preserve">  Cabinets / Millwork - Restrooms</t>
        </is>
      </c>
      <c r="C44" s="5" t="n">
        <v>239</v>
      </c>
      <c r="G44" s="5" t="n">
        <v>239</v>
      </c>
    </row>
    <row r="45" ht="15" customHeight="1">
      <c r="B45" s="6" t="inlineStr">
        <is>
          <t>Total Building Cost</t>
        </is>
      </c>
      <c r="C45" s="7">
        <f>SUM(C9:C44)</f>
        <v/>
      </c>
      <c r="D45" s="7">
        <f>SUM(D9:D44)</f>
        <v/>
      </c>
      <c r="E45" s="7">
        <f>SUM(E9:E44)</f>
        <v/>
      </c>
      <c r="F45" s="7">
        <f>SUM(F9:F44)</f>
        <v/>
      </c>
      <c r="G45" s="7">
        <f>SUM(G9:G44)</f>
        <v/>
      </c>
    </row>
    <row r="46" ht="15" customHeight="1">
      <c r="B46" s="6" t="inlineStr">
        <is>
          <t>TOTALS (check)</t>
        </is>
      </c>
      <c r="C46" s="7">
        <f>SUM(C9:C44)</f>
        <v/>
      </c>
      <c r="D46" s="7">
        <f>SUM(D9:D44)</f>
        <v/>
      </c>
      <c r="E46" s="7">
        <f>SUM(E9:E44)</f>
        <v/>
      </c>
      <c r="F46" s="7">
        <f>SUM(F9:F44)</f>
        <v/>
      </c>
      <c r="G46" s="7">
        <f>SUM(G9:G44)</f>
        <v/>
      </c>
    </row>
    <row r="48" ht="15" customHeight="1">
      <c r="B48" s="9" t="inlineStr">
        <is>
          <t>ASSET ALLOCATION</t>
        </is>
      </c>
    </row>
    <row r="49" ht="15" customHeight="1">
      <c r="B49" s="10" t="inlineStr">
        <is>
          <t>Asset</t>
        </is>
      </c>
      <c r="C49" s="10" t="inlineStr">
        <is>
          <t>Total</t>
        </is>
      </c>
      <c r="D49" s="10" t="inlineStr">
        <is>
          <t>5 Year</t>
        </is>
      </c>
      <c r="E49" s="10" t="inlineStr">
        <is>
          <t>7 Year</t>
        </is>
      </c>
      <c r="F49" s="10" t="inlineStr">
        <is>
          <t>15 Year</t>
        </is>
      </c>
      <c r="G49" s="10" t="inlineStr">
        <is>
          <t>27.5 Year</t>
        </is>
      </c>
    </row>
    <row r="50" ht="15" customHeight="1">
      <c r="B50" s="4" t="inlineStr">
        <is>
          <t>Asset # 2-Land Improvements - Havenwood Drive</t>
        </is>
      </c>
      <c r="C50" s="5" t="n">
        <v>25088</v>
      </c>
      <c r="D50" s="5" t="n">
        <v>4938</v>
      </c>
      <c r="F50" s="5" t="n">
        <v>776</v>
      </c>
      <c r="G50" s="5" t="n">
        <v>19374</v>
      </c>
    </row>
    <row r="51" ht="15" customHeight="1">
      <c r="B51" s="4" t="inlineStr">
        <is>
          <t>Asset # 3-Building - Havenwood Drive</t>
        </is>
      </c>
      <c r="C51" s="5" t="n">
        <v>326143</v>
      </c>
      <c r="D51" s="5" t="n">
        <v>62075</v>
      </c>
      <c r="F51" s="5" t="n">
        <v>9749</v>
      </c>
      <c r="G51" s="5" t="n">
        <v>254319</v>
      </c>
    </row>
    <row r="52" ht="15" customHeight="1">
      <c r="B52" s="4" t="inlineStr">
        <is>
          <t>Asset # 4-Equipment - Havenwood Drive</t>
        </is>
      </c>
      <c r="C52" s="5" t="n">
        <v>66884</v>
      </c>
      <c r="D52" s="5" t="n">
        <v>12730</v>
      </c>
      <c r="F52" s="5" t="n">
        <v>1999</v>
      </c>
      <c r="G52" s="5" t="n">
        <v>52155</v>
      </c>
    </row>
    <row r="53" ht="15" customHeight="1">
      <c r="B53" s="6" t="inlineStr">
        <is>
          <t>Total Allocation:</t>
        </is>
      </c>
      <c r="C53" s="7">
        <f>SUM(C50:C52)</f>
        <v/>
      </c>
      <c r="D53" s="7">
        <f>SUM(D50:D52)</f>
        <v/>
      </c>
      <c r="E53" s="7">
        <f>SUM(E50:E52)</f>
        <v/>
      </c>
      <c r="F53" s="7">
        <f>SUM(F50:F52)</f>
        <v/>
      </c>
      <c r="G53" s="7">
        <f>SUM(G50:G52)</f>
        <v/>
      </c>
    </row>
    <row r="54" ht="15" customHeight="1">
      <c r="B54" s="6" t="inlineStr">
        <is>
          <t>TOTALS (check)</t>
        </is>
      </c>
      <c r="C54" s="7">
        <f>SUM(C50:C52)</f>
        <v/>
      </c>
      <c r="D54" s="7">
        <f>SUM(D50:D52)</f>
        <v/>
      </c>
      <c r="E54" s="7">
        <f>SUM(E50:E52)</f>
        <v/>
      </c>
      <c r="F54" s="7">
        <f>SUM(F50:F52)</f>
        <v/>
      </c>
      <c r="G54" s="7">
        <f>SUM(G50:G52)</f>
        <v/>
      </c>
    </row>
    <row r="56" ht="15" customHeight="1">
      <c r="B56" s="9" t="inlineStr">
        <is>
          <t>DEPRECIATION SCHEDULE — AS PREVIOUSLY FILED</t>
        </is>
      </c>
    </row>
    <row r="57" ht="15" customHeight="1">
      <c r="B57" s="10" t="inlineStr">
        <is>
          <t>Property Description</t>
        </is>
      </c>
      <c r="C57" s="10" t="inlineStr">
        <is>
          <t>Tax Cost</t>
        </is>
      </c>
      <c r="D57" s="10" t="inlineStr">
        <is>
          <t>Tax Bonus Amt</t>
        </is>
      </c>
      <c r="E57" s="10" t="inlineStr">
        <is>
          <t>Tax Prior Depr</t>
        </is>
      </c>
      <c r="F57" s="10" t="inlineStr">
        <is>
          <t>Tax Current Depr</t>
        </is>
      </c>
      <c r="G57" s="10" t="inlineStr">
        <is>
          <t>Tax End Depr</t>
        </is>
      </c>
      <c r="H57" s="10" t="inlineStr">
        <is>
          <t>Tax Net Book Value</t>
        </is>
      </c>
      <c r="I57" s="10" t="inlineStr">
        <is>
          <t>Tax Method</t>
        </is>
      </c>
      <c r="J57" s="10" t="inlineStr">
        <is>
          <t>Tax Period</t>
        </is>
      </c>
    </row>
    <row r="58" ht="15" customHeight="1">
      <c r="B58" s="4" t="inlineStr">
        <is>
          <t>2 - Land Improvements - Havenwood Drive</t>
        </is>
      </c>
      <c r="C58" s="5" t="n">
        <v>25088</v>
      </c>
      <c r="D58" s="5" t="n">
        <v>0</v>
      </c>
      <c r="E58" s="5" t="n">
        <v>11875.18</v>
      </c>
      <c r="F58" s="5" t="n">
        <v>1481.51</v>
      </c>
      <c r="G58" s="5" t="n">
        <v>13356.69</v>
      </c>
      <c r="H58" s="5" t="n">
        <v>11731.31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3 - Building - Havenwood Drive</t>
        </is>
      </c>
      <c r="C59" s="5" t="n">
        <v>326143</v>
      </c>
      <c r="D59" s="5" t="n">
        <v>0</v>
      </c>
      <c r="E59" s="5" t="n">
        <v>71673.17</v>
      </c>
      <c r="F59" s="5" t="n">
        <v>11859.38</v>
      </c>
      <c r="G59" s="5" t="n">
        <v>83532.55</v>
      </c>
      <c r="H59" s="5" t="n">
        <v>242610.45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4 - Equipment - Havenwood Drive</t>
        </is>
      </c>
      <c r="C60" s="5" t="n">
        <v>66884</v>
      </c>
      <c r="D60" s="5" t="n">
        <v>0</v>
      </c>
      <c r="E60" s="5" t="n">
        <v>66884</v>
      </c>
      <c r="F60" s="5" t="n">
        <v>0</v>
      </c>
      <c r="G60" s="5" t="n">
        <v>66884</v>
      </c>
      <c r="H60" s="5" t="n">
        <v>0</v>
      </c>
      <c r="I60" s="8" t="inlineStr">
        <is>
          <t>200DB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SUM(C58:C60)</f>
        <v/>
      </c>
      <c r="D61" s="7">
        <f>SUM(D58:D60)</f>
        <v/>
      </c>
      <c r="E61" s="7">
        <f>SUM(E58:E60)</f>
        <v/>
      </c>
      <c r="F61" s="7">
        <f>SUM(F58:F60)</f>
        <v/>
      </c>
      <c r="G61" s="7">
        <f>SUM(G58:G60)</f>
        <v/>
      </c>
      <c r="H61" s="7">
        <f>SUM(H58:H60)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2 - Land Improvements - Havenwood Drive - 5yr</t>
        </is>
      </c>
      <c r="C65" s="5" t="n">
        <v>4938</v>
      </c>
      <c r="D65" s="5" t="n">
        <v>0</v>
      </c>
      <c r="E65" s="5" t="n">
        <v>4938</v>
      </c>
      <c r="F65" s="5" t="n">
        <v>4938</v>
      </c>
      <c r="G65" s="5" t="n">
        <v>4938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2 - Land Improvements - Havenwood Drive - 15yr</t>
        </is>
      </c>
      <c r="C66" s="5" t="n">
        <v>776</v>
      </c>
      <c r="D66" s="5" t="n">
        <v>0</v>
      </c>
      <c r="E66" s="5" t="n">
        <v>776</v>
      </c>
      <c r="F66" s="5" t="n">
        <v>776</v>
      </c>
      <c r="G66" s="5" t="n">
        <v>776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2 - Land Improvements - Havenwood Drive - 27.5yr</t>
        </is>
      </c>
      <c r="C67" s="5" t="n">
        <v>19374</v>
      </c>
      <c r="D67" s="5" t="n">
        <v>0</v>
      </c>
      <c r="E67" s="5" t="n">
        <v>0</v>
      </c>
      <c r="F67" s="5" t="n">
        <v>4257.66</v>
      </c>
      <c r="G67" s="5" t="n">
        <v>4961.19</v>
      </c>
      <c r="H67" s="5" t="n">
        <v>14412.81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3 - Building - Havenwood Drive - 5yr</t>
        </is>
      </c>
      <c r="C68" s="5" t="n">
        <v>62075</v>
      </c>
      <c r="D68" s="5" t="n">
        <v>0</v>
      </c>
      <c r="E68" s="5" t="n">
        <v>62075</v>
      </c>
      <c r="F68" s="5" t="n">
        <v>62075</v>
      </c>
      <c r="G68" s="5" t="n">
        <v>62075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3 - Building - Havenwood Drive - 15yr</t>
        </is>
      </c>
      <c r="C69" s="5" t="n">
        <v>9749</v>
      </c>
      <c r="D69" s="5" t="n">
        <v>0</v>
      </c>
      <c r="E69" s="5" t="n">
        <v>9749</v>
      </c>
      <c r="F69" s="5" t="n">
        <v>9749</v>
      </c>
      <c r="G69" s="5" t="n">
        <v>9749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3 - Building - Havenwood Drive - 27.5yr</t>
        </is>
      </c>
      <c r="C70" s="5" t="n">
        <v>254319</v>
      </c>
      <c r="D70" s="5" t="n">
        <v>0</v>
      </c>
      <c r="E70" s="5" t="n">
        <v>0</v>
      </c>
      <c r="F70" s="5" t="n">
        <v>55888.61</v>
      </c>
      <c r="G70" s="5" t="n">
        <v>65135.23</v>
      </c>
      <c r="H70" s="5" t="n">
        <v>189183.77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4 - Equipment - Havenwood Drive - 5yr</t>
        </is>
      </c>
      <c r="C71" s="5" t="n">
        <v>12730</v>
      </c>
      <c r="D71" s="5" t="n">
        <v>0</v>
      </c>
      <c r="E71" s="5" t="n">
        <v>12730</v>
      </c>
      <c r="F71" s="5" t="n">
        <v>12730</v>
      </c>
      <c r="G71" s="5" t="n">
        <v>12730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4 - Equipment - Havenwood Drive - 15yr</t>
        </is>
      </c>
      <c r="C72" s="5" t="n">
        <v>1999</v>
      </c>
      <c r="D72" s="5" t="n">
        <v>0</v>
      </c>
      <c r="E72" s="5" t="n">
        <v>1999</v>
      </c>
      <c r="F72" s="5" t="n">
        <v>1999</v>
      </c>
      <c r="G72" s="5" t="n">
        <v>1999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4 - Equipment - Havenwood Drive - 27.5yr</t>
        </is>
      </c>
      <c r="C73" s="5" t="n">
        <v>52155</v>
      </c>
      <c r="D73" s="5" t="n">
        <v>0</v>
      </c>
      <c r="E73" s="5" t="n">
        <v>0</v>
      </c>
      <c r="F73" s="5" t="n">
        <v>11461.09</v>
      </c>
      <c r="G73" s="5" t="n">
        <v>13355.93</v>
      </c>
      <c r="H73" s="5" t="n">
        <v>38799.07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151712.88</v>
      </c>
    </row>
    <row r="78" ht="15" customHeight="1">
      <c r="B78" s="4" t="inlineStr">
        <is>
          <t>Cost Segregation Corrected Depreciation</t>
        </is>
      </c>
      <c r="C78" s="13" t="n">
        <v>165607.48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8:J28"/>
    <mergeCell ref="B76:J76"/>
    <mergeCell ref="B63:J63"/>
    <mergeCell ref="B23:J23"/>
    <mergeCell ref="B9:J9"/>
    <mergeCell ref="B1:J1"/>
    <mergeCell ref="B48:J48"/>
    <mergeCell ref="B56:J56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7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3117 Barbwood Dr</t>
        </is>
      </c>
    </row>
    <row r="3" ht="15" customHeight="1">
      <c r="B3" s="8" t="inlineStr">
        <is>
          <t>3117 Barbwood Dr, Harvey, LA 70058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1194.23</v>
      </c>
      <c r="D10" s="5" t="n">
        <v>1194.23</v>
      </c>
    </row>
    <row r="11" ht="15" customHeight="1">
      <c r="B11" s="4" t="inlineStr">
        <is>
          <t xml:space="preserve">  Moldings</t>
        </is>
      </c>
      <c r="C11" s="5" t="n">
        <v>892.45</v>
      </c>
      <c r="D11" s="5" t="n">
        <v>892.45</v>
      </c>
    </row>
    <row r="12" ht="15" customHeight="1">
      <c r="B12" s="4" t="inlineStr">
        <is>
          <t xml:space="preserve">  Flooring - Wood Laminate</t>
        </is>
      </c>
      <c r="C12" s="5" t="n">
        <v>772.85</v>
      </c>
      <c r="D12" s="5" t="n">
        <v>772.85</v>
      </c>
    </row>
    <row r="13" ht="15" customHeight="1">
      <c r="B13" s="4" t="inlineStr">
        <is>
          <t xml:space="preserve">  Security System</t>
        </is>
      </c>
      <c r="C13" s="5" t="n">
        <v>479.69</v>
      </c>
      <c r="D13" s="5" t="n">
        <v>479.69</v>
      </c>
    </row>
    <row r="14" ht="15" customHeight="1">
      <c r="B14" s="4" t="inlineStr">
        <is>
          <t xml:space="preserve">  Window Treatments</t>
        </is>
      </c>
      <c r="C14" s="5" t="n">
        <v>324.2</v>
      </c>
      <c r="D14" s="5" t="n">
        <v>324.2</v>
      </c>
    </row>
    <row r="15" ht="15" customHeight="1">
      <c r="B15" s="4" t="inlineStr">
        <is>
          <t xml:space="preserve">  Specialty HVAC - Dryer Vents</t>
        </is>
      </c>
      <c r="C15" s="5" t="n">
        <v>30.15</v>
      </c>
      <c r="D15" s="5" t="n">
        <v>30.15</v>
      </c>
    </row>
    <row r="16" ht="15" customHeight="1">
      <c r="B16" s="4" t="inlineStr">
        <is>
          <t xml:space="preserve">  Building Signage</t>
        </is>
      </c>
      <c r="C16" s="5" t="n">
        <v>19.82</v>
      </c>
      <c r="D16" s="5" t="n">
        <v>19.82</v>
      </c>
    </row>
    <row r="17" ht="15" customHeight="1">
      <c r="B17" s="4" t="inlineStr">
        <is>
          <t xml:space="preserve">  Specialty Electrical - Appliances</t>
        </is>
      </c>
      <c r="C17" s="5" t="n">
        <v>514.89</v>
      </c>
      <c r="D17" s="5" t="n">
        <v>514.89</v>
      </c>
    </row>
    <row r="18" ht="15" customHeight="1">
      <c r="B18" s="4" t="inlineStr">
        <is>
          <t xml:space="preserve">  Communication / Data</t>
        </is>
      </c>
      <c r="C18" s="5" t="n">
        <v>253.01</v>
      </c>
      <c r="D18" s="5" t="n">
        <v>253.01</v>
      </c>
    </row>
    <row r="19" ht="15" customHeight="1">
      <c r="B19" s="4" t="inlineStr">
        <is>
          <t xml:space="preserve">  Specialty Plumbing - Kitchen Sink / Laundry</t>
        </is>
      </c>
      <c r="C19" s="5" t="n">
        <v>563.75</v>
      </c>
      <c r="D19" s="5" t="n">
        <v>563.75</v>
      </c>
    </row>
    <row r="20" ht="15" customHeight="1">
      <c r="B20" s="4" t="inlineStr">
        <is>
          <t xml:space="preserve">  Security / Exterior Lighting</t>
        </is>
      </c>
      <c r="C20" s="5" t="n">
        <v>111.83</v>
      </c>
      <c r="D20" s="5" t="n">
        <v>111.83</v>
      </c>
    </row>
    <row r="21" ht="15" customHeight="1">
      <c r="B21" s="4" t="inlineStr">
        <is>
          <t xml:space="preserve">  Appliances</t>
        </is>
      </c>
      <c r="C21" s="5" t="n">
        <v>564.76</v>
      </c>
      <c r="D21" s="5" t="n">
        <v>564.76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508.62</v>
      </c>
      <c r="F23" s="5" t="n">
        <v>508.62</v>
      </c>
    </row>
    <row r="24" ht="15" customHeight="1">
      <c r="B24" s="4" t="inlineStr">
        <is>
          <t xml:space="preserve">  Sidewalks / Curbs</t>
        </is>
      </c>
      <c r="C24" s="5" t="n">
        <v>142.45</v>
      </c>
      <c r="F24" s="5" t="n">
        <v>142.45</v>
      </c>
    </row>
    <row r="25" ht="15" customHeight="1">
      <c r="B25" s="4" t="inlineStr">
        <is>
          <t xml:space="preserve">  Exterior Equipment Concrete Pads</t>
        </is>
      </c>
      <c r="C25" s="5" t="n">
        <v>34.81</v>
      </c>
      <c r="F25" s="5" t="n">
        <v>34.81</v>
      </c>
    </row>
    <row r="26" ht="15" customHeight="1">
      <c r="B26" s="4" t="inlineStr">
        <is>
          <t xml:space="preserve">  Mailboxes</t>
        </is>
      </c>
      <c r="C26" s="5" t="n">
        <v>21.6</v>
      </c>
      <c r="F26" s="5" t="n">
        <v>21.6</v>
      </c>
    </row>
    <row r="27" ht="15" customHeight="1">
      <c r="B27" s="11" t="inlineStr">
        <is>
          <t>Building Structure</t>
        </is>
      </c>
    </row>
    <row r="28" ht="15" customHeight="1">
      <c r="B28" s="4" t="inlineStr">
        <is>
          <t xml:space="preserve">  Roofing Systems</t>
        </is>
      </c>
      <c r="C28" s="5" t="n">
        <v>2544.9</v>
      </c>
      <c r="G28" s="5" t="n">
        <v>2544.9</v>
      </c>
    </row>
    <row r="29" ht="15" customHeight="1">
      <c r="B29" s="4" t="inlineStr">
        <is>
          <t xml:space="preserve">  Foundations</t>
        </is>
      </c>
      <c r="C29" s="5" t="n">
        <v>5290.6</v>
      </c>
      <c r="G29" s="5" t="n">
        <v>5290.6</v>
      </c>
    </row>
    <row r="30" ht="15" customHeight="1">
      <c r="B30" s="4" t="inlineStr">
        <is>
          <t xml:space="preserve">  HVAC</t>
        </is>
      </c>
      <c r="C30" s="5" t="n">
        <v>2605.13</v>
      </c>
      <c r="G30" s="5" t="n">
        <v>2605.13</v>
      </c>
    </row>
    <row r="31" ht="15" customHeight="1">
      <c r="B31" s="4" t="inlineStr">
        <is>
          <t xml:space="preserve">  Electrical</t>
        </is>
      </c>
      <c r="C31" s="5" t="n">
        <v>2808.12</v>
      </c>
      <c r="G31" s="5" t="n">
        <v>2808.12</v>
      </c>
    </row>
    <row r="32" ht="15" customHeight="1">
      <c r="B32" s="4" t="inlineStr">
        <is>
          <t xml:space="preserve">  Plumbing</t>
        </is>
      </c>
      <c r="C32" s="5" t="n">
        <v>2290.83</v>
      </c>
      <c r="G32" s="5" t="n">
        <v>2290.83</v>
      </c>
    </row>
    <row r="33" ht="15" customHeight="1">
      <c r="B33" s="4" t="inlineStr">
        <is>
          <t xml:space="preserve">  Fire Protection &amp; Alarm</t>
        </is>
      </c>
      <c r="C33" s="5" t="n">
        <v>127.67</v>
      </c>
      <c r="G33" s="5" t="n">
        <v>127.67</v>
      </c>
    </row>
    <row r="34" ht="15" customHeight="1">
      <c r="B34" s="4" t="inlineStr">
        <is>
          <t xml:space="preserve">  Exterior Façade / Building Skin</t>
        </is>
      </c>
      <c r="C34" s="5" t="n">
        <v>869.21</v>
      </c>
      <c r="G34" s="5" t="n">
        <v>869.21</v>
      </c>
    </row>
    <row r="35" ht="15" customHeight="1">
      <c r="B35" s="4" t="inlineStr">
        <is>
          <t xml:space="preserve">  Doors &amp; Frames</t>
        </is>
      </c>
      <c r="C35" s="5" t="n">
        <v>933.35</v>
      </c>
      <c r="G35" s="5" t="n">
        <v>933.35</v>
      </c>
    </row>
    <row r="36" ht="15" customHeight="1">
      <c r="B36" s="4" t="inlineStr">
        <is>
          <t xml:space="preserve">  Windows</t>
        </is>
      </c>
      <c r="C36" s="5" t="n">
        <v>804.88</v>
      </c>
      <c r="G36" s="5" t="n">
        <v>804.88</v>
      </c>
    </row>
    <row r="37" ht="15" customHeight="1">
      <c r="B37" s="4" t="inlineStr">
        <is>
          <t xml:space="preserve">  Ceiling Systems</t>
        </is>
      </c>
      <c r="C37" s="5" t="n">
        <v>1254.8</v>
      </c>
      <c r="G37" s="5" t="n">
        <v>1254.8</v>
      </c>
    </row>
    <row r="38" ht="15" customHeight="1">
      <c r="B38" s="4" t="inlineStr">
        <is>
          <t xml:space="preserve">  Interior Framing / Partitions</t>
        </is>
      </c>
      <c r="C38" s="5" t="n">
        <v>3258.52</v>
      </c>
      <c r="G38" s="5" t="n">
        <v>3258.52</v>
      </c>
    </row>
    <row r="39" ht="15" customHeight="1">
      <c r="B39" s="4" t="inlineStr">
        <is>
          <t xml:space="preserve">  Painting</t>
        </is>
      </c>
      <c r="C39" s="5" t="n">
        <v>1140.98</v>
      </c>
      <c r="G39" s="5" t="n">
        <v>1140.98</v>
      </c>
    </row>
    <row r="40" ht="15" customHeight="1">
      <c r="B40" s="4" t="inlineStr">
        <is>
          <t xml:space="preserve">  Structural Framing</t>
        </is>
      </c>
      <c r="C40" s="5" t="n">
        <v>3272.04</v>
      </c>
      <c r="G40" s="5" t="n">
        <v>3272.04</v>
      </c>
    </row>
    <row r="41" ht="15" customHeight="1">
      <c r="B41" s="4" t="inlineStr">
        <is>
          <t xml:space="preserve">  Site Utilities</t>
        </is>
      </c>
      <c r="C41" s="5" t="n">
        <v>566.55</v>
      </c>
      <c r="G41" s="5" t="n">
        <v>566.55</v>
      </c>
    </row>
    <row r="42" ht="15" customHeight="1">
      <c r="B42" s="4" t="inlineStr">
        <is>
          <t xml:space="preserve">  Bathroom Accessories</t>
        </is>
      </c>
      <c r="C42" s="5" t="n">
        <v>377.22</v>
      </c>
      <c r="G42" s="5" t="n">
        <v>377.22</v>
      </c>
    </row>
    <row r="43" ht="15" customHeight="1">
      <c r="B43" s="4" t="inlineStr">
        <is>
          <t xml:space="preserve">  Cabinets / Millwork - Restrooms</t>
        </is>
      </c>
      <c r="C43" s="5" t="n">
        <v>224.58</v>
      </c>
      <c r="G43" s="5" t="n">
        <v>224.58</v>
      </c>
    </row>
    <row r="44" ht="15" customHeight="1">
      <c r="B44" s="6" t="inlineStr">
        <is>
          <t>Total Building Cost</t>
        </is>
      </c>
      <c r="C44" s="7">
        <f>SUM(C9:C43)</f>
        <v/>
      </c>
      <c r="D44" s="7">
        <f>SUM(D9:D43)</f>
        <v/>
      </c>
      <c r="E44" s="7">
        <f>SUM(E9:E43)</f>
        <v/>
      </c>
      <c r="F44" s="7">
        <f>SUM(F9:F43)</f>
        <v/>
      </c>
      <c r="G44" s="7">
        <f>SUM(G9:G43)</f>
        <v/>
      </c>
    </row>
    <row r="45" ht="15" customHeight="1">
      <c r="B45" s="6" t="inlineStr">
        <is>
          <t>TOTALS (check)</t>
        </is>
      </c>
      <c r="C45" s="7">
        <f>SUM(C9:C43)</f>
        <v/>
      </c>
      <c r="D45" s="7">
        <f>SUM(D9:D43)</f>
        <v/>
      </c>
      <c r="E45" s="7">
        <f>SUM(E9:E43)</f>
        <v/>
      </c>
      <c r="F45" s="7">
        <f>SUM(F9:F43)</f>
        <v/>
      </c>
      <c r="G45" s="7">
        <f>SUM(G9:G43)</f>
        <v/>
      </c>
    </row>
    <row r="47" ht="15" customHeight="1">
      <c r="B47" s="9" t="inlineStr">
        <is>
          <t>ASSET ALLOCATION</t>
        </is>
      </c>
    </row>
    <row r="48" ht="15" customHeight="1">
      <c r="B48" s="10" t="inlineStr">
        <is>
          <t>Asset</t>
        </is>
      </c>
      <c r="C48" s="10" t="inlineStr">
        <is>
          <t>Total</t>
        </is>
      </c>
      <c r="D48" s="10" t="inlineStr">
        <is>
          <t>5 Year</t>
        </is>
      </c>
      <c r="E48" s="10" t="inlineStr">
        <is>
          <t>7 Year</t>
        </is>
      </c>
      <c r="F48" s="10" t="inlineStr">
        <is>
          <t>15 Year</t>
        </is>
      </c>
      <c r="G48" s="10" t="inlineStr">
        <is>
          <t>27.5 Year</t>
        </is>
      </c>
    </row>
    <row r="49" ht="15" customHeight="1">
      <c r="B49" s="4" t="inlineStr">
        <is>
          <t>Asset # 2-Land Improvements - Havenwood Drive</t>
        </is>
      </c>
      <c r="C49" s="5" t="n">
        <v>3967</v>
      </c>
      <c r="D49" s="5" t="n">
        <v>780</v>
      </c>
      <c r="F49" s="5" t="n">
        <v>123</v>
      </c>
      <c r="G49" s="5" t="n">
        <v>3064</v>
      </c>
    </row>
    <row r="50" ht="15" customHeight="1">
      <c r="B50" s="4" t="inlineStr">
        <is>
          <t>Asset # 3-Building - Havenwood Drive</t>
        </is>
      </c>
      <c r="C50" s="5" t="n">
        <v>51559</v>
      </c>
      <c r="D50" s="5" t="n">
        <v>9814</v>
      </c>
      <c r="F50" s="5" t="n">
        <v>1541</v>
      </c>
      <c r="G50" s="5" t="n">
        <v>40204</v>
      </c>
    </row>
    <row r="51" ht="15" customHeight="1">
      <c r="B51" s="4" t="inlineStr">
        <is>
          <t>Asset # 4-Equipment - Havenwood Drive</t>
        </is>
      </c>
      <c r="C51" s="5" t="n">
        <v>10571</v>
      </c>
      <c r="D51" s="5" t="n">
        <v>2012</v>
      </c>
      <c r="F51" s="5" t="n">
        <v>316</v>
      </c>
      <c r="G51" s="5" t="n">
        <v>8243</v>
      </c>
    </row>
    <row r="52" ht="15" customHeight="1">
      <c r="B52" s="6" t="inlineStr">
        <is>
          <t>Total Allocation:</t>
        </is>
      </c>
      <c r="C52" s="7">
        <f>SUM(C49:C51)</f>
        <v/>
      </c>
      <c r="D52" s="7">
        <f>SUM(D49:D51)</f>
        <v/>
      </c>
      <c r="E52" s="7">
        <f>SUM(E49:E51)</f>
        <v/>
      </c>
      <c r="F52" s="7">
        <f>SUM(F49:F51)</f>
        <v/>
      </c>
      <c r="G52" s="7">
        <f>SUM(G49:G51)</f>
        <v/>
      </c>
    </row>
    <row r="53" ht="15" customHeight="1">
      <c r="B53" s="6" t="inlineStr">
        <is>
          <t>TOTALS (check)</t>
        </is>
      </c>
      <c r="C53" s="7">
        <f>SUM(C49:C51)</f>
        <v/>
      </c>
      <c r="D53" s="7">
        <f>SUM(D49:D51)</f>
        <v/>
      </c>
      <c r="E53" s="7">
        <f>SUM(E49:E51)</f>
        <v/>
      </c>
      <c r="F53" s="7">
        <f>SUM(F49:F51)</f>
        <v/>
      </c>
      <c r="G53" s="7">
        <f>SUM(G49:G51)</f>
        <v/>
      </c>
    </row>
    <row r="55" ht="15" customHeight="1">
      <c r="B55" s="9" t="inlineStr">
        <is>
          <t>DEPRECIATION SCHEDULE — AS PREVIOUSLY FILED</t>
        </is>
      </c>
    </row>
    <row r="56" ht="15" customHeight="1">
      <c r="B56" s="10" t="inlineStr">
        <is>
          <t>Property Description</t>
        </is>
      </c>
      <c r="C56" s="10" t="inlineStr">
        <is>
          <t>Tax Cost</t>
        </is>
      </c>
      <c r="D56" s="10" t="inlineStr">
        <is>
          <t>Tax Bonus Amt</t>
        </is>
      </c>
      <c r="E56" s="10" t="inlineStr">
        <is>
          <t>Tax Prior Depr</t>
        </is>
      </c>
      <c r="F56" s="10" t="inlineStr">
        <is>
          <t>Tax Current Depr</t>
        </is>
      </c>
      <c r="G56" s="10" t="inlineStr">
        <is>
          <t>Tax End Depr</t>
        </is>
      </c>
      <c r="H56" s="10" t="inlineStr">
        <is>
          <t>Tax Net Book Value</t>
        </is>
      </c>
      <c r="I56" s="10" t="inlineStr">
        <is>
          <t>Tax Method</t>
        </is>
      </c>
      <c r="J56" s="10" t="inlineStr">
        <is>
          <t>Tax Period</t>
        </is>
      </c>
    </row>
    <row r="57" ht="15" customHeight="1">
      <c r="B57" s="4" t="inlineStr">
        <is>
          <t>2 - Land Improvements - Havenwood Drive</t>
        </is>
      </c>
      <c r="C57" s="5" t="n">
        <v>3967</v>
      </c>
      <c r="D57" s="5" t="n">
        <v>0</v>
      </c>
      <c r="E57" s="5" t="n">
        <v>1877.11</v>
      </c>
      <c r="F57" s="5" t="n">
        <v>234.08</v>
      </c>
      <c r="G57" s="5" t="n">
        <v>2111.19</v>
      </c>
      <c r="H57" s="5" t="n">
        <v>1855.81</v>
      </c>
      <c r="I57" s="8" t="inlineStr">
        <is>
          <t>150DB</t>
        </is>
      </c>
      <c r="J57" s="12" t="n">
        <v>15</v>
      </c>
    </row>
    <row r="58" ht="15" customHeight="1">
      <c r="B58" s="4" t="inlineStr">
        <is>
          <t>3 - Building - Havenwood Drive</t>
        </is>
      </c>
      <c r="C58" s="5" t="n">
        <v>51559</v>
      </c>
      <c r="D58" s="5" t="n">
        <v>0</v>
      </c>
      <c r="E58" s="5" t="n">
        <v>11328.93</v>
      </c>
      <c r="F58" s="5" t="n">
        <v>1874.51</v>
      </c>
      <c r="G58" s="5" t="n">
        <v>13203.44</v>
      </c>
      <c r="H58" s="5" t="n">
        <v>38355.56</v>
      </c>
      <c r="I58" s="8" t="inlineStr">
        <is>
          <t>S/L</t>
        </is>
      </c>
      <c r="J58" s="12" t="n">
        <v>27.5</v>
      </c>
    </row>
    <row r="59" ht="15" customHeight="1">
      <c r="B59" s="4" t="inlineStr">
        <is>
          <t>4 - Equipment - Havenwood Drive</t>
        </is>
      </c>
      <c r="C59" s="5" t="n">
        <v>10571</v>
      </c>
      <c r="D59" s="5" t="n">
        <v>0</v>
      </c>
      <c r="E59" s="5" t="n">
        <v>10571</v>
      </c>
      <c r="F59" s="5" t="n">
        <v>0</v>
      </c>
      <c r="G59" s="5" t="n">
        <v>10571</v>
      </c>
      <c r="H59" s="5" t="n">
        <v>0</v>
      </c>
      <c r="I59" s="8" t="inlineStr">
        <is>
          <t>200DB</t>
        </is>
      </c>
      <c r="J59" s="12" t="n">
        <v>5</v>
      </c>
    </row>
    <row r="60" ht="15" customHeight="1">
      <c r="B60" s="6" t="inlineStr">
        <is>
          <t>Grand Total</t>
        </is>
      </c>
      <c r="C60" s="7">
        <f>SUM(C57:C59)</f>
        <v/>
      </c>
      <c r="D60" s="7">
        <f>SUM(D57:D59)</f>
        <v/>
      </c>
      <c r="E60" s="7">
        <f>SUM(E57:E59)</f>
        <v/>
      </c>
      <c r="F60" s="7">
        <f>SUM(F57:F59)</f>
        <v/>
      </c>
      <c r="G60" s="7">
        <f>SUM(G57:G59)</f>
        <v/>
      </c>
      <c r="H60" s="7">
        <f>SUM(H57:H59)</f>
        <v/>
      </c>
    </row>
    <row r="62" ht="15" customHeight="1">
      <c r="B62" s="9" t="inlineStr">
        <is>
          <t>DEPRECIATION SCHEDULE — AFTER COST SEGREGATION CORRECTION</t>
        </is>
      </c>
    </row>
    <row r="63" ht="15" customHeight="1">
      <c r="B63" s="10" t="inlineStr">
        <is>
          <t>Property Description</t>
        </is>
      </c>
      <c r="C63" s="10" t="inlineStr">
        <is>
          <t>Tax Cost</t>
        </is>
      </c>
      <c r="D63" s="10" t="inlineStr">
        <is>
          <t>Tax Bonus Amt</t>
        </is>
      </c>
      <c r="E63" s="10" t="inlineStr">
        <is>
          <t>Tax Prior Depr</t>
        </is>
      </c>
      <c r="F63" s="10" t="inlineStr">
        <is>
          <t>Tax Current Depr</t>
        </is>
      </c>
      <c r="G63" s="10" t="inlineStr">
        <is>
          <t>Tax End Depr</t>
        </is>
      </c>
      <c r="H63" s="10" t="inlineStr">
        <is>
          <t>Tax Net Book Value</t>
        </is>
      </c>
      <c r="I63" s="10" t="inlineStr">
        <is>
          <t>Tax Method</t>
        </is>
      </c>
      <c r="J63" s="10" t="inlineStr">
        <is>
          <t>Tax Period</t>
        </is>
      </c>
    </row>
    <row r="64" ht="15" customHeight="1">
      <c r="B64" s="4" t="inlineStr">
        <is>
          <t>2 - Land Improvements - Havenwood Drive - 5yr</t>
        </is>
      </c>
      <c r="C64" s="5" t="n">
        <v>780</v>
      </c>
      <c r="D64" s="5" t="n">
        <v>0</v>
      </c>
      <c r="E64" s="5" t="n">
        <v>780</v>
      </c>
      <c r="F64" s="5" t="n">
        <v>780</v>
      </c>
      <c r="G64" s="5" t="n">
        <v>780</v>
      </c>
      <c r="H64" s="5" t="n">
        <v>0</v>
      </c>
      <c r="I64" s="8" t="inlineStr">
        <is>
          <t>200DB</t>
        </is>
      </c>
      <c r="J64" s="12" t="n">
        <v>5</v>
      </c>
    </row>
    <row r="65" ht="15" customHeight="1">
      <c r="B65" s="4" t="inlineStr">
        <is>
          <t>2 - Land Improvements - Havenwood Drive - 15yr</t>
        </is>
      </c>
      <c r="C65" s="5" t="n">
        <v>123</v>
      </c>
      <c r="D65" s="5" t="n">
        <v>0</v>
      </c>
      <c r="E65" s="5" t="n">
        <v>123</v>
      </c>
      <c r="F65" s="5" t="n">
        <v>123</v>
      </c>
      <c r="G65" s="5" t="n">
        <v>123</v>
      </c>
      <c r="H65" s="5" t="n">
        <v>0</v>
      </c>
      <c r="I65" s="8" t="inlineStr">
        <is>
          <t>150DB</t>
        </is>
      </c>
      <c r="J65" s="12" t="n">
        <v>15</v>
      </c>
    </row>
    <row r="66" ht="15" customHeight="1">
      <c r="B66" s="4" t="inlineStr">
        <is>
          <t>2 - Land Improvements - Havenwood Drive - 27.5yr</t>
        </is>
      </c>
      <c r="C66" s="5" t="n">
        <v>3064</v>
      </c>
      <c r="D66" s="5" t="n">
        <v>0</v>
      </c>
      <c r="E66" s="5" t="n">
        <v>0</v>
      </c>
      <c r="F66" s="5" t="n">
        <v>673.09</v>
      </c>
      <c r="G66" s="5" t="n">
        <v>784.22</v>
      </c>
      <c r="H66" s="5" t="n">
        <v>2279.78</v>
      </c>
      <c r="I66" s="8" t="inlineStr">
        <is>
          <t>S/L</t>
        </is>
      </c>
      <c r="J66" s="12" t="n">
        <v>27.5</v>
      </c>
    </row>
    <row r="67" ht="15" customHeight="1">
      <c r="B67" s="4" t="inlineStr">
        <is>
          <t>3 - Building - Havenwood Drive - 5yr</t>
        </is>
      </c>
      <c r="C67" s="5" t="n">
        <v>9814</v>
      </c>
      <c r="D67" s="5" t="n">
        <v>0</v>
      </c>
      <c r="E67" s="5" t="n">
        <v>9814</v>
      </c>
      <c r="F67" s="5" t="n">
        <v>9814</v>
      </c>
      <c r="G67" s="5" t="n">
        <v>9814</v>
      </c>
      <c r="H67" s="5" t="n">
        <v>0</v>
      </c>
      <c r="I67" s="8" t="inlineStr">
        <is>
          <t>200DB</t>
        </is>
      </c>
      <c r="J67" s="12" t="n">
        <v>5</v>
      </c>
    </row>
    <row r="68" ht="15" customHeight="1">
      <c r="B68" s="4" t="inlineStr">
        <is>
          <t>3 - Building - Havenwood Drive - 15yr</t>
        </is>
      </c>
      <c r="C68" s="5" t="n">
        <v>1541</v>
      </c>
      <c r="D68" s="5" t="n">
        <v>0</v>
      </c>
      <c r="E68" s="5" t="n">
        <v>1541</v>
      </c>
      <c r="F68" s="5" t="n">
        <v>1541</v>
      </c>
      <c r="G68" s="5" t="n">
        <v>1541</v>
      </c>
      <c r="H68" s="5" t="n">
        <v>0</v>
      </c>
      <c r="I68" s="8" t="inlineStr">
        <is>
          <t>150DB</t>
        </is>
      </c>
      <c r="J68" s="12" t="n">
        <v>15</v>
      </c>
    </row>
    <row r="69" ht="15" customHeight="1">
      <c r="B69" s="4" t="inlineStr">
        <is>
          <t>3 - Building - Havenwood Drive - 27.5yr</t>
        </is>
      </c>
      <c r="C69" s="5" t="n">
        <v>40204</v>
      </c>
      <c r="D69" s="5" t="n">
        <v>0</v>
      </c>
      <c r="E69" s="5" t="n">
        <v>0</v>
      </c>
      <c r="F69" s="5" t="n">
        <v>8836.4</v>
      </c>
      <c r="G69" s="5" t="n">
        <v>10299.97</v>
      </c>
      <c r="H69" s="5" t="n">
        <v>29904.03</v>
      </c>
      <c r="I69" s="8" t="inlineStr">
        <is>
          <t>S/L</t>
        </is>
      </c>
      <c r="J69" s="12" t="n">
        <v>27.5</v>
      </c>
    </row>
    <row r="70" ht="15" customHeight="1">
      <c r="B70" s="4" t="inlineStr">
        <is>
          <t>4 - Equipment - Havenwood Drive - 5yr</t>
        </is>
      </c>
      <c r="C70" s="5" t="n">
        <v>2012</v>
      </c>
      <c r="D70" s="5" t="n">
        <v>0</v>
      </c>
      <c r="E70" s="5" t="n">
        <v>2012</v>
      </c>
      <c r="F70" s="5" t="n">
        <v>2012</v>
      </c>
      <c r="G70" s="5" t="n">
        <v>2012</v>
      </c>
      <c r="H70" s="5" t="n">
        <v>0</v>
      </c>
      <c r="I70" s="8" t="inlineStr">
        <is>
          <t>200DB</t>
        </is>
      </c>
      <c r="J70" s="12" t="n">
        <v>5</v>
      </c>
    </row>
    <row r="71" ht="15" customHeight="1">
      <c r="B71" s="4" t="inlineStr">
        <is>
          <t>4 - Equipment - Havenwood Drive - 15yr</t>
        </is>
      </c>
      <c r="C71" s="5" t="n">
        <v>316</v>
      </c>
      <c r="D71" s="5" t="n">
        <v>0</v>
      </c>
      <c r="E71" s="5" t="n">
        <v>316</v>
      </c>
      <c r="F71" s="5" t="n">
        <v>316</v>
      </c>
      <c r="G71" s="5" t="n">
        <v>316</v>
      </c>
      <c r="H71" s="5" t="n">
        <v>0</v>
      </c>
      <c r="I71" s="8" t="inlineStr">
        <is>
          <t>150DB</t>
        </is>
      </c>
      <c r="J71" s="12" t="n">
        <v>15</v>
      </c>
    </row>
    <row r="72" ht="15" customHeight="1">
      <c r="B72" s="4" t="inlineStr">
        <is>
          <t>4 - Equipment - Havenwood Drive - 27.5yr</t>
        </is>
      </c>
      <c r="C72" s="5" t="n">
        <v>8243</v>
      </c>
      <c r="D72" s="5" t="n">
        <v>0</v>
      </c>
      <c r="E72" s="5" t="n">
        <v>0</v>
      </c>
      <c r="F72" s="5" t="n">
        <v>1812.46</v>
      </c>
      <c r="G72" s="5" t="n">
        <v>2112.21</v>
      </c>
      <c r="H72" s="5" t="n">
        <v>6130.79</v>
      </c>
      <c r="I72" s="8" t="inlineStr">
        <is>
          <t>S/L</t>
        </is>
      </c>
      <c r="J72" s="12" t="n">
        <v>27.5</v>
      </c>
    </row>
    <row r="73" ht="15" customHeight="1">
      <c r="B73" s="6" t="inlineStr">
        <is>
          <t>Grand Total</t>
        </is>
      </c>
      <c r="C73" s="7">
        <f>SUM(C64:C72)</f>
        <v/>
      </c>
      <c r="D73" s="7">
        <f>SUM(D64:D72)</f>
        <v/>
      </c>
      <c r="E73" s="7">
        <f>SUM(E64:E72)</f>
        <v/>
      </c>
      <c r="F73" s="7">
        <f>SUM(F64:F72)</f>
        <v/>
      </c>
      <c r="G73" s="7">
        <f>SUM(G64:G72)</f>
        <v/>
      </c>
      <c r="H73" s="7">
        <f>SUM(H64:H72)</f>
        <v/>
      </c>
    </row>
    <row r="75" ht="15" customHeight="1">
      <c r="B75" s="9" t="inlineStr">
        <is>
          <t>SECTION 481(a) ADJUSTMENT</t>
        </is>
      </c>
    </row>
    <row r="76" ht="15" customHeight="1">
      <c r="B76" s="4" t="inlineStr">
        <is>
          <t>Depreciation Previously Reported</t>
        </is>
      </c>
      <c r="C76" s="13" t="n">
        <v>23971.47</v>
      </c>
    </row>
    <row r="77" ht="15" customHeight="1">
      <c r="B77" s="4" t="inlineStr">
        <is>
          <t>Cost Segregation Corrected Depreciation</t>
        </is>
      </c>
      <c r="C77" s="13" t="n">
        <v>26179.18</v>
      </c>
    </row>
    <row r="78" ht="15" customHeight="1">
      <c r="B78" s="14" t="inlineStr">
        <is>
          <t>Section 481(a) Adjustment</t>
        </is>
      </c>
      <c r="C78" s="15">
        <f>C77-C76</f>
        <v/>
      </c>
    </row>
  </sheetData>
  <mergeCells count="11">
    <mergeCell ref="B7:J7"/>
    <mergeCell ref="B3:J3"/>
    <mergeCell ref="B22:J22"/>
    <mergeCell ref="B62:J62"/>
    <mergeCell ref="B9:J9"/>
    <mergeCell ref="B1:J1"/>
    <mergeCell ref="B27:J27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6805 Sayres</t>
        </is>
      </c>
    </row>
    <row r="3" ht="15" customHeight="1">
      <c r="B3" s="8" t="inlineStr">
        <is>
          <t>6805 Sayres,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769.54</v>
      </c>
      <c r="D10" s="5" t="n">
        <v>769.54</v>
      </c>
    </row>
    <row r="11" ht="15" customHeight="1">
      <c r="B11" s="4" t="inlineStr">
        <is>
          <t xml:space="preserve">  Moldings</t>
        </is>
      </c>
      <c r="C11" s="5" t="n">
        <v>1073.38</v>
      </c>
      <c r="D11" s="5" t="n">
        <v>1073.38</v>
      </c>
    </row>
    <row r="12" ht="15" customHeight="1">
      <c r="B12" s="4" t="inlineStr">
        <is>
          <t xml:space="preserve">  Flooring - Wood Laminate</t>
        </is>
      </c>
      <c r="C12" s="5" t="n">
        <v>1525.14</v>
      </c>
      <c r="D12" s="5" t="n">
        <v>1525.14</v>
      </c>
    </row>
    <row r="13" ht="15" customHeight="1">
      <c r="B13" s="4" t="inlineStr">
        <is>
          <t xml:space="preserve">  Security System</t>
        </is>
      </c>
      <c r="C13" s="5" t="n">
        <v>391.94</v>
      </c>
      <c r="D13" s="5" t="n">
        <v>391.94</v>
      </c>
    </row>
    <row r="14" ht="15" customHeight="1">
      <c r="B14" s="4" t="inlineStr">
        <is>
          <t xml:space="preserve">  Window Treatments</t>
        </is>
      </c>
      <c r="C14" s="5" t="n">
        <v>399.45</v>
      </c>
      <c r="D14" s="5" t="n">
        <v>399.45</v>
      </c>
    </row>
    <row r="15" ht="15" customHeight="1">
      <c r="B15" s="4" t="inlineStr">
        <is>
          <t xml:space="preserve">  Specialty HVAC - Dryer Vents</t>
        </is>
      </c>
      <c r="C15" s="5" t="n">
        <v>33.34</v>
      </c>
      <c r="D15" s="5" t="n">
        <v>33.34</v>
      </c>
    </row>
    <row r="16" ht="15" customHeight="1">
      <c r="B16" s="4" t="inlineStr">
        <is>
          <t xml:space="preserve">  Building Signage</t>
        </is>
      </c>
      <c r="C16" s="5" t="n">
        <v>21.93</v>
      </c>
      <c r="D16" s="5" t="n">
        <v>21.93</v>
      </c>
    </row>
    <row r="17" ht="15" customHeight="1">
      <c r="B17" s="4" t="inlineStr">
        <is>
          <t xml:space="preserve">  Specialty Electrical - Appliances</t>
        </is>
      </c>
      <c r="C17" s="5" t="n">
        <v>569.4</v>
      </c>
      <c r="D17" s="5" t="n">
        <v>569.4</v>
      </c>
    </row>
    <row r="18" ht="15" customHeight="1">
      <c r="B18" s="4" t="inlineStr">
        <is>
          <t xml:space="preserve">  Communication / Data</t>
        </is>
      </c>
      <c r="C18" s="5" t="n">
        <v>233.79</v>
      </c>
      <c r="D18" s="5" t="n">
        <v>233.79</v>
      </c>
    </row>
    <row r="19" ht="15" customHeight="1">
      <c r="B19" s="4" t="inlineStr">
        <is>
          <t xml:space="preserve">  Specialty Plumbing - Kitchen Sink / Laundry</t>
        </is>
      </c>
      <c r="C19" s="5" t="n">
        <v>623.4400000000001</v>
      </c>
      <c r="D19" s="5" t="n">
        <v>623.4400000000001</v>
      </c>
    </row>
    <row r="20" ht="15" customHeight="1">
      <c r="B20" s="4" t="inlineStr">
        <is>
          <t xml:space="preserve">  Security / Exterior Lighting</t>
        </is>
      </c>
      <c r="C20" s="5" t="n">
        <v>123.66</v>
      </c>
      <c r="D20" s="5" t="n">
        <v>123.66</v>
      </c>
    </row>
    <row r="21" ht="15" customHeight="1">
      <c r="B21" s="4" t="inlineStr">
        <is>
          <t xml:space="preserve">  Appliances</t>
        </is>
      </c>
      <c r="C21" s="5" t="n">
        <v>624.5599999999999</v>
      </c>
      <c r="D21" s="5" t="n">
        <v>624.5599999999999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462.21</v>
      </c>
      <c r="F23" s="5" t="n">
        <v>462.21</v>
      </c>
    </row>
    <row r="24" ht="15" customHeight="1">
      <c r="B24" s="4" t="inlineStr">
        <is>
          <t xml:space="preserve">  Sidewalks / Curbs</t>
        </is>
      </c>
      <c r="C24" s="5" t="n">
        <v>179.88</v>
      </c>
      <c r="F24" s="5" t="n">
        <v>179.88</v>
      </c>
    </row>
    <row r="25" ht="15" customHeight="1">
      <c r="B25" s="4" t="inlineStr">
        <is>
          <t xml:space="preserve">  Exterior Equipment Concrete Pads</t>
        </is>
      </c>
      <c r="C25" s="5" t="n">
        <v>16.47</v>
      </c>
      <c r="F25" s="5" t="n">
        <v>16.47</v>
      </c>
    </row>
    <row r="26" ht="15" customHeight="1">
      <c r="B26" s="4" t="inlineStr">
        <is>
          <t xml:space="preserve">  Mailboxes</t>
        </is>
      </c>
      <c r="C26" s="5" t="n">
        <v>38.5</v>
      </c>
      <c r="F26" s="5" t="n">
        <v>38.5</v>
      </c>
    </row>
    <row r="27" ht="15" customHeight="1">
      <c r="B27" s="4" t="inlineStr">
        <is>
          <t xml:space="preserve">  Fence / Gate</t>
        </is>
      </c>
      <c r="C27" s="5" t="n">
        <v>23.87</v>
      </c>
      <c r="F27" s="5" t="n">
        <v>23.87</v>
      </c>
    </row>
    <row r="28" ht="15" customHeight="1">
      <c r="B28" s="11" t="inlineStr">
        <is>
          <t>Building Structure</t>
        </is>
      </c>
    </row>
    <row r="29" ht="15" customHeight="1">
      <c r="B29" s="4" t="inlineStr">
        <is>
          <t xml:space="preserve">  Roofing Systems</t>
        </is>
      </c>
      <c r="C29" s="5" t="n">
        <v>2692.77</v>
      </c>
      <c r="G29" s="5" t="n">
        <v>2692.77</v>
      </c>
    </row>
    <row r="30" ht="15" customHeight="1">
      <c r="B30" s="4" t="inlineStr">
        <is>
          <t xml:space="preserve">  Foundations</t>
        </is>
      </c>
      <c r="C30" s="5" t="n">
        <v>4528.89</v>
      </c>
      <c r="G30" s="5" t="n">
        <v>4528.89</v>
      </c>
    </row>
    <row r="31" ht="15" customHeight="1">
      <c r="B31" s="4" t="inlineStr">
        <is>
          <t xml:space="preserve">  HVAC</t>
        </is>
      </c>
      <c r="C31" s="5" t="n">
        <v>2401.76</v>
      </c>
      <c r="G31" s="5" t="n">
        <v>2401.76</v>
      </c>
    </row>
    <row r="32" ht="15" customHeight="1">
      <c r="B32" s="4" t="inlineStr">
        <is>
          <t xml:space="preserve">  Electrical</t>
        </is>
      </c>
      <c r="C32" s="5" t="n">
        <v>2545.73</v>
      </c>
      <c r="G32" s="5" t="n">
        <v>2545.73</v>
      </c>
    </row>
    <row r="33" ht="15" customHeight="1">
      <c r="B33" s="4" t="inlineStr">
        <is>
          <t xml:space="preserve">  Plumbing</t>
        </is>
      </c>
      <c r="C33" s="5" t="n">
        <v>2210.05</v>
      </c>
      <c r="G33" s="5" t="n">
        <v>2210.05</v>
      </c>
    </row>
    <row r="34" ht="15" customHeight="1">
      <c r="B34" s="4" t="inlineStr">
        <is>
          <t xml:space="preserve">  Fire Protection &amp; Alarm</t>
        </is>
      </c>
      <c r="C34" s="5" t="n">
        <v>122.94</v>
      </c>
      <c r="G34" s="5" t="n">
        <v>122.94</v>
      </c>
    </row>
    <row r="35" ht="15" customHeight="1">
      <c r="B35" s="4" t="inlineStr">
        <is>
          <t xml:space="preserve">  Exterior Façade / Building Skin</t>
        </is>
      </c>
      <c r="C35" s="5" t="n">
        <v>838.63</v>
      </c>
      <c r="G35" s="5" t="n">
        <v>838.63</v>
      </c>
    </row>
    <row r="36" ht="15" customHeight="1">
      <c r="B36" s="4" t="inlineStr">
        <is>
          <t xml:space="preserve">  Doors &amp; Frames</t>
        </is>
      </c>
      <c r="C36" s="5" t="n">
        <v>900.66</v>
      </c>
      <c r="G36" s="5" t="n">
        <v>900.66</v>
      </c>
    </row>
    <row r="37" ht="15" customHeight="1">
      <c r="B37" s="4" t="inlineStr">
        <is>
          <t xml:space="preserve">  Windows</t>
        </is>
      </c>
      <c r="C37" s="5" t="n">
        <v>776.6799999999999</v>
      </c>
      <c r="G37" s="5" t="n">
        <v>776.6799999999999</v>
      </c>
    </row>
    <row r="38" ht="15" customHeight="1">
      <c r="B38" s="4" t="inlineStr">
        <is>
          <t xml:space="preserve">  Ceiling Systems</t>
        </is>
      </c>
      <c r="C38" s="5" t="n">
        <v>1210.36</v>
      </c>
      <c r="G38" s="5" t="n">
        <v>1210.36</v>
      </c>
    </row>
    <row r="39" ht="15" customHeight="1">
      <c r="B39" s="4" t="inlineStr">
        <is>
          <t xml:space="preserve">  Interior Framing / Partitions</t>
        </is>
      </c>
      <c r="C39" s="5" t="n">
        <v>3143.48</v>
      </c>
      <c r="G39" s="5" t="n">
        <v>3143.48</v>
      </c>
    </row>
    <row r="40" ht="15" customHeight="1">
      <c r="B40" s="4" t="inlineStr">
        <is>
          <t xml:space="preserve">  Painting</t>
        </is>
      </c>
      <c r="C40" s="5" t="n">
        <v>1100.55</v>
      </c>
      <c r="G40" s="5" t="n">
        <v>1100.55</v>
      </c>
    </row>
    <row r="41" ht="15" customHeight="1">
      <c r="B41" s="4" t="inlineStr">
        <is>
          <t xml:space="preserve">  Structural Framing</t>
        </is>
      </c>
      <c r="C41" s="5" t="n">
        <v>3156.52</v>
      </c>
      <c r="G41" s="5" t="n">
        <v>3156.52</v>
      </c>
    </row>
    <row r="42" ht="15" customHeight="1">
      <c r="B42" s="4" t="inlineStr">
        <is>
          <t xml:space="preserve">  Site Utilities</t>
        </is>
      </c>
      <c r="C42" s="5" t="n">
        <v>546.5700000000001</v>
      </c>
      <c r="G42" s="5" t="n">
        <v>546.5700000000001</v>
      </c>
    </row>
    <row r="43" ht="15" customHeight="1">
      <c r="B43" s="4" t="inlineStr">
        <is>
          <t xml:space="preserve">  Bathroom Accessories</t>
        </is>
      </c>
      <c r="C43" s="5" t="n">
        <v>363.88</v>
      </c>
      <c r="G43" s="5" t="n">
        <v>363.88</v>
      </c>
    </row>
    <row r="44" ht="15" customHeight="1">
      <c r="B44" s="4" t="inlineStr">
        <is>
          <t xml:space="preserve">  Cabinets / Millwork - Restrooms</t>
        </is>
      </c>
      <c r="C44" s="5" t="n">
        <v>216.65</v>
      </c>
      <c r="G44" s="5" t="n">
        <v>216.65</v>
      </c>
    </row>
    <row r="45" ht="15" customHeight="1">
      <c r="B45" s="6" t="inlineStr">
        <is>
          <t>Total Building Cost</t>
        </is>
      </c>
      <c r="C45" s="7">
        <f>SUM(C9:C44)</f>
        <v/>
      </c>
      <c r="D45" s="7">
        <f>SUM(D9:D44)</f>
        <v/>
      </c>
      <c r="E45" s="7">
        <f>SUM(E9:E44)</f>
        <v/>
      </c>
      <c r="F45" s="7">
        <f>SUM(F9:F44)</f>
        <v/>
      </c>
      <c r="G45" s="7">
        <f>SUM(G9:G44)</f>
        <v/>
      </c>
    </row>
    <row r="46" ht="15" customHeight="1">
      <c r="B46" s="6" t="inlineStr">
        <is>
          <t>TOTALS (check)</t>
        </is>
      </c>
      <c r="C46" s="7">
        <f>SUM(C9:C44)</f>
        <v/>
      </c>
      <c r="D46" s="7">
        <f>SUM(D9:D44)</f>
        <v/>
      </c>
      <c r="E46" s="7">
        <f>SUM(E9:E44)</f>
        <v/>
      </c>
      <c r="F46" s="7">
        <f>SUM(F9:F44)</f>
        <v/>
      </c>
      <c r="G46" s="7">
        <f>SUM(G9:G44)</f>
        <v/>
      </c>
    </row>
    <row r="48" ht="15" customHeight="1">
      <c r="B48" s="9" t="inlineStr">
        <is>
          <t>ASSET ALLOCATION</t>
        </is>
      </c>
    </row>
    <row r="49" ht="15" customHeight="1">
      <c r="B49" s="10" t="inlineStr">
        <is>
          <t>Asset</t>
        </is>
      </c>
      <c r="C49" s="10" t="inlineStr">
        <is>
          <t>Total</t>
        </is>
      </c>
      <c r="D49" s="10" t="inlineStr">
        <is>
          <t>5 Year</t>
        </is>
      </c>
      <c r="E49" s="10" t="inlineStr">
        <is>
          <t>7 Year</t>
        </is>
      </c>
      <c r="F49" s="10" t="inlineStr">
        <is>
          <t>15 Year</t>
        </is>
      </c>
      <c r="G49" s="10" t="inlineStr">
        <is>
          <t>27.5 Year</t>
        </is>
      </c>
    </row>
    <row r="50" ht="15" customHeight="1">
      <c r="B50" s="4" t="inlineStr">
        <is>
          <t>Asset # 22-Land Improvements - Gentry</t>
        </is>
      </c>
      <c r="C50" s="5" t="n">
        <v>28074</v>
      </c>
      <c r="D50" s="5" t="n">
        <v>5523</v>
      </c>
      <c r="F50" s="5" t="n">
        <v>869</v>
      </c>
      <c r="G50" s="5" t="n">
        <v>21682</v>
      </c>
    </row>
    <row r="51" ht="15" customHeight="1">
      <c r="B51" s="4" t="inlineStr">
        <is>
          <t>Asset # 23-Building - Gentry</t>
        </is>
      </c>
      <c r="C51" s="5" t="n">
        <v>364960</v>
      </c>
      <c r="D51" s="5" t="n">
        <v>69490</v>
      </c>
      <c r="F51" s="5" t="n">
        <v>10913</v>
      </c>
      <c r="G51" s="5" t="n">
        <v>284557</v>
      </c>
    </row>
    <row r="52" ht="15" customHeight="1">
      <c r="B52" s="4" t="inlineStr">
        <is>
          <t>Asset # 24-Equipment - Gentry</t>
        </is>
      </c>
      <c r="C52" s="5" t="n">
        <v>74795</v>
      </c>
      <c r="D52" s="5" t="n">
        <v>14239</v>
      </c>
      <c r="F52" s="5" t="n">
        <v>2237</v>
      </c>
      <c r="G52" s="5" t="n">
        <v>58319</v>
      </c>
    </row>
    <row r="53" ht="15" customHeight="1">
      <c r="B53" s="6" t="inlineStr">
        <is>
          <t>Total Allocation:</t>
        </is>
      </c>
      <c r="C53" s="7">
        <f>SUM(C50:C52)</f>
        <v/>
      </c>
      <c r="D53" s="7">
        <f>SUM(D50:D52)</f>
        <v/>
      </c>
      <c r="E53" s="7">
        <f>SUM(E50:E52)</f>
        <v/>
      </c>
      <c r="F53" s="7">
        <f>SUM(F50:F52)</f>
        <v/>
      </c>
      <c r="G53" s="7">
        <f>SUM(G50:G52)</f>
        <v/>
      </c>
    </row>
    <row r="54" ht="15" customHeight="1">
      <c r="B54" s="6" t="inlineStr">
        <is>
          <t>TOTALS (check)</t>
        </is>
      </c>
      <c r="C54" s="7">
        <f>SUM(C50:C52)</f>
        <v/>
      </c>
      <c r="D54" s="7">
        <f>SUM(D50:D52)</f>
        <v/>
      </c>
      <c r="E54" s="7">
        <f>SUM(E50:E52)</f>
        <v/>
      </c>
      <c r="F54" s="7">
        <f>SUM(F50:F52)</f>
        <v/>
      </c>
      <c r="G54" s="7">
        <f>SUM(G50:G52)</f>
        <v/>
      </c>
    </row>
    <row r="56" ht="15" customHeight="1">
      <c r="B56" s="9" t="inlineStr">
        <is>
          <t>DEPRECIATION SCHEDULE — AS PREVIOUSLY FILED</t>
        </is>
      </c>
    </row>
    <row r="57" ht="15" customHeight="1">
      <c r="B57" s="10" t="inlineStr">
        <is>
          <t>Property Description</t>
        </is>
      </c>
      <c r="C57" s="10" t="inlineStr">
        <is>
          <t>Tax Cost</t>
        </is>
      </c>
      <c r="D57" s="10" t="inlineStr">
        <is>
          <t>Tax Bonus Amt</t>
        </is>
      </c>
      <c r="E57" s="10" t="inlineStr">
        <is>
          <t>Tax Prior Depr</t>
        </is>
      </c>
      <c r="F57" s="10" t="inlineStr">
        <is>
          <t>Tax Current Depr</t>
        </is>
      </c>
      <c r="G57" s="10" t="inlineStr">
        <is>
          <t>Tax End Depr</t>
        </is>
      </c>
      <c r="H57" s="10" t="inlineStr">
        <is>
          <t>Tax Net Book Value</t>
        </is>
      </c>
      <c r="I57" s="10" t="inlineStr">
        <is>
          <t>Tax Method</t>
        </is>
      </c>
      <c r="J57" s="10" t="inlineStr">
        <is>
          <t>Tax Period</t>
        </is>
      </c>
    </row>
    <row r="58" ht="15" customHeight="1">
      <c r="B58" s="4" t="inlineStr">
        <is>
          <t>22 - Land Improvements - Gentry</t>
        </is>
      </c>
      <c r="C58" s="5" t="n">
        <v>28074</v>
      </c>
      <c r="D58" s="5" t="n">
        <v>0</v>
      </c>
      <c r="E58" s="5" t="n">
        <v>13292.27</v>
      </c>
      <c r="F58" s="5" t="n">
        <v>1658.05</v>
      </c>
      <c r="G58" s="5" t="n">
        <v>14950.32</v>
      </c>
      <c r="H58" s="5" t="n">
        <v>13123.68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23 - Building - Gentry</t>
        </is>
      </c>
      <c r="C59" s="5" t="n">
        <v>364960</v>
      </c>
      <c r="D59" s="5" t="n">
        <v>0</v>
      </c>
      <c r="E59" s="5" t="n">
        <v>80244.59</v>
      </c>
      <c r="F59" s="5" t="n">
        <v>13271.27</v>
      </c>
      <c r="G59" s="5" t="n">
        <v>93515.86</v>
      </c>
      <c r="H59" s="5" t="n">
        <v>271444.14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24 - Equipment - Gentry</t>
        </is>
      </c>
      <c r="C60" s="5" t="n">
        <v>74795</v>
      </c>
      <c r="D60" s="5" t="n">
        <v>0</v>
      </c>
      <c r="E60" s="5" t="n">
        <v>74795</v>
      </c>
      <c r="F60" s="5" t="n">
        <v>0</v>
      </c>
      <c r="G60" s="5" t="n">
        <v>74795</v>
      </c>
      <c r="H60" s="5" t="n">
        <v>0</v>
      </c>
      <c r="I60" s="8" t="inlineStr">
        <is>
          <t>200DB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SUM(C58:C60)</f>
        <v/>
      </c>
      <c r="D61" s="7">
        <f>SUM(D58:D60)</f>
        <v/>
      </c>
      <c r="E61" s="7">
        <f>SUM(E58:E60)</f>
        <v/>
      </c>
      <c r="F61" s="7">
        <f>SUM(F58:F60)</f>
        <v/>
      </c>
      <c r="G61" s="7">
        <f>SUM(G58:G60)</f>
        <v/>
      </c>
      <c r="H61" s="7">
        <f>SUM(H58:H60)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22 - Land Improvements - Gentry - 5yr</t>
        </is>
      </c>
      <c r="C65" s="5" t="n">
        <v>5523</v>
      </c>
      <c r="D65" s="5" t="n">
        <v>0</v>
      </c>
      <c r="E65" s="5" t="n">
        <v>5523</v>
      </c>
      <c r="F65" s="5" t="n">
        <v>5523</v>
      </c>
      <c r="G65" s="5" t="n">
        <v>5523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22 - Land Improvements - Gentry - 15yr</t>
        </is>
      </c>
      <c r="C66" s="5" t="n">
        <v>869</v>
      </c>
      <c r="D66" s="5" t="n">
        <v>0</v>
      </c>
      <c r="E66" s="5" t="n">
        <v>869</v>
      </c>
      <c r="F66" s="5" t="n">
        <v>869</v>
      </c>
      <c r="G66" s="5" t="n">
        <v>869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22 - Land Improvements - Gentry - 27.5yr</t>
        </is>
      </c>
      <c r="C67" s="5" t="n">
        <v>21682</v>
      </c>
      <c r="D67" s="5" t="n">
        <v>0</v>
      </c>
      <c r="E67" s="5" t="n">
        <v>0</v>
      </c>
      <c r="F67" s="5" t="n">
        <v>4764.14</v>
      </c>
      <c r="G67" s="5" t="n">
        <v>5551.62</v>
      </c>
      <c r="H67" s="5" t="n">
        <v>16130.38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23 - Building - Gentry - 5yr</t>
        </is>
      </c>
      <c r="C68" s="5" t="n">
        <v>69490</v>
      </c>
      <c r="D68" s="5" t="n">
        <v>0</v>
      </c>
      <c r="E68" s="5" t="n">
        <v>69490</v>
      </c>
      <c r="F68" s="5" t="n">
        <v>69490</v>
      </c>
      <c r="G68" s="5" t="n">
        <v>69490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23 - Building - Gentry - 15yr</t>
        </is>
      </c>
      <c r="C69" s="5" t="n">
        <v>10913</v>
      </c>
      <c r="D69" s="5" t="n">
        <v>0</v>
      </c>
      <c r="E69" s="5" t="n">
        <v>10913</v>
      </c>
      <c r="F69" s="5" t="n">
        <v>10913</v>
      </c>
      <c r="G69" s="5" t="n">
        <v>10913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23 - Building - Gentry - 27.5yr</t>
        </is>
      </c>
      <c r="C70" s="5" t="n">
        <v>284557</v>
      </c>
      <c r="D70" s="5" t="n">
        <v>0</v>
      </c>
      <c r="E70" s="5" t="n">
        <v>0</v>
      </c>
      <c r="F70" s="5" t="n">
        <v>62552.44</v>
      </c>
      <c r="G70" s="5" t="n">
        <v>72900.16</v>
      </c>
      <c r="H70" s="5" t="n">
        <v>211656.84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24 - Equipment - Gentry - 5yr</t>
        </is>
      </c>
      <c r="C71" s="5" t="n">
        <v>14239</v>
      </c>
      <c r="D71" s="5" t="n">
        <v>0</v>
      </c>
      <c r="E71" s="5" t="n">
        <v>14239</v>
      </c>
      <c r="F71" s="5" t="n">
        <v>14239</v>
      </c>
      <c r="G71" s="5" t="n">
        <v>14239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24 - Equipment - Gentry - 15yr</t>
        </is>
      </c>
      <c r="C72" s="5" t="n">
        <v>2237</v>
      </c>
      <c r="D72" s="5" t="n">
        <v>0</v>
      </c>
      <c r="E72" s="5" t="n">
        <v>2237</v>
      </c>
      <c r="F72" s="5" t="n">
        <v>2237</v>
      </c>
      <c r="G72" s="5" t="n">
        <v>2237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24 - Equipment - Gentry - 27.5yr</t>
        </is>
      </c>
      <c r="C73" s="5" t="n">
        <v>58319</v>
      </c>
      <c r="D73" s="5" t="n">
        <v>0</v>
      </c>
      <c r="E73" s="5" t="n">
        <v>0</v>
      </c>
      <c r="F73" s="5" t="n">
        <v>12820.86</v>
      </c>
      <c r="G73" s="5" t="n">
        <v>14940.34</v>
      </c>
      <c r="H73" s="5" t="n">
        <v>43378.66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170261.18</v>
      </c>
    </row>
    <row r="78" ht="15" customHeight="1">
      <c r="B78" s="4" t="inlineStr">
        <is>
          <t>Cost Segregation Corrected Depreciation</t>
        </is>
      </c>
      <c r="C78" s="13" t="n">
        <v>185391.44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8:J28"/>
    <mergeCell ref="B22:J22"/>
    <mergeCell ref="B76:J76"/>
    <mergeCell ref="B63:J63"/>
    <mergeCell ref="B9:J9"/>
    <mergeCell ref="B1:J1"/>
    <mergeCell ref="B48:J48"/>
    <mergeCell ref="B56:J56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7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6800 Sayres</t>
        </is>
      </c>
    </row>
    <row r="3" ht="15" customHeight="1">
      <c r="B3" s="8" t="inlineStr">
        <is>
          <t>6800 Sayres,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835.76</v>
      </c>
      <c r="D10" s="5" t="n">
        <v>835.76</v>
      </c>
    </row>
    <row r="11" ht="15" customHeight="1">
      <c r="B11" s="4" t="inlineStr">
        <is>
          <t xml:space="preserve">  Moldings</t>
        </is>
      </c>
      <c r="C11" s="5" t="n">
        <v>712.35</v>
      </c>
      <c r="D11" s="5" t="n">
        <v>712.35</v>
      </c>
    </row>
    <row r="12" ht="15" customHeight="1">
      <c r="B12" s="4" t="inlineStr">
        <is>
          <t xml:space="preserve">  Flooring - Wood Laminate</t>
        </is>
      </c>
      <c r="C12" s="5" t="n">
        <v>1187.54</v>
      </c>
      <c r="D12" s="5" t="n">
        <v>1187.54</v>
      </c>
    </row>
    <row r="13" ht="15" customHeight="1">
      <c r="B13" s="4" t="inlineStr">
        <is>
          <t xml:space="preserve">  Security System</t>
        </is>
      </c>
      <c r="C13" s="5" t="n">
        <v>1052.42</v>
      </c>
      <c r="D13" s="5" t="n">
        <v>1052.42</v>
      </c>
    </row>
    <row r="14" ht="15" customHeight="1">
      <c r="B14" s="4" t="inlineStr">
        <is>
          <t xml:space="preserve">  Window Treatments</t>
        </is>
      </c>
      <c r="C14" s="5" t="n">
        <v>530.5</v>
      </c>
      <c r="D14" s="5" t="n">
        <v>530.5</v>
      </c>
    </row>
    <row r="15" ht="15" customHeight="1">
      <c r="B15" s="4" t="inlineStr">
        <is>
          <t xml:space="preserve">  Specialty HVAC - Dryer Vents</t>
        </is>
      </c>
      <c r="C15" s="5" t="n">
        <v>622.76</v>
      </c>
      <c r="D15" s="5" t="n">
        <v>622.76</v>
      </c>
    </row>
    <row r="16" ht="15" customHeight="1">
      <c r="B16" s="4" t="inlineStr">
        <is>
          <t xml:space="preserve">  Building Signage</t>
        </is>
      </c>
      <c r="C16" s="5" t="n">
        <v>33.34</v>
      </c>
      <c r="D16" s="5" t="n">
        <v>33.34</v>
      </c>
    </row>
    <row r="17" ht="15" customHeight="1">
      <c r="B17" s="4" t="inlineStr">
        <is>
          <t xml:space="preserve">  Specialty Electrical - Appliances</t>
        </is>
      </c>
      <c r="C17" s="5" t="n">
        <v>21.93</v>
      </c>
      <c r="D17" s="5" t="n">
        <v>21.93</v>
      </c>
    </row>
    <row r="18" ht="15" customHeight="1">
      <c r="B18" s="4" t="inlineStr">
        <is>
          <t xml:space="preserve">  Communication / Data</t>
        </is>
      </c>
      <c r="C18" s="5" t="n">
        <v>569.4</v>
      </c>
      <c r="D18" s="5" t="n">
        <v>569.4</v>
      </c>
    </row>
    <row r="19" ht="15" customHeight="1">
      <c r="B19" s="4" t="inlineStr">
        <is>
          <t xml:space="preserve">  Specialty Plumbing - Kitchen Sink / Laundry</t>
        </is>
      </c>
      <c r="C19" s="5" t="n">
        <v>284.9</v>
      </c>
      <c r="D19" s="5" t="n">
        <v>284.9</v>
      </c>
    </row>
    <row r="20" ht="15" customHeight="1">
      <c r="B20" s="4" t="inlineStr">
        <is>
          <t xml:space="preserve">  Security / Exterior Lighting</t>
        </is>
      </c>
      <c r="C20" s="5" t="n">
        <v>623.4400000000001</v>
      </c>
      <c r="D20" s="5" t="n">
        <v>623.4400000000001</v>
      </c>
    </row>
    <row r="21" ht="15" customHeight="1">
      <c r="B21" s="4" t="inlineStr">
        <is>
          <t xml:space="preserve">  Appliances</t>
        </is>
      </c>
      <c r="C21" s="5" t="n">
        <v>123.66</v>
      </c>
      <c r="D21" s="5" t="n">
        <v>123.66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669.91</v>
      </c>
      <c r="F23" s="5" t="n">
        <v>669.91</v>
      </c>
    </row>
    <row r="24" ht="15" customHeight="1">
      <c r="B24" s="4" t="inlineStr">
        <is>
          <t xml:space="preserve">  Sidewalks / Curbs</t>
        </is>
      </c>
      <c r="C24" s="5" t="n">
        <v>276.49</v>
      </c>
      <c r="F24" s="5" t="n">
        <v>276.49</v>
      </c>
    </row>
    <row r="25" ht="15" customHeight="1">
      <c r="B25" s="4" t="inlineStr">
        <is>
          <t xml:space="preserve">  Exterior Equipment Concrete Pads</t>
        </is>
      </c>
      <c r="C25" s="5" t="n">
        <v>16.47</v>
      </c>
      <c r="F25" s="5" t="n">
        <v>16.47</v>
      </c>
    </row>
    <row r="26" ht="15" customHeight="1">
      <c r="B26" s="4" t="inlineStr">
        <is>
          <t xml:space="preserve">  Mailboxes</t>
        </is>
      </c>
      <c r="C26" s="5" t="n">
        <v>38.5</v>
      </c>
      <c r="F26" s="5" t="n">
        <v>38.5</v>
      </c>
    </row>
    <row r="27" ht="15" customHeight="1">
      <c r="B27" s="4" t="inlineStr">
        <is>
          <t xml:space="preserve">  Fence / Gate</t>
        </is>
      </c>
      <c r="C27" s="5" t="n">
        <v>23.87</v>
      </c>
      <c r="F27" s="5" t="n">
        <v>23.87</v>
      </c>
    </row>
    <row r="28" ht="15" customHeight="1">
      <c r="B28" s="11" t="inlineStr">
        <is>
          <t>Building Structure</t>
        </is>
      </c>
    </row>
    <row r="29" ht="15" customHeight="1">
      <c r="B29" s="4" t="inlineStr">
        <is>
          <t xml:space="preserve">  Roofing Systems</t>
        </is>
      </c>
      <c r="C29" s="5" t="n">
        <v>1690.23</v>
      </c>
      <c r="G29" s="5" t="n">
        <v>1690.23</v>
      </c>
    </row>
    <row r="30" ht="15" customHeight="1">
      <c r="B30" s="4" t="inlineStr">
        <is>
          <t xml:space="preserve">  Foundations</t>
        </is>
      </c>
      <c r="C30" s="5" t="n">
        <v>2714.92</v>
      </c>
      <c r="G30" s="5" t="n">
        <v>2714.92</v>
      </c>
    </row>
    <row r="31" ht="15" customHeight="1">
      <c r="B31" s="4" t="inlineStr">
        <is>
          <t xml:space="preserve">  HVAC</t>
        </is>
      </c>
      <c r="C31" s="5" t="n">
        <v>2934.13</v>
      </c>
      <c r="G31" s="5" t="n">
        <v>2934.13</v>
      </c>
    </row>
    <row r="32" ht="15" customHeight="1">
      <c r="B32" s="4" t="inlineStr">
        <is>
          <t xml:space="preserve">  Electrical</t>
        </is>
      </c>
      <c r="C32" s="5" t="n">
        <v>2545.73</v>
      </c>
      <c r="G32" s="5" t="n">
        <v>2545.73</v>
      </c>
    </row>
    <row r="33" ht="15" customHeight="1">
      <c r="B33" s="4" t="inlineStr">
        <is>
          <t xml:space="preserve">  Plumbing</t>
        </is>
      </c>
      <c r="C33" s="5" t="n">
        <v>2210.05</v>
      </c>
      <c r="G33" s="5" t="n">
        <v>2210.05</v>
      </c>
    </row>
    <row r="34" ht="15" customHeight="1">
      <c r="B34" s="4" t="inlineStr">
        <is>
          <t xml:space="preserve">  Fire Protection &amp; Alarm</t>
        </is>
      </c>
      <c r="C34" s="5" t="n">
        <v>122.94</v>
      </c>
      <c r="G34" s="5" t="n">
        <v>122.94</v>
      </c>
    </row>
    <row r="35" ht="15" customHeight="1">
      <c r="B35" s="4" t="inlineStr">
        <is>
          <t xml:space="preserve">  Exterior Façade / Building Skin</t>
        </is>
      </c>
      <c r="C35" s="5" t="n">
        <v>838.63</v>
      </c>
      <c r="G35" s="5" t="n">
        <v>838.63</v>
      </c>
    </row>
    <row r="36" ht="15" customHeight="1">
      <c r="B36" s="4" t="inlineStr">
        <is>
          <t xml:space="preserve">  Doors &amp; Frames</t>
        </is>
      </c>
      <c r="C36" s="5" t="n">
        <v>900.66</v>
      </c>
      <c r="G36" s="5" t="n">
        <v>900.66</v>
      </c>
    </row>
    <row r="37" ht="15" customHeight="1">
      <c r="B37" s="4" t="inlineStr">
        <is>
          <t xml:space="preserve">  Windows</t>
        </is>
      </c>
      <c r="C37" s="5" t="n">
        <v>776.6799999999999</v>
      </c>
      <c r="G37" s="5" t="n">
        <v>776.6799999999999</v>
      </c>
    </row>
    <row r="38" ht="15" customHeight="1">
      <c r="B38" s="4" t="inlineStr">
        <is>
          <t xml:space="preserve">  Ceiling Systems</t>
        </is>
      </c>
      <c r="C38" s="5" t="n">
        <v>1210.36</v>
      </c>
      <c r="G38" s="5" t="n">
        <v>1210.36</v>
      </c>
    </row>
    <row r="39" ht="15" customHeight="1">
      <c r="B39" s="4" t="inlineStr">
        <is>
          <t xml:space="preserve">  Interior Framing / Partitions</t>
        </is>
      </c>
      <c r="C39" s="5" t="n">
        <v>3143.48</v>
      </c>
      <c r="G39" s="5" t="n">
        <v>3143.48</v>
      </c>
    </row>
    <row r="40" ht="15" customHeight="1">
      <c r="B40" s="4" t="inlineStr">
        <is>
          <t xml:space="preserve">  Painting</t>
        </is>
      </c>
      <c r="C40" s="5" t="n">
        <v>1100.55</v>
      </c>
      <c r="G40" s="5" t="n">
        <v>1100.55</v>
      </c>
    </row>
    <row r="41" ht="15" customHeight="1">
      <c r="B41" s="4" t="inlineStr">
        <is>
          <t xml:space="preserve">  Structural Framing</t>
        </is>
      </c>
      <c r="C41" s="5" t="n">
        <v>3156.52</v>
      </c>
      <c r="G41" s="5" t="n">
        <v>3156.52</v>
      </c>
    </row>
    <row r="42" ht="15" customHeight="1">
      <c r="B42" s="4" t="inlineStr">
        <is>
          <t xml:space="preserve">  Site Utilities</t>
        </is>
      </c>
      <c r="C42" s="5" t="n">
        <v>546.5700000000001</v>
      </c>
      <c r="G42" s="5" t="n">
        <v>546.5700000000001</v>
      </c>
    </row>
    <row r="43" ht="15" customHeight="1">
      <c r="B43" s="4" t="inlineStr">
        <is>
          <t xml:space="preserve">  Bathroom Accessories</t>
        </is>
      </c>
      <c r="C43" s="5" t="n">
        <v>363.88</v>
      </c>
      <c r="G43" s="5" t="n">
        <v>363.88</v>
      </c>
    </row>
    <row r="44" ht="15" customHeight="1">
      <c r="B44" s="4" t="inlineStr">
        <is>
          <t xml:space="preserve">  Cabinets / Millwork - Restrooms</t>
        </is>
      </c>
      <c r="C44" s="5" t="n">
        <v>216.65</v>
      </c>
      <c r="G44" s="5" t="n">
        <v>216.65</v>
      </c>
    </row>
    <row r="45" ht="15" customHeight="1">
      <c r="B45" s="6" t="inlineStr">
        <is>
          <t>Total Building Cost</t>
        </is>
      </c>
      <c r="C45" s="7">
        <f>SUM(C9:C44)</f>
        <v/>
      </c>
      <c r="D45" s="7">
        <f>SUM(D9:D44)</f>
        <v/>
      </c>
      <c r="E45" s="7">
        <f>SUM(E9:E44)</f>
        <v/>
      </c>
      <c r="F45" s="7">
        <f>SUM(F9:F44)</f>
        <v/>
      </c>
      <c r="G45" s="7">
        <f>SUM(G9:G44)</f>
        <v/>
      </c>
    </row>
    <row r="46" ht="15" customHeight="1">
      <c r="B46" s="6" t="inlineStr">
        <is>
          <t>TOTALS (check)</t>
        </is>
      </c>
      <c r="C46" s="7">
        <f>SUM(C9:C44)</f>
        <v/>
      </c>
      <c r="D46" s="7">
        <f>SUM(D9:D44)</f>
        <v/>
      </c>
      <c r="E46" s="7">
        <f>SUM(E9:E44)</f>
        <v/>
      </c>
      <c r="F46" s="7">
        <f>SUM(F9:F44)</f>
        <v/>
      </c>
      <c r="G46" s="7">
        <f>SUM(G9:G44)</f>
        <v/>
      </c>
    </row>
    <row r="48" ht="15" customHeight="1">
      <c r="B48" s="9" t="inlineStr">
        <is>
          <t>ASSET ALLOCATION</t>
        </is>
      </c>
    </row>
    <row r="49" ht="15" customHeight="1">
      <c r="B49" s="10" t="inlineStr">
        <is>
          <t>Asset</t>
        </is>
      </c>
      <c r="C49" s="10" t="inlineStr">
        <is>
          <t>Total</t>
        </is>
      </c>
      <c r="D49" s="10" t="inlineStr">
        <is>
          <t>5 Year</t>
        </is>
      </c>
      <c r="E49" s="10" t="inlineStr">
        <is>
          <t>7 Year</t>
        </is>
      </c>
      <c r="F49" s="10" t="inlineStr">
        <is>
          <t>15 Year</t>
        </is>
      </c>
      <c r="G49" s="10" t="inlineStr">
        <is>
          <t>27.5 Year</t>
        </is>
      </c>
    </row>
    <row r="50" ht="15" customHeight="1">
      <c r="B50" s="4" t="inlineStr">
        <is>
          <t>Asset # 22-Land Improvements - Gentry</t>
        </is>
      </c>
      <c r="C50" s="5" t="n">
        <v>5264</v>
      </c>
      <c r="D50" s="5" t="n">
        <v>1035</v>
      </c>
      <c r="F50" s="5" t="n">
        <v>163</v>
      </c>
      <c r="G50" s="5" t="n">
        <v>4066</v>
      </c>
    </row>
    <row r="51" ht="15" customHeight="1">
      <c r="B51" s="4" t="inlineStr">
        <is>
          <t>Asset # 23-Building - Gentry</t>
        </is>
      </c>
      <c r="C51" s="5" t="n">
        <v>68430</v>
      </c>
      <c r="D51" s="5" t="n">
        <v>13028</v>
      </c>
      <c r="F51" s="5" t="n">
        <v>2046</v>
      </c>
      <c r="G51" s="5" t="n">
        <v>53356</v>
      </c>
    </row>
    <row r="52" ht="15" customHeight="1">
      <c r="B52" s="4" t="inlineStr">
        <is>
          <t>Asset # 24-Equipment - Gentry</t>
        </is>
      </c>
      <c r="C52" s="5" t="n">
        <v>14022</v>
      </c>
      <c r="D52" s="5" t="n">
        <v>2669</v>
      </c>
      <c r="F52" s="5" t="n">
        <v>419</v>
      </c>
      <c r="G52" s="5" t="n">
        <v>10934</v>
      </c>
    </row>
    <row r="53" ht="15" customHeight="1">
      <c r="B53" s="6" t="inlineStr">
        <is>
          <t>Total Allocation:</t>
        </is>
      </c>
      <c r="C53" s="7">
        <f>SUM(C50:C52)</f>
        <v/>
      </c>
      <c r="D53" s="7">
        <f>SUM(D50:D52)</f>
        <v/>
      </c>
      <c r="E53" s="7">
        <f>SUM(E50:E52)</f>
        <v/>
      </c>
      <c r="F53" s="7">
        <f>SUM(F50:F52)</f>
        <v/>
      </c>
      <c r="G53" s="7">
        <f>SUM(G50:G52)</f>
        <v/>
      </c>
    </row>
    <row r="54" ht="15" customHeight="1">
      <c r="B54" s="6" t="inlineStr">
        <is>
          <t>TOTALS (check)</t>
        </is>
      </c>
      <c r="C54" s="7">
        <f>SUM(C50:C52)</f>
        <v/>
      </c>
      <c r="D54" s="7">
        <f>SUM(D50:D52)</f>
        <v/>
      </c>
      <c r="E54" s="7">
        <f>SUM(E50:E52)</f>
        <v/>
      </c>
      <c r="F54" s="7">
        <f>SUM(F50:F52)</f>
        <v/>
      </c>
      <c r="G54" s="7">
        <f>SUM(G50:G52)</f>
        <v/>
      </c>
    </row>
    <row r="56" ht="15" customHeight="1">
      <c r="B56" s="9" t="inlineStr">
        <is>
          <t>DEPRECIATION SCHEDULE — AS PREVIOUSLY FILED</t>
        </is>
      </c>
    </row>
    <row r="57" ht="15" customHeight="1">
      <c r="B57" s="10" t="inlineStr">
        <is>
          <t>Property Description</t>
        </is>
      </c>
      <c r="C57" s="10" t="inlineStr">
        <is>
          <t>Tax Cost</t>
        </is>
      </c>
      <c r="D57" s="10" t="inlineStr">
        <is>
          <t>Tax Bonus Amt</t>
        </is>
      </c>
      <c r="E57" s="10" t="inlineStr">
        <is>
          <t>Tax Prior Depr</t>
        </is>
      </c>
      <c r="F57" s="10" t="inlineStr">
        <is>
          <t>Tax Current Depr</t>
        </is>
      </c>
      <c r="G57" s="10" t="inlineStr">
        <is>
          <t>Tax End Depr</t>
        </is>
      </c>
      <c r="H57" s="10" t="inlineStr">
        <is>
          <t>Tax Net Book Value</t>
        </is>
      </c>
      <c r="I57" s="10" t="inlineStr">
        <is>
          <t>Tax Method</t>
        </is>
      </c>
      <c r="J57" s="10" t="inlineStr">
        <is>
          <t>Tax Period</t>
        </is>
      </c>
    </row>
    <row r="58" ht="15" customHeight="1">
      <c r="B58" s="4" t="inlineStr">
        <is>
          <t>22 - Land Improvements - Gentry</t>
        </is>
      </c>
      <c r="C58" s="5" t="n">
        <v>5264</v>
      </c>
      <c r="D58" s="5" t="n">
        <v>0</v>
      </c>
      <c r="E58" s="5" t="n">
        <v>2492.56</v>
      </c>
      <c r="F58" s="5" t="n">
        <v>310.88</v>
      </c>
      <c r="G58" s="5" t="n">
        <v>2803.44</v>
      </c>
      <c r="H58" s="5" t="n">
        <v>2460.56</v>
      </c>
      <c r="I58" s="8" t="inlineStr">
        <is>
          <t>150DB</t>
        </is>
      </c>
      <c r="J58" s="12" t="n">
        <v>15</v>
      </c>
    </row>
    <row r="59" ht="15" customHeight="1">
      <c r="B59" s="4" t="inlineStr">
        <is>
          <t>23 - Building - Gentry</t>
        </is>
      </c>
      <c r="C59" s="5" t="n">
        <v>68430</v>
      </c>
      <c r="D59" s="5" t="n">
        <v>0</v>
      </c>
      <c r="E59" s="5" t="n">
        <v>15045.57</v>
      </c>
      <c r="F59" s="5" t="n">
        <v>2488.36</v>
      </c>
      <c r="G59" s="5" t="n">
        <v>17533.93</v>
      </c>
      <c r="H59" s="5" t="n">
        <v>50896.07</v>
      </c>
      <c r="I59" s="8" t="inlineStr">
        <is>
          <t>S/L</t>
        </is>
      </c>
      <c r="J59" s="12" t="n">
        <v>27.5</v>
      </c>
    </row>
    <row r="60" ht="15" customHeight="1">
      <c r="B60" s="4" t="inlineStr">
        <is>
          <t>24 - Equipment - Gentry</t>
        </is>
      </c>
      <c r="C60" s="5" t="n">
        <v>14022</v>
      </c>
      <c r="D60" s="5" t="n">
        <v>0</v>
      </c>
      <c r="E60" s="5" t="n">
        <v>14022</v>
      </c>
      <c r="F60" s="5" t="n">
        <v>0</v>
      </c>
      <c r="G60" s="5" t="n">
        <v>14022</v>
      </c>
      <c r="H60" s="5" t="n">
        <v>0</v>
      </c>
      <c r="I60" s="8" t="inlineStr">
        <is>
          <t>200DB</t>
        </is>
      </c>
      <c r="J60" s="12" t="n">
        <v>5</v>
      </c>
    </row>
    <row r="61" ht="15" customHeight="1">
      <c r="B61" s="6" t="inlineStr">
        <is>
          <t>Grand Total</t>
        </is>
      </c>
      <c r="C61" s="7">
        <f>SUM(C58:C60)</f>
        <v/>
      </c>
      <c r="D61" s="7">
        <f>SUM(D58:D60)</f>
        <v/>
      </c>
      <c r="E61" s="7">
        <f>SUM(E58:E60)</f>
        <v/>
      </c>
      <c r="F61" s="7">
        <f>SUM(F58:F60)</f>
        <v/>
      </c>
      <c r="G61" s="7">
        <f>SUM(G58:G60)</f>
        <v/>
      </c>
      <c r="H61" s="7">
        <f>SUM(H58:H60)</f>
        <v/>
      </c>
    </row>
    <row r="63" ht="15" customHeight="1">
      <c r="B63" s="9" t="inlineStr">
        <is>
          <t>DEPRECIATION SCHEDULE — AFTER COST SEGREGATION CORRECTION</t>
        </is>
      </c>
    </row>
    <row r="64" ht="15" customHeight="1">
      <c r="B64" s="10" t="inlineStr">
        <is>
          <t>Property Description</t>
        </is>
      </c>
      <c r="C64" s="10" t="inlineStr">
        <is>
          <t>Tax Cost</t>
        </is>
      </c>
      <c r="D64" s="10" t="inlineStr">
        <is>
          <t>Tax Bonus Amt</t>
        </is>
      </c>
      <c r="E64" s="10" t="inlineStr">
        <is>
          <t>Tax Prior Depr</t>
        </is>
      </c>
      <c r="F64" s="10" t="inlineStr">
        <is>
          <t>Tax Current Depr</t>
        </is>
      </c>
      <c r="G64" s="10" t="inlineStr">
        <is>
          <t>Tax End Depr</t>
        </is>
      </c>
      <c r="H64" s="10" t="inlineStr">
        <is>
          <t>Tax Net Book Value</t>
        </is>
      </c>
      <c r="I64" s="10" t="inlineStr">
        <is>
          <t>Tax Method</t>
        </is>
      </c>
      <c r="J64" s="10" t="inlineStr">
        <is>
          <t>Tax Period</t>
        </is>
      </c>
    </row>
    <row r="65" ht="15" customHeight="1">
      <c r="B65" s="4" t="inlineStr">
        <is>
          <t>22 - Land Improvements - Gentry - 5yr</t>
        </is>
      </c>
      <c r="C65" s="5" t="n">
        <v>1035</v>
      </c>
      <c r="D65" s="5" t="n">
        <v>0</v>
      </c>
      <c r="E65" s="5" t="n">
        <v>1035</v>
      </c>
      <c r="F65" s="5" t="n">
        <v>1035</v>
      </c>
      <c r="G65" s="5" t="n">
        <v>1035</v>
      </c>
      <c r="H65" s="5" t="n">
        <v>0</v>
      </c>
      <c r="I65" s="8" t="inlineStr">
        <is>
          <t>200DB</t>
        </is>
      </c>
      <c r="J65" s="12" t="n">
        <v>5</v>
      </c>
    </row>
    <row r="66" ht="15" customHeight="1">
      <c r="B66" s="4" t="inlineStr">
        <is>
          <t>22 - Land Improvements - Gentry - 15yr</t>
        </is>
      </c>
      <c r="C66" s="5" t="n">
        <v>163</v>
      </c>
      <c r="D66" s="5" t="n">
        <v>0</v>
      </c>
      <c r="E66" s="5" t="n">
        <v>163</v>
      </c>
      <c r="F66" s="5" t="n">
        <v>163</v>
      </c>
      <c r="G66" s="5" t="n">
        <v>163</v>
      </c>
      <c r="H66" s="5" t="n">
        <v>0</v>
      </c>
      <c r="I66" s="8" t="inlineStr">
        <is>
          <t>150DB</t>
        </is>
      </c>
      <c r="J66" s="12" t="n">
        <v>15</v>
      </c>
    </row>
    <row r="67" ht="15" customHeight="1">
      <c r="B67" s="4" t="inlineStr">
        <is>
          <t>22 - Land Improvements - Gentry - 27.5yr</t>
        </is>
      </c>
      <c r="C67" s="5" t="n">
        <v>4066</v>
      </c>
      <c r="D67" s="5" t="n">
        <v>0</v>
      </c>
      <c r="E67" s="5" t="n">
        <v>0</v>
      </c>
      <c r="F67" s="5" t="n">
        <v>893.52</v>
      </c>
      <c r="G67" s="5" t="n">
        <v>1041.18</v>
      </c>
      <c r="H67" s="5" t="n">
        <v>3024.82</v>
      </c>
      <c r="I67" s="8" t="inlineStr">
        <is>
          <t>S/L</t>
        </is>
      </c>
      <c r="J67" s="12" t="n">
        <v>27.5</v>
      </c>
    </row>
    <row r="68" ht="15" customHeight="1">
      <c r="B68" s="4" t="inlineStr">
        <is>
          <t>23 - Building - Gentry - 5yr</t>
        </is>
      </c>
      <c r="C68" s="5" t="n">
        <v>13028</v>
      </c>
      <c r="D68" s="5" t="n">
        <v>0</v>
      </c>
      <c r="E68" s="5" t="n">
        <v>13028</v>
      </c>
      <c r="F68" s="5" t="n">
        <v>13028</v>
      </c>
      <c r="G68" s="5" t="n">
        <v>13028</v>
      </c>
      <c r="H68" s="5" t="n">
        <v>0</v>
      </c>
      <c r="I68" s="8" t="inlineStr">
        <is>
          <t>200DB</t>
        </is>
      </c>
      <c r="J68" s="12" t="n">
        <v>5</v>
      </c>
    </row>
    <row r="69" ht="15" customHeight="1">
      <c r="B69" s="4" t="inlineStr">
        <is>
          <t>23 - Building - Gentry - 15yr</t>
        </is>
      </c>
      <c r="C69" s="5" t="n">
        <v>2046</v>
      </c>
      <c r="D69" s="5" t="n">
        <v>0</v>
      </c>
      <c r="E69" s="5" t="n">
        <v>2046</v>
      </c>
      <c r="F69" s="5" t="n">
        <v>2046</v>
      </c>
      <c r="G69" s="5" t="n">
        <v>2046</v>
      </c>
      <c r="H69" s="5" t="n">
        <v>0</v>
      </c>
      <c r="I69" s="8" t="inlineStr">
        <is>
          <t>150DB</t>
        </is>
      </c>
      <c r="J69" s="12" t="n">
        <v>15</v>
      </c>
    </row>
    <row r="70" ht="15" customHeight="1">
      <c r="B70" s="4" t="inlineStr">
        <is>
          <t>23 - Building - Gentry - 27.5yr</t>
        </is>
      </c>
      <c r="C70" s="5" t="n">
        <v>53356</v>
      </c>
      <c r="D70" s="5" t="n">
        <v>0</v>
      </c>
      <c r="E70" s="5" t="n">
        <v>0</v>
      </c>
      <c r="F70" s="5" t="n">
        <v>11729.38</v>
      </c>
      <c r="G70" s="5" t="n">
        <v>13673.73</v>
      </c>
      <c r="H70" s="5" t="n">
        <v>39682.27</v>
      </c>
      <c r="I70" s="8" t="inlineStr">
        <is>
          <t>S/L</t>
        </is>
      </c>
      <c r="J70" s="12" t="n">
        <v>27.5</v>
      </c>
    </row>
    <row r="71" ht="15" customHeight="1">
      <c r="B71" s="4" t="inlineStr">
        <is>
          <t>24 - Equipment - Gentry - 5yr</t>
        </is>
      </c>
      <c r="C71" s="5" t="n">
        <v>2669</v>
      </c>
      <c r="D71" s="5" t="n">
        <v>0</v>
      </c>
      <c r="E71" s="5" t="n">
        <v>2669</v>
      </c>
      <c r="F71" s="5" t="n">
        <v>2669</v>
      </c>
      <c r="G71" s="5" t="n">
        <v>2669</v>
      </c>
      <c r="H71" s="5" t="n">
        <v>0</v>
      </c>
      <c r="I71" s="8" t="inlineStr">
        <is>
          <t>200DB</t>
        </is>
      </c>
      <c r="J71" s="12" t="n">
        <v>5</v>
      </c>
    </row>
    <row r="72" ht="15" customHeight="1">
      <c r="B72" s="4" t="inlineStr">
        <is>
          <t>24 - Equipment - Gentry - 15yr</t>
        </is>
      </c>
      <c r="C72" s="5" t="n">
        <v>419</v>
      </c>
      <c r="D72" s="5" t="n">
        <v>0</v>
      </c>
      <c r="E72" s="5" t="n">
        <v>419</v>
      </c>
      <c r="F72" s="5" t="n">
        <v>419</v>
      </c>
      <c r="G72" s="5" t="n">
        <v>419</v>
      </c>
      <c r="H72" s="5" t="n">
        <v>0</v>
      </c>
      <c r="I72" s="8" t="inlineStr">
        <is>
          <t>150DB</t>
        </is>
      </c>
      <c r="J72" s="12" t="n">
        <v>15</v>
      </c>
    </row>
    <row r="73" ht="15" customHeight="1">
      <c r="B73" s="4" t="inlineStr">
        <is>
          <t>24 - Equipment - Gentry - 27.5yr</t>
        </is>
      </c>
      <c r="C73" s="5" t="n">
        <v>10934</v>
      </c>
      <c r="D73" s="5" t="n">
        <v>0</v>
      </c>
      <c r="E73" s="5" t="n">
        <v>0</v>
      </c>
      <c r="F73" s="5" t="n">
        <v>2403.49</v>
      </c>
      <c r="G73" s="5" t="n">
        <v>2801.14</v>
      </c>
      <c r="H73" s="5" t="n">
        <v>8132.86</v>
      </c>
      <c r="I73" s="8" t="inlineStr">
        <is>
          <t>S/L</t>
        </is>
      </c>
      <c r="J73" s="12" t="n">
        <v>27.5</v>
      </c>
    </row>
    <row r="74" ht="15" customHeight="1">
      <c r="B74" s="6" t="inlineStr">
        <is>
          <t>Grand Total</t>
        </is>
      </c>
      <c r="C74" s="7">
        <f>SUM(C65:C73)</f>
        <v/>
      </c>
      <c r="D74" s="7">
        <f>SUM(D65:D73)</f>
        <v/>
      </c>
      <c r="E74" s="7">
        <f>SUM(E65:E73)</f>
        <v/>
      </c>
      <c r="F74" s="7">
        <f>SUM(F65:F73)</f>
        <v/>
      </c>
      <c r="G74" s="7">
        <f>SUM(G65:G73)</f>
        <v/>
      </c>
      <c r="H74" s="7">
        <f>SUM(H65:H73)</f>
        <v/>
      </c>
    </row>
    <row r="76" ht="15" customHeight="1">
      <c r="B76" s="9" t="inlineStr">
        <is>
          <t>SECTION 481(a) ADJUSTMENT</t>
        </is>
      </c>
    </row>
    <row r="77" ht="15" customHeight="1">
      <c r="B77" s="4" t="inlineStr">
        <is>
          <t>Depreciation Previously Reported</t>
        </is>
      </c>
      <c r="C77" s="13" t="n">
        <v>31921.5</v>
      </c>
    </row>
    <row r="78" ht="15" customHeight="1">
      <c r="B78" s="4" t="inlineStr">
        <is>
          <t>Cost Segregation Corrected Depreciation</t>
        </is>
      </c>
      <c r="C78" s="13" t="n">
        <v>34748.57</v>
      </c>
    </row>
    <row r="79" ht="15" customHeight="1">
      <c r="B79" s="14" t="inlineStr">
        <is>
          <t>Section 481(a) Adjustment</t>
        </is>
      </c>
      <c r="C79" s="15">
        <f>C78-C77</f>
        <v/>
      </c>
    </row>
  </sheetData>
  <mergeCells count="11">
    <mergeCell ref="B7:J7"/>
    <mergeCell ref="B3:J3"/>
    <mergeCell ref="B28:J28"/>
    <mergeCell ref="B22:J22"/>
    <mergeCell ref="B76:J76"/>
    <mergeCell ref="B63:J63"/>
    <mergeCell ref="B9:J9"/>
    <mergeCell ref="B1:J1"/>
    <mergeCell ref="B48:J48"/>
    <mergeCell ref="B56:J56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8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7112 Kayla Ct</t>
        </is>
      </c>
    </row>
    <row r="3" ht="15" customHeight="1">
      <c r="B3" s="8" t="inlineStr">
        <is>
          <t>7112 Kayla Ct,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1253.18</v>
      </c>
      <c r="D10" s="5" t="n">
        <v>1253.18</v>
      </c>
    </row>
    <row r="11" ht="15" customHeight="1">
      <c r="B11" s="4" t="inlineStr">
        <is>
          <t xml:space="preserve">  Moldings</t>
        </is>
      </c>
      <c r="C11" s="5" t="n">
        <v>1025.1</v>
      </c>
      <c r="D11" s="5" t="n">
        <v>1025.1</v>
      </c>
    </row>
    <row r="12" ht="15" customHeight="1">
      <c r="B12" s="4" t="inlineStr">
        <is>
          <t xml:space="preserve">  Flooring - Wood Laminate</t>
        </is>
      </c>
      <c r="C12" s="5" t="n">
        <v>1949.87</v>
      </c>
      <c r="D12" s="5" t="n">
        <v>1949.87</v>
      </c>
    </row>
    <row r="13" ht="15" customHeight="1">
      <c r="B13" s="4" t="inlineStr">
        <is>
          <t xml:space="preserve">  Security System</t>
        </is>
      </c>
      <c r="C13" s="5" t="n">
        <v>539.2</v>
      </c>
      <c r="D13" s="5" t="n">
        <v>539.2</v>
      </c>
    </row>
    <row r="14" ht="15" customHeight="1">
      <c r="B14" s="4" t="inlineStr">
        <is>
          <t xml:space="preserve">  Window Treatments</t>
        </is>
      </c>
      <c r="C14" s="5" t="n">
        <v>392.2</v>
      </c>
      <c r="D14" s="5" t="n">
        <v>392.2</v>
      </c>
    </row>
    <row r="15" ht="15" customHeight="1">
      <c r="B15" s="4" t="inlineStr">
        <is>
          <t xml:space="preserve">  Specialty HVAC - Dryer Vents</t>
        </is>
      </c>
      <c r="C15" s="5" t="n">
        <v>33.89</v>
      </c>
      <c r="D15" s="5" t="n">
        <v>33.89</v>
      </c>
    </row>
    <row r="16" ht="15" customHeight="1">
      <c r="B16" s="4" t="inlineStr">
        <is>
          <t xml:space="preserve">  Building Signage</t>
        </is>
      </c>
      <c r="C16" s="5" t="n">
        <v>22.29</v>
      </c>
      <c r="D16" s="5" t="n">
        <v>22.29</v>
      </c>
    </row>
    <row r="17" ht="15" customHeight="1">
      <c r="B17" s="4" t="inlineStr">
        <is>
          <t xml:space="preserve">  Specialty Electrical - Appliances</t>
        </is>
      </c>
      <c r="C17" s="5" t="n">
        <v>578.78</v>
      </c>
      <c r="D17" s="5" t="n">
        <v>578.78</v>
      </c>
    </row>
    <row r="18" ht="15" customHeight="1">
      <c r="B18" s="4" t="inlineStr">
        <is>
          <t xml:space="preserve">  Communication / Data</t>
        </is>
      </c>
      <c r="C18" s="5" t="n">
        <v>255.33</v>
      </c>
      <c r="D18" s="5" t="n">
        <v>255.33</v>
      </c>
    </row>
    <row r="19" ht="15" customHeight="1">
      <c r="B19" s="4" t="inlineStr">
        <is>
          <t xml:space="preserve">  Specialty Plumbing - Kitchen Sink / Laundry</t>
        </is>
      </c>
      <c r="C19" s="5" t="n">
        <v>633.66</v>
      </c>
      <c r="D19" s="5" t="n">
        <v>633.66</v>
      </c>
    </row>
    <row r="20" ht="15" customHeight="1">
      <c r="B20" s="4" t="inlineStr">
        <is>
          <t xml:space="preserve">  Security / Exterior Lighting</t>
        </is>
      </c>
      <c r="C20" s="5" t="n">
        <v>125.71</v>
      </c>
      <c r="D20" s="5" t="n">
        <v>125.71</v>
      </c>
    </row>
    <row r="21" ht="15" customHeight="1">
      <c r="B21" s="4" t="inlineStr">
        <is>
          <t xml:space="preserve">  Appliances</t>
        </is>
      </c>
      <c r="C21" s="5" t="n">
        <v>634.8200000000001</v>
      </c>
      <c r="D21" s="5" t="n">
        <v>634.8200000000001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440.5</v>
      </c>
      <c r="F23" s="5" t="n">
        <v>440.5</v>
      </c>
    </row>
    <row r="24" ht="15" customHeight="1">
      <c r="B24" s="4" t="inlineStr">
        <is>
          <t xml:space="preserve">  Sidewalks / Curbs</t>
        </is>
      </c>
      <c r="C24" s="5" t="n">
        <v>159.55</v>
      </c>
      <c r="F24" s="5" t="n">
        <v>159.55</v>
      </c>
    </row>
    <row r="25" ht="15" customHeight="1">
      <c r="B25" s="4" t="inlineStr">
        <is>
          <t xml:space="preserve">  Exterior Equipment Concrete Pads</t>
        </is>
      </c>
      <c r="C25" s="5" t="n">
        <v>39.13</v>
      </c>
      <c r="F25" s="5" t="n">
        <v>39.13</v>
      </c>
    </row>
    <row r="26" ht="15" customHeight="1">
      <c r="B26" s="4" t="inlineStr">
        <is>
          <t xml:space="preserve">  Mailboxes</t>
        </is>
      </c>
      <c r="C26" s="5" t="n">
        <v>24.26</v>
      </c>
      <c r="F26" s="5" t="n">
        <v>24.26</v>
      </c>
    </row>
    <row r="27" ht="15" customHeight="1">
      <c r="B27" s="11" t="inlineStr">
        <is>
          <t>Building Structure</t>
        </is>
      </c>
    </row>
    <row r="28" ht="15" customHeight="1">
      <c r="B28" s="4" t="inlineStr">
        <is>
          <t xml:space="preserve">  Roofing Systems</t>
        </is>
      </c>
      <c r="C28" s="5" t="n">
        <v>2834.33</v>
      </c>
      <c r="G28" s="5" t="n">
        <v>2834.33</v>
      </c>
    </row>
    <row r="29" ht="15" customHeight="1">
      <c r="B29" s="4" t="inlineStr">
        <is>
          <t xml:space="preserve">  Foundations</t>
        </is>
      </c>
      <c r="C29" s="5" t="n">
        <v>5611.36</v>
      </c>
      <c r="G29" s="5" t="n">
        <v>5611.36</v>
      </c>
    </row>
    <row r="30" ht="15" customHeight="1">
      <c r="B30" s="4" t="inlineStr">
        <is>
          <t xml:space="preserve">  HVAC</t>
        </is>
      </c>
      <c r="C30" s="5" t="n">
        <v>2625.61</v>
      </c>
      <c r="G30" s="5" t="n">
        <v>2625.61</v>
      </c>
    </row>
    <row r="31" ht="15" customHeight="1">
      <c r="B31" s="4" t="inlineStr">
        <is>
          <t xml:space="preserve">  Electrical</t>
        </is>
      </c>
      <c r="C31" s="5" t="n">
        <v>2802.9</v>
      </c>
      <c r="G31" s="5" t="n">
        <v>2802.9</v>
      </c>
    </row>
    <row r="32" ht="15" customHeight="1">
      <c r="B32" s="4" t="inlineStr">
        <is>
          <t xml:space="preserve">  Plumbing</t>
        </is>
      </c>
      <c r="C32" s="5" t="n">
        <v>2311.88</v>
      </c>
      <c r="G32" s="5" t="n">
        <v>2311.88</v>
      </c>
    </row>
    <row r="33" ht="15" customHeight="1">
      <c r="B33" s="4" t="inlineStr">
        <is>
          <t xml:space="preserve">  Fire Protection &amp; Alarm</t>
        </is>
      </c>
      <c r="C33" s="5" t="n">
        <v>135.25</v>
      </c>
      <c r="G33" s="5" t="n">
        <v>135.25</v>
      </c>
    </row>
    <row r="34" ht="15" customHeight="1">
      <c r="B34" s="4" t="inlineStr">
        <is>
          <t xml:space="preserve">  Exterior Façade / Building Skin</t>
        </is>
      </c>
      <c r="C34" s="5" t="n">
        <v>2244.42</v>
      </c>
      <c r="G34" s="5" t="n">
        <v>2244.42</v>
      </c>
    </row>
    <row r="35" ht="15" customHeight="1">
      <c r="B35" s="4" t="inlineStr">
        <is>
          <t xml:space="preserve">  Doors &amp; Frames</t>
        </is>
      </c>
      <c r="C35" s="5" t="n">
        <v>1579.74</v>
      </c>
      <c r="G35" s="5" t="n">
        <v>1579.74</v>
      </c>
    </row>
    <row r="36" ht="15" customHeight="1">
      <c r="B36" s="4" t="inlineStr">
        <is>
          <t xml:space="preserve">  Windows</t>
        </is>
      </c>
      <c r="C36" s="5" t="n">
        <v>1728.69</v>
      </c>
      <c r="G36" s="5" t="n">
        <v>1728.69</v>
      </c>
    </row>
    <row r="37" ht="15" customHeight="1">
      <c r="B37" s="4" t="inlineStr">
        <is>
          <t xml:space="preserve">  Ceiling Systems</t>
        </is>
      </c>
      <c r="C37" s="5" t="n">
        <v>1362.6</v>
      </c>
      <c r="G37" s="5" t="n">
        <v>1362.6</v>
      </c>
    </row>
    <row r="38" ht="15" customHeight="1">
      <c r="B38" s="4" t="inlineStr">
        <is>
          <t xml:space="preserve">  Interior Framing / Partitions</t>
        </is>
      </c>
      <c r="C38" s="5" t="n">
        <v>4921.02</v>
      </c>
      <c r="G38" s="5" t="n">
        <v>4921.02</v>
      </c>
    </row>
    <row r="39" ht="15" customHeight="1">
      <c r="B39" s="4" t="inlineStr">
        <is>
          <t xml:space="preserve">  Painting</t>
        </is>
      </c>
      <c r="C39" s="5" t="n">
        <v>1576.54</v>
      </c>
      <c r="G39" s="5" t="n">
        <v>1576.54</v>
      </c>
    </row>
    <row r="40" ht="15" customHeight="1">
      <c r="B40" s="4" t="inlineStr">
        <is>
          <t xml:space="preserve">  Structural Framing</t>
        </is>
      </c>
      <c r="C40" s="5" t="n">
        <v>5014.17</v>
      </c>
      <c r="G40" s="5" t="n">
        <v>5014.17</v>
      </c>
    </row>
    <row r="41" ht="15" customHeight="1">
      <c r="B41" s="4" t="inlineStr">
        <is>
          <t xml:space="preserve">  Site Utilities</t>
        </is>
      </c>
      <c r="C41" s="5" t="n">
        <v>380.3</v>
      </c>
      <c r="G41" s="5" t="n">
        <v>380.3</v>
      </c>
    </row>
    <row r="42" ht="15" customHeight="1">
      <c r="B42" s="4" t="inlineStr">
        <is>
          <t xml:space="preserve">  Garage Doors</t>
        </is>
      </c>
      <c r="C42" s="5" t="n">
        <v>446.76</v>
      </c>
      <c r="G42" s="5" t="n">
        <v>446.76</v>
      </c>
    </row>
    <row r="43" ht="15" customHeight="1">
      <c r="B43" s="4" t="inlineStr">
        <is>
          <t xml:space="preserve">  Flooring - Sealed Concrete</t>
        </is>
      </c>
      <c r="C43" s="5" t="n">
        <v>59.17</v>
      </c>
      <c r="G43" s="5" t="n">
        <v>59.17</v>
      </c>
    </row>
    <row r="44" ht="15" customHeight="1">
      <c r="B44" s="4" t="inlineStr">
        <is>
          <t xml:space="preserve">  Bathroom Accessories</t>
        </is>
      </c>
      <c r="C44" s="5" t="n">
        <v>526.09</v>
      </c>
      <c r="G44" s="5" t="n">
        <v>526.09</v>
      </c>
    </row>
    <row r="45" ht="15" customHeight="1">
      <c r="B45" s="4" t="inlineStr">
        <is>
          <t xml:space="preserve">  Cabinets / Millwork - Restrooms</t>
        </is>
      </c>
      <c r="C45" s="5" t="n">
        <v>311.62</v>
      </c>
      <c r="G45" s="5" t="n">
        <v>311.62</v>
      </c>
    </row>
    <row r="46" ht="15" customHeight="1">
      <c r="B46" s="6" t="inlineStr">
        <is>
          <t>Total Building Cost</t>
        </is>
      </c>
      <c r="C46" s="7">
        <f>SUM(C9:C45)</f>
        <v/>
      </c>
      <c r="D46" s="7">
        <f>SUM(D9:D45)</f>
        <v/>
      </c>
      <c r="E46" s="7">
        <f>SUM(E9:E45)</f>
        <v/>
      </c>
      <c r="F46" s="7">
        <f>SUM(F9:F45)</f>
        <v/>
      </c>
      <c r="G46" s="7">
        <f>SUM(G9:G45)</f>
        <v/>
      </c>
    </row>
    <row r="47" ht="15" customHeight="1">
      <c r="B47" s="6" t="inlineStr">
        <is>
          <t>TOTALS (check)</t>
        </is>
      </c>
      <c r="C47" s="7">
        <f>SUM(C9:C45)</f>
        <v/>
      </c>
      <c r="D47" s="7">
        <f>SUM(D9:D45)</f>
        <v/>
      </c>
      <c r="E47" s="7">
        <f>SUM(E9:E45)</f>
        <v/>
      </c>
      <c r="F47" s="7">
        <f>SUM(F9:F45)</f>
        <v/>
      </c>
      <c r="G47" s="7">
        <f>SUM(G9:G45)</f>
        <v/>
      </c>
    </row>
    <row r="49" ht="15" customHeight="1">
      <c r="B49" s="9" t="inlineStr">
        <is>
          <t>ASSET ALLOCATION</t>
        </is>
      </c>
    </row>
    <row r="50" ht="15" customHeight="1">
      <c r="B50" s="10" t="inlineStr">
        <is>
          <t>Asset</t>
        </is>
      </c>
      <c r="C50" s="10" t="inlineStr">
        <is>
          <t>Total</t>
        </is>
      </c>
      <c r="D50" s="10" t="inlineStr">
        <is>
          <t>5 Year</t>
        </is>
      </c>
      <c r="E50" s="10" t="inlineStr">
        <is>
          <t>7 Year</t>
        </is>
      </c>
      <c r="F50" s="10" t="inlineStr">
        <is>
          <t>15 Year</t>
        </is>
      </c>
      <c r="G50" s="10" t="inlineStr">
        <is>
          <t>27.5 Year</t>
        </is>
      </c>
    </row>
    <row r="51" ht="15" customHeight="1">
      <c r="B51" s="4" t="inlineStr">
        <is>
          <t>Asset # 7-Land Improvements - Kayla Court</t>
        </is>
      </c>
      <c r="C51" s="5" t="n">
        <v>20557</v>
      </c>
      <c r="D51" s="5" t="n">
        <v>4046</v>
      </c>
      <c r="F51" s="5" t="n">
        <v>636</v>
      </c>
      <c r="G51" s="5" t="n">
        <v>15875</v>
      </c>
    </row>
    <row r="52" ht="15" customHeight="1">
      <c r="B52" s="4" t="inlineStr">
        <is>
          <t>Asset # 8-Building - Kayla Court</t>
        </is>
      </c>
      <c r="C52" s="5" t="n">
        <v>267321</v>
      </c>
      <c r="D52" s="5" t="n">
        <v>50921</v>
      </c>
      <c r="F52" s="5" t="n">
        <v>7998</v>
      </c>
      <c r="G52" s="5" t="n">
        <v>208402</v>
      </c>
    </row>
    <row r="53" ht="15" customHeight="1">
      <c r="B53" s="4" t="inlineStr">
        <is>
          <t>Asset # 9-Equipment - Kayla Court</t>
        </is>
      </c>
      <c r="C53" s="5" t="n">
        <v>54836</v>
      </c>
      <c r="D53" s="5" t="n">
        <v>10443</v>
      </c>
      <c r="F53" s="5" t="n">
        <v>1640</v>
      </c>
      <c r="G53" s="5" t="n">
        <v>42753</v>
      </c>
    </row>
    <row r="54" ht="15" customHeight="1">
      <c r="B54" s="6" t="inlineStr">
        <is>
          <t>Total Allocation:</t>
        </is>
      </c>
      <c r="C54" s="7">
        <f>SUM(C51:C53)</f>
        <v/>
      </c>
      <c r="D54" s="7">
        <f>SUM(D51:D53)</f>
        <v/>
      </c>
      <c r="E54" s="7">
        <f>SUM(E51:E53)</f>
        <v/>
      </c>
      <c r="F54" s="7">
        <f>SUM(F51:F53)</f>
        <v/>
      </c>
      <c r="G54" s="7">
        <f>SUM(G51:G53)</f>
        <v/>
      </c>
    </row>
    <row r="55" ht="15" customHeight="1">
      <c r="B55" s="6" t="inlineStr">
        <is>
          <t>TOTALS (check)</t>
        </is>
      </c>
      <c r="C55" s="7">
        <f>SUM(C51:C53)</f>
        <v/>
      </c>
      <c r="D55" s="7">
        <f>SUM(D51:D53)</f>
        <v/>
      </c>
      <c r="E55" s="7">
        <f>SUM(E51:E53)</f>
        <v/>
      </c>
      <c r="F55" s="7">
        <f>SUM(F51:F53)</f>
        <v/>
      </c>
      <c r="G55" s="7">
        <f>SUM(G51:G53)</f>
        <v/>
      </c>
    </row>
    <row r="57" ht="15" customHeight="1">
      <c r="B57" s="9" t="inlineStr">
        <is>
          <t>DEPRECIATION SCHEDULE — AS PREVIOUSLY FILED</t>
        </is>
      </c>
    </row>
    <row r="58" ht="15" customHeight="1">
      <c r="B58" s="10" t="inlineStr">
        <is>
          <t>Property Description</t>
        </is>
      </c>
      <c r="C58" s="10" t="inlineStr">
        <is>
          <t>Tax Cost</t>
        </is>
      </c>
      <c r="D58" s="10" t="inlineStr">
        <is>
          <t>Tax Bonus Amt</t>
        </is>
      </c>
      <c r="E58" s="10" t="inlineStr">
        <is>
          <t>Tax Prior Depr</t>
        </is>
      </c>
      <c r="F58" s="10" t="inlineStr">
        <is>
          <t>Tax Current Depr</t>
        </is>
      </c>
      <c r="G58" s="10" t="inlineStr">
        <is>
          <t>Tax End Depr</t>
        </is>
      </c>
      <c r="H58" s="10" t="inlineStr">
        <is>
          <t>Tax Net Book Value</t>
        </is>
      </c>
      <c r="I58" s="10" t="inlineStr">
        <is>
          <t>Tax Method</t>
        </is>
      </c>
      <c r="J58" s="10" t="inlineStr">
        <is>
          <t>Tax Period</t>
        </is>
      </c>
    </row>
    <row r="59" ht="15" customHeight="1">
      <c r="B59" s="4" t="inlineStr">
        <is>
          <t>7 - Land Improvements - Kayla Court</t>
        </is>
      </c>
      <c r="C59" s="5" t="n">
        <v>20557</v>
      </c>
      <c r="D59" s="5" t="n">
        <v>0</v>
      </c>
      <c r="E59" s="5" t="n">
        <v>9733.209999999999</v>
      </c>
      <c r="F59" s="5" t="n">
        <v>1214.1</v>
      </c>
      <c r="G59" s="5" t="n">
        <v>10947.31</v>
      </c>
      <c r="H59" s="5" t="n">
        <v>9609.690000000001</v>
      </c>
      <c r="I59" s="8" t="inlineStr">
        <is>
          <t>150DB</t>
        </is>
      </c>
      <c r="J59" s="12" t="n">
        <v>15</v>
      </c>
    </row>
    <row r="60" ht="15" customHeight="1">
      <c r="B60" s="4" t="inlineStr">
        <is>
          <t>8 - Building - Kayla Court</t>
        </is>
      </c>
      <c r="C60" s="5" t="n">
        <v>267321</v>
      </c>
      <c r="D60" s="5" t="n">
        <v>0</v>
      </c>
      <c r="E60" s="5" t="n">
        <v>58766.25</v>
      </c>
      <c r="F60" s="5" t="n">
        <v>9720.76</v>
      </c>
      <c r="G60" s="5" t="n">
        <v>68487.00999999999</v>
      </c>
      <c r="H60" s="5" t="n">
        <v>198833.99</v>
      </c>
      <c r="I60" s="8" t="inlineStr">
        <is>
          <t>S/L</t>
        </is>
      </c>
      <c r="J60" s="12" t="n">
        <v>27.5</v>
      </c>
    </row>
    <row r="61" ht="15" customHeight="1">
      <c r="B61" s="4" t="inlineStr">
        <is>
          <t>9 - Equipment - Kayla Court</t>
        </is>
      </c>
      <c r="C61" s="5" t="n">
        <v>54836</v>
      </c>
      <c r="D61" s="5" t="n">
        <v>0</v>
      </c>
      <c r="E61" s="5" t="n">
        <v>54836</v>
      </c>
      <c r="F61" s="5" t="n">
        <v>0</v>
      </c>
      <c r="G61" s="5" t="n">
        <v>54836</v>
      </c>
      <c r="H61" s="5" t="n">
        <v>0</v>
      </c>
      <c r="I61" s="8" t="inlineStr">
        <is>
          <t>200DB</t>
        </is>
      </c>
      <c r="J61" s="12" t="n">
        <v>5</v>
      </c>
    </row>
    <row r="62" ht="15" customHeight="1">
      <c r="B62" s="6" t="inlineStr">
        <is>
          <t>Grand Total</t>
        </is>
      </c>
      <c r="C62" s="7">
        <f>SUM(C59:C61)</f>
        <v/>
      </c>
      <c r="D62" s="7">
        <f>SUM(D59:D61)</f>
        <v/>
      </c>
      <c r="E62" s="7">
        <f>SUM(E59:E61)</f>
        <v/>
      </c>
      <c r="F62" s="7">
        <f>SUM(F59:F61)</f>
        <v/>
      </c>
      <c r="G62" s="7">
        <f>SUM(G59:G61)</f>
        <v/>
      </c>
      <c r="H62" s="7">
        <f>SUM(H59:H61)</f>
        <v/>
      </c>
    </row>
    <row r="64" ht="15" customHeight="1">
      <c r="B64" s="9" t="inlineStr">
        <is>
          <t>DEPRECIATION SCHEDULE — AFTER COST SEGREGATION CORRECTION</t>
        </is>
      </c>
    </row>
    <row r="65" ht="15" customHeight="1">
      <c r="B65" s="10" t="inlineStr">
        <is>
          <t>Property Description</t>
        </is>
      </c>
      <c r="C65" s="10" t="inlineStr">
        <is>
          <t>Tax Cost</t>
        </is>
      </c>
      <c r="D65" s="10" t="inlineStr">
        <is>
          <t>Tax Bonus Amt</t>
        </is>
      </c>
      <c r="E65" s="10" t="inlineStr">
        <is>
          <t>Tax Prior Depr</t>
        </is>
      </c>
      <c r="F65" s="10" t="inlineStr">
        <is>
          <t>Tax Current Depr</t>
        </is>
      </c>
      <c r="G65" s="10" t="inlineStr">
        <is>
          <t>Tax End Depr</t>
        </is>
      </c>
      <c r="H65" s="10" t="inlineStr">
        <is>
          <t>Tax Net Book Value</t>
        </is>
      </c>
      <c r="I65" s="10" t="inlineStr">
        <is>
          <t>Tax Method</t>
        </is>
      </c>
      <c r="J65" s="10" t="inlineStr">
        <is>
          <t>Tax Period</t>
        </is>
      </c>
    </row>
    <row r="66" ht="15" customHeight="1">
      <c r="B66" s="4" t="inlineStr">
        <is>
          <t>7 - Land Improvements - Kayla Court - 5yr</t>
        </is>
      </c>
      <c r="C66" s="5" t="n">
        <v>4046</v>
      </c>
      <c r="D66" s="5" t="n">
        <v>0</v>
      </c>
      <c r="E66" s="5" t="n">
        <v>4046</v>
      </c>
      <c r="F66" s="5" t="n">
        <v>4046</v>
      </c>
      <c r="G66" s="5" t="n">
        <v>4046</v>
      </c>
      <c r="H66" s="5" t="n">
        <v>0</v>
      </c>
      <c r="I66" s="8" t="inlineStr">
        <is>
          <t>200DB</t>
        </is>
      </c>
      <c r="J66" s="12" t="n">
        <v>5</v>
      </c>
    </row>
    <row r="67" ht="15" customHeight="1">
      <c r="B67" s="4" t="inlineStr">
        <is>
          <t>7 - Land Improvements - Kayla Court - 15yr</t>
        </is>
      </c>
      <c r="C67" s="5" t="n">
        <v>636</v>
      </c>
      <c r="D67" s="5" t="n">
        <v>0</v>
      </c>
      <c r="E67" s="5" t="n">
        <v>636</v>
      </c>
      <c r="F67" s="5" t="n">
        <v>636</v>
      </c>
      <c r="G67" s="5" t="n">
        <v>636</v>
      </c>
      <c r="H67" s="5" t="n">
        <v>0</v>
      </c>
      <c r="I67" s="8" t="inlineStr">
        <is>
          <t>150DB</t>
        </is>
      </c>
      <c r="J67" s="12" t="n">
        <v>15</v>
      </c>
    </row>
    <row r="68" ht="15" customHeight="1">
      <c r="B68" s="4" t="inlineStr">
        <is>
          <t>7 - Land Improvements - Kayla Court - 27.5yr</t>
        </is>
      </c>
      <c r="C68" s="5" t="n">
        <v>15875</v>
      </c>
      <c r="D68" s="5" t="n">
        <v>0</v>
      </c>
      <c r="E68" s="5" t="n">
        <v>0</v>
      </c>
      <c r="F68" s="5" t="n">
        <v>3489.04</v>
      </c>
      <c r="G68" s="5" t="n">
        <v>4065.53</v>
      </c>
      <c r="H68" s="5" t="n">
        <v>11809.47</v>
      </c>
      <c r="I68" s="8" t="inlineStr">
        <is>
          <t>S/L</t>
        </is>
      </c>
      <c r="J68" s="12" t="n">
        <v>27.5</v>
      </c>
    </row>
    <row r="69" ht="15" customHeight="1">
      <c r="B69" s="4" t="inlineStr">
        <is>
          <t>8 - Building - Kayla Court - 5yr</t>
        </is>
      </c>
      <c r="C69" s="5" t="n">
        <v>50921</v>
      </c>
      <c r="D69" s="5" t="n">
        <v>0</v>
      </c>
      <c r="E69" s="5" t="n">
        <v>50921</v>
      </c>
      <c r="F69" s="5" t="n">
        <v>50921</v>
      </c>
      <c r="G69" s="5" t="n">
        <v>50921</v>
      </c>
      <c r="H69" s="5" t="n">
        <v>0</v>
      </c>
      <c r="I69" s="8" t="inlineStr">
        <is>
          <t>200DB</t>
        </is>
      </c>
      <c r="J69" s="12" t="n">
        <v>5</v>
      </c>
    </row>
    <row r="70" ht="15" customHeight="1">
      <c r="B70" s="4" t="inlineStr">
        <is>
          <t>8 - Building - Kayla Court - 15yr</t>
        </is>
      </c>
      <c r="C70" s="5" t="n">
        <v>7998</v>
      </c>
      <c r="D70" s="5" t="n">
        <v>0</v>
      </c>
      <c r="E70" s="5" t="n">
        <v>7998</v>
      </c>
      <c r="F70" s="5" t="n">
        <v>7998</v>
      </c>
      <c r="G70" s="5" t="n">
        <v>7998</v>
      </c>
      <c r="H70" s="5" t="n">
        <v>0</v>
      </c>
      <c r="I70" s="8" t="inlineStr">
        <is>
          <t>150DB</t>
        </is>
      </c>
      <c r="J70" s="12" t="n">
        <v>15</v>
      </c>
    </row>
    <row r="71" ht="15" customHeight="1">
      <c r="B71" s="4" t="inlineStr">
        <is>
          <t>8 - Building - Kayla Court - 27.5yr</t>
        </is>
      </c>
      <c r="C71" s="5" t="n">
        <v>208402</v>
      </c>
      <c r="D71" s="5" t="n">
        <v>0</v>
      </c>
      <c r="E71" s="5" t="n">
        <v>0</v>
      </c>
      <c r="F71" s="5" t="n">
        <v>45813.48</v>
      </c>
      <c r="G71" s="5" t="n">
        <v>53393.37</v>
      </c>
      <c r="H71" s="5" t="n">
        <v>155008.63</v>
      </c>
      <c r="I71" s="8" t="inlineStr">
        <is>
          <t>S/L</t>
        </is>
      </c>
      <c r="J71" s="12" t="n">
        <v>27.5</v>
      </c>
    </row>
    <row r="72" ht="15" customHeight="1">
      <c r="B72" s="4" t="inlineStr">
        <is>
          <t>9 - Equipment - Kayla Court - 5yr</t>
        </is>
      </c>
      <c r="C72" s="5" t="n">
        <v>10443</v>
      </c>
      <c r="D72" s="5" t="n">
        <v>0</v>
      </c>
      <c r="E72" s="5" t="n">
        <v>10443</v>
      </c>
      <c r="F72" s="5" t="n">
        <v>10443</v>
      </c>
      <c r="G72" s="5" t="n">
        <v>10443</v>
      </c>
      <c r="H72" s="5" t="n">
        <v>0</v>
      </c>
      <c r="I72" s="8" t="inlineStr">
        <is>
          <t>200DB</t>
        </is>
      </c>
      <c r="J72" s="12" t="n">
        <v>5</v>
      </c>
    </row>
    <row r="73" ht="15" customHeight="1">
      <c r="B73" s="4" t="inlineStr">
        <is>
          <t>9 - Equipment - Kayla Court - 15yr</t>
        </is>
      </c>
      <c r="C73" s="5" t="n">
        <v>1640</v>
      </c>
      <c r="D73" s="5" t="n">
        <v>0</v>
      </c>
      <c r="E73" s="5" t="n">
        <v>1640</v>
      </c>
      <c r="F73" s="5" t="n">
        <v>1640</v>
      </c>
      <c r="G73" s="5" t="n">
        <v>1640</v>
      </c>
      <c r="H73" s="5" t="n">
        <v>0</v>
      </c>
      <c r="I73" s="8" t="inlineStr">
        <is>
          <t>150DB</t>
        </is>
      </c>
      <c r="J73" s="12" t="n">
        <v>15</v>
      </c>
    </row>
    <row r="74" ht="15" customHeight="1">
      <c r="B74" s="4" t="inlineStr">
        <is>
          <t>9 - Equipment - Kayla Court - 27.5yr</t>
        </is>
      </c>
      <c r="C74" s="5" t="n">
        <v>42753</v>
      </c>
      <c r="D74" s="5" t="n">
        <v>0</v>
      </c>
      <c r="E74" s="5" t="n">
        <v>0</v>
      </c>
      <c r="F74" s="5" t="n">
        <v>9397.469999999999</v>
      </c>
      <c r="G74" s="5" t="n">
        <v>10952.37</v>
      </c>
      <c r="H74" s="5" t="n">
        <v>31800.63</v>
      </c>
      <c r="I74" s="8" t="inlineStr">
        <is>
          <t>S/L</t>
        </is>
      </c>
      <c r="J74" s="12" t="n">
        <v>27.5</v>
      </c>
    </row>
    <row r="75" ht="15" customHeight="1">
      <c r="B75" s="6" t="inlineStr">
        <is>
          <t>Grand Total</t>
        </is>
      </c>
      <c r="C75" s="7">
        <f>SUM(C66:C74)</f>
        <v/>
      </c>
      <c r="D75" s="7">
        <f>SUM(D66:D74)</f>
        <v/>
      </c>
      <c r="E75" s="7">
        <f>SUM(E66:E74)</f>
        <v/>
      </c>
      <c r="F75" s="7">
        <f>SUM(F66:F74)</f>
        <v/>
      </c>
      <c r="G75" s="7">
        <f>SUM(G66:G74)</f>
        <v/>
      </c>
      <c r="H75" s="7">
        <f>SUM(H66:H74)</f>
        <v/>
      </c>
    </row>
    <row r="77" ht="15" customHeight="1">
      <c r="B77" s="9" t="inlineStr">
        <is>
          <t>SECTION 481(a) ADJUSTMENT</t>
        </is>
      </c>
    </row>
    <row r="78" ht="15" customHeight="1">
      <c r="B78" s="4" t="inlineStr">
        <is>
          <t>Depreciation Previously Reported</t>
        </is>
      </c>
      <c r="C78" s="13" t="n">
        <v>124935.32</v>
      </c>
    </row>
    <row r="79" ht="15" customHeight="1">
      <c r="B79" s="4" t="inlineStr">
        <is>
          <t>Cost Segregation Corrected Depreciation</t>
        </is>
      </c>
      <c r="C79" s="13" t="n">
        <v>136299.87</v>
      </c>
    </row>
    <row r="80" ht="15" customHeight="1">
      <c r="B80" s="14" t="inlineStr">
        <is>
          <t>Section 481(a) Adjustment</t>
        </is>
      </c>
      <c r="C80" s="15">
        <f>C79-C78</f>
        <v/>
      </c>
    </row>
  </sheetData>
  <mergeCells count="11">
    <mergeCell ref="B7:J7"/>
    <mergeCell ref="B3:J3"/>
    <mergeCell ref="B22:J22"/>
    <mergeCell ref="B9:J9"/>
    <mergeCell ref="B1:J1"/>
    <mergeCell ref="B27:J27"/>
    <mergeCell ref="B49:J49"/>
    <mergeCell ref="B57:J57"/>
    <mergeCell ref="B77:J77"/>
    <mergeCell ref="B2:J2"/>
    <mergeCell ref="B64:J6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5" customHeight="1">
      <c r="B1" s="1" t="inlineStr">
        <is>
          <t>Marrero 3 LP</t>
        </is>
      </c>
    </row>
    <row r="2" ht="15" customHeight="1">
      <c r="B2" s="1" t="inlineStr">
        <is>
          <t>7141 Kayla Ct</t>
        </is>
      </c>
    </row>
    <row r="3" ht="15" customHeight="1">
      <c r="B3" s="8" t="inlineStr">
        <is>
          <t>7141 Kayla Ct, Marrero, LA 70072</t>
        </is>
      </c>
    </row>
    <row r="4" ht="15" customHeight="1">
      <c r="B4" s="4" t="inlineStr">
        <is>
          <t>82-2324040</t>
        </is>
      </c>
    </row>
    <row r="5" ht="15" customHeight="1">
      <c r="B5" s="4" t="inlineStr">
        <is>
          <t>FYE: 12/31/2024</t>
        </is>
      </c>
    </row>
    <row r="7" ht="15" customHeight="1">
      <c r="B7" s="9" t="inlineStr">
        <is>
          <t>COMPONENT COST BREAKDOWN</t>
        </is>
      </c>
    </row>
    <row r="8" ht="15" customHeight="1">
      <c r="B8" s="10" t="inlineStr">
        <is>
          <t>Component</t>
        </is>
      </c>
      <c r="C8" s="10" t="inlineStr">
        <is>
          <t>Total Cost</t>
        </is>
      </c>
      <c r="D8" s="10" t="inlineStr">
        <is>
          <t>5 Year</t>
        </is>
      </c>
      <c r="E8" s="10" t="inlineStr">
        <is>
          <t>7 Year</t>
        </is>
      </c>
      <c r="F8" s="10" t="inlineStr">
        <is>
          <t>15 Year</t>
        </is>
      </c>
      <c r="G8" s="10" t="inlineStr">
        <is>
          <t>27.5 Year</t>
        </is>
      </c>
    </row>
    <row r="9" ht="15" customHeight="1">
      <c r="B9" s="11" t="inlineStr">
        <is>
          <t>Building Components</t>
        </is>
      </c>
    </row>
    <row r="10" ht="15" customHeight="1">
      <c r="B10" s="4" t="inlineStr">
        <is>
          <t xml:space="preserve">  Cabinets / Millwork</t>
        </is>
      </c>
      <c r="C10" s="5" t="n">
        <v>1224.05</v>
      </c>
      <c r="D10" s="5" t="n">
        <v>1224.05</v>
      </c>
    </row>
    <row r="11" ht="15" customHeight="1">
      <c r="B11" s="4" t="inlineStr">
        <is>
          <t xml:space="preserve">  Moldings</t>
        </is>
      </c>
      <c r="C11" s="5" t="n">
        <v>1003.14</v>
      </c>
      <c r="D11" s="5" t="n">
        <v>1003.14</v>
      </c>
    </row>
    <row r="12" ht="15" customHeight="1">
      <c r="B12" s="4" t="inlineStr">
        <is>
          <t xml:space="preserve">  Flooring - Wood Laminate</t>
        </is>
      </c>
      <c r="C12" s="5" t="n">
        <v>1894.04</v>
      </c>
      <c r="D12" s="5" t="n">
        <v>1894.04</v>
      </c>
    </row>
    <row r="13" ht="15" customHeight="1">
      <c r="B13" s="4" t="inlineStr">
        <is>
          <t xml:space="preserve">  Security System</t>
        </is>
      </c>
      <c r="C13" s="5" t="n">
        <v>398.36</v>
      </c>
      <c r="D13" s="5" t="n">
        <v>398.36</v>
      </c>
    </row>
    <row r="14" ht="15" customHeight="1">
      <c r="B14" s="4" t="inlineStr">
        <is>
          <t xml:space="preserve">  Window Treatments</t>
        </is>
      </c>
      <c r="C14" s="5" t="n">
        <v>254.6</v>
      </c>
      <c r="D14" s="5" t="n">
        <v>254.6</v>
      </c>
    </row>
    <row r="15" ht="15" customHeight="1">
      <c r="B15" s="4" t="inlineStr">
        <is>
          <t xml:space="preserve">  Specialty HVAC - Dryer Vents</t>
        </is>
      </c>
      <c r="C15" s="5" t="n">
        <v>33.89</v>
      </c>
      <c r="D15" s="5" t="n">
        <v>33.89</v>
      </c>
    </row>
    <row r="16" ht="15" customHeight="1">
      <c r="B16" s="4" t="inlineStr">
        <is>
          <t xml:space="preserve">  Building Signage</t>
        </is>
      </c>
      <c r="C16" s="5" t="n">
        <v>22.29</v>
      </c>
      <c r="D16" s="5" t="n">
        <v>22.29</v>
      </c>
    </row>
    <row r="17" ht="15" customHeight="1">
      <c r="B17" s="4" t="inlineStr">
        <is>
          <t xml:space="preserve">  Specialty Electrical - Appliances</t>
        </is>
      </c>
      <c r="C17" s="5" t="n">
        <v>578.78</v>
      </c>
      <c r="D17" s="5" t="n">
        <v>578.78</v>
      </c>
    </row>
    <row r="18" ht="15" customHeight="1">
      <c r="B18" s="4" t="inlineStr">
        <is>
          <t xml:space="preserve">  Communication / Data</t>
        </is>
      </c>
      <c r="C18" s="5" t="n">
        <v>248.02</v>
      </c>
      <c r="D18" s="5" t="n">
        <v>248.02</v>
      </c>
    </row>
    <row r="19" ht="15" customHeight="1">
      <c r="B19" s="4" t="inlineStr">
        <is>
          <t xml:space="preserve">  Specialty Plumbing - Kitchen Sink / Laundry</t>
        </is>
      </c>
      <c r="C19" s="5" t="n">
        <v>633.66</v>
      </c>
      <c r="D19" s="5" t="n">
        <v>633.66</v>
      </c>
    </row>
    <row r="20" ht="15" customHeight="1">
      <c r="B20" s="4" t="inlineStr">
        <is>
          <t xml:space="preserve">  Security / Exterior Lighting</t>
        </is>
      </c>
      <c r="C20" s="5" t="n">
        <v>125.71</v>
      </c>
      <c r="D20" s="5" t="n">
        <v>125.71</v>
      </c>
    </row>
    <row r="21" ht="15" customHeight="1">
      <c r="B21" s="4" t="inlineStr">
        <is>
          <t xml:space="preserve">  Appliances</t>
        </is>
      </c>
      <c r="C21" s="5" t="n">
        <v>634.8200000000001</v>
      </c>
      <c r="D21" s="5" t="n">
        <v>634.8200000000001</v>
      </c>
    </row>
    <row r="22" ht="15" customHeight="1">
      <c r="B22" s="11" t="inlineStr">
        <is>
          <t>Site Work / Improvements</t>
        </is>
      </c>
    </row>
    <row r="23" ht="15" customHeight="1">
      <c r="B23" s="4" t="inlineStr">
        <is>
          <t xml:space="preserve">  Driveway</t>
        </is>
      </c>
      <c r="C23" s="5" t="n">
        <v>506.65</v>
      </c>
      <c r="F23" s="5" t="n">
        <v>506.65</v>
      </c>
    </row>
    <row r="24" ht="15" customHeight="1">
      <c r="B24" s="4" t="inlineStr">
        <is>
          <t xml:space="preserve">  Sidewalks / Curbs</t>
        </is>
      </c>
      <c r="C24" s="5" t="n">
        <v>229.17</v>
      </c>
      <c r="F24" s="5" t="n">
        <v>229.17</v>
      </c>
    </row>
    <row r="25" ht="15" customHeight="1">
      <c r="B25" s="4" t="inlineStr">
        <is>
          <t xml:space="preserve">  Exterior Equipment Concrete Pads</t>
        </is>
      </c>
      <c r="C25" s="5" t="n">
        <v>39.13</v>
      </c>
      <c r="F25" s="5" t="n">
        <v>39.13</v>
      </c>
    </row>
    <row r="26" ht="15" customHeight="1">
      <c r="B26" s="4" t="inlineStr">
        <is>
          <t xml:space="preserve">  Mailboxes</t>
        </is>
      </c>
      <c r="C26" s="5" t="n">
        <v>24.26</v>
      </c>
      <c r="F26" s="5" t="n">
        <v>24.26</v>
      </c>
    </row>
    <row r="27" ht="15" customHeight="1">
      <c r="B27" s="11" t="inlineStr">
        <is>
          <t>Building Structure</t>
        </is>
      </c>
    </row>
    <row r="28" ht="15" customHeight="1">
      <c r="B28" s="4" t="inlineStr">
        <is>
          <t xml:space="preserve">  Roofing Systems</t>
        </is>
      </c>
      <c r="C28" s="5" t="n">
        <v>2548.43</v>
      </c>
      <c r="G28" s="5" t="n">
        <v>2548.43</v>
      </c>
    </row>
    <row r="29" ht="15" customHeight="1">
      <c r="B29" s="4" t="inlineStr">
        <is>
          <t xml:space="preserve">  Foundations</t>
        </is>
      </c>
      <c r="C29" s="5" t="n">
        <v>5484.79</v>
      </c>
      <c r="G29" s="5" t="n">
        <v>5484.79</v>
      </c>
    </row>
    <row r="30" ht="15" customHeight="1">
      <c r="B30" s="4" t="inlineStr">
        <is>
          <t xml:space="preserve">  HVAC</t>
        </is>
      </c>
      <c r="C30" s="5" t="n">
        <v>2549.45</v>
      </c>
      <c r="G30" s="5" t="n">
        <v>2549.45</v>
      </c>
    </row>
    <row r="31" ht="15" customHeight="1">
      <c r="B31" s="4" t="inlineStr">
        <is>
          <t xml:space="preserve">  Electrical</t>
        </is>
      </c>
      <c r="C31" s="5" t="n">
        <v>2713.95</v>
      </c>
      <c r="G31" s="5" t="n">
        <v>2713.95</v>
      </c>
    </row>
    <row r="32" ht="15" customHeight="1">
      <c r="B32" s="4" t="inlineStr">
        <is>
          <t xml:space="preserve">  Plumbing</t>
        </is>
      </c>
      <c r="C32" s="5" t="n">
        <v>2245.68</v>
      </c>
      <c r="G32" s="5" t="n">
        <v>2245.68</v>
      </c>
    </row>
    <row r="33" ht="15" customHeight="1">
      <c r="B33" s="4" t="inlineStr">
        <is>
          <t xml:space="preserve">  Fire Protection &amp; Alarm</t>
        </is>
      </c>
      <c r="C33" s="5" t="n">
        <v>169.07</v>
      </c>
      <c r="G33" s="5" t="n">
        <v>169.07</v>
      </c>
    </row>
    <row r="34" ht="15" customHeight="1">
      <c r="B34" s="4" t="inlineStr">
        <is>
          <t xml:space="preserve">  Exterior Façade / Building Skin</t>
        </is>
      </c>
      <c r="C34" s="5" t="n">
        <v>2358.3</v>
      </c>
      <c r="G34" s="5" t="n">
        <v>2358.3</v>
      </c>
    </row>
    <row r="35" ht="15" customHeight="1">
      <c r="B35" s="4" t="inlineStr">
        <is>
          <t xml:space="preserve">  Doors &amp; Frames</t>
        </is>
      </c>
      <c r="C35" s="5" t="n">
        <v>1892.23</v>
      </c>
      <c r="G35" s="5" t="n">
        <v>1892.23</v>
      </c>
    </row>
    <row r="36" ht="15" customHeight="1">
      <c r="B36" s="4" t="inlineStr">
        <is>
          <t xml:space="preserve">  Windows</t>
        </is>
      </c>
      <c r="C36" s="5" t="n">
        <v>1122.14</v>
      </c>
      <c r="G36" s="5" t="n">
        <v>1122.14</v>
      </c>
    </row>
    <row r="37" ht="15" customHeight="1">
      <c r="B37" s="4" t="inlineStr">
        <is>
          <t xml:space="preserve">  Ceiling Systems</t>
        </is>
      </c>
      <c r="C37" s="5" t="n">
        <v>1326.93</v>
      </c>
      <c r="G37" s="5" t="n">
        <v>1326.93</v>
      </c>
    </row>
    <row r="38" ht="15" customHeight="1">
      <c r="B38" s="4" t="inlineStr">
        <is>
          <t xml:space="preserve">  Interior Framing / Partitions</t>
        </is>
      </c>
      <c r="C38" s="5" t="n">
        <v>4881.53</v>
      </c>
      <c r="G38" s="5" t="n">
        <v>4881.53</v>
      </c>
    </row>
    <row r="39" ht="15" customHeight="1">
      <c r="B39" s="4" t="inlineStr">
        <is>
          <t xml:space="preserve">  Painting</t>
        </is>
      </c>
      <c r="C39" s="5" t="n">
        <v>1557.23</v>
      </c>
      <c r="G39" s="5" t="n">
        <v>1557.23</v>
      </c>
    </row>
    <row r="40" ht="15" customHeight="1">
      <c r="B40" s="4" t="inlineStr">
        <is>
          <t xml:space="preserve">  Structural Framing</t>
        </is>
      </c>
      <c r="C40" s="5" t="n">
        <v>4653.25</v>
      </c>
      <c r="G40" s="5" t="n">
        <v>4653.25</v>
      </c>
    </row>
    <row r="41" ht="15" customHeight="1">
      <c r="B41" s="4" t="inlineStr">
        <is>
          <t xml:space="preserve">  Site Utilities</t>
        </is>
      </c>
      <c r="C41" s="5" t="n">
        <v>419.93</v>
      </c>
      <c r="G41" s="5" t="n">
        <v>419.93</v>
      </c>
    </row>
    <row r="42" ht="15" customHeight="1">
      <c r="B42" s="4" t="inlineStr">
        <is>
          <t xml:space="preserve">  Garage Doors</t>
        </is>
      </c>
      <c r="C42" s="5" t="n">
        <v>446.76</v>
      </c>
      <c r="G42" s="5" t="n">
        <v>446.76</v>
      </c>
    </row>
    <row r="43" ht="15" customHeight="1">
      <c r="B43" s="4" t="inlineStr">
        <is>
          <t xml:space="preserve">  Flooring - Sealed Concrete</t>
        </is>
      </c>
      <c r="C43" s="5" t="n">
        <v>59.17</v>
      </c>
      <c r="G43" s="5" t="n">
        <v>59.17</v>
      </c>
    </row>
    <row r="44" ht="15" customHeight="1">
      <c r="B44" s="4" t="inlineStr">
        <is>
          <t xml:space="preserve">  Bathroom Accessories</t>
        </is>
      </c>
      <c r="C44" s="5" t="n">
        <v>526.09</v>
      </c>
      <c r="G44" s="5" t="n">
        <v>526.09</v>
      </c>
    </row>
    <row r="45" ht="15" customHeight="1">
      <c r="B45" s="4" t="inlineStr">
        <is>
          <t xml:space="preserve">  Cabinets / Millwork - Restrooms</t>
        </is>
      </c>
      <c r="C45" s="5" t="n">
        <v>314.69</v>
      </c>
      <c r="G45" s="5" t="n">
        <v>314.69</v>
      </c>
    </row>
    <row r="46" ht="15" customHeight="1">
      <c r="B46" s="6" t="inlineStr">
        <is>
          <t>Total Building Cost</t>
        </is>
      </c>
      <c r="C46" s="7">
        <f>SUM(C9:C45)</f>
        <v/>
      </c>
      <c r="D46" s="7">
        <f>SUM(D9:D45)</f>
        <v/>
      </c>
      <c r="E46" s="7">
        <f>SUM(E9:E45)</f>
        <v/>
      </c>
      <c r="F46" s="7">
        <f>SUM(F9:F45)</f>
        <v/>
      </c>
      <c r="G46" s="7">
        <f>SUM(G9:G45)</f>
        <v/>
      </c>
    </row>
    <row r="47" ht="15" customHeight="1">
      <c r="B47" s="6" t="inlineStr">
        <is>
          <t>TOTALS (check)</t>
        </is>
      </c>
      <c r="C47" s="7">
        <f>SUM(C9:C45)</f>
        <v/>
      </c>
      <c r="D47" s="7">
        <f>SUM(D9:D45)</f>
        <v/>
      </c>
      <c r="E47" s="7">
        <f>SUM(E9:E45)</f>
        <v/>
      </c>
      <c r="F47" s="7">
        <f>SUM(F9:F45)</f>
        <v/>
      </c>
      <c r="G47" s="7">
        <f>SUM(G9:G45)</f>
        <v/>
      </c>
    </row>
    <row r="49" ht="15" customHeight="1">
      <c r="B49" s="9" t="inlineStr">
        <is>
          <t>ASSET ALLOCATION</t>
        </is>
      </c>
    </row>
    <row r="50" ht="15" customHeight="1">
      <c r="B50" s="10" t="inlineStr">
        <is>
          <t>Asset</t>
        </is>
      </c>
      <c r="C50" s="10" t="inlineStr">
        <is>
          <t>Total</t>
        </is>
      </c>
      <c r="D50" s="10" t="inlineStr">
        <is>
          <t>5 Year</t>
        </is>
      </c>
      <c r="E50" s="10" t="inlineStr">
        <is>
          <t>7 Year</t>
        </is>
      </c>
      <c r="F50" s="10" t="inlineStr">
        <is>
          <t>15 Year</t>
        </is>
      </c>
      <c r="G50" s="10" t="inlineStr">
        <is>
          <t>27.5 Year</t>
        </is>
      </c>
    </row>
    <row r="51" ht="15" customHeight="1">
      <c r="B51" s="4" t="inlineStr">
        <is>
          <t>Asset # 7-Land Improvements - Kayla Court</t>
        </is>
      </c>
      <c r="C51" s="5" t="n">
        <v>4797</v>
      </c>
      <c r="D51" s="5" t="n">
        <v>944</v>
      </c>
      <c r="F51" s="5" t="n">
        <v>148</v>
      </c>
      <c r="G51" s="5" t="n">
        <v>3705</v>
      </c>
    </row>
    <row r="52" ht="15" customHeight="1">
      <c r="B52" s="4" t="inlineStr">
        <is>
          <t>Asset # 8-Building - Kayla Court</t>
        </is>
      </c>
      <c r="C52" s="5" t="n">
        <v>62368</v>
      </c>
      <c r="D52" s="5" t="n">
        <v>11884</v>
      </c>
      <c r="F52" s="5" t="n">
        <v>1866</v>
      </c>
      <c r="G52" s="5" t="n">
        <v>48618</v>
      </c>
    </row>
    <row r="53" ht="15" customHeight="1">
      <c r="B53" s="4" t="inlineStr">
        <is>
          <t>Asset # 9-Equipment - Kayla Court</t>
        </is>
      </c>
      <c r="C53" s="5" t="n">
        <v>12795</v>
      </c>
      <c r="D53" s="5" t="n">
        <v>2437</v>
      </c>
      <c r="F53" s="5" t="n">
        <v>383</v>
      </c>
      <c r="G53" s="5" t="n">
        <v>9975</v>
      </c>
    </row>
    <row r="54" ht="15" customHeight="1">
      <c r="B54" s="6" t="inlineStr">
        <is>
          <t>Total Allocation:</t>
        </is>
      </c>
      <c r="C54" s="7">
        <f>SUM(C51:C53)</f>
        <v/>
      </c>
      <c r="D54" s="7">
        <f>SUM(D51:D53)</f>
        <v/>
      </c>
      <c r="E54" s="7">
        <f>SUM(E51:E53)</f>
        <v/>
      </c>
      <c r="F54" s="7">
        <f>SUM(F51:F53)</f>
        <v/>
      </c>
      <c r="G54" s="7">
        <f>SUM(G51:G53)</f>
        <v/>
      </c>
    </row>
    <row r="55" ht="15" customHeight="1">
      <c r="B55" s="6" t="inlineStr">
        <is>
          <t>TOTALS (check)</t>
        </is>
      </c>
      <c r="C55" s="7">
        <f>SUM(C51:C53)</f>
        <v/>
      </c>
      <c r="D55" s="7">
        <f>SUM(D51:D53)</f>
        <v/>
      </c>
      <c r="E55" s="7">
        <f>SUM(E51:E53)</f>
        <v/>
      </c>
      <c r="F55" s="7">
        <f>SUM(F51:F53)</f>
        <v/>
      </c>
      <c r="G55" s="7">
        <f>SUM(G51:G53)</f>
        <v/>
      </c>
    </row>
    <row r="57" ht="15" customHeight="1">
      <c r="B57" s="9" t="inlineStr">
        <is>
          <t>DEPRECIATION SCHEDULE — AS PREVIOUSLY FILED</t>
        </is>
      </c>
    </row>
    <row r="58" ht="15" customHeight="1">
      <c r="B58" s="10" t="inlineStr">
        <is>
          <t>Property Description</t>
        </is>
      </c>
      <c r="C58" s="10" t="inlineStr">
        <is>
          <t>Tax Cost</t>
        </is>
      </c>
      <c r="D58" s="10" t="inlineStr">
        <is>
          <t>Tax Bonus Amt</t>
        </is>
      </c>
      <c r="E58" s="10" t="inlineStr">
        <is>
          <t>Tax Prior Depr</t>
        </is>
      </c>
      <c r="F58" s="10" t="inlineStr">
        <is>
          <t>Tax Current Depr</t>
        </is>
      </c>
      <c r="G58" s="10" t="inlineStr">
        <is>
          <t>Tax End Depr</t>
        </is>
      </c>
      <c r="H58" s="10" t="inlineStr">
        <is>
          <t>Tax Net Book Value</t>
        </is>
      </c>
      <c r="I58" s="10" t="inlineStr">
        <is>
          <t>Tax Method</t>
        </is>
      </c>
      <c r="J58" s="10" t="inlineStr">
        <is>
          <t>Tax Period</t>
        </is>
      </c>
    </row>
    <row r="59" ht="15" customHeight="1">
      <c r="B59" s="4" t="inlineStr">
        <is>
          <t>7 - Land Improvements - Kayla Court</t>
        </is>
      </c>
      <c r="C59" s="5" t="n">
        <v>4797</v>
      </c>
      <c r="D59" s="5" t="n">
        <v>0</v>
      </c>
      <c r="E59" s="5" t="n">
        <v>2271.75</v>
      </c>
      <c r="F59" s="5" t="n">
        <v>283.29</v>
      </c>
      <c r="G59" s="5" t="n">
        <v>2555.04</v>
      </c>
      <c r="H59" s="5" t="n">
        <v>2241.96</v>
      </c>
      <c r="I59" s="8" t="inlineStr">
        <is>
          <t>150DB</t>
        </is>
      </c>
      <c r="J59" s="12" t="n">
        <v>15</v>
      </c>
    </row>
    <row r="60" ht="15" customHeight="1">
      <c r="B60" s="4" t="inlineStr">
        <is>
          <t>8 - Building - Kayla Court</t>
        </is>
      </c>
      <c r="C60" s="5" t="n">
        <v>62368</v>
      </c>
      <c r="D60" s="5" t="n">
        <v>0</v>
      </c>
      <c r="E60" s="5" t="n">
        <v>13712.27</v>
      </c>
      <c r="F60" s="5" t="n">
        <v>2268.11</v>
      </c>
      <c r="G60" s="5" t="n">
        <v>15980.38</v>
      </c>
      <c r="H60" s="5" t="n">
        <v>46387.62</v>
      </c>
      <c r="I60" s="8" t="inlineStr">
        <is>
          <t>S/L</t>
        </is>
      </c>
      <c r="J60" s="12" t="n">
        <v>27.5</v>
      </c>
    </row>
    <row r="61" ht="15" customHeight="1">
      <c r="B61" s="4" t="inlineStr">
        <is>
          <t>9 - Equipment - Kayla Court</t>
        </is>
      </c>
      <c r="C61" s="5" t="n">
        <v>12795</v>
      </c>
      <c r="D61" s="5" t="n">
        <v>0</v>
      </c>
      <c r="E61" s="5" t="n">
        <v>12795</v>
      </c>
      <c r="F61" s="5" t="n">
        <v>0</v>
      </c>
      <c r="G61" s="5" t="n">
        <v>12795</v>
      </c>
      <c r="H61" s="5" t="n">
        <v>0</v>
      </c>
      <c r="I61" s="8" t="inlineStr">
        <is>
          <t>200DB</t>
        </is>
      </c>
      <c r="J61" s="12" t="n">
        <v>5</v>
      </c>
    </row>
    <row r="62" ht="15" customHeight="1">
      <c r="B62" s="6" t="inlineStr">
        <is>
          <t>Grand Total</t>
        </is>
      </c>
      <c r="C62" s="7">
        <f>SUM(C59:C61)</f>
        <v/>
      </c>
      <c r="D62" s="7">
        <f>SUM(D59:D61)</f>
        <v/>
      </c>
      <c r="E62" s="7">
        <f>SUM(E59:E61)</f>
        <v/>
      </c>
      <c r="F62" s="7">
        <f>SUM(F59:F61)</f>
        <v/>
      </c>
      <c r="G62" s="7">
        <f>SUM(G59:G61)</f>
        <v/>
      </c>
      <c r="H62" s="7">
        <f>SUM(H59:H61)</f>
        <v/>
      </c>
    </row>
    <row r="64" ht="15" customHeight="1">
      <c r="B64" s="9" t="inlineStr">
        <is>
          <t>DEPRECIATION SCHEDULE — AFTER COST SEGREGATION CORRECTION</t>
        </is>
      </c>
    </row>
    <row r="65" ht="15" customHeight="1">
      <c r="B65" s="10" t="inlineStr">
        <is>
          <t>Property Description</t>
        </is>
      </c>
      <c r="C65" s="10" t="inlineStr">
        <is>
          <t>Tax Cost</t>
        </is>
      </c>
      <c r="D65" s="10" t="inlineStr">
        <is>
          <t>Tax Bonus Amt</t>
        </is>
      </c>
      <c r="E65" s="10" t="inlineStr">
        <is>
          <t>Tax Prior Depr</t>
        </is>
      </c>
      <c r="F65" s="10" t="inlineStr">
        <is>
          <t>Tax Current Depr</t>
        </is>
      </c>
      <c r="G65" s="10" t="inlineStr">
        <is>
          <t>Tax End Depr</t>
        </is>
      </c>
      <c r="H65" s="10" t="inlineStr">
        <is>
          <t>Tax Net Book Value</t>
        </is>
      </c>
      <c r="I65" s="10" t="inlineStr">
        <is>
          <t>Tax Method</t>
        </is>
      </c>
      <c r="J65" s="10" t="inlineStr">
        <is>
          <t>Tax Period</t>
        </is>
      </c>
    </row>
    <row r="66" ht="15" customHeight="1">
      <c r="B66" s="4" t="inlineStr">
        <is>
          <t>7 - Land Improvements - Kayla Court - 5yr</t>
        </is>
      </c>
      <c r="C66" s="5" t="n">
        <v>944</v>
      </c>
      <c r="D66" s="5" t="n">
        <v>0</v>
      </c>
      <c r="E66" s="5" t="n">
        <v>944</v>
      </c>
      <c r="F66" s="5" t="n">
        <v>944</v>
      </c>
      <c r="G66" s="5" t="n">
        <v>944</v>
      </c>
      <c r="H66" s="5" t="n">
        <v>0</v>
      </c>
      <c r="I66" s="8" t="inlineStr">
        <is>
          <t>200DB</t>
        </is>
      </c>
      <c r="J66" s="12" t="n">
        <v>5</v>
      </c>
    </row>
    <row r="67" ht="15" customHeight="1">
      <c r="B67" s="4" t="inlineStr">
        <is>
          <t>7 - Land Improvements - Kayla Court - 15yr</t>
        </is>
      </c>
      <c r="C67" s="5" t="n">
        <v>148</v>
      </c>
      <c r="D67" s="5" t="n">
        <v>0</v>
      </c>
      <c r="E67" s="5" t="n">
        <v>148</v>
      </c>
      <c r="F67" s="5" t="n">
        <v>148</v>
      </c>
      <c r="G67" s="5" t="n">
        <v>148</v>
      </c>
      <c r="H67" s="5" t="n">
        <v>0</v>
      </c>
      <c r="I67" s="8" t="inlineStr">
        <is>
          <t>150DB</t>
        </is>
      </c>
      <c r="J67" s="12" t="n">
        <v>15</v>
      </c>
    </row>
    <row r="68" ht="15" customHeight="1">
      <c r="B68" s="4" t="inlineStr">
        <is>
          <t>7 - Land Improvements - Kayla Court - 27.5yr</t>
        </is>
      </c>
      <c r="C68" s="5" t="n">
        <v>3705</v>
      </c>
      <c r="D68" s="5" t="n">
        <v>0</v>
      </c>
      <c r="E68" s="5" t="n">
        <v>0</v>
      </c>
      <c r="F68" s="5" t="n">
        <v>814.4400000000001</v>
      </c>
      <c r="G68" s="5" t="n">
        <v>949.1900000000001</v>
      </c>
      <c r="H68" s="5" t="n">
        <v>2755.81</v>
      </c>
      <c r="I68" s="8" t="inlineStr">
        <is>
          <t>S/L</t>
        </is>
      </c>
      <c r="J68" s="12" t="n">
        <v>27.5</v>
      </c>
    </row>
    <row r="69" ht="15" customHeight="1">
      <c r="B69" s="4" t="inlineStr">
        <is>
          <t>8 - Building - Kayla Court - 5yr</t>
        </is>
      </c>
      <c r="C69" s="5" t="n">
        <v>11884</v>
      </c>
      <c r="D69" s="5" t="n">
        <v>0</v>
      </c>
      <c r="E69" s="5" t="n">
        <v>11884</v>
      </c>
      <c r="F69" s="5" t="n">
        <v>11884</v>
      </c>
      <c r="G69" s="5" t="n">
        <v>11884</v>
      </c>
      <c r="H69" s="5" t="n">
        <v>0</v>
      </c>
      <c r="I69" s="8" t="inlineStr">
        <is>
          <t>200DB</t>
        </is>
      </c>
      <c r="J69" s="12" t="n">
        <v>5</v>
      </c>
    </row>
    <row r="70" ht="15" customHeight="1">
      <c r="B70" s="4" t="inlineStr">
        <is>
          <t>8 - Building - Kayla Court - 15yr</t>
        </is>
      </c>
      <c r="C70" s="5" t="n">
        <v>1866</v>
      </c>
      <c r="D70" s="5" t="n">
        <v>0</v>
      </c>
      <c r="E70" s="5" t="n">
        <v>1866</v>
      </c>
      <c r="F70" s="5" t="n">
        <v>1866</v>
      </c>
      <c r="G70" s="5" t="n">
        <v>1866</v>
      </c>
      <c r="H70" s="5" t="n">
        <v>0</v>
      </c>
      <c r="I70" s="8" t="inlineStr">
        <is>
          <t>150DB</t>
        </is>
      </c>
      <c r="J70" s="12" t="n">
        <v>15</v>
      </c>
    </row>
    <row r="71" ht="15" customHeight="1">
      <c r="B71" s="4" t="inlineStr">
        <is>
          <t>8 - Building - Kayla Court - 27.5yr</t>
        </is>
      </c>
      <c r="C71" s="5" t="n">
        <v>48618</v>
      </c>
      <c r="D71" s="5" t="n">
        <v>0</v>
      </c>
      <c r="E71" s="5" t="n">
        <v>0</v>
      </c>
      <c r="F71" s="5" t="n">
        <v>10690.01</v>
      </c>
      <c r="G71" s="5" t="n">
        <v>12460.58</v>
      </c>
      <c r="H71" s="5" t="n">
        <v>36157.42</v>
      </c>
      <c r="I71" s="8" t="inlineStr">
        <is>
          <t>S/L</t>
        </is>
      </c>
      <c r="J71" s="12" t="n">
        <v>27.5</v>
      </c>
    </row>
    <row r="72" ht="15" customHeight="1">
      <c r="B72" s="4" t="inlineStr">
        <is>
          <t>9 - Equipment - Kayla Court - 5yr</t>
        </is>
      </c>
      <c r="C72" s="5" t="n">
        <v>2437</v>
      </c>
      <c r="D72" s="5" t="n">
        <v>0</v>
      </c>
      <c r="E72" s="5" t="n">
        <v>2437</v>
      </c>
      <c r="F72" s="5" t="n">
        <v>2437</v>
      </c>
      <c r="G72" s="5" t="n">
        <v>2437</v>
      </c>
      <c r="H72" s="5" t="n">
        <v>0</v>
      </c>
      <c r="I72" s="8" t="inlineStr">
        <is>
          <t>200DB</t>
        </is>
      </c>
      <c r="J72" s="12" t="n">
        <v>5</v>
      </c>
    </row>
    <row r="73" ht="15" customHeight="1">
      <c r="B73" s="4" t="inlineStr">
        <is>
          <t>9 - Equipment - Kayla Court - 15yr</t>
        </is>
      </c>
      <c r="C73" s="5" t="n">
        <v>383</v>
      </c>
      <c r="D73" s="5" t="n">
        <v>0</v>
      </c>
      <c r="E73" s="5" t="n">
        <v>383</v>
      </c>
      <c r="F73" s="5" t="n">
        <v>383</v>
      </c>
      <c r="G73" s="5" t="n">
        <v>383</v>
      </c>
      <c r="H73" s="5" t="n">
        <v>0</v>
      </c>
      <c r="I73" s="8" t="inlineStr">
        <is>
          <t>150DB</t>
        </is>
      </c>
      <c r="J73" s="12" t="n">
        <v>15</v>
      </c>
    </row>
    <row r="74" ht="15" customHeight="1">
      <c r="B74" s="4" t="inlineStr">
        <is>
          <t>9 - Equipment - Kayla Court - 27.5yr</t>
        </is>
      </c>
      <c r="C74" s="5" t="n">
        <v>9975</v>
      </c>
      <c r="D74" s="5" t="n">
        <v>0</v>
      </c>
      <c r="E74" s="5" t="n">
        <v>0</v>
      </c>
      <c r="F74" s="5" t="n">
        <v>2192.72</v>
      </c>
      <c r="G74" s="5" t="n">
        <v>2556.16</v>
      </c>
      <c r="H74" s="5" t="n">
        <v>7418.84</v>
      </c>
      <c r="I74" s="8" t="inlineStr">
        <is>
          <t>S/L</t>
        </is>
      </c>
      <c r="J74" s="12" t="n">
        <v>27.5</v>
      </c>
    </row>
    <row r="75" ht="15" customHeight="1">
      <c r="B75" s="6" t="inlineStr">
        <is>
          <t>Grand Total</t>
        </is>
      </c>
      <c r="C75" s="7">
        <f>SUM(C66:C74)</f>
        <v/>
      </c>
      <c r="D75" s="7">
        <f>SUM(D66:D74)</f>
        <v/>
      </c>
      <c r="E75" s="7">
        <f>SUM(E66:E74)</f>
        <v/>
      </c>
      <c r="F75" s="7">
        <f>SUM(F66:F74)</f>
        <v/>
      </c>
      <c r="G75" s="7">
        <f>SUM(G66:G74)</f>
        <v/>
      </c>
      <c r="H75" s="7">
        <f>SUM(H66:H74)</f>
        <v/>
      </c>
    </row>
    <row r="77" ht="15" customHeight="1">
      <c r="B77" s="9" t="inlineStr">
        <is>
          <t>SECTION 481(a) ADJUSTMENT</t>
        </is>
      </c>
    </row>
    <row r="78" ht="15" customHeight="1">
      <c r="B78" s="4" t="inlineStr">
        <is>
          <t>Depreciation Previously Reported</t>
        </is>
      </c>
      <c r="C78" s="13" t="n">
        <v>29149.42</v>
      </c>
    </row>
    <row r="79" ht="15" customHeight="1">
      <c r="B79" s="4" t="inlineStr">
        <is>
          <t>Cost Segregation Corrected Depreciation</t>
        </is>
      </c>
      <c r="C79" s="13" t="n">
        <v>31809.27</v>
      </c>
    </row>
    <row r="80" ht="15" customHeight="1">
      <c r="B80" s="14" t="inlineStr">
        <is>
          <t>Section 481(a) Adjustment</t>
        </is>
      </c>
      <c r="C80" s="15">
        <f>C79-C78</f>
        <v/>
      </c>
    </row>
  </sheetData>
  <mergeCells count="11">
    <mergeCell ref="B7:J7"/>
    <mergeCell ref="B3:J3"/>
    <mergeCell ref="B22:J22"/>
    <mergeCell ref="B9:J9"/>
    <mergeCell ref="B1:J1"/>
    <mergeCell ref="B27:J27"/>
    <mergeCell ref="B49:J49"/>
    <mergeCell ref="B57:J57"/>
    <mergeCell ref="B77:J77"/>
    <mergeCell ref="B2:J2"/>
    <mergeCell ref="B64:J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2026-07-07T22:39:54Z</dcterms:created>
  <dcterms:modified xmlns:dcterms="http://purl.org/dc/terms/" xmlns:xsi="http://www.w3.org/2001/XMLSchema-instance" xsi:type="dcterms:W3CDTF">2026-07-07T22:39:55Z</dcterms:modified>
</cp:coreProperties>
</file>