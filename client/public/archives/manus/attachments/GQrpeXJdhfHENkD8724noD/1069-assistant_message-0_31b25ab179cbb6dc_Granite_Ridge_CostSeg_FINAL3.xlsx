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0" yWindow="1240" windowWidth="34560" windowHeight="206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t 1-16" sheetId="2" state="visible" r:id="rId2"/>
    <sheet xmlns:r="http://schemas.openxmlformats.org/officeDocument/2006/relationships" name="apt 17-32" sheetId="3" state="visible" r:id="rId3"/>
    <sheet xmlns:r="http://schemas.openxmlformats.org/officeDocument/2006/relationships" name="apt 33-48" sheetId="4" state="visible" r:id="rId4"/>
    <sheet xmlns:r="http://schemas.openxmlformats.org/officeDocument/2006/relationships" name="apt 49-64" sheetId="5" state="visible" r:id="rId5"/>
    <sheet xmlns:r="http://schemas.openxmlformats.org/officeDocument/2006/relationships" name="apt 65-80" sheetId="6" state="visible" r:id="rId6"/>
    <sheet xmlns:r="http://schemas.openxmlformats.org/officeDocument/2006/relationships" name="laundry 1" sheetId="7" state="visible" r:id="rId7"/>
    <sheet xmlns:r="http://schemas.openxmlformats.org/officeDocument/2006/relationships" name="laundry 2" sheetId="8" state="visible" r:id="rId8"/>
    <sheet xmlns:r="http://schemas.openxmlformats.org/officeDocument/2006/relationships" name="site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_(&quot;$&quot;* #,##0.00_);_(&quot;$&quot;* \(#,##0.00\);_(&quot;$&quot;* &quot;-&quot;??_);_(@_)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6" tint="-0.249977111117893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44" fontId="3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164" fontId="2" fillId="0" borderId="0" pivotButton="0" quotePrefix="0" xfId="0"/>
    <xf numFmtId="164" fontId="1" fillId="3" borderId="0" pivotButton="0" quotePrefix="0" xfId="0"/>
    <xf numFmtId="165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1">
      <alignment horizontal="center"/>
    </xf>
    <xf numFmtId="166" fontId="1" fillId="0" borderId="0" applyAlignment="1" pivotButton="0" quotePrefix="0" xfId="1">
      <alignment horizontal="center"/>
    </xf>
    <xf numFmtId="166" fontId="1" fillId="2" borderId="0" applyAlignment="1" pivotButton="0" quotePrefix="0" xfId="1">
      <alignment horizontal="center"/>
    </xf>
    <xf numFmtId="166" fontId="2" fillId="0" borderId="0" applyAlignment="1" pivotButton="0" quotePrefix="0" xfId="1">
      <alignment horizontal="center"/>
    </xf>
    <xf numFmtId="166" fontId="4" fillId="0" borderId="0" applyAlignment="1" pivotButton="0" quotePrefix="0" xfId="1">
      <alignment horizontal="center"/>
    </xf>
    <xf numFmtId="166" fontId="0" fillId="0" borderId="0" applyAlignment="1" pivotButton="0" quotePrefix="0" xfId="1">
      <alignment horizontal="center"/>
    </xf>
    <xf numFmtId="166" fontId="4" fillId="0" borderId="0" applyAlignment="1" pivotButton="0" quotePrefix="0" xfId="1">
      <alignment horizontal="center"/>
    </xf>
    <xf numFmtId="166" fontId="1" fillId="3" borderId="0" applyAlignment="1" pivotButton="0" quotePrefix="0" xfId="1">
      <alignment horizontal="center"/>
    </xf>
    <xf numFmtId="166" fontId="2" fillId="4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166" fontId="0" fillId="0" borderId="0" applyAlignment="1" pivotButton="0" quotePrefix="0" xfId="1">
      <alignment horizontal="center"/>
    </xf>
    <xf numFmtId="166" fontId="1" fillId="0" borderId="0" applyAlignment="1" pivotButton="0" quotePrefix="0" xfId="1">
      <alignment horizontal="center"/>
    </xf>
    <xf numFmtId="166" fontId="1" fillId="2" borderId="0" applyAlignment="1" pivotButton="0" quotePrefix="0" xfId="1">
      <alignment horizontal="center"/>
    </xf>
    <xf numFmtId="166" fontId="2" fillId="0" borderId="0" applyAlignment="1" pivotButton="0" quotePrefix="0" xfId="1">
      <alignment horizontal="center"/>
    </xf>
    <xf numFmtId="166" fontId="4" fillId="0" borderId="0" applyAlignment="1" pivotButton="0" quotePrefix="0" xfId="1">
      <alignment horizontal="center"/>
    </xf>
    <xf numFmtId="166" fontId="1" fillId="3" borderId="0" applyAlignment="1" pivotButton="0" quotePrefix="0" xfId="1">
      <alignment horizontal="center"/>
    </xf>
    <xf numFmtId="4" fontId="0" fillId="0" borderId="0" pivotButton="0" quotePrefix="0" xfId="0"/>
    <xf numFmtId="4" fontId="5" fillId="0" borderId="0" pivotButton="0" quotePrefix="0" xfId="0"/>
    <xf numFmtId="4" fontId="4" fillId="0" borderId="0" applyAlignment="1" pivotButton="0" quotePrefix="0" xfId="1">
      <alignment horizontal="center"/>
    </xf>
    <xf numFmtId="166" fontId="2" fillId="4" borderId="0" applyAlignment="1" pivotButton="0" quotePrefix="0" xfId="1">
      <alignment horizontal="center"/>
    </xf>
    <xf numFmtId="39" fontId="0" fillId="0" borderId="0" pivotButton="0" quotePrefix="0" xfId="0"/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"/>
  <sheetViews>
    <sheetView tabSelected="1" topLeftCell="A7" workbookViewId="0">
      <selection activeCell="D23" sqref="D23"/>
    </sheetView>
  </sheetViews>
  <sheetFormatPr baseColWidth="10" defaultColWidth="8.83203125" defaultRowHeight="15"/>
  <cols>
    <col width="14" customWidth="1" min="1" max="1"/>
    <col width="50" customWidth="1" min="2" max="2"/>
    <col width="12" customWidth="1" min="3" max="4"/>
    <col width="12.83203125" customWidth="1" style="23" min="5" max="5"/>
    <col width="16" customWidth="1" style="23" min="6" max="13"/>
    <col width="8.83203125" customWidth="1" style="23" min="14" max="14"/>
    <col width="16" customWidth="1" style="23" min="15" max="15"/>
    <col width="8.83203125" customWidth="1" style="23" min="16" max="16"/>
    <col width="16" customWidth="1" style="23" min="17" max="24"/>
    <col width="8.83203125" customWidth="1" style="23" min="25" max="25"/>
    <col width="16" customWidth="1" style="23" min="26" max="26"/>
    <col width="8.83203125" customWidth="1" style="23" min="27" max="28"/>
  </cols>
  <sheetData>
    <row r="1">
      <c r="A1" s="1" t="inlineStr">
        <is>
          <t>Granite Ridge, LLC</t>
        </is>
      </c>
    </row>
    <row r="2">
      <c r="A2" s="1" t="inlineStr">
        <is>
          <t>Summary of Cost Seg Adjustments</t>
        </is>
      </c>
    </row>
    <row r="3">
      <c r="A3" s="2" t="inlineStr">
        <is>
          <t>As of December 31, 2024</t>
        </is>
      </c>
    </row>
    <row r="9">
      <c r="Q9" s="24" t="inlineStr">
        <is>
          <t>end deprec</t>
        </is>
      </c>
    </row>
    <row r="10" customFormat="1" s="12">
      <c r="A10" s="11" t="inlineStr">
        <is>
          <t>Acq Date</t>
        </is>
      </c>
      <c r="B10" s="11" t="inlineStr">
        <is>
          <t>Asset Description</t>
        </is>
      </c>
      <c r="E10" s="25" t="inlineStr">
        <is>
          <t>#</t>
        </is>
      </c>
      <c r="F10" s="25" t="inlineStr">
        <is>
          <t>apt 1-16</t>
        </is>
      </c>
      <c r="G10" s="25" t="inlineStr">
        <is>
          <t>apt 17-32</t>
        </is>
      </c>
      <c r="H10" s="25" t="inlineStr">
        <is>
          <t>apt 33-48</t>
        </is>
      </c>
      <c r="I10" s="25" t="inlineStr">
        <is>
          <t>apt 49-64</t>
        </is>
      </c>
      <c r="J10" s="25" t="inlineStr">
        <is>
          <t>apt 65-80</t>
        </is>
      </c>
      <c r="K10" s="25" t="inlineStr">
        <is>
          <t>laundry 1</t>
        </is>
      </c>
      <c r="L10" s="25" t="inlineStr">
        <is>
          <t>laundry 2</t>
        </is>
      </c>
      <c r="M10" s="25" t="inlineStr">
        <is>
          <t>site</t>
        </is>
      </c>
      <c r="N10" s="23" t="n"/>
      <c r="O10" s="25" t="inlineStr">
        <is>
          <t>total cost</t>
        </is>
      </c>
      <c r="P10" s="23" t="n"/>
      <c r="Q10" s="25" t="inlineStr">
        <is>
          <t>apt 1-16</t>
        </is>
      </c>
      <c r="R10" s="25" t="inlineStr">
        <is>
          <t>apt 17-32</t>
        </is>
      </c>
      <c r="S10" s="25" t="inlineStr">
        <is>
          <t>apt 33-48</t>
        </is>
      </c>
      <c r="T10" s="25" t="inlineStr">
        <is>
          <t>apt 49-64</t>
        </is>
      </c>
      <c r="U10" s="25" t="inlineStr">
        <is>
          <t>apt 65-80</t>
        </is>
      </c>
      <c r="V10" s="25" t="inlineStr">
        <is>
          <t>laundry 1</t>
        </is>
      </c>
      <c r="W10" s="25" t="inlineStr">
        <is>
          <t>laundry 2</t>
        </is>
      </c>
      <c r="X10" s="25" t="inlineStr">
        <is>
          <t>site</t>
        </is>
      </c>
      <c r="Y10" s="23" t="n"/>
      <c r="Z10" s="25" t="inlineStr">
        <is>
          <t>total</t>
        </is>
      </c>
      <c r="AA10" s="23" t="n"/>
      <c r="AB10" s="23" t="n"/>
    </row>
    <row r="11">
      <c r="A11" s="2" t="inlineStr">
        <is>
          <t>12/31/21</t>
        </is>
      </c>
      <c r="B11" s="2" t="inlineStr">
        <is>
          <t>2- Building - Granite Ridge, LLC</t>
        </is>
      </c>
      <c r="E11" s="22" t="n">
        <v>2</v>
      </c>
      <c r="F11" s="26" t="n">
        <v>389188.67</v>
      </c>
      <c r="G11" s="26" t="n">
        <v>389188.67</v>
      </c>
      <c r="H11" s="26" t="n">
        <v>402217.16</v>
      </c>
      <c r="I11" s="26" t="n">
        <v>389188.67</v>
      </c>
      <c r="J11" s="26" t="n">
        <v>389188.67</v>
      </c>
      <c r="K11" s="26" t="n">
        <v>26288.67</v>
      </c>
      <c r="L11" s="26" t="n">
        <v>30475.01</v>
      </c>
      <c r="M11" s="26" t="n">
        <v>254562.48</v>
      </c>
      <c r="O11" s="26" t="n">
        <v>2270298</v>
      </c>
    </row>
    <row r="12">
      <c r="A12" s="2" t="inlineStr">
        <is>
          <t>12/31/21</t>
        </is>
      </c>
      <c r="B12" s="2" t="inlineStr">
        <is>
          <t>4- Equipment - Granite Ridge, LLC</t>
        </is>
      </c>
      <c r="E12" s="22" t="n">
        <v>4</v>
      </c>
      <c r="F12" s="26" t="n">
        <v>48291.12</v>
      </c>
      <c r="G12" s="26" t="n">
        <v>48291.12</v>
      </c>
      <c r="H12" s="26" t="n">
        <v>49907.71</v>
      </c>
      <c r="I12" s="26" t="n">
        <v>48291.12</v>
      </c>
      <c r="J12" s="26" t="n">
        <v>48291.12</v>
      </c>
      <c r="K12" s="26" t="n">
        <v>3261.92</v>
      </c>
      <c r="L12" s="26" t="n">
        <v>3781.39</v>
      </c>
      <c r="M12" s="26" t="n">
        <v>31586.5</v>
      </c>
      <c r="O12" s="26" t="n">
        <v>281702</v>
      </c>
    </row>
    <row r="13">
      <c r="A13" s="2" t="inlineStr">
        <is>
          <t>12/31/21</t>
        </is>
      </c>
      <c r="B13" s="2" t="inlineStr">
        <is>
          <t>5- Land Improvements - Granite Ridge, LLC</t>
        </is>
      </c>
      <c r="E13" s="22" t="n">
        <v>5</v>
      </c>
      <c r="F13" s="26" t="n">
        <v>39985.86</v>
      </c>
      <c r="G13" s="26" t="n">
        <v>39985.86</v>
      </c>
      <c r="H13" s="26" t="n">
        <v>41324.43</v>
      </c>
      <c r="I13" s="26" t="n">
        <v>39985.86</v>
      </c>
      <c r="J13" s="26" t="n">
        <v>39985.86</v>
      </c>
      <c r="K13" s="26" t="n">
        <v>2700.93</v>
      </c>
      <c r="L13" s="26" t="n">
        <v>3131.05</v>
      </c>
      <c r="M13" s="26" t="n">
        <v>26154.15</v>
      </c>
      <c r="O13" s="26" t="n">
        <v>233254</v>
      </c>
    </row>
    <row r="15">
      <c r="E15" s="27" t="n"/>
      <c r="F15" s="27">
        <f>SUM(F11:F13)</f>
        <v/>
      </c>
      <c r="G15" s="27">
        <f>SUM(G11:G13)</f>
        <v/>
      </c>
      <c r="H15" s="27">
        <f>SUM(H11:H13)</f>
        <v/>
      </c>
      <c r="I15" s="27">
        <f>SUM(I11:I13)</f>
        <v/>
      </c>
      <c r="J15" s="27">
        <f>SUM(J11:J13)</f>
        <v/>
      </c>
      <c r="K15" s="27">
        <f>SUM(K11:K13)</f>
        <v/>
      </c>
      <c r="L15" s="27">
        <f>SUM(L11:L13)</f>
        <v/>
      </c>
      <c r="M15" s="27">
        <f>SUM(M11:M13)</f>
        <v/>
      </c>
      <c r="N15" s="27" t="n"/>
      <c r="O15" s="27">
        <f>SUM(O11:O13)</f>
        <v/>
      </c>
      <c r="P15" s="23" t="b">
        <v>1</v>
      </c>
    </row>
    <row r="16">
      <c r="B16" s="1" t="inlineStr">
        <is>
          <t>Total</t>
        </is>
      </c>
      <c r="F16" s="26" t="n">
        <v>477465.65</v>
      </c>
      <c r="G16" s="26" t="n">
        <v>477465.65</v>
      </c>
      <c r="H16" s="26" t="n">
        <v>493449.3</v>
      </c>
      <c r="I16" s="26" t="n">
        <v>477465.65</v>
      </c>
      <c r="J16" s="26" t="n">
        <v>477465.65</v>
      </c>
      <c r="K16" s="26" t="n">
        <v>32251.52</v>
      </c>
      <c r="L16" s="26" t="n">
        <v>37387.45</v>
      </c>
      <c r="M16" s="26" t="n">
        <v>312303.13</v>
      </c>
      <c r="O16" s="26" t="n">
        <v>2785254</v>
      </c>
    </row>
    <row r="18">
      <c r="B18" s="1" t="inlineStr">
        <is>
          <t>MACRS Reclassification</t>
        </is>
      </c>
    </row>
    <row r="20">
      <c r="B20" s="2" t="inlineStr">
        <is>
          <t>2 - Building - Granite Ridge, LLC - 5yr</t>
        </is>
      </c>
      <c r="F20" s="26" t="n">
        <v>99963.17</v>
      </c>
      <c r="G20" s="26" t="n">
        <v>99963.17</v>
      </c>
      <c r="H20" s="26" t="n">
        <v>103151.35</v>
      </c>
      <c r="I20" s="26" t="n">
        <v>99963.17</v>
      </c>
      <c r="J20" s="26" t="n">
        <v>99963.17</v>
      </c>
      <c r="K20" s="26" t="n">
        <v>6825.37</v>
      </c>
      <c r="L20" s="26" t="n">
        <v>11011.74</v>
      </c>
      <c r="Q20" s="26" t="n">
        <v>99963.17</v>
      </c>
      <c r="R20" s="26" t="n">
        <v>99963.17</v>
      </c>
      <c r="S20" s="26" t="n">
        <v>103151.35</v>
      </c>
      <c r="T20" s="26" t="n">
        <v>99963.17</v>
      </c>
      <c r="U20" s="26" t="n">
        <v>99963.17</v>
      </c>
      <c r="V20" s="26" t="n">
        <v>6825.37</v>
      </c>
      <c r="W20" s="26" t="n">
        <v>11011.74</v>
      </c>
    </row>
    <row r="21">
      <c r="B21" s="2" t="inlineStr">
        <is>
          <t>2 - Building - Granite Ridge, LLC - Site - 15yr</t>
        </is>
      </c>
      <c r="M21" s="26" t="n">
        <v>182460.43</v>
      </c>
      <c r="X21" s="26" t="n">
        <v>182460.43</v>
      </c>
    </row>
    <row r="22">
      <c r="B22" s="2" t="inlineStr">
        <is>
          <t>2 - Building - Granite Ridge, LLC - 27.5yr</t>
        </is>
      </c>
      <c r="F22" s="26" t="n">
        <v>289225.5</v>
      </c>
      <c r="G22" s="26" t="n">
        <v>289225.5</v>
      </c>
      <c r="H22" s="26" t="n">
        <v>299065.81</v>
      </c>
      <c r="I22" s="26" t="n">
        <v>289225.5</v>
      </c>
      <c r="J22" s="26" t="n">
        <v>289225.5</v>
      </c>
      <c r="K22" s="26" t="n">
        <v>19463.3</v>
      </c>
      <c r="L22" s="26" t="n">
        <v>19463.27</v>
      </c>
      <c r="M22" s="26" t="n">
        <v>72102.05</v>
      </c>
      <c r="Q22" s="26" t="n">
        <v>289225.5</v>
      </c>
      <c r="R22" s="26" t="n">
        <v>289225.5</v>
      </c>
      <c r="S22" s="26" t="n">
        <v>299065.81</v>
      </c>
      <c r="T22" s="26" t="n">
        <v>289225.5</v>
      </c>
      <c r="U22" s="26" t="n">
        <v>289225.5</v>
      </c>
      <c r="V22" s="26" t="n">
        <v>19463.3</v>
      </c>
      <c r="W22" s="26" t="n">
        <v>19463.27</v>
      </c>
      <c r="X22" s="26" t="n">
        <v>72102.05</v>
      </c>
    </row>
    <row r="23">
      <c r="B23" s="2" t="inlineStr">
        <is>
          <t>4 - Equipment - Granite Ridge, LLC - 5yr</t>
        </is>
      </c>
      <c r="F23" s="26" t="n">
        <v>12403.58</v>
      </c>
      <c r="G23" s="26" t="n">
        <v>12403.58</v>
      </c>
      <c r="H23" s="26" t="n">
        <v>12799.17</v>
      </c>
      <c r="I23" s="26" t="n">
        <v>12403.58</v>
      </c>
      <c r="J23" s="26" t="n">
        <v>12403.58</v>
      </c>
      <c r="K23" s="26" t="n">
        <v>846.9</v>
      </c>
      <c r="L23" s="26" t="n">
        <v>1366.36</v>
      </c>
      <c r="Q23" s="26" t="n">
        <v>12403.58</v>
      </c>
      <c r="R23" s="26" t="n">
        <v>12403.58</v>
      </c>
      <c r="S23" s="26" t="n">
        <v>12799.17</v>
      </c>
      <c r="T23" s="26" t="n">
        <v>12403.58</v>
      </c>
      <c r="U23" s="26" t="n">
        <v>12403.58</v>
      </c>
      <c r="V23" s="26" t="n">
        <v>846.9</v>
      </c>
      <c r="W23" s="26" t="n">
        <v>1366.36</v>
      </c>
    </row>
    <row r="24">
      <c r="B24" s="2" t="inlineStr">
        <is>
          <t>4 - Equipment - Granite Ridge, LLC - Site - 15yr</t>
        </is>
      </c>
      <c r="M24" s="26" t="n">
        <v>22639.97</v>
      </c>
      <c r="X24" s="26" t="n">
        <v>22639.97</v>
      </c>
    </row>
    <row r="25">
      <c r="B25" s="2" t="inlineStr">
        <is>
          <t>4 - Equipment - Granite Ridge, LLC - 27.5yr</t>
        </is>
      </c>
      <c r="F25" s="26" t="n">
        <v>35887.54</v>
      </c>
      <c r="G25" s="26" t="n">
        <v>35887.54</v>
      </c>
      <c r="H25" s="26" t="n">
        <v>37108.54</v>
      </c>
      <c r="I25" s="26" t="n">
        <v>35887.54</v>
      </c>
      <c r="J25" s="26" t="n">
        <v>35887.54</v>
      </c>
      <c r="K25" s="26" t="n">
        <v>2415.02</v>
      </c>
      <c r="L25" s="26" t="n">
        <v>2415.03</v>
      </c>
      <c r="M25" s="26" t="n">
        <v>8946.530000000001</v>
      </c>
      <c r="Q25" s="26" t="n">
        <v>35887.54</v>
      </c>
      <c r="R25" s="26" t="n">
        <v>35887.54</v>
      </c>
      <c r="S25" s="26" t="n">
        <v>37108.54</v>
      </c>
      <c r="T25" s="26" t="n">
        <v>35887.54</v>
      </c>
      <c r="U25" s="26" t="n">
        <v>35887.54</v>
      </c>
      <c r="V25" s="26" t="n">
        <v>2415.02</v>
      </c>
      <c r="W25" s="26" t="n">
        <v>2415.03</v>
      </c>
      <c r="X25" s="26" t="n">
        <v>8946.530000000001</v>
      </c>
    </row>
    <row r="26">
      <c r="B26" s="2" t="inlineStr">
        <is>
          <t>5 - Land Improvements - Granite Ridge, LLC - 5yr</t>
        </is>
      </c>
      <c r="F26" s="26" t="n">
        <v>10270.37</v>
      </c>
      <c r="G26" s="26" t="n">
        <v>10270.37</v>
      </c>
      <c r="H26" s="26" t="n">
        <v>10597.94</v>
      </c>
      <c r="I26" s="26" t="n">
        <v>10270.37</v>
      </c>
      <c r="J26" s="26" t="n">
        <v>10270.37</v>
      </c>
      <c r="K26" s="26" t="n">
        <v>701.24</v>
      </c>
      <c r="L26" s="26" t="n">
        <v>1131.36</v>
      </c>
      <c r="Q26" s="26" t="n">
        <v>10270.37</v>
      </c>
      <c r="R26" s="26" t="n">
        <v>10270.37</v>
      </c>
      <c r="S26" s="26" t="n">
        <v>10597.94</v>
      </c>
      <c r="T26" s="26" t="n">
        <v>10270.37</v>
      </c>
      <c r="U26" s="26" t="n">
        <v>10270.37</v>
      </c>
      <c r="V26" s="26" t="n">
        <v>701.24</v>
      </c>
      <c r="W26" s="26" t="n">
        <v>1131.36</v>
      </c>
    </row>
    <row r="27">
      <c r="B27" s="2" t="inlineStr">
        <is>
          <t>5 - Land Improvements - Granite Ridge, LLC - Site - 15yr</t>
        </is>
      </c>
      <c r="M27" s="26" t="n">
        <v>18746.27</v>
      </c>
      <c r="X27" s="26" t="n">
        <v>18746.27</v>
      </c>
    </row>
    <row r="28">
      <c r="B28" s="2" t="inlineStr">
        <is>
          <t>5 - Land Improvements - Granite Ridge, LLC - 27.5yr</t>
        </is>
      </c>
      <c r="F28" s="26" t="n">
        <v>29715.49</v>
      </c>
      <c r="G28" s="26" t="n">
        <v>29715.49</v>
      </c>
      <c r="H28" s="26" t="n">
        <v>30726.49</v>
      </c>
      <c r="I28" s="26" t="n">
        <v>29715.49</v>
      </c>
      <c r="J28" s="26" t="n">
        <v>29715.49</v>
      </c>
      <c r="K28" s="26" t="n">
        <v>1999.69</v>
      </c>
      <c r="L28" s="26" t="n">
        <v>1999.69</v>
      </c>
      <c r="M28" s="26" t="n">
        <v>7407.88</v>
      </c>
      <c r="Q28" s="26" t="n">
        <v>29715.49</v>
      </c>
      <c r="R28" s="26" t="n">
        <v>29715.49</v>
      </c>
      <c r="S28" s="26" t="n">
        <v>30726.49</v>
      </c>
      <c r="T28" s="26" t="n">
        <v>29715.49</v>
      </c>
      <c r="U28" s="26" t="n">
        <v>29715.49</v>
      </c>
      <c r="V28" s="26" t="n">
        <v>1999.69</v>
      </c>
      <c r="W28" s="26" t="n">
        <v>1999.69</v>
      </c>
      <c r="X28" s="26" t="n">
        <v>7407.88</v>
      </c>
    </row>
    <row r="32" customFormat="1" s="10">
      <c r="E32" s="27" t="n"/>
      <c r="F32" s="27">
        <f>SUM(F20:F28)</f>
        <v/>
      </c>
      <c r="G32" s="27">
        <f>SUM(G20:G28)</f>
        <v/>
      </c>
      <c r="H32" s="27">
        <f>SUM(H20:H28)</f>
        <v/>
      </c>
      <c r="I32" s="27">
        <f>SUM(I20:I28)</f>
        <v/>
      </c>
      <c r="J32" s="27">
        <f>SUM(J20:J28)</f>
        <v/>
      </c>
      <c r="K32" s="27">
        <f>SUM(K20:K28)</f>
        <v/>
      </c>
      <c r="L32" s="27">
        <f>SUM(L20:L28)</f>
        <v/>
      </c>
      <c r="M32" s="27">
        <f>SUM(M20:M28)</f>
        <v/>
      </c>
      <c r="N32" s="27" t="n"/>
      <c r="O32" s="27">
        <f>O15</f>
        <v/>
      </c>
      <c r="P32" s="27" t="b">
        <v>1</v>
      </c>
      <c r="Q32" s="27">
        <f>SUM(Q20:Q28)</f>
        <v/>
      </c>
      <c r="R32" s="27">
        <f>SUM(R20:R28)</f>
        <v/>
      </c>
      <c r="S32" s="27">
        <f>SUM(S20:S28)</f>
        <v/>
      </c>
      <c r="T32" s="27">
        <f>SUM(T20:T28)</f>
        <v/>
      </c>
      <c r="U32" s="27">
        <f>SUM(U20:U28)</f>
        <v/>
      </c>
      <c r="V32" s="27">
        <f>SUM(V20:V28)</f>
        <v/>
      </c>
      <c r="W32" s="27">
        <f>SUM(W20:W28)</f>
        <v/>
      </c>
      <c r="X32" s="27">
        <f>SUM(X20:X28)</f>
        <v/>
      </c>
      <c r="Y32" s="27" t="n"/>
      <c r="Z32" s="27">
        <f>SUM(Z20:Z28)</f>
        <v/>
      </c>
      <c r="AA32" s="27" t="n"/>
      <c r="AB32" s="27" t="n"/>
    </row>
    <row r="33">
      <c r="B33" s="4" t="inlineStr">
        <is>
          <t>Total MACRS Reclassification</t>
        </is>
      </c>
      <c r="F33" s="28">
        <f>SUM(F20:F31)</f>
        <v/>
      </c>
      <c r="G33" s="28">
        <f>SUM(G20:G31)</f>
        <v/>
      </c>
      <c r="H33" s="28">
        <f>SUM(H20:H31)</f>
        <v/>
      </c>
      <c r="I33" s="28">
        <f>SUM(I20:I31)</f>
        <v/>
      </c>
      <c r="J33" s="28">
        <f>SUM(J20:J31)</f>
        <v/>
      </c>
      <c r="K33" s="28">
        <f>SUM(K20:K31)</f>
        <v/>
      </c>
      <c r="L33" s="28">
        <f>SUM(L20:L31)</f>
        <v/>
      </c>
      <c r="M33" s="28">
        <f>SUM(M20:M31)</f>
        <v/>
      </c>
      <c r="O33" s="28">
        <f>SUM(F33:M33)</f>
        <v/>
      </c>
    </row>
    <row r="35">
      <c r="B35" s="1" t="inlineStr">
        <is>
          <t>Difference (should be zero)</t>
        </is>
      </c>
      <c r="F35" s="23">
        <f>+F16-F33</f>
        <v/>
      </c>
      <c r="G35" s="23">
        <f>+G16-G33</f>
        <v/>
      </c>
      <c r="H35" s="23">
        <f>+H16-H33</f>
        <v/>
      </c>
      <c r="I35" s="23">
        <f>+I16-I33</f>
        <v/>
      </c>
      <c r="J35" s="23">
        <f>+J16-J33</f>
        <v/>
      </c>
      <c r="K35" s="23">
        <f>+K16-K33</f>
        <v/>
      </c>
      <c r="L35" s="23">
        <f>+L16-L33</f>
        <v/>
      </c>
      <c r="M35" s="23">
        <f>+M16-M33</f>
        <v/>
      </c>
    </row>
    <row r="37">
      <c r="B37" s="1" t="inlineStr">
        <is>
          <t>End Depreciation Reconciliation</t>
        </is>
      </c>
    </row>
    <row r="38">
      <c r="B38" s="2" t="inlineStr">
        <is>
          <t>Before Cost Segregation (As Previously Filed)</t>
        </is>
      </c>
      <c r="F38" s="26" t="n">
        <v>191354.03</v>
      </c>
      <c r="G38" s="26" t="n">
        <v>191354.03</v>
      </c>
      <c r="H38" s="26" t="n">
        <v>197759.81</v>
      </c>
      <c r="I38" s="26" t="n">
        <v>191354.03</v>
      </c>
      <c r="J38" s="26" t="n">
        <v>191354.03</v>
      </c>
      <c r="K38" s="26" t="n">
        <v>12925.43</v>
      </c>
      <c r="L38" s="26" t="n">
        <v>14983.78</v>
      </c>
      <c r="M38" s="26" t="n">
        <v>124161.86</v>
      </c>
      <c r="O38" s="26" t="n">
        <v>1115247</v>
      </c>
      <c r="Q38" s="29" t="n">
        <v>191354.03</v>
      </c>
      <c r="R38" s="29" t="n">
        <v>191354.03</v>
      </c>
      <c r="S38" s="29" t="n">
        <v>197759.81</v>
      </c>
      <c r="T38" s="29" t="n">
        <v>191354.03</v>
      </c>
      <c r="U38" s="29" t="n">
        <v>191354.03</v>
      </c>
      <c r="V38" s="29" t="n">
        <v>12925.43</v>
      </c>
      <c r="W38" s="29" t="n">
        <v>14983.78</v>
      </c>
      <c r="X38" s="29" t="n">
        <v>124161.86</v>
      </c>
      <c r="Z38" s="30" t="n">
        <v>1115247</v>
      </c>
    </row>
    <row r="39">
      <c r="B39" s="2" t="inlineStr">
        <is>
          <t>2 - Building - Granite Ridge, LLC - 5yr</t>
        </is>
      </c>
      <c r="F39" s="26" t="n">
        <v>99963.17</v>
      </c>
      <c r="G39" s="26" t="n">
        <v>99963.17</v>
      </c>
      <c r="H39" s="26" t="n">
        <v>103151.35</v>
      </c>
      <c r="I39" s="26" t="n">
        <v>99963.17</v>
      </c>
      <c r="J39" s="26" t="n">
        <v>99963.17</v>
      </c>
      <c r="K39" s="26" t="n">
        <v>6825.37</v>
      </c>
      <c r="L39" s="26" t="n">
        <v>11011.74</v>
      </c>
      <c r="O39" s="23">
        <f>SUM(F39:M39)</f>
        <v/>
      </c>
      <c r="Q39" s="29" t="n">
        <v>99963.17</v>
      </c>
      <c r="R39" s="29" t="n">
        <v>99963.17</v>
      </c>
      <c r="S39" s="29" t="n">
        <v>103151.35</v>
      </c>
      <c r="T39" s="29" t="n">
        <v>99963.17</v>
      </c>
      <c r="U39" s="29" t="n">
        <v>99963.17</v>
      </c>
      <c r="V39" s="29" t="n">
        <v>6825.37</v>
      </c>
      <c r="W39" s="29" t="n">
        <v>11011.74</v>
      </c>
      <c r="Z39" s="29" t="n">
        <v>520841.14</v>
      </c>
    </row>
    <row r="40">
      <c r="B40" s="2" t="inlineStr">
        <is>
          <t>2 - Building - Granite Ridge, LLC - Site - 15yr</t>
        </is>
      </c>
      <c r="M40" s="26" t="n">
        <v>112428.75</v>
      </c>
      <c r="O40" s="23">
        <f>SUM(F40:M40)</f>
        <v/>
      </c>
      <c r="X40" s="29" t="n">
        <v>112428.75</v>
      </c>
      <c r="Z40" s="29" t="n">
        <v>112428.75</v>
      </c>
    </row>
    <row r="41">
      <c r="B41" s="2" t="inlineStr">
        <is>
          <t>2 - Building - Granite Ridge, LLC - 27.5yr</t>
        </is>
      </c>
      <c r="F41" s="26" t="n">
        <v>117259.4</v>
      </c>
      <c r="G41" s="26" t="n">
        <v>117259.4</v>
      </c>
      <c r="H41" s="26" t="n">
        <v>92891.64999999999</v>
      </c>
      <c r="I41" s="26" t="n">
        <v>117259.4</v>
      </c>
      <c r="J41" s="26" t="n">
        <v>117259.4</v>
      </c>
      <c r="K41" s="26" t="n">
        <v>6045.45</v>
      </c>
      <c r="L41" s="26" t="n">
        <v>6045.53</v>
      </c>
      <c r="M41" s="26" t="n">
        <v>22395.31</v>
      </c>
      <c r="O41" s="23">
        <f>SUM(F41:M41)</f>
        <v/>
      </c>
      <c r="Q41" s="29" t="n">
        <v>117259.4</v>
      </c>
      <c r="R41" s="29" t="n">
        <v>117259.4</v>
      </c>
      <c r="S41" s="29" t="n">
        <v>92891.64999999999</v>
      </c>
      <c r="T41" s="29" t="n">
        <v>117259.4</v>
      </c>
      <c r="U41" s="29" t="n">
        <v>117259.4</v>
      </c>
      <c r="V41" s="29" t="n">
        <v>6045.45</v>
      </c>
      <c r="W41" s="29" t="n">
        <v>6045.53</v>
      </c>
      <c r="X41" s="29" t="n">
        <v>22395.31</v>
      </c>
      <c r="Z41" s="29" t="n">
        <v>596415.54</v>
      </c>
    </row>
    <row r="42">
      <c r="B42" s="2" t="inlineStr">
        <is>
          <t>4 - Equipment - Granite Ridge, LLC - 5yr</t>
        </is>
      </c>
      <c r="F42" s="26" t="n">
        <v>12403.58</v>
      </c>
      <c r="G42" s="26" t="n">
        <v>12403.58</v>
      </c>
      <c r="H42" s="26" t="n">
        <v>12799.17</v>
      </c>
      <c r="I42" s="26" t="n">
        <v>12403.58</v>
      </c>
      <c r="J42" s="26" t="n">
        <v>12403.58</v>
      </c>
      <c r="K42" s="26" t="n">
        <v>846.9</v>
      </c>
      <c r="L42" s="26" t="n">
        <v>1366.36</v>
      </c>
      <c r="O42" s="23">
        <f>SUM(F42:M42)</f>
        <v/>
      </c>
      <c r="Q42" s="29" t="n">
        <v>12403.58</v>
      </c>
      <c r="R42" s="29" t="n">
        <v>12403.58</v>
      </c>
      <c r="S42" s="29" t="n">
        <v>12799.17</v>
      </c>
      <c r="T42" s="29" t="n">
        <v>12403.58</v>
      </c>
      <c r="U42" s="29" t="n">
        <v>12403.58</v>
      </c>
      <c r="V42" s="29" t="n">
        <v>846.9</v>
      </c>
      <c r="W42" s="29" t="n">
        <v>1366.36</v>
      </c>
      <c r="Z42" s="29" t="n">
        <v>64626.75000000001</v>
      </c>
    </row>
    <row r="43">
      <c r="B43" s="2" t="inlineStr">
        <is>
          <t>4 - Equipment - Granite Ridge, LLC - Site - 15yr</t>
        </is>
      </c>
      <c r="M43" s="26" t="n">
        <v>13950.35</v>
      </c>
      <c r="O43" s="23">
        <f>SUM(F43:M43)</f>
        <v/>
      </c>
      <c r="X43" s="29" t="n">
        <v>13950.35</v>
      </c>
      <c r="Z43" s="29" t="n">
        <v>13950.35</v>
      </c>
    </row>
    <row r="44">
      <c r="B44" s="2" t="inlineStr">
        <is>
          <t>4 - Equipment - Granite Ridge, LLC - 27.5yr</t>
        </is>
      </c>
      <c r="F44" s="26" t="n">
        <v>11146.88</v>
      </c>
      <c r="G44" s="26" t="n">
        <v>11146.88</v>
      </c>
      <c r="H44" s="26" t="n">
        <v>11526.13</v>
      </c>
      <c r="I44" s="26" t="n">
        <v>11146.88</v>
      </c>
      <c r="J44" s="26" t="n">
        <v>11146.88</v>
      </c>
      <c r="K44" s="26" t="n">
        <v>750.13</v>
      </c>
      <c r="L44" s="26" t="n">
        <v>750.13</v>
      </c>
      <c r="M44" s="26" t="n">
        <v>2778.86</v>
      </c>
      <c r="O44" s="23">
        <f>SUM(F44:M44)</f>
        <v/>
      </c>
      <c r="Q44" s="29" t="n">
        <v>11146.88</v>
      </c>
      <c r="R44" s="29" t="n">
        <v>11146.88</v>
      </c>
      <c r="S44" s="29" t="n">
        <v>11526.13</v>
      </c>
      <c r="T44" s="29" t="n">
        <v>11146.88</v>
      </c>
      <c r="U44" s="29" t="n">
        <v>11146.88</v>
      </c>
      <c r="V44" s="29" t="n">
        <v>750.13</v>
      </c>
      <c r="W44" s="29" t="n">
        <v>750.13</v>
      </c>
      <c r="X44" s="29" t="n">
        <v>2778.86</v>
      </c>
      <c r="Z44" s="29" t="n">
        <v>60392.76999999999</v>
      </c>
    </row>
    <row r="45">
      <c r="B45" s="2" t="inlineStr">
        <is>
          <t>5 - Land Improvements - Granite Ridge, LLC - 5yr</t>
        </is>
      </c>
      <c r="F45" s="26" t="n">
        <v>10270.37</v>
      </c>
      <c r="G45" s="26" t="n">
        <v>10270.37</v>
      </c>
      <c r="H45" s="26" t="n">
        <v>10597.94</v>
      </c>
      <c r="I45" s="26" t="n">
        <v>10270.37</v>
      </c>
      <c r="J45" s="26" t="n">
        <v>10270.37</v>
      </c>
      <c r="K45" s="26" t="n">
        <v>701.24</v>
      </c>
      <c r="L45" s="26" t="n">
        <v>1131.36</v>
      </c>
      <c r="O45" s="23">
        <f>SUM(F45:M45)</f>
        <v/>
      </c>
      <c r="Q45" s="29" t="n">
        <v>10270.37</v>
      </c>
      <c r="R45" s="29" t="n">
        <v>10270.37</v>
      </c>
      <c r="S45" s="29" t="n">
        <v>10597.94</v>
      </c>
      <c r="T45" s="29" t="n">
        <v>10270.37</v>
      </c>
      <c r="U45" s="29" t="n">
        <v>10270.37</v>
      </c>
      <c r="V45" s="29" t="n">
        <v>701.24</v>
      </c>
      <c r="W45" s="29" t="n">
        <v>1131.36</v>
      </c>
      <c r="Z45" s="29" t="n">
        <v>53512.02</v>
      </c>
    </row>
    <row r="46">
      <c r="B46" s="2" t="inlineStr">
        <is>
          <t>5 - Land Improvements - Granite Ridge, LLC - Site - 15yr</t>
        </is>
      </c>
      <c r="M46" s="26" t="n">
        <v>11551.12</v>
      </c>
      <c r="O46" s="23">
        <f>SUM(F46:M46)</f>
        <v/>
      </c>
      <c r="X46" s="29" t="n">
        <v>11551.12</v>
      </c>
      <c r="Z46" s="29" t="n">
        <v>11551.12</v>
      </c>
    </row>
    <row r="47">
      <c r="B47" s="2" t="inlineStr">
        <is>
          <t>5 - Land Improvements - Granite Ridge, LLC - 27.5yr</t>
        </is>
      </c>
      <c r="F47" s="26" t="n">
        <v>9229.790000000001</v>
      </c>
      <c r="G47" s="26" t="n">
        <v>9229.790000000001</v>
      </c>
      <c r="H47" s="26" t="n">
        <v>9543.860000000001</v>
      </c>
      <c r="I47" s="26" t="n">
        <v>9229.790000000001</v>
      </c>
      <c r="J47" s="26" t="n">
        <v>9229.790000000001</v>
      </c>
      <c r="K47" s="26" t="n">
        <v>621.15</v>
      </c>
      <c r="L47" s="26" t="n">
        <v>621.15</v>
      </c>
      <c r="M47" s="26" t="n">
        <v>2300.95</v>
      </c>
      <c r="O47" s="23">
        <f>SUM(F47:M47)</f>
        <v/>
      </c>
      <c r="Q47" s="29" t="n">
        <v>9229.790000000001</v>
      </c>
      <c r="R47" s="29" t="n">
        <v>9229.790000000001</v>
      </c>
      <c r="S47" s="29" t="n">
        <v>9543.860000000001</v>
      </c>
      <c r="T47" s="29" t="n">
        <v>9229.790000000001</v>
      </c>
      <c r="U47" s="29" t="n">
        <v>9229.790000000001</v>
      </c>
      <c r="V47" s="29" t="n">
        <v>621.15</v>
      </c>
      <c r="W47" s="29" t="n">
        <v>621.15</v>
      </c>
      <c r="X47" s="29" t="n">
        <v>2300.95</v>
      </c>
      <c r="Z47" s="29" t="n">
        <v>50006.27</v>
      </c>
    </row>
    <row r="50" customFormat="1" s="10">
      <c r="E50" s="27" t="n"/>
      <c r="F50" s="27">
        <f>SUM(F39:F47)</f>
        <v/>
      </c>
      <c r="G50" s="27">
        <f>SUM(G39:G47)</f>
        <v/>
      </c>
      <c r="H50" s="27">
        <f>SUM(H39:H47)</f>
        <v/>
      </c>
      <c r="I50" s="27">
        <f>SUM(I39:I47)</f>
        <v/>
      </c>
      <c r="J50" s="27">
        <f>SUM(J39:J47)</f>
        <v/>
      </c>
      <c r="K50" s="27">
        <f>SUM(K39:K47)</f>
        <v/>
      </c>
      <c r="L50" s="27">
        <f>SUM(L39:L47)</f>
        <v/>
      </c>
      <c r="M50" s="27">
        <f>SUM(M39:M47)</f>
        <v/>
      </c>
      <c r="N50" s="27" t="n"/>
      <c r="O50" s="27">
        <f>SUM(O39:O47)</f>
        <v/>
      </c>
      <c r="P50" s="27" t="b">
        <v>1</v>
      </c>
      <c r="Q50" s="31">
        <f>SUM(Q39:Q49)</f>
        <v/>
      </c>
      <c r="R50" s="31">
        <f>SUM(R39:R49)</f>
        <v/>
      </c>
      <c r="S50" s="31">
        <f>SUM(S39:S49)</f>
        <v/>
      </c>
      <c r="T50" s="31">
        <f>SUM(T39:T49)</f>
        <v/>
      </c>
      <c r="U50" s="31">
        <f>SUM(U39:U49)</f>
        <v/>
      </c>
      <c r="V50" s="31">
        <f>SUM(V39:V49)</f>
        <v/>
      </c>
      <c r="W50" s="31">
        <f>SUM(W39:W49)</f>
        <v/>
      </c>
      <c r="X50" s="31">
        <f>SUM(X39:X49)</f>
        <v/>
      </c>
      <c r="Y50" s="27" t="n"/>
      <c r="Z50" s="27" t="n"/>
      <c r="AA50" s="27" t="n"/>
      <c r="AB50" s="27" t="n"/>
    </row>
    <row r="51">
      <c r="B51" s="2" t="inlineStr">
        <is>
          <t>After Cost Segregation (Corrected)</t>
        </is>
      </c>
      <c r="F51" s="26" t="n">
        <v>260273.19</v>
      </c>
      <c r="G51" s="26" t="n">
        <v>260273.19</v>
      </c>
      <c r="H51" s="26" t="n">
        <v>240510.1</v>
      </c>
      <c r="I51" s="26" t="n">
        <v>260273.19</v>
      </c>
      <c r="J51" s="26" t="n">
        <v>260273.19</v>
      </c>
      <c r="K51" s="26" t="n">
        <v>15790.24</v>
      </c>
      <c r="L51" s="26" t="n">
        <v>20926.27</v>
      </c>
      <c r="M51" s="26" t="n">
        <v>165405.34</v>
      </c>
      <c r="O51" s="26" t="n">
        <v>1483724.71</v>
      </c>
      <c r="Q51" s="30" t="n">
        <v>260273.19</v>
      </c>
      <c r="R51" s="30" t="n">
        <v>260273.19</v>
      </c>
      <c r="S51" s="30" t="n">
        <v>240510.1</v>
      </c>
      <c r="T51" s="30" t="n">
        <v>260273.19</v>
      </c>
      <c r="U51" s="30" t="n">
        <v>260273.19</v>
      </c>
      <c r="V51" s="30" t="n">
        <v>15790.24</v>
      </c>
      <c r="W51" s="30" t="n">
        <v>20926.27</v>
      </c>
      <c r="X51" s="30" t="n">
        <v>165405.34</v>
      </c>
      <c r="Z51" s="30" t="n">
        <v>1483724.71</v>
      </c>
    </row>
    <row r="52">
      <c r="B52" s="5" t="inlineStr">
        <is>
          <t>Section 481(a) Adjustment</t>
        </is>
      </c>
      <c r="F52" s="32" t="n">
        <v>-68919.16</v>
      </c>
      <c r="G52" s="32" t="n">
        <v>-68919.16</v>
      </c>
      <c r="H52" s="32" t="n">
        <v>-42750.29</v>
      </c>
      <c r="I52" s="32" t="n">
        <v>-68919.16</v>
      </c>
      <c r="J52" s="32" t="n">
        <v>-68919.16</v>
      </c>
      <c r="K52" s="32" t="n">
        <v>-2864.81</v>
      </c>
      <c r="L52" s="32" t="n">
        <v>-5942.49</v>
      </c>
      <c r="M52" s="32" t="n">
        <v>-41243.48</v>
      </c>
      <c r="O52" s="32" t="n">
        <v>-368477.71</v>
      </c>
      <c r="Q52" s="33" t="n">
        <v>-68919.16</v>
      </c>
      <c r="R52" s="33" t="n">
        <v>-68919.16</v>
      </c>
      <c r="S52" s="33" t="n">
        <v>-42750.29</v>
      </c>
      <c r="T52" s="33" t="n">
        <v>-68919.16</v>
      </c>
      <c r="U52" s="33" t="n">
        <v>-68919.16</v>
      </c>
      <c r="V52" s="33" t="n">
        <v>-2864.81</v>
      </c>
      <c r="W52" s="33" t="n">
        <v>-5942.49</v>
      </c>
      <c r="X52" s="33" t="n">
        <v>-41243.48</v>
      </c>
      <c r="Z52" s="33" t="n">
        <v>-368477.71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1-16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1-16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17-32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17-32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33-48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33-48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30136.41</v>
      </c>
      <c r="C16" s="7" t="n">
        <v>30136.41</v>
      </c>
    </row>
    <row r="17">
      <c r="A17" s="2" t="inlineStr">
        <is>
          <t>Moldings</t>
        </is>
      </c>
      <c r="B17" s="7" t="n">
        <v>5465.85</v>
      </c>
      <c r="C17" s="7" t="n">
        <v>5465.85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26142.1</v>
      </c>
      <c r="C20" s="7" t="n">
        <v>26142.1</v>
      </c>
    </row>
    <row r="21">
      <c r="A21" s="2" t="inlineStr">
        <is>
          <t>Door &amp; Window Guards</t>
        </is>
      </c>
      <c r="B21" s="7" t="n">
        <v>2272.28</v>
      </c>
      <c r="C21" s="7" t="n">
        <v>2272.28</v>
      </c>
    </row>
    <row r="22">
      <c r="A22" s="2" t="inlineStr">
        <is>
          <t>Window Treatments</t>
        </is>
      </c>
      <c r="B22" s="7" t="n">
        <v>6021.12</v>
      </c>
      <c r="C22" s="7" t="n">
        <v>6021.12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3873.27</v>
      </c>
      <c r="C25" s="7" t="n">
        <v>3873.27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1036.46</v>
      </c>
      <c r="C27" s="7" t="n">
        <v>1036.46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23448.01</v>
      </c>
      <c r="F32" s="7" t="n">
        <v>23448.01</v>
      </c>
    </row>
    <row r="33">
      <c r="A33" s="2" t="inlineStr">
        <is>
          <t>Foundations</t>
        </is>
      </c>
      <c r="B33" s="7" t="n">
        <v>29658.07</v>
      </c>
      <c r="F33" s="7" t="n">
        <v>29658.07</v>
      </c>
    </row>
    <row r="34">
      <c r="A34" s="2" t="inlineStr">
        <is>
          <t>HVAC</t>
        </is>
      </c>
      <c r="B34" s="7" t="n">
        <v>16607.81</v>
      </c>
      <c r="F34" s="7" t="n">
        <v>16607.81</v>
      </c>
    </row>
    <row r="35">
      <c r="A35" s="2" t="inlineStr">
        <is>
          <t>Electrical</t>
        </is>
      </c>
      <c r="B35" s="7" t="n">
        <v>34534.05</v>
      </c>
      <c r="F35" s="7" t="n">
        <v>34534.05</v>
      </c>
    </row>
    <row r="36">
      <c r="A36" s="2" t="inlineStr">
        <is>
          <t>Plumbing</t>
        </is>
      </c>
      <c r="B36" s="7" t="n">
        <v>36249.92</v>
      </c>
      <c r="F36" s="7" t="n">
        <v>36249.92</v>
      </c>
    </row>
    <row r="37">
      <c r="A37" s="2" t="inlineStr">
        <is>
          <t>Fire Protection &amp; Alarm</t>
        </is>
      </c>
      <c r="B37" s="7" t="n">
        <v>3365.95</v>
      </c>
      <c r="F37" s="7" t="n">
        <v>3365.95</v>
      </c>
    </row>
    <row r="38">
      <c r="A38" s="2" t="inlineStr">
        <is>
          <t>Exterior Façade / Building Skin</t>
        </is>
      </c>
      <c r="B38" s="7" t="n">
        <v>17091.99</v>
      </c>
      <c r="F38" s="7" t="n">
        <v>17091.99</v>
      </c>
    </row>
    <row r="39">
      <c r="A39" s="2" t="inlineStr">
        <is>
          <t>Doors &amp; Frames</t>
        </is>
      </c>
      <c r="B39" s="7" t="n">
        <v>23102.12</v>
      </c>
      <c r="F39" s="7" t="n">
        <v>23102.12</v>
      </c>
    </row>
    <row r="40">
      <c r="A40" s="2" t="inlineStr">
        <is>
          <t>Windows</t>
        </is>
      </c>
      <c r="B40" s="7" t="n">
        <v>17776.66</v>
      </c>
      <c r="F40" s="7" t="n">
        <v>17776.66</v>
      </c>
    </row>
    <row r="41">
      <c r="A41" s="2" t="inlineStr">
        <is>
          <t>Ceiling Systems</t>
        </is>
      </c>
      <c r="B41" s="7" t="n">
        <v>19066</v>
      </c>
      <c r="F41" s="7" t="n">
        <v>19066</v>
      </c>
    </row>
    <row r="42">
      <c r="A42" s="2" t="inlineStr">
        <is>
          <t>Interior Framing / Partitions</t>
        </is>
      </c>
      <c r="B42" s="7" t="n">
        <v>43666.66</v>
      </c>
      <c r="F42" s="7" t="n">
        <v>43666.66</v>
      </c>
    </row>
    <row r="43">
      <c r="A43" s="2" t="inlineStr">
        <is>
          <t>Painting</t>
        </is>
      </c>
      <c r="B43" s="7" t="n">
        <v>21220.8</v>
      </c>
      <c r="F43" s="7" t="n">
        <v>21220.8</v>
      </c>
    </row>
    <row r="44">
      <c r="A44" s="2" t="inlineStr">
        <is>
          <t>Gutter Systems</t>
        </is>
      </c>
      <c r="B44" s="7" t="n">
        <v>2526.07</v>
      </c>
      <c r="F44" s="7" t="n">
        <v>2526.07</v>
      </c>
    </row>
    <row r="45">
      <c r="A45" s="2" t="inlineStr">
        <is>
          <t>Emergency Lighting</t>
        </is>
      </c>
      <c r="B45" s="7" t="n">
        <v>112.69</v>
      </c>
      <c r="F45" s="7" t="n">
        <v>112.69</v>
      </c>
    </row>
    <row r="46">
      <c r="A46" s="2" t="inlineStr">
        <is>
          <t>Structural Framing</t>
        </is>
      </c>
      <c r="B46" s="7" t="n">
        <v>56261.51</v>
      </c>
      <c r="F46" s="7" t="n">
        <v>56261.51</v>
      </c>
    </row>
    <row r="47">
      <c r="A47" s="2" t="inlineStr">
        <is>
          <t>Stairs / Balconies</t>
        </is>
      </c>
      <c r="B47" s="7" t="n">
        <v>7945.49</v>
      </c>
      <c r="F47" s="7" t="n">
        <v>7945.49</v>
      </c>
    </row>
    <row r="48">
      <c r="A48" s="2" t="inlineStr">
        <is>
          <t>Bathroom Accessories</t>
        </is>
      </c>
      <c r="B48" s="7" t="n">
        <v>6661.79</v>
      </c>
      <c r="F48" s="7" t="n">
        <v>6661.79</v>
      </c>
    </row>
    <row r="49">
      <c r="A49" s="2" t="inlineStr">
        <is>
          <t>Cabinets / Millwork - Restrooms</t>
        </is>
      </c>
      <c r="B49" s="7" t="n">
        <v>7605.25</v>
      </c>
      <c r="F49" s="7" t="n">
        <v>7605.25</v>
      </c>
    </row>
    <row r="51">
      <c r="A51" s="4" t="inlineStr">
        <is>
          <t>Total Building Cost</t>
        </is>
      </c>
      <c r="B51" s="8" t="n">
        <v>493449.3</v>
      </c>
      <c r="C51" s="8" t="n">
        <v>126548.46</v>
      </c>
      <c r="F51" s="8" t="n">
        <v>366900.84</v>
      </c>
    </row>
    <row r="52">
      <c r="A52" s="2" t="inlineStr">
        <is>
          <t>% of Building Cost</t>
        </is>
      </c>
      <c r="C52" s="9" t="n">
        <v>0.256</v>
      </c>
      <c r="F52" s="9" t="n">
        <v>0.744</v>
      </c>
    </row>
    <row r="54">
      <c r="A54" s="1" t="inlineStr">
        <is>
          <t>Asset Allocation:</t>
        </is>
      </c>
    </row>
    <row r="55">
      <c r="A55" s="2" t="inlineStr">
        <is>
          <t>Asset #2 Building</t>
        </is>
      </c>
      <c r="B55" s="7" t="n">
        <v>402217.16</v>
      </c>
      <c r="C55" s="7" t="n">
        <v>103151.35</v>
      </c>
      <c r="F55" s="7" t="n">
        <v>299065.81</v>
      </c>
    </row>
    <row r="56">
      <c r="A56" s="2" t="inlineStr">
        <is>
          <t>Asset #4 Equipment</t>
        </is>
      </c>
      <c r="B56" s="7" t="n">
        <v>49907.71</v>
      </c>
      <c r="C56" s="7" t="n">
        <v>12799.17</v>
      </c>
      <c r="F56" s="7" t="n">
        <v>37108.54</v>
      </c>
    </row>
    <row r="57">
      <c r="A57" s="2" t="inlineStr">
        <is>
          <t>Asset #5 Land Improvements</t>
        </is>
      </c>
      <c r="B57" s="7" t="n">
        <v>41324.43</v>
      </c>
      <c r="C57" s="7" t="n">
        <v>10597.94</v>
      </c>
      <c r="F57" s="7" t="n">
        <v>30726.49</v>
      </c>
    </row>
    <row r="58">
      <c r="A58" s="4" t="inlineStr">
        <is>
          <t>Total Allocation:</t>
        </is>
      </c>
      <c r="B58" s="8" t="n">
        <v>493449.3</v>
      </c>
      <c r="C58" s="8" t="n">
        <v>126548.46</v>
      </c>
      <c r="F58" s="8" t="n">
        <v>366900.84</v>
      </c>
    </row>
    <row r="60">
      <c r="A60" s="1" t="inlineStr">
        <is>
          <t>End Depreciation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49-64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49-64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65-80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65-80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1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1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148.53</v>
      </c>
      <c r="C16" s="7" t="n">
        <v>148.53</v>
      </c>
    </row>
    <row r="17">
      <c r="A17" s="2" t="inlineStr">
        <is>
          <t>Moldings</t>
        </is>
      </c>
      <c r="B17" s="7" t="n">
        <v>292.56</v>
      </c>
      <c r="C17" s="7" t="n">
        <v>292.56</v>
      </c>
    </row>
    <row r="18">
      <c r="A18" s="2" t="inlineStr">
        <is>
          <t>Flooring - Vinyl Tile</t>
        </is>
      </c>
      <c r="B18" s="7" t="n">
        <v>855.53</v>
      </c>
      <c r="C18" s="7" t="n">
        <v>855.53</v>
      </c>
    </row>
    <row r="19">
      <c r="A19" s="2" t="inlineStr">
        <is>
          <t>Interior Half Walls</t>
        </is>
      </c>
      <c r="B19" s="7" t="n">
        <v>145.41</v>
      </c>
      <c r="C19" s="7" t="n">
        <v>145.41</v>
      </c>
    </row>
    <row r="20">
      <c r="A20" s="2" t="inlineStr">
        <is>
          <t>Door &amp; Window Guards</t>
        </is>
      </c>
      <c r="B20" s="7" t="n">
        <v>383.89</v>
      </c>
      <c r="C20" s="7" t="n">
        <v>383.89</v>
      </c>
    </row>
    <row r="21">
      <c r="A21" s="2" t="inlineStr">
        <is>
          <t>Specialty HVAC - Dryer Vents</t>
        </is>
      </c>
      <c r="B21" s="7" t="n">
        <v>231.79</v>
      </c>
      <c r="C21" s="7" t="n">
        <v>231.79</v>
      </c>
    </row>
    <row r="22">
      <c r="A22" s="2" t="inlineStr">
        <is>
          <t>Specialty Electrical - Appliances</t>
        </is>
      </c>
      <c r="B22" s="7" t="n">
        <v>1223.14</v>
      </c>
      <c r="C22" s="7" t="n">
        <v>1223.14</v>
      </c>
    </row>
    <row r="23">
      <c r="A23" s="2" t="inlineStr">
        <is>
          <t>Communication / Data</t>
        </is>
      </c>
      <c r="B23" s="7" t="n">
        <v>199.38</v>
      </c>
      <c r="C23" s="7" t="n">
        <v>199.38</v>
      </c>
    </row>
    <row r="24">
      <c r="A24" s="2" t="inlineStr">
        <is>
          <t>Specialty Plumbing - Laundry</t>
        </is>
      </c>
      <c r="B24" s="7" t="n">
        <v>967.76</v>
      </c>
      <c r="C24" s="7" t="n">
        <v>967.76</v>
      </c>
    </row>
    <row r="25">
      <c r="A25" s="2" t="inlineStr">
        <is>
          <t>Security / Exterior Lighting</t>
        </is>
      </c>
      <c r="B25" s="7" t="n">
        <v>574.11</v>
      </c>
      <c r="C25" s="7" t="n">
        <v>574.11</v>
      </c>
    </row>
    <row r="26">
      <c r="A26" s="2" t="inlineStr">
        <is>
          <t>Appliances</t>
        </is>
      </c>
      <c r="B26" s="7" t="n">
        <v>3351.41</v>
      </c>
      <c r="C26" s="7" t="n">
        <v>3351.41</v>
      </c>
    </row>
    <row r="28">
      <c r="A28" s="6" t="inlineStr">
        <is>
          <t>Building Structure</t>
        </is>
      </c>
    </row>
    <row r="29">
      <c r="A29" s="2" t="inlineStr">
        <is>
          <t>Roofing Systems</t>
        </is>
      </c>
      <c r="B29" s="7" t="n">
        <v>2719.68</v>
      </c>
      <c r="F29" s="7" t="n">
        <v>2719.68</v>
      </c>
    </row>
    <row r="30">
      <c r="A30" s="2" t="inlineStr">
        <is>
          <t>Foundations</t>
        </is>
      </c>
      <c r="B30" s="7" t="n">
        <v>3519.01</v>
      </c>
      <c r="F30" s="7" t="n">
        <v>3519.01</v>
      </c>
    </row>
    <row r="31">
      <c r="A31" s="2" t="inlineStr">
        <is>
          <t>HVAC</t>
        </is>
      </c>
      <c r="B31" s="7" t="n">
        <v>2302.98</v>
      </c>
      <c r="F31" s="7" t="n">
        <v>2302.98</v>
      </c>
    </row>
    <row r="32">
      <c r="A32" s="2" t="inlineStr">
        <is>
          <t>Electrical</t>
        </is>
      </c>
      <c r="B32" s="7" t="n">
        <v>2425.62</v>
      </c>
      <c r="F32" s="7" t="n">
        <v>2425.62</v>
      </c>
    </row>
    <row r="33">
      <c r="A33" s="2" t="inlineStr">
        <is>
          <t>Fire Protection &amp; Alarm</t>
        </is>
      </c>
      <c r="B33" s="7" t="n">
        <v>317.12</v>
      </c>
      <c r="F33" s="7" t="n">
        <v>317.12</v>
      </c>
    </row>
    <row r="34">
      <c r="A34" s="2" t="inlineStr">
        <is>
          <t>Exterior Façade / Building Skin</t>
        </is>
      </c>
      <c r="B34" s="7" t="n">
        <v>1711.27</v>
      </c>
      <c r="F34" s="7" t="n">
        <v>1711.27</v>
      </c>
    </row>
    <row r="35">
      <c r="A35" s="2" t="inlineStr">
        <is>
          <t>Doors &amp; Frames</t>
        </is>
      </c>
      <c r="B35" s="7" t="n">
        <v>1055.79</v>
      </c>
      <c r="F35" s="7" t="n">
        <v>1055.79</v>
      </c>
    </row>
    <row r="36">
      <c r="A36" s="2" t="inlineStr">
        <is>
          <t>Windows</t>
        </is>
      </c>
      <c r="B36" s="7" t="n">
        <v>708.36</v>
      </c>
      <c r="F36" s="7" t="n">
        <v>708.36</v>
      </c>
    </row>
    <row r="37">
      <c r="A37" s="2" t="inlineStr">
        <is>
          <t>Ceiling Systems</t>
        </is>
      </c>
      <c r="B37" s="7" t="n">
        <v>1052.96</v>
      </c>
      <c r="F37" s="7" t="n">
        <v>1052.96</v>
      </c>
    </row>
    <row r="38">
      <c r="A38" s="2" t="inlineStr">
        <is>
          <t>Interior Framing / Partitions</t>
        </is>
      </c>
      <c r="B38" s="7" t="n">
        <v>1843.49</v>
      </c>
      <c r="F38" s="7" t="n">
        <v>1843.49</v>
      </c>
    </row>
    <row r="39">
      <c r="A39" s="2" t="inlineStr">
        <is>
          <t>Painting</t>
        </is>
      </c>
      <c r="B39" s="7" t="n">
        <v>1263.38</v>
      </c>
      <c r="F39" s="7" t="n">
        <v>1263.38</v>
      </c>
    </row>
    <row r="40">
      <c r="A40" s="2" t="inlineStr">
        <is>
          <t>Gutter Systems</t>
        </is>
      </c>
      <c r="B40" s="7" t="n">
        <v>673.55</v>
      </c>
      <c r="F40" s="7" t="n">
        <v>673.55</v>
      </c>
    </row>
    <row r="41">
      <c r="A41" s="2" t="inlineStr">
        <is>
          <t>Structural Framing</t>
        </is>
      </c>
      <c r="B41" s="7" t="n">
        <v>4284.8</v>
      </c>
      <c r="F41" s="7" t="n">
        <v>4284.8</v>
      </c>
    </row>
    <row r="43">
      <c r="A43" s="4" t="inlineStr">
        <is>
          <t>Total Building Cost</t>
        </is>
      </c>
      <c r="B43" s="8" t="n">
        <v>32251.52</v>
      </c>
      <c r="C43" s="8" t="n">
        <v>8373.51</v>
      </c>
      <c r="F43" s="8" t="n">
        <v>23878.01</v>
      </c>
    </row>
    <row r="44">
      <c r="A44" s="2" t="inlineStr">
        <is>
          <t>% of Building Cost</t>
        </is>
      </c>
      <c r="C44" s="9" t="n">
        <v>0.26</v>
      </c>
      <c r="F44" s="9" t="n">
        <v>0.74</v>
      </c>
    </row>
    <row r="46">
      <c r="A46" s="1" t="inlineStr">
        <is>
          <t>Asset Allocation:</t>
        </is>
      </c>
    </row>
    <row r="47">
      <c r="A47" s="2" t="inlineStr">
        <is>
          <t>Asset #2 Building</t>
        </is>
      </c>
      <c r="B47" s="7" t="n">
        <v>26288.67</v>
      </c>
      <c r="C47" s="7" t="n">
        <v>6825.37</v>
      </c>
      <c r="F47" s="7" t="n">
        <v>19463.3</v>
      </c>
    </row>
    <row r="48">
      <c r="A48" s="2" t="inlineStr">
        <is>
          <t>Asset #4 Equipment</t>
        </is>
      </c>
      <c r="B48" s="7" t="n">
        <v>3261.92</v>
      </c>
      <c r="C48" s="7" t="n">
        <v>846.9</v>
      </c>
      <c r="F48" s="7" t="n">
        <v>2415.02</v>
      </c>
    </row>
    <row r="49">
      <c r="A49" s="2" t="inlineStr">
        <is>
          <t>Asset #5 Land Improvements</t>
        </is>
      </c>
      <c r="B49" s="7" t="n">
        <v>2700.93</v>
      </c>
      <c r="C49" s="7" t="n">
        <v>701.24</v>
      </c>
      <c r="F49" s="7" t="n">
        <v>1999.69</v>
      </c>
    </row>
    <row r="50">
      <c r="A50" s="4" t="inlineStr">
        <is>
          <t>Total Allocation:</t>
        </is>
      </c>
      <c r="B50" s="8" t="n">
        <v>32251.52</v>
      </c>
      <c r="C50" s="8" t="n">
        <v>8373.51</v>
      </c>
      <c r="F50" s="8" t="n">
        <v>23878.01</v>
      </c>
    </row>
    <row r="52">
      <c r="A52" s="1" t="inlineStr">
        <is>
          <t>End Depreciation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148.53</v>
      </c>
      <c r="C16" s="7" t="n">
        <v>148.53</v>
      </c>
    </row>
    <row r="17">
      <c r="A17" s="2" t="inlineStr">
        <is>
          <t>Moldings</t>
        </is>
      </c>
      <c r="B17" s="7" t="n">
        <v>292.56</v>
      </c>
      <c r="C17" s="7" t="n">
        <v>292.56</v>
      </c>
    </row>
    <row r="18">
      <c r="A18" s="2" t="inlineStr">
        <is>
          <t>Flooring - Vinyl Tile</t>
        </is>
      </c>
      <c r="B18" s="7" t="n">
        <v>855.53</v>
      </c>
      <c r="C18" s="7" t="n">
        <v>855.53</v>
      </c>
    </row>
    <row r="19">
      <c r="A19" s="2" t="inlineStr">
        <is>
          <t>Interior Half Walls</t>
        </is>
      </c>
      <c r="B19" s="7" t="n">
        <v>145.41</v>
      </c>
      <c r="C19" s="7" t="n">
        <v>145.41</v>
      </c>
    </row>
    <row r="20">
      <c r="A20" s="2" t="inlineStr">
        <is>
          <t>Door &amp; Window Guards</t>
        </is>
      </c>
      <c r="B20" s="7" t="n">
        <v>383.89</v>
      </c>
      <c r="C20" s="7" t="n">
        <v>383.89</v>
      </c>
    </row>
    <row r="21">
      <c r="A21" s="2" t="inlineStr">
        <is>
          <t>Specialty HVAC - Dryer Vents</t>
        </is>
      </c>
      <c r="B21" s="7" t="n">
        <v>231.79</v>
      </c>
      <c r="C21" s="7" t="n">
        <v>231.79</v>
      </c>
    </row>
    <row r="22">
      <c r="A22" s="2" t="inlineStr">
        <is>
          <t>Specialty Electrical - Appliances</t>
        </is>
      </c>
      <c r="B22" s="7" t="n">
        <v>1223.14</v>
      </c>
      <c r="C22" s="7" t="n">
        <v>1223.14</v>
      </c>
    </row>
    <row r="23">
      <c r="A23" s="2" t="inlineStr">
        <is>
          <t>Communication / Data</t>
        </is>
      </c>
      <c r="B23" s="7" t="n">
        <v>199.38</v>
      </c>
      <c r="C23" s="7" t="n">
        <v>199.38</v>
      </c>
    </row>
    <row r="24">
      <c r="A24" s="2" t="inlineStr">
        <is>
          <t>Specialty Plumbing - Laundry</t>
        </is>
      </c>
      <c r="B24" s="7" t="n">
        <v>967.76</v>
      </c>
      <c r="C24" s="7" t="n">
        <v>967.76</v>
      </c>
    </row>
    <row r="25">
      <c r="A25" s="2" t="inlineStr">
        <is>
          <t>Security / Exterior Lighting</t>
        </is>
      </c>
      <c r="B25" s="7" t="n">
        <v>574.11</v>
      </c>
      <c r="C25" s="7" t="n">
        <v>574.11</v>
      </c>
    </row>
    <row r="26">
      <c r="A26" s="2" t="inlineStr">
        <is>
          <t>Mailboxes</t>
        </is>
      </c>
      <c r="B26" s="7" t="n">
        <v>5135.94</v>
      </c>
      <c r="C26" s="7" t="n">
        <v>5135.94</v>
      </c>
    </row>
    <row r="27">
      <c r="A27" s="2" t="inlineStr">
        <is>
          <t>Appliances</t>
        </is>
      </c>
      <c r="B27" s="7" t="n">
        <v>3351.42</v>
      </c>
      <c r="C27" s="7" t="n">
        <v>3351.42</v>
      </c>
    </row>
    <row r="29">
      <c r="A29" s="6" t="inlineStr">
        <is>
          <t>Building Structure</t>
        </is>
      </c>
    </row>
    <row r="30">
      <c r="A30" s="2" t="inlineStr">
        <is>
          <t>Roofing Systems</t>
        </is>
      </c>
      <c r="B30" s="7" t="n">
        <v>2719.65</v>
      </c>
      <c r="F30" s="7" t="n">
        <v>2719.65</v>
      </c>
    </row>
    <row r="31">
      <c r="A31" s="2" t="inlineStr">
        <is>
          <t>Foundations</t>
        </is>
      </c>
      <c r="B31" s="7" t="n">
        <v>3519.01</v>
      </c>
      <c r="F31" s="7" t="n">
        <v>3519.01</v>
      </c>
    </row>
    <row r="32">
      <c r="A32" s="2" t="inlineStr">
        <is>
          <t>HVAC</t>
        </is>
      </c>
      <c r="B32" s="7" t="n">
        <v>2302.99</v>
      </c>
      <c r="F32" s="7" t="n">
        <v>2302.99</v>
      </c>
    </row>
    <row r="33">
      <c r="A33" s="2" t="inlineStr">
        <is>
          <t>Electrical</t>
        </is>
      </c>
      <c r="B33" s="7" t="n">
        <v>2425.62</v>
      </c>
      <c r="F33" s="7" t="n">
        <v>2425.62</v>
      </c>
    </row>
    <row r="34">
      <c r="A34" s="2" t="inlineStr">
        <is>
          <t>Fire Protection &amp; Alarm</t>
        </is>
      </c>
      <c r="B34" s="7" t="n">
        <v>317.12</v>
      </c>
      <c r="F34" s="7" t="n">
        <v>317.12</v>
      </c>
    </row>
    <row r="35">
      <c r="A35" s="2" t="inlineStr">
        <is>
          <t>Exterior Façade / Building Skin</t>
        </is>
      </c>
      <c r="B35" s="7" t="n">
        <v>1711.27</v>
      </c>
      <c r="F35" s="7" t="n">
        <v>1711.27</v>
      </c>
    </row>
    <row r="36">
      <c r="A36" s="2" t="inlineStr">
        <is>
          <t>Doors &amp; Frames</t>
        </is>
      </c>
      <c r="B36" s="7" t="n">
        <v>1055.79</v>
      </c>
      <c r="F36" s="7" t="n">
        <v>1055.79</v>
      </c>
    </row>
    <row r="37">
      <c r="A37" s="2" t="inlineStr">
        <is>
          <t>Windows</t>
        </is>
      </c>
      <c r="B37" s="7" t="n">
        <v>708.36</v>
      </c>
      <c r="F37" s="7" t="n">
        <v>708.36</v>
      </c>
    </row>
    <row r="38">
      <c r="A38" s="2" t="inlineStr">
        <is>
          <t>Ceiling Systems</t>
        </is>
      </c>
      <c r="B38" s="7" t="n">
        <v>1052.96</v>
      </c>
      <c r="F38" s="7" t="n">
        <v>1052.96</v>
      </c>
    </row>
    <row r="39">
      <c r="A39" s="2" t="inlineStr">
        <is>
          <t>Interior Framing / Partitions</t>
        </is>
      </c>
      <c r="B39" s="7" t="n">
        <v>1843.49</v>
      </c>
      <c r="F39" s="7" t="n">
        <v>1843.49</v>
      </c>
    </row>
    <row r="40">
      <c r="A40" s="2" t="inlineStr">
        <is>
          <t>Painting</t>
        </is>
      </c>
      <c r="B40" s="7" t="n">
        <v>1263.38</v>
      </c>
      <c r="F40" s="7" t="n">
        <v>1263.38</v>
      </c>
    </row>
    <row r="41">
      <c r="A41" s="2" t="inlineStr">
        <is>
          <t>Gutter Systems</t>
        </is>
      </c>
      <c r="B41" s="7" t="n">
        <v>673.55</v>
      </c>
      <c r="F41" s="7" t="n">
        <v>673.55</v>
      </c>
    </row>
    <row r="42">
      <c r="A42" s="2" t="inlineStr">
        <is>
          <t>Structural Framing</t>
        </is>
      </c>
      <c r="B42" s="7" t="n">
        <v>4284.8</v>
      </c>
      <c r="F42" s="7" t="n">
        <v>4284.8</v>
      </c>
    </row>
    <row r="44">
      <c r="A44" s="4" t="inlineStr">
        <is>
          <t>Total Building Cost</t>
        </is>
      </c>
      <c r="B44" s="8" t="n">
        <v>37387.45</v>
      </c>
      <c r="C44" s="8" t="n">
        <v>13509.46</v>
      </c>
      <c r="F44" s="8" t="n">
        <v>23877.99</v>
      </c>
    </row>
    <row r="45">
      <c r="A45" s="2" t="inlineStr">
        <is>
          <t>% of Building Cost</t>
        </is>
      </c>
      <c r="C45" s="9" t="n">
        <v>0.361</v>
      </c>
      <c r="F45" s="9" t="n">
        <v>0.639</v>
      </c>
    </row>
    <row r="47">
      <c r="A47" s="1" t="inlineStr">
        <is>
          <t>Asset Allocation:</t>
        </is>
      </c>
    </row>
    <row r="48">
      <c r="A48" s="2" t="inlineStr">
        <is>
          <t>Asset #2 Building</t>
        </is>
      </c>
      <c r="B48" s="7" t="n">
        <v>30475.01</v>
      </c>
      <c r="C48" s="7" t="n">
        <v>11011.74</v>
      </c>
      <c r="F48" s="7" t="n">
        <v>19463.27</v>
      </c>
    </row>
    <row r="49">
      <c r="A49" s="2" t="inlineStr">
        <is>
          <t>Asset #4 Equipment</t>
        </is>
      </c>
      <c r="B49" s="7" t="n">
        <v>3781.39</v>
      </c>
      <c r="C49" s="7" t="n">
        <v>1366.36</v>
      </c>
      <c r="F49" s="7" t="n">
        <v>2415.03</v>
      </c>
    </row>
    <row r="50">
      <c r="A50" s="2" t="inlineStr">
        <is>
          <t>Asset #5 Land Improvements</t>
        </is>
      </c>
      <c r="B50" s="7" t="n">
        <v>3131.05</v>
      </c>
      <c r="C50" s="7" t="n">
        <v>1131.36</v>
      </c>
      <c r="F50" s="7" t="n">
        <v>1999.69</v>
      </c>
    </row>
    <row r="51">
      <c r="A51" s="4" t="inlineStr">
        <is>
          <t>Total Allocation:</t>
        </is>
      </c>
      <c r="B51" s="8" t="n">
        <v>37387.45</v>
      </c>
      <c r="C51" s="8" t="n">
        <v>13509.46</v>
      </c>
      <c r="F51" s="8" t="n">
        <v>23877.99</v>
      </c>
    </row>
    <row r="53">
      <c r="A53" s="1" t="inlineStr">
        <is>
          <t>End Depreciation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Site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Site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Site Components</t>
        </is>
      </c>
    </row>
    <row r="16">
      <c r="A16" s="2" t="inlineStr">
        <is>
          <t>Site Drainage</t>
        </is>
      </c>
      <c r="B16" s="7" t="n">
        <v>5624.03</v>
      </c>
      <c r="E16" s="7" t="n">
        <v>5624.03</v>
      </c>
    </row>
    <row r="17">
      <c r="A17" s="2" t="inlineStr">
        <is>
          <t>Parking Lot</t>
        </is>
      </c>
      <c r="B17" s="7" t="n">
        <v>95314.96000000001</v>
      </c>
      <c r="E17" s="7" t="n">
        <v>95314.96000000001</v>
      </c>
    </row>
    <row r="18">
      <c r="A18" s="2" t="inlineStr">
        <is>
          <t>Parking Lot Striping / Barriers</t>
        </is>
      </c>
      <c r="B18" s="7" t="n">
        <v>5701.04</v>
      </c>
      <c r="E18" s="7" t="n">
        <v>5701.04</v>
      </c>
    </row>
    <row r="19">
      <c r="A19" s="2" t="inlineStr">
        <is>
          <t>Sidewalks / Curbs</t>
        </is>
      </c>
      <c r="B19" s="7" t="n">
        <v>55092.32</v>
      </c>
      <c r="E19" s="7" t="n">
        <v>55092.32</v>
      </c>
    </row>
    <row r="20">
      <c r="A20" s="2" t="inlineStr">
        <is>
          <t>Landscaping</t>
        </is>
      </c>
      <c r="B20" s="7" t="n">
        <v>1505.06</v>
      </c>
      <c r="E20" s="7" t="n">
        <v>1505.06</v>
      </c>
    </row>
    <row r="21">
      <c r="A21" s="2" t="inlineStr">
        <is>
          <t>Security Lighting Poles</t>
        </is>
      </c>
      <c r="B21" s="7" t="n">
        <v>3257.67</v>
      </c>
      <c r="E21" s="7" t="n">
        <v>3257.67</v>
      </c>
    </row>
    <row r="22">
      <c r="A22" s="2" t="inlineStr">
        <is>
          <t>Exterior Fencing</t>
        </is>
      </c>
      <c r="B22" s="7" t="n">
        <v>47550.94</v>
      </c>
      <c r="E22" s="7" t="n">
        <v>47550.94</v>
      </c>
    </row>
    <row r="23">
      <c r="A23" s="2" t="inlineStr">
        <is>
          <t>Dumpster Enclosures</t>
        </is>
      </c>
      <c r="B23" s="7" t="n">
        <v>3242.49</v>
      </c>
      <c r="E23" s="7" t="n">
        <v>3242.49</v>
      </c>
    </row>
    <row r="24">
      <c r="A24" s="2" t="inlineStr">
        <is>
          <t>Exterior Equipment Concrete Pads</t>
        </is>
      </c>
      <c r="B24" s="7" t="n">
        <v>1371.03</v>
      </c>
      <c r="E24" s="7" t="n">
        <v>1371.03</v>
      </c>
    </row>
    <row r="25">
      <c r="A25" s="2" t="inlineStr">
        <is>
          <t>Playground</t>
        </is>
      </c>
      <c r="B25" s="7" t="n">
        <v>5187.13</v>
      </c>
      <c r="E25" s="7" t="n">
        <v>5187.13</v>
      </c>
    </row>
    <row r="27">
      <c r="A27" s="6" t="inlineStr">
        <is>
          <t>Site Utilities</t>
        </is>
      </c>
    </row>
    <row r="28">
      <c r="A28" s="2" t="inlineStr">
        <is>
          <t>Site Utilities</t>
        </is>
      </c>
      <c r="B28" s="7" t="n">
        <v>88456.46000000001</v>
      </c>
      <c r="F28" s="7" t="n">
        <v>88456.46000000001</v>
      </c>
    </row>
    <row r="30">
      <c r="A30" s="4" t="inlineStr">
        <is>
          <t>Total Site Cost</t>
        </is>
      </c>
      <c r="B30" s="8" t="n">
        <v>312303.13</v>
      </c>
      <c r="E30" s="8" t="n">
        <v>223846.67</v>
      </c>
      <c r="F30" s="8" t="n">
        <v>88456.46000000001</v>
      </c>
    </row>
    <row r="31">
      <c r="A31" s="2" t="inlineStr">
        <is>
          <t>% of Site Cost</t>
        </is>
      </c>
      <c r="E31" s="9" t="n">
        <v>0.717</v>
      </c>
      <c r="F31" s="9" t="n">
        <v>0.283</v>
      </c>
    </row>
    <row r="33">
      <c r="A33" s="1" t="inlineStr">
        <is>
          <t>Asset Allocation:</t>
        </is>
      </c>
    </row>
    <row r="34">
      <c r="A34" s="2" t="inlineStr">
        <is>
          <t>Asset #2 Building</t>
        </is>
      </c>
      <c r="B34" s="7" t="n">
        <v>254562.48</v>
      </c>
      <c r="E34" s="7" t="n">
        <v>182460.43</v>
      </c>
      <c r="F34" s="7" t="n">
        <v>72102.05</v>
      </c>
    </row>
    <row r="35">
      <c r="A35" s="2" t="inlineStr">
        <is>
          <t>Asset #4 Equipment</t>
        </is>
      </c>
      <c r="B35" s="7" t="n">
        <v>31586.5</v>
      </c>
      <c r="E35" s="7" t="n">
        <v>22639.97</v>
      </c>
      <c r="F35" s="7" t="n">
        <v>8946.530000000001</v>
      </c>
    </row>
    <row r="36">
      <c r="A36" s="2" t="inlineStr">
        <is>
          <t>Asset #5 Land Improvements</t>
        </is>
      </c>
      <c r="B36" s="7" t="n">
        <v>26154.15</v>
      </c>
      <c r="E36" s="7" t="n">
        <v>18746.27</v>
      </c>
      <c r="F36" s="7" t="n">
        <v>7407.88</v>
      </c>
    </row>
    <row r="37">
      <c r="A37" s="4" t="inlineStr">
        <is>
          <t>Total Allocation:</t>
        </is>
      </c>
      <c r="B37" s="8" t="n">
        <v>312303.13</v>
      </c>
      <c r="E37" s="8" t="n">
        <v>223846.67</v>
      </c>
      <c r="F37" s="8" t="n">
        <v>88456.46000000001</v>
      </c>
    </row>
    <row r="39">
      <c r="A39" s="1" t="inlineStr">
        <is>
          <t>End Depreciation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2026-06-23T23:45:05Z</dcterms:created>
  <dcterms:modified xmlns:dcterms="http://purl.org/dc/terms/" xmlns:xsi="http://www.w3.org/2001/XMLSchema-instance" xsi:type="dcterms:W3CDTF">2026-06-23T23:56:29Z</dcterms:modified>
  <cp:lastModifiedBy>Brandon Rose</cp:lastModifiedBy>
</cp:coreProperties>
</file>