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ldg 1" sheetId="2" state="visible" r:id="rId2"/>
    <sheet xmlns:r="http://schemas.openxmlformats.org/officeDocument/2006/relationships" name="bldg 2" sheetId="3" state="visible" r:id="rId3"/>
    <sheet xmlns:r="http://schemas.openxmlformats.org/officeDocument/2006/relationships" name="bldg 3" sheetId="4" state="visible" r:id="rId4"/>
    <sheet xmlns:r="http://schemas.openxmlformats.org/officeDocument/2006/relationships" name="bldg 4" sheetId="5" state="visible" r:id="rId5"/>
    <sheet xmlns:r="http://schemas.openxmlformats.org/officeDocument/2006/relationships" name="bldg 5" sheetId="6" state="visible" r:id="rId6"/>
    <sheet xmlns:r="http://schemas.openxmlformats.org/officeDocument/2006/relationships" name="bldg 6" sheetId="7" state="visible" r:id="rId7"/>
    <sheet xmlns:r="http://schemas.openxmlformats.org/officeDocument/2006/relationships" name="bldg 7" sheetId="8" state="visible" r:id="rId8"/>
    <sheet xmlns:r="http://schemas.openxmlformats.org/officeDocument/2006/relationships" name="bldg 8" sheetId="9" state="visible" r:id="rId9"/>
    <sheet xmlns:r="http://schemas.openxmlformats.org/officeDocument/2006/relationships" name="bldg 9" sheetId="10" state="visible" r:id="rId10"/>
    <sheet xmlns:r="http://schemas.openxmlformats.org/officeDocument/2006/relationships" name="office" sheetId="11" state="visible" r:id="rId11"/>
    <sheet xmlns:r="http://schemas.openxmlformats.org/officeDocument/2006/relationships" name="sit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&quot;$&quot;#,##0.00"/>
    <numFmt numFmtId="166" formatCode="0.0%"/>
  </numFmts>
  <fonts count="3">
    <font>
      <name val="Calibri"/>
      <family val="2"/>
      <color theme="1"/>
      <sz val="11"/>
      <scheme val="minor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4" fontId="2" fillId="0" borderId="0" pivotButton="0" quotePrefix="0" xfId="0"/>
    <xf numFmtId="0" fontId="1" fillId="3" borderId="0" pivotButton="0" quotePrefix="0" xfId="0"/>
    <xf numFmtId="164" fontId="1" fillId="3" borderId="0" pivotButton="0" quotePrefix="0" xfId="0"/>
    <xf numFmtId="4" fontId="0" fillId="0" borderId="0" pivotButton="0" quotePrefix="0" xfId="0"/>
    <xf numFmtId="39" fontId="2" fillId="0" borderId="0" pivotButton="0" quotePrefix="0" xfId="0"/>
    <xf numFmtId="0" fontId="1" fillId="4" borderId="0" pivotButton="0" quotePrefix="0" xfId="0"/>
    <xf numFmtId="39" fontId="2" fillId="4" borderId="0" pivotButton="0" quotePrefix="0" xfId="0"/>
    <xf numFmtId="39" fontId="0" fillId="0" borderId="0" pivotButton="0" quotePrefix="0" xfId="0"/>
    <xf numFmtId="0" fontId="1" fillId="5" borderId="0" pivotButton="0" quotePrefix="0" xfId="0"/>
    <xf numFmtId="165" fontId="2" fillId="0" borderId="0" pivotButton="0" quotePrefix="0" xfId="0"/>
    <xf numFmtId="165" fontId="1" fillId="3" borderId="0" pivotButton="0" quotePrefix="0" xfId="0"/>
    <xf numFmtId="166" fontId="2" fillId="0" borderId="0" pivotButton="0" quotePrefix="0" xfId="0"/>
    <xf numFmtId="39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12" customWidth="1" min="4" max="4"/>
    <col width="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8" max="18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2" max="32"/>
  </cols>
  <sheetData>
    <row r="1">
      <c r="A1" s="1" t="inlineStr">
        <is>
          <t>Coral Village Housing LP</t>
        </is>
      </c>
    </row>
    <row r="2">
      <c r="A2" s="2" t="inlineStr">
        <is>
          <t>Summary of Cost Seg Adjustments</t>
        </is>
      </c>
    </row>
    <row r="3">
      <c r="A3" s="2" t="inlineStr">
        <is>
          <t>As of December 31, 2024</t>
        </is>
      </c>
    </row>
    <row r="9">
      <c r="T9" s="2" t="inlineStr">
        <is>
          <t>end deprec</t>
        </is>
      </c>
    </row>
    <row r="10">
      <c r="A10" s="3" t="inlineStr">
        <is>
          <t>Acq Date</t>
        </is>
      </c>
      <c r="B10" s="3" t="inlineStr">
        <is>
          <t>Asset Description</t>
        </is>
      </c>
      <c r="E10" s="3" t="inlineStr">
        <is>
          <t>#</t>
        </is>
      </c>
      <c r="F10" s="3" t="inlineStr">
        <is>
          <t>bldg 1</t>
        </is>
      </c>
      <c r="G10" s="3" t="inlineStr">
        <is>
          <t>bldg 2</t>
        </is>
      </c>
      <c r="H10" s="3" t="inlineStr">
        <is>
          <t>bldg 3</t>
        </is>
      </c>
      <c r="I10" s="3" t="inlineStr">
        <is>
          <t>bldg 4</t>
        </is>
      </c>
      <c r="J10" s="3" t="inlineStr">
        <is>
          <t>bldg 5</t>
        </is>
      </c>
      <c r="K10" s="3" t="inlineStr">
        <is>
          <t>bldg 6</t>
        </is>
      </c>
      <c r="L10" s="3" t="inlineStr">
        <is>
          <t>bldg 7</t>
        </is>
      </c>
      <c r="M10" s="3" t="inlineStr">
        <is>
          <t>bldg 8</t>
        </is>
      </c>
      <c r="N10" s="3" t="inlineStr">
        <is>
          <t>bldg 9</t>
        </is>
      </c>
      <c r="O10" s="3" t="inlineStr">
        <is>
          <t>office</t>
        </is>
      </c>
      <c r="P10" s="3" t="inlineStr">
        <is>
          <t>site</t>
        </is>
      </c>
      <c r="R10" s="3" t="inlineStr">
        <is>
          <t>total cost</t>
        </is>
      </c>
      <c r="T10" s="3" t="inlineStr">
        <is>
          <t>bldg 1</t>
        </is>
      </c>
      <c r="U10" s="3" t="inlineStr">
        <is>
          <t>bldg 2</t>
        </is>
      </c>
      <c r="V10" s="3" t="inlineStr">
        <is>
          <t>bldg 3</t>
        </is>
      </c>
      <c r="W10" s="3" t="inlineStr">
        <is>
          <t>bldg 4</t>
        </is>
      </c>
      <c r="X10" s="3" t="inlineStr">
        <is>
          <t>bldg 5</t>
        </is>
      </c>
      <c r="Y10" s="3" t="inlineStr">
        <is>
          <t>bldg 6</t>
        </is>
      </c>
      <c r="Z10" s="3" t="inlineStr">
        <is>
          <t>bldg 7</t>
        </is>
      </c>
      <c r="AA10" s="3" t="inlineStr">
        <is>
          <t>bldg 8</t>
        </is>
      </c>
      <c r="AB10" s="3" t="inlineStr">
        <is>
          <t>bldg 9</t>
        </is>
      </c>
      <c r="AC10" s="3" t="inlineStr">
        <is>
          <t>office</t>
        </is>
      </c>
      <c r="AD10" s="3" t="inlineStr">
        <is>
          <t>site</t>
        </is>
      </c>
      <c r="AF10" s="3" t="inlineStr">
        <is>
          <t>total</t>
        </is>
      </c>
    </row>
    <row r="11">
      <c r="A11" s="2" t="inlineStr">
        <is>
          <t>10/30/20</t>
        </is>
      </c>
      <c r="B11" s="2" t="inlineStr">
        <is>
          <t>2- Building - Coral Village Housing LP</t>
        </is>
      </c>
      <c r="E11" s="2" t="n">
        <v>2</v>
      </c>
      <c r="F11" s="2" t="n">
        <v>383408.73</v>
      </c>
      <c r="G11" s="2" t="n">
        <v>302676.39</v>
      </c>
      <c r="H11" s="2" t="n">
        <v>383408.73</v>
      </c>
      <c r="I11" s="2" t="n">
        <v>302676.39</v>
      </c>
      <c r="J11" s="2" t="n">
        <v>383408.73</v>
      </c>
      <c r="K11" s="2" t="n">
        <v>302676.39</v>
      </c>
      <c r="L11" s="2" t="n">
        <v>383408.73</v>
      </c>
      <c r="M11" s="2" t="n">
        <v>302676.39</v>
      </c>
      <c r="N11" s="2" t="n">
        <v>302676.39</v>
      </c>
      <c r="O11" s="2" t="n">
        <v>119699.06</v>
      </c>
      <c r="P11" s="2" t="n">
        <v>531007.0700000001</v>
      </c>
      <c r="R11" s="2" t="n">
        <v>3697723.000000001</v>
      </c>
    </row>
    <row r="12">
      <c r="A12" s="2" t="inlineStr">
        <is>
          <t>10/30/20</t>
        </is>
      </c>
      <c r="B12" s="2" t="inlineStr">
        <is>
          <t>3- Land Improvements - Coral Village Housing LP</t>
        </is>
      </c>
      <c r="E12" s="2" t="n">
        <v>3</v>
      </c>
      <c r="F12" s="2" t="n">
        <v>41779.44</v>
      </c>
      <c r="G12" s="2" t="n">
        <v>32982.17</v>
      </c>
      <c r="H12" s="2" t="n">
        <v>41779.44</v>
      </c>
      <c r="I12" s="2" t="n">
        <v>32982.17</v>
      </c>
      <c r="J12" s="2" t="n">
        <v>41779.44</v>
      </c>
      <c r="K12" s="2" t="n">
        <v>32982.17</v>
      </c>
      <c r="L12" s="2" t="n">
        <v>41779.44</v>
      </c>
      <c r="M12" s="2" t="n">
        <v>32982.17</v>
      </c>
      <c r="N12" s="2" t="n">
        <v>32982.17</v>
      </c>
      <c r="O12" s="2" t="n">
        <v>13043.42</v>
      </c>
      <c r="P12" s="2" t="n">
        <v>57862.97</v>
      </c>
      <c r="R12" s="2" t="n">
        <v>402935</v>
      </c>
    </row>
    <row r="13">
      <c r="A13" s="2" t="inlineStr">
        <is>
          <t>10/30/20</t>
        </is>
      </c>
      <c r="B13" s="2" t="inlineStr">
        <is>
          <t>4- Equipment - Coral Village Housing LP</t>
        </is>
      </c>
      <c r="E13" s="2" t="n">
        <v>4</v>
      </c>
      <c r="F13" s="2" t="n">
        <v>78336.53999999999</v>
      </c>
      <c r="G13" s="2" t="n">
        <v>61841.63</v>
      </c>
      <c r="H13" s="2" t="n">
        <v>78336.53999999999</v>
      </c>
      <c r="I13" s="2" t="n">
        <v>61841.63</v>
      </c>
      <c r="J13" s="2" t="n">
        <v>78336.53999999999</v>
      </c>
      <c r="K13" s="2" t="n">
        <v>61841.63</v>
      </c>
      <c r="L13" s="2" t="n">
        <v>78336.53999999999</v>
      </c>
      <c r="M13" s="2" t="n">
        <v>61841.63</v>
      </c>
      <c r="N13" s="2" t="n">
        <v>61841.63</v>
      </c>
      <c r="O13" s="2" t="n">
        <v>24456.43</v>
      </c>
      <c r="P13" s="2" t="n">
        <v>108493.26</v>
      </c>
      <c r="R13" s="2" t="n">
        <v>755504</v>
      </c>
    </row>
    <row r="15">
      <c r="F15" s="4">
        <f>SUM(F11:F14)</f>
        <v/>
      </c>
      <c r="G15" s="4">
        <f>SUM(G11:G14)</f>
        <v/>
      </c>
      <c r="H15" s="4">
        <f>SUM(H11:H14)</f>
        <v/>
      </c>
      <c r="I15" s="4">
        <f>SUM(I11:I14)</f>
        <v/>
      </c>
      <c r="J15" s="4">
        <f>SUM(J11:J14)</f>
        <v/>
      </c>
      <c r="K15" s="4">
        <f>SUM(K11:K14)</f>
        <v/>
      </c>
      <c r="L15" s="4">
        <f>SUM(L11:L14)</f>
        <v/>
      </c>
      <c r="M15" s="4">
        <f>SUM(M11:M14)</f>
        <v/>
      </c>
      <c r="N15" s="4">
        <f>SUM(N11:N14)</f>
        <v/>
      </c>
      <c r="O15" s="4">
        <f>SUM(O11:O14)</f>
        <v/>
      </c>
      <c r="P15" s="4">
        <f>SUM(P11:P14)</f>
        <v/>
      </c>
    </row>
    <row r="16">
      <c r="B16" s="1" t="inlineStr">
        <is>
          <t>Total</t>
        </is>
      </c>
      <c r="F16" s="2" t="n">
        <v>503524.71</v>
      </c>
      <c r="G16" s="2" t="n">
        <v>397500.19</v>
      </c>
      <c r="H16" s="2" t="n">
        <v>503524.71</v>
      </c>
      <c r="I16" s="2" t="n">
        <v>397500.19</v>
      </c>
      <c r="J16" s="2" t="n">
        <v>503524.71</v>
      </c>
      <c r="K16" s="2" t="n">
        <v>397500.19</v>
      </c>
      <c r="L16" s="2" t="n">
        <v>503524.71</v>
      </c>
      <c r="M16" s="2" t="n">
        <v>397500.19</v>
      </c>
      <c r="N16" s="2" t="n">
        <v>397500.19</v>
      </c>
      <c r="O16" s="2" t="n">
        <v>157198.91</v>
      </c>
      <c r="P16" s="2" t="n">
        <v>697363.3</v>
      </c>
      <c r="R16" s="2" t="n">
        <v>4856162</v>
      </c>
      <c r="T16" s="5" t="n">
        <v>166008.92</v>
      </c>
      <c r="U16" s="5" t="n">
        <v>131053.31</v>
      </c>
      <c r="V16" s="5" t="n">
        <v>166008.92</v>
      </c>
      <c r="W16" s="5" t="n">
        <v>131053.31</v>
      </c>
      <c r="X16" s="5" t="n">
        <v>166008.92</v>
      </c>
      <c r="Y16" s="5" t="n">
        <v>131053.31</v>
      </c>
      <c r="Z16" s="5" t="n">
        <v>166008.92</v>
      </c>
      <c r="AA16" s="5" t="n">
        <v>131053.31</v>
      </c>
      <c r="AB16" s="5" t="n">
        <v>131053.31</v>
      </c>
      <c r="AC16" s="5" t="n">
        <v>51827.49</v>
      </c>
      <c r="AD16" s="5" t="n">
        <v>229916.28</v>
      </c>
      <c r="AF16" s="5" t="n">
        <v>1601046</v>
      </c>
    </row>
    <row r="17">
      <c r="T17" s="5" t="n">
        <v>166008.92</v>
      </c>
      <c r="U17" s="5" t="n">
        <v>131053.31</v>
      </c>
      <c r="V17" s="5" t="n">
        <v>166008.92</v>
      </c>
      <c r="W17" s="5" t="n">
        <v>131053.31</v>
      </c>
      <c r="X17" s="5" t="n">
        <v>166008.92</v>
      </c>
      <c r="Y17" s="5" t="n">
        <v>131053.31</v>
      </c>
      <c r="Z17" s="5" t="n">
        <v>166008.92</v>
      </c>
      <c r="AA17" s="5" t="n">
        <v>131053.31</v>
      </c>
      <c r="AB17" s="5" t="n">
        <v>131053.31</v>
      </c>
      <c r="AC17" s="5" t="n">
        <v>51827.49</v>
      </c>
      <c r="AD17" s="5" t="n">
        <v>229916.28</v>
      </c>
      <c r="AF17" s="5" t="n">
        <v>1601046</v>
      </c>
    </row>
    <row r="18">
      <c r="B18" s="1" t="inlineStr">
        <is>
          <t>MACRS Reclassification</t>
        </is>
      </c>
    </row>
    <row r="20">
      <c r="B20" s="2" t="inlineStr">
        <is>
          <t>2 - Building - Coral Village Housing LP - 5yr</t>
        </is>
      </c>
      <c r="F20" s="2" t="n">
        <v>95762.44</v>
      </c>
      <c r="G20" s="2" t="n">
        <v>83590.83</v>
      </c>
      <c r="H20" s="2" t="n">
        <v>95762.44</v>
      </c>
      <c r="I20" s="2" t="n">
        <v>83590.83</v>
      </c>
      <c r="J20" s="2" t="n">
        <v>95762.44</v>
      </c>
      <c r="K20" s="2" t="n">
        <v>83590.83</v>
      </c>
      <c r="L20" s="2" t="n">
        <v>95762.44</v>
      </c>
      <c r="M20" s="2" t="n">
        <v>83590.83</v>
      </c>
      <c r="N20" s="2" t="n">
        <v>83590.83</v>
      </c>
      <c r="O20" s="2" t="n">
        <v>18498.54</v>
      </c>
      <c r="R20" s="2" t="n">
        <v>819502.45</v>
      </c>
      <c r="T20" s="5" t="n">
        <v>95762.44</v>
      </c>
      <c r="U20" s="5" t="n">
        <v>83590.83</v>
      </c>
      <c r="V20" s="5" t="n">
        <v>95762.44</v>
      </c>
      <c r="W20" s="5" t="n">
        <v>83590.83</v>
      </c>
      <c r="X20" s="5" t="n">
        <v>95762.44</v>
      </c>
      <c r="Y20" s="5" t="n">
        <v>83590.83</v>
      </c>
      <c r="Z20" s="5" t="n">
        <v>95762.44</v>
      </c>
      <c r="AA20" s="5" t="n">
        <v>83590.83</v>
      </c>
      <c r="AB20" s="5" t="n">
        <v>83590.83</v>
      </c>
      <c r="AC20" s="5" t="n">
        <v>18498.54</v>
      </c>
      <c r="AF20" s="5" t="n">
        <v>819502.45</v>
      </c>
    </row>
    <row r="21">
      <c r="B21" s="2" t="inlineStr">
        <is>
          <t>2 - Building - Coral Village Housing LP - Site - 15yr</t>
        </is>
      </c>
      <c r="P21" s="2" t="n">
        <v>290971.55</v>
      </c>
      <c r="R21" s="2" t="n">
        <v>290971.55</v>
      </c>
      <c r="AD21" s="5" t="n">
        <v>290971.55</v>
      </c>
      <c r="AF21" s="5" t="n">
        <v>290971.55</v>
      </c>
    </row>
    <row r="22">
      <c r="B22" s="2" t="inlineStr">
        <is>
          <t>2 - Building - Coral Village Housing LP - 27.5yr</t>
        </is>
      </c>
      <c r="F22" s="2" t="n">
        <v>287646.29</v>
      </c>
      <c r="G22" s="2" t="n">
        <v>219085.56</v>
      </c>
      <c r="H22" s="2" t="n">
        <v>287646.29</v>
      </c>
      <c r="I22" s="2" t="n">
        <v>219085.56</v>
      </c>
      <c r="J22" s="2" t="n">
        <v>287646.29</v>
      </c>
      <c r="K22" s="2" t="n">
        <v>219085.56</v>
      </c>
      <c r="L22" s="2" t="n">
        <v>287646.29</v>
      </c>
      <c r="M22" s="2" t="n">
        <v>219085.56</v>
      </c>
      <c r="N22" s="2" t="n">
        <v>219085.56</v>
      </c>
      <c r="O22" s="2" t="n">
        <v>101200.52</v>
      </c>
      <c r="P22" s="2" t="n">
        <v>238751.3700000001</v>
      </c>
      <c r="R22" s="2" t="n">
        <v>2585964.85</v>
      </c>
      <c r="T22" s="5" t="n">
        <v>287646.29</v>
      </c>
      <c r="U22" s="5" t="n">
        <v>219085.56</v>
      </c>
      <c r="V22" s="5" t="n">
        <v>287646.29</v>
      </c>
      <c r="W22" s="5" t="n">
        <v>219085.56</v>
      </c>
      <c r="X22" s="5" t="n">
        <v>287646.29</v>
      </c>
      <c r="Y22" s="5" t="n">
        <v>219085.56</v>
      </c>
      <c r="Z22" s="5" t="n">
        <v>287646.29</v>
      </c>
      <c r="AA22" s="5" t="n">
        <v>219085.56</v>
      </c>
      <c r="AB22" s="5" t="n">
        <v>219085.56</v>
      </c>
      <c r="AC22" s="5" t="n">
        <v>101200.52</v>
      </c>
      <c r="AD22" s="5" t="n">
        <v>238751.3700000001</v>
      </c>
      <c r="AF22" s="5" t="n">
        <v>2585964.85</v>
      </c>
    </row>
    <row r="23">
      <c r="B23" s="2" t="inlineStr">
        <is>
          <t>3 - Land Imp - Coral Village Housing LP - 5yr</t>
        </is>
      </c>
      <c r="F23" s="2" t="n">
        <v>10435.08</v>
      </c>
      <c r="G23" s="2" t="n">
        <v>9108.76</v>
      </c>
      <c r="H23" s="2" t="n">
        <v>10435.08</v>
      </c>
      <c r="I23" s="2" t="n">
        <v>9108.76</v>
      </c>
      <c r="J23" s="2" t="n">
        <v>10435.08</v>
      </c>
      <c r="K23" s="2" t="n">
        <v>9108.76</v>
      </c>
      <c r="L23" s="2" t="n">
        <v>10435.08</v>
      </c>
      <c r="M23" s="2" t="n">
        <v>9108.76</v>
      </c>
      <c r="N23" s="2" t="n">
        <v>9108.76</v>
      </c>
      <c r="O23" s="2" t="n">
        <v>2015.76</v>
      </c>
      <c r="R23" s="2" t="n">
        <v>89299.87999999999</v>
      </c>
      <c r="T23" s="5" t="n">
        <v>10435.08</v>
      </c>
      <c r="U23" s="5" t="n">
        <v>9108.76</v>
      </c>
      <c r="V23" s="5" t="n">
        <v>10435.08</v>
      </c>
      <c r="W23" s="5" t="n">
        <v>9108.76</v>
      </c>
      <c r="X23" s="5" t="n">
        <v>10435.08</v>
      </c>
      <c r="Y23" s="5" t="n">
        <v>9108.76</v>
      </c>
      <c r="Z23" s="5" t="n">
        <v>10435.08</v>
      </c>
      <c r="AA23" s="5" t="n">
        <v>9108.76</v>
      </c>
      <c r="AB23" s="5" t="n">
        <v>9108.76</v>
      </c>
      <c r="AC23" s="5" t="n">
        <v>2015.76</v>
      </c>
      <c r="AF23" s="5" t="n">
        <v>89299.87999999999</v>
      </c>
    </row>
    <row r="24">
      <c r="B24" s="2" t="inlineStr">
        <is>
          <t>3 - Land Imp - Coral Village Housing LP - Site - 15yr</t>
        </is>
      </c>
      <c r="P24" s="2" t="n">
        <v>31706.69</v>
      </c>
      <c r="R24" s="2" t="n">
        <v>31706.69</v>
      </c>
      <c r="AD24" s="5" t="n">
        <v>31706.69</v>
      </c>
      <c r="AF24" s="5" t="n">
        <v>31706.69</v>
      </c>
    </row>
    <row r="25">
      <c r="B25" s="2" t="inlineStr">
        <is>
          <t>3 - Land Imp - Coral Village Housing LP - 27.5yr</t>
        </is>
      </c>
      <c r="F25" s="2" t="n">
        <v>31344.36</v>
      </c>
      <c r="G25" s="2" t="n">
        <v>23873.41</v>
      </c>
      <c r="H25" s="2" t="n">
        <v>31344.36</v>
      </c>
      <c r="I25" s="2" t="n">
        <v>23873.41</v>
      </c>
      <c r="J25" s="2" t="n">
        <v>31344.36</v>
      </c>
      <c r="K25" s="2" t="n">
        <v>23873.41</v>
      </c>
      <c r="L25" s="2" t="n">
        <v>31344.36</v>
      </c>
      <c r="M25" s="2" t="n">
        <v>23873.41</v>
      </c>
      <c r="N25" s="2" t="n">
        <v>23873.41</v>
      </c>
      <c r="O25" s="2" t="n">
        <v>11027.66</v>
      </c>
      <c r="P25" s="2" t="n">
        <v>26016.35</v>
      </c>
      <c r="R25" s="2" t="n">
        <v>281788.5000000001</v>
      </c>
      <c r="T25" s="5" t="n">
        <v>31344.36</v>
      </c>
      <c r="U25" s="5" t="n">
        <v>23873.41</v>
      </c>
      <c r="V25" s="5" t="n">
        <v>31344.36</v>
      </c>
      <c r="W25" s="5" t="n">
        <v>23873.41</v>
      </c>
      <c r="X25" s="5" t="n">
        <v>31344.36</v>
      </c>
      <c r="Y25" s="5" t="n">
        <v>23873.41</v>
      </c>
      <c r="Z25" s="5" t="n">
        <v>31344.36</v>
      </c>
      <c r="AA25" s="5" t="n">
        <v>23873.41</v>
      </c>
      <c r="AB25" s="5" t="n">
        <v>23873.41</v>
      </c>
      <c r="AC25" s="5" t="n">
        <v>11027.66</v>
      </c>
      <c r="AD25" s="5" t="n">
        <v>26016.35</v>
      </c>
      <c r="AF25" s="5" t="n">
        <v>281788.5000000001</v>
      </c>
    </row>
    <row r="26">
      <c r="B26" s="2" t="inlineStr">
        <is>
          <t>4 - Equipment - Coral Village Housing LP - 5yr</t>
        </is>
      </c>
      <c r="F26" s="2" t="n">
        <v>19565.8</v>
      </c>
      <c r="G26" s="2" t="n">
        <v>17078.94</v>
      </c>
      <c r="H26" s="2" t="n">
        <v>19565.8</v>
      </c>
      <c r="I26" s="2" t="n">
        <v>17078.94</v>
      </c>
      <c r="J26" s="2" t="n">
        <v>19565.8</v>
      </c>
      <c r="K26" s="2" t="n">
        <v>17078.94</v>
      </c>
      <c r="L26" s="2" t="n">
        <v>19565.8</v>
      </c>
      <c r="M26" s="2" t="n">
        <v>17078.94</v>
      </c>
      <c r="N26" s="2" t="n">
        <v>17078.94</v>
      </c>
      <c r="O26" s="2" t="n">
        <v>3779.55</v>
      </c>
      <c r="R26" s="2" t="n">
        <v>167437.45</v>
      </c>
      <c r="T26" s="5" t="n">
        <v>19565.8</v>
      </c>
      <c r="U26" s="5" t="n">
        <v>17078.94</v>
      </c>
      <c r="V26" s="5" t="n">
        <v>19565.8</v>
      </c>
      <c r="W26" s="5" t="n">
        <v>17078.94</v>
      </c>
      <c r="X26" s="5" t="n">
        <v>19565.8</v>
      </c>
      <c r="Y26" s="5" t="n">
        <v>17078.94</v>
      </c>
      <c r="Z26" s="5" t="n">
        <v>19565.8</v>
      </c>
      <c r="AA26" s="5" t="n">
        <v>17078.94</v>
      </c>
      <c r="AB26" s="5" t="n">
        <v>17078.94</v>
      </c>
      <c r="AC26" s="5" t="n">
        <v>3779.55</v>
      </c>
      <c r="AF26" s="5" t="n">
        <v>167437.45</v>
      </c>
    </row>
    <row r="27">
      <c r="B27" s="2" t="inlineStr">
        <is>
          <t>4 - Equipment - Coral Village Housing LP - Site - 15yr</t>
        </is>
      </c>
      <c r="P27" s="2" t="n">
        <v>59450.16</v>
      </c>
      <c r="R27" s="2" t="n">
        <v>59450.16</v>
      </c>
      <c r="AD27" s="5" t="n">
        <v>59450.16</v>
      </c>
      <c r="AF27" s="5" t="n">
        <v>59450.16</v>
      </c>
    </row>
    <row r="28">
      <c r="B28" s="2" t="inlineStr">
        <is>
          <t>4 - Equipment - Coral Village Housing LP - 27.5yr</t>
        </is>
      </c>
      <c r="F28" s="2" t="n">
        <v>58770.73999999999</v>
      </c>
      <c r="G28" s="2" t="n">
        <v>44762.69</v>
      </c>
      <c r="H28" s="2" t="n">
        <v>58770.73999999999</v>
      </c>
      <c r="I28" s="2" t="n">
        <v>44762.69</v>
      </c>
      <c r="J28" s="2" t="n">
        <v>58770.73999999999</v>
      </c>
      <c r="K28" s="2" t="n">
        <v>44762.69</v>
      </c>
      <c r="L28" s="2" t="n">
        <v>58770.73999999999</v>
      </c>
      <c r="M28" s="2" t="n">
        <v>44762.69</v>
      </c>
      <c r="N28" s="2" t="n">
        <v>44762.69</v>
      </c>
      <c r="O28" s="2" t="n">
        <v>20676.88</v>
      </c>
      <c r="P28" s="2" t="n">
        <v>48780.73000000001</v>
      </c>
      <c r="R28" s="2" t="n">
        <v>528354.02</v>
      </c>
      <c r="T28" s="5" t="n">
        <v>58770.73999999999</v>
      </c>
      <c r="U28" s="5" t="n">
        <v>44762.69</v>
      </c>
      <c r="V28" s="5" t="n">
        <v>58770.73999999999</v>
      </c>
      <c r="W28" s="5" t="n">
        <v>44762.69</v>
      </c>
      <c r="X28" s="5" t="n">
        <v>58770.73999999999</v>
      </c>
      <c r="Y28" s="5" t="n">
        <v>44762.69</v>
      </c>
      <c r="Z28" s="5" t="n">
        <v>58770.73999999999</v>
      </c>
      <c r="AA28" s="5" t="n">
        <v>44762.69</v>
      </c>
      <c r="AB28" s="5" t="n">
        <v>44762.69</v>
      </c>
      <c r="AC28" s="5" t="n">
        <v>20676.88</v>
      </c>
      <c r="AD28" s="5" t="n">
        <v>48780.73000000001</v>
      </c>
      <c r="AF28" s="5" t="n">
        <v>528354.02</v>
      </c>
    </row>
    <row r="32">
      <c r="F32" s="4">
        <f>SUM(F20:F31)</f>
        <v/>
      </c>
      <c r="G32" s="4">
        <f>SUM(G20:G31)</f>
        <v/>
      </c>
      <c r="H32" s="4">
        <f>SUM(H20:H31)</f>
        <v/>
      </c>
      <c r="I32" s="4">
        <f>SUM(I20:I31)</f>
        <v/>
      </c>
      <c r="J32" s="4">
        <f>SUM(J20:J31)</f>
        <v/>
      </c>
      <c r="K32" s="4">
        <f>SUM(K20:K31)</f>
        <v/>
      </c>
      <c r="L32" s="4">
        <f>SUM(L20:L31)</f>
        <v/>
      </c>
      <c r="M32" s="4">
        <f>SUM(M20:M31)</f>
        <v/>
      </c>
      <c r="N32" s="4">
        <f>SUM(N20:N31)</f>
        <v/>
      </c>
      <c r="O32" s="4">
        <f>SUM(O20:O31)</f>
        <v/>
      </c>
      <c r="P32" s="4">
        <f>SUM(P20:P31)</f>
        <v/>
      </c>
    </row>
    <row r="33">
      <c r="B33" s="6" t="inlineStr">
        <is>
          <t>Total MACRS Reclassification</t>
        </is>
      </c>
      <c r="F33" s="7">
        <f>SUM(F20:F31)</f>
        <v/>
      </c>
      <c r="G33" s="7">
        <f>SUM(G20:G31)</f>
        <v/>
      </c>
      <c r="H33" s="7">
        <f>SUM(H20:H31)</f>
        <v/>
      </c>
      <c r="I33" s="7">
        <f>SUM(I20:I31)</f>
        <v/>
      </c>
      <c r="J33" s="7">
        <f>SUM(J20:J31)</f>
        <v/>
      </c>
      <c r="K33" s="7">
        <f>SUM(K20:K31)</f>
        <v/>
      </c>
      <c r="L33" s="7">
        <f>SUM(L20:L31)</f>
        <v/>
      </c>
      <c r="M33" s="7">
        <f>SUM(M20:M31)</f>
        <v/>
      </c>
      <c r="N33" s="7">
        <f>SUM(N20:N31)</f>
        <v/>
      </c>
      <c r="O33" s="7">
        <f>SUM(O20:O31)</f>
        <v/>
      </c>
      <c r="P33" s="7">
        <f>SUM(P20:P31)</f>
        <v/>
      </c>
      <c r="R33" s="7" t="n">
        <v>4856162</v>
      </c>
    </row>
    <row r="35">
      <c r="B35" s="1" t="inlineStr">
        <is>
          <t>Difference (should be zero)</t>
        </is>
      </c>
      <c r="F35" s="8">
        <f>+F16-F33</f>
        <v/>
      </c>
      <c r="G35" s="8">
        <f>+G16-G33</f>
        <v/>
      </c>
      <c r="H35" s="8">
        <f>+H16-H33</f>
        <v/>
      </c>
      <c r="I35" s="8">
        <f>+I16-I33</f>
        <v/>
      </c>
      <c r="J35" s="8">
        <f>+J16-J33</f>
        <v/>
      </c>
      <c r="K35" s="8">
        <f>+K16-K33</f>
        <v/>
      </c>
      <c r="L35" s="8">
        <f>+L16-L33</f>
        <v/>
      </c>
      <c r="M35" s="8">
        <f>+M16-M33</f>
        <v/>
      </c>
      <c r="N35" s="8">
        <f>+N16-N33</f>
        <v/>
      </c>
      <c r="O35" s="8">
        <f>+O16-O33</f>
        <v/>
      </c>
      <c r="P35" s="8">
        <f>+P16-P33</f>
        <v/>
      </c>
    </row>
    <row r="37">
      <c r="B37" s="1" t="inlineStr">
        <is>
          <t>End Depreciation Reconciliation</t>
        </is>
      </c>
    </row>
    <row r="38">
      <c r="B38" s="2" t="inlineStr">
        <is>
          <t>Before Cost Segregation (As Previously Filed)</t>
        </is>
      </c>
      <c r="F38" s="5" t="n">
        <v>166008.92</v>
      </c>
      <c r="G38" s="5" t="n">
        <v>131053.31</v>
      </c>
      <c r="H38" s="5" t="n">
        <v>166008.92</v>
      </c>
      <c r="I38" s="5" t="n">
        <v>131053.31</v>
      </c>
      <c r="J38" s="5" t="n">
        <v>166008.92</v>
      </c>
      <c r="K38" s="5" t="n">
        <v>131053.31</v>
      </c>
      <c r="L38" s="5" t="n">
        <v>166008.92</v>
      </c>
      <c r="M38" s="5" t="n">
        <v>131053.31</v>
      </c>
      <c r="N38" s="5" t="n">
        <v>131053.31</v>
      </c>
      <c r="O38" s="5" t="n">
        <v>51827.49</v>
      </c>
      <c r="P38" s="5" t="n">
        <v>229916.28</v>
      </c>
      <c r="R38" s="5" t="n">
        <v>1601046</v>
      </c>
    </row>
    <row r="39">
      <c r="B39" s="2" t="inlineStr">
        <is>
          <t>2 - Building - Coral Village Housing LP - 5yr</t>
        </is>
      </c>
      <c r="F39" s="5" t="n">
        <v>32517.73494678504</v>
      </c>
      <c r="G39" s="5" t="n">
        <v>30327.7732613753</v>
      </c>
      <c r="H39" s="5" t="n">
        <v>32517.73494678504</v>
      </c>
      <c r="I39" s="5" t="n">
        <v>30327.7732613753</v>
      </c>
      <c r="J39" s="5" t="n">
        <v>32517.73494678504</v>
      </c>
      <c r="K39" s="5" t="n">
        <v>30327.7732613753</v>
      </c>
      <c r="L39" s="5" t="n">
        <v>32517.73494678504</v>
      </c>
      <c r="M39" s="5" t="n">
        <v>30327.7732613753</v>
      </c>
      <c r="N39" s="5" t="n">
        <v>30327.7732613753</v>
      </c>
      <c r="O39" s="5" t="n">
        <v>4730.835536794752</v>
      </c>
      <c r="R39" s="5" t="n">
        <v>286440.6416308114</v>
      </c>
    </row>
    <row r="40">
      <c r="B40" s="2" t="inlineStr">
        <is>
          <t>2 - Building - Coral Village Housing LP - Site - 15yr</t>
        </is>
      </c>
      <c r="P40" s="5" t="n">
        <v>175804.4823358814</v>
      </c>
      <c r="R40" s="5" t="n">
        <v>175804.4823358814</v>
      </c>
    </row>
    <row r="41">
      <c r="B41" s="2" t="inlineStr">
        <is>
          <t>2 - Building - Coral Village Housing LP - 27.5yr</t>
        </is>
      </c>
      <c r="F41" s="5" t="n">
        <v>97675.09909570038</v>
      </c>
      <c r="G41" s="5" t="n">
        <v>79486.91487477077</v>
      </c>
      <c r="H41" s="5" t="n">
        <v>97675.09909570038</v>
      </c>
      <c r="I41" s="5" t="n">
        <v>79486.91487477077</v>
      </c>
      <c r="J41" s="5" t="n">
        <v>97675.09909570038</v>
      </c>
      <c r="K41" s="5" t="n">
        <v>79486.91487477077</v>
      </c>
      <c r="L41" s="5" t="n">
        <v>97675.09909570038</v>
      </c>
      <c r="M41" s="5" t="n">
        <v>79486.91487477077</v>
      </c>
      <c r="N41" s="5" t="n">
        <v>79486.91487477077</v>
      </c>
      <c r="O41" s="5" t="n">
        <v>25881.12447566716</v>
      </c>
      <c r="P41" s="5" t="n">
        <v>144253.1443704118</v>
      </c>
      <c r="R41" s="5" t="n">
        <v>958269.2396027345</v>
      </c>
    </row>
    <row r="42">
      <c r="B42" s="2" t="inlineStr">
        <is>
          <t>3 - Land Imp - Coral Village Housing LP - 5yr</t>
        </is>
      </c>
      <c r="F42" s="5" t="n">
        <v>3543.405593972935</v>
      </c>
      <c r="G42" s="5" t="n">
        <v>3304.769290749774</v>
      </c>
      <c r="H42" s="5" t="n">
        <v>3543.405593972935</v>
      </c>
      <c r="I42" s="5" t="n">
        <v>3304.769290749774</v>
      </c>
      <c r="J42" s="5" t="n">
        <v>3543.405593972935</v>
      </c>
      <c r="K42" s="5" t="n">
        <v>3304.769290749774</v>
      </c>
      <c r="L42" s="5" t="n">
        <v>3543.405593972935</v>
      </c>
      <c r="M42" s="5" t="n">
        <v>3304.769290749774</v>
      </c>
      <c r="N42" s="5" t="n">
        <v>3304.769290749774</v>
      </c>
      <c r="O42" s="5" t="n">
        <v>515.5125237802221</v>
      </c>
      <c r="R42" s="5" t="n">
        <v>31212.98135342082</v>
      </c>
    </row>
    <row r="43">
      <c r="B43" s="2" t="inlineStr">
        <is>
          <t>3 - Land Imp - Coral Village Housing LP - Site - 15yr</t>
        </is>
      </c>
      <c r="P43" s="5" t="n">
        <v>19157.12454373725</v>
      </c>
      <c r="R43" s="5" t="n">
        <v>19157.12454373725</v>
      </c>
    </row>
    <row r="44">
      <c r="B44" s="2" t="inlineStr">
        <is>
          <t>3 - Land Imp - Coral Village Housing LP - 27.5yr</t>
        </is>
      </c>
      <c r="F44" s="5" t="n">
        <v>10643.50063090091</v>
      </c>
      <c r="G44" s="5" t="n">
        <v>8661.564497635081</v>
      </c>
      <c r="H44" s="5" t="n">
        <v>10643.50063090091</v>
      </c>
      <c r="I44" s="5" t="n">
        <v>8661.564497635081</v>
      </c>
      <c r="J44" s="5" t="n">
        <v>10643.50063090091</v>
      </c>
      <c r="K44" s="5" t="n">
        <v>8661.564497635081</v>
      </c>
      <c r="L44" s="5" t="n">
        <v>10643.50063090091</v>
      </c>
      <c r="M44" s="5" t="n">
        <v>8661.564497635081</v>
      </c>
      <c r="N44" s="5" t="n">
        <v>8661.564497635081</v>
      </c>
      <c r="O44" s="5" t="n">
        <v>2820.225045635494</v>
      </c>
      <c r="P44" s="5" t="n">
        <v>15719.0314448925</v>
      </c>
      <c r="R44" s="5" t="n">
        <v>104421.0815023071</v>
      </c>
    </row>
    <row r="45">
      <c r="B45" s="2" t="inlineStr">
        <is>
          <t>4 - Equipment - Coral Village Housing LP - 5yr</t>
        </is>
      </c>
      <c r="F45" s="5" t="n">
        <v>6643.893977866547</v>
      </c>
      <c r="G45" s="5" t="n">
        <v>6196.447862338884</v>
      </c>
      <c r="H45" s="5" t="n">
        <v>6643.893977866547</v>
      </c>
      <c r="I45" s="5" t="n">
        <v>6196.447862338884</v>
      </c>
      <c r="J45" s="5" t="n">
        <v>6643.893977866547</v>
      </c>
      <c r="K45" s="5" t="n">
        <v>6196.447862338884</v>
      </c>
      <c r="L45" s="5" t="n">
        <v>6643.893977866547</v>
      </c>
      <c r="M45" s="5" t="n">
        <v>6196.447862338884</v>
      </c>
      <c r="N45" s="5" t="n">
        <v>6196.447862338884</v>
      </c>
      <c r="O45" s="5" t="n">
        <v>966.5859820879165</v>
      </c>
      <c r="R45" s="5" t="n">
        <v>58524.40120524853</v>
      </c>
    </row>
    <row r="46">
      <c r="B46" s="2" t="inlineStr">
        <is>
          <t>4 - Equipment - Coral Village Housing LP - Site - 15yr</t>
        </is>
      </c>
      <c r="P46" s="5" t="n">
        <v>35919.67875754632</v>
      </c>
      <c r="R46" s="5" t="n">
        <v>35919.67875754632</v>
      </c>
    </row>
    <row r="47">
      <c r="B47" s="2" t="inlineStr">
        <is>
          <t>4 - Equipment - Coral Village Housing LP - 27.5yr</t>
        </is>
      </c>
      <c r="F47" s="5" t="n">
        <v>19956.58575477418</v>
      </c>
      <c r="G47" s="5" t="n">
        <v>16240.45021313022</v>
      </c>
      <c r="H47" s="5" t="n">
        <v>19956.58575477418</v>
      </c>
      <c r="I47" s="5" t="n">
        <v>16240.45021313022</v>
      </c>
      <c r="J47" s="5" t="n">
        <v>19956.58575477418</v>
      </c>
      <c r="K47" s="5" t="n">
        <v>16240.45021313022</v>
      </c>
      <c r="L47" s="5" t="n">
        <v>19956.58575477418</v>
      </c>
      <c r="M47" s="5" t="n">
        <v>16240.45021313022</v>
      </c>
      <c r="N47" s="5" t="n">
        <v>16240.45021313022</v>
      </c>
      <c r="O47" s="5" t="n">
        <v>5287.926436034449</v>
      </c>
      <c r="P47" s="5" t="n">
        <v>29473.22851878957</v>
      </c>
      <c r="R47" s="5" t="n">
        <v>195789.7490395718</v>
      </c>
    </row>
    <row r="51">
      <c r="B51" s="2" t="inlineStr">
        <is>
          <t>After Cost Segregation (Corrected)</t>
        </is>
      </c>
      <c r="F51" s="9" t="n">
        <v>170980.22</v>
      </c>
      <c r="G51" s="9" t="n">
        <v>144217.92</v>
      </c>
      <c r="H51" s="9" t="n">
        <v>170980.22</v>
      </c>
      <c r="I51" s="9" t="n">
        <v>144217.92</v>
      </c>
      <c r="J51" s="9" t="n">
        <v>170980.22</v>
      </c>
      <c r="K51" s="9" t="n">
        <v>144217.92</v>
      </c>
      <c r="L51" s="9" t="n">
        <v>170980.22</v>
      </c>
      <c r="M51" s="9" t="n">
        <v>144217.92</v>
      </c>
      <c r="N51" s="9" t="n">
        <v>144217.92</v>
      </c>
      <c r="O51" s="9" t="n">
        <v>40202.21</v>
      </c>
      <c r="P51" s="9" t="n">
        <v>421345.64</v>
      </c>
      <c r="R51" s="9" t="n">
        <v>1866558.33</v>
      </c>
    </row>
    <row r="52">
      <c r="B52" s="10" t="inlineStr">
        <is>
          <t>Section 481(a) Adjustment</t>
        </is>
      </c>
      <c r="F52" s="11" t="n">
        <v>-4971.3</v>
      </c>
      <c r="G52" s="11" t="n">
        <v>-13164.61</v>
      </c>
      <c r="H52" s="11" t="n">
        <v>-4971.3</v>
      </c>
      <c r="I52" s="11" t="n">
        <v>-13164.61</v>
      </c>
      <c r="J52" s="11" t="n">
        <v>-4971.3</v>
      </c>
      <c r="K52" s="11" t="n">
        <v>-13164.61</v>
      </c>
      <c r="L52" s="11" t="n">
        <v>-4971.3</v>
      </c>
      <c r="M52" s="11" t="n">
        <v>-13164.61</v>
      </c>
      <c r="N52" s="11" t="n">
        <v>-13164.61</v>
      </c>
      <c r="O52" s="11" t="n">
        <v>11625.28</v>
      </c>
      <c r="P52" s="11" t="n">
        <v>-191429.36</v>
      </c>
      <c r="R52" s="11" t="n">
        <v>-265512.33</v>
      </c>
    </row>
    <row r="53">
      <c r="F53">
        <f>SUM(F39:F50)</f>
        <v/>
      </c>
      <c r="G53">
        <f>SUM(G39:G50)</f>
        <v/>
      </c>
      <c r="H53">
        <f>SUM(H39:H50)</f>
        <v/>
      </c>
      <c r="I53">
        <f>SUM(I39:I50)</f>
        <v/>
      </c>
      <c r="J53">
        <f>SUM(J39:J50)</f>
        <v/>
      </c>
      <c r="K53">
        <f>SUM(K39:K50)</f>
        <v/>
      </c>
      <c r="L53">
        <f>SUM(L39:L50)</f>
        <v/>
      </c>
      <c r="M53">
        <f>SUM(M39:M50)</f>
        <v/>
      </c>
      <c r="N53">
        <f>SUM(N39:N50)</f>
        <v/>
      </c>
      <c r="O53">
        <f>SUM(O39:O50)</f>
        <v/>
      </c>
      <c r="P53">
        <f>SUM(P39:P50)</f>
        <v/>
      </c>
    </row>
    <row r="54">
      <c r="F54" s="12">
        <f>F53-F51</f>
        <v/>
      </c>
      <c r="G54" s="12">
        <f>G53-G51</f>
        <v/>
      </c>
      <c r="H54" s="12">
        <f>H53-H51</f>
        <v/>
      </c>
      <c r="I54" s="12">
        <f>I53-I51</f>
        <v/>
      </c>
      <c r="J54" s="12">
        <f>J53-J51</f>
        <v/>
      </c>
      <c r="K54" s="12">
        <f>K53-K51</f>
        <v/>
      </c>
      <c r="L54" s="12">
        <f>L53-L51</f>
        <v/>
      </c>
      <c r="M54" s="12">
        <f>M53-M51</f>
        <v/>
      </c>
      <c r="N54" s="12">
        <f>N53-N51</f>
        <v/>
      </c>
      <c r="O54" s="12">
        <f>O53-O51</f>
        <v/>
      </c>
      <c r="P54" s="12">
        <f>P53-P51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Coral Village Housing LP</t>
        </is>
      </c>
    </row>
    <row r="2">
      <c r="A2" s="2" t="inlineStr">
        <is>
          <t>Cost Segregation Study - Bldg 1</t>
        </is>
      </c>
    </row>
    <row r="3">
      <c r="A3" s="2" t="inlineStr">
        <is>
          <t>Report #107752-03</t>
        </is>
      </c>
    </row>
    <row r="5">
      <c r="A5" s="2" t="inlineStr">
        <is>
          <t>Acquisition Date:</t>
        </is>
      </c>
      <c r="B5" s="2" t="inlineStr">
        <is>
          <t>10/30/20</t>
        </is>
      </c>
    </row>
    <row r="8">
      <c r="A8" s="1" t="inlineStr">
        <is>
          <t>Coral Village Housing LP - Bldg 1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3" t="inlineStr">
        <is>
          <t>Building Components</t>
        </is>
      </c>
    </row>
    <row r="16">
      <c r="A16" s="2" t="inlineStr">
        <is>
          <t>Cabinets / Millwork</t>
        </is>
      </c>
      <c r="B16" s="14" t="n">
        <v>26757.81</v>
      </c>
      <c r="C16" s="14" t="n">
        <v>26757.81</v>
      </c>
    </row>
    <row r="17">
      <c r="A17" s="2" t="inlineStr">
        <is>
          <t>Moldings</t>
        </is>
      </c>
      <c r="B17" s="14" t="n">
        <v>7990.89</v>
      </c>
      <c r="C17" s="14" t="n">
        <v>7990.89</v>
      </c>
    </row>
    <row r="18">
      <c r="A18" s="2" t="inlineStr">
        <is>
          <t>Flooring - Vinyl Plank</t>
        </is>
      </c>
      <c r="B18" s="14" t="n">
        <v>37800.94</v>
      </c>
      <c r="C18" s="14" t="n">
        <v>37800.94</v>
      </c>
    </row>
    <row r="19">
      <c r="A19" s="2" t="inlineStr">
        <is>
          <t>Door &amp; Window Guards</t>
        </is>
      </c>
      <c r="B19" s="14" t="n">
        <v>2842.52</v>
      </c>
      <c r="C19" s="14" t="n">
        <v>2842.52</v>
      </c>
    </row>
    <row r="20">
      <c r="A20" s="2" t="inlineStr">
        <is>
          <t>Window Treatments</t>
        </is>
      </c>
      <c r="B20" s="14" t="n">
        <v>2418.44</v>
      </c>
      <c r="C20" s="14" t="n">
        <v>2418.44</v>
      </c>
    </row>
    <row r="21">
      <c r="A21" s="2" t="inlineStr">
        <is>
          <t>Specialty HVAC - Dryer Vents</t>
        </is>
      </c>
      <c r="B21" s="14" t="n">
        <v>718.3000000000001</v>
      </c>
      <c r="C21" s="14" t="n">
        <v>718.3000000000001</v>
      </c>
    </row>
    <row r="22">
      <c r="A22" s="2" t="inlineStr">
        <is>
          <t>Building Signage</t>
        </is>
      </c>
      <c r="B22" s="14" t="n">
        <v>705.03</v>
      </c>
      <c r="C22" s="14" t="n">
        <v>705.03</v>
      </c>
    </row>
    <row r="23">
      <c r="A23" s="2" t="inlineStr">
        <is>
          <t>Specialty Electrical - Appliances</t>
        </is>
      </c>
      <c r="B23" s="14" t="n">
        <v>12363.8</v>
      </c>
      <c r="C23" s="14" t="n">
        <v>12363.8</v>
      </c>
    </row>
    <row r="24">
      <c r="A24" s="2" t="inlineStr">
        <is>
          <t>Communication / Data</t>
        </is>
      </c>
      <c r="B24" s="14" t="n">
        <v>3400.77</v>
      </c>
      <c r="C24" s="14" t="n">
        <v>3400.77</v>
      </c>
    </row>
    <row r="25">
      <c r="A25" s="2" t="inlineStr">
        <is>
          <t>Specialty Plumbing - Kitchen Sinks / Laundry</t>
        </is>
      </c>
      <c r="B25" s="14" t="n">
        <v>13431.92</v>
      </c>
      <c r="C25" s="14" t="n">
        <v>13431.92</v>
      </c>
    </row>
    <row r="26">
      <c r="A26" s="2" t="inlineStr">
        <is>
          <t>Security / Exterior Lighting</t>
        </is>
      </c>
      <c r="B26" s="14" t="n">
        <v>1140.5</v>
      </c>
      <c r="C26" s="14" t="n">
        <v>1140.5</v>
      </c>
    </row>
    <row r="27">
      <c r="A27" s="2" t="inlineStr">
        <is>
          <t>Access Control</t>
        </is>
      </c>
      <c r="B27" s="14" t="n">
        <v>1360.86</v>
      </c>
      <c r="C27" s="14" t="n">
        <v>1360.86</v>
      </c>
    </row>
    <row r="28">
      <c r="A28" s="2" t="inlineStr">
        <is>
          <t>Appliances</t>
        </is>
      </c>
      <c r="B28" s="14" t="n">
        <v>14831.54</v>
      </c>
      <c r="C28" s="14" t="n">
        <v>14831.54</v>
      </c>
    </row>
    <row r="30">
      <c r="A30" s="13" t="inlineStr">
        <is>
          <t>Building Structure</t>
        </is>
      </c>
    </row>
    <row r="31">
      <c r="A31" s="2" t="inlineStr">
        <is>
          <t>Foundations</t>
        </is>
      </c>
      <c r="B31" s="14" t="n">
        <v>25110.72</v>
      </c>
      <c r="F31" s="14" t="n">
        <v>25110.72</v>
      </c>
    </row>
    <row r="32">
      <c r="A32" s="2" t="inlineStr">
        <is>
          <t>HVAC</t>
        </is>
      </c>
      <c r="B32" s="14" t="n">
        <v>35390.34</v>
      </c>
      <c r="F32" s="14" t="n">
        <v>35390.34</v>
      </c>
    </row>
    <row r="33">
      <c r="A33" s="2" t="inlineStr">
        <is>
          <t>Electrical</t>
        </is>
      </c>
      <c r="B33" s="14" t="n">
        <v>29008.33</v>
      </c>
      <c r="F33" s="14" t="n">
        <v>29008.33</v>
      </c>
    </row>
    <row r="34">
      <c r="A34" s="2" t="inlineStr">
        <is>
          <t>Plumbing</t>
        </is>
      </c>
      <c r="B34" s="14" t="n">
        <v>31389.04</v>
      </c>
      <c r="F34" s="14" t="n">
        <v>31389.04</v>
      </c>
    </row>
    <row r="35">
      <c r="A35" s="2" t="inlineStr">
        <is>
          <t>Fire Protection &amp; Alarm</t>
        </is>
      </c>
      <c r="B35" s="14" t="n">
        <v>26496.62</v>
      </c>
      <c r="F35" s="14" t="n">
        <v>26496.62</v>
      </c>
    </row>
    <row r="36">
      <c r="A36" s="2" t="inlineStr">
        <is>
          <t>Exterior Façade / Building Skin</t>
        </is>
      </c>
      <c r="B36" s="14" t="n">
        <v>12009.05</v>
      </c>
      <c r="F36" s="14" t="n">
        <v>12009.05</v>
      </c>
    </row>
    <row r="37">
      <c r="A37" s="2" t="inlineStr">
        <is>
          <t>Doors &amp; Frames</t>
        </is>
      </c>
      <c r="B37" s="14" t="n">
        <v>23153.47</v>
      </c>
      <c r="F37" s="14" t="n">
        <v>23153.47</v>
      </c>
    </row>
    <row r="38">
      <c r="A38" s="2" t="inlineStr">
        <is>
          <t>Windows</t>
        </is>
      </c>
      <c r="B38" s="14" t="n">
        <v>10659.46</v>
      </c>
      <c r="F38" s="14" t="n">
        <v>10659.46</v>
      </c>
    </row>
    <row r="39">
      <c r="A39" s="2" t="inlineStr">
        <is>
          <t>Ceiling Systems</t>
        </is>
      </c>
      <c r="B39" s="14" t="n">
        <v>16835.06</v>
      </c>
      <c r="F39" s="14" t="n">
        <v>16835.06</v>
      </c>
    </row>
    <row r="40">
      <c r="A40" s="2" t="inlineStr">
        <is>
          <t>Interior Framing / Partitions</t>
        </is>
      </c>
      <c r="B40" s="14" t="n">
        <v>39604.25</v>
      </c>
      <c r="F40" s="14" t="n">
        <v>39604.25</v>
      </c>
    </row>
    <row r="41">
      <c r="A41" s="2" t="inlineStr">
        <is>
          <t>Painting</t>
        </is>
      </c>
      <c r="B41" s="14" t="n">
        <v>16001</v>
      </c>
      <c r="F41" s="14" t="n">
        <v>16001</v>
      </c>
    </row>
    <row r="42">
      <c r="A42" s="2" t="inlineStr">
        <is>
          <t>Gutter Systems</t>
        </is>
      </c>
      <c r="B42" s="14" t="n">
        <v>1863.69</v>
      </c>
      <c r="F42" s="14" t="n">
        <v>1863.69</v>
      </c>
    </row>
    <row r="43">
      <c r="A43" s="2" t="inlineStr">
        <is>
          <t>Structural Framing</t>
        </is>
      </c>
      <c r="B43" s="14" t="n">
        <v>82713.75999999999</v>
      </c>
      <c r="F43" s="14" t="n">
        <v>82713.75999999999</v>
      </c>
    </row>
    <row r="44">
      <c r="A44" s="2" t="inlineStr">
        <is>
          <t>Stairs / Balconies</t>
        </is>
      </c>
      <c r="B44" s="14" t="n">
        <v>10815.9</v>
      </c>
      <c r="F44" s="14" t="n">
        <v>10815.9</v>
      </c>
    </row>
    <row r="45">
      <c r="A45" s="2" t="inlineStr">
        <is>
          <t>Bathroom Accessories</t>
        </is>
      </c>
      <c r="B45" s="14" t="n">
        <v>9740.219999999999</v>
      </c>
      <c r="F45" s="14" t="n">
        <v>9740.219999999999</v>
      </c>
    </row>
    <row r="46">
      <c r="A46" s="2" t="inlineStr">
        <is>
          <t>Cabinets / Millwork - Restrooms</t>
        </is>
      </c>
      <c r="B46" s="14" t="n">
        <v>6970.48</v>
      </c>
      <c r="F46" s="14" t="n">
        <v>6970.48</v>
      </c>
    </row>
    <row r="48">
      <c r="A48" s="6" t="inlineStr">
        <is>
          <t>Total Building Cost</t>
        </is>
      </c>
      <c r="B48" s="15" t="n">
        <v>503524.71</v>
      </c>
      <c r="C48" s="15" t="n">
        <v>125763.32</v>
      </c>
      <c r="F48" s="15" t="n">
        <v>377761.39</v>
      </c>
    </row>
    <row r="49">
      <c r="A49" s="2" t="inlineStr">
        <is>
          <t>% of Building Cost</t>
        </is>
      </c>
      <c r="C49" s="16" t="n">
        <v>0.25</v>
      </c>
      <c r="F49" s="16" t="n">
        <v>0.75</v>
      </c>
    </row>
    <row r="51">
      <c r="A51" s="1" t="inlineStr">
        <is>
          <t>Asset Allocation:</t>
        </is>
      </c>
    </row>
    <row r="52">
      <c r="A52" s="2" t="inlineStr">
        <is>
          <t>Asset #2 Building</t>
        </is>
      </c>
      <c r="B52" s="14" t="n">
        <v>383408.73</v>
      </c>
      <c r="C52" s="14" t="n">
        <v>95762.44</v>
      </c>
      <c r="F52" s="14" t="n">
        <v>287646.29</v>
      </c>
    </row>
    <row r="53">
      <c r="A53" s="2" t="inlineStr">
        <is>
          <t>Asset #3 Land Improvements</t>
        </is>
      </c>
      <c r="B53" s="14" t="n">
        <v>41779.44</v>
      </c>
      <c r="C53" s="14" t="n">
        <v>10435.08</v>
      </c>
      <c r="F53" s="14" t="n">
        <v>31344.36</v>
      </c>
    </row>
    <row r="54">
      <c r="A54" s="2" t="inlineStr">
        <is>
          <t>Asset #4 Equipment</t>
        </is>
      </c>
      <c r="B54" s="14" t="n">
        <v>78336.53999999999</v>
      </c>
      <c r="C54" s="14" t="n">
        <v>19565.8</v>
      </c>
      <c r="F54" s="14" t="n">
        <v>58770.73999999999</v>
      </c>
    </row>
    <row r="55">
      <c r="A55" s="6" t="inlineStr">
        <is>
          <t>Total Allocation:</t>
        </is>
      </c>
      <c r="B55" s="15" t="n">
        <v>503524.71</v>
      </c>
      <c r="C55" s="15" t="n">
        <v>125763.32</v>
      </c>
      <c r="F55" s="15" t="n">
        <v>377761.39</v>
      </c>
    </row>
    <row r="57">
      <c r="A57" s="1" t="inlineStr">
        <is>
          <t>End Depreciation Reconciliation</t>
        </is>
      </c>
    </row>
    <row r="58">
      <c r="A58" s="2" t="inlineStr">
        <is>
          <t>Before Cost Segregation (As Previously Filed)</t>
        </is>
      </c>
      <c r="B58" s="5" t="n">
        <v>166008.92</v>
      </c>
    </row>
    <row r="59">
      <c r="A59" s="2" t="inlineStr">
        <is>
          <t>After Cost Segregation (Corrected)</t>
        </is>
      </c>
      <c r="B59" s="9" t="n">
        <v>170980.22</v>
      </c>
    </row>
    <row r="60">
      <c r="A60" s="10" t="inlineStr">
        <is>
          <t>Section 481(a) Adjustment</t>
        </is>
      </c>
      <c r="B60" s="17" t="n">
        <v>-4971.3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Coral Village Housing LP</t>
        </is>
      </c>
    </row>
    <row r="2">
      <c r="A2" s="2" t="inlineStr">
        <is>
          <t>Cost Segregation Study - Bldg 2</t>
        </is>
      </c>
    </row>
    <row r="3">
      <c r="A3" s="2" t="inlineStr">
        <is>
          <t>Report #107752-03</t>
        </is>
      </c>
    </row>
    <row r="5">
      <c r="A5" s="2" t="inlineStr">
        <is>
          <t>Acquisition Date:</t>
        </is>
      </c>
      <c r="B5" s="2" t="inlineStr">
        <is>
          <t>10/30/20</t>
        </is>
      </c>
    </row>
    <row r="8">
      <c r="A8" s="1" t="inlineStr">
        <is>
          <t>Coral Village Housing LP - Bldg 2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3" t="inlineStr">
        <is>
          <t>Building Components</t>
        </is>
      </c>
    </row>
    <row r="16">
      <c r="A16" s="2" t="inlineStr">
        <is>
          <t>Cabinets / Millwork</t>
        </is>
      </c>
      <c r="B16" s="14" t="n">
        <v>26445.19</v>
      </c>
      <c r="C16" s="14" t="n">
        <v>26445.19</v>
      </c>
    </row>
    <row r="17">
      <c r="A17" s="2" t="inlineStr">
        <is>
          <t>Moldings</t>
        </is>
      </c>
      <c r="B17" s="14" t="n">
        <v>4635.69</v>
      </c>
      <c r="C17" s="14" t="n">
        <v>4635.69</v>
      </c>
    </row>
    <row r="18">
      <c r="A18" s="2" t="inlineStr">
        <is>
          <t>Flooring - Carpet</t>
        </is>
      </c>
      <c r="B18" s="14" t="n">
        <v>9118.09</v>
      </c>
      <c r="C18" s="14" t="n">
        <v>9118.09</v>
      </c>
    </row>
    <row r="19">
      <c r="A19" s="2" t="inlineStr">
        <is>
          <t>Flooring - Vinyl Plank</t>
        </is>
      </c>
      <c r="B19" s="14" t="n">
        <v>17166.07</v>
      </c>
      <c r="C19" s="14" t="n">
        <v>17166.07</v>
      </c>
    </row>
    <row r="20">
      <c r="A20" s="2" t="inlineStr">
        <is>
          <t>Door &amp; Window Guards</t>
        </is>
      </c>
      <c r="B20" s="14" t="n">
        <v>2842.52</v>
      </c>
      <c r="C20" s="14" t="n">
        <v>2842.52</v>
      </c>
    </row>
    <row r="21">
      <c r="A21" s="2" t="inlineStr">
        <is>
          <t>Window Treatments</t>
        </is>
      </c>
      <c r="B21" s="14" t="n">
        <v>2418.44</v>
      </c>
      <c r="C21" s="14" t="n">
        <v>2418.44</v>
      </c>
    </row>
    <row r="22">
      <c r="A22" s="2" t="inlineStr">
        <is>
          <t>Specialty HVAC - Dryer Vents</t>
        </is>
      </c>
      <c r="B22" s="14" t="n">
        <v>718.3000000000001</v>
      </c>
      <c r="C22" s="14" t="n">
        <v>718.3000000000001</v>
      </c>
    </row>
    <row r="23">
      <c r="A23" s="2" t="inlineStr">
        <is>
          <t>Building Signage</t>
        </is>
      </c>
      <c r="B23" s="14" t="n">
        <v>705.03</v>
      </c>
      <c r="C23" s="14" t="n">
        <v>705.03</v>
      </c>
    </row>
    <row r="24">
      <c r="A24" s="2" t="inlineStr">
        <is>
          <t>Specialty Electrical - Appliances</t>
        </is>
      </c>
      <c r="B24" s="14" t="n">
        <v>12363.8</v>
      </c>
      <c r="C24" s="14" t="n">
        <v>12363.8</v>
      </c>
    </row>
    <row r="25">
      <c r="A25" s="2" t="inlineStr">
        <is>
          <t>Communication / Data</t>
        </is>
      </c>
      <c r="B25" s="14" t="n">
        <v>2600.58</v>
      </c>
      <c r="C25" s="14" t="n">
        <v>2600.58</v>
      </c>
    </row>
    <row r="26">
      <c r="A26" s="2" t="inlineStr">
        <is>
          <t>Specialty Plumbing - Kitchen Sinks / Laundry</t>
        </is>
      </c>
      <c r="B26" s="14" t="n">
        <v>13431.92</v>
      </c>
      <c r="C26" s="14" t="n">
        <v>13431.92</v>
      </c>
    </row>
    <row r="27">
      <c r="A27" s="2" t="inlineStr">
        <is>
          <t>Security / Exterior Lighting</t>
        </is>
      </c>
      <c r="B27" s="14" t="n">
        <v>1140.5</v>
      </c>
      <c r="C27" s="14" t="n">
        <v>1140.5</v>
      </c>
    </row>
    <row r="28">
      <c r="A28" s="2" t="inlineStr">
        <is>
          <t>Access Control</t>
        </is>
      </c>
      <c r="B28" s="14" t="n">
        <v>1360.86</v>
      </c>
      <c r="C28" s="14" t="n">
        <v>1360.86</v>
      </c>
    </row>
    <row r="29">
      <c r="A29" s="2" t="inlineStr">
        <is>
          <t>Appliances</t>
        </is>
      </c>
      <c r="B29" s="14" t="n">
        <v>14831.54</v>
      </c>
      <c r="C29" s="14" t="n">
        <v>14831.54</v>
      </c>
    </row>
    <row r="31">
      <c r="A31" s="13" t="inlineStr">
        <is>
          <t>Building Structure</t>
        </is>
      </c>
    </row>
    <row r="32">
      <c r="A32" s="2" t="inlineStr">
        <is>
          <t>Foundations</t>
        </is>
      </c>
      <c r="B32" s="14" t="n">
        <v>19166.81</v>
      </c>
      <c r="F32" s="14" t="n">
        <v>19166.81</v>
      </c>
    </row>
    <row r="33">
      <c r="A33" s="2" t="inlineStr">
        <is>
          <t>HVAC</t>
        </is>
      </c>
      <c r="B33" s="14" t="n">
        <v>26894.18</v>
      </c>
      <c r="F33" s="14" t="n">
        <v>26894.18</v>
      </c>
    </row>
    <row r="34">
      <c r="A34" s="2" t="inlineStr">
        <is>
          <t>Electrical</t>
        </is>
      </c>
      <c r="B34" s="14" t="n">
        <v>19273.71</v>
      </c>
      <c r="F34" s="14" t="n">
        <v>19273.71</v>
      </c>
    </row>
    <row r="35">
      <c r="A35" s="2" t="inlineStr">
        <is>
          <t>Plumbing</t>
        </is>
      </c>
      <c r="B35" s="14" t="n">
        <v>24003.39</v>
      </c>
      <c r="F35" s="14" t="n">
        <v>24003.39</v>
      </c>
    </row>
    <row r="36">
      <c r="A36" s="2" t="inlineStr">
        <is>
          <t>Fire Protection &amp; Alarm</t>
        </is>
      </c>
      <c r="B36" s="14" t="n">
        <v>23233.4</v>
      </c>
      <c r="F36" s="14" t="n">
        <v>23233.4</v>
      </c>
    </row>
    <row r="37">
      <c r="A37" s="2" t="inlineStr">
        <is>
          <t>Exterior Façade / Building Skin</t>
        </is>
      </c>
      <c r="B37" s="14" t="n">
        <v>8832.92</v>
      </c>
      <c r="F37" s="14" t="n">
        <v>8832.92</v>
      </c>
    </row>
    <row r="38">
      <c r="A38" s="2" t="inlineStr">
        <is>
          <t>Doors &amp; Frames</t>
        </is>
      </c>
      <c r="B38" s="14" t="n">
        <v>17315.31</v>
      </c>
      <c r="F38" s="14" t="n">
        <v>17315.31</v>
      </c>
    </row>
    <row r="39">
      <c r="A39" s="2" t="inlineStr">
        <is>
          <t>Windows</t>
        </is>
      </c>
      <c r="B39" s="14" t="n">
        <v>10659.46</v>
      </c>
      <c r="F39" s="14" t="n">
        <v>10659.46</v>
      </c>
    </row>
    <row r="40">
      <c r="A40" s="2" t="inlineStr">
        <is>
          <t>Ceiling Systems</t>
        </is>
      </c>
      <c r="B40" s="14" t="n">
        <v>12873.87</v>
      </c>
      <c r="F40" s="14" t="n">
        <v>12873.87</v>
      </c>
    </row>
    <row r="41">
      <c r="A41" s="2" t="inlineStr">
        <is>
          <t>Interior Framing / Partitions</t>
        </is>
      </c>
      <c r="B41" s="14" t="n">
        <v>29302.11</v>
      </c>
      <c r="F41" s="14" t="n">
        <v>29302.11</v>
      </c>
    </row>
    <row r="42">
      <c r="A42" s="2" t="inlineStr">
        <is>
          <t>Painting</t>
        </is>
      </c>
      <c r="B42" s="14" t="n">
        <v>11976.41</v>
      </c>
      <c r="F42" s="14" t="n">
        <v>11976.41</v>
      </c>
    </row>
    <row r="43">
      <c r="A43" s="2" t="inlineStr">
        <is>
          <t>Gutter Systems</t>
        </is>
      </c>
      <c r="B43" s="14" t="n">
        <v>1737.32</v>
      </c>
      <c r="F43" s="14" t="n">
        <v>1737.32</v>
      </c>
    </row>
    <row r="44">
      <c r="A44" s="2" t="inlineStr">
        <is>
          <t>Structural Framing</t>
        </is>
      </c>
      <c r="B44" s="14" t="n">
        <v>63061.18</v>
      </c>
      <c r="F44" s="14" t="n">
        <v>63061.18</v>
      </c>
    </row>
    <row r="45">
      <c r="A45" s="2" t="inlineStr">
        <is>
          <t>Stairs / Balconies</t>
        </is>
      </c>
      <c r="B45" s="14" t="n">
        <v>10815.9</v>
      </c>
      <c r="F45" s="14" t="n">
        <v>10815.9</v>
      </c>
    </row>
    <row r="46">
      <c r="A46" s="2" t="inlineStr">
        <is>
          <t>Bathroom Accessories</t>
        </is>
      </c>
      <c r="B46" s="14" t="n">
        <v>5272.42</v>
      </c>
      <c r="F46" s="14" t="n">
        <v>5272.42</v>
      </c>
    </row>
    <row r="47">
      <c r="A47" s="2" t="inlineStr">
        <is>
          <t>Cabinets / Millwork - Restrooms</t>
        </is>
      </c>
      <c r="B47" s="14" t="n">
        <v>3303.27</v>
      </c>
      <c r="F47" s="14" t="n">
        <v>3303.27</v>
      </c>
    </row>
    <row r="49">
      <c r="A49" s="6" t="inlineStr">
        <is>
          <t>Total Building Cost</t>
        </is>
      </c>
      <c r="B49" s="15" t="n">
        <v>397500.19</v>
      </c>
      <c r="C49" s="15" t="n">
        <v>109778.53</v>
      </c>
      <c r="F49" s="15" t="n">
        <v>287721.66</v>
      </c>
    </row>
    <row r="50">
      <c r="A50" s="2" t="inlineStr">
        <is>
          <t>% of Building Cost</t>
        </is>
      </c>
      <c r="C50" s="16" t="n">
        <v>0.276</v>
      </c>
      <c r="F50" s="16" t="n">
        <v>0.724</v>
      </c>
    </row>
    <row r="52">
      <c r="A52" s="1" t="inlineStr">
        <is>
          <t>Asset Allocation:</t>
        </is>
      </c>
    </row>
    <row r="53">
      <c r="A53" s="2" t="inlineStr">
        <is>
          <t>Asset #2 Building</t>
        </is>
      </c>
      <c r="B53" s="14" t="n">
        <v>302676.39</v>
      </c>
      <c r="C53" s="14" t="n">
        <v>83590.83</v>
      </c>
      <c r="F53" s="14" t="n">
        <v>219085.56</v>
      </c>
    </row>
    <row r="54">
      <c r="A54" s="2" t="inlineStr">
        <is>
          <t>Asset #3 Land Improvements</t>
        </is>
      </c>
      <c r="B54" s="14" t="n">
        <v>32982.17</v>
      </c>
      <c r="C54" s="14" t="n">
        <v>9108.76</v>
      </c>
      <c r="F54" s="14" t="n">
        <v>23873.41</v>
      </c>
    </row>
    <row r="55">
      <c r="A55" s="2" t="inlineStr">
        <is>
          <t>Asset #4 Equipment</t>
        </is>
      </c>
      <c r="B55" s="14" t="n">
        <v>61841.63</v>
      </c>
      <c r="C55" s="14" t="n">
        <v>17078.94</v>
      </c>
      <c r="F55" s="14" t="n">
        <v>44762.69</v>
      </c>
    </row>
    <row r="56">
      <c r="A56" s="6" t="inlineStr">
        <is>
          <t>Total Allocation:</t>
        </is>
      </c>
      <c r="B56" s="15" t="n">
        <v>397500.19</v>
      </c>
      <c r="C56" s="15" t="n">
        <v>109778.53</v>
      </c>
      <c r="F56" s="15" t="n">
        <v>287721.66</v>
      </c>
    </row>
    <row r="58">
      <c r="A58" s="1" t="inlineStr">
        <is>
          <t>End Depreciation Reconciliation</t>
        </is>
      </c>
    </row>
    <row r="59">
      <c r="A59" s="2" t="inlineStr">
        <is>
          <t>Before Cost Segregation (As Previously Filed)</t>
        </is>
      </c>
      <c r="B59" s="5" t="n">
        <v>131053.31</v>
      </c>
    </row>
    <row r="60">
      <c r="A60" s="2" t="inlineStr">
        <is>
          <t>After Cost Segregation (Corrected)</t>
        </is>
      </c>
      <c r="B60" s="9" t="n">
        <v>144217.92</v>
      </c>
    </row>
    <row r="61">
      <c r="A61" s="10" t="inlineStr">
        <is>
          <t>Section 481(a) Adjustment</t>
        </is>
      </c>
      <c r="B61" s="17" t="n">
        <v>-13164.61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Coral Village Housing LP</t>
        </is>
      </c>
    </row>
    <row r="2">
      <c r="A2" s="2" t="inlineStr">
        <is>
          <t>Cost Segregation Study - Bldg 3</t>
        </is>
      </c>
    </row>
    <row r="3">
      <c r="A3" s="2" t="inlineStr">
        <is>
          <t>Report #107752-03</t>
        </is>
      </c>
    </row>
    <row r="5">
      <c r="A5" s="2" t="inlineStr">
        <is>
          <t>Acquisition Date:</t>
        </is>
      </c>
      <c r="B5" s="2" t="inlineStr">
        <is>
          <t>10/30/20</t>
        </is>
      </c>
    </row>
    <row r="8">
      <c r="A8" s="1" t="inlineStr">
        <is>
          <t>Coral Village Housing LP - Bldg 3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3" t="inlineStr">
        <is>
          <t>Building Components</t>
        </is>
      </c>
    </row>
    <row r="16">
      <c r="A16" s="2" t="inlineStr">
        <is>
          <t>Cabinets / Millwork</t>
        </is>
      </c>
      <c r="B16" s="14" t="n">
        <v>26757.81</v>
      </c>
      <c r="C16" s="14" t="n">
        <v>26757.81</v>
      </c>
    </row>
    <row r="17">
      <c r="A17" s="2" t="inlineStr">
        <is>
          <t>Moldings</t>
        </is>
      </c>
      <c r="B17" s="14" t="n">
        <v>7990.89</v>
      </c>
      <c r="C17" s="14" t="n">
        <v>7990.89</v>
      </c>
    </row>
    <row r="18">
      <c r="A18" s="2" t="inlineStr">
        <is>
          <t>Flooring - Vinyl Plank</t>
        </is>
      </c>
      <c r="B18" s="14" t="n">
        <v>37800.94</v>
      </c>
      <c r="C18" s="14" t="n">
        <v>37800.94</v>
      </c>
    </row>
    <row r="19">
      <c r="A19" s="2" t="inlineStr">
        <is>
          <t>Door &amp; Window Guards</t>
        </is>
      </c>
      <c r="B19" s="14" t="n">
        <v>2842.52</v>
      </c>
      <c r="C19" s="14" t="n">
        <v>2842.52</v>
      </c>
    </row>
    <row r="20">
      <c r="A20" s="2" t="inlineStr">
        <is>
          <t>Window Treatments</t>
        </is>
      </c>
      <c r="B20" s="14" t="n">
        <v>2418.44</v>
      </c>
      <c r="C20" s="14" t="n">
        <v>2418.44</v>
      </c>
    </row>
    <row r="21">
      <c r="A21" s="2" t="inlineStr">
        <is>
          <t>Specialty HVAC - Dryer Vents</t>
        </is>
      </c>
      <c r="B21" s="14" t="n">
        <v>718.3000000000001</v>
      </c>
      <c r="C21" s="14" t="n">
        <v>718.3000000000001</v>
      </c>
    </row>
    <row r="22">
      <c r="A22" s="2" t="inlineStr">
        <is>
          <t>Building Signage</t>
        </is>
      </c>
      <c r="B22" s="14" t="n">
        <v>705.03</v>
      </c>
      <c r="C22" s="14" t="n">
        <v>705.03</v>
      </c>
    </row>
    <row r="23">
      <c r="A23" s="2" t="inlineStr">
        <is>
          <t>Specialty Electrical - Appliances</t>
        </is>
      </c>
      <c r="B23" s="14" t="n">
        <v>12363.8</v>
      </c>
      <c r="C23" s="14" t="n">
        <v>12363.8</v>
      </c>
    </row>
    <row r="24">
      <c r="A24" s="2" t="inlineStr">
        <is>
          <t>Communication / Data</t>
        </is>
      </c>
      <c r="B24" s="14" t="n">
        <v>3400.77</v>
      </c>
      <c r="C24" s="14" t="n">
        <v>3400.77</v>
      </c>
    </row>
    <row r="25">
      <c r="A25" s="2" t="inlineStr">
        <is>
          <t>Specialty Plumbing - Kitchen Sinks / Laundry</t>
        </is>
      </c>
      <c r="B25" s="14" t="n">
        <v>13431.92</v>
      </c>
      <c r="C25" s="14" t="n">
        <v>13431.92</v>
      </c>
    </row>
    <row r="26">
      <c r="A26" s="2" t="inlineStr">
        <is>
          <t>Security / Exterior Lighting</t>
        </is>
      </c>
      <c r="B26" s="14" t="n">
        <v>1140.5</v>
      </c>
      <c r="C26" s="14" t="n">
        <v>1140.5</v>
      </c>
    </row>
    <row r="27">
      <c r="A27" s="2" t="inlineStr">
        <is>
          <t>Access Control</t>
        </is>
      </c>
      <c r="B27" s="14" t="n">
        <v>1360.86</v>
      </c>
      <c r="C27" s="14" t="n">
        <v>1360.86</v>
      </c>
    </row>
    <row r="28">
      <c r="A28" s="2" t="inlineStr">
        <is>
          <t>Appliances</t>
        </is>
      </c>
      <c r="B28" s="14" t="n">
        <v>14831.54</v>
      </c>
      <c r="C28" s="14" t="n">
        <v>14831.54</v>
      </c>
    </row>
    <row r="30">
      <c r="A30" s="13" t="inlineStr">
        <is>
          <t>Building Structure</t>
        </is>
      </c>
    </row>
    <row r="31">
      <c r="A31" s="2" t="inlineStr">
        <is>
          <t>Foundations</t>
        </is>
      </c>
      <c r="B31" s="14" t="n">
        <v>25110.72</v>
      </c>
      <c r="F31" s="14" t="n">
        <v>25110.72</v>
      </c>
    </row>
    <row r="32">
      <c r="A32" s="2" t="inlineStr">
        <is>
          <t>HVAC</t>
        </is>
      </c>
      <c r="B32" s="14" t="n">
        <v>35390.34</v>
      </c>
      <c r="F32" s="14" t="n">
        <v>35390.34</v>
      </c>
    </row>
    <row r="33">
      <c r="A33" s="2" t="inlineStr">
        <is>
          <t>Electrical</t>
        </is>
      </c>
      <c r="B33" s="14" t="n">
        <v>29008.33</v>
      </c>
      <c r="F33" s="14" t="n">
        <v>29008.33</v>
      </c>
    </row>
    <row r="34">
      <c r="A34" s="2" t="inlineStr">
        <is>
          <t>Plumbing</t>
        </is>
      </c>
      <c r="B34" s="14" t="n">
        <v>31389.04</v>
      </c>
      <c r="F34" s="14" t="n">
        <v>31389.04</v>
      </c>
    </row>
    <row r="35">
      <c r="A35" s="2" t="inlineStr">
        <is>
          <t>Fire Protection &amp; Alarm</t>
        </is>
      </c>
      <c r="B35" s="14" t="n">
        <v>26496.62</v>
      </c>
      <c r="F35" s="14" t="n">
        <v>26496.62</v>
      </c>
    </row>
    <row r="36">
      <c r="A36" s="2" t="inlineStr">
        <is>
          <t>Exterior Façade / Building Skin</t>
        </is>
      </c>
      <c r="B36" s="14" t="n">
        <v>12009.05</v>
      </c>
      <c r="F36" s="14" t="n">
        <v>12009.05</v>
      </c>
    </row>
    <row r="37">
      <c r="A37" s="2" t="inlineStr">
        <is>
          <t>Doors &amp; Frames</t>
        </is>
      </c>
      <c r="B37" s="14" t="n">
        <v>23153.47</v>
      </c>
      <c r="F37" s="14" t="n">
        <v>23153.47</v>
      </c>
    </row>
    <row r="38">
      <c r="A38" s="2" t="inlineStr">
        <is>
          <t>Windows</t>
        </is>
      </c>
      <c r="B38" s="14" t="n">
        <v>10659.46</v>
      </c>
      <c r="F38" s="14" t="n">
        <v>10659.46</v>
      </c>
    </row>
    <row r="39">
      <c r="A39" s="2" t="inlineStr">
        <is>
          <t>Ceiling Systems</t>
        </is>
      </c>
      <c r="B39" s="14" t="n">
        <v>16835.06</v>
      </c>
      <c r="F39" s="14" t="n">
        <v>16835.06</v>
      </c>
    </row>
    <row r="40">
      <c r="A40" s="2" t="inlineStr">
        <is>
          <t>Interior Framing / Partitions</t>
        </is>
      </c>
      <c r="B40" s="14" t="n">
        <v>39604.25</v>
      </c>
      <c r="F40" s="14" t="n">
        <v>39604.25</v>
      </c>
    </row>
    <row r="41">
      <c r="A41" s="2" t="inlineStr">
        <is>
          <t>Painting</t>
        </is>
      </c>
      <c r="B41" s="14" t="n">
        <v>16001</v>
      </c>
      <c r="F41" s="14" t="n">
        <v>16001</v>
      </c>
    </row>
    <row r="42">
      <c r="A42" s="2" t="inlineStr">
        <is>
          <t>Gutter Systems</t>
        </is>
      </c>
      <c r="B42" s="14" t="n">
        <v>1863.69</v>
      </c>
      <c r="F42" s="14" t="n">
        <v>1863.69</v>
      </c>
    </row>
    <row r="43">
      <c r="A43" s="2" t="inlineStr">
        <is>
          <t>Structural Framing</t>
        </is>
      </c>
      <c r="B43" s="14" t="n">
        <v>82713.75999999999</v>
      </c>
      <c r="F43" s="14" t="n">
        <v>82713.75999999999</v>
      </c>
    </row>
    <row r="44">
      <c r="A44" s="2" t="inlineStr">
        <is>
          <t>Stairs / Balconies</t>
        </is>
      </c>
      <c r="B44" s="14" t="n">
        <v>10815.9</v>
      </c>
      <c r="F44" s="14" t="n">
        <v>10815.9</v>
      </c>
    </row>
    <row r="45">
      <c r="A45" s="2" t="inlineStr">
        <is>
          <t>Bathroom Accessories</t>
        </is>
      </c>
      <c r="B45" s="14" t="n">
        <v>9740.219999999999</v>
      </c>
      <c r="F45" s="14" t="n">
        <v>9740.219999999999</v>
      </c>
    </row>
    <row r="46">
      <c r="A46" s="2" t="inlineStr">
        <is>
          <t>Cabinets / Millwork - Restrooms</t>
        </is>
      </c>
      <c r="B46" s="14" t="n">
        <v>6970.48</v>
      </c>
      <c r="F46" s="14" t="n">
        <v>6970.48</v>
      </c>
    </row>
    <row r="48">
      <c r="A48" s="6" t="inlineStr">
        <is>
          <t>Total Building Cost</t>
        </is>
      </c>
      <c r="B48" s="15" t="n">
        <v>503524.71</v>
      </c>
      <c r="C48" s="15" t="n">
        <v>125763.32</v>
      </c>
      <c r="F48" s="15" t="n">
        <v>377761.39</v>
      </c>
    </row>
    <row r="49">
      <c r="A49" s="2" t="inlineStr">
        <is>
          <t>% of Building Cost</t>
        </is>
      </c>
      <c r="C49" s="16" t="n">
        <v>0.25</v>
      </c>
      <c r="F49" s="16" t="n">
        <v>0.75</v>
      </c>
    </row>
    <row r="51">
      <c r="A51" s="1" t="inlineStr">
        <is>
          <t>Asset Allocation:</t>
        </is>
      </c>
    </row>
    <row r="52">
      <c r="A52" s="2" t="inlineStr">
        <is>
          <t>Asset #2 Building</t>
        </is>
      </c>
      <c r="B52" s="14" t="n">
        <v>383408.73</v>
      </c>
      <c r="C52" s="14" t="n">
        <v>95762.44</v>
      </c>
      <c r="F52" s="14" t="n">
        <v>287646.29</v>
      </c>
    </row>
    <row r="53">
      <c r="A53" s="2" t="inlineStr">
        <is>
          <t>Asset #3 Land Improvements</t>
        </is>
      </c>
      <c r="B53" s="14" t="n">
        <v>41779.44</v>
      </c>
      <c r="C53" s="14" t="n">
        <v>10435.08</v>
      </c>
      <c r="F53" s="14" t="n">
        <v>31344.36</v>
      </c>
    </row>
    <row r="54">
      <c r="A54" s="2" t="inlineStr">
        <is>
          <t>Asset #4 Equipment</t>
        </is>
      </c>
      <c r="B54" s="14" t="n">
        <v>78336.53999999999</v>
      </c>
      <c r="C54" s="14" t="n">
        <v>19565.8</v>
      </c>
      <c r="F54" s="14" t="n">
        <v>58770.73999999999</v>
      </c>
    </row>
    <row r="55">
      <c r="A55" s="6" t="inlineStr">
        <is>
          <t>Total Allocation:</t>
        </is>
      </c>
      <c r="B55" s="15" t="n">
        <v>503524.71</v>
      </c>
      <c r="C55" s="15" t="n">
        <v>125763.32</v>
      </c>
      <c r="F55" s="15" t="n">
        <v>377761.39</v>
      </c>
    </row>
    <row r="57">
      <c r="A57" s="1" t="inlineStr">
        <is>
          <t>End Depreciation Reconciliation</t>
        </is>
      </c>
    </row>
    <row r="58">
      <c r="A58" s="2" t="inlineStr">
        <is>
          <t>Before Cost Segregation (As Previously Filed)</t>
        </is>
      </c>
      <c r="B58" s="5" t="n">
        <v>166008.92</v>
      </c>
    </row>
    <row r="59">
      <c r="A59" s="2" t="inlineStr">
        <is>
          <t>After Cost Segregation (Corrected)</t>
        </is>
      </c>
      <c r="B59" s="9" t="n">
        <v>170980.22</v>
      </c>
    </row>
    <row r="60">
      <c r="A60" s="10" t="inlineStr">
        <is>
          <t>Section 481(a) Adjustment</t>
        </is>
      </c>
      <c r="B60" s="17" t="n">
        <v>-4971.3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Coral Village Housing LP</t>
        </is>
      </c>
    </row>
    <row r="2">
      <c r="A2" s="2" t="inlineStr">
        <is>
          <t>Cost Segregation Study - Bldg 4</t>
        </is>
      </c>
    </row>
    <row r="3">
      <c r="A3" s="2" t="inlineStr">
        <is>
          <t>Report #107752-03</t>
        </is>
      </c>
    </row>
    <row r="5">
      <c r="A5" s="2" t="inlineStr">
        <is>
          <t>Acquisition Date:</t>
        </is>
      </c>
      <c r="B5" s="2" t="inlineStr">
        <is>
          <t>10/30/20</t>
        </is>
      </c>
    </row>
    <row r="8">
      <c r="A8" s="1" t="inlineStr">
        <is>
          <t>Coral Village Housing LP - Bldg 4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3" t="inlineStr">
        <is>
          <t>Building Components</t>
        </is>
      </c>
    </row>
    <row r="16">
      <c r="A16" s="2" t="inlineStr">
        <is>
          <t>Cabinets / Millwork</t>
        </is>
      </c>
      <c r="B16" s="14" t="n">
        <v>26445.19</v>
      </c>
      <c r="C16" s="14" t="n">
        <v>26445.19</v>
      </c>
    </row>
    <row r="17">
      <c r="A17" s="2" t="inlineStr">
        <is>
          <t>Moldings</t>
        </is>
      </c>
      <c r="B17" s="14" t="n">
        <v>4635.69</v>
      </c>
      <c r="C17" s="14" t="n">
        <v>4635.69</v>
      </c>
    </row>
    <row r="18">
      <c r="A18" s="2" t="inlineStr">
        <is>
          <t>Flooring - Carpet</t>
        </is>
      </c>
      <c r="B18" s="14" t="n">
        <v>9118.09</v>
      </c>
      <c r="C18" s="14" t="n">
        <v>9118.09</v>
      </c>
    </row>
    <row r="19">
      <c r="A19" s="2" t="inlineStr">
        <is>
          <t>Flooring - Vinyl Plank</t>
        </is>
      </c>
      <c r="B19" s="14" t="n">
        <v>17166.07</v>
      </c>
      <c r="C19" s="14" t="n">
        <v>17166.07</v>
      </c>
    </row>
    <row r="20">
      <c r="A20" s="2" t="inlineStr">
        <is>
          <t>Door &amp; Window Guards</t>
        </is>
      </c>
      <c r="B20" s="14" t="n">
        <v>2842.52</v>
      </c>
      <c r="C20" s="14" t="n">
        <v>2842.52</v>
      </c>
    </row>
    <row r="21">
      <c r="A21" s="2" t="inlineStr">
        <is>
          <t>Window Treatments</t>
        </is>
      </c>
      <c r="B21" s="14" t="n">
        <v>2418.44</v>
      </c>
      <c r="C21" s="14" t="n">
        <v>2418.44</v>
      </c>
    </row>
    <row r="22">
      <c r="A22" s="2" t="inlineStr">
        <is>
          <t>Specialty HVAC - Dryer Vents</t>
        </is>
      </c>
      <c r="B22" s="14" t="n">
        <v>718.3000000000001</v>
      </c>
      <c r="C22" s="14" t="n">
        <v>718.3000000000001</v>
      </c>
    </row>
    <row r="23">
      <c r="A23" s="2" t="inlineStr">
        <is>
          <t>Building Signage</t>
        </is>
      </c>
      <c r="B23" s="14" t="n">
        <v>705.03</v>
      </c>
      <c r="C23" s="14" t="n">
        <v>705.03</v>
      </c>
    </row>
    <row r="24">
      <c r="A24" s="2" t="inlineStr">
        <is>
          <t>Specialty Electrical - Appliances</t>
        </is>
      </c>
      <c r="B24" s="14" t="n">
        <v>12363.8</v>
      </c>
      <c r="C24" s="14" t="n">
        <v>12363.8</v>
      </c>
    </row>
    <row r="25">
      <c r="A25" s="2" t="inlineStr">
        <is>
          <t>Communication / Data</t>
        </is>
      </c>
      <c r="B25" s="14" t="n">
        <v>2600.58</v>
      </c>
      <c r="C25" s="14" t="n">
        <v>2600.58</v>
      </c>
    </row>
    <row r="26">
      <c r="A26" s="2" t="inlineStr">
        <is>
          <t>Specialty Plumbing - Kitchen Sinks / Laundry</t>
        </is>
      </c>
      <c r="B26" s="14" t="n">
        <v>13431.92</v>
      </c>
      <c r="C26" s="14" t="n">
        <v>13431.92</v>
      </c>
    </row>
    <row r="27">
      <c r="A27" s="2" t="inlineStr">
        <is>
          <t>Security / Exterior Lighting</t>
        </is>
      </c>
      <c r="B27" s="14" t="n">
        <v>1140.5</v>
      </c>
      <c r="C27" s="14" t="n">
        <v>1140.5</v>
      </c>
    </row>
    <row r="28">
      <c r="A28" s="2" t="inlineStr">
        <is>
          <t>Access Control</t>
        </is>
      </c>
      <c r="B28" s="14" t="n">
        <v>1360.86</v>
      </c>
      <c r="C28" s="14" t="n">
        <v>1360.86</v>
      </c>
    </row>
    <row r="29">
      <c r="A29" s="2" t="inlineStr">
        <is>
          <t>Appliances</t>
        </is>
      </c>
      <c r="B29" s="14" t="n">
        <v>14831.54</v>
      </c>
      <c r="C29" s="14" t="n">
        <v>14831.54</v>
      </c>
    </row>
    <row r="31">
      <c r="A31" s="13" t="inlineStr">
        <is>
          <t>Building Structure</t>
        </is>
      </c>
    </row>
    <row r="32">
      <c r="A32" s="2" t="inlineStr">
        <is>
          <t>Foundations</t>
        </is>
      </c>
      <c r="B32" s="14" t="n">
        <v>19166.81</v>
      </c>
      <c r="F32" s="14" t="n">
        <v>19166.81</v>
      </c>
    </row>
    <row r="33">
      <c r="A33" s="2" t="inlineStr">
        <is>
          <t>HVAC</t>
        </is>
      </c>
      <c r="B33" s="14" t="n">
        <v>26894.18</v>
      </c>
      <c r="F33" s="14" t="n">
        <v>26894.18</v>
      </c>
    </row>
    <row r="34">
      <c r="A34" s="2" t="inlineStr">
        <is>
          <t>Electrical</t>
        </is>
      </c>
      <c r="B34" s="14" t="n">
        <v>19273.71</v>
      </c>
      <c r="F34" s="14" t="n">
        <v>19273.71</v>
      </c>
    </row>
    <row r="35">
      <c r="A35" s="2" t="inlineStr">
        <is>
          <t>Plumbing</t>
        </is>
      </c>
      <c r="B35" s="14" t="n">
        <v>24003.39</v>
      </c>
      <c r="F35" s="14" t="n">
        <v>24003.39</v>
      </c>
    </row>
    <row r="36">
      <c r="A36" s="2" t="inlineStr">
        <is>
          <t>Fire Protection &amp; Alarm</t>
        </is>
      </c>
      <c r="B36" s="14" t="n">
        <v>23233.4</v>
      </c>
      <c r="F36" s="14" t="n">
        <v>23233.4</v>
      </c>
    </row>
    <row r="37">
      <c r="A37" s="2" t="inlineStr">
        <is>
          <t>Exterior Façade / Building Skin</t>
        </is>
      </c>
      <c r="B37" s="14" t="n">
        <v>8832.92</v>
      </c>
      <c r="F37" s="14" t="n">
        <v>8832.92</v>
      </c>
    </row>
    <row r="38">
      <c r="A38" s="2" t="inlineStr">
        <is>
          <t>Doors &amp; Frames</t>
        </is>
      </c>
      <c r="B38" s="14" t="n">
        <v>17315.31</v>
      </c>
      <c r="F38" s="14" t="n">
        <v>17315.31</v>
      </c>
    </row>
    <row r="39">
      <c r="A39" s="2" t="inlineStr">
        <is>
          <t>Windows</t>
        </is>
      </c>
      <c r="B39" s="14" t="n">
        <v>10659.46</v>
      </c>
      <c r="F39" s="14" t="n">
        <v>10659.46</v>
      </c>
    </row>
    <row r="40">
      <c r="A40" s="2" t="inlineStr">
        <is>
          <t>Ceiling Systems</t>
        </is>
      </c>
      <c r="B40" s="14" t="n">
        <v>12873.87</v>
      </c>
      <c r="F40" s="14" t="n">
        <v>12873.87</v>
      </c>
    </row>
    <row r="41">
      <c r="A41" s="2" t="inlineStr">
        <is>
          <t>Interior Framing / Partitions</t>
        </is>
      </c>
      <c r="B41" s="14" t="n">
        <v>29302.11</v>
      </c>
      <c r="F41" s="14" t="n">
        <v>29302.11</v>
      </c>
    </row>
    <row r="42">
      <c r="A42" s="2" t="inlineStr">
        <is>
          <t>Painting</t>
        </is>
      </c>
      <c r="B42" s="14" t="n">
        <v>11976.41</v>
      </c>
      <c r="F42" s="14" t="n">
        <v>11976.41</v>
      </c>
    </row>
    <row r="43">
      <c r="A43" s="2" t="inlineStr">
        <is>
          <t>Gutter Systems</t>
        </is>
      </c>
      <c r="B43" s="14" t="n">
        <v>1737.32</v>
      </c>
      <c r="F43" s="14" t="n">
        <v>1737.32</v>
      </c>
    </row>
    <row r="44">
      <c r="A44" s="2" t="inlineStr">
        <is>
          <t>Structural Framing</t>
        </is>
      </c>
      <c r="B44" s="14" t="n">
        <v>63061.18</v>
      </c>
      <c r="F44" s="14" t="n">
        <v>63061.18</v>
      </c>
    </row>
    <row r="45">
      <c r="A45" s="2" t="inlineStr">
        <is>
          <t>Stairs / Balconies</t>
        </is>
      </c>
      <c r="B45" s="14" t="n">
        <v>10815.9</v>
      </c>
      <c r="F45" s="14" t="n">
        <v>10815.9</v>
      </c>
    </row>
    <row r="46">
      <c r="A46" s="2" t="inlineStr">
        <is>
          <t>Bathroom Accessories</t>
        </is>
      </c>
      <c r="B46" s="14" t="n">
        <v>5272.42</v>
      </c>
      <c r="F46" s="14" t="n">
        <v>5272.42</v>
      </c>
    </row>
    <row r="47">
      <c r="A47" s="2" t="inlineStr">
        <is>
          <t>Cabinets / Millwork - Restrooms</t>
        </is>
      </c>
      <c r="B47" s="14" t="n">
        <v>3303.27</v>
      </c>
      <c r="F47" s="14" t="n">
        <v>3303.27</v>
      </c>
    </row>
    <row r="49">
      <c r="A49" s="6" t="inlineStr">
        <is>
          <t>Total Building Cost</t>
        </is>
      </c>
      <c r="B49" s="15" t="n">
        <v>397500.19</v>
      </c>
      <c r="C49" s="15" t="n">
        <v>109778.53</v>
      </c>
      <c r="F49" s="15" t="n">
        <v>287721.66</v>
      </c>
    </row>
    <row r="50">
      <c r="A50" s="2" t="inlineStr">
        <is>
          <t>% of Building Cost</t>
        </is>
      </c>
      <c r="C50" s="16" t="n">
        <v>0.276</v>
      </c>
      <c r="F50" s="16" t="n">
        <v>0.724</v>
      </c>
    </row>
    <row r="52">
      <c r="A52" s="1" t="inlineStr">
        <is>
          <t>Asset Allocation:</t>
        </is>
      </c>
    </row>
    <row r="53">
      <c r="A53" s="2" t="inlineStr">
        <is>
          <t>Asset #2 Building</t>
        </is>
      </c>
      <c r="B53" s="14" t="n">
        <v>302676.39</v>
      </c>
      <c r="C53" s="14" t="n">
        <v>83590.83</v>
      </c>
      <c r="F53" s="14" t="n">
        <v>219085.56</v>
      </c>
    </row>
    <row r="54">
      <c r="A54" s="2" t="inlineStr">
        <is>
          <t>Asset #3 Land Improvements</t>
        </is>
      </c>
      <c r="B54" s="14" t="n">
        <v>32982.17</v>
      </c>
      <c r="C54" s="14" t="n">
        <v>9108.76</v>
      </c>
      <c r="F54" s="14" t="n">
        <v>23873.41</v>
      </c>
    </row>
    <row r="55">
      <c r="A55" s="2" t="inlineStr">
        <is>
          <t>Asset #4 Equipment</t>
        </is>
      </c>
      <c r="B55" s="14" t="n">
        <v>61841.63</v>
      </c>
      <c r="C55" s="14" t="n">
        <v>17078.94</v>
      </c>
      <c r="F55" s="14" t="n">
        <v>44762.69</v>
      </c>
    </row>
    <row r="56">
      <c r="A56" s="6" t="inlineStr">
        <is>
          <t>Total Allocation:</t>
        </is>
      </c>
      <c r="B56" s="15" t="n">
        <v>397500.19</v>
      </c>
      <c r="C56" s="15" t="n">
        <v>109778.53</v>
      </c>
      <c r="F56" s="15" t="n">
        <v>287721.66</v>
      </c>
    </row>
    <row r="58">
      <c r="A58" s="1" t="inlineStr">
        <is>
          <t>End Depreciation Reconciliation</t>
        </is>
      </c>
    </row>
    <row r="59">
      <c r="A59" s="2" t="inlineStr">
        <is>
          <t>Before Cost Segregation (As Previously Filed)</t>
        </is>
      </c>
      <c r="B59" s="5" t="n">
        <v>131053.31</v>
      </c>
    </row>
    <row r="60">
      <c r="A60" s="2" t="inlineStr">
        <is>
          <t>After Cost Segregation (Corrected)</t>
        </is>
      </c>
      <c r="B60" s="9" t="n">
        <v>144217.92</v>
      </c>
    </row>
    <row r="61">
      <c r="A61" s="10" t="inlineStr">
        <is>
          <t>Section 481(a) Adjustment</t>
        </is>
      </c>
      <c r="B61" s="17" t="n">
        <v>-13164.61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Coral Village Housing LP</t>
        </is>
      </c>
    </row>
    <row r="2">
      <c r="A2" s="2" t="inlineStr">
        <is>
          <t>Cost Segregation Study - Bldg 5</t>
        </is>
      </c>
    </row>
    <row r="3">
      <c r="A3" s="2" t="inlineStr">
        <is>
          <t>Report #107752-03</t>
        </is>
      </c>
    </row>
    <row r="5">
      <c r="A5" s="2" t="inlineStr">
        <is>
          <t>Acquisition Date:</t>
        </is>
      </c>
      <c r="B5" s="2" t="inlineStr">
        <is>
          <t>10/30/20</t>
        </is>
      </c>
    </row>
    <row r="8">
      <c r="A8" s="1" t="inlineStr">
        <is>
          <t>Coral Village Housing LP - Bldg 5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3" t="inlineStr">
        <is>
          <t>Building Components</t>
        </is>
      </c>
    </row>
    <row r="16">
      <c r="A16" s="2" t="inlineStr">
        <is>
          <t>Cabinets / Millwork</t>
        </is>
      </c>
      <c r="B16" s="14" t="n">
        <v>26757.81</v>
      </c>
      <c r="C16" s="14" t="n">
        <v>26757.81</v>
      </c>
    </row>
    <row r="17">
      <c r="A17" s="2" t="inlineStr">
        <is>
          <t>Moldings</t>
        </is>
      </c>
      <c r="B17" s="14" t="n">
        <v>7990.89</v>
      </c>
      <c r="C17" s="14" t="n">
        <v>7990.89</v>
      </c>
    </row>
    <row r="18">
      <c r="A18" s="2" t="inlineStr">
        <is>
          <t>Flooring - Vinyl Plank</t>
        </is>
      </c>
      <c r="B18" s="14" t="n">
        <v>37800.94</v>
      </c>
      <c r="C18" s="14" t="n">
        <v>37800.94</v>
      </c>
    </row>
    <row r="19">
      <c r="A19" s="2" t="inlineStr">
        <is>
          <t>Door &amp; Window Guards</t>
        </is>
      </c>
      <c r="B19" s="14" t="n">
        <v>2842.52</v>
      </c>
      <c r="C19" s="14" t="n">
        <v>2842.52</v>
      </c>
    </row>
    <row r="20">
      <c r="A20" s="2" t="inlineStr">
        <is>
          <t>Window Treatments</t>
        </is>
      </c>
      <c r="B20" s="14" t="n">
        <v>2418.44</v>
      </c>
      <c r="C20" s="14" t="n">
        <v>2418.44</v>
      </c>
    </row>
    <row r="21">
      <c r="A21" s="2" t="inlineStr">
        <is>
          <t>Specialty HVAC - Dryer Vents</t>
        </is>
      </c>
      <c r="B21" s="14" t="n">
        <v>718.3000000000001</v>
      </c>
      <c r="C21" s="14" t="n">
        <v>718.3000000000001</v>
      </c>
    </row>
    <row r="22">
      <c r="A22" s="2" t="inlineStr">
        <is>
          <t>Building Signage</t>
        </is>
      </c>
      <c r="B22" s="14" t="n">
        <v>705.03</v>
      </c>
      <c r="C22" s="14" t="n">
        <v>705.03</v>
      </c>
    </row>
    <row r="23">
      <c r="A23" s="2" t="inlineStr">
        <is>
          <t>Specialty Electrical - Appliances</t>
        </is>
      </c>
      <c r="B23" s="14" t="n">
        <v>12363.8</v>
      </c>
      <c r="C23" s="14" t="n">
        <v>12363.8</v>
      </c>
    </row>
    <row r="24">
      <c r="A24" s="2" t="inlineStr">
        <is>
          <t>Communication / Data</t>
        </is>
      </c>
      <c r="B24" s="14" t="n">
        <v>3400.77</v>
      </c>
      <c r="C24" s="14" t="n">
        <v>3400.77</v>
      </c>
    </row>
    <row r="25">
      <c r="A25" s="2" t="inlineStr">
        <is>
          <t>Specialty Plumbing - Kitchen Sinks / Laundry</t>
        </is>
      </c>
      <c r="B25" s="14" t="n">
        <v>13431.92</v>
      </c>
      <c r="C25" s="14" t="n">
        <v>13431.92</v>
      </c>
    </row>
    <row r="26">
      <c r="A26" s="2" t="inlineStr">
        <is>
          <t>Security / Exterior Lighting</t>
        </is>
      </c>
      <c r="B26" s="14" t="n">
        <v>1140.5</v>
      </c>
      <c r="C26" s="14" t="n">
        <v>1140.5</v>
      </c>
    </row>
    <row r="27">
      <c r="A27" s="2" t="inlineStr">
        <is>
          <t>Access Control</t>
        </is>
      </c>
      <c r="B27" s="14" t="n">
        <v>1360.86</v>
      </c>
      <c r="C27" s="14" t="n">
        <v>1360.86</v>
      </c>
    </row>
    <row r="28">
      <c r="A28" s="2" t="inlineStr">
        <is>
          <t>Appliances</t>
        </is>
      </c>
      <c r="B28" s="14" t="n">
        <v>14831.54</v>
      </c>
      <c r="C28" s="14" t="n">
        <v>14831.54</v>
      </c>
    </row>
    <row r="30">
      <c r="A30" s="13" t="inlineStr">
        <is>
          <t>Building Structure</t>
        </is>
      </c>
    </row>
    <row r="31">
      <c r="A31" s="2" t="inlineStr">
        <is>
          <t>Foundations</t>
        </is>
      </c>
      <c r="B31" s="14" t="n">
        <v>25110.72</v>
      </c>
      <c r="F31" s="14" t="n">
        <v>25110.72</v>
      </c>
    </row>
    <row r="32">
      <c r="A32" s="2" t="inlineStr">
        <is>
          <t>HVAC</t>
        </is>
      </c>
      <c r="B32" s="14" t="n">
        <v>35390.34</v>
      </c>
      <c r="F32" s="14" t="n">
        <v>35390.34</v>
      </c>
    </row>
    <row r="33">
      <c r="A33" s="2" t="inlineStr">
        <is>
          <t>Electrical</t>
        </is>
      </c>
      <c r="B33" s="14" t="n">
        <v>29008.33</v>
      </c>
      <c r="F33" s="14" t="n">
        <v>29008.33</v>
      </c>
    </row>
    <row r="34">
      <c r="A34" s="2" t="inlineStr">
        <is>
          <t>Plumbing</t>
        </is>
      </c>
      <c r="B34" s="14" t="n">
        <v>31389.04</v>
      </c>
      <c r="F34" s="14" t="n">
        <v>31389.04</v>
      </c>
    </row>
    <row r="35">
      <c r="A35" s="2" t="inlineStr">
        <is>
          <t>Fire Protection &amp; Alarm</t>
        </is>
      </c>
      <c r="B35" s="14" t="n">
        <v>26496.62</v>
      </c>
      <c r="F35" s="14" t="n">
        <v>26496.62</v>
      </c>
    </row>
    <row r="36">
      <c r="A36" s="2" t="inlineStr">
        <is>
          <t>Exterior Façade / Building Skin</t>
        </is>
      </c>
      <c r="B36" s="14" t="n">
        <v>12009.05</v>
      </c>
      <c r="F36" s="14" t="n">
        <v>12009.05</v>
      </c>
    </row>
    <row r="37">
      <c r="A37" s="2" t="inlineStr">
        <is>
          <t>Doors &amp; Frames</t>
        </is>
      </c>
      <c r="B37" s="14" t="n">
        <v>23153.47</v>
      </c>
      <c r="F37" s="14" t="n">
        <v>23153.47</v>
      </c>
    </row>
    <row r="38">
      <c r="A38" s="2" t="inlineStr">
        <is>
          <t>Windows</t>
        </is>
      </c>
      <c r="B38" s="14" t="n">
        <v>10659.46</v>
      </c>
      <c r="F38" s="14" t="n">
        <v>10659.46</v>
      </c>
    </row>
    <row r="39">
      <c r="A39" s="2" t="inlineStr">
        <is>
          <t>Ceiling Systems</t>
        </is>
      </c>
      <c r="B39" s="14" t="n">
        <v>16835.06</v>
      </c>
      <c r="F39" s="14" t="n">
        <v>16835.06</v>
      </c>
    </row>
    <row r="40">
      <c r="A40" s="2" t="inlineStr">
        <is>
          <t>Interior Framing / Partitions</t>
        </is>
      </c>
      <c r="B40" s="14" t="n">
        <v>39604.25</v>
      </c>
      <c r="F40" s="14" t="n">
        <v>39604.25</v>
      </c>
    </row>
    <row r="41">
      <c r="A41" s="2" t="inlineStr">
        <is>
          <t>Painting</t>
        </is>
      </c>
      <c r="B41" s="14" t="n">
        <v>16001</v>
      </c>
      <c r="F41" s="14" t="n">
        <v>16001</v>
      </c>
    </row>
    <row r="42">
      <c r="A42" s="2" t="inlineStr">
        <is>
          <t>Gutter Systems</t>
        </is>
      </c>
      <c r="B42" s="14" t="n">
        <v>1863.69</v>
      </c>
      <c r="F42" s="14" t="n">
        <v>1863.69</v>
      </c>
    </row>
    <row r="43">
      <c r="A43" s="2" t="inlineStr">
        <is>
          <t>Structural Framing</t>
        </is>
      </c>
      <c r="B43" s="14" t="n">
        <v>82713.75999999999</v>
      </c>
      <c r="F43" s="14" t="n">
        <v>82713.75999999999</v>
      </c>
    </row>
    <row r="44">
      <c r="A44" s="2" t="inlineStr">
        <is>
          <t>Stairs / Balconies</t>
        </is>
      </c>
      <c r="B44" s="14" t="n">
        <v>10815.9</v>
      </c>
      <c r="F44" s="14" t="n">
        <v>10815.9</v>
      </c>
    </row>
    <row r="45">
      <c r="A45" s="2" t="inlineStr">
        <is>
          <t>Bathroom Accessories</t>
        </is>
      </c>
      <c r="B45" s="14" t="n">
        <v>9740.219999999999</v>
      </c>
      <c r="F45" s="14" t="n">
        <v>9740.219999999999</v>
      </c>
    </row>
    <row r="46">
      <c r="A46" s="2" t="inlineStr">
        <is>
          <t>Cabinets / Millwork - Restrooms</t>
        </is>
      </c>
      <c r="B46" s="14" t="n">
        <v>6970.48</v>
      </c>
      <c r="F46" s="14" t="n">
        <v>6970.48</v>
      </c>
    </row>
    <row r="48">
      <c r="A48" s="6" t="inlineStr">
        <is>
          <t>Total Building Cost</t>
        </is>
      </c>
      <c r="B48" s="15" t="n">
        <v>503524.71</v>
      </c>
      <c r="C48" s="15" t="n">
        <v>125763.32</v>
      </c>
      <c r="F48" s="15" t="n">
        <v>377761.39</v>
      </c>
    </row>
    <row r="49">
      <c r="A49" s="2" t="inlineStr">
        <is>
          <t>% of Building Cost</t>
        </is>
      </c>
      <c r="C49" s="16" t="n">
        <v>0.25</v>
      </c>
      <c r="F49" s="16" t="n">
        <v>0.75</v>
      </c>
    </row>
    <row r="51">
      <c r="A51" s="1" t="inlineStr">
        <is>
          <t>Asset Allocation:</t>
        </is>
      </c>
    </row>
    <row r="52">
      <c r="A52" s="2" t="inlineStr">
        <is>
          <t>Asset #2 Building</t>
        </is>
      </c>
      <c r="B52" s="14" t="n">
        <v>383408.73</v>
      </c>
      <c r="C52" s="14" t="n">
        <v>95762.44</v>
      </c>
      <c r="F52" s="14" t="n">
        <v>287646.29</v>
      </c>
    </row>
    <row r="53">
      <c r="A53" s="2" t="inlineStr">
        <is>
          <t>Asset #3 Land Improvements</t>
        </is>
      </c>
      <c r="B53" s="14" t="n">
        <v>41779.44</v>
      </c>
      <c r="C53" s="14" t="n">
        <v>10435.08</v>
      </c>
      <c r="F53" s="14" t="n">
        <v>31344.36</v>
      </c>
    </row>
    <row r="54">
      <c r="A54" s="2" t="inlineStr">
        <is>
          <t>Asset #4 Equipment</t>
        </is>
      </c>
      <c r="B54" s="14" t="n">
        <v>78336.53999999999</v>
      </c>
      <c r="C54" s="14" t="n">
        <v>19565.8</v>
      </c>
      <c r="F54" s="14" t="n">
        <v>58770.73999999999</v>
      </c>
    </row>
    <row r="55">
      <c r="A55" s="6" t="inlineStr">
        <is>
          <t>Total Allocation:</t>
        </is>
      </c>
      <c r="B55" s="15" t="n">
        <v>503524.71</v>
      </c>
      <c r="C55" s="15" t="n">
        <v>125763.32</v>
      </c>
      <c r="F55" s="15" t="n">
        <v>377761.39</v>
      </c>
    </row>
    <row r="57">
      <c r="A57" s="1" t="inlineStr">
        <is>
          <t>End Depreciation Reconciliation</t>
        </is>
      </c>
    </row>
    <row r="58">
      <c r="A58" s="2" t="inlineStr">
        <is>
          <t>Before Cost Segregation (As Previously Filed)</t>
        </is>
      </c>
      <c r="B58" s="5" t="n">
        <v>166008.92</v>
      </c>
    </row>
    <row r="59">
      <c r="A59" s="2" t="inlineStr">
        <is>
          <t>After Cost Segregation (Corrected)</t>
        </is>
      </c>
      <c r="B59" s="9" t="n">
        <v>170980.22</v>
      </c>
    </row>
    <row r="60">
      <c r="A60" s="10" t="inlineStr">
        <is>
          <t>Section 481(a) Adjustment</t>
        </is>
      </c>
      <c r="B60" s="17" t="n">
        <v>-4971.3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Coral Village Housing LP</t>
        </is>
      </c>
    </row>
    <row r="2">
      <c r="A2" s="2" t="inlineStr">
        <is>
          <t>Cost Segregation Study - Bldg 6</t>
        </is>
      </c>
    </row>
    <row r="3">
      <c r="A3" s="2" t="inlineStr">
        <is>
          <t>Report #107752-03</t>
        </is>
      </c>
    </row>
    <row r="5">
      <c r="A5" s="2" t="inlineStr">
        <is>
          <t>Acquisition Date:</t>
        </is>
      </c>
      <c r="B5" s="2" t="inlineStr">
        <is>
          <t>10/30/20</t>
        </is>
      </c>
    </row>
    <row r="8">
      <c r="A8" s="1" t="inlineStr">
        <is>
          <t>Coral Village Housing LP - Bldg 6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3" t="inlineStr">
        <is>
          <t>Building Components</t>
        </is>
      </c>
    </row>
    <row r="16">
      <c r="A16" s="2" t="inlineStr">
        <is>
          <t>Cabinets / Millwork</t>
        </is>
      </c>
      <c r="B16" s="14" t="n">
        <v>26445.19</v>
      </c>
      <c r="C16" s="14" t="n">
        <v>26445.19</v>
      </c>
    </row>
    <row r="17">
      <c r="A17" s="2" t="inlineStr">
        <is>
          <t>Moldings</t>
        </is>
      </c>
      <c r="B17" s="14" t="n">
        <v>4635.69</v>
      </c>
      <c r="C17" s="14" t="n">
        <v>4635.69</v>
      </c>
    </row>
    <row r="18">
      <c r="A18" s="2" t="inlineStr">
        <is>
          <t>Flooring - Carpet</t>
        </is>
      </c>
      <c r="B18" s="14" t="n">
        <v>9118.09</v>
      </c>
      <c r="C18" s="14" t="n">
        <v>9118.09</v>
      </c>
    </row>
    <row r="19">
      <c r="A19" s="2" t="inlineStr">
        <is>
          <t>Flooring - Vinyl Plank</t>
        </is>
      </c>
      <c r="B19" s="14" t="n">
        <v>17166.07</v>
      </c>
      <c r="C19" s="14" t="n">
        <v>17166.07</v>
      </c>
    </row>
    <row r="20">
      <c r="A20" s="2" t="inlineStr">
        <is>
          <t>Door &amp; Window Guards</t>
        </is>
      </c>
      <c r="B20" s="14" t="n">
        <v>2842.52</v>
      </c>
      <c r="C20" s="14" t="n">
        <v>2842.52</v>
      </c>
    </row>
    <row r="21">
      <c r="A21" s="2" t="inlineStr">
        <is>
          <t>Window Treatments</t>
        </is>
      </c>
      <c r="B21" s="14" t="n">
        <v>2418.44</v>
      </c>
      <c r="C21" s="14" t="n">
        <v>2418.44</v>
      </c>
    </row>
    <row r="22">
      <c r="A22" s="2" t="inlineStr">
        <is>
          <t>Specialty HVAC - Dryer Vents</t>
        </is>
      </c>
      <c r="B22" s="14" t="n">
        <v>718.3000000000001</v>
      </c>
      <c r="C22" s="14" t="n">
        <v>718.3000000000001</v>
      </c>
    </row>
    <row r="23">
      <c r="A23" s="2" t="inlineStr">
        <is>
          <t>Building Signage</t>
        </is>
      </c>
      <c r="B23" s="14" t="n">
        <v>705.03</v>
      </c>
      <c r="C23" s="14" t="n">
        <v>705.03</v>
      </c>
    </row>
    <row r="24">
      <c r="A24" s="2" t="inlineStr">
        <is>
          <t>Specialty Electrical - Appliances</t>
        </is>
      </c>
      <c r="B24" s="14" t="n">
        <v>12363.8</v>
      </c>
      <c r="C24" s="14" t="n">
        <v>12363.8</v>
      </c>
    </row>
    <row r="25">
      <c r="A25" s="2" t="inlineStr">
        <is>
          <t>Communication / Data</t>
        </is>
      </c>
      <c r="B25" s="14" t="n">
        <v>2600.58</v>
      </c>
      <c r="C25" s="14" t="n">
        <v>2600.58</v>
      </c>
    </row>
    <row r="26">
      <c r="A26" s="2" t="inlineStr">
        <is>
          <t>Specialty Plumbing - Kitchen Sinks / Laundry</t>
        </is>
      </c>
      <c r="B26" s="14" t="n">
        <v>13431.92</v>
      </c>
      <c r="C26" s="14" t="n">
        <v>13431.92</v>
      </c>
    </row>
    <row r="27">
      <c r="A27" s="2" t="inlineStr">
        <is>
          <t>Security / Exterior Lighting</t>
        </is>
      </c>
      <c r="B27" s="14" t="n">
        <v>1140.5</v>
      </c>
      <c r="C27" s="14" t="n">
        <v>1140.5</v>
      </c>
    </row>
    <row r="28">
      <c r="A28" s="2" t="inlineStr">
        <is>
          <t>Access Control</t>
        </is>
      </c>
      <c r="B28" s="14" t="n">
        <v>1360.86</v>
      </c>
      <c r="C28" s="14" t="n">
        <v>1360.86</v>
      </c>
    </row>
    <row r="29">
      <c r="A29" s="2" t="inlineStr">
        <is>
          <t>Appliances</t>
        </is>
      </c>
      <c r="B29" s="14" t="n">
        <v>14831.54</v>
      </c>
      <c r="C29" s="14" t="n">
        <v>14831.54</v>
      </c>
    </row>
    <row r="31">
      <c r="A31" s="13" t="inlineStr">
        <is>
          <t>Building Structure</t>
        </is>
      </c>
    </row>
    <row r="32">
      <c r="A32" s="2" t="inlineStr">
        <is>
          <t>Foundations</t>
        </is>
      </c>
      <c r="B32" s="14" t="n">
        <v>19166.81</v>
      </c>
      <c r="F32" s="14" t="n">
        <v>19166.81</v>
      </c>
    </row>
    <row r="33">
      <c r="A33" s="2" t="inlineStr">
        <is>
          <t>HVAC</t>
        </is>
      </c>
      <c r="B33" s="14" t="n">
        <v>26894.18</v>
      </c>
      <c r="F33" s="14" t="n">
        <v>26894.18</v>
      </c>
    </row>
    <row r="34">
      <c r="A34" s="2" t="inlineStr">
        <is>
          <t>Electrical</t>
        </is>
      </c>
      <c r="B34" s="14" t="n">
        <v>19273.71</v>
      </c>
      <c r="F34" s="14" t="n">
        <v>19273.71</v>
      </c>
    </row>
    <row r="35">
      <c r="A35" s="2" t="inlineStr">
        <is>
          <t>Plumbing</t>
        </is>
      </c>
      <c r="B35" s="14" t="n">
        <v>24003.39</v>
      </c>
      <c r="F35" s="14" t="n">
        <v>24003.39</v>
      </c>
    </row>
    <row r="36">
      <c r="A36" s="2" t="inlineStr">
        <is>
          <t>Fire Protection &amp; Alarm</t>
        </is>
      </c>
      <c r="B36" s="14" t="n">
        <v>23233.4</v>
      </c>
      <c r="F36" s="14" t="n">
        <v>23233.4</v>
      </c>
    </row>
    <row r="37">
      <c r="A37" s="2" t="inlineStr">
        <is>
          <t>Exterior Façade / Building Skin</t>
        </is>
      </c>
      <c r="B37" s="14" t="n">
        <v>8832.92</v>
      </c>
      <c r="F37" s="14" t="n">
        <v>8832.92</v>
      </c>
    </row>
    <row r="38">
      <c r="A38" s="2" t="inlineStr">
        <is>
          <t>Doors &amp; Frames</t>
        </is>
      </c>
      <c r="B38" s="14" t="n">
        <v>17315.31</v>
      </c>
      <c r="F38" s="14" t="n">
        <v>17315.31</v>
      </c>
    </row>
    <row r="39">
      <c r="A39" s="2" t="inlineStr">
        <is>
          <t>Windows</t>
        </is>
      </c>
      <c r="B39" s="14" t="n">
        <v>10659.46</v>
      </c>
      <c r="F39" s="14" t="n">
        <v>10659.46</v>
      </c>
    </row>
    <row r="40">
      <c r="A40" s="2" t="inlineStr">
        <is>
          <t>Ceiling Systems</t>
        </is>
      </c>
      <c r="B40" s="14" t="n">
        <v>12873.87</v>
      </c>
      <c r="F40" s="14" t="n">
        <v>12873.87</v>
      </c>
    </row>
    <row r="41">
      <c r="A41" s="2" t="inlineStr">
        <is>
          <t>Interior Framing / Partitions</t>
        </is>
      </c>
      <c r="B41" s="14" t="n">
        <v>29302.11</v>
      </c>
      <c r="F41" s="14" t="n">
        <v>29302.11</v>
      </c>
    </row>
    <row r="42">
      <c r="A42" s="2" t="inlineStr">
        <is>
          <t>Painting</t>
        </is>
      </c>
      <c r="B42" s="14" t="n">
        <v>11976.41</v>
      </c>
      <c r="F42" s="14" t="n">
        <v>11976.41</v>
      </c>
    </row>
    <row r="43">
      <c r="A43" s="2" t="inlineStr">
        <is>
          <t>Gutter Systems</t>
        </is>
      </c>
      <c r="B43" s="14" t="n">
        <v>1737.32</v>
      </c>
      <c r="F43" s="14" t="n">
        <v>1737.32</v>
      </c>
    </row>
    <row r="44">
      <c r="A44" s="2" t="inlineStr">
        <is>
          <t>Structural Framing</t>
        </is>
      </c>
      <c r="B44" s="14" t="n">
        <v>63061.18</v>
      </c>
      <c r="F44" s="14" t="n">
        <v>63061.18</v>
      </c>
    </row>
    <row r="45">
      <c r="A45" s="2" t="inlineStr">
        <is>
          <t>Stairs / Balconies</t>
        </is>
      </c>
      <c r="B45" s="14" t="n">
        <v>10815.9</v>
      </c>
      <c r="F45" s="14" t="n">
        <v>10815.9</v>
      </c>
    </row>
    <row r="46">
      <c r="A46" s="2" t="inlineStr">
        <is>
          <t>Bathroom Accessories</t>
        </is>
      </c>
      <c r="B46" s="14" t="n">
        <v>5272.42</v>
      </c>
      <c r="F46" s="14" t="n">
        <v>5272.42</v>
      </c>
    </row>
    <row r="47">
      <c r="A47" s="2" t="inlineStr">
        <is>
          <t>Cabinets / Millwork - Restrooms</t>
        </is>
      </c>
      <c r="B47" s="14" t="n">
        <v>3303.27</v>
      </c>
      <c r="F47" s="14" t="n">
        <v>3303.27</v>
      </c>
    </row>
    <row r="49">
      <c r="A49" s="6" t="inlineStr">
        <is>
          <t>Total Building Cost</t>
        </is>
      </c>
      <c r="B49" s="15" t="n">
        <v>397500.19</v>
      </c>
      <c r="C49" s="15" t="n">
        <v>109778.53</v>
      </c>
      <c r="F49" s="15" t="n">
        <v>287721.66</v>
      </c>
    </row>
    <row r="50">
      <c r="A50" s="2" t="inlineStr">
        <is>
          <t>% of Building Cost</t>
        </is>
      </c>
      <c r="C50" s="16" t="n">
        <v>0.276</v>
      </c>
      <c r="F50" s="16" t="n">
        <v>0.724</v>
      </c>
    </row>
    <row r="52">
      <c r="A52" s="1" t="inlineStr">
        <is>
          <t>Asset Allocation:</t>
        </is>
      </c>
    </row>
    <row r="53">
      <c r="A53" s="2" t="inlineStr">
        <is>
          <t>Asset #2 Building</t>
        </is>
      </c>
      <c r="B53" s="14" t="n">
        <v>302676.39</v>
      </c>
      <c r="C53" s="14" t="n">
        <v>83590.83</v>
      </c>
      <c r="F53" s="14" t="n">
        <v>219085.56</v>
      </c>
    </row>
    <row r="54">
      <c r="A54" s="2" t="inlineStr">
        <is>
          <t>Asset #3 Land Improvements</t>
        </is>
      </c>
      <c r="B54" s="14" t="n">
        <v>32982.17</v>
      </c>
      <c r="C54" s="14" t="n">
        <v>9108.76</v>
      </c>
      <c r="F54" s="14" t="n">
        <v>23873.41</v>
      </c>
    </row>
    <row r="55">
      <c r="A55" s="2" t="inlineStr">
        <is>
          <t>Asset #4 Equipment</t>
        </is>
      </c>
      <c r="B55" s="14" t="n">
        <v>61841.63</v>
      </c>
      <c r="C55" s="14" t="n">
        <v>17078.94</v>
      </c>
      <c r="F55" s="14" t="n">
        <v>44762.69</v>
      </c>
    </row>
    <row r="56">
      <c r="A56" s="6" t="inlineStr">
        <is>
          <t>Total Allocation:</t>
        </is>
      </c>
      <c r="B56" s="15" t="n">
        <v>397500.19</v>
      </c>
      <c r="C56" s="15" t="n">
        <v>109778.53</v>
      </c>
      <c r="F56" s="15" t="n">
        <v>287721.66</v>
      </c>
    </row>
    <row r="58">
      <c r="A58" s="1" t="inlineStr">
        <is>
          <t>End Depreciation Reconciliation</t>
        </is>
      </c>
    </row>
    <row r="59">
      <c r="A59" s="2" t="inlineStr">
        <is>
          <t>Before Cost Segregation (As Previously Filed)</t>
        </is>
      </c>
      <c r="B59" s="5" t="n">
        <v>131053.31</v>
      </c>
    </row>
    <row r="60">
      <c r="A60" s="2" t="inlineStr">
        <is>
          <t>After Cost Segregation (Corrected)</t>
        </is>
      </c>
      <c r="B60" s="9" t="n">
        <v>144217.92</v>
      </c>
    </row>
    <row r="61">
      <c r="A61" s="10" t="inlineStr">
        <is>
          <t>Section 481(a) Adjustment</t>
        </is>
      </c>
      <c r="B61" s="17" t="n">
        <v>-13164.61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Coral Village Housing LP</t>
        </is>
      </c>
    </row>
    <row r="2">
      <c r="A2" s="2" t="inlineStr">
        <is>
          <t>Cost Segregation Study - Bldg 7</t>
        </is>
      </c>
    </row>
    <row r="3">
      <c r="A3" s="2" t="inlineStr">
        <is>
          <t>Report #107752-03</t>
        </is>
      </c>
    </row>
    <row r="5">
      <c r="A5" s="2" t="inlineStr">
        <is>
          <t>Acquisition Date:</t>
        </is>
      </c>
      <c r="B5" s="2" t="inlineStr">
        <is>
          <t>10/30/20</t>
        </is>
      </c>
    </row>
    <row r="8">
      <c r="A8" s="1" t="inlineStr">
        <is>
          <t>Coral Village Housing LP - Bldg 7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3" t="inlineStr">
        <is>
          <t>Building Components</t>
        </is>
      </c>
    </row>
    <row r="16">
      <c r="A16" s="2" t="inlineStr">
        <is>
          <t>Cabinets / Millwork</t>
        </is>
      </c>
      <c r="B16" s="14" t="n">
        <v>26757.81</v>
      </c>
      <c r="C16" s="14" t="n">
        <v>26757.81</v>
      </c>
    </row>
    <row r="17">
      <c r="A17" s="2" t="inlineStr">
        <is>
          <t>Moldings</t>
        </is>
      </c>
      <c r="B17" s="14" t="n">
        <v>7990.89</v>
      </c>
      <c r="C17" s="14" t="n">
        <v>7990.89</v>
      </c>
    </row>
    <row r="18">
      <c r="A18" s="2" t="inlineStr">
        <is>
          <t>Flooring - Vinyl Plank</t>
        </is>
      </c>
      <c r="B18" s="14" t="n">
        <v>37800.94</v>
      </c>
      <c r="C18" s="14" t="n">
        <v>37800.94</v>
      </c>
    </row>
    <row r="19">
      <c r="A19" s="2" t="inlineStr">
        <is>
          <t>Door &amp; Window Guards</t>
        </is>
      </c>
      <c r="B19" s="14" t="n">
        <v>2842.52</v>
      </c>
      <c r="C19" s="14" t="n">
        <v>2842.52</v>
      </c>
    </row>
    <row r="20">
      <c r="A20" s="2" t="inlineStr">
        <is>
          <t>Window Treatments</t>
        </is>
      </c>
      <c r="B20" s="14" t="n">
        <v>2418.44</v>
      </c>
      <c r="C20" s="14" t="n">
        <v>2418.44</v>
      </c>
    </row>
    <row r="21">
      <c r="A21" s="2" t="inlineStr">
        <is>
          <t>Specialty HVAC - Dryer Vents</t>
        </is>
      </c>
      <c r="B21" s="14" t="n">
        <v>718.3000000000001</v>
      </c>
      <c r="C21" s="14" t="n">
        <v>718.3000000000001</v>
      </c>
    </row>
    <row r="22">
      <c r="A22" s="2" t="inlineStr">
        <is>
          <t>Building Signage</t>
        </is>
      </c>
      <c r="B22" s="14" t="n">
        <v>705.03</v>
      </c>
      <c r="C22" s="14" t="n">
        <v>705.03</v>
      </c>
    </row>
    <row r="23">
      <c r="A23" s="2" t="inlineStr">
        <is>
          <t>Specialty Electrical - Appliances</t>
        </is>
      </c>
      <c r="B23" s="14" t="n">
        <v>12363.8</v>
      </c>
      <c r="C23" s="14" t="n">
        <v>12363.8</v>
      </c>
    </row>
    <row r="24">
      <c r="A24" s="2" t="inlineStr">
        <is>
          <t>Communication / Data</t>
        </is>
      </c>
      <c r="B24" s="14" t="n">
        <v>3400.77</v>
      </c>
      <c r="C24" s="14" t="n">
        <v>3400.77</v>
      </c>
    </row>
    <row r="25">
      <c r="A25" s="2" t="inlineStr">
        <is>
          <t>Specialty Plumbing - Kitchen Sinks / Laundry</t>
        </is>
      </c>
      <c r="B25" s="14" t="n">
        <v>13431.92</v>
      </c>
      <c r="C25" s="14" t="n">
        <v>13431.92</v>
      </c>
    </row>
    <row r="26">
      <c r="A26" s="2" t="inlineStr">
        <is>
          <t>Security / Exterior Lighting</t>
        </is>
      </c>
      <c r="B26" s="14" t="n">
        <v>1140.5</v>
      </c>
      <c r="C26" s="14" t="n">
        <v>1140.5</v>
      </c>
    </row>
    <row r="27">
      <c r="A27" s="2" t="inlineStr">
        <is>
          <t>Access Control</t>
        </is>
      </c>
      <c r="B27" s="14" t="n">
        <v>1360.86</v>
      </c>
      <c r="C27" s="14" t="n">
        <v>1360.86</v>
      </c>
    </row>
    <row r="28">
      <c r="A28" s="2" t="inlineStr">
        <is>
          <t>Appliances</t>
        </is>
      </c>
      <c r="B28" s="14" t="n">
        <v>14831.54</v>
      </c>
      <c r="C28" s="14" t="n">
        <v>14831.54</v>
      </c>
    </row>
    <row r="30">
      <c r="A30" s="13" t="inlineStr">
        <is>
          <t>Building Structure</t>
        </is>
      </c>
    </row>
    <row r="31">
      <c r="A31" s="2" t="inlineStr">
        <is>
          <t>Foundations</t>
        </is>
      </c>
      <c r="B31" s="14" t="n">
        <v>25110.72</v>
      </c>
      <c r="F31" s="14" t="n">
        <v>25110.72</v>
      </c>
    </row>
    <row r="32">
      <c r="A32" s="2" t="inlineStr">
        <is>
          <t>HVAC</t>
        </is>
      </c>
      <c r="B32" s="14" t="n">
        <v>35390.34</v>
      </c>
      <c r="F32" s="14" t="n">
        <v>35390.34</v>
      </c>
    </row>
    <row r="33">
      <c r="A33" s="2" t="inlineStr">
        <is>
          <t>Electrical</t>
        </is>
      </c>
      <c r="B33" s="14" t="n">
        <v>29008.33</v>
      </c>
      <c r="F33" s="14" t="n">
        <v>29008.33</v>
      </c>
    </row>
    <row r="34">
      <c r="A34" s="2" t="inlineStr">
        <is>
          <t>Plumbing</t>
        </is>
      </c>
      <c r="B34" s="14" t="n">
        <v>31389.04</v>
      </c>
      <c r="F34" s="14" t="n">
        <v>31389.04</v>
      </c>
    </row>
    <row r="35">
      <c r="A35" s="2" t="inlineStr">
        <is>
          <t>Fire Protection &amp; Alarm</t>
        </is>
      </c>
      <c r="B35" s="14" t="n">
        <v>26496.62</v>
      </c>
      <c r="F35" s="14" t="n">
        <v>26496.62</v>
      </c>
    </row>
    <row r="36">
      <c r="A36" s="2" t="inlineStr">
        <is>
          <t>Exterior Façade / Building Skin</t>
        </is>
      </c>
      <c r="B36" s="14" t="n">
        <v>12009.05</v>
      </c>
      <c r="F36" s="14" t="n">
        <v>12009.05</v>
      </c>
    </row>
    <row r="37">
      <c r="A37" s="2" t="inlineStr">
        <is>
          <t>Doors &amp; Frames</t>
        </is>
      </c>
      <c r="B37" s="14" t="n">
        <v>23153.47</v>
      </c>
      <c r="F37" s="14" t="n">
        <v>23153.47</v>
      </c>
    </row>
    <row r="38">
      <c r="A38" s="2" t="inlineStr">
        <is>
          <t>Windows</t>
        </is>
      </c>
      <c r="B38" s="14" t="n">
        <v>10659.46</v>
      </c>
      <c r="F38" s="14" t="n">
        <v>10659.46</v>
      </c>
    </row>
    <row r="39">
      <c r="A39" s="2" t="inlineStr">
        <is>
          <t>Ceiling Systems</t>
        </is>
      </c>
      <c r="B39" s="14" t="n">
        <v>16835.06</v>
      </c>
      <c r="F39" s="14" t="n">
        <v>16835.06</v>
      </c>
    </row>
    <row r="40">
      <c r="A40" s="2" t="inlineStr">
        <is>
          <t>Interior Framing / Partitions</t>
        </is>
      </c>
      <c r="B40" s="14" t="n">
        <v>39604.25</v>
      </c>
      <c r="F40" s="14" t="n">
        <v>39604.25</v>
      </c>
    </row>
    <row r="41">
      <c r="A41" s="2" t="inlineStr">
        <is>
          <t>Painting</t>
        </is>
      </c>
      <c r="B41" s="14" t="n">
        <v>16001</v>
      </c>
      <c r="F41" s="14" t="n">
        <v>16001</v>
      </c>
    </row>
    <row r="42">
      <c r="A42" s="2" t="inlineStr">
        <is>
          <t>Gutter Systems</t>
        </is>
      </c>
      <c r="B42" s="14" t="n">
        <v>1863.69</v>
      </c>
      <c r="F42" s="14" t="n">
        <v>1863.69</v>
      </c>
    </row>
    <row r="43">
      <c r="A43" s="2" t="inlineStr">
        <is>
          <t>Structural Framing</t>
        </is>
      </c>
      <c r="B43" s="14" t="n">
        <v>82713.75999999999</v>
      </c>
      <c r="F43" s="14" t="n">
        <v>82713.75999999999</v>
      </c>
    </row>
    <row r="44">
      <c r="A44" s="2" t="inlineStr">
        <is>
          <t>Stairs / Balconies</t>
        </is>
      </c>
      <c r="B44" s="14" t="n">
        <v>10815.9</v>
      </c>
      <c r="F44" s="14" t="n">
        <v>10815.9</v>
      </c>
    </row>
    <row r="45">
      <c r="A45" s="2" t="inlineStr">
        <is>
          <t>Bathroom Accessories</t>
        </is>
      </c>
      <c r="B45" s="14" t="n">
        <v>9740.219999999999</v>
      </c>
      <c r="F45" s="14" t="n">
        <v>9740.219999999999</v>
      </c>
    </row>
    <row r="46">
      <c r="A46" s="2" t="inlineStr">
        <is>
          <t>Cabinets / Millwork - Restrooms</t>
        </is>
      </c>
      <c r="B46" s="14" t="n">
        <v>6970.48</v>
      </c>
      <c r="F46" s="14" t="n">
        <v>6970.48</v>
      </c>
    </row>
    <row r="48">
      <c r="A48" s="6" t="inlineStr">
        <is>
          <t>Total Building Cost</t>
        </is>
      </c>
      <c r="B48" s="15" t="n">
        <v>503524.71</v>
      </c>
      <c r="C48" s="15" t="n">
        <v>125763.32</v>
      </c>
      <c r="F48" s="15" t="n">
        <v>377761.39</v>
      </c>
    </row>
    <row r="49">
      <c r="A49" s="2" t="inlineStr">
        <is>
          <t>% of Building Cost</t>
        </is>
      </c>
      <c r="C49" s="16" t="n">
        <v>0.25</v>
      </c>
      <c r="F49" s="16" t="n">
        <v>0.75</v>
      </c>
    </row>
    <row r="51">
      <c r="A51" s="1" t="inlineStr">
        <is>
          <t>Asset Allocation:</t>
        </is>
      </c>
    </row>
    <row r="52">
      <c r="A52" s="2" t="inlineStr">
        <is>
          <t>Asset #2 Building</t>
        </is>
      </c>
      <c r="B52" s="14" t="n">
        <v>383408.73</v>
      </c>
      <c r="C52" s="14" t="n">
        <v>95762.44</v>
      </c>
      <c r="F52" s="14" t="n">
        <v>287646.29</v>
      </c>
    </row>
    <row r="53">
      <c r="A53" s="2" t="inlineStr">
        <is>
          <t>Asset #3 Land Improvements</t>
        </is>
      </c>
      <c r="B53" s="14" t="n">
        <v>41779.44</v>
      </c>
      <c r="C53" s="14" t="n">
        <v>10435.08</v>
      </c>
      <c r="F53" s="14" t="n">
        <v>31344.36</v>
      </c>
    </row>
    <row r="54">
      <c r="A54" s="2" t="inlineStr">
        <is>
          <t>Asset #4 Equipment</t>
        </is>
      </c>
      <c r="B54" s="14" t="n">
        <v>78336.53999999999</v>
      </c>
      <c r="C54" s="14" t="n">
        <v>19565.8</v>
      </c>
      <c r="F54" s="14" t="n">
        <v>58770.73999999999</v>
      </c>
    </row>
    <row r="55">
      <c r="A55" s="6" t="inlineStr">
        <is>
          <t>Total Allocation:</t>
        </is>
      </c>
      <c r="B55" s="15" t="n">
        <v>503524.71</v>
      </c>
      <c r="C55" s="15" t="n">
        <v>125763.32</v>
      </c>
      <c r="F55" s="15" t="n">
        <v>377761.39</v>
      </c>
    </row>
    <row r="57">
      <c r="A57" s="1" t="inlineStr">
        <is>
          <t>End Depreciation Reconciliation</t>
        </is>
      </c>
    </row>
    <row r="58">
      <c r="A58" s="2" t="inlineStr">
        <is>
          <t>Before Cost Segregation (As Previously Filed)</t>
        </is>
      </c>
      <c r="B58" s="5" t="n">
        <v>166008.92</v>
      </c>
    </row>
    <row r="59">
      <c r="A59" s="2" t="inlineStr">
        <is>
          <t>After Cost Segregation (Corrected)</t>
        </is>
      </c>
      <c r="B59" s="9" t="n">
        <v>170980.22</v>
      </c>
    </row>
    <row r="60">
      <c r="A60" s="10" t="inlineStr">
        <is>
          <t>Section 481(a) Adjustment</t>
        </is>
      </c>
      <c r="B60" s="17" t="n">
        <v>-4971.3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Coral Village Housing LP</t>
        </is>
      </c>
    </row>
    <row r="2">
      <c r="A2" s="2" t="inlineStr">
        <is>
          <t>Cost Segregation Study - Bldg 8</t>
        </is>
      </c>
    </row>
    <row r="3">
      <c r="A3" s="2" t="inlineStr">
        <is>
          <t>Report #107752-03</t>
        </is>
      </c>
    </row>
    <row r="5">
      <c r="A5" s="2" t="inlineStr">
        <is>
          <t>Acquisition Date:</t>
        </is>
      </c>
      <c r="B5" s="2" t="inlineStr">
        <is>
          <t>10/30/20</t>
        </is>
      </c>
    </row>
    <row r="8">
      <c r="A8" s="1" t="inlineStr">
        <is>
          <t>Coral Village Housing LP - Bldg 8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3" t="inlineStr">
        <is>
          <t>Building Components</t>
        </is>
      </c>
    </row>
    <row r="16">
      <c r="A16" s="2" t="inlineStr">
        <is>
          <t>Cabinets / Millwork</t>
        </is>
      </c>
      <c r="B16" s="14" t="n">
        <v>26445.19</v>
      </c>
      <c r="C16" s="14" t="n">
        <v>26445.19</v>
      </c>
    </row>
    <row r="17">
      <c r="A17" s="2" t="inlineStr">
        <is>
          <t>Moldings</t>
        </is>
      </c>
      <c r="B17" s="14" t="n">
        <v>4635.69</v>
      </c>
      <c r="C17" s="14" t="n">
        <v>4635.69</v>
      </c>
    </row>
    <row r="18">
      <c r="A18" s="2" t="inlineStr">
        <is>
          <t>Flooring - Carpet</t>
        </is>
      </c>
      <c r="B18" s="14" t="n">
        <v>9118.09</v>
      </c>
      <c r="C18" s="14" t="n">
        <v>9118.09</v>
      </c>
    </row>
    <row r="19">
      <c r="A19" s="2" t="inlineStr">
        <is>
          <t>Flooring - Vinyl Plank</t>
        </is>
      </c>
      <c r="B19" s="14" t="n">
        <v>17166.07</v>
      </c>
      <c r="C19" s="14" t="n">
        <v>17166.07</v>
      </c>
    </row>
    <row r="20">
      <c r="A20" s="2" t="inlineStr">
        <is>
          <t>Door &amp; Window Guards</t>
        </is>
      </c>
      <c r="B20" s="14" t="n">
        <v>2842.52</v>
      </c>
      <c r="C20" s="14" t="n">
        <v>2842.52</v>
      </c>
    </row>
    <row r="21">
      <c r="A21" s="2" t="inlineStr">
        <is>
          <t>Window Treatments</t>
        </is>
      </c>
      <c r="B21" s="14" t="n">
        <v>2418.44</v>
      </c>
      <c r="C21" s="14" t="n">
        <v>2418.44</v>
      </c>
    </row>
    <row r="22">
      <c r="A22" s="2" t="inlineStr">
        <is>
          <t>Specialty HVAC - Dryer Vents</t>
        </is>
      </c>
      <c r="B22" s="14" t="n">
        <v>718.3000000000001</v>
      </c>
      <c r="C22" s="14" t="n">
        <v>718.3000000000001</v>
      </c>
    </row>
    <row r="23">
      <c r="A23" s="2" t="inlineStr">
        <is>
          <t>Building Signage</t>
        </is>
      </c>
      <c r="B23" s="14" t="n">
        <v>705.03</v>
      </c>
      <c r="C23" s="14" t="n">
        <v>705.03</v>
      </c>
    </row>
    <row r="24">
      <c r="A24" s="2" t="inlineStr">
        <is>
          <t>Specialty Electrical - Appliances</t>
        </is>
      </c>
      <c r="B24" s="14" t="n">
        <v>12363.8</v>
      </c>
      <c r="C24" s="14" t="n">
        <v>12363.8</v>
      </c>
    </row>
    <row r="25">
      <c r="A25" s="2" t="inlineStr">
        <is>
          <t>Communication / Data</t>
        </is>
      </c>
      <c r="B25" s="14" t="n">
        <v>2600.58</v>
      </c>
      <c r="C25" s="14" t="n">
        <v>2600.58</v>
      </c>
    </row>
    <row r="26">
      <c r="A26" s="2" t="inlineStr">
        <is>
          <t>Specialty Plumbing - Kitchen Sinks / Laundry</t>
        </is>
      </c>
      <c r="B26" s="14" t="n">
        <v>13431.92</v>
      </c>
      <c r="C26" s="14" t="n">
        <v>13431.92</v>
      </c>
    </row>
    <row r="27">
      <c r="A27" s="2" t="inlineStr">
        <is>
          <t>Security / Exterior Lighting</t>
        </is>
      </c>
      <c r="B27" s="14" t="n">
        <v>1140.5</v>
      </c>
      <c r="C27" s="14" t="n">
        <v>1140.5</v>
      </c>
    </row>
    <row r="28">
      <c r="A28" s="2" t="inlineStr">
        <is>
          <t>Access Control</t>
        </is>
      </c>
      <c r="B28" s="14" t="n">
        <v>1360.86</v>
      </c>
      <c r="C28" s="14" t="n">
        <v>1360.86</v>
      </c>
    </row>
    <row r="29">
      <c r="A29" s="2" t="inlineStr">
        <is>
          <t>Appliances</t>
        </is>
      </c>
      <c r="B29" s="14" t="n">
        <v>14831.54</v>
      </c>
      <c r="C29" s="14" t="n">
        <v>14831.54</v>
      </c>
    </row>
    <row r="31">
      <c r="A31" s="13" t="inlineStr">
        <is>
          <t>Building Structure</t>
        </is>
      </c>
    </row>
    <row r="32">
      <c r="A32" s="2" t="inlineStr">
        <is>
          <t>Foundations</t>
        </is>
      </c>
      <c r="B32" s="14" t="n">
        <v>19166.81</v>
      </c>
      <c r="F32" s="14" t="n">
        <v>19166.81</v>
      </c>
    </row>
    <row r="33">
      <c r="A33" s="2" t="inlineStr">
        <is>
          <t>HVAC</t>
        </is>
      </c>
      <c r="B33" s="14" t="n">
        <v>26894.18</v>
      </c>
      <c r="F33" s="14" t="n">
        <v>26894.18</v>
      </c>
    </row>
    <row r="34">
      <c r="A34" s="2" t="inlineStr">
        <is>
          <t>Electrical</t>
        </is>
      </c>
      <c r="B34" s="14" t="n">
        <v>19273.71</v>
      </c>
      <c r="F34" s="14" t="n">
        <v>19273.71</v>
      </c>
    </row>
    <row r="35">
      <c r="A35" s="2" t="inlineStr">
        <is>
          <t>Plumbing</t>
        </is>
      </c>
      <c r="B35" s="14" t="n">
        <v>24003.39</v>
      </c>
      <c r="F35" s="14" t="n">
        <v>24003.39</v>
      </c>
    </row>
    <row r="36">
      <c r="A36" s="2" t="inlineStr">
        <is>
          <t>Fire Protection &amp; Alarm</t>
        </is>
      </c>
      <c r="B36" s="14" t="n">
        <v>23233.4</v>
      </c>
      <c r="F36" s="14" t="n">
        <v>23233.4</v>
      </c>
    </row>
    <row r="37">
      <c r="A37" s="2" t="inlineStr">
        <is>
          <t>Exterior Façade / Building Skin</t>
        </is>
      </c>
      <c r="B37" s="14" t="n">
        <v>8832.92</v>
      </c>
      <c r="F37" s="14" t="n">
        <v>8832.92</v>
      </c>
    </row>
    <row r="38">
      <c r="A38" s="2" t="inlineStr">
        <is>
          <t>Doors &amp; Frames</t>
        </is>
      </c>
      <c r="B38" s="14" t="n">
        <v>17315.31</v>
      </c>
      <c r="F38" s="14" t="n">
        <v>17315.31</v>
      </c>
    </row>
    <row r="39">
      <c r="A39" s="2" t="inlineStr">
        <is>
          <t>Windows</t>
        </is>
      </c>
      <c r="B39" s="14" t="n">
        <v>10659.46</v>
      </c>
      <c r="F39" s="14" t="n">
        <v>10659.46</v>
      </c>
    </row>
    <row r="40">
      <c r="A40" s="2" t="inlineStr">
        <is>
          <t>Ceiling Systems</t>
        </is>
      </c>
      <c r="B40" s="14" t="n">
        <v>12873.87</v>
      </c>
      <c r="F40" s="14" t="n">
        <v>12873.87</v>
      </c>
    </row>
    <row r="41">
      <c r="A41" s="2" t="inlineStr">
        <is>
          <t>Interior Framing / Partitions</t>
        </is>
      </c>
      <c r="B41" s="14" t="n">
        <v>29302.11</v>
      </c>
      <c r="F41" s="14" t="n">
        <v>29302.11</v>
      </c>
    </row>
    <row r="42">
      <c r="A42" s="2" t="inlineStr">
        <is>
          <t>Painting</t>
        </is>
      </c>
      <c r="B42" s="14" t="n">
        <v>11976.41</v>
      </c>
      <c r="F42" s="14" t="n">
        <v>11976.41</v>
      </c>
    </row>
    <row r="43">
      <c r="A43" s="2" t="inlineStr">
        <is>
          <t>Gutter Systems</t>
        </is>
      </c>
      <c r="B43" s="14" t="n">
        <v>1737.32</v>
      </c>
      <c r="F43" s="14" t="n">
        <v>1737.32</v>
      </c>
    </row>
    <row r="44">
      <c r="A44" s="2" t="inlineStr">
        <is>
          <t>Structural Framing</t>
        </is>
      </c>
      <c r="B44" s="14" t="n">
        <v>63061.18</v>
      </c>
      <c r="F44" s="14" t="n">
        <v>63061.18</v>
      </c>
    </row>
    <row r="45">
      <c r="A45" s="2" t="inlineStr">
        <is>
          <t>Stairs / Balconies</t>
        </is>
      </c>
      <c r="B45" s="14" t="n">
        <v>10815.9</v>
      </c>
      <c r="F45" s="14" t="n">
        <v>10815.9</v>
      </c>
    </row>
    <row r="46">
      <c r="A46" s="2" t="inlineStr">
        <is>
          <t>Bathroom Accessories</t>
        </is>
      </c>
      <c r="B46" s="14" t="n">
        <v>5272.42</v>
      </c>
      <c r="F46" s="14" t="n">
        <v>5272.42</v>
      </c>
    </row>
    <row r="47">
      <c r="A47" s="2" t="inlineStr">
        <is>
          <t>Cabinets / Millwork - Restrooms</t>
        </is>
      </c>
      <c r="B47" s="14" t="n">
        <v>3303.27</v>
      </c>
      <c r="F47" s="14" t="n">
        <v>3303.27</v>
      </c>
    </row>
    <row r="49">
      <c r="A49" s="6" t="inlineStr">
        <is>
          <t>Total Building Cost</t>
        </is>
      </c>
      <c r="B49" s="15" t="n">
        <v>397500.19</v>
      </c>
      <c r="C49" s="15" t="n">
        <v>109778.53</v>
      </c>
      <c r="F49" s="15" t="n">
        <v>287721.66</v>
      </c>
    </row>
    <row r="50">
      <c r="A50" s="2" t="inlineStr">
        <is>
          <t>% of Building Cost</t>
        </is>
      </c>
      <c r="C50" s="16" t="n">
        <v>0.276</v>
      </c>
      <c r="F50" s="16" t="n">
        <v>0.724</v>
      </c>
    </row>
    <row r="52">
      <c r="A52" s="1" t="inlineStr">
        <is>
          <t>Asset Allocation:</t>
        </is>
      </c>
    </row>
    <row r="53">
      <c r="A53" s="2" t="inlineStr">
        <is>
          <t>Asset #2 Building</t>
        </is>
      </c>
      <c r="B53" s="14" t="n">
        <v>302676.39</v>
      </c>
      <c r="C53" s="14" t="n">
        <v>83590.83</v>
      </c>
      <c r="F53" s="14" t="n">
        <v>219085.56</v>
      </c>
    </row>
    <row r="54">
      <c r="A54" s="2" t="inlineStr">
        <is>
          <t>Asset #3 Land Improvements</t>
        </is>
      </c>
      <c r="B54" s="14" t="n">
        <v>32982.17</v>
      </c>
      <c r="C54" s="14" t="n">
        <v>9108.76</v>
      </c>
      <c r="F54" s="14" t="n">
        <v>23873.41</v>
      </c>
    </row>
    <row r="55">
      <c r="A55" s="2" t="inlineStr">
        <is>
          <t>Asset #4 Equipment</t>
        </is>
      </c>
      <c r="B55" s="14" t="n">
        <v>61841.63</v>
      </c>
      <c r="C55" s="14" t="n">
        <v>17078.94</v>
      </c>
      <c r="F55" s="14" t="n">
        <v>44762.69</v>
      </c>
    </row>
    <row r="56">
      <c r="A56" s="6" t="inlineStr">
        <is>
          <t>Total Allocation:</t>
        </is>
      </c>
      <c r="B56" s="15" t="n">
        <v>397500.19</v>
      </c>
      <c r="C56" s="15" t="n">
        <v>109778.53</v>
      </c>
      <c r="F56" s="15" t="n">
        <v>287721.66</v>
      </c>
    </row>
    <row r="58">
      <c r="A58" s="1" t="inlineStr">
        <is>
          <t>End Depreciation Reconciliation</t>
        </is>
      </c>
    </row>
    <row r="59">
      <c r="A59" s="2" t="inlineStr">
        <is>
          <t>Before Cost Segregation (As Previously Filed)</t>
        </is>
      </c>
      <c r="B59" s="5" t="n">
        <v>131053.31</v>
      </c>
    </row>
    <row r="60">
      <c r="A60" s="2" t="inlineStr">
        <is>
          <t>After Cost Segregation (Corrected)</t>
        </is>
      </c>
      <c r="B60" s="9" t="n">
        <v>144217.92</v>
      </c>
    </row>
    <row r="61">
      <c r="A61" s="10" t="inlineStr">
        <is>
          <t>Section 481(a) Adjustment</t>
        </is>
      </c>
      <c r="B61" s="17" t="n">
        <v>-13164.61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Coral Village Housing LP</t>
        </is>
      </c>
    </row>
    <row r="2">
      <c r="A2" s="2" t="inlineStr">
        <is>
          <t>Cost Segregation Study - Bldg 9</t>
        </is>
      </c>
    </row>
    <row r="3">
      <c r="A3" s="2" t="inlineStr">
        <is>
          <t>Report #107752-03</t>
        </is>
      </c>
    </row>
    <row r="5">
      <c r="A5" s="2" t="inlineStr">
        <is>
          <t>Acquisition Date:</t>
        </is>
      </c>
      <c r="B5" s="2" t="inlineStr">
        <is>
          <t>10/30/20</t>
        </is>
      </c>
    </row>
    <row r="8">
      <c r="A8" s="1" t="inlineStr">
        <is>
          <t>Coral Village Housing LP - Bldg 9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3" t="inlineStr">
        <is>
          <t>Building Components</t>
        </is>
      </c>
    </row>
    <row r="16">
      <c r="A16" s="2" t="inlineStr">
        <is>
          <t>Cabinets / Millwork</t>
        </is>
      </c>
      <c r="B16" s="14" t="n">
        <v>26445.19</v>
      </c>
      <c r="C16" s="14" t="n">
        <v>26445.19</v>
      </c>
    </row>
    <row r="17">
      <c r="A17" s="2" t="inlineStr">
        <is>
          <t>Moldings</t>
        </is>
      </c>
      <c r="B17" s="14" t="n">
        <v>4635.69</v>
      </c>
      <c r="C17" s="14" t="n">
        <v>4635.69</v>
      </c>
    </row>
    <row r="18">
      <c r="A18" s="2" t="inlineStr">
        <is>
          <t>Flooring - Carpet</t>
        </is>
      </c>
      <c r="B18" s="14" t="n">
        <v>9118.09</v>
      </c>
      <c r="C18" s="14" t="n">
        <v>9118.09</v>
      </c>
    </row>
    <row r="19">
      <c r="A19" s="2" t="inlineStr">
        <is>
          <t>Flooring - Vinyl Plank</t>
        </is>
      </c>
      <c r="B19" s="14" t="n">
        <v>17166.07</v>
      </c>
      <c r="C19" s="14" t="n">
        <v>17166.07</v>
      </c>
    </row>
    <row r="20">
      <c r="A20" s="2" t="inlineStr">
        <is>
          <t>Door &amp; Window Guards</t>
        </is>
      </c>
      <c r="B20" s="14" t="n">
        <v>2842.52</v>
      </c>
      <c r="C20" s="14" t="n">
        <v>2842.52</v>
      </c>
    </row>
    <row r="21">
      <c r="A21" s="2" t="inlineStr">
        <is>
          <t>Window Treatments</t>
        </is>
      </c>
      <c r="B21" s="14" t="n">
        <v>2418.44</v>
      </c>
      <c r="C21" s="14" t="n">
        <v>2418.44</v>
      </c>
    </row>
    <row r="22">
      <c r="A22" s="2" t="inlineStr">
        <is>
          <t>Specialty HVAC - Dryer Vents</t>
        </is>
      </c>
      <c r="B22" s="14" t="n">
        <v>718.3000000000001</v>
      </c>
      <c r="C22" s="14" t="n">
        <v>718.3000000000001</v>
      </c>
    </row>
    <row r="23">
      <c r="A23" s="2" t="inlineStr">
        <is>
          <t>Building Signage</t>
        </is>
      </c>
      <c r="B23" s="14" t="n">
        <v>705.03</v>
      </c>
      <c r="C23" s="14" t="n">
        <v>705.03</v>
      </c>
    </row>
    <row r="24">
      <c r="A24" s="2" t="inlineStr">
        <is>
          <t>Specialty Electrical - Appliances</t>
        </is>
      </c>
      <c r="B24" s="14" t="n">
        <v>12363.8</v>
      </c>
      <c r="C24" s="14" t="n">
        <v>12363.8</v>
      </c>
    </row>
    <row r="25">
      <c r="A25" s="2" t="inlineStr">
        <is>
          <t>Communication / Data</t>
        </is>
      </c>
      <c r="B25" s="14" t="n">
        <v>2600.58</v>
      </c>
      <c r="C25" s="14" t="n">
        <v>2600.58</v>
      </c>
    </row>
    <row r="26">
      <c r="A26" s="2" t="inlineStr">
        <is>
          <t>Specialty Plumbing - Kitchen Sinks / Laundry</t>
        </is>
      </c>
      <c r="B26" s="14" t="n">
        <v>13431.92</v>
      </c>
      <c r="C26" s="14" t="n">
        <v>13431.92</v>
      </c>
    </row>
    <row r="27">
      <c r="A27" s="2" t="inlineStr">
        <is>
          <t>Security / Exterior Lighting</t>
        </is>
      </c>
      <c r="B27" s="14" t="n">
        <v>1140.5</v>
      </c>
      <c r="C27" s="14" t="n">
        <v>1140.5</v>
      </c>
    </row>
    <row r="28">
      <c r="A28" s="2" t="inlineStr">
        <is>
          <t>Access Control</t>
        </is>
      </c>
      <c r="B28" s="14" t="n">
        <v>1360.86</v>
      </c>
      <c r="C28" s="14" t="n">
        <v>1360.86</v>
      </c>
    </row>
    <row r="29">
      <c r="A29" s="2" t="inlineStr">
        <is>
          <t>Appliances</t>
        </is>
      </c>
      <c r="B29" s="14" t="n">
        <v>14831.54</v>
      </c>
      <c r="C29" s="14" t="n">
        <v>14831.54</v>
      </c>
    </row>
    <row r="31">
      <c r="A31" s="13" t="inlineStr">
        <is>
          <t>Building Structure</t>
        </is>
      </c>
    </row>
    <row r="32">
      <c r="A32" s="2" t="inlineStr">
        <is>
          <t>Foundations</t>
        </is>
      </c>
      <c r="B32" s="14" t="n">
        <v>19166.81</v>
      </c>
      <c r="F32" s="14" t="n">
        <v>19166.81</v>
      </c>
    </row>
    <row r="33">
      <c r="A33" s="2" t="inlineStr">
        <is>
          <t>HVAC</t>
        </is>
      </c>
      <c r="B33" s="14" t="n">
        <v>26894.18</v>
      </c>
      <c r="F33" s="14" t="n">
        <v>26894.18</v>
      </c>
    </row>
    <row r="34">
      <c r="A34" s="2" t="inlineStr">
        <is>
          <t>Electrical</t>
        </is>
      </c>
      <c r="B34" s="14" t="n">
        <v>19273.71</v>
      </c>
      <c r="F34" s="14" t="n">
        <v>19273.71</v>
      </c>
    </row>
    <row r="35">
      <c r="A35" s="2" t="inlineStr">
        <is>
          <t>Plumbing</t>
        </is>
      </c>
      <c r="B35" s="14" t="n">
        <v>24003.39</v>
      </c>
      <c r="F35" s="14" t="n">
        <v>24003.39</v>
      </c>
    </row>
    <row r="36">
      <c r="A36" s="2" t="inlineStr">
        <is>
          <t>Fire Protection &amp; Alarm</t>
        </is>
      </c>
      <c r="B36" s="14" t="n">
        <v>23233.4</v>
      </c>
      <c r="F36" s="14" t="n">
        <v>23233.4</v>
      </c>
    </row>
    <row r="37">
      <c r="A37" s="2" t="inlineStr">
        <is>
          <t>Exterior Façade / Building Skin</t>
        </is>
      </c>
      <c r="B37" s="14" t="n">
        <v>8832.92</v>
      </c>
      <c r="F37" s="14" t="n">
        <v>8832.92</v>
      </c>
    </row>
    <row r="38">
      <c r="A38" s="2" t="inlineStr">
        <is>
          <t>Doors &amp; Frames</t>
        </is>
      </c>
      <c r="B38" s="14" t="n">
        <v>17315.31</v>
      </c>
      <c r="F38" s="14" t="n">
        <v>17315.31</v>
      </c>
    </row>
    <row r="39">
      <c r="A39" s="2" t="inlineStr">
        <is>
          <t>Windows</t>
        </is>
      </c>
      <c r="B39" s="14" t="n">
        <v>10659.46</v>
      </c>
      <c r="F39" s="14" t="n">
        <v>10659.46</v>
      </c>
    </row>
    <row r="40">
      <c r="A40" s="2" t="inlineStr">
        <is>
          <t>Ceiling Systems</t>
        </is>
      </c>
      <c r="B40" s="14" t="n">
        <v>12873.87</v>
      </c>
      <c r="F40" s="14" t="n">
        <v>12873.87</v>
      </c>
    </row>
    <row r="41">
      <c r="A41" s="2" t="inlineStr">
        <is>
          <t>Interior Framing / Partitions</t>
        </is>
      </c>
      <c r="B41" s="14" t="n">
        <v>29302.11</v>
      </c>
      <c r="F41" s="14" t="n">
        <v>29302.11</v>
      </c>
    </row>
    <row r="42">
      <c r="A42" s="2" t="inlineStr">
        <is>
          <t>Painting</t>
        </is>
      </c>
      <c r="B42" s="14" t="n">
        <v>11976.41</v>
      </c>
      <c r="F42" s="14" t="n">
        <v>11976.41</v>
      </c>
    </row>
    <row r="43">
      <c r="A43" s="2" t="inlineStr">
        <is>
          <t>Gutter Systems</t>
        </is>
      </c>
      <c r="B43" s="14" t="n">
        <v>1737.32</v>
      </c>
      <c r="F43" s="14" t="n">
        <v>1737.32</v>
      </c>
    </row>
    <row r="44">
      <c r="A44" s="2" t="inlineStr">
        <is>
          <t>Structural Framing</t>
        </is>
      </c>
      <c r="B44" s="14" t="n">
        <v>63061.18</v>
      </c>
      <c r="F44" s="14" t="n">
        <v>63061.18</v>
      </c>
    </row>
    <row r="45">
      <c r="A45" s="2" t="inlineStr">
        <is>
          <t>Stairs / Balconies</t>
        </is>
      </c>
      <c r="B45" s="14" t="n">
        <v>10815.9</v>
      </c>
      <c r="F45" s="14" t="n">
        <v>10815.9</v>
      </c>
    </row>
    <row r="46">
      <c r="A46" s="2" t="inlineStr">
        <is>
          <t>Bathroom Accessories</t>
        </is>
      </c>
      <c r="B46" s="14" t="n">
        <v>5272.42</v>
      </c>
      <c r="F46" s="14" t="n">
        <v>5272.42</v>
      </c>
    </row>
    <row r="47">
      <c r="A47" s="2" t="inlineStr">
        <is>
          <t>Cabinets / Millwork - Restrooms</t>
        </is>
      </c>
      <c r="B47" s="14" t="n">
        <v>3303.27</v>
      </c>
      <c r="F47" s="14" t="n">
        <v>3303.27</v>
      </c>
    </row>
    <row r="49">
      <c r="A49" s="6" t="inlineStr">
        <is>
          <t>Total Building Cost</t>
        </is>
      </c>
      <c r="B49" s="15" t="n">
        <v>397500.19</v>
      </c>
      <c r="C49" s="15" t="n">
        <v>109778.53</v>
      </c>
      <c r="F49" s="15" t="n">
        <v>287721.66</v>
      </c>
    </row>
    <row r="50">
      <c r="A50" s="2" t="inlineStr">
        <is>
          <t>% of Building Cost</t>
        </is>
      </c>
      <c r="C50" s="16" t="n">
        <v>0.276</v>
      </c>
      <c r="F50" s="16" t="n">
        <v>0.724</v>
      </c>
    </row>
    <row r="52">
      <c r="A52" s="1" t="inlineStr">
        <is>
          <t>Asset Allocation:</t>
        </is>
      </c>
    </row>
    <row r="53">
      <c r="A53" s="2" t="inlineStr">
        <is>
          <t>Asset #2 Building</t>
        </is>
      </c>
      <c r="B53" s="14" t="n">
        <v>302676.39</v>
      </c>
      <c r="C53" s="14" t="n">
        <v>83590.83</v>
      </c>
      <c r="F53" s="14" t="n">
        <v>219085.56</v>
      </c>
    </row>
    <row r="54">
      <c r="A54" s="2" t="inlineStr">
        <is>
          <t>Asset #3 Land Improvements</t>
        </is>
      </c>
      <c r="B54" s="14" t="n">
        <v>32982.17</v>
      </c>
      <c r="C54" s="14" t="n">
        <v>9108.76</v>
      </c>
      <c r="F54" s="14" t="n">
        <v>23873.41</v>
      </c>
    </row>
    <row r="55">
      <c r="A55" s="2" t="inlineStr">
        <is>
          <t>Asset #4 Equipment</t>
        </is>
      </c>
      <c r="B55" s="14" t="n">
        <v>61841.63</v>
      </c>
      <c r="C55" s="14" t="n">
        <v>17078.94</v>
      </c>
      <c r="F55" s="14" t="n">
        <v>44762.69</v>
      </c>
    </row>
    <row r="56">
      <c r="A56" s="6" t="inlineStr">
        <is>
          <t>Total Allocation:</t>
        </is>
      </c>
      <c r="B56" s="15" t="n">
        <v>397500.19</v>
      </c>
      <c r="C56" s="15" t="n">
        <v>109778.53</v>
      </c>
      <c r="F56" s="15" t="n">
        <v>287721.66</v>
      </c>
    </row>
    <row r="58">
      <c r="A58" s="1" t="inlineStr">
        <is>
          <t>End Depreciation Reconciliation</t>
        </is>
      </c>
    </row>
    <row r="59">
      <c r="A59" s="2" t="inlineStr">
        <is>
          <t>Before Cost Segregation (As Previously Filed)</t>
        </is>
      </c>
      <c r="B59" s="5" t="n">
        <v>131053.31</v>
      </c>
    </row>
    <row r="60">
      <c r="A60" s="2" t="inlineStr">
        <is>
          <t>After Cost Segregation (Corrected)</t>
        </is>
      </c>
      <c r="B60" s="9" t="n">
        <v>144217.92</v>
      </c>
    </row>
    <row r="61">
      <c r="A61" s="10" t="inlineStr">
        <is>
          <t>Section 481(a) Adjustment</t>
        </is>
      </c>
      <c r="B61" s="17" t="n">
        <v>-13164.61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Coral Village Housing LP</t>
        </is>
      </c>
    </row>
    <row r="2">
      <c r="A2" s="2" t="inlineStr">
        <is>
          <t>Cost Segregation Study - Office</t>
        </is>
      </c>
    </row>
    <row r="3">
      <c r="A3" s="2" t="inlineStr">
        <is>
          <t>Report #107752-03</t>
        </is>
      </c>
    </row>
    <row r="5">
      <c r="A5" s="2" t="inlineStr">
        <is>
          <t>Acquisition Date:</t>
        </is>
      </c>
      <c r="B5" s="2" t="inlineStr">
        <is>
          <t>10/30/20</t>
        </is>
      </c>
    </row>
    <row r="8">
      <c r="A8" s="1" t="inlineStr">
        <is>
          <t>Coral Village Housing LP - Office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3" t="inlineStr">
        <is>
          <t>Building Components</t>
        </is>
      </c>
    </row>
    <row r="16">
      <c r="A16" s="2" t="inlineStr">
        <is>
          <t>Cabinets / Millwork</t>
        </is>
      </c>
      <c r="B16" s="14" t="n">
        <v>2291.97</v>
      </c>
      <c r="C16" s="14" t="n">
        <v>2291.97</v>
      </c>
    </row>
    <row r="17">
      <c r="A17" s="2" t="inlineStr">
        <is>
          <t>Moldings</t>
        </is>
      </c>
      <c r="B17" s="14" t="n">
        <v>2430.16</v>
      </c>
      <c r="C17" s="14" t="n">
        <v>2430.16</v>
      </c>
    </row>
    <row r="18">
      <c r="A18" s="2" t="inlineStr">
        <is>
          <t>Flooring - Carpet</t>
        </is>
      </c>
      <c r="B18" s="14" t="n">
        <v>2419.4</v>
      </c>
      <c r="C18" s="14" t="n">
        <v>2419.4</v>
      </c>
    </row>
    <row r="19">
      <c r="A19" s="2" t="inlineStr">
        <is>
          <t>Flooring - Vinyl Plank</t>
        </is>
      </c>
      <c r="B19" s="14" t="n">
        <v>555.89</v>
      </c>
      <c r="C19" s="14" t="n">
        <v>555.89</v>
      </c>
    </row>
    <row r="20">
      <c r="A20" s="2" t="inlineStr">
        <is>
          <t>Security System</t>
        </is>
      </c>
      <c r="B20" s="14" t="n">
        <v>599.1199999999999</v>
      </c>
      <c r="C20" s="14" t="n">
        <v>599.1199999999999</v>
      </c>
    </row>
    <row r="21">
      <c r="A21" s="2" t="inlineStr">
        <is>
          <t>Window Treatments</t>
        </is>
      </c>
      <c r="B21" s="14" t="n">
        <v>1112.48</v>
      </c>
      <c r="C21" s="14" t="n">
        <v>1112.48</v>
      </c>
    </row>
    <row r="22">
      <c r="A22" s="2" t="inlineStr">
        <is>
          <t>Specialty HVAC - Dryer Vents</t>
        </is>
      </c>
      <c r="B22" s="14" t="n">
        <v>269.36</v>
      </c>
      <c r="C22" s="14" t="n">
        <v>269.36</v>
      </c>
    </row>
    <row r="23">
      <c r="A23" s="2" t="inlineStr">
        <is>
          <t>Building Signage</t>
        </is>
      </c>
      <c r="B23" s="14" t="n">
        <v>92.21000000000001</v>
      </c>
      <c r="C23" s="14" t="n">
        <v>92.21000000000001</v>
      </c>
    </row>
    <row r="24">
      <c r="A24" s="2" t="inlineStr">
        <is>
          <t>Specialty Electrical - Appliances</t>
        </is>
      </c>
      <c r="B24" s="14" t="n">
        <v>1299.33</v>
      </c>
      <c r="C24" s="14" t="n">
        <v>1299.33</v>
      </c>
    </row>
    <row r="25">
      <c r="A25" s="2" t="inlineStr">
        <is>
          <t>Communication / Data</t>
        </is>
      </c>
      <c r="B25" s="14" t="n">
        <v>3490.05</v>
      </c>
      <c r="C25" s="14" t="n">
        <v>3490.05</v>
      </c>
    </row>
    <row r="26">
      <c r="A26" s="2" t="inlineStr">
        <is>
          <t>Specialty Plumbing - Kitchen Sink / Laundry</t>
        </is>
      </c>
      <c r="B26" s="14" t="n">
        <v>3357.95</v>
      </c>
      <c r="C26" s="14" t="n">
        <v>3357.95</v>
      </c>
    </row>
    <row r="27">
      <c r="A27" s="2" t="inlineStr">
        <is>
          <t>Security / Exterior Lighting</t>
        </is>
      </c>
      <c r="B27" s="14" t="n">
        <v>554.78</v>
      </c>
      <c r="C27" s="14" t="n">
        <v>554.78</v>
      </c>
    </row>
    <row r="28">
      <c r="A28" s="2" t="inlineStr">
        <is>
          <t>Canopies / Awnings</t>
        </is>
      </c>
      <c r="B28" s="14" t="n">
        <v>2385.48</v>
      </c>
      <c r="C28" s="14" t="n">
        <v>2385.48</v>
      </c>
    </row>
    <row r="29">
      <c r="A29" s="2" t="inlineStr">
        <is>
          <t>Appliances</t>
        </is>
      </c>
      <c r="B29" s="14" t="n">
        <v>3435.67</v>
      </c>
      <c r="C29" s="14" t="n">
        <v>3435.67</v>
      </c>
    </row>
    <row r="31">
      <c r="A31" s="13" t="inlineStr">
        <is>
          <t>Building Structure</t>
        </is>
      </c>
    </row>
    <row r="32">
      <c r="A32" s="2" t="inlineStr">
        <is>
          <t>Foundations</t>
        </is>
      </c>
      <c r="B32" s="14" t="n">
        <v>14287.74</v>
      </c>
      <c r="F32" s="14" t="n">
        <v>14287.74</v>
      </c>
    </row>
    <row r="33">
      <c r="A33" s="2" t="inlineStr">
        <is>
          <t>HVAC</t>
        </is>
      </c>
      <c r="B33" s="14" t="n">
        <v>9649.9</v>
      </c>
      <c r="F33" s="14" t="n">
        <v>9649.9</v>
      </c>
    </row>
    <row r="34">
      <c r="A34" s="2" t="inlineStr">
        <is>
          <t>Electrical</t>
        </is>
      </c>
      <c r="B34" s="14" t="n">
        <v>10065.83</v>
      </c>
      <c r="F34" s="14" t="n">
        <v>10065.83</v>
      </c>
    </row>
    <row r="35">
      <c r="A35" s="2" t="inlineStr">
        <is>
          <t>Plumbing</t>
        </is>
      </c>
      <c r="B35" s="14" t="n">
        <v>5264.8</v>
      </c>
      <c r="F35" s="14" t="n">
        <v>5264.8</v>
      </c>
    </row>
    <row r="36">
      <c r="A36" s="2" t="inlineStr">
        <is>
          <t>Fire Protection &amp; Alarm</t>
        </is>
      </c>
      <c r="B36" s="14" t="n">
        <v>12711.3</v>
      </c>
      <c r="F36" s="14" t="n">
        <v>12711.3</v>
      </c>
    </row>
    <row r="37">
      <c r="A37" s="2" t="inlineStr">
        <is>
          <t>Exterior Façade / Building Skin</t>
        </is>
      </c>
      <c r="B37" s="14" t="n">
        <v>5317.820000000001</v>
      </c>
      <c r="F37" s="14" t="n">
        <v>5317.820000000001</v>
      </c>
    </row>
    <row r="38">
      <c r="A38" s="2" t="inlineStr">
        <is>
          <t>Doors &amp; Frames</t>
        </is>
      </c>
      <c r="B38" s="14" t="n">
        <v>6989.18</v>
      </c>
      <c r="F38" s="14" t="n">
        <v>6989.18</v>
      </c>
    </row>
    <row r="39">
      <c r="A39" s="2" t="inlineStr">
        <is>
          <t>Windows</t>
        </is>
      </c>
      <c r="B39" s="14" t="n">
        <v>4903.35</v>
      </c>
      <c r="F39" s="14" t="n">
        <v>4903.35</v>
      </c>
    </row>
    <row r="40">
      <c r="A40" s="2" t="inlineStr">
        <is>
          <t>Ceiling Systems</t>
        </is>
      </c>
      <c r="B40" s="14" t="n">
        <v>4624.690000000001</v>
      </c>
      <c r="F40" s="14" t="n">
        <v>4624.690000000001</v>
      </c>
    </row>
    <row r="41">
      <c r="A41" s="2" t="inlineStr">
        <is>
          <t>Interior Framing / Partitions</t>
        </is>
      </c>
      <c r="B41" s="14" t="n">
        <v>14835.75</v>
      </c>
      <c r="F41" s="14" t="n">
        <v>14835.75</v>
      </c>
    </row>
    <row r="42">
      <c r="A42" s="2" t="inlineStr">
        <is>
          <t>Painting</t>
        </is>
      </c>
      <c r="B42" s="14" t="n">
        <v>5494.23</v>
      </c>
      <c r="F42" s="14" t="n">
        <v>5494.23</v>
      </c>
    </row>
    <row r="43">
      <c r="A43" s="2" t="inlineStr">
        <is>
          <t>Gutter Systems</t>
        </is>
      </c>
      <c r="B43" s="14" t="n">
        <v>966.2299999999999</v>
      </c>
      <c r="F43" s="14" t="n">
        <v>966.2299999999999</v>
      </c>
    </row>
    <row r="44">
      <c r="A44" s="2" t="inlineStr">
        <is>
          <t>Emergency Lighting</t>
        </is>
      </c>
      <c r="B44" s="14" t="n">
        <v>569.85</v>
      </c>
      <c r="F44" s="14" t="n">
        <v>569.85</v>
      </c>
    </row>
    <row r="45">
      <c r="A45" s="2" t="inlineStr">
        <is>
          <t>Structural Framing</t>
        </is>
      </c>
      <c r="B45" s="14" t="n">
        <v>27454.27</v>
      </c>
      <c r="F45" s="14" t="n">
        <v>27454.27</v>
      </c>
    </row>
    <row r="46">
      <c r="A46" s="2" t="inlineStr">
        <is>
          <t>Bathroom Accessories</t>
        </is>
      </c>
      <c r="B46" s="14" t="n">
        <v>3061.44</v>
      </c>
      <c r="F46" s="14" t="n">
        <v>3061.44</v>
      </c>
    </row>
    <row r="47">
      <c r="A47" s="2" t="inlineStr">
        <is>
          <t>Ceramic Tile Flooring</t>
        </is>
      </c>
      <c r="B47" s="14" t="n">
        <v>6574.58</v>
      </c>
      <c r="F47" s="14" t="n">
        <v>6574.58</v>
      </c>
    </row>
    <row r="48">
      <c r="A48" s="2" t="inlineStr">
        <is>
          <t>Cabinets / Millwork - Restrooms</t>
        </is>
      </c>
      <c r="B48" s="14" t="n">
        <v>134.1</v>
      </c>
      <c r="F48" s="14" t="n">
        <v>134.1</v>
      </c>
    </row>
    <row r="50">
      <c r="A50" s="6" t="inlineStr">
        <is>
          <t>Total Building Cost</t>
        </is>
      </c>
      <c r="B50" s="15" t="n">
        <v>157198.91</v>
      </c>
      <c r="C50" s="15" t="n">
        <v>24293.85</v>
      </c>
      <c r="F50" s="15" t="n">
        <v>132905.06</v>
      </c>
    </row>
    <row r="51">
      <c r="A51" s="2" t="inlineStr">
        <is>
          <t>% of Building Cost</t>
        </is>
      </c>
      <c r="C51" s="16" t="n">
        <v>0.155</v>
      </c>
      <c r="F51" s="16" t="n">
        <v>0.845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14" t="n">
        <v>119699.06</v>
      </c>
      <c r="C54" s="14" t="n">
        <v>18498.54</v>
      </c>
      <c r="F54" s="14" t="n">
        <v>101200.52</v>
      </c>
    </row>
    <row r="55">
      <c r="A55" s="2" t="inlineStr">
        <is>
          <t>Asset #3 Land Improvements</t>
        </is>
      </c>
      <c r="B55" s="14" t="n">
        <v>13043.42</v>
      </c>
      <c r="C55" s="14" t="n">
        <v>2015.76</v>
      </c>
      <c r="F55" s="14" t="n">
        <v>11027.66</v>
      </c>
    </row>
    <row r="56">
      <c r="A56" s="2" t="inlineStr">
        <is>
          <t>Asset #4 Equipment</t>
        </is>
      </c>
      <c r="B56" s="14" t="n">
        <v>24456.43</v>
      </c>
      <c r="C56" s="14" t="n">
        <v>3779.55</v>
      </c>
      <c r="F56" s="14" t="n">
        <v>20676.88</v>
      </c>
    </row>
    <row r="57">
      <c r="A57" s="6" t="inlineStr">
        <is>
          <t>Total Allocation:</t>
        </is>
      </c>
      <c r="B57" s="15" t="n">
        <v>157198.91</v>
      </c>
      <c r="C57" s="15" t="n">
        <v>24293.85</v>
      </c>
      <c r="F57" s="15" t="n">
        <v>132905.06</v>
      </c>
    </row>
    <row r="59">
      <c r="A59" s="1" t="inlineStr">
        <is>
          <t>End Depreciation Reconciliation</t>
        </is>
      </c>
    </row>
    <row r="60">
      <c r="A60" s="2" t="inlineStr">
        <is>
          <t>Before Cost Segregation (As Previously Filed)</t>
        </is>
      </c>
      <c r="B60" s="5" t="n">
        <v>51827.49</v>
      </c>
    </row>
    <row r="61">
      <c r="A61" s="2" t="inlineStr">
        <is>
          <t>After Cost Segregation (Corrected)</t>
        </is>
      </c>
      <c r="B61" s="9" t="n">
        <v>40202.21</v>
      </c>
    </row>
    <row r="62">
      <c r="A62" s="10" t="inlineStr">
        <is>
          <t>Section 481(a) Adjustment</t>
        </is>
      </c>
      <c r="B62" s="17" t="n">
        <v>11625.28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Coral Village Housing LP</t>
        </is>
      </c>
    </row>
    <row r="2">
      <c r="A2" s="2" t="inlineStr">
        <is>
          <t>Cost Segregation Study - Site</t>
        </is>
      </c>
    </row>
    <row r="3">
      <c r="A3" s="2" t="inlineStr">
        <is>
          <t>Report #107752-03</t>
        </is>
      </c>
    </row>
    <row r="5">
      <c r="A5" s="2" t="inlineStr">
        <is>
          <t>Acquisition Date:</t>
        </is>
      </c>
      <c r="B5" s="2" t="inlineStr">
        <is>
          <t>10/30/20</t>
        </is>
      </c>
    </row>
    <row r="8">
      <c r="A8" s="1" t="inlineStr">
        <is>
          <t>Coral Village Housing LP - Site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3" t="inlineStr">
        <is>
          <t>Site Components</t>
        </is>
      </c>
    </row>
    <row r="16">
      <c r="A16" s="2" t="inlineStr">
        <is>
          <t>Movable Shed</t>
        </is>
      </c>
      <c r="B16" s="14" t="n">
        <v>1686.45</v>
      </c>
    </row>
    <row r="17">
      <c r="A17" s="2" t="inlineStr">
        <is>
          <t>Site Work / Improvements</t>
        </is>
      </c>
      <c r="B17" s="14" t="n">
        <v>5464546</v>
      </c>
    </row>
    <row r="18">
      <c r="A18" s="2" t="inlineStr">
        <is>
          <t>Site Drainage</t>
        </is>
      </c>
      <c r="B18" s="14" t="n">
        <v>39048.7</v>
      </c>
      <c r="E18" s="14" t="n">
        <v>39048.7</v>
      </c>
    </row>
    <row r="19">
      <c r="A19" s="2" t="inlineStr">
        <is>
          <t>Parking Lot</t>
        </is>
      </c>
      <c r="B19" s="14" t="n">
        <v>153576.44</v>
      </c>
      <c r="E19" s="14" t="n">
        <v>153576.44</v>
      </c>
    </row>
    <row r="20">
      <c r="A20" s="2" t="inlineStr">
        <is>
          <t>Exterior Signage</t>
        </is>
      </c>
      <c r="B20" s="14" t="n">
        <v>4980.699999999999</v>
      </c>
      <c r="E20" s="14" t="n">
        <v>4980.699999999999</v>
      </c>
    </row>
    <row r="21">
      <c r="A21" s="2" t="inlineStr">
        <is>
          <t>Parking Lot Striping / Barriers</t>
        </is>
      </c>
      <c r="B21" s="14" t="n">
        <v>7221.77</v>
      </c>
      <c r="E21" s="14" t="n">
        <v>7221.77</v>
      </c>
    </row>
    <row r="22">
      <c r="A22" s="2" t="inlineStr">
        <is>
          <t>Sidewalks / Curbs</t>
        </is>
      </c>
      <c r="B22" s="14" t="n">
        <v>84027.83</v>
      </c>
      <c r="E22" s="14" t="n">
        <v>84027.83</v>
      </c>
    </row>
    <row r="23">
      <c r="A23" s="2" t="inlineStr">
        <is>
          <t>Landscaping &amp; Flagpole</t>
        </is>
      </c>
      <c r="B23" s="14" t="n">
        <v>9631.809999999999</v>
      </c>
      <c r="E23" s="14" t="n">
        <v>9631.809999999999</v>
      </c>
    </row>
    <row r="24">
      <c r="A24" s="2" t="inlineStr">
        <is>
          <t xml:space="preserve">Security Lighting Poles </t>
        </is>
      </c>
      <c r="B24" s="14" t="n">
        <v>20401.97</v>
      </c>
      <c r="E24" s="14" t="n">
        <v>20401.97</v>
      </c>
    </row>
    <row r="25">
      <c r="A25" s="2" t="inlineStr">
        <is>
          <t>Exterior Fencing</t>
        </is>
      </c>
      <c r="B25" s="14" t="n">
        <v>1644.48</v>
      </c>
      <c r="E25" s="14" t="n">
        <v>1644.48</v>
      </c>
    </row>
    <row r="26">
      <c r="A26" s="2" t="inlineStr">
        <is>
          <t>Dumpster Enclosures</t>
        </is>
      </c>
      <c r="B26" s="14" t="n">
        <v>11153.66</v>
      </c>
      <c r="E26" s="14" t="n">
        <v>11153.66</v>
      </c>
    </row>
    <row r="27">
      <c r="A27" s="2" t="inlineStr">
        <is>
          <t>Swimming Pool</t>
        </is>
      </c>
      <c r="B27" s="14" t="n">
        <v>24156.38</v>
      </c>
      <c r="E27" s="14" t="n">
        <v>24156.38</v>
      </c>
    </row>
    <row r="28">
      <c r="A28" s="2" t="inlineStr">
        <is>
          <t>Fire Hydrants</t>
        </is>
      </c>
      <c r="B28" s="14" t="n">
        <v>8313.83</v>
      </c>
      <c r="E28" s="14" t="n">
        <v>8313.83</v>
      </c>
    </row>
    <row r="29">
      <c r="A29" s="2" t="inlineStr">
        <is>
          <t>Wood Bridge</t>
        </is>
      </c>
      <c r="B29" s="14" t="n">
        <v>424.82</v>
      </c>
      <c r="E29" s="14" t="n">
        <v>424.82</v>
      </c>
    </row>
    <row r="30">
      <c r="A30" s="2" t="inlineStr">
        <is>
          <t>Exterior Equipment Concrete Pads</t>
        </is>
      </c>
      <c r="B30" s="14" t="n">
        <v>7388.84</v>
      </c>
      <c r="E30" s="14" t="n">
        <v>7388.84</v>
      </c>
    </row>
    <row r="31">
      <c r="A31" s="2" t="inlineStr">
        <is>
          <t>Mailboxes</t>
        </is>
      </c>
      <c r="B31" s="14" t="n">
        <v>10157.17</v>
      </c>
      <c r="E31" s="14" t="n">
        <v>10157.17</v>
      </c>
    </row>
    <row r="33">
      <c r="A33" s="13" t="inlineStr">
        <is>
          <t>Site Utilities</t>
        </is>
      </c>
    </row>
    <row r="35">
      <c r="A35" s="6" t="inlineStr">
        <is>
          <t>Total Site Cost</t>
        </is>
      </c>
      <c r="B35" s="15" t="n">
        <v>697363.3</v>
      </c>
      <c r="E35" s="15" t="n">
        <v>382128.4</v>
      </c>
      <c r="F35" s="15" t="n">
        <v>313548.45</v>
      </c>
    </row>
    <row r="36">
      <c r="A36" s="2" t="inlineStr">
        <is>
          <t>% of Site Cost</t>
        </is>
      </c>
      <c r="E36" s="16" t="n">
        <v>0.548</v>
      </c>
      <c r="F36" s="16" t="n">
        <v>0.45</v>
      </c>
    </row>
    <row r="38">
      <c r="A38" s="1" t="inlineStr">
        <is>
          <t>Asset Allocation:</t>
        </is>
      </c>
    </row>
    <row r="39">
      <c r="A39" s="2" t="inlineStr">
        <is>
          <t>Asset #2 Building</t>
        </is>
      </c>
      <c r="B39" s="14" t="n">
        <v>531007.0700000001</v>
      </c>
      <c r="E39" s="14" t="n">
        <v>290971.55</v>
      </c>
      <c r="F39" s="14" t="n">
        <v>238751.3700000001</v>
      </c>
    </row>
    <row r="40">
      <c r="A40" s="2" t="inlineStr">
        <is>
          <t>Asset #3 Land Improvements</t>
        </is>
      </c>
      <c r="B40" s="14" t="n">
        <v>57862.97</v>
      </c>
      <c r="E40" s="14" t="n">
        <v>31706.69</v>
      </c>
      <c r="F40" s="14" t="n">
        <v>26016.35</v>
      </c>
    </row>
    <row r="41">
      <c r="A41" s="2" t="inlineStr">
        <is>
          <t>Asset #4 Equipment</t>
        </is>
      </c>
      <c r="B41" s="14" t="n">
        <v>108493.26</v>
      </c>
      <c r="E41" s="14" t="n">
        <v>59450.16</v>
      </c>
      <c r="F41" s="14" t="n">
        <v>48780.73000000001</v>
      </c>
    </row>
    <row r="42">
      <c r="A42" s="6" t="inlineStr">
        <is>
          <t>Total Allocation:</t>
        </is>
      </c>
      <c r="B42" s="15" t="n">
        <v>697363.3</v>
      </c>
      <c r="E42" s="15" t="n">
        <v>382128.4</v>
      </c>
      <c r="F42" s="15" t="n">
        <v>313548.45</v>
      </c>
    </row>
    <row r="44">
      <c r="A44" s="1" t="inlineStr">
        <is>
          <t>End Depreciation Reconciliation</t>
        </is>
      </c>
    </row>
    <row r="45">
      <c r="A45" s="2" t="inlineStr">
        <is>
          <t>Before Cost Segregation (As Previously Filed)</t>
        </is>
      </c>
      <c r="B45" s="5" t="n">
        <v>229916.28</v>
      </c>
    </row>
    <row r="46">
      <c r="A46" s="2" t="inlineStr">
        <is>
          <t>After Cost Segregation (Corrected)</t>
        </is>
      </c>
      <c r="B46" s="9" t="n">
        <v>421345.64</v>
      </c>
    </row>
    <row r="47">
      <c r="A47" s="10" t="inlineStr">
        <is>
          <t>Section 481(a) Adjustment</t>
        </is>
      </c>
      <c r="B47" s="17" t="n">
        <v>-191429.36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2026-06-24T20:47:07Z</dcterms:created>
  <dcterms:modified xmlns:dcterms="http://purl.org/dc/terms/" xmlns:xsi="http://www.w3.org/2001/XMLSchema-instance" xsi:type="dcterms:W3CDTF">2026-06-24T20:47:07Z</dcterms:modified>
</cp:coreProperties>
</file>