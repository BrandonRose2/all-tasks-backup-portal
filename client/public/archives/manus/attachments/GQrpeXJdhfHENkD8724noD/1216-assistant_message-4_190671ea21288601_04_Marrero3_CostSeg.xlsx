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30 ames" sheetId="2" state="visible" r:id="rId2"/>
    <sheet xmlns:r="http://schemas.openxmlformats.org/officeDocument/2006/relationships" name="540 freedom" sheetId="3" state="visible" r:id="rId3"/>
    <sheet xmlns:r="http://schemas.openxmlformats.org/officeDocument/2006/relationships" name="1208 smith" sheetId="4" state="visible" r:id="rId4"/>
    <sheet xmlns:r="http://schemas.openxmlformats.org/officeDocument/2006/relationships" name="1209 smith" sheetId="5" state="visible" r:id="rId5"/>
    <sheet xmlns:r="http://schemas.openxmlformats.org/officeDocument/2006/relationships" name="3112 havenwood" sheetId="6" state="visible" r:id="rId6"/>
    <sheet xmlns:r="http://schemas.openxmlformats.org/officeDocument/2006/relationships" name="3117 barbwood" sheetId="7" state="visible" r:id="rId7"/>
    <sheet xmlns:r="http://schemas.openxmlformats.org/officeDocument/2006/relationships" name="6805 sayres" sheetId="8" state="visible" r:id="rId8"/>
    <sheet xmlns:r="http://schemas.openxmlformats.org/officeDocument/2006/relationships" name="6800 sayres" sheetId="9" state="visible" r:id="rId9"/>
    <sheet xmlns:r="http://schemas.openxmlformats.org/officeDocument/2006/relationships" name="7112 kayla" sheetId="10" state="visible" r:id="rId10"/>
    <sheet xmlns:r="http://schemas.openxmlformats.org/officeDocument/2006/relationships" name="7114 kayl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" fontId="2" fillId="0" borderId="0" pivotButton="0" quotePrefix="0" xfId="0"/>
    <xf numFmtId="4" fontId="1" fillId="0" borderId="0" pivotButton="0" quotePrefix="0" xfId="0"/>
    <xf numFmtId="39" fontId="2" fillId="0" borderId="0" pivotButton="0" quotePrefix="0" xfId="0"/>
    <xf numFmtId="0" fontId="1" fillId="3" borderId="0" pivotButton="0" quotePrefix="0" xfId="0"/>
    <xf numFmtId="39" fontId="2" fillId="3" borderId="0" pivotButton="0" quotePrefix="0" xfId="0"/>
    <xf numFmtId="39" fontId="0" fillId="0" borderId="0" pivotButton="0" quotePrefix="0" xfId="0"/>
    <xf numFmtId="0" fontId="1" fillId="4" borderId="0" pivotButton="0" quotePrefix="0" xfId="0"/>
    <xf numFmtId="164" fontId="2" fillId="0" borderId="0" pivotButton="0" quotePrefix="0" xfId="0"/>
    <xf numFmtId="164" fontId="1" fillId="2" borderId="0" pivotButton="0" quotePrefix="0" xfId="0"/>
    <xf numFmtId="165" fontId="2" fillId="0" borderId="0" pivotButton="0" quotePrefix="0" xfId="0"/>
    <xf numFmtId="39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7" max="17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30" max="30"/>
  </cols>
  <sheetData>
    <row r="1">
      <c r="A1" s="1" t="inlineStr">
        <is>
          <t>Marrero 3 LP</t>
        </is>
      </c>
    </row>
    <row r="2">
      <c r="A2" s="2" t="inlineStr">
        <is>
          <t>Summary of Cost Seg Adjustments</t>
        </is>
      </c>
    </row>
    <row r="3">
      <c r="A3" s="2" t="inlineStr">
        <is>
          <t>As of December 31, 2024</t>
        </is>
      </c>
    </row>
    <row r="9">
      <c r="S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3" t="inlineStr">
        <is>
          <t>#</t>
        </is>
      </c>
      <c r="F10" s="3" t="inlineStr">
        <is>
          <t>530 Ames</t>
        </is>
      </c>
      <c r="G10" s="3" t="inlineStr">
        <is>
          <t>540 Freedom</t>
        </is>
      </c>
      <c r="H10" s="3" t="inlineStr">
        <is>
          <t>1208 Smith</t>
        </is>
      </c>
      <c r="I10" s="3" t="inlineStr">
        <is>
          <t>1209 Smith</t>
        </is>
      </c>
      <c r="J10" s="3" t="inlineStr">
        <is>
          <t>3112 Haven.</t>
        </is>
      </c>
      <c r="K10" s="3" t="inlineStr">
        <is>
          <t>3117 Barb.</t>
        </is>
      </c>
      <c r="L10" s="3" t="inlineStr">
        <is>
          <t>6805 Sayres</t>
        </is>
      </c>
      <c r="M10" s="3" t="inlineStr">
        <is>
          <t>6800 Sayres</t>
        </is>
      </c>
      <c r="N10" s="3" t="inlineStr">
        <is>
          <t>7141 Kayla</t>
        </is>
      </c>
      <c r="O10" s="3" t="inlineStr">
        <is>
          <t>112 Kayla</t>
        </is>
      </c>
      <c r="Q10" s="3" t="inlineStr">
        <is>
          <t>total cost</t>
        </is>
      </c>
      <c r="S10" s="3" t="inlineStr">
        <is>
          <t>530 Ames</t>
        </is>
      </c>
      <c r="T10" s="3" t="inlineStr">
        <is>
          <t>540 Freedom</t>
        </is>
      </c>
      <c r="U10" s="3" t="inlineStr">
        <is>
          <t>1208 Smith</t>
        </is>
      </c>
      <c r="V10" s="3" t="inlineStr">
        <is>
          <t>1209 Smith</t>
        </is>
      </c>
      <c r="W10" s="3" t="inlineStr">
        <is>
          <t>3112 Haven.</t>
        </is>
      </c>
      <c r="X10" s="3" t="inlineStr">
        <is>
          <t>3117 Barb.</t>
        </is>
      </c>
      <c r="Y10" s="3" t="inlineStr">
        <is>
          <t>6805 Sayres</t>
        </is>
      </c>
      <c r="Z10" s="3" t="inlineStr">
        <is>
          <t>6800 Sayres</t>
        </is>
      </c>
      <c r="AA10" s="3" t="inlineStr">
        <is>
          <t>7141 Kayla</t>
        </is>
      </c>
      <c r="AB10" s="3" t="inlineStr">
        <is>
          <t>112 Kayla</t>
        </is>
      </c>
      <c r="AD10" s="3" t="inlineStr">
        <is>
          <t>total</t>
        </is>
      </c>
    </row>
    <row r="11">
      <c r="A11" s="2" t="inlineStr">
        <is>
          <t>12/17/15</t>
        </is>
      </c>
      <c r="B11" s="2" t="inlineStr">
        <is>
          <t>Building - Marrero 3 LP</t>
        </is>
      </c>
      <c r="E11" s="2" t="n">
        <v>3</v>
      </c>
      <c r="F11" s="2" t="n">
        <v>34211.5447826087</v>
      </c>
      <c r="G11" s="2" t="n">
        <v>39574.47</v>
      </c>
      <c r="H11" s="2" t="n">
        <v>28927.98</v>
      </c>
      <c r="I11" s="2" t="n">
        <v>23742.25</v>
      </c>
      <c r="J11" s="2" t="n">
        <v>32480.36</v>
      </c>
      <c r="K11" s="2" t="n">
        <v>33147.4</v>
      </c>
      <c r="L11" s="2" t="n">
        <v>35350.51</v>
      </c>
      <c r="M11" s="2" t="n">
        <v>37234.13</v>
      </c>
      <c r="N11" s="2" t="n">
        <v>33633.76</v>
      </c>
      <c r="O11" s="2" t="n">
        <v>34772.36</v>
      </c>
      <c r="Q11" s="2" t="n">
        <v>333074.7647826087</v>
      </c>
      <c r="S11" s="4" t="n">
        <v>637217.8441728198</v>
      </c>
      <c r="T11" s="4" t="n">
        <v>31933.50419999999</v>
      </c>
      <c r="U11" s="4" t="n">
        <v>237151.7659606689</v>
      </c>
      <c r="V11" s="4" t="n">
        <v>46893.97014821544</v>
      </c>
      <c r="W11" s="4" t="n">
        <v>248208.29380007</v>
      </c>
      <c r="X11" s="4" t="n">
        <v>36610.9437433436</v>
      </c>
      <c r="Y11" s="4" t="n">
        <v>427300.7761555552</v>
      </c>
      <c r="Z11" s="4" t="n">
        <v>87209.52575581709</v>
      </c>
      <c r="AA11" s="4" t="n">
        <v>408251.2228300293</v>
      </c>
      <c r="AB11" s="4" t="n">
        <v>92174.9993781954</v>
      </c>
      <c r="AD11" s="4" t="n">
        <v>2252952.846144715</v>
      </c>
    </row>
    <row r="12">
      <c r="A12" s="2" t="inlineStr">
        <is>
          <t>12/17/15</t>
        </is>
      </c>
      <c r="B12" s="2" t="inlineStr">
        <is>
          <t>Land Improvements - Marrero 3 LP</t>
        </is>
      </c>
      <c r="E12" s="2" t="n">
        <v>2</v>
      </c>
      <c r="F12" s="2" t="n">
        <v>2631.665217391304</v>
      </c>
      <c r="G12" s="2" t="n">
        <v>3044.2</v>
      </c>
      <c r="H12" s="2" t="n">
        <v>2225.24</v>
      </c>
      <c r="I12" s="2" t="n">
        <v>1826.33</v>
      </c>
      <c r="J12" s="2" t="n">
        <v>2498.5</v>
      </c>
      <c r="K12" s="2" t="n">
        <v>2549.82</v>
      </c>
      <c r="L12" s="2" t="n">
        <v>1277.72</v>
      </c>
      <c r="M12" s="2" t="n">
        <v>1345.81</v>
      </c>
      <c r="N12" s="2" t="n">
        <v>2587.21</v>
      </c>
      <c r="O12" s="2" t="n">
        <v>2674.78</v>
      </c>
      <c r="Q12" s="2" t="n">
        <v>22661.2752173913</v>
      </c>
      <c r="S12" s="4" t="n">
        <v>49016.9048801079</v>
      </c>
      <c r="T12" s="4" t="n">
        <v>2456.431469218412</v>
      </c>
      <c r="U12" s="4" t="n">
        <v>18242.53182165913</v>
      </c>
      <c r="V12" s="4" t="n">
        <v>3607.234550254938</v>
      </c>
      <c r="W12" s="4" t="n">
        <v>19093.02797319596</v>
      </c>
      <c r="X12" s="4" t="n">
        <v>2816.248531578717</v>
      </c>
      <c r="Y12" s="4" t="n">
        <v>15444.49422962995</v>
      </c>
      <c r="Z12" s="4" t="n">
        <v>3152.147018271575</v>
      </c>
      <c r="AA12" s="4" t="n">
        <v>31403.9122066067</v>
      </c>
      <c r="AB12" s="4" t="n">
        <v>7090.339707653131</v>
      </c>
      <c r="AD12" s="4" t="n">
        <v>152323.2723881764</v>
      </c>
    </row>
    <row r="13">
      <c r="A13" s="2" t="inlineStr">
        <is>
          <t>12/17/15</t>
        </is>
      </c>
      <c r="B13" s="2" t="inlineStr">
        <is>
          <t>Equipment - Marrero 3 LP</t>
        </is>
      </c>
      <c r="E13" s="2" t="n">
        <v>4</v>
      </c>
      <c r="F13" s="2" t="n">
        <v>7017.746521739131</v>
      </c>
      <c r="G13" s="2" t="n">
        <v>8117.83</v>
      </c>
      <c r="H13" s="2" t="n">
        <v>5933.96</v>
      </c>
      <c r="I13" s="2" t="n">
        <v>4870.22</v>
      </c>
      <c r="J13" s="2" t="n">
        <v>6662.61</v>
      </c>
      <c r="K13" s="2" t="n">
        <v>6799.44</v>
      </c>
      <c r="L13" s="2" t="n">
        <v>5962.73</v>
      </c>
      <c r="M13" s="2" t="n">
        <v>6280.45</v>
      </c>
      <c r="N13" s="2" t="n">
        <v>6899.22</v>
      </c>
      <c r="O13" s="2" t="n">
        <v>7132.78</v>
      </c>
      <c r="Q13" s="2" t="n">
        <v>65676.98652173913</v>
      </c>
      <c r="S13" s="4" t="n">
        <v>130711.2361616349</v>
      </c>
      <c r="T13" s="4" t="n">
        <v>6550.454330781585</v>
      </c>
      <c r="U13" s="4" t="n">
        <v>48646.64221767198</v>
      </c>
      <c r="V13" s="4" t="n">
        <v>9619.305301529628</v>
      </c>
      <c r="W13" s="4" t="n">
        <v>50914.30822673407</v>
      </c>
      <c r="X13" s="4" t="n">
        <v>7509.907725077687</v>
      </c>
      <c r="Y13" s="4" t="n">
        <v>72074.74961481498</v>
      </c>
      <c r="Z13" s="4" t="n">
        <v>14710.02722591132</v>
      </c>
      <c r="AA13" s="4" t="n">
        <v>83743.68496336404</v>
      </c>
      <c r="AB13" s="4" t="n">
        <v>18907.66091415149</v>
      </c>
      <c r="AD13" s="4" t="n">
        <v>443387.9766816716</v>
      </c>
    </row>
    <row r="16">
      <c r="B16" s="1" t="inlineStr">
        <is>
          <t>Grand Total</t>
        </is>
      </c>
      <c r="F16" s="1" t="n">
        <v>43860.96000000001</v>
      </c>
      <c r="G16" s="1" t="n">
        <v>50736.50000000001</v>
      </c>
      <c r="H16" s="1" t="n">
        <v>37087.18</v>
      </c>
      <c r="I16" s="1" t="n">
        <v>30438.8</v>
      </c>
      <c r="J16" s="1" t="n">
        <v>41641.46999999999</v>
      </c>
      <c r="K16" s="1" t="n">
        <v>42496.66</v>
      </c>
      <c r="L16" s="1" t="n">
        <v>42590.95999999999</v>
      </c>
      <c r="M16" s="1" t="n">
        <v>44860.39000000001</v>
      </c>
      <c r="N16" s="1" t="n">
        <v>43120.19</v>
      </c>
      <c r="O16" s="1" t="n">
        <v>44579.92</v>
      </c>
      <c r="Q16" s="1" t="n">
        <v>421413.03</v>
      </c>
      <c r="S16" s="5" t="n">
        <v>816946.05</v>
      </c>
      <c r="T16" s="5" t="n">
        <v>40940.39</v>
      </c>
      <c r="U16" s="5" t="n">
        <v>304040.94</v>
      </c>
      <c r="V16" s="5" t="n">
        <v>60120.51</v>
      </c>
      <c r="W16" s="5" t="n">
        <v>318215.63</v>
      </c>
      <c r="X16" s="5" t="n">
        <v>46937.1</v>
      </c>
      <c r="Y16" s="5" t="n">
        <v>514820.02</v>
      </c>
      <c r="Z16" s="5" t="n">
        <v>105071.7</v>
      </c>
      <c r="AA16" s="5" t="n">
        <v>523398.82</v>
      </c>
      <c r="AB16" s="5" t="n">
        <v>118173</v>
      </c>
      <c r="AD16" s="5" t="n">
        <v>2848664.16</v>
      </c>
    </row>
    <row r="18">
      <c r="B18" s="2" t="inlineStr">
        <is>
          <t>MACRS Reclassification</t>
        </is>
      </c>
    </row>
    <row r="20">
      <c r="B20" s="2" t="inlineStr">
        <is>
          <t>Building - Marrero 3 LP - 5yr</t>
        </is>
      </c>
      <c r="F20" s="4" t="n">
        <v>6273.36</v>
      </c>
      <c r="G20" s="4" t="n">
        <v>6825.05</v>
      </c>
      <c r="H20" s="4" t="n">
        <v>4927.97</v>
      </c>
      <c r="I20" s="4" t="n">
        <v>4417.36</v>
      </c>
      <c r="J20" s="4" t="n">
        <v>5584.08</v>
      </c>
      <c r="K20" s="4" t="n">
        <v>4462.87</v>
      </c>
      <c r="L20" s="4" t="n">
        <v>5303.35</v>
      </c>
      <c r="M20" s="4" t="n">
        <v>5994.73</v>
      </c>
      <c r="N20" s="4" t="n">
        <v>5500.06</v>
      </c>
      <c r="O20" s="4" t="n">
        <v>5806.35</v>
      </c>
      <c r="Q20" s="4" t="n">
        <v>55095.18</v>
      </c>
    </row>
    <row r="21">
      <c r="B21" s="2" t="inlineStr">
        <is>
          <t>Building - Marrero 3 LP - 15yr</t>
        </is>
      </c>
      <c r="F21" s="4" t="n">
        <v>571.72</v>
      </c>
      <c r="G21" s="4" t="n">
        <v>1054.03</v>
      </c>
      <c r="H21" s="4" t="n">
        <v>874</v>
      </c>
      <c r="I21" s="4" t="n">
        <v>693.08</v>
      </c>
      <c r="J21" s="4" t="n">
        <v>796.29</v>
      </c>
      <c r="K21" s="4" t="n">
        <v>551.83</v>
      </c>
      <c r="L21" s="4" t="n">
        <v>598.37</v>
      </c>
      <c r="M21" s="4" t="n">
        <v>850.95</v>
      </c>
      <c r="N21" s="4" t="n">
        <v>623.38</v>
      </c>
      <c r="O21" s="4" t="n">
        <v>517.48</v>
      </c>
      <c r="Q21" s="4" t="n">
        <v>7131.129999999999</v>
      </c>
    </row>
    <row r="22">
      <c r="B22" s="1" t="inlineStr">
        <is>
          <t>Building - Marrero 3 LP - 27.5yr</t>
        </is>
      </c>
      <c r="F22" s="4" t="n">
        <v>27366.46478260869</v>
      </c>
      <c r="G22" s="4" t="n">
        <v>31695.39</v>
      </c>
      <c r="H22" s="4" t="n">
        <v>23126.01</v>
      </c>
      <c r="I22" s="4" t="n">
        <v>18631.81</v>
      </c>
      <c r="J22" s="4" t="n">
        <v>26099.99</v>
      </c>
      <c r="K22" s="4" t="n">
        <v>28132.7</v>
      </c>
      <c r="L22" s="4" t="n">
        <v>29448.79</v>
      </c>
      <c r="M22" s="4" t="n">
        <v>30388.45</v>
      </c>
      <c r="N22" s="4" t="n">
        <v>27510.32</v>
      </c>
      <c r="O22" s="4" t="n">
        <v>28448.53</v>
      </c>
      <c r="Q22" s="4" t="n">
        <v>270848.4547826087</v>
      </c>
    </row>
    <row r="23">
      <c r="B23" s="2" t="inlineStr">
        <is>
          <t>Land Imp - Marrero 3 LP - 5yr</t>
        </is>
      </c>
      <c r="F23" s="4" t="n">
        <v>482.57</v>
      </c>
      <c r="G23" s="4" t="n">
        <v>525.01</v>
      </c>
      <c r="H23" s="4" t="n">
        <v>379.08</v>
      </c>
      <c r="I23" s="4" t="n">
        <v>339.79</v>
      </c>
      <c r="J23" s="4" t="n">
        <v>429.55</v>
      </c>
      <c r="K23" s="4" t="n">
        <v>343.3</v>
      </c>
      <c r="L23" s="4" t="n">
        <v>191.68</v>
      </c>
      <c r="M23" s="4" t="n">
        <v>216.67</v>
      </c>
      <c r="N23" s="4" t="n">
        <v>423.08</v>
      </c>
      <c r="O23" s="4" t="n">
        <v>446.64</v>
      </c>
      <c r="Q23" s="4" t="n">
        <v>3777.37</v>
      </c>
    </row>
    <row r="24">
      <c r="B24" s="2" t="inlineStr">
        <is>
          <t>Land Imp - Marrero 3 LP - 15yr</t>
        </is>
      </c>
      <c r="F24" s="4" t="n">
        <v>43.98</v>
      </c>
      <c r="G24" s="4" t="n">
        <v>81.08</v>
      </c>
      <c r="H24" s="4" t="n">
        <v>67.23</v>
      </c>
      <c r="I24" s="4" t="n">
        <v>53.32</v>
      </c>
      <c r="J24" s="4" t="n">
        <v>61.26</v>
      </c>
      <c r="K24" s="4" t="n">
        <v>42.45</v>
      </c>
      <c r="L24" s="4" t="n">
        <v>21.63</v>
      </c>
      <c r="M24" s="4" t="n">
        <v>30.76</v>
      </c>
      <c r="N24" s="4" t="n">
        <v>47.96</v>
      </c>
      <c r="O24" s="4" t="n">
        <v>39.81</v>
      </c>
      <c r="Q24" s="4" t="n">
        <v>489.48</v>
      </c>
    </row>
    <row r="25">
      <c r="B25" s="1" t="inlineStr">
        <is>
          <t>Land Imp - Marrero 3 LP - 27.5yr</t>
        </is>
      </c>
      <c r="F25" s="4" t="n">
        <v>2105.115217391304</v>
      </c>
      <c r="G25" s="4" t="n">
        <v>2438.11</v>
      </c>
      <c r="H25" s="4" t="n">
        <v>1778.93</v>
      </c>
      <c r="I25" s="4" t="n">
        <v>1433.22</v>
      </c>
      <c r="J25" s="4" t="n">
        <v>2007.69</v>
      </c>
      <c r="K25" s="4" t="n">
        <v>2164.07</v>
      </c>
      <c r="L25" s="4" t="n">
        <v>1064.41</v>
      </c>
      <c r="M25" s="4" t="n">
        <v>1098.38</v>
      </c>
      <c r="N25" s="4" t="n">
        <v>2116.17</v>
      </c>
      <c r="O25" s="4" t="n">
        <v>2188.33</v>
      </c>
      <c r="Q25" s="4" t="n">
        <v>18394.4252173913</v>
      </c>
    </row>
    <row r="26">
      <c r="B26" s="2" t="inlineStr">
        <is>
          <t>Equipment - Marrero 3 LP - 5yr</t>
        </is>
      </c>
      <c r="F26" s="4" t="n">
        <v>1286.84</v>
      </c>
      <c r="G26" s="4" t="n">
        <v>1400.01</v>
      </c>
      <c r="H26" s="4" t="n">
        <v>1010.87</v>
      </c>
      <c r="I26" s="4" t="n">
        <v>906.13</v>
      </c>
      <c r="J26" s="4" t="n">
        <v>1145.45</v>
      </c>
      <c r="K26" s="4" t="n">
        <v>915.46</v>
      </c>
      <c r="L26" s="4" t="n">
        <v>894.54</v>
      </c>
      <c r="M26" s="4" t="n">
        <v>1011.16</v>
      </c>
      <c r="N26" s="4" t="n">
        <v>1128.22</v>
      </c>
      <c r="O26" s="4" t="n">
        <v>1191.04</v>
      </c>
      <c r="Q26" s="4" t="n">
        <v>10889.72</v>
      </c>
    </row>
    <row r="27">
      <c r="B27" s="2" t="inlineStr">
        <is>
          <t>Equipment - Marrero 3 LP - 15yr</t>
        </is>
      </c>
      <c r="F27" s="4" t="n">
        <v>117.28</v>
      </c>
      <c r="G27" s="4" t="n">
        <v>216.21</v>
      </c>
      <c r="H27" s="4" t="n">
        <v>179.28</v>
      </c>
      <c r="I27" s="4" t="n">
        <v>142.17</v>
      </c>
      <c r="J27" s="4" t="n">
        <v>163.34</v>
      </c>
      <c r="K27" s="4" t="n">
        <v>113.2</v>
      </c>
      <c r="L27" s="4" t="n">
        <v>100.93</v>
      </c>
      <c r="M27" s="4" t="n">
        <v>143.53</v>
      </c>
      <c r="N27" s="4" t="n">
        <v>127.87</v>
      </c>
      <c r="O27" s="4" t="n">
        <v>106.15</v>
      </c>
      <c r="Q27" s="4" t="n">
        <v>1409.96</v>
      </c>
    </row>
    <row r="28">
      <c r="B28" s="1" t="inlineStr">
        <is>
          <t>Equipment - Marrero 3 LP - 27.5yr</t>
        </is>
      </c>
      <c r="F28" s="4" t="n">
        <v>5613.626521739131</v>
      </c>
      <c r="G28" s="4" t="n">
        <v>6501.61</v>
      </c>
      <c r="H28" s="4" t="n">
        <v>4743.81</v>
      </c>
      <c r="I28" s="4" t="n">
        <v>3821.92</v>
      </c>
      <c r="J28" s="4" t="n">
        <v>5353.82</v>
      </c>
      <c r="K28" s="4" t="n">
        <v>5770.78</v>
      </c>
      <c r="L28" s="4" t="n">
        <v>4967.259999999999</v>
      </c>
      <c r="M28" s="4" t="n">
        <v>5125.76</v>
      </c>
      <c r="N28" s="4" t="n">
        <v>5643.13</v>
      </c>
      <c r="O28" s="4" t="n">
        <v>5835.59</v>
      </c>
      <c r="Q28" s="4" t="n">
        <v>53377.30652173913</v>
      </c>
    </row>
    <row r="32">
      <c r="B32" s="1" t="inlineStr">
        <is>
          <t>Total MACRS Reclassification</t>
        </is>
      </c>
      <c r="F32" s="5" t="n">
        <v>43860.96000000001</v>
      </c>
      <c r="G32" s="5" t="n">
        <v>50736.50000000001</v>
      </c>
      <c r="H32" s="5" t="n">
        <v>37087.18</v>
      </c>
      <c r="I32" s="5" t="n">
        <v>30438.8</v>
      </c>
      <c r="J32" s="5" t="n">
        <v>41641.46999999999</v>
      </c>
      <c r="K32" s="5" t="n">
        <v>42496.66</v>
      </c>
      <c r="L32" s="5" t="n">
        <v>42590.95999999999</v>
      </c>
      <c r="M32" s="5" t="n">
        <v>44860.39000000001</v>
      </c>
      <c r="N32" s="5" t="n">
        <v>43120.19</v>
      </c>
      <c r="O32" s="5" t="n">
        <v>44579.92</v>
      </c>
      <c r="Q32" s="5" t="n">
        <v>421413.03</v>
      </c>
    </row>
    <row r="35">
      <c r="B35" s="2" t="inlineStr">
        <is>
          <t>Difference (should be zero)</t>
        </is>
      </c>
      <c r="F35">
        <f>F16-F32</f>
        <v/>
      </c>
      <c r="G35">
        <f>G16-G32</f>
        <v/>
      </c>
      <c r="H35">
        <f>H16-H32</f>
        <v/>
      </c>
      <c r="I35">
        <f>I16-I32</f>
        <v/>
      </c>
      <c r="J35">
        <f>J16-J32</f>
        <v/>
      </c>
      <c r="K35">
        <f>K16-K32</f>
        <v/>
      </c>
      <c r="L35">
        <f>L16-L32</f>
        <v/>
      </c>
      <c r="M35">
        <f>M16-M32</f>
        <v/>
      </c>
      <c r="N35">
        <f>N16-N32</f>
        <v/>
      </c>
      <c r="O35">
        <f>O16-O32</f>
        <v/>
      </c>
    </row>
    <row r="37">
      <c r="B37" s="2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4" t="n">
        <v>790255.88</v>
      </c>
      <c r="G38" s="4" t="n">
        <v>39745.12</v>
      </c>
      <c r="H38" s="4" t="n">
        <v>286132.85</v>
      </c>
      <c r="I38" s="4" t="n">
        <v>58105.15</v>
      </c>
      <c r="J38" s="4" t="n">
        <v>309892.45</v>
      </c>
      <c r="K38" s="4" t="n">
        <v>49934.55</v>
      </c>
      <c r="L38" s="4" t="n">
        <v>517926.62</v>
      </c>
      <c r="M38" s="4" t="n">
        <v>102285.38</v>
      </c>
      <c r="N38" s="4" t="n">
        <v>523830.88</v>
      </c>
      <c r="O38" s="4" t="n">
        <v>118225.12</v>
      </c>
      <c r="Q38" s="4" t="n">
        <v>2796334</v>
      </c>
    </row>
    <row r="39">
      <c r="B39" s="2" t="inlineStr">
        <is>
          <t>Building - Marrero 3 LP - 5yr</t>
        </is>
      </c>
      <c r="F39" s="4" t="n">
        <v>116846.4318206441</v>
      </c>
      <c r="G39" s="4" t="n">
        <v>5507.281912814245</v>
      </c>
      <c r="H39" s="4" t="n">
        <v>40399.52973215542</v>
      </c>
      <c r="I39" s="4" t="n">
        <v>8724.849075968828</v>
      </c>
      <c r="J39" s="4" t="n">
        <v>42672.40169884494</v>
      </c>
      <c r="K39" s="4" t="n">
        <v>4929.191505332418</v>
      </c>
      <c r="L39" s="4" t="n">
        <v>64104.46613710987</v>
      </c>
      <c r="M39" s="4" t="n">
        <v>14040.81578740176</v>
      </c>
      <c r="N39" s="4" t="n">
        <v>66760.48769565255</v>
      </c>
      <c r="O39" s="4" t="n">
        <v>15391.54396306678</v>
      </c>
      <c r="Q39" s="4" t="n">
        <v>379376.9993289909</v>
      </c>
    </row>
    <row r="40">
      <c r="B40" s="2" t="inlineStr">
        <is>
          <t>Building - Marrero 3 LP - 15yr</t>
        </is>
      </c>
      <c r="F40" s="4" t="n">
        <v>10648.74995225823</v>
      </c>
      <c r="G40" s="4" t="n">
        <v>850.5198283622242</v>
      </c>
      <c r="H40" s="4" t="n">
        <v>7165.057617214357</v>
      </c>
      <c r="I40" s="4" t="n">
        <v>1368.921346137167</v>
      </c>
      <c r="J40" s="4" t="n">
        <v>6085.08594948017</v>
      </c>
      <c r="K40" s="4" t="n">
        <v>609.4902491866419</v>
      </c>
      <c r="L40" s="4" t="n">
        <v>7232.822537162818</v>
      </c>
      <c r="M40" s="4" t="n">
        <v>1993.089295813077</v>
      </c>
      <c r="N40" s="4" t="n">
        <v>7566.672512611841</v>
      </c>
      <c r="O40" s="4" t="n">
        <v>1371.742345881285</v>
      </c>
      <c r="Q40" s="4" t="n">
        <v>44892.1516341078</v>
      </c>
    </row>
    <row r="41">
      <c r="B41" s="2" t="inlineStr">
        <is>
          <t>Building - Marrero 3 LP - 27.5yr</t>
        </is>
      </c>
      <c r="F41" s="4" t="n">
        <v>509722.6623999174</v>
      </c>
      <c r="G41" s="4" t="n">
        <v>25575.70245882353</v>
      </c>
      <c r="H41" s="4" t="n">
        <v>189587.1786112991</v>
      </c>
      <c r="I41" s="4" t="n">
        <v>36800.19972610944</v>
      </c>
      <c r="J41" s="4" t="n">
        <v>199450.8061517449</v>
      </c>
      <c r="K41" s="4" t="n">
        <v>31072.26198882453</v>
      </c>
      <c r="L41" s="4" t="n">
        <v>355963.4874812826</v>
      </c>
      <c r="M41" s="4" t="n">
        <v>71175.62067260225</v>
      </c>
      <c r="N41" s="4" t="n">
        <v>333924.0626217649</v>
      </c>
      <c r="O41" s="4" t="n">
        <v>75411.71306924733</v>
      </c>
      <c r="Q41" s="4" t="n">
        <v>1828683.695181616</v>
      </c>
    </row>
    <row r="42">
      <c r="B42" s="2" t="inlineStr">
        <is>
          <t>Land Imp - Marrero 3 LP - 5yr</t>
        </is>
      </c>
      <c r="F42" s="4" t="n">
        <v>8988.258700869748</v>
      </c>
      <c r="G42" s="4" t="n">
        <v>423.6420358893498</v>
      </c>
      <c r="H42" s="4" t="n">
        <v>3107.700276354255</v>
      </c>
      <c r="I42" s="4" t="n">
        <v>671.128562653587</v>
      </c>
      <c r="J42" s="4" t="n">
        <v>3282.533586506433</v>
      </c>
      <c r="K42" s="4" t="n">
        <v>379.1711261543848</v>
      </c>
      <c r="L42" s="4" t="n">
        <v>2316.940060369619</v>
      </c>
      <c r="M42" s="4" t="n">
        <v>507.4829986765607</v>
      </c>
      <c r="N42" s="4" t="n">
        <v>5135.403456376235</v>
      </c>
      <c r="O42" s="4" t="n">
        <v>1183.958802976766</v>
      </c>
      <c r="Q42" s="4" t="n">
        <v>25996.21960682694</v>
      </c>
    </row>
    <row r="43">
      <c r="B43" s="2" t="inlineStr">
        <is>
          <t>Land Imp - Marrero 3 LP - 15yr</t>
        </is>
      </c>
      <c r="F43" s="4" t="n">
        <v>819.1632668094816</v>
      </c>
      <c r="G43" s="4" t="n">
        <v>65.42522289081823</v>
      </c>
      <c r="H43" s="4" t="n">
        <v>551.1519720884684</v>
      </c>
      <c r="I43" s="4" t="n">
        <v>105.3137966411291</v>
      </c>
      <c r="J43" s="4" t="n">
        <v>468.1364393187849</v>
      </c>
      <c r="K43" s="4" t="n">
        <v>46.8855645361306</v>
      </c>
      <c r="L43" s="4" t="n">
        <v>261.4535345669598</v>
      </c>
      <c r="M43" s="4" t="n">
        <v>72.04586255268846</v>
      </c>
      <c r="N43" s="4" t="n">
        <v>582.1451020322498</v>
      </c>
      <c r="O43" s="4" t="n">
        <v>105.5288374227679</v>
      </c>
      <c r="Q43" s="4" t="n">
        <v>3077.249598859479</v>
      </c>
    </row>
    <row r="44">
      <c r="B44" s="2" t="inlineStr">
        <is>
          <t>Land Imp - Marrero 3 LP - 27.5yr</t>
        </is>
      </c>
      <c r="F44" s="4" t="n">
        <v>39209.48291242866</v>
      </c>
      <c r="G44" s="4" t="n">
        <v>1967.364210438244</v>
      </c>
      <c r="H44" s="4" t="n">
        <v>14583.6795732164</v>
      </c>
      <c r="I44" s="4" t="n">
        <v>2830.792190960222</v>
      </c>
      <c r="J44" s="4" t="n">
        <v>15342.35794737074</v>
      </c>
      <c r="K44" s="4" t="n">
        <v>2390.191840888202</v>
      </c>
      <c r="L44" s="4" t="n">
        <v>12866.10063469337</v>
      </c>
      <c r="M44" s="4" t="n">
        <v>2572.618157042325</v>
      </c>
      <c r="N44" s="4" t="n">
        <v>25686.36364819821</v>
      </c>
      <c r="O44" s="4" t="n">
        <v>5800.852067253598</v>
      </c>
      <c r="Q44" s="4" t="n">
        <v>123249.80318249</v>
      </c>
    </row>
    <row r="45">
      <c r="B45" s="2" t="inlineStr">
        <is>
          <t>Equipment - Marrero 3 LP - 5yr</t>
        </is>
      </c>
      <c r="F45" s="4" t="n">
        <v>23968.4415248093</v>
      </c>
      <c r="G45" s="4" t="n">
        <v>1129.698647007578</v>
      </c>
      <c r="H45" s="4" t="n">
        <v>8287.118756880411</v>
      </c>
      <c r="I45" s="4" t="n">
        <v>1789.722253383839</v>
      </c>
      <c r="J45" s="4" t="n">
        <v>8753.295534079371</v>
      </c>
      <c r="K45" s="4" t="n">
        <v>1011.115639817341</v>
      </c>
      <c r="L45" s="4" t="n">
        <v>10812.78986645993</v>
      </c>
      <c r="M45" s="4" t="n">
        <v>2368.332066930314</v>
      </c>
      <c r="N45" s="4" t="n">
        <v>13694.49013792379</v>
      </c>
      <c r="O45" s="4" t="n">
        <v>3157.22347460471</v>
      </c>
      <c r="Q45" s="4" t="n">
        <v>74972.22790189658</v>
      </c>
    </row>
    <row r="46">
      <c r="B46" s="2" t="inlineStr">
        <is>
          <t>Equipment - Marrero 3 LP - 15yr</t>
        </is>
      </c>
      <c r="F46" s="4" t="n">
        <v>2184.435378158617</v>
      </c>
      <c r="G46" s="4" t="n">
        <v>174.464571302711</v>
      </c>
      <c r="H46" s="4" t="n">
        <v>1469.738592235915</v>
      </c>
      <c r="I46" s="4" t="n">
        <v>280.8038722518627</v>
      </c>
      <c r="J46" s="4" t="n">
        <v>1248.211002258086</v>
      </c>
      <c r="K46" s="4" t="n">
        <v>125.0281720963483</v>
      </c>
      <c r="L46" s="4" t="n">
        <v>1219.995619225301</v>
      </c>
      <c r="M46" s="4" t="n">
        <v>336.1749886926974</v>
      </c>
      <c r="N46" s="4" t="n">
        <v>1552.103715530938</v>
      </c>
      <c r="O46" s="4" t="n">
        <v>281.3837250044415</v>
      </c>
      <c r="Q46" s="4" t="n">
        <v>8872.339636756918</v>
      </c>
    </row>
    <row r="47">
      <c r="B47" s="2" t="inlineStr">
        <is>
          <t>Equipment - Marrero 3 LP - 27.5yr</t>
        </is>
      </c>
      <c r="F47" s="4" t="n">
        <v>104558.359258667</v>
      </c>
      <c r="G47" s="4" t="n">
        <v>5246.291112471295</v>
      </c>
      <c r="H47" s="4" t="n">
        <v>38889.78486855566</v>
      </c>
      <c r="I47" s="4" t="n">
        <v>7548.779175893925</v>
      </c>
      <c r="J47" s="4" t="n">
        <v>40912.80169039662</v>
      </c>
      <c r="K47" s="4" t="n">
        <v>6373.763913163998</v>
      </c>
      <c r="L47" s="4" t="n">
        <v>60041.96412912975</v>
      </c>
      <c r="M47" s="4" t="n">
        <v>12005.52017028831</v>
      </c>
      <c r="N47" s="4" t="n">
        <v>68497.09110990931</v>
      </c>
      <c r="O47" s="4" t="n">
        <v>15469.05371454233</v>
      </c>
      <c r="Q47" s="4" t="n">
        <v>359543.4091430182</v>
      </c>
    </row>
    <row r="51">
      <c r="B51" s="2" t="inlineStr">
        <is>
          <t>After Cost Segregation (Corrected)</t>
        </is>
      </c>
      <c r="F51" s="6" t="n">
        <v>816946.05</v>
      </c>
      <c r="G51" s="6" t="n">
        <v>40940.39</v>
      </c>
      <c r="H51" s="6" t="n">
        <v>304040.94</v>
      </c>
      <c r="I51" s="6" t="n">
        <v>60120.51</v>
      </c>
      <c r="J51" s="6" t="n">
        <v>318215.63</v>
      </c>
      <c r="K51" s="6" t="n">
        <v>46937.1</v>
      </c>
      <c r="L51" s="6" t="n">
        <v>514820.02</v>
      </c>
      <c r="M51" s="6" t="n">
        <v>105071.7</v>
      </c>
      <c r="N51" s="6" t="n">
        <v>523398.82</v>
      </c>
      <c r="O51" s="6" t="n">
        <v>118173</v>
      </c>
      <c r="Q51" s="6" t="n">
        <v>2848664.16</v>
      </c>
    </row>
    <row r="52">
      <c r="B52" s="7" t="inlineStr">
        <is>
          <t>Section 481(a) Adjustment</t>
        </is>
      </c>
      <c r="F52" s="8" t="n">
        <v>-26690.17</v>
      </c>
      <c r="G52" s="8" t="n">
        <v>-1195.27</v>
      </c>
      <c r="H52" s="8" t="n">
        <v>-17908.09</v>
      </c>
      <c r="I52" s="8" t="n">
        <v>-2015.36</v>
      </c>
      <c r="J52" s="8" t="n">
        <v>-8323.18</v>
      </c>
      <c r="K52" s="8" t="n">
        <v>2997.45</v>
      </c>
      <c r="L52" s="8" t="n">
        <v>3106.6</v>
      </c>
      <c r="M52" s="8" t="n">
        <v>-2786.32</v>
      </c>
      <c r="N52" s="8" t="n">
        <v>432.06</v>
      </c>
      <c r="O52" s="8" t="n">
        <v>52.12</v>
      </c>
      <c r="Q52" s="8" t="n">
        <v>-52330.16</v>
      </c>
    </row>
    <row r="53">
      <c r="F53">
        <f>SUM(F39:F50)</f>
        <v/>
      </c>
      <c r="G53">
        <f>SUM(G39:G50)</f>
        <v/>
      </c>
      <c r="H53">
        <f>SUM(H39:H50)</f>
        <v/>
      </c>
      <c r="I53">
        <f>SUM(I39:I50)</f>
        <v/>
      </c>
      <c r="J53">
        <f>SUM(J39:J50)</f>
        <v/>
      </c>
      <c r="K53">
        <f>SUM(K39:K50)</f>
        <v/>
      </c>
      <c r="L53">
        <f>SUM(L39:L50)</f>
        <v/>
      </c>
      <c r="M53">
        <f>SUM(M39:M50)</f>
        <v/>
      </c>
      <c r="N53">
        <f>SUM(N39:N50)</f>
        <v/>
      </c>
      <c r="O53">
        <f>SUM(O39:O50)</f>
        <v/>
      </c>
    </row>
    <row r="54">
      <c r="F54" s="9">
        <f>F53-F51</f>
        <v/>
      </c>
      <c r="G54" s="9">
        <f>G53-G51</f>
        <v/>
      </c>
      <c r="H54" s="9">
        <f>H53-H51</f>
        <v/>
      </c>
      <c r="I54" s="9">
        <f>I53-I51</f>
        <v/>
      </c>
      <c r="J54" s="9">
        <f>J53-J51</f>
        <v/>
      </c>
      <c r="K54" s="9">
        <f>K53-K51</f>
        <v/>
      </c>
      <c r="L54" s="9">
        <f>L53-L51</f>
        <v/>
      </c>
      <c r="M54" s="9">
        <f>M53-M51</f>
        <v/>
      </c>
      <c r="N54" s="9">
        <f>N53-N51</f>
        <v/>
      </c>
      <c r="O54" s="9">
        <f>O53-O51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Marrero 3 LP</t>
        </is>
      </c>
    </row>
    <row r="2">
      <c r="A2" s="2" t="inlineStr">
        <is>
          <t>Cost Segregation Study - 530 Ames Blvd.</t>
        </is>
      </c>
    </row>
    <row r="3">
      <c r="A3" s="2" t="inlineStr">
        <is>
          <t>Report #107752-18</t>
        </is>
      </c>
    </row>
    <row r="5">
      <c r="A5" s="2" t="inlineStr">
        <is>
          <t>Acquisition Date:</t>
        </is>
      </c>
      <c r="B5" s="2" t="inlineStr">
        <is>
          <t>12/17/15</t>
        </is>
      </c>
    </row>
    <row r="8">
      <c r="A8" s="1" t="inlineStr">
        <is>
          <t>Marrero 3 LP - 530 Ames Blvd.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1051.54</v>
      </c>
      <c r="C16" s="11" t="n">
        <v>1051.54</v>
      </c>
    </row>
    <row r="17">
      <c r="A17" s="2" t="inlineStr">
        <is>
          <t>Moldings</t>
        </is>
      </c>
      <c r="B17" s="11" t="n">
        <v>998.91</v>
      </c>
      <c r="C17" s="11" t="n">
        <v>998.91</v>
      </c>
    </row>
    <row r="18">
      <c r="A18" s="2" t="inlineStr">
        <is>
          <t>Flooring - Wood Laminate</t>
        </is>
      </c>
      <c r="B18" s="11" t="n">
        <v>2190.16</v>
      </c>
      <c r="C18" s="11" t="n">
        <v>2190.16</v>
      </c>
    </row>
    <row r="19">
      <c r="A19" s="2" t="inlineStr">
        <is>
          <t>Security System</t>
        </is>
      </c>
      <c r="B19" s="11" t="n">
        <v>503.17</v>
      </c>
      <c r="C19" s="11" t="n">
        <v>503.17</v>
      </c>
    </row>
    <row r="20">
      <c r="A20" s="2" t="inlineStr">
        <is>
          <t>Window Treatments</t>
        </is>
      </c>
      <c r="B20" s="11" t="n">
        <v>382.4299999999999</v>
      </c>
      <c r="C20" s="11" t="n">
        <v>382.4299999999999</v>
      </c>
    </row>
    <row r="21">
      <c r="A21" s="2" t="inlineStr">
        <is>
          <t>Specialty HVAC - Dryer Vents</t>
        </is>
      </c>
      <c r="B21" s="11" t="n">
        <v>42.81</v>
      </c>
      <c r="C21" s="11" t="n">
        <v>42.81</v>
      </c>
    </row>
    <row r="22">
      <c r="A22" s="2" t="inlineStr">
        <is>
          <t>Building Signage</t>
        </is>
      </c>
      <c r="B22" s="11" t="n">
        <v>21.12</v>
      </c>
      <c r="C22" s="11" t="n">
        <v>21.12</v>
      </c>
    </row>
    <row r="23">
      <c r="A23" s="2" t="inlineStr">
        <is>
          <t>Specialty Electrical - Appliances</t>
        </is>
      </c>
      <c r="B23" s="11" t="n">
        <v>731.0700000000001</v>
      </c>
      <c r="C23" s="11" t="n">
        <v>731.0700000000001</v>
      </c>
    </row>
    <row r="24">
      <c r="A24" s="2" t="inlineStr">
        <is>
          <t>Communication / Data</t>
        </is>
      </c>
      <c r="B24" s="11" t="n">
        <v>286.8</v>
      </c>
      <c r="C24" s="11" t="n">
        <v>286.8</v>
      </c>
    </row>
    <row r="25">
      <c r="A25" s="2" t="inlineStr">
        <is>
          <t>Specialty Plumbing - Kitchen Sink / Laundry</t>
        </is>
      </c>
      <c r="B25" s="11" t="n">
        <v>800.46</v>
      </c>
      <c r="C25" s="11" t="n">
        <v>800.46</v>
      </c>
    </row>
    <row r="26">
      <c r="A26" s="2" t="inlineStr">
        <is>
          <t>Security / Exterior Lighting</t>
        </is>
      </c>
      <c r="B26" s="11" t="n">
        <v>232.42</v>
      </c>
      <c r="C26" s="11" t="n">
        <v>232.42</v>
      </c>
    </row>
    <row r="27">
      <c r="A27" s="2" t="inlineStr">
        <is>
          <t>Appliances</t>
        </is>
      </c>
      <c r="B27" s="11" t="n">
        <v>801.8799999999999</v>
      </c>
      <c r="C27" s="11" t="n">
        <v>801.8799999999999</v>
      </c>
    </row>
    <row r="29">
      <c r="A29" s="10" t="inlineStr">
        <is>
          <t>Site Work / Improvements</t>
        </is>
      </c>
    </row>
    <row r="30">
      <c r="A30" s="2" t="inlineStr">
        <is>
          <t>Driveway</t>
        </is>
      </c>
      <c r="B30" s="11" t="n">
        <v>463.54</v>
      </c>
      <c r="E30" s="11" t="n">
        <v>463.54</v>
      </c>
    </row>
    <row r="31">
      <c r="A31" s="2" t="inlineStr">
        <is>
          <t>Sidewalks / Curbs</t>
        </is>
      </c>
      <c r="B31" s="11" t="n">
        <v>189.36</v>
      </c>
      <c r="E31" s="11" t="n">
        <v>189.36</v>
      </c>
    </row>
    <row r="32">
      <c r="A32" s="2" t="inlineStr">
        <is>
          <t>Exterior Equipment Concrete Pads</t>
        </is>
      </c>
      <c r="B32" s="11" t="n">
        <v>49.43</v>
      </c>
      <c r="E32" s="11" t="n">
        <v>49.43</v>
      </c>
    </row>
    <row r="33">
      <c r="A33" s="2" t="inlineStr">
        <is>
          <t>Mailboxes</t>
        </is>
      </c>
      <c r="B33" s="11" t="n">
        <v>30.65</v>
      </c>
      <c r="E33" s="11" t="n">
        <v>30.65</v>
      </c>
    </row>
    <row r="35">
      <c r="A35" s="10" t="inlineStr">
        <is>
          <t>Building Structure</t>
        </is>
      </c>
    </row>
    <row r="36">
      <c r="A36" s="2" t="inlineStr">
        <is>
          <t>Roofing Systems</t>
        </is>
      </c>
      <c r="B36" s="11" t="n">
        <v>2790.25</v>
      </c>
      <c r="F36" s="11" t="n">
        <v>2790.25</v>
      </c>
    </row>
    <row r="37">
      <c r="A37" s="2" t="inlineStr">
        <is>
          <t>Foundations</t>
        </is>
      </c>
      <c r="B37" s="11" t="n">
        <v>4444.190000000001</v>
      </c>
      <c r="F37" s="11" t="n">
        <v>4444.190000000001</v>
      </c>
    </row>
    <row r="38">
      <c r="A38" s="2" t="inlineStr">
        <is>
          <t>HVAC</t>
        </is>
      </c>
      <c r="B38" s="11" t="n">
        <v>2944.42</v>
      </c>
      <c r="F38" s="11" t="n">
        <v>2944.42</v>
      </c>
    </row>
    <row r="39">
      <c r="A39" s="2" t="inlineStr">
        <is>
          <t>Electrical</t>
        </is>
      </c>
      <c r="B39" s="11" t="n">
        <v>2757.96</v>
      </c>
      <c r="F39" s="11" t="n">
        <v>2757.96</v>
      </c>
    </row>
    <row r="40">
      <c r="A40" s="2" t="inlineStr">
        <is>
          <t>Plumbing</t>
        </is>
      </c>
      <c r="B40" s="11" t="n">
        <v>2596.79</v>
      </c>
      <c r="F40" s="11" t="n">
        <v>2596.79</v>
      </c>
    </row>
    <row r="41">
      <c r="A41" s="2" t="inlineStr">
        <is>
          <t>Fire Protection &amp; Alarm</t>
        </is>
      </c>
      <c r="B41" s="11" t="n">
        <v>170.86</v>
      </c>
      <c r="F41" s="11" t="n">
        <v>170.86</v>
      </c>
    </row>
    <row r="42">
      <c r="A42" s="2" t="inlineStr">
        <is>
          <t>Exterior Façade / Building Skin</t>
        </is>
      </c>
      <c r="B42" s="11" t="n">
        <v>1575.35</v>
      </c>
      <c r="F42" s="11" t="n">
        <v>1575.35</v>
      </c>
    </row>
    <row r="43">
      <c r="A43" s="2" t="inlineStr">
        <is>
          <t>Doors &amp; Frames</t>
        </is>
      </c>
      <c r="B43" s="11" t="n">
        <v>2049.79</v>
      </c>
      <c r="F43" s="11" t="n">
        <v>2049.79</v>
      </c>
    </row>
    <row r="44">
      <c r="A44" s="2" t="inlineStr">
        <is>
          <t>Windows</t>
        </is>
      </c>
      <c r="B44" s="11" t="n">
        <v>1685.6</v>
      </c>
      <c r="F44" s="11" t="n">
        <v>1685.6</v>
      </c>
    </row>
    <row r="45">
      <c r="A45" s="2" t="inlineStr">
        <is>
          <t>Ceiling Systems</t>
        </is>
      </c>
      <c r="B45" s="11" t="n">
        <v>1546.81</v>
      </c>
      <c r="F45" s="11" t="n">
        <v>1546.81</v>
      </c>
    </row>
    <row r="46">
      <c r="A46" s="2" t="inlineStr">
        <is>
          <t>Interior Framing / Partitions</t>
        </is>
      </c>
      <c r="B46" s="11" t="n">
        <v>4298.39</v>
      </c>
      <c r="F46" s="11" t="n">
        <v>4298.39</v>
      </c>
    </row>
    <row r="47">
      <c r="A47" s="2" t="inlineStr">
        <is>
          <t>Painting</t>
        </is>
      </c>
      <c r="B47" s="11" t="n">
        <v>1463.49</v>
      </c>
      <c r="F47" s="11" t="n">
        <v>1463.49</v>
      </c>
    </row>
    <row r="48">
      <c r="A48" s="2" t="inlineStr">
        <is>
          <t>Structural Framing</t>
        </is>
      </c>
      <c r="B48" s="11" t="n">
        <v>5008.87</v>
      </c>
      <c r="F48" s="11" t="n">
        <v>5008.87</v>
      </c>
    </row>
    <row r="49">
      <c r="A49" s="2" t="inlineStr">
        <is>
          <t>Site Utilities</t>
        </is>
      </c>
      <c r="B49" s="11" t="n">
        <v>673.26</v>
      </c>
      <c r="F49" s="11" t="n">
        <v>673.26</v>
      </c>
    </row>
    <row r="50">
      <c r="A50" s="2" t="inlineStr">
        <is>
          <t>Bathroom Accessories</t>
        </is>
      </c>
      <c r="B50" s="11" t="n">
        <v>648.78</v>
      </c>
      <c r="F50" s="11" t="n">
        <v>648.78</v>
      </c>
    </row>
    <row r="51">
      <c r="A51" s="2" t="inlineStr">
        <is>
          <t>Cabinets / Millwork - Restrooms</t>
        </is>
      </c>
      <c r="B51" s="11" t="n">
        <v>430.4</v>
      </c>
      <c r="F51" s="11" t="n">
        <v>430.4</v>
      </c>
    </row>
    <row r="53">
      <c r="A53" s="3" t="inlineStr">
        <is>
          <t>Total Building Cost</t>
        </is>
      </c>
      <c r="B53" s="12" t="n">
        <v>43860.96000000001</v>
      </c>
      <c r="C53" s="12" t="n">
        <v>8042.77</v>
      </c>
      <c r="E53" s="12" t="n">
        <v>732.9799999999999</v>
      </c>
      <c r="F53" s="12" t="n">
        <v>35085.21000000001</v>
      </c>
    </row>
    <row r="54">
      <c r="A54" s="2" t="inlineStr">
        <is>
          <t>% of Building Cost</t>
        </is>
      </c>
      <c r="C54" s="13" t="n">
        <v>0.183</v>
      </c>
      <c r="E54" s="13" t="n">
        <v>0.017</v>
      </c>
      <c r="F54" s="13" t="n">
        <v>0.8</v>
      </c>
    </row>
    <row r="56">
      <c r="A56" s="1" t="inlineStr">
        <is>
          <t>Asset Allocation:</t>
        </is>
      </c>
    </row>
    <row r="57">
      <c r="A57" s="2" t="inlineStr">
        <is>
          <t>Asset # 18-Building - Ames</t>
        </is>
      </c>
      <c r="B57" s="11" t="n">
        <v>34211.5447826087</v>
      </c>
      <c r="C57" s="11" t="n">
        <v>6273.36</v>
      </c>
      <c r="E57" s="11" t="n">
        <v>571.72</v>
      </c>
      <c r="F57" s="11" t="n">
        <v>27366.46478260869</v>
      </c>
    </row>
    <row r="58">
      <c r="A58" s="2" t="inlineStr">
        <is>
          <t>Asset # 17-Land Improvements - Ames</t>
        </is>
      </c>
      <c r="B58" s="11" t="n">
        <v>2631.665217391304</v>
      </c>
      <c r="C58" s="11" t="n">
        <v>482.57</v>
      </c>
      <c r="E58" s="11" t="n">
        <v>43.98</v>
      </c>
      <c r="F58" s="11" t="n">
        <v>2105.115217391304</v>
      </c>
    </row>
    <row r="59">
      <c r="A59" s="2" t="inlineStr">
        <is>
          <t>Asset # 19-Equipment - Ames</t>
        </is>
      </c>
      <c r="B59" s="11" t="n">
        <v>7017.746521739131</v>
      </c>
      <c r="C59" s="11" t="n">
        <v>1286.84</v>
      </c>
      <c r="E59" s="11" t="n">
        <v>117.28</v>
      </c>
      <c r="F59" s="11" t="n">
        <v>5613.626521739131</v>
      </c>
    </row>
    <row r="60">
      <c r="A60" s="3" t="inlineStr">
        <is>
          <t>Total Allocation:</t>
        </is>
      </c>
      <c r="B60" s="12" t="n">
        <v>43860.95652173913</v>
      </c>
      <c r="C60" s="12" t="n">
        <v>8042.77</v>
      </c>
      <c r="E60" s="12" t="n">
        <v>732.98</v>
      </c>
      <c r="F60" s="12" t="n">
        <v>35085.20652173913</v>
      </c>
    </row>
    <row r="62">
      <c r="A62" s="1" t="inlineStr">
        <is>
          <t>End Depreciation Reconciliation</t>
        </is>
      </c>
    </row>
    <row r="63">
      <c r="A63" s="2" t="inlineStr">
        <is>
          <t>Before Cost Segregation (As Previously Filed)</t>
        </is>
      </c>
      <c r="B63" s="4" t="n">
        <v>790255.88</v>
      </c>
    </row>
    <row r="64">
      <c r="A64" s="2" t="inlineStr">
        <is>
          <t>After Cost Segregation (Corrected)</t>
        </is>
      </c>
      <c r="B64" s="6" t="n">
        <v>816946.05</v>
      </c>
    </row>
    <row r="65">
      <c r="A65" s="7" t="inlineStr">
        <is>
          <t>Section 481(a) Adjustment</t>
        </is>
      </c>
      <c r="B65" s="14" t="n">
        <v>-26690.17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Marrero 3 LP</t>
        </is>
      </c>
    </row>
    <row r="2">
      <c r="A2" s="2" t="inlineStr">
        <is>
          <t>Cost Segregation Study - 540 Freedom Ct.</t>
        </is>
      </c>
    </row>
    <row r="3">
      <c r="A3" s="2" t="inlineStr">
        <is>
          <t>Report #107752-18</t>
        </is>
      </c>
    </row>
    <row r="5">
      <c r="A5" s="2" t="inlineStr">
        <is>
          <t>Acquisition Date:</t>
        </is>
      </c>
      <c r="B5" s="2" t="inlineStr">
        <is>
          <t>12/17/15</t>
        </is>
      </c>
    </row>
    <row r="8">
      <c r="A8" s="1" t="inlineStr">
        <is>
          <t>Marrero 3 LP - 540 Freedom Ct.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1413.34</v>
      </c>
      <c r="C16" s="11" t="n">
        <v>1413.34</v>
      </c>
    </row>
    <row r="17">
      <c r="A17" s="2" t="inlineStr">
        <is>
          <t>Moldings</t>
        </is>
      </c>
      <c r="B17" s="11" t="n">
        <v>704.98</v>
      </c>
      <c r="C17" s="11" t="n">
        <v>704.98</v>
      </c>
    </row>
    <row r="18">
      <c r="A18" s="2" t="inlineStr">
        <is>
          <t>Flooring - Vinyl Tile</t>
        </is>
      </c>
      <c r="B18" s="11" t="n">
        <v>115.67</v>
      </c>
      <c r="C18" s="11" t="n">
        <v>115.67</v>
      </c>
    </row>
    <row r="19">
      <c r="A19" s="2" t="inlineStr">
        <is>
          <t>Flooring - Carpet</t>
        </is>
      </c>
      <c r="B19" s="11" t="n">
        <v>2552.89</v>
      </c>
      <c r="C19" s="11" t="n">
        <v>2552.89</v>
      </c>
    </row>
    <row r="20">
      <c r="A20" s="2" t="inlineStr">
        <is>
          <t>Flooring - Wood Laminate</t>
        </is>
      </c>
      <c r="B20" s="11" t="n">
        <v>74.24000000000001</v>
      </c>
      <c r="C20" s="11" t="n">
        <v>74.24000000000001</v>
      </c>
    </row>
    <row r="21">
      <c r="A21" s="2" t="inlineStr">
        <is>
          <t>Security System</t>
        </is>
      </c>
      <c r="B21" s="11" t="n">
        <v>503.17</v>
      </c>
      <c r="C21" s="11" t="n">
        <v>503.17</v>
      </c>
    </row>
    <row r="22">
      <c r="A22" s="2" t="inlineStr">
        <is>
          <t>Window Treatments</t>
        </is>
      </c>
      <c r="B22" s="11" t="n">
        <v>417.2</v>
      </c>
      <c r="C22" s="11" t="n">
        <v>417.2</v>
      </c>
    </row>
    <row r="23">
      <c r="A23" s="2" t="inlineStr">
        <is>
          <t>Specialty HVAC - Dryer Vents</t>
        </is>
      </c>
      <c r="B23" s="11" t="n">
        <v>42.81</v>
      </c>
      <c r="C23" s="11" t="n">
        <v>42.81</v>
      </c>
    </row>
    <row r="24">
      <c r="A24" s="2" t="inlineStr">
        <is>
          <t>Building Signage</t>
        </is>
      </c>
      <c r="B24" s="11" t="n">
        <v>21.12</v>
      </c>
      <c r="C24" s="11" t="n">
        <v>21.12</v>
      </c>
    </row>
    <row r="25">
      <c r="A25" s="2" t="inlineStr">
        <is>
          <t>Specialty Electrical - Appliances</t>
        </is>
      </c>
      <c r="B25" s="11" t="n">
        <v>731.0700000000001</v>
      </c>
      <c r="C25" s="11" t="n">
        <v>731.0700000000001</v>
      </c>
    </row>
    <row r="26">
      <c r="A26" s="2" t="inlineStr">
        <is>
          <t>Communication / Data</t>
        </is>
      </c>
      <c r="B26" s="11" t="n">
        <v>338.82</v>
      </c>
      <c r="C26" s="11" t="n">
        <v>338.82</v>
      </c>
    </row>
    <row r="27">
      <c r="A27" s="2" t="inlineStr">
        <is>
          <t>Specialty Plumbing - Kitchen Sink / Laundry</t>
        </is>
      </c>
      <c r="B27" s="11" t="n">
        <v>800.46</v>
      </c>
      <c r="C27" s="11" t="n">
        <v>800.46</v>
      </c>
    </row>
    <row r="28">
      <c r="A28" s="2" t="inlineStr">
        <is>
          <t>Security / Exterior Lighting</t>
        </is>
      </c>
      <c r="B28" s="11" t="n">
        <v>232.42</v>
      </c>
      <c r="C28" s="11" t="n">
        <v>232.42</v>
      </c>
    </row>
    <row r="29">
      <c r="A29" s="2" t="inlineStr">
        <is>
          <t>Appliances</t>
        </is>
      </c>
      <c r="B29" s="11" t="n">
        <v>801.8799999999999</v>
      </c>
      <c r="C29" s="11" t="n">
        <v>801.8799999999999</v>
      </c>
    </row>
    <row r="31">
      <c r="A31" s="10" t="inlineStr">
        <is>
          <t>Site Work / Improvements</t>
        </is>
      </c>
    </row>
    <row r="32">
      <c r="A32" s="2" t="inlineStr">
        <is>
          <t>Driveway</t>
        </is>
      </c>
      <c r="B32" s="11" t="n">
        <v>1053.33</v>
      </c>
      <c r="E32" s="11" t="n">
        <v>1053.33</v>
      </c>
    </row>
    <row r="33">
      <c r="A33" s="2" t="inlineStr">
        <is>
          <t>Sidewalks / Curbs</t>
        </is>
      </c>
      <c r="B33" s="11" t="n">
        <v>217.91</v>
      </c>
      <c r="E33" s="11" t="n">
        <v>217.91</v>
      </c>
    </row>
    <row r="34">
      <c r="A34" s="2" t="inlineStr">
        <is>
          <t>Exterior Equipment Concrete Pads</t>
        </is>
      </c>
      <c r="B34" s="11" t="n">
        <v>49.43</v>
      </c>
      <c r="E34" s="11" t="n">
        <v>49.43</v>
      </c>
    </row>
    <row r="35">
      <c r="A35" s="2" t="inlineStr">
        <is>
          <t>Mailboxes</t>
        </is>
      </c>
      <c r="B35" s="11" t="n">
        <v>30.65</v>
      </c>
      <c r="E35" s="11" t="n">
        <v>30.65</v>
      </c>
    </row>
    <row r="37">
      <c r="A37" s="10" t="inlineStr">
        <is>
          <t>Building Structure</t>
        </is>
      </c>
    </row>
    <row r="38">
      <c r="A38" s="2" t="inlineStr">
        <is>
          <t>Roofing Systems</t>
        </is>
      </c>
      <c r="B38" s="11" t="n">
        <v>3154.94</v>
      </c>
      <c r="F38" s="11" t="n">
        <v>3154.94</v>
      </c>
    </row>
    <row r="39">
      <c r="A39" s="2" t="inlineStr">
        <is>
          <t>Foundations</t>
        </is>
      </c>
      <c r="B39" s="11" t="n">
        <v>5238.390000000001</v>
      </c>
      <c r="F39" s="11" t="n">
        <v>5238.390000000001</v>
      </c>
    </row>
    <row r="40">
      <c r="A40" s="2" t="inlineStr">
        <is>
          <t>HVAC</t>
        </is>
      </c>
      <c r="B40" s="11" t="n">
        <v>3486.170000000001</v>
      </c>
      <c r="F40" s="11" t="n">
        <v>3486.170000000001</v>
      </c>
    </row>
    <row r="41">
      <c r="A41" s="2" t="inlineStr">
        <is>
          <t>Electrical</t>
        </is>
      </c>
      <c r="B41" s="11" t="n">
        <v>3390.72</v>
      </c>
      <c r="F41" s="11" t="n">
        <v>3390.72</v>
      </c>
    </row>
    <row r="42">
      <c r="A42" s="2" t="inlineStr">
        <is>
          <t>Plumbing</t>
        </is>
      </c>
      <c r="B42" s="11" t="n">
        <v>3067.72</v>
      </c>
      <c r="F42" s="11" t="n">
        <v>3067.72</v>
      </c>
    </row>
    <row r="43">
      <c r="A43" s="2" t="inlineStr">
        <is>
          <t>Fire Protection &amp; Alarm</t>
        </is>
      </c>
      <c r="B43" s="11" t="n">
        <v>213.56</v>
      </c>
      <c r="F43" s="11" t="n">
        <v>213.56</v>
      </c>
    </row>
    <row r="44">
      <c r="A44" s="2" t="inlineStr">
        <is>
          <t>Exterior Façade / Building Skin</t>
        </is>
      </c>
      <c r="B44" s="11" t="n">
        <v>1769.68</v>
      </c>
      <c r="F44" s="11" t="n">
        <v>1769.68</v>
      </c>
    </row>
    <row r="45">
      <c r="A45" s="2" t="inlineStr">
        <is>
          <t>Doors &amp; Frames</t>
        </is>
      </c>
      <c r="B45" s="11" t="n">
        <v>2247.15</v>
      </c>
      <c r="F45" s="11" t="n">
        <v>2247.15</v>
      </c>
    </row>
    <row r="46">
      <c r="A46" s="2" t="inlineStr">
        <is>
          <t>Windows</t>
        </is>
      </c>
      <c r="B46" s="11" t="n">
        <v>1838.84</v>
      </c>
      <c r="F46" s="11" t="n">
        <v>1838.84</v>
      </c>
    </row>
    <row r="47">
      <c r="A47" s="2" t="inlineStr">
        <is>
          <t>Ceiling Systems</t>
        </is>
      </c>
      <c r="B47" s="11" t="n">
        <v>1800.68</v>
      </c>
      <c r="F47" s="11" t="n">
        <v>1800.68</v>
      </c>
    </row>
    <row r="48">
      <c r="A48" s="2" t="inlineStr">
        <is>
          <t>Interior Framing / Partitions</t>
        </is>
      </c>
      <c r="B48" s="11" t="n">
        <v>5040.91</v>
      </c>
      <c r="F48" s="11" t="n">
        <v>5040.91</v>
      </c>
    </row>
    <row r="49">
      <c r="A49" s="2" t="inlineStr">
        <is>
          <t>Painting</t>
        </is>
      </c>
      <c r="B49" s="11" t="n">
        <v>1719.87</v>
      </c>
      <c r="F49" s="11" t="n">
        <v>1719.87</v>
      </c>
    </row>
    <row r="50">
      <c r="A50" s="2" t="inlineStr">
        <is>
          <t>Structural Framing</t>
        </is>
      </c>
      <c r="B50" s="11" t="n">
        <v>5655.94</v>
      </c>
      <c r="F50" s="11" t="n">
        <v>5655.94</v>
      </c>
    </row>
    <row r="51">
      <c r="A51" s="2" t="inlineStr">
        <is>
          <t>Site Utilities</t>
        </is>
      </c>
      <c r="B51" s="11" t="n">
        <v>795.8300000000002</v>
      </c>
      <c r="F51" s="11" t="n">
        <v>795.8300000000002</v>
      </c>
    </row>
    <row r="52">
      <c r="A52" s="2" t="inlineStr">
        <is>
          <t>Bathroom Accessories</t>
        </is>
      </c>
      <c r="B52" s="11" t="n">
        <v>664.51</v>
      </c>
      <c r="F52" s="11" t="n">
        <v>664.51</v>
      </c>
    </row>
    <row r="53">
      <c r="A53" s="2" t="inlineStr">
        <is>
          <t>Cabinets / Millwork - Restrooms</t>
        </is>
      </c>
      <c r="B53" s="11" t="n">
        <v>550.2</v>
      </c>
      <c r="F53" s="11" t="n">
        <v>550.2</v>
      </c>
    </row>
    <row r="55">
      <c r="A55" s="3" t="inlineStr">
        <is>
          <t>Total Building Cost</t>
        </is>
      </c>
      <c r="B55" s="12" t="n">
        <v>50736.50000000001</v>
      </c>
      <c r="C55" s="12" t="n">
        <v>8750.07</v>
      </c>
      <c r="E55" s="12" t="n">
        <v>1351.32</v>
      </c>
      <c r="F55" s="12" t="n">
        <v>40635.11000000001</v>
      </c>
    </row>
    <row r="56">
      <c r="A56" s="2" t="inlineStr">
        <is>
          <t>% of Building Cost</t>
        </is>
      </c>
      <c r="C56" s="13" t="n">
        <v>0.172</v>
      </c>
      <c r="E56" s="13" t="n">
        <v>0.027</v>
      </c>
      <c r="F56" s="13" t="n">
        <v>0.801</v>
      </c>
    </row>
    <row r="58">
      <c r="A58" s="1" t="inlineStr">
        <is>
          <t>Asset Allocation:</t>
        </is>
      </c>
    </row>
    <row r="59">
      <c r="A59" s="2" t="inlineStr">
        <is>
          <t>Asset # 18-Building - Ames</t>
        </is>
      </c>
      <c r="B59" s="11" t="n">
        <v>39574.47</v>
      </c>
      <c r="C59" s="11" t="n">
        <v>6825.05</v>
      </c>
      <c r="E59" s="11" t="n">
        <v>1054.03</v>
      </c>
      <c r="F59" s="11" t="n">
        <v>31695.39</v>
      </c>
    </row>
    <row r="60">
      <c r="A60" s="2" t="inlineStr">
        <is>
          <t>Asset # 17-Land Improvements - Ames</t>
        </is>
      </c>
      <c r="B60" s="11" t="n">
        <v>3044.2</v>
      </c>
      <c r="C60" s="11" t="n">
        <v>525.01</v>
      </c>
      <c r="E60" s="11" t="n">
        <v>81.08</v>
      </c>
      <c r="F60" s="11" t="n">
        <v>2438.11</v>
      </c>
    </row>
    <row r="61">
      <c r="A61" s="2" t="inlineStr">
        <is>
          <t>Asset # 19-Equipment - Ames</t>
        </is>
      </c>
      <c r="B61" s="11" t="n">
        <v>8117.83</v>
      </c>
      <c r="C61" s="11" t="n">
        <v>1400.01</v>
      </c>
      <c r="E61" s="11" t="n">
        <v>216.21</v>
      </c>
      <c r="F61" s="11" t="n">
        <v>6501.61</v>
      </c>
    </row>
    <row r="62">
      <c r="A62" s="3" t="inlineStr">
        <is>
          <t>Total Allocation:</t>
        </is>
      </c>
      <c r="B62" s="12" t="n">
        <v>50736.5</v>
      </c>
      <c r="C62" s="12" t="n">
        <v>8750.07</v>
      </c>
      <c r="E62" s="12" t="n">
        <v>1351.32</v>
      </c>
      <c r="F62" s="12" t="n">
        <v>40635.11</v>
      </c>
    </row>
    <row r="64">
      <c r="A64" s="1" t="inlineStr">
        <is>
          <t>End Depreciation Reconciliation</t>
        </is>
      </c>
    </row>
    <row r="65">
      <c r="A65" s="2" t="inlineStr">
        <is>
          <t>Before Cost Segregation (As Previously Filed)</t>
        </is>
      </c>
      <c r="B65" s="4" t="n">
        <v>39745.12</v>
      </c>
    </row>
    <row r="66">
      <c r="A66" s="2" t="inlineStr">
        <is>
          <t>After Cost Segregation (Corrected)</t>
        </is>
      </c>
      <c r="B66" s="6" t="n">
        <v>40940.39</v>
      </c>
    </row>
    <row r="67">
      <c r="A67" s="7" t="inlineStr">
        <is>
          <t>Section 481(a) Adjustment</t>
        </is>
      </c>
      <c r="B67" s="14" t="n">
        <v>-1195.27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Marrero 3 LP</t>
        </is>
      </c>
    </row>
    <row r="2">
      <c r="A2" s="2" t="inlineStr">
        <is>
          <t>Cost Segregation Study - 1208 Smith Square</t>
        </is>
      </c>
    </row>
    <row r="3">
      <c r="A3" s="2" t="inlineStr">
        <is>
          <t>Report #107752-18</t>
        </is>
      </c>
    </row>
    <row r="5">
      <c r="A5" s="2" t="inlineStr">
        <is>
          <t>Acquisition Date:</t>
        </is>
      </c>
      <c r="B5" s="2" t="inlineStr">
        <is>
          <t>12/17/15</t>
        </is>
      </c>
    </row>
    <row r="8">
      <c r="A8" s="1" t="inlineStr">
        <is>
          <t>Marrero 3 LP - 1208 Smith Square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857.75</v>
      </c>
      <c r="C16" s="11" t="n">
        <v>857.75</v>
      </c>
    </row>
    <row r="17">
      <c r="A17" s="2" t="inlineStr">
        <is>
          <t>Moldings</t>
        </is>
      </c>
      <c r="B17" s="11" t="n">
        <v>846.0699999999999</v>
      </c>
      <c r="C17" s="11" t="n">
        <v>846.0699999999999</v>
      </c>
    </row>
    <row r="18">
      <c r="A18" s="2" t="inlineStr">
        <is>
          <t>Flooring - Wood Laminate</t>
        </is>
      </c>
      <c r="B18" s="11" t="n">
        <v>2095.24</v>
      </c>
      <c r="C18" s="11" t="n">
        <v>2095.24</v>
      </c>
    </row>
    <row r="19">
      <c r="A19" s="2" t="inlineStr">
        <is>
          <t>Security System</t>
        </is>
      </c>
      <c r="B19" s="11" t="n">
        <v>326.4200000000001</v>
      </c>
      <c r="C19" s="11" t="n">
        <v>326.4200000000001</v>
      </c>
    </row>
    <row r="20">
      <c r="A20" s="2" t="inlineStr">
        <is>
          <t>Window Treatments</t>
        </is>
      </c>
      <c r="B20" s="11" t="n">
        <v>208.64</v>
      </c>
      <c r="C20" s="11" t="n">
        <v>208.64</v>
      </c>
    </row>
    <row r="21">
      <c r="A21" s="2" t="inlineStr">
        <is>
          <t>Specialty HVAC - Dryer Vents</t>
        </is>
      </c>
      <c r="B21" s="11" t="n">
        <v>27.77</v>
      </c>
      <c r="C21" s="11" t="n">
        <v>27.77</v>
      </c>
    </row>
    <row r="22">
      <c r="A22" s="2" t="inlineStr">
        <is>
          <t>Building Signage</t>
        </is>
      </c>
      <c r="B22" s="11" t="n">
        <v>18.26</v>
      </c>
      <c r="C22" s="11" t="n">
        <v>18.26</v>
      </c>
    </row>
    <row r="23">
      <c r="A23" s="2" t="inlineStr">
        <is>
          <t>Specialty Electrical - Appliances</t>
        </is>
      </c>
      <c r="B23" s="11" t="n">
        <v>474.3</v>
      </c>
      <c r="C23" s="11" t="n">
        <v>474.3</v>
      </c>
    </row>
    <row r="24">
      <c r="A24" s="2" t="inlineStr">
        <is>
          <t>Communication / Data</t>
        </is>
      </c>
      <c r="B24" s="11" t="n">
        <v>274.37</v>
      </c>
      <c r="C24" s="11" t="n">
        <v>274.37</v>
      </c>
    </row>
    <row r="25">
      <c r="A25" s="2" t="inlineStr">
        <is>
          <t>Specialty Plumbing - Kitchen Sink / Laundry</t>
        </is>
      </c>
      <c r="B25" s="11" t="n">
        <v>519.3</v>
      </c>
      <c r="C25" s="11" t="n">
        <v>519.3</v>
      </c>
    </row>
    <row r="26">
      <c r="A26" s="2" t="inlineStr">
        <is>
          <t>Security / Exterior Lighting</t>
        </is>
      </c>
      <c r="B26" s="11" t="n">
        <v>103</v>
      </c>
      <c r="C26" s="11" t="n">
        <v>103</v>
      </c>
    </row>
    <row r="27">
      <c r="A27" s="2" t="inlineStr">
        <is>
          <t>Access Control</t>
        </is>
      </c>
      <c r="B27" s="11" t="n">
        <v>46.57000000000001</v>
      </c>
      <c r="C27" s="11" t="n">
        <v>46.57000000000001</v>
      </c>
    </row>
    <row r="28">
      <c r="A28" s="2" t="inlineStr">
        <is>
          <t>Appliances</t>
        </is>
      </c>
      <c r="B28" s="11" t="n">
        <v>520.23</v>
      </c>
      <c r="C28" s="11" t="n">
        <v>520.23</v>
      </c>
    </row>
    <row r="30">
      <c r="A30" s="10" t="inlineStr">
        <is>
          <t>Site Work / Improvements</t>
        </is>
      </c>
    </row>
    <row r="31">
      <c r="A31" s="2" t="inlineStr">
        <is>
          <t>Driveway</t>
        </is>
      </c>
      <c r="B31" s="11" t="n">
        <v>938.3099999999999</v>
      </c>
      <c r="E31" s="11" t="n">
        <v>938.3099999999999</v>
      </c>
    </row>
    <row r="32">
      <c r="A32" s="2" t="inlineStr">
        <is>
          <t>Sidewalks / Curbs</t>
        </is>
      </c>
      <c r="B32" s="11" t="n">
        <v>130.23</v>
      </c>
      <c r="E32" s="11" t="n">
        <v>130.23</v>
      </c>
    </row>
    <row r="33">
      <c r="A33" s="2" t="inlineStr">
        <is>
          <t>Exterior Equipment Concrete Pads</t>
        </is>
      </c>
      <c r="B33" s="11" t="n">
        <v>32.07</v>
      </c>
      <c r="E33" s="11" t="n">
        <v>32.07</v>
      </c>
    </row>
    <row r="34">
      <c r="A34" s="2" t="inlineStr">
        <is>
          <t>Mailboxes</t>
        </is>
      </c>
      <c r="B34" s="11" t="n">
        <v>19.9</v>
      </c>
      <c r="E34" s="11" t="n">
        <v>19.9</v>
      </c>
    </row>
    <row r="36">
      <c r="A36" s="10" t="inlineStr">
        <is>
          <t>Building Structure</t>
        </is>
      </c>
    </row>
    <row r="37">
      <c r="A37" s="2" t="inlineStr">
        <is>
          <t>Roofing Systems</t>
        </is>
      </c>
      <c r="B37" s="11" t="n">
        <v>2029.7</v>
      </c>
      <c r="F37" s="11" t="n">
        <v>2029.7</v>
      </c>
    </row>
    <row r="38">
      <c r="A38" s="2" t="inlineStr">
        <is>
          <t>Foundations</t>
        </is>
      </c>
      <c r="B38" s="11" t="n">
        <v>4782.960000000001</v>
      </c>
      <c r="F38" s="11" t="n">
        <v>4782.960000000001</v>
      </c>
    </row>
    <row r="39">
      <c r="A39" s="2" t="inlineStr">
        <is>
          <t>HVAC</t>
        </is>
      </c>
      <c r="B39" s="11" t="n">
        <v>2829.99</v>
      </c>
      <c r="F39" s="11" t="n">
        <v>2829.99</v>
      </c>
    </row>
    <row r="40">
      <c r="A40" s="2" t="inlineStr">
        <is>
          <t>Electrical</t>
        </is>
      </c>
      <c r="B40" s="11" t="n">
        <v>2863.54</v>
      </c>
      <c r="F40" s="11" t="n">
        <v>2863.54</v>
      </c>
    </row>
    <row r="41">
      <c r="A41" s="2" t="inlineStr">
        <is>
          <t>Plumbing</t>
        </is>
      </c>
      <c r="B41" s="11" t="n">
        <v>2484.23</v>
      </c>
      <c r="F41" s="11" t="n">
        <v>2484.23</v>
      </c>
    </row>
    <row r="42">
      <c r="A42" s="2" t="inlineStr">
        <is>
          <t>Fire Protection &amp; Alarm</t>
        </is>
      </c>
      <c r="B42" s="11" t="n">
        <v>138.55</v>
      </c>
      <c r="F42" s="11" t="n">
        <v>138.55</v>
      </c>
    </row>
    <row r="43">
      <c r="A43" s="2" t="inlineStr">
        <is>
          <t>Exterior Façade / Building Skin</t>
        </is>
      </c>
      <c r="B43" s="11" t="n">
        <v>994.3700000000001</v>
      </c>
      <c r="F43" s="11" t="n">
        <v>994.3700000000001</v>
      </c>
    </row>
    <row r="44">
      <c r="A44" s="2" t="inlineStr">
        <is>
          <t>Doors &amp; Frames</t>
        </is>
      </c>
      <c r="B44" s="11" t="n">
        <v>1066.87</v>
      </c>
      <c r="F44" s="11" t="n">
        <v>1066.87</v>
      </c>
    </row>
    <row r="45">
      <c r="A45" s="2" t="inlineStr">
        <is>
          <t>Windows</t>
        </is>
      </c>
      <c r="B45" s="11" t="n">
        <v>919.5799999999999</v>
      </c>
      <c r="F45" s="11" t="n">
        <v>919.5799999999999</v>
      </c>
    </row>
    <row r="46">
      <c r="A46" s="2" t="inlineStr">
        <is>
          <t>Ceiling Systems</t>
        </is>
      </c>
      <c r="B46" s="11" t="n">
        <v>1434.53</v>
      </c>
      <c r="F46" s="11" t="n">
        <v>1434.53</v>
      </c>
    </row>
    <row r="47">
      <c r="A47" s="2" t="inlineStr">
        <is>
          <t>Interior Framing / Partitions</t>
        </is>
      </c>
      <c r="B47" s="11" t="n">
        <v>3724.72</v>
      </c>
      <c r="F47" s="11" t="n">
        <v>3724.72</v>
      </c>
    </row>
    <row r="48">
      <c r="A48" s="2" t="inlineStr">
        <is>
          <t>Painting</t>
        </is>
      </c>
      <c r="B48" s="11" t="n">
        <v>1303.94</v>
      </c>
      <c r="F48" s="11" t="n">
        <v>1303.94</v>
      </c>
    </row>
    <row r="49">
      <c r="A49" s="2" t="inlineStr">
        <is>
          <t>Structural Framing</t>
        </is>
      </c>
      <c r="B49" s="11" t="n">
        <v>3740.14</v>
      </c>
      <c r="F49" s="11" t="n">
        <v>3740.14</v>
      </c>
    </row>
    <row r="50">
      <c r="A50" s="2" t="inlineStr">
        <is>
          <t>Site Utilities</t>
        </is>
      </c>
      <c r="B50" s="11" t="n">
        <v>647.78</v>
      </c>
      <c r="F50" s="11" t="n">
        <v>647.78</v>
      </c>
    </row>
    <row r="51">
      <c r="A51" s="2" t="inlineStr">
        <is>
          <t>Bathroom Accessories</t>
        </is>
      </c>
      <c r="B51" s="11" t="n">
        <v>431.1199999999999</v>
      </c>
      <c r="F51" s="11" t="n">
        <v>431.1199999999999</v>
      </c>
    </row>
    <row r="52">
      <c r="A52" s="2" t="inlineStr">
        <is>
          <t>Cabinets / Millwork - Restrooms</t>
        </is>
      </c>
      <c r="B52" s="11" t="n">
        <v>256.73</v>
      </c>
      <c r="F52" s="11" t="n">
        <v>256.73</v>
      </c>
    </row>
    <row r="54">
      <c r="A54" s="3" t="inlineStr">
        <is>
          <t>Total Building Cost</t>
        </is>
      </c>
      <c r="B54" s="12" t="n">
        <v>37087.18</v>
      </c>
      <c r="C54" s="12" t="n">
        <v>6317.92</v>
      </c>
      <c r="E54" s="12" t="n">
        <v>1120.51</v>
      </c>
      <c r="F54" s="12" t="n">
        <v>29648.75</v>
      </c>
    </row>
    <row r="55">
      <c r="A55" s="2" t="inlineStr">
        <is>
          <t>% of Building Cost</t>
        </is>
      </c>
      <c r="C55" s="13" t="n">
        <v>0.17</v>
      </c>
      <c r="E55" s="13" t="n">
        <v>0.03</v>
      </c>
      <c r="F55" s="13" t="n">
        <v>0.8</v>
      </c>
    </row>
    <row r="57">
      <c r="A57" s="1" t="inlineStr">
        <is>
          <t>Asset Allocation:</t>
        </is>
      </c>
    </row>
    <row r="58">
      <c r="A58" s="2" t="inlineStr">
        <is>
          <t>Asset # 13-Building - Smith Square</t>
        </is>
      </c>
      <c r="B58" s="11" t="n">
        <v>28927.98</v>
      </c>
      <c r="C58" s="11" t="n">
        <v>4927.97</v>
      </c>
      <c r="E58" s="11" t="n">
        <v>874</v>
      </c>
      <c r="F58" s="11" t="n">
        <v>23126.01</v>
      </c>
    </row>
    <row r="59">
      <c r="A59" s="2" t="inlineStr">
        <is>
          <t>Asset # 14-Equipment - Smith Square</t>
        </is>
      </c>
      <c r="B59" s="11" t="n">
        <v>5933.96</v>
      </c>
      <c r="C59" s="11" t="n">
        <v>1010.87</v>
      </c>
      <c r="E59" s="11" t="n">
        <v>179.28</v>
      </c>
      <c r="F59" s="11" t="n">
        <v>4743.81</v>
      </c>
    </row>
    <row r="60">
      <c r="A60" s="2" t="inlineStr">
        <is>
          <t>Asset # 12-Land Improvements - Smith Square</t>
        </is>
      </c>
      <c r="B60" s="11" t="n">
        <v>2225.24</v>
      </c>
      <c r="C60" s="11" t="n">
        <v>379.08</v>
      </c>
      <c r="E60" s="11" t="n">
        <v>67.23</v>
      </c>
      <c r="F60" s="11" t="n">
        <v>1778.93</v>
      </c>
    </row>
    <row r="61">
      <c r="A61" s="3" t="inlineStr">
        <is>
          <t>Total Allocation:</t>
        </is>
      </c>
      <c r="B61" s="12" t="n">
        <v>37087.18</v>
      </c>
      <c r="C61" s="12" t="n">
        <v>6317.92</v>
      </c>
      <c r="E61" s="12" t="n">
        <v>1120.51</v>
      </c>
      <c r="F61" s="12" t="n">
        <v>29648.75</v>
      </c>
    </row>
    <row r="63">
      <c r="A63" s="1" t="inlineStr">
        <is>
          <t>End Depreciation Reconciliation</t>
        </is>
      </c>
    </row>
    <row r="64">
      <c r="A64" s="2" t="inlineStr">
        <is>
          <t>Before Cost Segregation (As Previously Filed)</t>
        </is>
      </c>
      <c r="B64" s="4" t="n">
        <v>286132.85</v>
      </c>
    </row>
    <row r="65">
      <c r="A65" s="2" t="inlineStr">
        <is>
          <t>After Cost Segregation (Corrected)</t>
        </is>
      </c>
      <c r="B65" s="6" t="n">
        <v>304040.94</v>
      </c>
    </row>
    <row r="66">
      <c r="A66" s="7" t="inlineStr">
        <is>
          <t>Section 481(a) Adjustment</t>
        </is>
      </c>
      <c r="B66" s="14" t="n">
        <v>-17908.09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Marrero 3 LP</t>
        </is>
      </c>
    </row>
    <row r="2">
      <c r="A2" s="2" t="inlineStr">
        <is>
          <t>Cost Segregation Study - 1209 Smith Square</t>
        </is>
      </c>
    </row>
    <row r="3">
      <c r="A3" s="2" t="inlineStr">
        <is>
          <t>Report #107752-18</t>
        </is>
      </c>
    </row>
    <row r="5">
      <c r="A5" s="2" t="inlineStr">
        <is>
          <t>Acquisition Date:</t>
        </is>
      </c>
      <c r="B5" s="2" t="inlineStr">
        <is>
          <t>12/17/15</t>
        </is>
      </c>
    </row>
    <row r="8">
      <c r="A8" s="1" t="inlineStr">
        <is>
          <t>Marrero 3 LP - 1209 Smith Square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990.47</v>
      </c>
      <c r="C16" s="11" t="n">
        <v>990.47</v>
      </c>
    </row>
    <row r="17">
      <c r="A17" s="2" t="inlineStr">
        <is>
          <t>Moldings</t>
        </is>
      </c>
      <c r="B17" s="11" t="n">
        <v>702.0700000000001</v>
      </c>
      <c r="C17" s="11" t="n">
        <v>702.0700000000001</v>
      </c>
    </row>
    <row r="18">
      <c r="A18" s="2" t="inlineStr">
        <is>
          <t>Flooring - Wood Laminate</t>
        </is>
      </c>
      <c r="B18" s="11" t="n">
        <v>1541.32</v>
      </c>
      <c r="C18" s="11" t="n">
        <v>1541.32</v>
      </c>
    </row>
    <row r="19">
      <c r="A19" s="2" t="inlineStr">
        <is>
          <t>Security System</t>
        </is>
      </c>
      <c r="B19" s="11" t="n">
        <v>326.4200000000001</v>
      </c>
      <c r="C19" s="11" t="n">
        <v>326.4200000000001</v>
      </c>
    </row>
    <row r="20">
      <c r="A20" s="2" t="inlineStr">
        <is>
          <t>Window Treatments</t>
        </is>
      </c>
      <c r="B20" s="11" t="n">
        <v>191.73</v>
      </c>
      <c r="C20" s="11" t="n">
        <v>191.73</v>
      </c>
    </row>
    <row r="21">
      <c r="A21" s="2" t="inlineStr">
        <is>
          <t>Specialty HVAC - Dryer Vents</t>
        </is>
      </c>
      <c r="B21" s="11" t="n">
        <v>27.77</v>
      </c>
      <c r="C21" s="11" t="n">
        <v>27.77</v>
      </c>
    </row>
    <row r="22">
      <c r="A22" s="2" t="inlineStr">
        <is>
          <t>Building Signage</t>
        </is>
      </c>
      <c r="B22" s="11" t="n">
        <v>18.26</v>
      </c>
      <c r="C22" s="11" t="n">
        <v>18.26</v>
      </c>
    </row>
    <row r="23">
      <c r="A23" s="2" t="inlineStr">
        <is>
          <t>Specialty Electrical - Appliances</t>
        </is>
      </c>
      <c r="B23" s="11" t="n">
        <v>474.3</v>
      </c>
      <c r="C23" s="11" t="n">
        <v>474.3</v>
      </c>
    </row>
    <row r="24">
      <c r="A24" s="2" t="inlineStr">
        <is>
          <t>Communication / Data</t>
        </is>
      </c>
      <c r="B24" s="11" t="n">
        <v>201.84</v>
      </c>
      <c r="C24" s="11" t="n">
        <v>201.84</v>
      </c>
    </row>
    <row r="25">
      <c r="A25" s="2" t="inlineStr">
        <is>
          <t>Specialty Plumbing - Kitchen Sink / Laundry</t>
        </is>
      </c>
      <c r="B25" s="11" t="n">
        <v>519.3</v>
      </c>
      <c r="C25" s="11" t="n">
        <v>519.3</v>
      </c>
    </row>
    <row r="26">
      <c r="A26" s="2" t="inlineStr">
        <is>
          <t>Security / Exterior Lighting</t>
        </is>
      </c>
      <c r="B26" s="11" t="n">
        <v>103</v>
      </c>
      <c r="C26" s="11" t="n">
        <v>103</v>
      </c>
    </row>
    <row r="27">
      <c r="A27" s="2" t="inlineStr">
        <is>
          <t>Access Control</t>
        </is>
      </c>
      <c r="B27" s="11" t="n">
        <v>46.57000000000001</v>
      </c>
      <c r="C27" s="11" t="n">
        <v>46.57000000000001</v>
      </c>
    </row>
    <row r="28">
      <c r="A28" s="2" t="inlineStr">
        <is>
          <t>Appliances</t>
        </is>
      </c>
      <c r="B28" s="11" t="n">
        <v>520.23</v>
      </c>
      <c r="C28" s="11" t="n">
        <v>520.23</v>
      </c>
    </row>
    <row r="30">
      <c r="A30" s="10" t="inlineStr">
        <is>
          <t>Site Work / Improvements</t>
        </is>
      </c>
    </row>
    <row r="31">
      <c r="A31" s="2" t="inlineStr">
        <is>
          <t>Driveway</t>
        </is>
      </c>
      <c r="B31" s="11" t="n">
        <v>685.64</v>
      </c>
      <c r="E31" s="11" t="n">
        <v>685.64</v>
      </c>
    </row>
    <row r="32">
      <c r="A32" s="2" t="inlineStr">
        <is>
          <t>Sidewalks / Curbs</t>
        </is>
      </c>
      <c r="B32" s="11" t="n">
        <v>150.96</v>
      </c>
      <c r="E32" s="11" t="n">
        <v>150.96</v>
      </c>
    </row>
    <row r="33">
      <c r="A33" s="2" t="inlineStr">
        <is>
          <t>Exterior Equipment Concrete Pads</t>
        </is>
      </c>
      <c r="B33" s="11" t="n">
        <v>32.07</v>
      </c>
      <c r="E33" s="11" t="n">
        <v>32.07</v>
      </c>
    </row>
    <row r="34">
      <c r="A34" s="2" t="inlineStr">
        <is>
          <t>Mailboxes</t>
        </is>
      </c>
      <c r="B34" s="11" t="n">
        <v>19.9</v>
      </c>
      <c r="E34" s="11" t="n">
        <v>19.9</v>
      </c>
    </row>
    <row r="36">
      <c r="A36" s="10" t="inlineStr">
        <is>
          <t>Building Structure</t>
        </is>
      </c>
    </row>
    <row r="37">
      <c r="A37" s="2" t="inlineStr">
        <is>
          <t>Roofing Systems</t>
        </is>
      </c>
      <c r="B37" s="11" t="n">
        <v>1795.53</v>
      </c>
      <c r="F37" s="11" t="n">
        <v>1795.53</v>
      </c>
    </row>
    <row r="38">
      <c r="A38" s="2" t="inlineStr">
        <is>
          <t>Foundations</t>
        </is>
      </c>
      <c r="B38" s="11" t="n">
        <v>3640.65</v>
      </c>
      <c r="F38" s="11" t="n">
        <v>3640.65</v>
      </c>
    </row>
    <row r="39">
      <c r="A39" s="2" t="inlineStr">
        <is>
          <t>HVAC</t>
        </is>
      </c>
      <c r="B39" s="11" t="n">
        <v>2074.48</v>
      </c>
      <c r="F39" s="11" t="n">
        <v>2074.48</v>
      </c>
    </row>
    <row r="40">
      <c r="A40" s="2" t="inlineStr">
        <is>
          <t>Electrical</t>
        </is>
      </c>
      <c r="B40" s="11" t="n">
        <v>1981.12</v>
      </c>
      <c r="F40" s="11" t="n">
        <v>1981.12</v>
      </c>
    </row>
    <row r="41">
      <c r="A41" s="2" t="inlineStr">
        <is>
          <t>Plumbing</t>
        </is>
      </c>
      <c r="B41" s="11" t="n">
        <v>1827.48</v>
      </c>
      <c r="F41" s="11" t="n">
        <v>1827.48</v>
      </c>
    </row>
    <row r="42">
      <c r="A42" s="2" t="inlineStr">
        <is>
          <t>Fire Protection &amp; Alarm</t>
        </is>
      </c>
      <c r="B42" s="11" t="n">
        <v>110.84</v>
      </c>
      <c r="F42" s="11" t="n">
        <v>110.84</v>
      </c>
    </row>
    <row r="43">
      <c r="A43" s="2" t="inlineStr">
        <is>
          <t>Exterior Façade / Building Skin</t>
        </is>
      </c>
      <c r="B43" s="11" t="n">
        <v>1031.81</v>
      </c>
      <c r="F43" s="11" t="n">
        <v>1031.81</v>
      </c>
    </row>
    <row r="44">
      <c r="A44" s="2" t="inlineStr">
        <is>
          <t>Doors &amp; Frames</t>
        </is>
      </c>
      <c r="B44" s="11" t="n">
        <v>953.01</v>
      </c>
      <c r="F44" s="11" t="n">
        <v>953.01</v>
      </c>
    </row>
    <row r="45">
      <c r="A45" s="2" t="inlineStr">
        <is>
          <t>Windows</t>
        </is>
      </c>
      <c r="B45" s="11" t="n">
        <v>845.0300000000001</v>
      </c>
      <c r="F45" s="11" t="n">
        <v>845.0300000000001</v>
      </c>
    </row>
    <row r="46">
      <c r="A46" s="2" t="inlineStr">
        <is>
          <t>Ceiling Systems</t>
        </is>
      </c>
      <c r="B46" s="11" t="n">
        <v>1080.49</v>
      </c>
      <c r="F46" s="11" t="n">
        <v>1080.49</v>
      </c>
    </row>
    <row r="47">
      <c r="A47" s="2" t="inlineStr">
        <is>
          <t>Interior Framing / Partitions</t>
        </is>
      </c>
      <c r="B47" s="11" t="n">
        <v>3076.64</v>
      </c>
      <c r="F47" s="11" t="n">
        <v>3076.64</v>
      </c>
    </row>
    <row r="48">
      <c r="A48" s="2" t="inlineStr">
        <is>
          <t>Painting</t>
        </is>
      </c>
      <c r="B48" s="11" t="n">
        <v>1043.32</v>
      </c>
      <c r="F48" s="11" t="n">
        <v>1043.32</v>
      </c>
    </row>
    <row r="49">
      <c r="A49" s="2" t="inlineStr">
        <is>
          <t>Structural Framing</t>
        </is>
      </c>
      <c r="B49" s="11" t="n">
        <v>3237.39</v>
      </c>
      <c r="F49" s="11" t="n">
        <v>3237.39</v>
      </c>
    </row>
    <row r="50">
      <c r="A50" s="2" t="inlineStr">
        <is>
          <t>Site Utilities</t>
        </is>
      </c>
      <c r="B50" s="11" t="n">
        <v>320.35</v>
      </c>
      <c r="F50" s="11" t="n">
        <v>320.35</v>
      </c>
    </row>
    <row r="51">
      <c r="A51" s="2" t="inlineStr">
        <is>
          <t>Bathroom Accessories</t>
        </is>
      </c>
      <c r="B51" s="11" t="n">
        <v>441.33</v>
      </c>
      <c r="F51" s="11" t="n">
        <v>441.33</v>
      </c>
    </row>
    <row r="52">
      <c r="A52" s="2" t="inlineStr">
        <is>
          <t>Cabinets / Millwork - Restrooms</t>
        </is>
      </c>
      <c r="B52" s="11" t="n">
        <v>427.48</v>
      </c>
      <c r="F52" s="11" t="n">
        <v>427.48</v>
      </c>
    </row>
    <row r="54">
      <c r="A54" s="3" t="inlineStr">
        <is>
          <t>Total Building Cost</t>
        </is>
      </c>
      <c r="B54" s="12" t="n">
        <v>30438.8</v>
      </c>
      <c r="C54" s="12" t="n">
        <v>5663.280000000001</v>
      </c>
      <c r="E54" s="12" t="n">
        <v>888.5700000000001</v>
      </c>
      <c r="F54" s="12" t="n">
        <v>23886.95</v>
      </c>
    </row>
    <row r="55">
      <c r="A55" s="2" t="inlineStr">
        <is>
          <t>% of Building Cost</t>
        </is>
      </c>
      <c r="C55" s="13" t="n">
        <v>0.186</v>
      </c>
      <c r="E55" s="13" t="n">
        <v>0.029</v>
      </c>
      <c r="F55" s="13" t="n">
        <v>0.785</v>
      </c>
    </row>
    <row r="57">
      <c r="A57" s="1" t="inlineStr">
        <is>
          <t>Asset Allocation:</t>
        </is>
      </c>
    </row>
    <row r="58">
      <c r="A58" s="2" t="inlineStr">
        <is>
          <t>Asset # 13-Building - Smith Square</t>
        </is>
      </c>
      <c r="B58" s="11" t="n">
        <v>23742.25</v>
      </c>
      <c r="C58" s="11" t="n">
        <v>4417.36</v>
      </c>
      <c r="E58" s="11" t="n">
        <v>693.08</v>
      </c>
      <c r="F58" s="11" t="n">
        <v>18631.81</v>
      </c>
    </row>
    <row r="59">
      <c r="A59" s="2" t="inlineStr">
        <is>
          <t>Asset # 14-Equipment - Smith Square</t>
        </is>
      </c>
      <c r="B59" s="11" t="n">
        <v>4870.22</v>
      </c>
      <c r="C59" s="11" t="n">
        <v>906.13</v>
      </c>
      <c r="E59" s="11" t="n">
        <v>142.17</v>
      </c>
      <c r="F59" s="11" t="n">
        <v>3821.92</v>
      </c>
    </row>
    <row r="60">
      <c r="A60" s="2" t="inlineStr">
        <is>
          <t>Asset # 12-Land Improvements - Smith Square</t>
        </is>
      </c>
      <c r="B60" s="11" t="n">
        <v>1826.33</v>
      </c>
      <c r="C60" s="11" t="n">
        <v>339.79</v>
      </c>
      <c r="E60" s="11" t="n">
        <v>53.32</v>
      </c>
      <c r="F60" s="11" t="n">
        <v>1433.22</v>
      </c>
    </row>
    <row r="61">
      <c r="A61" s="3" t="inlineStr">
        <is>
          <t>Total Allocation:</t>
        </is>
      </c>
      <c r="B61" s="12" t="n">
        <v>30438.8</v>
      </c>
      <c r="C61" s="12" t="n">
        <v>5663.28</v>
      </c>
      <c r="E61" s="12" t="n">
        <v>888.5700000000001</v>
      </c>
      <c r="F61" s="12" t="n">
        <v>23886.95</v>
      </c>
    </row>
    <row r="63">
      <c r="A63" s="1" t="inlineStr">
        <is>
          <t>End Depreciation Reconciliation</t>
        </is>
      </c>
    </row>
    <row r="64">
      <c r="A64" s="2" t="inlineStr">
        <is>
          <t>Before Cost Segregation (As Previously Filed)</t>
        </is>
      </c>
      <c r="B64" s="4" t="n">
        <v>58105.15</v>
      </c>
    </row>
    <row r="65">
      <c r="A65" s="2" t="inlineStr">
        <is>
          <t>After Cost Segregation (Corrected)</t>
        </is>
      </c>
      <c r="B65" s="6" t="n">
        <v>60120.51</v>
      </c>
    </row>
    <row r="66">
      <c r="A66" s="7" t="inlineStr">
        <is>
          <t>Section 481(a) Adjustment</t>
        </is>
      </c>
      <c r="B66" s="14" t="n">
        <v>-2015.36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Marrero 3 LP</t>
        </is>
      </c>
    </row>
    <row r="2">
      <c r="A2" s="2" t="inlineStr">
        <is>
          <t>Cost Segregation Study - 3112 Havenwood Dr.</t>
        </is>
      </c>
    </row>
    <row r="3">
      <c r="A3" s="2" t="inlineStr">
        <is>
          <t>Report #107752-18</t>
        </is>
      </c>
    </row>
    <row r="5">
      <c r="A5" s="2" t="inlineStr">
        <is>
          <t>Acquisition Date:</t>
        </is>
      </c>
      <c r="B5" s="2" t="inlineStr">
        <is>
          <t>12/17/15</t>
        </is>
      </c>
    </row>
    <row r="8">
      <c r="A8" s="1" t="inlineStr">
        <is>
          <t>Marrero 3 LP - 3112 Havenwood Dr.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1065.36</v>
      </c>
      <c r="C16" s="11" t="n">
        <v>1065.36</v>
      </c>
    </row>
    <row r="17">
      <c r="A17" s="2" t="inlineStr">
        <is>
          <t>Moldings</t>
        </is>
      </c>
      <c r="B17" s="11" t="n">
        <v>894.0999999999999</v>
      </c>
      <c r="C17" s="11" t="n">
        <v>894.0999999999999</v>
      </c>
    </row>
    <row r="18">
      <c r="A18" s="2" t="inlineStr">
        <is>
          <t>Flooring - Wood Laminate</t>
        </is>
      </c>
      <c r="B18" s="11" t="n">
        <v>1954.35</v>
      </c>
      <c r="C18" s="11" t="n">
        <v>1954.35</v>
      </c>
    </row>
    <row r="19">
      <c r="A19" s="2" t="inlineStr">
        <is>
          <t>Security System</t>
        </is>
      </c>
      <c r="B19" s="11" t="n">
        <v>613.8</v>
      </c>
      <c r="C19" s="11" t="n">
        <v>613.8</v>
      </c>
    </row>
    <row r="20">
      <c r="A20" s="2" t="inlineStr">
        <is>
          <t>Door &amp; Window Guards</t>
        </is>
      </c>
      <c r="B20" s="11" t="n">
        <v>136.47</v>
      </c>
      <c r="C20" s="11" t="n">
        <v>136.47</v>
      </c>
    </row>
    <row r="21">
      <c r="A21" s="2" t="inlineStr">
        <is>
          <t>Window Treatments</t>
        </is>
      </c>
      <c r="B21" s="11" t="n">
        <v>302.35</v>
      </c>
      <c r="C21" s="11" t="n">
        <v>302.35</v>
      </c>
    </row>
    <row r="22">
      <c r="A22" s="2" t="inlineStr">
        <is>
          <t>Specialty HVAC - Dryer Vents</t>
        </is>
      </c>
      <c r="B22" s="11" t="n">
        <v>30.15</v>
      </c>
      <c r="C22" s="11" t="n">
        <v>30.15</v>
      </c>
    </row>
    <row r="23">
      <c r="A23" s="2" t="inlineStr">
        <is>
          <t>Building Signage</t>
        </is>
      </c>
      <c r="B23" s="11" t="n">
        <v>19.82</v>
      </c>
      <c r="C23" s="11" t="n">
        <v>19.82</v>
      </c>
    </row>
    <row r="24">
      <c r="A24" s="2" t="inlineStr">
        <is>
          <t>Specialty Electrical - Appliances</t>
        </is>
      </c>
      <c r="B24" s="11" t="n">
        <v>514.89</v>
      </c>
      <c r="C24" s="11" t="n">
        <v>514.89</v>
      </c>
    </row>
    <row r="25">
      <c r="A25" s="2" t="inlineStr">
        <is>
          <t>Communication / Data</t>
        </is>
      </c>
      <c r="B25" s="11" t="n">
        <v>255.92</v>
      </c>
      <c r="C25" s="11" t="n">
        <v>255.92</v>
      </c>
    </row>
    <row r="26">
      <c r="A26" s="2" t="inlineStr">
        <is>
          <t>Specialty Plumbing - Kitchen Sink / Laundry</t>
        </is>
      </c>
      <c r="B26" s="11" t="n">
        <v>563.75</v>
      </c>
      <c r="C26" s="11" t="n">
        <v>563.75</v>
      </c>
    </row>
    <row r="27">
      <c r="A27" s="2" t="inlineStr">
        <is>
          <t>Security / Exterior Lighting</t>
        </is>
      </c>
      <c r="B27" s="11" t="n">
        <v>192.79</v>
      </c>
      <c r="C27" s="11" t="n">
        <v>192.79</v>
      </c>
    </row>
    <row r="28">
      <c r="A28" s="2" t="inlineStr">
        <is>
          <t>Access Control</t>
        </is>
      </c>
      <c r="B28" s="11" t="n">
        <v>50.57</v>
      </c>
      <c r="C28" s="11" t="n">
        <v>50.57</v>
      </c>
    </row>
    <row r="29">
      <c r="A29" s="2" t="inlineStr">
        <is>
          <t>Appliances</t>
        </is>
      </c>
      <c r="B29" s="11" t="n">
        <v>564.76</v>
      </c>
      <c r="C29" s="11" t="n">
        <v>564.76</v>
      </c>
    </row>
    <row r="31">
      <c r="A31" s="10" t="inlineStr">
        <is>
          <t>Site Work / Improvements</t>
        </is>
      </c>
    </row>
    <row r="32">
      <c r="A32" s="2" t="inlineStr">
        <is>
          <t>Driveway</t>
        </is>
      </c>
      <c r="B32" s="11" t="n">
        <v>679.12</v>
      </c>
      <c r="E32" s="11" t="n">
        <v>679.12</v>
      </c>
    </row>
    <row r="33">
      <c r="A33" s="2" t="inlineStr">
        <is>
          <t>Sidewalks / Curbs</t>
        </is>
      </c>
      <c r="B33" s="11" t="n">
        <v>285.36</v>
      </c>
      <c r="E33" s="11" t="n">
        <v>285.36</v>
      </c>
    </row>
    <row r="34">
      <c r="A34" s="2" t="inlineStr">
        <is>
          <t>Exterior Equipment Concrete Pads</t>
        </is>
      </c>
      <c r="B34" s="11" t="n">
        <v>34.81</v>
      </c>
      <c r="E34" s="11" t="n">
        <v>34.81</v>
      </c>
    </row>
    <row r="35">
      <c r="A35" s="2" t="inlineStr">
        <is>
          <t>Mailboxes</t>
        </is>
      </c>
      <c r="B35" s="11" t="n">
        <v>21.6</v>
      </c>
      <c r="E35" s="11" t="n">
        <v>21.6</v>
      </c>
    </row>
    <row r="37">
      <c r="A37" s="10" t="inlineStr">
        <is>
          <t>Building Structure</t>
        </is>
      </c>
    </row>
    <row r="38">
      <c r="A38" s="2" t="inlineStr">
        <is>
          <t>Roofing Systems</t>
        </is>
      </c>
      <c r="B38" s="11" t="n">
        <v>2393.31</v>
      </c>
      <c r="F38" s="11" t="n">
        <v>2393.31</v>
      </c>
    </row>
    <row r="39">
      <c r="A39" s="2" t="inlineStr">
        <is>
          <t>Foundations</t>
        </is>
      </c>
      <c r="B39" s="11" t="n">
        <v>5241.809999999999</v>
      </c>
      <c r="F39" s="11" t="n">
        <v>5241.809999999999</v>
      </c>
    </row>
    <row r="40">
      <c r="A40" s="2" t="inlineStr">
        <is>
          <t>HVAC</t>
        </is>
      </c>
      <c r="B40" s="11" t="n">
        <v>2635.44</v>
      </c>
      <c r="F40" s="11" t="n">
        <v>2635.44</v>
      </c>
    </row>
    <row r="41">
      <c r="A41" s="2" t="inlineStr">
        <is>
          <t>Electrical</t>
        </is>
      </c>
      <c r="B41" s="11" t="n">
        <v>2808.52</v>
      </c>
      <c r="F41" s="11" t="n">
        <v>2808.52</v>
      </c>
    </row>
    <row r="42">
      <c r="A42" s="2" t="inlineStr">
        <is>
          <t>Plumbing</t>
        </is>
      </c>
      <c r="B42" s="11" t="n">
        <v>2317.18</v>
      </c>
      <c r="F42" s="11" t="n">
        <v>2317.18</v>
      </c>
    </row>
    <row r="43">
      <c r="A43" s="2" t="inlineStr">
        <is>
          <t>Fire Protection &amp; Alarm</t>
        </is>
      </c>
      <c r="B43" s="11" t="n">
        <v>120.33</v>
      </c>
      <c r="F43" s="11" t="n">
        <v>120.33</v>
      </c>
    </row>
    <row r="44">
      <c r="A44" s="2" t="inlineStr">
        <is>
          <t>Exterior Façade / Building Skin</t>
        </is>
      </c>
      <c r="B44" s="11" t="n">
        <v>1467.77</v>
      </c>
      <c r="F44" s="11" t="n">
        <v>1467.77</v>
      </c>
    </row>
    <row r="45">
      <c r="A45" s="2" t="inlineStr">
        <is>
          <t>Doors &amp; Frames</t>
        </is>
      </c>
      <c r="B45" s="11" t="n">
        <v>1559.85</v>
      </c>
      <c r="F45" s="11" t="n">
        <v>1559.85</v>
      </c>
    </row>
    <row r="46">
      <c r="A46" s="2" t="inlineStr">
        <is>
          <t>Windows</t>
        </is>
      </c>
      <c r="B46" s="11" t="n">
        <v>1214.17</v>
      </c>
      <c r="F46" s="11" t="n">
        <v>1214.17</v>
      </c>
    </row>
    <row r="47">
      <c r="A47" s="2" t="inlineStr">
        <is>
          <t>Ceiling Systems</t>
        </is>
      </c>
      <c r="B47" s="11" t="n">
        <v>1352.65</v>
      </c>
      <c r="F47" s="11" t="n">
        <v>1352.65</v>
      </c>
    </row>
    <row r="48">
      <c r="A48" s="2" t="inlineStr">
        <is>
          <t>Interior Framing / Partitions</t>
        </is>
      </c>
      <c r="B48" s="11" t="n">
        <v>4299.13</v>
      </c>
      <c r="F48" s="11" t="n">
        <v>4299.13</v>
      </c>
    </row>
    <row r="49">
      <c r="A49" s="2" t="inlineStr">
        <is>
          <t>Painting</t>
        </is>
      </c>
      <c r="B49" s="11" t="n">
        <v>1422.08</v>
      </c>
      <c r="F49" s="11" t="n">
        <v>1422.08</v>
      </c>
    </row>
    <row r="50">
      <c r="A50" s="2" t="inlineStr">
        <is>
          <t>Gutter Systems</t>
        </is>
      </c>
      <c r="B50" s="11" t="n">
        <v>537.9000000000001</v>
      </c>
      <c r="F50" s="11" t="n">
        <v>537.9000000000001</v>
      </c>
    </row>
    <row r="51">
      <c r="A51" s="2" t="inlineStr">
        <is>
          <t>Structural Framing</t>
        </is>
      </c>
      <c r="B51" s="11" t="n">
        <v>4290.9</v>
      </c>
      <c r="F51" s="11" t="n">
        <v>4290.9</v>
      </c>
    </row>
    <row r="52">
      <c r="A52" s="2" t="inlineStr">
        <is>
          <t>Site Utilities</t>
        </is>
      </c>
      <c r="B52" s="11" t="n">
        <v>470.52</v>
      </c>
      <c r="F52" s="11" t="n">
        <v>470.52</v>
      </c>
    </row>
    <row r="53">
      <c r="A53" s="2" t="inlineStr">
        <is>
          <t>Garage Doors</t>
        </is>
      </c>
      <c r="B53" s="11" t="n">
        <v>397.47</v>
      </c>
      <c r="F53" s="11" t="n">
        <v>397.47</v>
      </c>
    </row>
    <row r="54">
      <c r="A54" s="2" t="inlineStr">
        <is>
          <t>Flooring - Sealed Concrete</t>
        </is>
      </c>
      <c r="B54" s="11" t="n">
        <v>45.13</v>
      </c>
      <c r="F54" s="11" t="n">
        <v>45.13</v>
      </c>
    </row>
    <row r="55">
      <c r="A55" s="2" t="inlineStr">
        <is>
          <t>Bathroom Accessories</t>
        </is>
      </c>
      <c r="B55" s="11" t="n">
        <v>468.02</v>
      </c>
      <c r="F55" s="11" t="n">
        <v>468.02</v>
      </c>
    </row>
    <row r="56">
      <c r="A56" s="2" t="inlineStr">
        <is>
          <t>Cabinets / Millwork - Restrooms</t>
        </is>
      </c>
      <c r="B56" s="11" t="n">
        <v>419.32</v>
      </c>
      <c r="F56" s="11" t="n">
        <v>419.32</v>
      </c>
    </row>
    <row r="58">
      <c r="A58" s="3" t="inlineStr">
        <is>
          <t>Total Building Cost</t>
        </is>
      </c>
      <c r="B58" s="12" t="n">
        <v>41641.46999999999</v>
      </c>
      <c r="C58" s="12" t="n">
        <v>7159.08</v>
      </c>
      <c r="E58" s="12" t="n">
        <v>1020.89</v>
      </c>
      <c r="F58" s="12" t="n">
        <v>33461.5</v>
      </c>
    </row>
    <row r="59">
      <c r="A59" s="2" t="inlineStr">
        <is>
          <t>% of Building Cost</t>
        </is>
      </c>
      <c r="C59" s="13" t="n">
        <v>0.172</v>
      </c>
      <c r="E59" s="13" t="n">
        <v>0.025</v>
      </c>
      <c r="F59" s="13" t="n">
        <v>0.803</v>
      </c>
    </row>
    <row r="61">
      <c r="A61" s="1" t="inlineStr">
        <is>
          <t>Asset Allocation:</t>
        </is>
      </c>
    </row>
    <row r="62">
      <c r="A62" s="2" t="inlineStr">
        <is>
          <t>Asset # 3-Building - Havenwood Drive</t>
        </is>
      </c>
      <c r="B62" s="11" t="n">
        <v>32480.36</v>
      </c>
      <c r="C62" s="11" t="n">
        <v>5584.08</v>
      </c>
      <c r="E62" s="11" t="n">
        <v>796.29</v>
      </c>
      <c r="F62" s="11" t="n">
        <v>26099.99</v>
      </c>
    </row>
    <row r="63">
      <c r="A63" s="2" t="inlineStr">
        <is>
          <t>Asset # 4-Equipment - Havenwood Drive</t>
        </is>
      </c>
      <c r="B63" s="11" t="n">
        <v>6662.61</v>
      </c>
      <c r="C63" s="11" t="n">
        <v>1145.45</v>
      </c>
      <c r="E63" s="11" t="n">
        <v>163.34</v>
      </c>
      <c r="F63" s="11" t="n">
        <v>5353.82</v>
      </c>
    </row>
    <row r="64">
      <c r="A64" s="2" t="inlineStr">
        <is>
          <t>Asset # 2-Land Improvements - Havenwood Drive</t>
        </is>
      </c>
      <c r="B64" s="11" t="n">
        <v>2498.5</v>
      </c>
      <c r="C64" s="11" t="n">
        <v>429.55</v>
      </c>
      <c r="E64" s="11" t="n">
        <v>61.26</v>
      </c>
      <c r="F64" s="11" t="n">
        <v>2007.69</v>
      </c>
    </row>
    <row r="65">
      <c r="A65" s="3" t="inlineStr">
        <is>
          <t>Total Allocation:</t>
        </is>
      </c>
      <c r="B65" s="12" t="n">
        <v>41641.47</v>
      </c>
      <c r="C65" s="12" t="n">
        <v>7159.08</v>
      </c>
      <c r="E65" s="12" t="n">
        <v>1020.89</v>
      </c>
      <c r="F65" s="12" t="n">
        <v>33461.5</v>
      </c>
    </row>
    <row r="67">
      <c r="A67" s="1" t="inlineStr">
        <is>
          <t>End Depreciation Reconciliation</t>
        </is>
      </c>
    </row>
    <row r="68">
      <c r="A68" s="2" t="inlineStr">
        <is>
          <t>Before Cost Segregation (As Previously Filed)</t>
        </is>
      </c>
      <c r="B68" s="4" t="n">
        <v>309892.45</v>
      </c>
    </row>
    <row r="69">
      <c r="A69" s="2" t="inlineStr">
        <is>
          <t>After Cost Segregation (Corrected)</t>
        </is>
      </c>
      <c r="B69" s="6" t="n">
        <v>318215.63</v>
      </c>
    </row>
    <row r="70">
      <c r="A70" s="7" t="inlineStr">
        <is>
          <t>Section 481(a) Adjustment</t>
        </is>
      </c>
      <c r="B70" s="14" t="n">
        <v>-8323.18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Marrero 3 LP</t>
        </is>
      </c>
    </row>
    <row r="2">
      <c r="A2" s="2" t="inlineStr">
        <is>
          <t>Cost Segregation Study - 3117 Barbwood Dr.</t>
        </is>
      </c>
    </row>
    <row r="3">
      <c r="A3" s="2" t="inlineStr">
        <is>
          <t>Report #107752-18</t>
        </is>
      </c>
    </row>
    <row r="5">
      <c r="A5" s="2" t="inlineStr">
        <is>
          <t>Acquisition Date:</t>
        </is>
      </c>
      <c r="B5" s="2" t="inlineStr">
        <is>
          <t>12/17/15</t>
        </is>
      </c>
    </row>
    <row r="8">
      <c r="A8" s="1" t="inlineStr">
        <is>
          <t>Marrero 3 LP - 3117 Barbwood Dr.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1194.23</v>
      </c>
      <c r="C16" s="11" t="n">
        <v>1194.23</v>
      </c>
    </row>
    <row r="17">
      <c r="A17" s="2" t="inlineStr">
        <is>
          <t>Moldings</t>
        </is>
      </c>
      <c r="B17" s="11" t="n">
        <v>892.45</v>
      </c>
      <c r="C17" s="11" t="n">
        <v>892.45</v>
      </c>
    </row>
    <row r="18">
      <c r="A18" s="2" t="inlineStr">
        <is>
          <t>Flooring - Wood Laminate</t>
        </is>
      </c>
      <c r="B18" s="11" t="n">
        <v>772.85</v>
      </c>
      <c r="C18" s="11" t="n">
        <v>772.85</v>
      </c>
    </row>
    <row r="19">
      <c r="A19" s="2" t="inlineStr">
        <is>
          <t>Security System</t>
        </is>
      </c>
      <c r="B19" s="11" t="n">
        <v>479.69</v>
      </c>
      <c r="C19" s="11" t="n">
        <v>479.69</v>
      </c>
    </row>
    <row r="20">
      <c r="A20" s="2" t="inlineStr">
        <is>
          <t>Window Treatments</t>
        </is>
      </c>
      <c r="B20" s="11" t="n">
        <v>324.2</v>
      </c>
      <c r="C20" s="11" t="n">
        <v>324.2</v>
      </c>
    </row>
    <row r="21">
      <c r="A21" s="2" t="inlineStr">
        <is>
          <t>Specialty HVAC - Dryer Vents</t>
        </is>
      </c>
      <c r="B21" s="11" t="n">
        <v>30.15</v>
      </c>
      <c r="C21" s="11" t="n">
        <v>30.15</v>
      </c>
    </row>
    <row r="22">
      <c r="A22" s="2" t="inlineStr">
        <is>
          <t>Building Signage</t>
        </is>
      </c>
      <c r="B22" s="11" t="n">
        <v>19.82</v>
      </c>
      <c r="C22" s="11" t="n">
        <v>19.82</v>
      </c>
    </row>
    <row r="23">
      <c r="A23" s="2" t="inlineStr">
        <is>
          <t>Specialty Electrical - Appliances</t>
        </is>
      </c>
      <c r="B23" s="11" t="n">
        <v>514.89</v>
      </c>
      <c r="C23" s="11" t="n">
        <v>514.89</v>
      </c>
    </row>
    <row r="24">
      <c r="A24" s="2" t="inlineStr">
        <is>
          <t>Communication / Data</t>
        </is>
      </c>
      <c r="B24" s="11" t="n">
        <v>253.01</v>
      </c>
      <c r="C24" s="11" t="n">
        <v>253.01</v>
      </c>
    </row>
    <row r="25">
      <c r="A25" s="2" t="inlineStr">
        <is>
          <t>Specialty Plumbing - Kitchen Sink / Laundry</t>
        </is>
      </c>
      <c r="B25" s="11" t="n">
        <v>563.75</v>
      </c>
      <c r="C25" s="11" t="n">
        <v>563.75</v>
      </c>
    </row>
    <row r="26">
      <c r="A26" s="2" t="inlineStr">
        <is>
          <t>Security / Exterior Lighting</t>
        </is>
      </c>
      <c r="B26" s="11" t="n">
        <v>111.83</v>
      </c>
      <c r="C26" s="11" t="n">
        <v>111.83</v>
      </c>
    </row>
    <row r="27">
      <c r="A27" s="2" t="inlineStr">
        <is>
          <t>Appliances</t>
        </is>
      </c>
      <c r="B27" s="11" t="n">
        <v>564.76</v>
      </c>
      <c r="C27" s="11" t="n">
        <v>564.76</v>
      </c>
    </row>
    <row r="29">
      <c r="A29" s="10" t="inlineStr">
        <is>
          <t>Site Work / Improvements</t>
        </is>
      </c>
    </row>
    <row r="30">
      <c r="A30" s="2" t="inlineStr">
        <is>
          <t>Driveway</t>
        </is>
      </c>
      <c r="B30" s="11" t="n">
        <v>508.62</v>
      </c>
      <c r="E30" s="11" t="n">
        <v>508.62</v>
      </c>
    </row>
    <row r="31">
      <c r="A31" s="2" t="inlineStr">
        <is>
          <t>Sidewalks / Curbs</t>
        </is>
      </c>
      <c r="B31" s="11" t="n">
        <v>142.45</v>
      </c>
      <c r="E31" s="11" t="n">
        <v>142.45</v>
      </c>
    </row>
    <row r="32">
      <c r="A32" s="2" t="inlineStr">
        <is>
          <t>Exterior Equipment Concrete Pads</t>
        </is>
      </c>
      <c r="B32" s="11" t="n">
        <v>34.81</v>
      </c>
      <c r="E32" s="11" t="n">
        <v>34.81</v>
      </c>
    </row>
    <row r="33">
      <c r="A33" s="2" t="inlineStr">
        <is>
          <t>Mailboxes</t>
        </is>
      </c>
      <c r="B33" s="11" t="n">
        <v>21.6</v>
      </c>
      <c r="E33" s="11" t="n">
        <v>21.6</v>
      </c>
    </row>
    <row r="35">
      <c r="A35" s="10" t="inlineStr">
        <is>
          <t>Building Structure</t>
        </is>
      </c>
    </row>
    <row r="36">
      <c r="A36" s="2" t="inlineStr">
        <is>
          <t>Roofing Systems</t>
        </is>
      </c>
      <c r="B36" s="11" t="n">
        <v>2544.9</v>
      </c>
      <c r="F36" s="11" t="n">
        <v>2544.9</v>
      </c>
    </row>
    <row r="37">
      <c r="A37" s="2" t="inlineStr">
        <is>
          <t>Foundations</t>
        </is>
      </c>
      <c r="B37" s="11" t="n">
        <v>5290.6</v>
      </c>
      <c r="F37" s="11" t="n">
        <v>5290.6</v>
      </c>
    </row>
    <row r="38">
      <c r="A38" s="2" t="inlineStr">
        <is>
          <t>HVAC</t>
        </is>
      </c>
      <c r="B38" s="11" t="n">
        <v>2605.13</v>
      </c>
      <c r="F38" s="11" t="n">
        <v>2605.13</v>
      </c>
    </row>
    <row r="39">
      <c r="A39" s="2" t="inlineStr">
        <is>
          <t>Electrical</t>
        </is>
      </c>
      <c r="B39" s="11" t="n">
        <v>2808.12</v>
      </c>
      <c r="F39" s="11" t="n">
        <v>2808.12</v>
      </c>
    </row>
    <row r="40">
      <c r="A40" s="2" t="inlineStr">
        <is>
          <t>Plumbing</t>
        </is>
      </c>
      <c r="B40" s="11" t="n">
        <v>2290.83</v>
      </c>
      <c r="F40" s="11" t="n">
        <v>2290.83</v>
      </c>
    </row>
    <row r="41">
      <c r="A41" s="2" t="inlineStr">
        <is>
          <t>Fire Protection &amp; Alarm</t>
        </is>
      </c>
      <c r="B41" s="11" t="n">
        <v>150.42</v>
      </c>
      <c r="F41" s="11" t="n">
        <v>150.42</v>
      </c>
    </row>
    <row r="42">
      <c r="A42" s="2" t="inlineStr">
        <is>
          <t>Exterior Façade / Building Skin</t>
        </is>
      </c>
      <c r="B42" s="11" t="n">
        <v>1919.86</v>
      </c>
      <c r="F42" s="11" t="n">
        <v>1919.86</v>
      </c>
    </row>
    <row r="43">
      <c r="A43" s="2" t="inlineStr">
        <is>
          <t>Doors &amp; Frames</t>
        </is>
      </c>
      <c r="B43" s="11" t="n">
        <v>1776.29</v>
      </c>
      <c r="F43" s="11" t="n">
        <v>1776.29</v>
      </c>
    </row>
    <row r="44">
      <c r="A44" s="2" t="inlineStr">
        <is>
          <t>Windows</t>
        </is>
      </c>
      <c r="B44" s="11" t="n">
        <v>1322.1</v>
      </c>
      <c r="F44" s="11" t="n">
        <v>1322.1</v>
      </c>
    </row>
    <row r="45">
      <c r="A45" s="2" t="inlineStr">
        <is>
          <t>Ceiling Systems</t>
        </is>
      </c>
      <c r="B45" s="11" t="n">
        <v>1338.43</v>
      </c>
      <c r="F45" s="11" t="n">
        <v>1338.43</v>
      </c>
    </row>
    <row r="46">
      <c r="A46" s="2" t="inlineStr">
        <is>
          <t>Interior Framing / Partitions</t>
        </is>
      </c>
      <c r="B46" s="11" t="n">
        <v>4310.61</v>
      </c>
      <c r="F46" s="11" t="n">
        <v>4310.61</v>
      </c>
    </row>
    <row r="47">
      <c r="A47" s="2" t="inlineStr">
        <is>
          <t>Painting</t>
        </is>
      </c>
      <c r="B47" s="11" t="n">
        <v>1420.92</v>
      </c>
      <c r="F47" s="11" t="n">
        <v>1420.92</v>
      </c>
    </row>
    <row r="48">
      <c r="A48" s="2" t="inlineStr">
        <is>
          <t>Gutter Systems</t>
        </is>
      </c>
      <c r="B48" s="11" t="n">
        <v>509.47</v>
      </c>
      <c r="F48" s="11" t="n">
        <v>509.47</v>
      </c>
    </row>
    <row r="49">
      <c r="A49" s="2" t="inlineStr">
        <is>
          <t>Structural Framing</t>
        </is>
      </c>
      <c r="B49" s="11" t="n">
        <v>4496.26</v>
      </c>
      <c r="F49" s="11" t="n">
        <v>4496.26</v>
      </c>
    </row>
    <row r="50">
      <c r="A50" s="2" t="inlineStr">
        <is>
          <t>Site Utilities</t>
        </is>
      </c>
      <c r="B50" s="11" t="n">
        <v>373.61</v>
      </c>
      <c r="F50" s="11" t="n">
        <v>373.61</v>
      </c>
    </row>
    <row r="51">
      <c r="A51" s="2" t="inlineStr">
        <is>
          <t>Garage Doors</t>
        </is>
      </c>
      <c r="B51" s="11" t="n">
        <v>397.47</v>
      </c>
      <c r="F51" s="11" t="n">
        <v>397.47</v>
      </c>
    </row>
    <row r="52">
      <c r="A52" s="2" t="inlineStr">
        <is>
          <t>Flooring - Sealed Concrete</t>
        </is>
      </c>
      <c r="B52" s="11" t="n">
        <v>52.64</v>
      </c>
      <c r="F52" s="11" t="n">
        <v>52.64</v>
      </c>
    </row>
    <row r="53">
      <c r="A53" s="2" t="inlineStr">
        <is>
          <t>Bathroom Accessories</t>
        </is>
      </c>
      <c r="B53" s="11" t="n">
        <v>468.02</v>
      </c>
      <c r="F53" s="11" t="n">
        <v>468.02</v>
      </c>
    </row>
    <row r="54">
      <c r="A54" s="2" t="inlineStr">
        <is>
          <t>Ceramic Tile Flooring</t>
        </is>
      </c>
      <c r="B54" s="11" t="n">
        <v>1629.46</v>
      </c>
      <c r="F54" s="11" t="n">
        <v>1629.46</v>
      </c>
    </row>
    <row r="55">
      <c r="A55" s="2" t="inlineStr">
        <is>
          <t>Cabinets / Millwork - Restrooms</t>
        </is>
      </c>
      <c r="B55" s="11" t="n">
        <v>362.41</v>
      </c>
      <c r="F55" s="11" t="n">
        <v>362.41</v>
      </c>
    </row>
    <row r="57">
      <c r="A57" s="3" t="inlineStr">
        <is>
          <t>Total Building Cost</t>
        </is>
      </c>
      <c r="B57" s="12" t="n">
        <v>42496.66</v>
      </c>
      <c r="C57" s="12" t="n">
        <v>5721.630000000001</v>
      </c>
      <c r="E57" s="12" t="n">
        <v>707.4800000000001</v>
      </c>
      <c r="F57" s="12" t="n">
        <v>36067.55</v>
      </c>
    </row>
    <row r="58">
      <c r="A58" s="2" t="inlineStr">
        <is>
          <t>% of Building Cost</t>
        </is>
      </c>
      <c r="C58" s="13" t="n">
        <v>0.135</v>
      </c>
      <c r="E58" s="13" t="n">
        <v>0.017</v>
      </c>
      <c r="F58" s="13" t="n">
        <v>0.848</v>
      </c>
    </row>
    <row r="60">
      <c r="A60" s="1" t="inlineStr">
        <is>
          <t>Asset Allocation:</t>
        </is>
      </c>
    </row>
    <row r="61">
      <c r="A61" s="2" t="inlineStr">
        <is>
          <t>Asset # 3-Building - Havenwood Drive</t>
        </is>
      </c>
      <c r="B61" s="11" t="n">
        <v>33147.4</v>
      </c>
      <c r="C61" s="11" t="n">
        <v>4462.87</v>
      </c>
      <c r="E61" s="11" t="n">
        <v>551.83</v>
      </c>
      <c r="F61" s="11" t="n">
        <v>28132.7</v>
      </c>
    </row>
    <row r="62">
      <c r="A62" s="2" t="inlineStr">
        <is>
          <t>Asset # 4-Equipment - Havenwood Drive</t>
        </is>
      </c>
      <c r="B62" s="11" t="n">
        <v>6799.44</v>
      </c>
      <c r="C62" s="11" t="n">
        <v>915.46</v>
      </c>
      <c r="E62" s="11" t="n">
        <v>113.2</v>
      </c>
      <c r="F62" s="11" t="n">
        <v>5770.78</v>
      </c>
    </row>
    <row r="63">
      <c r="A63" s="2" t="inlineStr">
        <is>
          <t>Asset # 2-Land Improvements - Havenwood Drive</t>
        </is>
      </c>
      <c r="B63" s="11" t="n">
        <v>2549.82</v>
      </c>
      <c r="C63" s="11" t="n">
        <v>343.3</v>
      </c>
      <c r="E63" s="11" t="n">
        <v>42.45</v>
      </c>
      <c r="F63" s="11" t="n">
        <v>2164.07</v>
      </c>
    </row>
    <row r="64">
      <c r="A64" s="3" t="inlineStr">
        <is>
          <t>Total Allocation:</t>
        </is>
      </c>
      <c r="B64" s="12" t="n">
        <v>42496.66</v>
      </c>
      <c r="C64" s="12" t="n">
        <v>5721.63</v>
      </c>
      <c r="E64" s="12" t="n">
        <v>707.4800000000001</v>
      </c>
      <c r="F64" s="12" t="n">
        <v>36067.55</v>
      </c>
    </row>
    <row r="66">
      <c r="A66" s="1" t="inlineStr">
        <is>
          <t>End Depreciation Reconciliation</t>
        </is>
      </c>
    </row>
    <row r="67">
      <c r="A67" s="2" t="inlineStr">
        <is>
          <t>Before Cost Segregation (As Previously Filed)</t>
        </is>
      </c>
      <c r="B67" s="4" t="n">
        <v>49934.55</v>
      </c>
    </row>
    <row r="68">
      <c r="A68" s="2" t="inlineStr">
        <is>
          <t>After Cost Segregation (Corrected)</t>
        </is>
      </c>
      <c r="B68" s="6" t="n">
        <v>46937.1</v>
      </c>
    </row>
    <row r="69">
      <c r="A69" s="7" t="inlineStr">
        <is>
          <t>Section 481(a) Adjustment</t>
        </is>
      </c>
      <c r="B69" s="14" t="n">
        <v>2997.45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Marrero 3 LP</t>
        </is>
      </c>
    </row>
    <row r="2">
      <c r="A2" s="2" t="inlineStr">
        <is>
          <t>Cost Segregation Study - 6805 Sayres Ave.</t>
        </is>
      </c>
    </row>
    <row r="3">
      <c r="A3" s="2" t="inlineStr">
        <is>
          <t>Report #107752-18</t>
        </is>
      </c>
    </row>
    <row r="5">
      <c r="A5" s="2" t="inlineStr">
        <is>
          <t>Acquisition Date:</t>
        </is>
      </c>
      <c r="B5" s="2" t="inlineStr">
        <is>
          <t>12/17/15</t>
        </is>
      </c>
    </row>
    <row r="8">
      <c r="A8" s="1" t="inlineStr">
        <is>
          <t>Marrero 3 LP - 6805 Sayres Ave.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769.54</v>
      </c>
      <c r="C16" s="11" t="n">
        <v>769.54</v>
      </c>
    </row>
    <row r="17">
      <c r="A17" s="2" t="inlineStr">
        <is>
          <t>Moldings</t>
        </is>
      </c>
      <c r="B17" s="11" t="n">
        <v>1073.38</v>
      </c>
      <c r="C17" s="11" t="n">
        <v>1073.38</v>
      </c>
    </row>
    <row r="18">
      <c r="A18" s="2" t="inlineStr">
        <is>
          <t>Flooring - Wood Laminate</t>
        </is>
      </c>
      <c r="B18" s="11" t="n">
        <v>1525.14</v>
      </c>
      <c r="C18" s="11" t="n">
        <v>1525.14</v>
      </c>
    </row>
    <row r="19">
      <c r="A19" s="2" t="inlineStr">
        <is>
          <t>Security System</t>
        </is>
      </c>
      <c r="B19" s="11" t="n">
        <v>391.9399999999999</v>
      </c>
      <c r="C19" s="11" t="n">
        <v>391.9399999999999</v>
      </c>
    </row>
    <row r="20">
      <c r="A20" s="2" t="inlineStr">
        <is>
          <t>Window Treatments</t>
        </is>
      </c>
      <c r="B20" s="11" t="n">
        <v>399.45</v>
      </c>
      <c r="C20" s="11" t="n">
        <v>399.45</v>
      </c>
    </row>
    <row r="21">
      <c r="A21" s="2" t="inlineStr">
        <is>
          <t>Specialty HVAC - Dryer Vents</t>
        </is>
      </c>
      <c r="B21" s="11" t="n">
        <v>33.34</v>
      </c>
      <c r="C21" s="11" t="n">
        <v>33.34</v>
      </c>
    </row>
    <row r="22">
      <c r="A22" s="2" t="inlineStr">
        <is>
          <t>Building Signage</t>
        </is>
      </c>
      <c r="B22" s="11" t="n">
        <v>21.93</v>
      </c>
      <c r="C22" s="11" t="n">
        <v>21.93</v>
      </c>
    </row>
    <row r="23">
      <c r="A23" s="2" t="inlineStr">
        <is>
          <t>Specialty Electrical - Appliances</t>
        </is>
      </c>
      <c r="B23" s="11" t="n">
        <v>569.3999999999999</v>
      </c>
      <c r="C23" s="11" t="n">
        <v>569.3999999999999</v>
      </c>
    </row>
    <row r="24">
      <c r="A24" s="2" t="inlineStr">
        <is>
          <t>Communication / Data</t>
        </is>
      </c>
      <c r="B24" s="11" t="n">
        <v>233.79</v>
      </c>
      <c r="C24" s="11" t="n">
        <v>233.79</v>
      </c>
    </row>
    <row r="25">
      <c r="A25" s="2" t="inlineStr">
        <is>
          <t>Specialty Plumbing - Kitchen Sink / Laundry</t>
        </is>
      </c>
      <c r="B25" s="11" t="n">
        <v>623.4400000000001</v>
      </c>
      <c r="C25" s="11" t="n">
        <v>623.4400000000001</v>
      </c>
    </row>
    <row r="26">
      <c r="A26" s="2" t="inlineStr">
        <is>
          <t>Security / Exterior Lighting</t>
        </is>
      </c>
      <c r="B26" s="11" t="n">
        <v>123.66</v>
      </c>
      <c r="C26" s="11" t="n">
        <v>123.66</v>
      </c>
    </row>
    <row r="27">
      <c r="A27" s="2" t="inlineStr">
        <is>
          <t>Appliances</t>
        </is>
      </c>
      <c r="B27" s="11" t="n">
        <v>624.5600000000001</v>
      </c>
      <c r="C27" s="11" t="n">
        <v>624.5600000000001</v>
      </c>
    </row>
    <row r="29">
      <c r="A29" s="10" t="inlineStr">
        <is>
          <t>Site Work / Improvements</t>
        </is>
      </c>
    </row>
    <row r="30">
      <c r="A30" s="2" t="inlineStr">
        <is>
          <t>Driveway</t>
        </is>
      </c>
      <c r="B30" s="11" t="n">
        <v>462.21</v>
      </c>
      <c r="E30" s="11" t="n">
        <v>462.21</v>
      </c>
    </row>
    <row r="31">
      <c r="A31" s="2" t="inlineStr">
        <is>
          <t>Sidewalks / Curbs</t>
        </is>
      </c>
      <c r="B31" s="11" t="n">
        <v>179.88</v>
      </c>
      <c r="E31" s="11" t="n">
        <v>179.88</v>
      </c>
    </row>
    <row r="32">
      <c r="A32" s="2" t="inlineStr">
        <is>
          <t>Landscaping</t>
        </is>
      </c>
      <c r="B32" s="11" t="n">
        <v>16.47</v>
      </c>
      <c r="E32" s="11" t="n">
        <v>16.47</v>
      </c>
    </row>
    <row r="33">
      <c r="A33" s="2" t="inlineStr">
        <is>
          <t>Exterior Equipment Concrete Pads</t>
        </is>
      </c>
      <c r="B33" s="11" t="n">
        <v>38.5</v>
      </c>
      <c r="E33" s="11" t="n">
        <v>38.5</v>
      </c>
    </row>
    <row r="34">
      <c r="A34" s="2" t="inlineStr">
        <is>
          <t>Mailboxes</t>
        </is>
      </c>
      <c r="B34" s="11" t="n">
        <v>23.87</v>
      </c>
      <c r="E34" s="11" t="n">
        <v>23.87</v>
      </c>
    </row>
    <row r="36">
      <c r="A36" s="10" t="inlineStr">
        <is>
          <t>Building Structure</t>
        </is>
      </c>
    </row>
    <row r="37">
      <c r="A37" s="2" t="inlineStr">
        <is>
          <t>Roofing Systems</t>
        </is>
      </c>
      <c r="B37" s="11" t="n">
        <v>2692.77</v>
      </c>
      <c r="F37" s="11" t="n">
        <v>2692.77</v>
      </c>
    </row>
    <row r="38">
      <c r="A38" s="2" t="inlineStr">
        <is>
          <t>Foundations</t>
        </is>
      </c>
      <c r="B38" s="11" t="n">
        <v>4528.89</v>
      </c>
      <c r="F38" s="11" t="n">
        <v>4528.89</v>
      </c>
    </row>
    <row r="39">
      <c r="A39" s="2" t="inlineStr">
        <is>
          <t>HVAC</t>
        </is>
      </c>
      <c r="B39" s="11" t="n">
        <v>2401.76</v>
      </c>
      <c r="F39" s="11" t="n">
        <v>2401.76</v>
      </c>
    </row>
    <row r="40">
      <c r="A40" s="2" t="inlineStr">
        <is>
          <t>Electrical</t>
        </is>
      </c>
      <c r="B40" s="11" t="n">
        <v>2545.73</v>
      </c>
      <c r="F40" s="11" t="n">
        <v>2545.73</v>
      </c>
    </row>
    <row r="41">
      <c r="A41" s="2" t="inlineStr">
        <is>
          <t>Plumbing</t>
        </is>
      </c>
      <c r="B41" s="11" t="n">
        <v>2116.83</v>
      </c>
      <c r="F41" s="11" t="n">
        <v>2116.83</v>
      </c>
    </row>
    <row r="42">
      <c r="A42" s="2" t="inlineStr">
        <is>
          <t>Fire Protection &amp; Alarm</t>
        </is>
      </c>
      <c r="B42" s="11" t="n">
        <v>133.07</v>
      </c>
      <c r="F42" s="11" t="n">
        <v>133.07</v>
      </c>
    </row>
    <row r="43">
      <c r="A43" s="2" t="inlineStr">
        <is>
          <t>Exterior Façade / Building Skin</t>
        </is>
      </c>
      <c r="B43" s="11" t="n">
        <v>2525.75</v>
      </c>
      <c r="F43" s="11" t="n">
        <v>2525.75</v>
      </c>
    </row>
    <row r="44">
      <c r="A44" s="2" t="inlineStr">
        <is>
          <t>Doors &amp; Frames</t>
        </is>
      </c>
      <c r="B44" s="11" t="n">
        <v>1588.26</v>
      </c>
      <c r="F44" s="11" t="n">
        <v>1588.26</v>
      </c>
    </row>
    <row r="45">
      <c r="A45" s="2" t="inlineStr">
        <is>
          <t>Windows</t>
        </is>
      </c>
      <c r="B45" s="11" t="n">
        <v>1402.38</v>
      </c>
      <c r="F45" s="11" t="n">
        <v>1402.38</v>
      </c>
    </row>
    <row r="46">
      <c r="A46" s="2" t="inlineStr">
        <is>
          <t>Ceiling Systems</t>
        </is>
      </c>
      <c r="B46" s="11" t="n">
        <v>1255.57</v>
      </c>
      <c r="F46" s="11" t="n">
        <v>1255.57</v>
      </c>
    </row>
    <row r="47">
      <c r="A47" s="2" t="inlineStr">
        <is>
          <t>Interior Framing / Partitions</t>
        </is>
      </c>
      <c r="B47" s="11" t="n">
        <v>5166.35</v>
      </c>
      <c r="F47" s="11" t="n">
        <v>5166.35</v>
      </c>
    </row>
    <row r="48">
      <c r="A48" s="2" t="inlineStr">
        <is>
          <t>Painting</t>
        </is>
      </c>
      <c r="B48" s="11" t="n">
        <v>1609.06</v>
      </c>
      <c r="F48" s="11" t="n">
        <v>1609.06</v>
      </c>
    </row>
    <row r="49">
      <c r="A49" s="2" t="inlineStr">
        <is>
          <t>Gutter Systems</t>
        </is>
      </c>
      <c r="B49" s="11" t="n">
        <v>510.29</v>
      </c>
      <c r="F49" s="11" t="n">
        <v>510.29</v>
      </c>
    </row>
    <row r="50">
      <c r="A50" s="2" t="inlineStr">
        <is>
          <t>Structural Framing</t>
        </is>
      </c>
      <c r="B50" s="11" t="n">
        <v>4954.03</v>
      </c>
      <c r="F50" s="11" t="n">
        <v>4954.03</v>
      </c>
    </row>
    <row r="51">
      <c r="A51" s="2" t="inlineStr">
        <is>
          <t>Site Utilities</t>
        </is>
      </c>
      <c r="B51" s="11" t="n">
        <v>363.6799999999999</v>
      </c>
      <c r="F51" s="11" t="n">
        <v>363.6799999999999</v>
      </c>
    </row>
    <row r="52">
      <c r="A52" s="2" t="inlineStr">
        <is>
          <t>Garage Doors</t>
        </is>
      </c>
      <c r="B52" s="11" t="n">
        <v>439.55</v>
      </c>
      <c r="F52" s="11" t="n">
        <v>439.55</v>
      </c>
    </row>
    <row r="53">
      <c r="A53" s="2" t="inlineStr">
        <is>
          <t>Flooring - Sealed Concrete</t>
        </is>
      </c>
      <c r="B53" s="11" t="n">
        <v>58.21</v>
      </c>
      <c r="F53" s="11" t="n">
        <v>58.21</v>
      </c>
    </row>
    <row r="54">
      <c r="A54" s="2" t="inlineStr">
        <is>
          <t>Bathroom Accessories</t>
        </is>
      </c>
      <c r="B54" s="11" t="n">
        <v>517.5699999999999</v>
      </c>
      <c r="F54" s="11" t="n">
        <v>517.5699999999999</v>
      </c>
    </row>
    <row r="55">
      <c r="A55" s="2" t="inlineStr">
        <is>
          <t>Ceramic Tile Flooring</t>
        </is>
      </c>
      <c r="B55" s="11" t="n">
        <v>365.76</v>
      </c>
      <c r="F55" s="11" t="n">
        <v>365.76</v>
      </c>
    </row>
    <row r="56">
      <c r="A56" s="2" t="inlineStr">
        <is>
          <t>Cabinets / Millwork - Restrooms</t>
        </is>
      </c>
      <c r="B56" s="11" t="n">
        <v>304.95</v>
      </c>
      <c r="F56" s="11" t="n">
        <v>304.95</v>
      </c>
    </row>
    <row r="58">
      <c r="A58" s="3" t="inlineStr">
        <is>
          <t>Total Building Cost</t>
        </is>
      </c>
      <c r="B58" s="12" t="n">
        <v>42590.95999999999</v>
      </c>
      <c r="C58" s="12" t="n">
        <v>6389.570000000001</v>
      </c>
      <c r="E58" s="12" t="n">
        <v>720.9300000000001</v>
      </c>
      <c r="F58" s="12" t="n">
        <v>35480.46000000001</v>
      </c>
    </row>
    <row r="59">
      <c r="A59" s="2" t="inlineStr">
        <is>
          <t>% of Building Cost</t>
        </is>
      </c>
      <c r="C59" s="13" t="n">
        <v>0.15</v>
      </c>
      <c r="E59" s="13" t="n">
        <v>0.017</v>
      </c>
      <c r="F59" s="13" t="n">
        <v>0.833</v>
      </c>
    </row>
    <row r="61">
      <c r="A61" s="1" t="inlineStr">
        <is>
          <t>Asset Allocation:</t>
        </is>
      </c>
    </row>
    <row r="62">
      <c r="A62" s="2" t="inlineStr">
        <is>
          <t>Asset # 23-Building - Gentry</t>
        </is>
      </c>
      <c r="B62" s="11" t="n">
        <v>35350.51</v>
      </c>
      <c r="C62" s="11" t="n">
        <v>5303.35</v>
      </c>
      <c r="E62" s="11" t="n">
        <v>598.37</v>
      </c>
      <c r="F62" s="11" t="n">
        <v>29448.79</v>
      </c>
    </row>
    <row r="63">
      <c r="A63" s="2" t="inlineStr">
        <is>
          <t>Asset # 24-Equipment - Gentry</t>
        </is>
      </c>
      <c r="B63" s="11" t="n">
        <v>5962.73</v>
      </c>
      <c r="C63" s="11" t="n">
        <v>894.54</v>
      </c>
      <c r="E63" s="11" t="n">
        <v>100.93</v>
      </c>
      <c r="F63" s="11" t="n">
        <v>4967.259999999999</v>
      </c>
    </row>
    <row r="64">
      <c r="A64" s="2" t="inlineStr">
        <is>
          <t>Asset # 22-Land Improvements - Gentry</t>
        </is>
      </c>
      <c r="B64" s="11" t="n">
        <v>1277.72</v>
      </c>
      <c r="C64" s="11" t="n">
        <v>191.68</v>
      </c>
      <c r="E64" s="11" t="n">
        <v>21.63</v>
      </c>
      <c r="F64" s="11" t="n">
        <v>1064.41</v>
      </c>
    </row>
    <row r="65">
      <c r="A65" s="3" t="inlineStr">
        <is>
          <t>Total Allocation:</t>
        </is>
      </c>
      <c r="B65" s="12" t="n">
        <v>42590.96000000001</v>
      </c>
      <c r="C65" s="12" t="n">
        <v>6389.570000000001</v>
      </c>
      <c r="E65" s="12" t="n">
        <v>720.9299999999999</v>
      </c>
      <c r="F65" s="12" t="n">
        <v>35480.46000000001</v>
      </c>
    </row>
    <row r="67">
      <c r="A67" s="1" t="inlineStr">
        <is>
          <t>End Depreciation Reconciliation</t>
        </is>
      </c>
    </row>
    <row r="68">
      <c r="A68" s="2" t="inlineStr">
        <is>
          <t>Before Cost Segregation (As Previously Filed)</t>
        </is>
      </c>
      <c r="B68" s="4" t="n">
        <v>517926.62</v>
      </c>
    </row>
    <row r="69">
      <c r="A69" s="2" t="inlineStr">
        <is>
          <t>After Cost Segregation (Corrected)</t>
        </is>
      </c>
      <c r="B69" s="6" t="n">
        <v>514820.02</v>
      </c>
    </row>
    <row r="70">
      <c r="A70" s="7" t="inlineStr">
        <is>
          <t>Section 481(a) Adjustment</t>
        </is>
      </c>
      <c r="B70" s="14" t="n">
        <v>3106.6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Marrero 3 LP</t>
        </is>
      </c>
    </row>
    <row r="2">
      <c r="A2" s="2" t="inlineStr">
        <is>
          <t>Cost Segregation Study - 6800 Sayres Ave.</t>
        </is>
      </c>
    </row>
    <row r="3">
      <c r="A3" s="2" t="inlineStr">
        <is>
          <t>Report #107752-18</t>
        </is>
      </c>
    </row>
    <row r="5">
      <c r="A5" s="2" t="inlineStr">
        <is>
          <t>Acquisition Date:</t>
        </is>
      </c>
      <c r="B5" s="2" t="inlineStr">
        <is>
          <t>12/17/15</t>
        </is>
      </c>
    </row>
    <row r="8">
      <c r="A8" s="1" t="inlineStr">
        <is>
          <t>Marrero 3 LP - 6800 Sayres Ave.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835.7600000000001</v>
      </c>
      <c r="C16" s="11" t="n">
        <v>835.7600000000001</v>
      </c>
    </row>
    <row r="17">
      <c r="A17" s="2" t="inlineStr">
        <is>
          <t>Moldings</t>
        </is>
      </c>
      <c r="B17" s="11" t="n">
        <v>712.35</v>
      </c>
      <c r="C17" s="11" t="n">
        <v>712.35</v>
      </c>
    </row>
    <row r="18">
      <c r="A18" s="2" t="inlineStr">
        <is>
          <t>Flooring - Carpet</t>
        </is>
      </c>
      <c r="B18" s="11" t="n">
        <v>1187.54</v>
      </c>
      <c r="C18" s="11" t="n">
        <v>1187.54</v>
      </c>
    </row>
    <row r="19">
      <c r="A19" s="2" t="inlineStr">
        <is>
          <t>Flooring - Wood Laminate</t>
        </is>
      </c>
      <c r="B19" s="11" t="n">
        <v>1052.42</v>
      </c>
      <c r="C19" s="11" t="n">
        <v>1052.42</v>
      </c>
    </row>
    <row r="20">
      <c r="A20" s="2" t="inlineStr">
        <is>
          <t>Security System</t>
        </is>
      </c>
      <c r="B20" s="11" t="n">
        <v>530.5</v>
      </c>
      <c r="C20" s="11" t="n">
        <v>530.5</v>
      </c>
    </row>
    <row r="21">
      <c r="A21" s="2" t="inlineStr">
        <is>
          <t>Window Treatments</t>
        </is>
      </c>
      <c r="B21" s="11" t="n">
        <v>622.76</v>
      </c>
      <c r="C21" s="11" t="n">
        <v>622.76</v>
      </c>
    </row>
    <row r="22">
      <c r="A22" s="2" t="inlineStr">
        <is>
          <t>Specialty HVAC - Dryer Vents</t>
        </is>
      </c>
      <c r="B22" s="11" t="n">
        <v>33.34</v>
      </c>
      <c r="C22" s="11" t="n">
        <v>33.34</v>
      </c>
    </row>
    <row r="23">
      <c r="A23" s="2" t="inlineStr">
        <is>
          <t>Building Signage</t>
        </is>
      </c>
      <c r="B23" s="11" t="n">
        <v>21.93</v>
      </c>
      <c r="C23" s="11" t="n">
        <v>21.93</v>
      </c>
    </row>
    <row r="24">
      <c r="A24" s="2" t="inlineStr">
        <is>
          <t>Specialty Electrical - Appliances</t>
        </is>
      </c>
      <c r="B24" s="11" t="n">
        <v>569.3999999999999</v>
      </c>
      <c r="C24" s="11" t="n">
        <v>569.3999999999999</v>
      </c>
    </row>
    <row r="25">
      <c r="A25" s="2" t="inlineStr">
        <is>
          <t>Communication / Data</t>
        </is>
      </c>
      <c r="B25" s="11" t="n">
        <v>284.9</v>
      </c>
      <c r="C25" s="11" t="n">
        <v>284.9</v>
      </c>
    </row>
    <row r="26">
      <c r="A26" s="2" t="inlineStr">
        <is>
          <t>Specialty Plumbing - Kitchen Sink / Laundry</t>
        </is>
      </c>
      <c r="B26" s="11" t="n">
        <v>623.4400000000001</v>
      </c>
      <c r="C26" s="11" t="n">
        <v>623.4400000000001</v>
      </c>
    </row>
    <row r="27">
      <c r="A27" s="2" t="inlineStr">
        <is>
          <t>Security / Exterior Lighting</t>
        </is>
      </c>
      <c r="B27" s="11" t="n">
        <v>123.66</v>
      </c>
      <c r="C27" s="11" t="n">
        <v>123.66</v>
      </c>
    </row>
    <row r="28">
      <c r="A28" s="2" t="inlineStr">
        <is>
          <t>Appliances</t>
        </is>
      </c>
      <c r="B28" s="11" t="n">
        <v>624.5600000000001</v>
      </c>
      <c r="C28" s="11" t="n">
        <v>624.5600000000001</v>
      </c>
    </row>
    <row r="30">
      <c r="A30" s="10" t="inlineStr">
        <is>
          <t>Site Work / Improvements</t>
        </is>
      </c>
    </row>
    <row r="31">
      <c r="A31" s="2" t="inlineStr">
        <is>
          <t>Driveway</t>
        </is>
      </c>
      <c r="B31" s="11" t="n">
        <v>669.91</v>
      </c>
      <c r="E31" s="11" t="n">
        <v>669.91</v>
      </c>
    </row>
    <row r="32">
      <c r="A32" s="2" t="inlineStr">
        <is>
          <t>Sidewalks / Curbs</t>
        </is>
      </c>
      <c r="B32" s="11" t="n">
        <v>276.49</v>
      </c>
      <c r="E32" s="11" t="n">
        <v>276.49</v>
      </c>
    </row>
    <row r="33">
      <c r="A33" s="2" t="inlineStr">
        <is>
          <t>Landscaping</t>
        </is>
      </c>
      <c r="B33" s="11" t="n">
        <v>16.47</v>
      </c>
      <c r="E33" s="11" t="n">
        <v>16.47</v>
      </c>
    </row>
    <row r="34">
      <c r="A34" s="2" t="inlineStr">
        <is>
          <t>Exterior Equipment Concrete Pads</t>
        </is>
      </c>
      <c r="B34" s="11" t="n">
        <v>38.5</v>
      </c>
      <c r="E34" s="11" t="n">
        <v>38.5</v>
      </c>
    </row>
    <row r="35">
      <c r="A35" s="2" t="inlineStr">
        <is>
          <t>Mailboxes</t>
        </is>
      </c>
      <c r="B35" s="11" t="n">
        <v>23.87</v>
      </c>
      <c r="E35" s="11" t="n">
        <v>23.87</v>
      </c>
    </row>
    <row r="37">
      <c r="A37" s="10" t="inlineStr">
        <is>
          <t>Building Structure</t>
        </is>
      </c>
    </row>
    <row r="38">
      <c r="A38" s="2" t="inlineStr">
        <is>
          <t>Roofing Systems</t>
        </is>
      </c>
      <c r="B38" s="11" t="n">
        <v>1690.23</v>
      </c>
      <c r="F38" s="11" t="n">
        <v>1690.23</v>
      </c>
    </row>
    <row r="39">
      <c r="A39" s="2" t="inlineStr">
        <is>
          <t>Foundations</t>
        </is>
      </c>
      <c r="B39" s="11" t="n">
        <v>2714.92</v>
      </c>
      <c r="F39" s="11" t="n">
        <v>2714.92</v>
      </c>
    </row>
    <row r="40">
      <c r="A40" s="2" t="inlineStr">
        <is>
          <t>HVAC</t>
        </is>
      </c>
      <c r="B40" s="11" t="n">
        <v>2934.13</v>
      </c>
      <c r="F40" s="11" t="n">
        <v>2934.13</v>
      </c>
    </row>
    <row r="41">
      <c r="A41" s="2" t="inlineStr">
        <is>
          <t>Electrical</t>
        </is>
      </c>
      <c r="B41" s="11" t="n">
        <v>3148.18</v>
      </c>
      <c r="F41" s="11" t="n">
        <v>3148.18</v>
      </c>
    </row>
    <row r="42">
      <c r="A42" s="2" t="inlineStr">
        <is>
          <t>Plumbing</t>
        </is>
      </c>
      <c r="B42" s="11" t="n">
        <v>2579.61</v>
      </c>
      <c r="F42" s="11" t="n">
        <v>2579.61</v>
      </c>
    </row>
    <row r="43">
      <c r="A43" s="2" t="inlineStr">
        <is>
          <t>Fire Protection &amp; Alarm</t>
        </is>
      </c>
      <c r="B43" s="11" t="n">
        <v>199.61</v>
      </c>
      <c r="F43" s="11" t="n">
        <v>199.61</v>
      </c>
    </row>
    <row r="44">
      <c r="A44" s="2" t="inlineStr">
        <is>
          <t>Exterior Façade / Building Skin</t>
        </is>
      </c>
      <c r="B44" s="11" t="n">
        <v>2160.08</v>
      </c>
      <c r="F44" s="11" t="n">
        <v>2160.08</v>
      </c>
    </row>
    <row r="45">
      <c r="A45" s="2" t="inlineStr">
        <is>
          <t>Doors &amp; Frames</t>
        </is>
      </c>
      <c r="B45" s="11" t="n">
        <v>1998.37</v>
      </c>
      <c r="F45" s="11" t="n">
        <v>1998.37</v>
      </c>
    </row>
    <row r="46">
      <c r="A46" s="2" t="inlineStr">
        <is>
          <t>Windows</t>
        </is>
      </c>
      <c r="B46" s="11" t="n">
        <v>1909.62</v>
      </c>
      <c r="F46" s="11" t="n">
        <v>1909.62</v>
      </c>
    </row>
    <row r="47">
      <c r="A47" s="2" t="inlineStr">
        <is>
          <t>Ceiling Systems</t>
        </is>
      </c>
      <c r="B47" s="11" t="n">
        <v>1505.06</v>
      </c>
      <c r="F47" s="11" t="n">
        <v>1505.06</v>
      </c>
    </row>
    <row r="48">
      <c r="A48" s="2" t="inlineStr">
        <is>
          <t>Interior Framing / Partitions</t>
        </is>
      </c>
      <c r="B48" s="11" t="n">
        <v>5656.78</v>
      </c>
      <c r="F48" s="11" t="n">
        <v>5656.78</v>
      </c>
    </row>
    <row r="49">
      <c r="A49" s="2" t="inlineStr">
        <is>
          <t>Painting</t>
        </is>
      </c>
      <c r="B49" s="11" t="n">
        <v>1800.79</v>
      </c>
      <c r="F49" s="11" t="n">
        <v>1800.79</v>
      </c>
    </row>
    <row r="50">
      <c r="A50" s="2" t="inlineStr">
        <is>
          <t>Gutter Systems</t>
        </is>
      </c>
      <c r="B50" s="11" t="n">
        <v>563.3900000000001</v>
      </c>
      <c r="F50" s="11" t="n">
        <v>563.3900000000001</v>
      </c>
    </row>
    <row r="51">
      <c r="A51" s="2" t="inlineStr">
        <is>
          <t>Structural Framing</t>
        </is>
      </c>
      <c r="B51" s="11" t="n">
        <v>5028.83</v>
      </c>
      <c r="F51" s="11" t="n">
        <v>5028.83</v>
      </c>
    </row>
    <row r="52">
      <c r="A52" s="2" t="inlineStr">
        <is>
          <t>Site Utilities</t>
        </is>
      </c>
      <c r="B52" s="11" t="n">
        <v>476.38</v>
      </c>
      <c r="F52" s="11" t="n">
        <v>476.38</v>
      </c>
    </row>
    <row r="53">
      <c r="A53" s="2" t="inlineStr">
        <is>
          <t>Stairs / Balconies</t>
        </is>
      </c>
      <c r="B53" s="11" t="n">
        <v>845.9299999999999</v>
      </c>
      <c r="F53" s="11" t="n">
        <v>845.9299999999999</v>
      </c>
    </row>
    <row r="54">
      <c r="A54" s="2" t="inlineStr">
        <is>
          <t>Garage Doors</t>
        </is>
      </c>
      <c r="B54" s="11" t="n">
        <v>439.55</v>
      </c>
      <c r="F54" s="11" t="n">
        <v>439.55</v>
      </c>
    </row>
    <row r="55">
      <c r="A55" s="2" t="inlineStr">
        <is>
          <t>Flooring - Sealed Concrete</t>
        </is>
      </c>
      <c r="B55" s="11" t="n">
        <v>54.06</v>
      </c>
      <c r="F55" s="11" t="n">
        <v>54.06</v>
      </c>
    </row>
    <row r="56">
      <c r="A56" s="2" t="inlineStr">
        <is>
          <t>Bathroom Accessories</t>
        </is>
      </c>
      <c r="B56" s="11" t="n">
        <v>517.5699999999999</v>
      </c>
      <c r="F56" s="11" t="n">
        <v>517.5699999999999</v>
      </c>
    </row>
    <row r="57">
      <c r="A57" s="2" t="inlineStr">
        <is>
          <t>Ceramic Tile Flooring</t>
        </is>
      </c>
      <c r="B57" s="11" t="n">
        <v>81.28</v>
      </c>
      <c r="F57" s="11" t="n">
        <v>81.28</v>
      </c>
    </row>
    <row r="58">
      <c r="A58" s="2" t="inlineStr">
        <is>
          <t>Cabinets / Millwork - Restrooms</t>
        </is>
      </c>
      <c r="B58" s="11" t="n">
        <v>308.22</v>
      </c>
      <c r="F58" s="11" t="n">
        <v>308.22</v>
      </c>
    </row>
    <row r="60">
      <c r="A60" s="3" t="inlineStr">
        <is>
          <t>Total Building Cost</t>
        </is>
      </c>
      <c r="B60" s="12" t="n">
        <v>44860.39000000001</v>
      </c>
      <c r="C60" s="12" t="n">
        <v>7222.56</v>
      </c>
      <c r="E60" s="12" t="n">
        <v>1025.24</v>
      </c>
      <c r="F60" s="12" t="n">
        <v>36612.59</v>
      </c>
    </row>
    <row r="61">
      <c r="A61" s="2" t="inlineStr">
        <is>
          <t>% of Building Cost</t>
        </is>
      </c>
      <c r="C61" s="13" t="n">
        <v>0.161</v>
      </c>
      <c r="E61" s="13" t="n">
        <v>0.023</v>
      </c>
      <c r="F61" s="13" t="n">
        <v>0.8159999999999999</v>
      </c>
    </row>
    <row r="63">
      <c r="A63" s="1" t="inlineStr">
        <is>
          <t>Asset Allocation:</t>
        </is>
      </c>
    </row>
    <row r="64">
      <c r="A64" s="2" t="inlineStr">
        <is>
          <t>Asset # 23-Building - Gentry</t>
        </is>
      </c>
      <c r="B64" s="11" t="n">
        <v>37234.13</v>
      </c>
      <c r="C64" s="11" t="n">
        <v>5994.73</v>
      </c>
      <c r="E64" s="11" t="n">
        <v>850.95</v>
      </c>
      <c r="F64" s="11" t="n">
        <v>30388.45</v>
      </c>
    </row>
    <row r="65">
      <c r="A65" s="2" t="inlineStr">
        <is>
          <t>Asset # 24-Equipment - Gentry</t>
        </is>
      </c>
      <c r="B65" s="11" t="n">
        <v>6280.45</v>
      </c>
      <c r="C65" s="11" t="n">
        <v>1011.16</v>
      </c>
      <c r="E65" s="11" t="n">
        <v>143.53</v>
      </c>
      <c r="F65" s="11" t="n">
        <v>5125.76</v>
      </c>
    </row>
    <row r="66">
      <c r="A66" s="2" t="inlineStr">
        <is>
          <t>Asset # 22-Land Improvements - Gentry</t>
        </is>
      </c>
      <c r="B66" s="11" t="n">
        <v>1345.81</v>
      </c>
      <c r="C66" s="11" t="n">
        <v>216.67</v>
      </c>
      <c r="E66" s="11" t="n">
        <v>30.76</v>
      </c>
      <c r="F66" s="11" t="n">
        <v>1098.38</v>
      </c>
    </row>
    <row r="67">
      <c r="A67" s="3" t="inlineStr">
        <is>
          <t>Total Allocation:</t>
        </is>
      </c>
      <c r="B67" s="12" t="n">
        <v>44860.38999999999</v>
      </c>
      <c r="C67" s="12" t="n">
        <v>7222.559999999999</v>
      </c>
      <c r="E67" s="12" t="n">
        <v>1025.24</v>
      </c>
      <c r="F67" s="12" t="n">
        <v>36612.59</v>
      </c>
    </row>
    <row r="69">
      <c r="A69" s="1" t="inlineStr">
        <is>
          <t>End Depreciation Reconciliation</t>
        </is>
      </c>
    </row>
    <row r="70">
      <c r="A70" s="2" t="inlineStr">
        <is>
          <t>Before Cost Segregation (As Previously Filed)</t>
        </is>
      </c>
      <c r="B70" s="4" t="n">
        <v>102285.38</v>
      </c>
    </row>
    <row r="71">
      <c r="A71" s="2" t="inlineStr">
        <is>
          <t>After Cost Segregation (Corrected)</t>
        </is>
      </c>
      <c r="B71" s="6" t="n">
        <v>105071.7</v>
      </c>
    </row>
    <row r="72">
      <c r="A72" s="7" t="inlineStr">
        <is>
          <t>Section 481(a) Adjustment</t>
        </is>
      </c>
      <c r="B72" s="14" t="n">
        <v>-2786.32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Marrero 3 LP</t>
        </is>
      </c>
    </row>
    <row r="2">
      <c r="A2" s="2" t="inlineStr">
        <is>
          <t>Cost Segregation Study - 7141 Kayla Dr.</t>
        </is>
      </c>
    </row>
    <row r="3">
      <c r="A3" s="2" t="inlineStr">
        <is>
          <t>Report #107752-18</t>
        </is>
      </c>
    </row>
    <row r="5">
      <c r="A5" s="2" t="inlineStr">
        <is>
          <t>Acquisition Date:</t>
        </is>
      </c>
      <c r="B5" s="2" t="inlineStr">
        <is>
          <t>12/17/15</t>
        </is>
      </c>
    </row>
    <row r="8">
      <c r="A8" s="1" t="inlineStr">
        <is>
          <t>Marrero 3 LP - 7141 Kayla Dr.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1224.05</v>
      </c>
      <c r="C16" s="11" t="n">
        <v>1224.05</v>
      </c>
    </row>
    <row r="17">
      <c r="A17" s="2" t="inlineStr">
        <is>
          <t>Moldings</t>
        </is>
      </c>
      <c r="B17" s="11" t="n">
        <v>1003.14</v>
      </c>
      <c r="C17" s="11" t="n">
        <v>1003.14</v>
      </c>
    </row>
    <row r="18">
      <c r="A18" s="2" t="inlineStr">
        <is>
          <t>Flooring - Wood Laminate</t>
        </is>
      </c>
      <c r="B18" s="11" t="n">
        <v>1894.04</v>
      </c>
      <c r="C18" s="11" t="n">
        <v>1894.04</v>
      </c>
    </row>
    <row r="19">
      <c r="A19" s="2" t="inlineStr">
        <is>
          <t>Security System</t>
        </is>
      </c>
      <c r="B19" s="11" t="n">
        <v>398.3599999999999</v>
      </c>
      <c r="C19" s="11" t="n">
        <v>398.3599999999999</v>
      </c>
    </row>
    <row r="20">
      <c r="A20" s="2" t="inlineStr">
        <is>
          <t>Window Treatments</t>
        </is>
      </c>
      <c r="B20" s="11" t="n">
        <v>254.6</v>
      </c>
      <c r="C20" s="11" t="n">
        <v>254.6</v>
      </c>
    </row>
    <row r="21">
      <c r="A21" s="2" t="inlineStr">
        <is>
          <t>Specialty HVAC - Dryer Vents</t>
        </is>
      </c>
      <c r="B21" s="11" t="n">
        <v>33.89</v>
      </c>
      <c r="C21" s="11" t="n">
        <v>33.89</v>
      </c>
    </row>
    <row r="22">
      <c r="A22" s="2" t="inlineStr">
        <is>
          <t>Building Signage</t>
        </is>
      </c>
      <c r="B22" s="11" t="n">
        <v>22.29</v>
      </c>
      <c r="C22" s="11" t="n">
        <v>22.29</v>
      </c>
    </row>
    <row r="23">
      <c r="A23" s="2" t="inlineStr">
        <is>
          <t>Specialty Electrical - Appliances</t>
        </is>
      </c>
      <c r="B23" s="11" t="n">
        <v>578.78</v>
      </c>
      <c r="C23" s="11" t="n">
        <v>578.78</v>
      </c>
    </row>
    <row r="24">
      <c r="A24" s="2" t="inlineStr">
        <is>
          <t>Communication / Data</t>
        </is>
      </c>
      <c r="B24" s="11" t="n">
        <v>248.02</v>
      </c>
      <c r="C24" s="11" t="n">
        <v>248.02</v>
      </c>
    </row>
    <row r="25">
      <c r="A25" s="2" t="inlineStr">
        <is>
          <t>Specialty Plumbing - Kitchen Sink / Laundry</t>
        </is>
      </c>
      <c r="B25" s="11" t="n">
        <v>633.66</v>
      </c>
      <c r="C25" s="11" t="n">
        <v>633.66</v>
      </c>
    </row>
    <row r="26">
      <c r="A26" s="2" t="inlineStr">
        <is>
          <t>Security / Exterior Lighting</t>
        </is>
      </c>
      <c r="B26" s="11" t="n">
        <v>125.71</v>
      </c>
      <c r="C26" s="11" t="n">
        <v>125.71</v>
      </c>
    </row>
    <row r="27">
      <c r="A27" s="2" t="inlineStr">
        <is>
          <t>Appliances</t>
        </is>
      </c>
      <c r="B27" s="11" t="n">
        <v>634.8199999999999</v>
      </c>
      <c r="C27" s="11" t="n">
        <v>634.8199999999999</v>
      </c>
    </row>
    <row r="29">
      <c r="A29" s="10" t="inlineStr">
        <is>
          <t>Site Work / Improvements</t>
        </is>
      </c>
    </row>
    <row r="30">
      <c r="A30" s="2" t="inlineStr">
        <is>
          <t>Driveway</t>
        </is>
      </c>
      <c r="B30" s="11" t="n">
        <v>506.65</v>
      </c>
      <c r="E30" s="11" t="n">
        <v>506.65</v>
      </c>
    </row>
    <row r="31">
      <c r="A31" s="2" t="inlineStr">
        <is>
          <t>Sidewalks / Curbs</t>
        </is>
      </c>
      <c r="B31" s="11" t="n">
        <v>229.17</v>
      </c>
      <c r="E31" s="11" t="n">
        <v>229.17</v>
      </c>
    </row>
    <row r="32">
      <c r="A32" s="2" t="inlineStr">
        <is>
          <t>Exterior Equipment Concrete Pads</t>
        </is>
      </c>
      <c r="B32" s="11" t="n">
        <v>39.13</v>
      </c>
      <c r="E32" s="11" t="n">
        <v>39.13</v>
      </c>
    </row>
    <row r="33">
      <c r="A33" s="2" t="inlineStr">
        <is>
          <t>Mailboxes</t>
        </is>
      </c>
      <c r="B33" s="11" t="n">
        <v>24.26</v>
      </c>
      <c r="E33" s="11" t="n">
        <v>24.26</v>
      </c>
    </row>
    <row r="35">
      <c r="A35" s="10" t="inlineStr">
        <is>
          <t>Building Structure</t>
        </is>
      </c>
    </row>
    <row r="36">
      <c r="A36" s="2" t="inlineStr">
        <is>
          <t>Roofing Systems</t>
        </is>
      </c>
      <c r="B36" s="11" t="n">
        <v>2548.43</v>
      </c>
      <c r="F36" s="11" t="n">
        <v>2548.43</v>
      </c>
    </row>
    <row r="37">
      <c r="A37" s="2" t="inlineStr">
        <is>
          <t>Foundations</t>
        </is>
      </c>
      <c r="B37" s="11" t="n">
        <v>5484.79</v>
      </c>
      <c r="F37" s="11" t="n">
        <v>5484.79</v>
      </c>
    </row>
    <row r="38">
      <c r="A38" s="2" t="inlineStr">
        <is>
          <t>HVAC</t>
        </is>
      </c>
      <c r="B38" s="11" t="n">
        <v>2549.45</v>
      </c>
      <c r="F38" s="11" t="n">
        <v>2549.45</v>
      </c>
    </row>
    <row r="39">
      <c r="A39" s="2" t="inlineStr">
        <is>
          <t>Electrical</t>
        </is>
      </c>
      <c r="B39" s="11" t="n">
        <v>2713.95</v>
      </c>
      <c r="F39" s="11" t="n">
        <v>2713.95</v>
      </c>
    </row>
    <row r="40">
      <c r="A40" s="2" t="inlineStr">
        <is>
          <t>Plumbing</t>
        </is>
      </c>
      <c r="B40" s="11" t="n">
        <v>2245.68</v>
      </c>
      <c r="F40" s="11" t="n">
        <v>2245.68</v>
      </c>
    </row>
    <row r="41">
      <c r="A41" s="2" t="inlineStr">
        <is>
          <t>Fire Protection &amp; Alarm</t>
        </is>
      </c>
      <c r="B41" s="11" t="n">
        <v>169.07</v>
      </c>
      <c r="F41" s="11" t="n">
        <v>169.07</v>
      </c>
    </row>
    <row r="42">
      <c r="A42" s="2" t="inlineStr">
        <is>
          <t>Exterior Façade / Building Skin</t>
        </is>
      </c>
      <c r="B42" s="11" t="n">
        <v>2358.3</v>
      </c>
      <c r="F42" s="11" t="n">
        <v>2358.3</v>
      </c>
    </row>
    <row r="43">
      <c r="A43" s="2" t="inlineStr">
        <is>
          <t>Doors &amp; Frames</t>
        </is>
      </c>
      <c r="B43" s="11" t="n">
        <v>1892.23</v>
      </c>
      <c r="F43" s="11" t="n">
        <v>1892.23</v>
      </c>
    </row>
    <row r="44">
      <c r="A44" s="2" t="inlineStr">
        <is>
          <t>Windows</t>
        </is>
      </c>
      <c r="B44" s="11" t="n">
        <v>1122.14</v>
      </c>
      <c r="F44" s="11" t="n">
        <v>1122.14</v>
      </c>
    </row>
    <row r="45">
      <c r="A45" s="2" t="inlineStr">
        <is>
          <t>Ceiling Systems</t>
        </is>
      </c>
      <c r="B45" s="11" t="n">
        <v>1326.93</v>
      </c>
      <c r="F45" s="11" t="n">
        <v>1326.93</v>
      </c>
    </row>
    <row r="46">
      <c r="A46" s="2" t="inlineStr">
        <is>
          <t>Interior Framing / Partitions</t>
        </is>
      </c>
      <c r="B46" s="11" t="n">
        <v>4881.530000000001</v>
      </c>
      <c r="F46" s="11" t="n">
        <v>4881.530000000001</v>
      </c>
    </row>
    <row r="47">
      <c r="A47" s="2" t="inlineStr">
        <is>
          <t>Painting</t>
        </is>
      </c>
      <c r="B47" s="11" t="n">
        <v>1557.23</v>
      </c>
      <c r="F47" s="11" t="n">
        <v>1557.23</v>
      </c>
    </row>
    <row r="48">
      <c r="A48" s="2" t="inlineStr">
        <is>
          <t>Structural Framing</t>
        </is>
      </c>
      <c r="B48" s="11" t="n">
        <v>4653.25</v>
      </c>
      <c r="F48" s="11" t="n">
        <v>4653.25</v>
      </c>
    </row>
    <row r="49">
      <c r="A49" s="2" t="inlineStr">
        <is>
          <t>Site Utilities</t>
        </is>
      </c>
      <c r="B49" s="11" t="n">
        <v>419.93</v>
      </c>
      <c r="F49" s="11" t="n">
        <v>419.93</v>
      </c>
    </row>
    <row r="50">
      <c r="A50" s="2" t="inlineStr">
        <is>
          <t>Garage Doors</t>
        </is>
      </c>
      <c r="B50" s="11" t="n">
        <v>446.76</v>
      </c>
      <c r="F50" s="11" t="n">
        <v>446.76</v>
      </c>
    </row>
    <row r="51">
      <c r="A51" s="2" t="inlineStr">
        <is>
          <t>Flooring - Sealed Concrete</t>
        </is>
      </c>
      <c r="B51" s="11" t="n">
        <v>59.16999999999999</v>
      </c>
      <c r="F51" s="11" t="n">
        <v>59.16999999999999</v>
      </c>
    </row>
    <row r="52">
      <c r="A52" s="2" t="inlineStr">
        <is>
          <t>Bathroom Accessories</t>
        </is>
      </c>
      <c r="B52" s="11" t="n">
        <v>526.09</v>
      </c>
      <c r="F52" s="11" t="n">
        <v>526.09</v>
      </c>
    </row>
    <row r="53">
      <c r="A53" s="2" t="inlineStr">
        <is>
          <t>Cabinets / Millwork - Restrooms</t>
        </is>
      </c>
      <c r="B53" s="11" t="n">
        <v>314.69</v>
      </c>
      <c r="F53" s="11" t="n">
        <v>314.69</v>
      </c>
    </row>
    <row r="55">
      <c r="A55" s="3" t="inlineStr">
        <is>
          <t>Total Building Cost</t>
        </is>
      </c>
      <c r="B55" s="12" t="n">
        <v>43120.19</v>
      </c>
      <c r="C55" s="12" t="n">
        <v>7051.36</v>
      </c>
      <c r="E55" s="12" t="n">
        <v>799.21</v>
      </c>
      <c r="F55" s="12" t="n">
        <v>35269.62</v>
      </c>
    </row>
    <row r="56">
      <c r="A56" s="2" t="inlineStr">
        <is>
          <t>% of Building Cost</t>
        </is>
      </c>
      <c r="C56" s="13" t="n">
        <v>0.164</v>
      </c>
      <c r="E56" s="13" t="n">
        <v>0.019</v>
      </c>
      <c r="F56" s="13" t="n">
        <v>0.8169999999999999</v>
      </c>
    </row>
    <row r="58">
      <c r="A58" s="1" t="inlineStr">
        <is>
          <t>Asset Allocation:</t>
        </is>
      </c>
    </row>
    <row r="59">
      <c r="A59" s="2" t="inlineStr">
        <is>
          <t>Asset # 8-Building - Kayla Court</t>
        </is>
      </c>
      <c r="B59" s="11" t="n">
        <v>33633.76</v>
      </c>
      <c r="C59" s="11" t="n">
        <v>5500.06</v>
      </c>
      <c r="E59" s="11" t="n">
        <v>623.38</v>
      </c>
      <c r="F59" s="11" t="n">
        <v>27510.32</v>
      </c>
    </row>
    <row r="60">
      <c r="A60" s="2" t="inlineStr">
        <is>
          <t>Asset # 9-Equipment - Kayla Court</t>
        </is>
      </c>
      <c r="B60" s="11" t="n">
        <v>6899.22</v>
      </c>
      <c r="C60" s="11" t="n">
        <v>1128.22</v>
      </c>
      <c r="E60" s="11" t="n">
        <v>127.87</v>
      </c>
      <c r="F60" s="11" t="n">
        <v>5643.13</v>
      </c>
    </row>
    <row r="61">
      <c r="A61" s="2" t="inlineStr">
        <is>
          <t>Asset # 7- Land Improvements - Kayla Court</t>
        </is>
      </c>
      <c r="B61" s="11" t="n">
        <v>2587.21</v>
      </c>
      <c r="C61" s="11" t="n">
        <v>423.08</v>
      </c>
      <c r="E61" s="11" t="n">
        <v>47.96</v>
      </c>
      <c r="F61" s="11" t="n">
        <v>2116.17</v>
      </c>
    </row>
    <row r="62">
      <c r="A62" s="3" t="inlineStr">
        <is>
          <t>Total Allocation:</t>
        </is>
      </c>
      <c r="B62" s="12" t="n">
        <v>43120.19</v>
      </c>
      <c r="C62" s="12" t="n">
        <v>7051.360000000001</v>
      </c>
      <c r="E62" s="12" t="n">
        <v>799.21</v>
      </c>
      <c r="F62" s="12" t="n">
        <v>35269.62</v>
      </c>
    </row>
    <row r="64">
      <c r="A64" s="1" t="inlineStr">
        <is>
          <t>End Depreciation Reconciliation</t>
        </is>
      </c>
    </row>
    <row r="65">
      <c r="A65" s="2" t="inlineStr">
        <is>
          <t>Before Cost Segregation (As Previously Filed)</t>
        </is>
      </c>
      <c r="B65" s="4" t="n">
        <v>523830.88</v>
      </c>
    </row>
    <row r="66">
      <c r="A66" s="2" t="inlineStr">
        <is>
          <t>After Cost Segregation (Corrected)</t>
        </is>
      </c>
      <c r="B66" s="6" t="n">
        <v>523398.82</v>
      </c>
    </row>
    <row r="67">
      <c r="A67" s="7" t="inlineStr">
        <is>
          <t>Section 481(a) Adjustment</t>
        </is>
      </c>
      <c r="B67" s="14" t="n">
        <v>432.06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Marrero 3 LP</t>
        </is>
      </c>
    </row>
    <row r="2">
      <c r="A2" s="2" t="inlineStr">
        <is>
          <t>Cost Segregation Study - 112 Kayla Dr.</t>
        </is>
      </c>
    </row>
    <row r="3">
      <c r="A3" s="2" t="inlineStr">
        <is>
          <t>Report #107752-18</t>
        </is>
      </c>
    </row>
    <row r="5">
      <c r="A5" s="2" t="inlineStr">
        <is>
          <t>Acquisition Date:</t>
        </is>
      </c>
      <c r="B5" s="2" t="inlineStr">
        <is>
          <t>12/17/15</t>
        </is>
      </c>
    </row>
    <row r="8">
      <c r="A8" s="1" t="inlineStr">
        <is>
          <t>Marrero 3 LP - 112 Kayla Dr.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1253.18</v>
      </c>
      <c r="C16" s="11" t="n">
        <v>1253.18</v>
      </c>
    </row>
    <row r="17">
      <c r="A17" s="2" t="inlineStr">
        <is>
          <t>Moldings</t>
        </is>
      </c>
      <c r="B17" s="11" t="n">
        <v>1025.1</v>
      </c>
      <c r="C17" s="11" t="n">
        <v>1025.1</v>
      </c>
    </row>
    <row r="18">
      <c r="A18" s="2" t="inlineStr">
        <is>
          <t>Flooring - Wood Laminate</t>
        </is>
      </c>
      <c r="B18" s="11" t="n">
        <v>1949.87</v>
      </c>
      <c r="C18" s="11" t="n">
        <v>1949.87</v>
      </c>
    </row>
    <row r="19">
      <c r="A19" s="2" t="inlineStr">
        <is>
          <t>Security System</t>
        </is>
      </c>
      <c r="B19" s="11" t="n">
        <v>539.1999999999999</v>
      </c>
      <c r="C19" s="11" t="n">
        <v>539.1999999999999</v>
      </c>
    </row>
    <row r="20">
      <c r="A20" s="2" t="inlineStr">
        <is>
          <t>Window Treatments</t>
        </is>
      </c>
      <c r="B20" s="11" t="n">
        <v>392.2</v>
      </c>
      <c r="C20" s="11" t="n">
        <v>392.2</v>
      </c>
    </row>
    <row r="21">
      <c r="A21" s="2" t="inlineStr">
        <is>
          <t>Specialty HVAC - Dryer Vents</t>
        </is>
      </c>
      <c r="B21" s="11" t="n">
        <v>33.89</v>
      </c>
      <c r="C21" s="11" t="n">
        <v>33.89</v>
      </c>
    </row>
    <row r="22">
      <c r="A22" s="2" t="inlineStr">
        <is>
          <t>Building Signage</t>
        </is>
      </c>
      <c r="B22" s="11" t="n">
        <v>22.29</v>
      </c>
      <c r="C22" s="11" t="n">
        <v>22.29</v>
      </c>
    </row>
    <row r="23">
      <c r="A23" s="2" t="inlineStr">
        <is>
          <t>Specialty Electrical - Appliances</t>
        </is>
      </c>
      <c r="B23" s="11" t="n">
        <v>578.78</v>
      </c>
      <c r="C23" s="11" t="n">
        <v>578.78</v>
      </c>
    </row>
    <row r="24">
      <c r="A24" s="2" t="inlineStr">
        <is>
          <t>Communication / Data</t>
        </is>
      </c>
      <c r="B24" s="11" t="n">
        <v>255.33</v>
      </c>
      <c r="C24" s="11" t="n">
        <v>255.33</v>
      </c>
    </row>
    <row r="25">
      <c r="A25" s="2" t="inlineStr">
        <is>
          <t>Specialty Plumbing - Kitchen Sink / Laundry</t>
        </is>
      </c>
      <c r="B25" s="11" t="n">
        <v>633.66</v>
      </c>
      <c r="C25" s="11" t="n">
        <v>633.66</v>
      </c>
    </row>
    <row r="26">
      <c r="A26" s="2" t="inlineStr">
        <is>
          <t>Security / Exterior Lighting</t>
        </is>
      </c>
      <c r="B26" s="11" t="n">
        <v>125.71</v>
      </c>
      <c r="C26" s="11" t="n">
        <v>125.71</v>
      </c>
    </row>
    <row r="27">
      <c r="A27" s="2" t="inlineStr">
        <is>
          <t>Appliances</t>
        </is>
      </c>
      <c r="B27" s="11" t="n">
        <v>634.8199999999999</v>
      </c>
      <c r="C27" s="11" t="n">
        <v>634.8199999999999</v>
      </c>
    </row>
    <row r="29">
      <c r="A29" s="10" t="inlineStr">
        <is>
          <t>Site Work / Improvements</t>
        </is>
      </c>
    </row>
    <row r="30">
      <c r="A30" s="2" t="inlineStr">
        <is>
          <t>Driveway</t>
        </is>
      </c>
      <c r="B30" s="11" t="n">
        <v>440.5</v>
      </c>
      <c r="E30" s="11" t="n">
        <v>440.5</v>
      </c>
    </row>
    <row r="31">
      <c r="A31" s="2" t="inlineStr">
        <is>
          <t>Sidewalks / Curbs</t>
        </is>
      </c>
      <c r="B31" s="11" t="n">
        <v>159.55</v>
      </c>
      <c r="E31" s="11" t="n">
        <v>159.55</v>
      </c>
    </row>
    <row r="32">
      <c r="A32" s="2" t="inlineStr">
        <is>
          <t>Exterior Equipment Concrete Pads</t>
        </is>
      </c>
      <c r="B32" s="11" t="n">
        <v>39.13</v>
      </c>
      <c r="E32" s="11" t="n">
        <v>39.13</v>
      </c>
    </row>
    <row r="33">
      <c r="A33" s="2" t="inlineStr">
        <is>
          <t>Mailboxes</t>
        </is>
      </c>
      <c r="B33" s="11" t="n">
        <v>24.26</v>
      </c>
      <c r="E33" s="11" t="n">
        <v>24.26</v>
      </c>
    </row>
    <row r="35">
      <c r="A35" s="10" t="inlineStr">
        <is>
          <t>Building Structure</t>
        </is>
      </c>
    </row>
    <row r="36">
      <c r="A36" s="2" t="inlineStr">
        <is>
          <t>Roofing Systems</t>
        </is>
      </c>
      <c r="B36" s="11" t="n">
        <v>2834.33</v>
      </c>
      <c r="F36" s="11" t="n">
        <v>2834.33</v>
      </c>
    </row>
    <row r="37">
      <c r="A37" s="2" t="inlineStr">
        <is>
          <t>Foundations</t>
        </is>
      </c>
      <c r="B37" s="11" t="n">
        <v>5611.36</v>
      </c>
      <c r="F37" s="11" t="n">
        <v>5611.36</v>
      </c>
    </row>
    <row r="38">
      <c r="A38" s="2" t="inlineStr">
        <is>
          <t>HVAC</t>
        </is>
      </c>
      <c r="B38" s="11" t="n">
        <v>2625.61</v>
      </c>
      <c r="F38" s="11" t="n">
        <v>2625.61</v>
      </c>
    </row>
    <row r="39">
      <c r="A39" s="2" t="inlineStr">
        <is>
          <t>Electrical</t>
        </is>
      </c>
      <c r="B39" s="11" t="n">
        <v>2802.9</v>
      </c>
      <c r="F39" s="11" t="n">
        <v>2802.9</v>
      </c>
    </row>
    <row r="40">
      <c r="A40" s="2" t="inlineStr">
        <is>
          <t>Plumbing</t>
        </is>
      </c>
      <c r="B40" s="11" t="n">
        <v>2311.88</v>
      </c>
      <c r="F40" s="11" t="n">
        <v>2311.88</v>
      </c>
    </row>
    <row r="41">
      <c r="A41" s="2" t="inlineStr">
        <is>
          <t>Fire Protection &amp; Alarm</t>
        </is>
      </c>
      <c r="B41" s="11" t="n">
        <v>135.25</v>
      </c>
      <c r="F41" s="11" t="n">
        <v>135.25</v>
      </c>
    </row>
    <row r="42">
      <c r="A42" s="2" t="inlineStr">
        <is>
          <t>Exterior Façade / Building Skin</t>
        </is>
      </c>
      <c r="B42" s="11" t="n">
        <v>2244.42</v>
      </c>
      <c r="F42" s="11" t="n">
        <v>2244.42</v>
      </c>
    </row>
    <row r="43">
      <c r="A43" s="2" t="inlineStr">
        <is>
          <t>Doors &amp; Frames</t>
        </is>
      </c>
      <c r="B43" s="11" t="n">
        <v>1579.74</v>
      </c>
      <c r="F43" s="11" t="n">
        <v>1579.74</v>
      </c>
    </row>
    <row r="44">
      <c r="A44" s="2" t="inlineStr">
        <is>
          <t>Windows</t>
        </is>
      </c>
      <c r="B44" s="11" t="n">
        <v>1728.69</v>
      </c>
      <c r="F44" s="11" t="n">
        <v>1728.69</v>
      </c>
    </row>
    <row r="45">
      <c r="A45" s="2" t="inlineStr">
        <is>
          <t>Ceiling Systems</t>
        </is>
      </c>
      <c r="B45" s="11" t="n">
        <v>1362.6</v>
      </c>
      <c r="F45" s="11" t="n">
        <v>1362.6</v>
      </c>
    </row>
    <row r="46">
      <c r="A46" s="2" t="inlineStr">
        <is>
          <t>Interior Framing / Partitions</t>
        </is>
      </c>
      <c r="B46" s="11" t="n">
        <v>4921.02</v>
      </c>
      <c r="F46" s="11" t="n">
        <v>4921.02</v>
      </c>
    </row>
    <row r="47">
      <c r="A47" s="2" t="inlineStr">
        <is>
          <t>Painting</t>
        </is>
      </c>
      <c r="B47" s="11" t="n">
        <v>1576.54</v>
      </c>
      <c r="F47" s="11" t="n">
        <v>1576.54</v>
      </c>
    </row>
    <row r="48">
      <c r="A48" s="2" t="inlineStr">
        <is>
          <t>Structural Framing</t>
        </is>
      </c>
      <c r="B48" s="11" t="n">
        <v>5014.17</v>
      </c>
      <c r="F48" s="11" t="n">
        <v>5014.17</v>
      </c>
    </row>
    <row r="49">
      <c r="A49" s="2" t="inlineStr">
        <is>
          <t>Site Utilities</t>
        </is>
      </c>
      <c r="B49" s="11" t="n">
        <v>380.3000000000001</v>
      </c>
      <c r="F49" s="11" t="n">
        <v>380.3000000000001</v>
      </c>
    </row>
    <row r="50">
      <c r="A50" s="2" t="inlineStr">
        <is>
          <t>Garage Doors</t>
        </is>
      </c>
      <c r="B50" s="11" t="n">
        <v>446.76</v>
      </c>
      <c r="F50" s="11" t="n">
        <v>446.76</v>
      </c>
    </row>
    <row r="51">
      <c r="A51" s="2" t="inlineStr">
        <is>
          <t>Flooring - Sealed Concrete</t>
        </is>
      </c>
      <c r="B51" s="11" t="n">
        <v>59.16999999999999</v>
      </c>
      <c r="F51" s="11" t="n">
        <v>59.16999999999999</v>
      </c>
    </row>
    <row r="52">
      <c r="A52" s="2" t="inlineStr">
        <is>
          <t>Bathroom Accessories</t>
        </is>
      </c>
      <c r="B52" s="11" t="n">
        <v>526.09</v>
      </c>
      <c r="F52" s="11" t="n">
        <v>526.09</v>
      </c>
    </row>
    <row r="53">
      <c r="A53" s="2" t="inlineStr">
        <is>
          <t>Cabinets / Millwork - Restrooms</t>
        </is>
      </c>
      <c r="B53" s="11" t="n">
        <v>311.62</v>
      </c>
      <c r="F53" s="11" t="n">
        <v>311.62</v>
      </c>
    </row>
    <row r="55">
      <c r="A55" s="3" t="inlineStr">
        <is>
          <t>Total Building Cost</t>
        </is>
      </c>
      <c r="B55" s="12" t="n">
        <v>44579.92</v>
      </c>
      <c r="C55" s="12" t="n">
        <v>7444.029999999999</v>
      </c>
      <c r="E55" s="12" t="n">
        <v>663.4399999999999</v>
      </c>
      <c r="F55" s="12" t="n">
        <v>36472.45</v>
      </c>
    </row>
    <row r="56">
      <c r="A56" s="2" t="inlineStr">
        <is>
          <t>% of Building Cost</t>
        </is>
      </c>
      <c r="C56" s="13" t="n">
        <v>0.167</v>
      </c>
      <c r="E56" s="13" t="n">
        <v>0.015</v>
      </c>
      <c r="F56" s="13" t="n">
        <v>0.8179999999999999</v>
      </c>
    </row>
    <row r="58">
      <c r="A58" s="1" t="inlineStr">
        <is>
          <t>Asset Allocation:</t>
        </is>
      </c>
    </row>
    <row r="59">
      <c r="A59" s="2" t="inlineStr">
        <is>
          <t>Asset # 8-Building - Kayla Court</t>
        </is>
      </c>
      <c r="B59" s="11" t="n">
        <v>34772.36</v>
      </c>
      <c r="C59" s="11" t="n">
        <v>5806.35</v>
      </c>
      <c r="E59" s="11" t="n">
        <v>517.48</v>
      </c>
      <c r="F59" s="11" t="n">
        <v>28448.53</v>
      </c>
    </row>
    <row r="60">
      <c r="A60" s="2" t="inlineStr">
        <is>
          <t>Asset # 9-Equipment - Kayla Court</t>
        </is>
      </c>
      <c r="B60" s="11" t="n">
        <v>7132.78</v>
      </c>
      <c r="C60" s="11" t="n">
        <v>1191.04</v>
      </c>
      <c r="E60" s="11" t="n">
        <v>106.15</v>
      </c>
      <c r="F60" s="11" t="n">
        <v>5835.59</v>
      </c>
    </row>
    <row r="61">
      <c r="A61" s="2" t="inlineStr">
        <is>
          <t>Asset # 7- Land Improvements - Kayla Court</t>
        </is>
      </c>
      <c r="B61" s="11" t="n">
        <v>2674.78</v>
      </c>
      <c r="C61" s="11" t="n">
        <v>446.64</v>
      </c>
      <c r="E61" s="11" t="n">
        <v>39.81</v>
      </c>
      <c r="F61" s="11" t="n">
        <v>2188.33</v>
      </c>
    </row>
    <row r="62">
      <c r="A62" s="3" t="inlineStr">
        <is>
          <t>Total Allocation:</t>
        </is>
      </c>
      <c r="B62" s="12" t="n">
        <v>44579.92</v>
      </c>
      <c r="C62" s="12" t="n">
        <v>7444.030000000001</v>
      </c>
      <c r="E62" s="12" t="n">
        <v>663.4400000000001</v>
      </c>
      <c r="F62" s="12" t="n">
        <v>36472.45</v>
      </c>
    </row>
    <row r="64">
      <c r="A64" s="1" t="inlineStr">
        <is>
          <t>End Depreciation Reconciliation</t>
        </is>
      </c>
    </row>
    <row r="65">
      <c r="A65" s="2" t="inlineStr">
        <is>
          <t>Before Cost Segregation (As Previously Filed)</t>
        </is>
      </c>
      <c r="B65" s="4" t="n">
        <v>118225.12</v>
      </c>
    </row>
    <row r="66">
      <c r="A66" s="2" t="inlineStr">
        <is>
          <t>After Cost Segregation (Corrected)</t>
        </is>
      </c>
      <c r="B66" s="6" t="n">
        <v>118173</v>
      </c>
    </row>
    <row r="67">
      <c r="A67" s="7" t="inlineStr">
        <is>
          <t>Section 481(a) Adjustment</t>
        </is>
      </c>
      <c r="B67" s="14" t="n">
        <v>52.12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2026-06-25T00:14:44Z</dcterms:created>
  <dcterms:modified xmlns:dcterms="http://purl.org/dc/terms/" xmlns:xsi="http://www.w3.org/2001/XMLSchema-instance" xsi:type="dcterms:W3CDTF">2026-06-25T00:14:44Z</dcterms:modified>
</cp:coreProperties>
</file>