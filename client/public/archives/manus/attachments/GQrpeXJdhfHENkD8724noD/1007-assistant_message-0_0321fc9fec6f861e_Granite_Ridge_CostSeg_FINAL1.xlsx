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40" fontId="2" fillId="4" borderId="0" pivotButton="0" quotePrefix="0" xfId="0"/>
    <xf numFmtId="39" fontId="0" fillId="0" borderId="0" pivotButton="0" quotePrefix="0" xfId="0"/>
    <xf numFmtId="0" fontId="1" fillId="5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6" max="26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apt 1-16</t>
        </is>
      </c>
      <c r="G10" s="3" t="inlineStr">
        <is>
          <t>apt 17-32</t>
        </is>
      </c>
      <c r="H10" s="3" t="inlineStr">
        <is>
          <t>apt 33-48</t>
        </is>
      </c>
      <c r="I10" s="3" t="inlineStr">
        <is>
          <t>apt 49-64</t>
        </is>
      </c>
      <c r="J10" s="3" t="inlineStr">
        <is>
          <t>apt 65-80</t>
        </is>
      </c>
      <c r="K10" s="3" t="inlineStr">
        <is>
          <t>laundry 1</t>
        </is>
      </c>
      <c r="L10" s="3" t="inlineStr">
        <is>
          <t>laundry 2</t>
        </is>
      </c>
      <c r="M10" s="3" t="inlineStr">
        <is>
          <t>site</t>
        </is>
      </c>
      <c r="O10" s="3" t="inlineStr">
        <is>
          <t>total cost</t>
        </is>
      </c>
      <c r="Q10" s="3" t="inlineStr">
        <is>
          <t>apt 1-16</t>
        </is>
      </c>
      <c r="R10" s="3" t="inlineStr">
        <is>
          <t>apt 17-32</t>
        </is>
      </c>
      <c r="S10" s="3" t="inlineStr">
        <is>
          <t>apt 33-48</t>
        </is>
      </c>
      <c r="T10" s="3" t="inlineStr">
        <is>
          <t>apt 49-64</t>
        </is>
      </c>
      <c r="U10" s="3" t="inlineStr">
        <is>
          <t>apt 65-80</t>
        </is>
      </c>
      <c r="V10" s="3" t="inlineStr">
        <is>
          <t>laundry 1</t>
        </is>
      </c>
      <c r="W10" s="3" t="inlineStr">
        <is>
          <t>laundry 2</t>
        </is>
      </c>
      <c r="X10" s="3" t="inlineStr">
        <is>
          <t>site</t>
        </is>
      </c>
      <c r="Z10" s="3" t="inlineStr">
        <is>
          <t>total</t>
        </is>
      </c>
    </row>
    <row r="11">
      <c r="A11" s="2" t="inlineStr">
        <is>
          <t>12/31/21</t>
        </is>
      </c>
      <c r="B11" s="2" t="inlineStr">
        <is>
          <t>2- Building - Granite Ridge, LLC</t>
        </is>
      </c>
      <c r="E11" s="2" t="n">
        <v>2</v>
      </c>
      <c r="F11" s="4" t="n">
        <v>389188.67</v>
      </c>
      <c r="G11" s="4" t="n">
        <v>389188.67</v>
      </c>
      <c r="H11" s="4" t="n">
        <v>402217.16</v>
      </c>
      <c r="I11" s="4" t="n">
        <v>389188.67</v>
      </c>
      <c r="J11" s="4" t="n">
        <v>389188.67</v>
      </c>
      <c r="K11" s="4" t="n">
        <v>26288.67</v>
      </c>
      <c r="L11" s="4" t="n">
        <v>30475.01</v>
      </c>
      <c r="M11" s="4" t="n">
        <v>254562.48</v>
      </c>
      <c r="O11" s="4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" t="n">
        <v>4</v>
      </c>
      <c r="F12" s="4" t="n">
        <v>48291.12</v>
      </c>
      <c r="G12" s="4" t="n">
        <v>48291.12</v>
      </c>
      <c r="H12" s="4" t="n">
        <v>49907.71</v>
      </c>
      <c r="I12" s="4" t="n">
        <v>48291.12</v>
      </c>
      <c r="J12" s="4" t="n">
        <v>48291.12</v>
      </c>
      <c r="K12" s="4" t="n">
        <v>3261.92</v>
      </c>
      <c r="L12" s="4" t="n">
        <v>3781.39</v>
      </c>
      <c r="M12" s="4" t="n">
        <v>31586.5</v>
      </c>
      <c r="O12" s="4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" t="n">
        <v>5</v>
      </c>
      <c r="F13" s="4" t="n">
        <v>39985.86</v>
      </c>
      <c r="G13" s="4" t="n">
        <v>39985.86</v>
      </c>
      <c r="H13" s="4" t="n">
        <v>41324.43</v>
      </c>
      <c r="I13" s="4" t="n">
        <v>39985.86</v>
      </c>
      <c r="J13" s="4" t="n">
        <v>39985.86</v>
      </c>
      <c r="K13" s="4" t="n">
        <v>2700.93</v>
      </c>
      <c r="L13" s="4" t="n">
        <v>3131.05</v>
      </c>
      <c r="M13" s="4" t="n">
        <v>26154.15</v>
      </c>
      <c r="O13" s="4" t="n">
        <v>233254</v>
      </c>
    </row>
    <row r="16">
      <c r="B16" s="1" t="inlineStr">
        <is>
          <t>Total</t>
        </is>
      </c>
      <c r="F16" s="5" t="n">
        <v>477465.65</v>
      </c>
      <c r="G16" s="5" t="n">
        <v>477465.65</v>
      </c>
      <c r="H16" s="5" t="n">
        <v>493449.3</v>
      </c>
      <c r="I16" s="5" t="n">
        <v>477465.65</v>
      </c>
      <c r="J16" s="5" t="n">
        <v>477465.65</v>
      </c>
      <c r="K16" s="5" t="n">
        <v>32251.52</v>
      </c>
      <c r="L16" s="5" t="n">
        <v>37387.45</v>
      </c>
      <c r="M16" s="5" t="n">
        <v>312303.13</v>
      </c>
      <c r="O16" s="5" t="n">
        <v>2785254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" t="n">
        <v>99963.17</v>
      </c>
      <c r="G20" s="2" t="n">
        <v>99963.17</v>
      </c>
      <c r="H20" s="2" t="n">
        <v>103151.35</v>
      </c>
      <c r="I20" s="2" t="n">
        <v>99963.17</v>
      </c>
      <c r="J20" s="2" t="n">
        <v>99963.17</v>
      </c>
      <c r="K20" s="2" t="n">
        <v>6825.37</v>
      </c>
      <c r="L20" s="2" t="n">
        <v>11011.74</v>
      </c>
      <c r="Q20" s="5" t="n">
        <v>99963.17</v>
      </c>
      <c r="R20" s="5" t="n">
        <v>99963.17</v>
      </c>
      <c r="S20" s="5" t="n">
        <v>103151.35</v>
      </c>
      <c r="T20" s="5" t="n">
        <v>99963.17</v>
      </c>
      <c r="U20" s="5" t="n">
        <v>99963.17</v>
      </c>
      <c r="V20" s="5" t="n">
        <v>6825.37</v>
      </c>
      <c r="W20" s="5" t="n">
        <v>11011.74</v>
      </c>
    </row>
    <row r="21">
      <c r="B21" s="2" t="inlineStr">
        <is>
          <t>2 - Building - Granite Ridge, LLC - Site - 15yr</t>
        </is>
      </c>
      <c r="M21" s="2" t="n">
        <v>182460.43</v>
      </c>
      <c r="X21" s="5" t="n">
        <v>182460.43</v>
      </c>
    </row>
    <row r="22">
      <c r="B22" s="2" t="inlineStr">
        <is>
          <t>2 - Building - Granite Ridge, LLC - 27.5yr</t>
        </is>
      </c>
      <c r="F22" s="2" t="n">
        <v>289225.5</v>
      </c>
      <c r="G22" s="2" t="n">
        <v>289225.5</v>
      </c>
      <c r="H22" s="2" t="n">
        <v>299065.81</v>
      </c>
      <c r="I22" s="2" t="n">
        <v>289225.5</v>
      </c>
      <c r="J22" s="2" t="n">
        <v>289225.5</v>
      </c>
      <c r="K22" s="2" t="n">
        <v>19463.3</v>
      </c>
      <c r="L22" s="2" t="n">
        <v>19463.27</v>
      </c>
      <c r="M22" s="2" t="n">
        <v>72102.05</v>
      </c>
      <c r="Q22" s="5" t="n">
        <v>289225.5</v>
      </c>
      <c r="R22" s="5" t="n">
        <v>289225.5</v>
      </c>
      <c r="S22" s="5" t="n">
        <v>299065.81</v>
      </c>
      <c r="T22" s="5" t="n">
        <v>289225.5</v>
      </c>
      <c r="U22" s="5" t="n">
        <v>289225.5</v>
      </c>
      <c r="V22" s="5" t="n">
        <v>19463.3</v>
      </c>
      <c r="W22" s="5" t="n">
        <v>19463.27</v>
      </c>
      <c r="X22" s="5" t="n">
        <v>72102.05</v>
      </c>
    </row>
    <row r="23">
      <c r="B23" s="2" t="inlineStr">
        <is>
          <t>4 - Equipment - Granite Ridge, LLC - 5yr</t>
        </is>
      </c>
      <c r="F23" s="2" t="n">
        <v>12403.58</v>
      </c>
      <c r="G23" s="2" t="n">
        <v>12403.58</v>
      </c>
      <c r="H23" s="2" t="n">
        <v>12799.17</v>
      </c>
      <c r="I23" s="2" t="n">
        <v>12403.58</v>
      </c>
      <c r="J23" s="2" t="n">
        <v>12403.58</v>
      </c>
      <c r="K23" s="2" t="n">
        <v>846.9</v>
      </c>
      <c r="L23" s="2" t="n">
        <v>1366.36</v>
      </c>
      <c r="Q23" s="5" t="n">
        <v>12403.58</v>
      </c>
      <c r="R23" s="5" t="n">
        <v>12403.58</v>
      </c>
      <c r="S23" s="5" t="n">
        <v>12799.17</v>
      </c>
      <c r="T23" s="5" t="n">
        <v>12403.58</v>
      </c>
      <c r="U23" s="5" t="n">
        <v>12403.58</v>
      </c>
      <c r="V23" s="5" t="n">
        <v>846.9</v>
      </c>
      <c r="W23" s="5" t="n">
        <v>1366.36</v>
      </c>
    </row>
    <row r="24">
      <c r="B24" s="2" t="inlineStr">
        <is>
          <t>4 - Equipment - Granite Ridge, LLC - Site - 15yr</t>
        </is>
      </c>
      <c r="M24" s="2" t="n">
        <v>22639.97</v>
      </c>
      <c r="X24" s="5" t="n">
        <v>22639.97</v>
      </c>
    </row>
    <row r="25">
      <c r="B25" s="2" t="inlineStr">
        <is>
          <t>4 - Equipment - Granite Ridge, LLC - 27.5yr</t>
        </is>
      </c>
      <c r="F25" s="2" t="n">
        <v>35887.54</v>
      </c>
      <c r="G25" s="2" t="n">
        <v>35887.54</v>
      </c>
      <c r="H25" s="2" t="n">
        <v>37108.54</v>
      </c>
      <c r="I25" s="2" t="n">
        <v>35887.54</v>
      </c>
      <c r="J25" s="2" t="n">
        <v>35887.54</v>
      </c>
      <c r="K25" s="2" t="n">
        <v>2415.02</v>
      </c>
      <c r="L25" s="2" t="n">
        <v>2415.03</v>
      </c>
      <c r="M25" s="2" t="n">
        <v>8946.530000000001</v>
      </c>
      <c r="Q25" s="5" t="n">
        <v>35887.54</v>
      </c>
      <c r="R25" s="5" t="n">
        <v>35887.54</v>
      </c>
      <c r="S25" s="5" t="n">
        <v>37108.54</v>
      </c>
      <c r="T25" s="5" t="n">
        <v>35887.54</v>
      </c>
      <c r="U25" s="5" t="n">
        <v>35887.54</v>
      </c>
      <c r="V25" s="5" t="n">
        <v>2415.02</v>
      </c>
      <c r="W25" s="5" t="n">
        <v>2415.03</v>
      </c>
      <c r="X25" s="5" t="n">
        <v>8946.530000000001</v>
      </c>
    </row>
    <row r="26">
      <c r="B26" s="2" t="inlineStr">
        <is>
          <t>5 - Land Improvements - Granite Ridge, LLC - 5yr</t>
        </is>
      </c>
      <c r="F26" s="2" t="n">
        <v>10270.37</v>
      </c>
      <c r="G26" s="2" t="n">
        <v>10270.37</v>
      </c>
      <c r="H26" s="2" t="n">
        <v>10597.94</v>
      </c>
      <c r="I26" s="2" t="n">
        <v>10270.37</v>
      </c>
      <c r="J26" s="2" t="n">
        <v>10270.37</v>
      </c>
      <c r="K26" s="2" t="n">
        <v>701.24</v>
      </c>
      <c r="L26" s="2" t="n">
        <v>1131.36</v>
      </c>
      <c r="Q26" s="5" t="n">
        <v>10270.37</v>
      </c>
      <c r="R26" s="5" t="n">
        <v>10270.37</v>
      </c>
      <c r="S26" s="5" t="n">
        <v>10597.94</v>
      </c>
      <c r="T26" s="5" t="n">
        <v>10270.37</v>
      </c>
      <c r="U26" s="5" t="n">
        <v>10270.37</v>
      </c>
      <c r="V26" s="5" t="n">
        <v>701.24</v>
      </c>
      <c r="W26" s="5" t="n">
        <v>1131.36</v>
      </c>
    </row>
    <row r="27">
      <c r="B27" s="2" t="inlineStr">
        <is>
          <t>5 - Land Improvements - Granite Ridge, LLC - Site - 15yr</t>
        </is>
      </c>
      <c r="M27" s="2" t="n">
        <v>18746.27</v>
      </c>
      <c r="X27" s="5" t="n">
        <v>18746.27</v>
      </c>
    </row>
    <row r="28">
      <c r="B28" s="2" t="inlineStr">
        <is>
          <t>5 - Land Improvements - Granite Ridge, LLC - 27.5yr</t>
        </is>
      </c>
      <c r="F28" s="2" t="n">
        <v>29715.49</v>
      </c>
      <c r="G28" s="2" t="n">
        <v>29715.49</v>
      </c>
      <c r="H28" s="2" t="n">
        <v>30726.49</v>
      </c>
      <c r="I28" s="2" t="n">
        <v>29715.49</v>
      </c>
      <c r="J28" s="2" t="n">
        <v>29715.49</v>
      </c>
      <c r="K28" s="2" t="n">
        <v>1999.69</v>
      </c>
      <c r="L28" s="2" t="n">
        <v>1999.69</v>
      </c>
      <c r="M28" s="2" t="n">
        <v>7407.88</v>
      </c>
      <c r="Q28" s="5" t="n">
        <v>29715.49</v>
      </c>
      <c r="R28" s="5" t="n">
        <v>29715.49</v>
      </c>
      <c r="S28" s="5" t="n">
        <v>30726.49</v>
      </c>
      <c r="T28" s="5" t="n">
        <v>29715.49</v>
      </c>
      <c r="U28" s="5" t="n">
        <v>29715.49</v>
      </c>
      <c r="V28" s="5" t="n">
        <v>1999.69</v>
      </c>
      <c r="W28" s="5" t="n">
        <v>1999.69</v>
      </c>
      <c r="X28" s="5" t="n">
        <v>7407.88</v>
      </c>
    </row>
    <row r="32">
      <c r="F32" s="6">
        <f>SUM(F20:F31)</f>
        <v/>
      </c>
      <c r="G32" s="6">
        <f>SUM(G20:G31)</f>
        <v/>
      </c>
      <c r="H32" s="6">
        <f>SUM(H20:H31)</f>
        <v/>
      </c>
      <c r="I32" s="6">
        <f>SUM(I20:I31)</f>
        <v/>
      </c>
      <c r="J32" s="6">
        <f>SUM(J20:J31)</f>
        <v/>
      </c>
      <c r="K32" s="6">
        <f>SUM(K20:K31)</f>
        <v/>
      </c>
      <c r="L32" s="6">
        <f>SUM(L20:L31)</f>
        <v/>
      </c>
      <c r="M32" s="6">
        <f>SUM(M20:M31)</f>
        <v/>
      </c>
    </row>
    <row r="33">
      <c r="B33" s="7" t="inlineStr">
        <is>
          <t>Total MACRS Reclassification</t>
        </is>
      </c>
      <c r="F33" s="8">
        <f>SUM(F20:F31)</f>
        <v/>
      </c>
      <c r="G33" s="8">
        <f>SUM(G20:G31)</f>
        <v/>
      </c>
      <c r="H33" s="8">
        <f>SUM(H20:H31)</f>
        <v/>
      </c>
      <c r="I33" s="8">
        <f>SUM(I20:I31)</f>
        <v/>
      </c>
      <c r="J33" s="8">
        <f>SUM(J20:J31)</f>
        <v/>
      </c>
      <c r="K33" s="8">
        <f>SUM(K20:K31)</f>
        <v/>
      </c>
      <c r="L33" s="8">
        <f>SUM(L20:L31)</f>
        <v/>
      </c>
      <c r="M33" s="8">
        <f>SUM(M20:M31)</f>
        <v/>
      </c>
      <c r="O33" s="8">
        <f>SUM(F33:M33)</f>
        <v/>
      </c>
    </row>
    <row r="35">
      <c r="B35" s="1" t="inlineStr">
        <is>
          <t>Difference (should be zero)</t>
        </is>
      </c>
      <c r="F35" s="9">
        <f>+F16-F33</f>
        <v/>
      </c>
      <c r="G35" s="9">
        <f>+G16-G33</f>
        <v/>
      </c>
      <c r="H35" s="9">
        <f>+H16-H33</f>
        <v/>
      </c>
      <c r="I35" s="9">
        <f>+I16-I33</f>
        <v/>
      </c>
      <c r="J35" s="9">
        <f>+J16-J33</f>
        <v/>
      </c>
      <c r="K35" s="9">
        <f>+K16-K33</f>
        <v/>
      </c>
      <c r="L35" s="9">
        <f>+L16-L33</f>
        <v/>
      </c>
      <c r="M35" s="9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477465.65</v>
      </c>
      <c r="G38" s="5" t="n">
        <v>477465.65</v>
      </c>
      <c r="H38" s="5" t="n">
        <v>493449.3</v>
      </c>
      <c r="I38" s="5" t="n">
        <v>477465.65</v>
      </c>
      <c r="J38" s="5" t="n">
        <v>477465.65</v>
      </c>
      <c r="K38" s="5" t="n">
        <v>32251.52</v>
      </c>
      <c r="L38" s="5" t="n">
        <v>37387.45</v>
      </c>
      <c r="M38" s="5" t="n">
        <v>312303.13</v>
      </c>
      <c r="O38" s="5" t="n">
        <v>2785254</v>
      </c>
    </row>
    <row r="39">
      <c r="B39" s="2" t="inlineStr">
        <is>
          <t>2 - Building - Granite Ridge, LLC - 5yr</t>
        </is>
      </c>
      <c r="F39" s="5" t="n">
        <v>99963.17</v>
      </c>
      <c r="G39" s="5" t="n">
        <v>99963.17</v>
      </c>
      <c r="H39" s="5" t="n">
        <v>103151.35</v>
      </c>
      <c r="I39" s="5" t="n">
        <v>99963.17</v>
      </c>
      <c r="J39" s="5" t="n">
        <v>99963.17</v>
      </c>
      <c r="K39" s="5" t="n">
        <v>6825.37</v>
      </c>
      <c r="L39" s="5" t="n">
        <v>11011.74</v>
      </c>
    </row>
    <row r="40">
      <c r="B40" s="2" t="inlineStr">
        <is>
          <t>2 - Building - Granite Ridge, LLC - Site - 15yr</t>
        </is>
      </c>
      <c r="M40" s="5" t="n">
        <v>182460.43</v>
      </c>
    </row>
    <row r="41">
      <c r="B41" s="2" t="inlineStr">
        <is>
          <t>2 - Building - Granite Ridge, LLC - 27.5yr</t>
        </is>
      </c>
      <c r="F41" s="5" t="n">
        <v>289225.5</v>
      </c>
      <c r="G41" s="5" t="n">
        <v>289225.5</v>
      </c>
      <c r="H41" s="5" t="n">
        <v>299065.81</v>
      </c>
      <c r="I41" s="5" t="n">
        <v>289225.5</v>
      </c>
      <c r="J41" s="5" t="n">
        <v>289225.5</v>
      </c>
      <c r="K41" s="5" t="n">
        <v>19463.3</v>
      </c>
      <c r="L41" s="5" t="n">
        <v>19463.27</v>
      </c>
      <c r="M41" s="5" t="n">
        <v>72102.05</v>
      </c>
    </row>
    <row r="42">
      <c r="B42" s="2" t="inlineStr">
        <is>
          <t>4 - Equipment - Granite Ridge, LLC - 5yr</t>
        </is>
      </c>
      <c r="F42" s="5" t="n">
        <v>12403.58</v>
      </c>
      <c r="G42" s="5" t="n">
        <v>12403.58</v>
      </c>
      <c r="H42" s="5" t="n">
        <v>12799.17</v>
      </c>
      <c r="I42" s="5" t="n">
        <v>12403.58</v>
      </c>
      <c r="J42" s="5" t="n">
        <v>12403.58</v>
      </c>
      <c r="K42" s="5" t="n">
        <v>846.9</v>
      </c>
      <c r="L42" s="5" t="n">
        <v>1366.36</v>
      </c>
    </row>
    <row r="43">
      <c r="B43" s="2" t="inlineStr">
        <is>
          <t>4 - Equipment - Granite Ridge, LLC - Site - 15yr</t>
        </is>
      </c>
      <c r="M43" s="5" t="n">
        <v>22639.97</v>
      </c>
    </row>
    <row r="44">
      <c r="B44" s="2" t="inlineStr">
        <is>
          <t>4 - Equipment - Granite Ridge, LLC - 27.5yr</t>
        </is>
      </c>
      <c r="F44" s="5" t="n">
        <v>35887.54</v>
      </c>
      <c r="G44" s="5" t="n">
        <v>35887.54</v>
      </c>
      <c r="H44" s="5" t="n">
        <v>37108.54</v>
      </c>
      <c r="I44" s="5" t="n">
        <v>35887.54</v>
      </c>
      <c r="J44" s="5" t="n">
        <v>35887.54</v>
      </c>
      <c r="K44" s="5" t="n">
        <v>2415.02</v>
      </c>
      <c r="L44" s="5" t="n">
        <v>2415.03</v>
      </c>
      <c r="M44" s="5" t="n">
        <v>8946.530000000001</v>
      </c>
    </row>
    <row r="45">
      <c r="B45" s="2" t="inlineStr">
        <is>
          <t>5 - Land Improvements - Granite Ridge, LLC - 5yr</t>
        </is>
      </c>
      <c r="F45" s="5" t="n">
        <v>10270.37</v>
      </c>
      <c r="G45" s="5" t="n">
        <v>10270.37</v>
      </c>
      <c r="H45" s="5" t="n">
        <v>10597.94</v>
      </c>
      <c r="I45" s="5" t="n">
        <v>10270.37</v>
      </c>
      <c r="J45" s="5" t="n">
        <v>10270.37</v>
      </c>
      <c r="K45" s="5" t="n">
        <v>701.24</v>
      </c>
      <c r="L45" s="5" t="n">
        <v>1131.36</v>
      </c>
    </row>
    <row r="46">
      <c r="B46" s="2" t="inlineStr">
        <is>
          <t>5 - Land Improvements - Granite Ridge, LLC - Site - 15yr</t>
        </is>
      </c>
      <c r="M46" s="5" t="n">
        <v>18746.27</v>
      </c>
    </row>
    <row r="47">
      <c r="B47" s="2" t="inlineStr">
        <is>
          <t>5 - Land Improvements - Granite Ridge, LLC - 27.5yr</t>
        </is>
      </c>
      <c r="F47" s="5" t="n">
        <v>29715.49</v>
      </c>
      <c r="G47" s="5" t="n">
        <v>29715.49</v>
      </c>
      <c r="H47" s="5" t="n">
        <v>30726.49</v>
      </c>
      <c r="I47" s="5" t="n">
        <v>29715.49</v>
      </c>
      <c r="J47" s="5" t="n">
        <v>29715.49</v>
      </c>
      <c r="K47" s="5" t="n">
        <v>1999.69</v>
      </c>
      <c r="L47" s="5" t="n">
        <v>1999.69</v>
      </c>
      <c r="M47" s="5" t="n">
        <v>7407.88</v>
      </c>
    </row>
    <row r="51">
      <c r="B51" s="2" t="inlineStr">
        <is>
          <t>After Cost Segregation (Corrected)</t>
        </is>
      </c>
      <c r="F51" s="10" t="n">
        <v>477465.65</v>
      </c>
      <c r="G51" s="10" t="n">
        <v>477465.65</v>
      </c>
      <c r="H51" s="10" t="n">
        <v>493449.3</v>
      </c>
      <c r="I51" s="10" t="n">
        <v>477465.65</v>
      </c>
      <c r="J51" s="10" t="n">
        <v>477465.65</v>
      </c>
      <c r="K51" s="10" t="n">
        <v>32251.52</v>
      </c>
      <c r="L51" s="10" t="n">
        <v>37387.45</v>
      </c>
      <c r="M51" s="10" t="n">
        <v>312303.13</v>
      </c>
      <c r="O51" s="10" t="n">
        <v>2785254</v>
      </c>
    </row>
    <row r="52">
      <c r="B52" s="11" t="inlineStr">
        <is>
          <t>Section 481(a) Adjustment</t>
        </is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O52" s="12" t="n">
        <v>0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</row>
    <row r="54">
      <c r="F54" s="13">
        <f>F53-F51</f>
        <v/>
      </c>
      <c r="G54" s="13">
        <f>G53-G51</f>
        <v/>
      </c>
      <c r="H54" s="13">
        <f>H53-H51</f>
        <v/>
      </c>
      <c r="I54" s="13">
        <f>I53-I51</f>
        <v/>
      </c>
      <c r="J54" s="13">
        <f>J53-J51</f>
        <v/>
      </c>
      <c r="K54" s="13">
        <f>K53-K51</f>
        <v/>
      </c>
      <c r="L54" s="13">
        <f>L53-L51</f>
        <v/>
      </c>
      <c r="M54" s="13">
        <f>M53-M51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30136.41</v>
      </c>
      <c r="C16" s="15" t="n">
        <v>30136.41</v>
      </c>
    </row>
    <row r="17">
      <c r="A17" s="2" t="inlineStr">
        <is>
          <t>Moldings</t>
        </is>
      </c>
      <c r="B17" s="15" t="n">
        <v>5465.85</v>
      </c>
      <c r="C17" s="15" t="n">
        <v>5465.85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26142.1</v>
      </c>
      <c r="C20" s="15" t="n">
        <v>26142.1</v>
      </c>
    </row>
    <row r="21">
      <c r="A21" s="2" t="inlineStr">
        <is>
          <t>Door &amp; Window Guards</t>
        </is>
      </c>
      <c r="B21" s="15" t="n">
        <v>2272.28</v>
      </c>
      <c r="C21" s="15" t="n">
        <v>2272.28</v>
      </c>
    </row>
    <row r="22">
      <c r="A22" s="2" t="inlineStr">
        <is>
          <t>Window Treatments</t>
        </is>
      </c>
      <c r="B22" s="15" t="n">
        <v>6021.12</v>
      </c>
      <c r="C22" s="15" t="n">
        <v>6021.12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3873.27</v>
      </c>
      <c r="C25" s="15" t="n">
        <v>3873.27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1036.46</v>
      </c>
      <c r="C27" s="15" t="n">
        <v>1036.46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23448.01</v>
      </c>
      <c r="F32" s="15" t="n">
        <v>23448.01</v>
      </c>
    </row>
    <row r="33">
      <c r="A33" s="2" t="inlineStr">
        <is>
          <t>Foundations</t>
        </is>
      </c>
      <c r="B33" s="15" t="n">
        <v>29658.07</v>
      </c>
      <c r="F33" s="15" t="n">
        <v>29658.07</v>
      </c>
    </row>
    <row r="34">
      <c r="A34" s="2" t="inlineStr">
        <is>
          <t>HVAC</t>
        </is>
      </c>
      <c r="B34" s="15" t="n">
        <v>16607.81</v>
      </c>
      <c r="F34" s="15" t="n">
        <v>16607.81</v>
      </c>
    </row>
    <row r="35">
      <c r="A35" s="2" t="inlineStr">
        <is>
          <t>Electrical</t>
        </is>
      </c>
      <c r="B35" s="15" t="n">
        <v>34534.05</v>
      </c>
      <c r="F35" s="15" t="n">
        <v>34534.05</v>
      </c>
    </row>
    <row r="36">
      <c r="A36" s="2" t="inlineStr">
        <is>
          <t>Plumbing</t>
        </is>
      </c>
      <c r="B36" s="15" t="n">
        <v>36249.92</v>
      </c>
      <c r="F36" s="15" t="n">
        <v>36249.92</v>
      </c>
    </row>
    <row r="37">
      <c r="A37" s="2" t="inlineStr">
        <is>
          <t>Fire Protection &amp; Alarm</t>
        </is>
      </c>
      <c r="B37" s="15" t="n">
        <v>3365.95</v>
      </c>
      <c r="F37" s="15" t="n">
        <v>3365.95</v>
      </c>
    </row>
    <row r="38">
      <c r="A38" s="2" t="inlineStr">
        <is>
          <t>Exterior Façade / Building Skin</t>
        </is>
      </c>
      <c r="B38" s="15" t="n">
        <v>17091.99</v>
      </c>
      <c r="F38" s="15" t="n">
        <v>17091.99</v>
      </c>
    </row>
    <row r="39">
      <c r="A39" s="2" t="inlineStr">
        <is>
          <t>Doors &amp; Frames</t>
        </is>
      </c>
      <c r="B39" s="15" t="n">
        <v>23102.12</v>
      </c>
      <c r="F39" s="15" t="n">
        <v>23102.12</v>
      </c>
    </row>
    <row r="40">
      <c r="A40" s="2" t="inlineStr">
        <is>
          <t>Windows</t>
        </is>
      </c>
      <c r="B40" s="15" t="n">
        <v>17776.66</v>
      </c>
      <c r="F40" s="15" t="n">
        <v>17776.66</v>
      </c>
    </row>
    <row r="41">
      <c r="A41" s="2" t="inlineStr">
        <is>
          <t>Ceiling Systems</t>
        </is>
      </c>
      <c r="B41" s="15" t="n">
        <v>19066</v>
      </c>
      <c r="F41" s="15" t="n">
        <v>19066</v>
      </c>
    </row>
    <row r="42">
      <c r="A42" s="2" t="inlineStr">
        <is>
          <t>Interior Framing / Partitions</t>
        </is>
      </c>
      <c r="B42" s="15" t="n">
        <v>43666.66</v>
      </c>
      <c r="F42" s="15" t="n">
        <v>43666.66</v>
      </c>
    </row>
    <row r="43">
      <c r="A43" s="2" t="inlineStr">
        <is>
          <t>Painting</t>
        </is>
      </c>
      <c r="B43" s="15" t="n">
        <v>21220.8</v>
      </c>
      <c r="F43" s="15" t="n">
        <v>21220.8</v>
      </c>
    </row>
    <row r="44">
      <c r="A44" s="2" t="inlineStr">
        <is>
          <t>Gutter Systems</t>
        </is>
      </c>
      <c r="B44" s="15" t="n">
        <v>2526.07</v>
      </c>
      <c r="F44" s="15" t="n">
        <v>2526.07</v>
      </c>
    </row>
    <row r="45">
      <c r="A45" s="2" t="inlineStr">
        <is>
          <t>Emergency Lighting</t>
        </is>
      </c>
      <c r="B45" s="15" t="n">
        <v>112.69</v>
      </c>
      <c r="F45" s="15" t="n">
        <v>112.69</v>
      </c>
    </row>
    <row r="46">
      <c r="A46" s="2" t="inlineStr">
        <is>
          <t>Structural Framing</t>
        </is>
      </c>
      <c r="B46" s="15" t="n">
        <v>56261.51</v>
      </c>
      <c r="F46" s="15" t="n">
        <v>56261.51</v>
      </c>
    </row>
    <row r="47">
      <c r="A47" s="2" t="inlineStr">
        <is>
          <t>Stairs / Balconies</t>
        </is>
      </c>
      <c r="B47" s="15" t="n">
        <v>7945.49</v>
      </c>
      <c r="F47" s="15" t="n">
        <v>7945.49</v>
      </c>
    </row>
    <row r="48">
      <c r="A48" s="2" t="inlineStr">
        <is>
          <t>Bathroom Accessories</t>
        </is>
      </c>
      <c r="B48" s="15" t="n">
        <v>6661.79</v>
      </c>
      <c r="F48" s="15" t="n">
        <v>6661.79</v>
      </c>
    </row>
    <row r="49">
      <c r="A49" s="2" t="inlineStr">
        <is>
          <t>Cabinets / Millwork - Restrooms</t>
        </is>
      </c>
      <c r="B49" s="15" t="n">
        <v>7605.25</v>
      </c>
      <c r="F49" s="15" t="n">
        <v>7605.25</v>
      </c>
    </row>
    <row r="51">
      <c r="A51" s="7" t="inlineStr">
        <is>
          <t>Total Building Cost</t>
        </is>
      </c>
      <c r="B51" s="16" t="n">
        <v>493449.3</v>
      </c>
      <c r="C51" s="16" t="n">
        <v>126548.46</v>
      </c>
      <c r="F51" s="16" t="n">
        <v>366900.84</v>
      </c>
    </row>
    <row r="52">
      <c r="A52" s="2" t="inlineStr">
        <is>
          <t>% of Building Cost</t>
        </is>
      </c>
      <c r="C52" s="17" t="n">
        <v>0.256</v>
      </c>
      <c r="F52" s="17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15" t="n">
        <v>402217.16</v>
      </c>
      <c r="C55" s="15" t="n">
        <v>103151.35</v>
      </c>
      <c r="F55" s="15" t="n">
        <v>299065.81</v>
      </c>
    </row>
    <row r="56">
      <c r="A56" s="2" t="inlineStr">
        <is>
          <t>Asset #4 Equipment</t>
        </is>
      </c>
      <c r="B56" s="15" t="n">
        <v>49907.71</v>
      </c>
      <c r="C56" s="15" t="n">
        <v>12799.17</v>
      </c>
      <c r="F56" s="15" t="n">
        <v>37108.54</v>
      </c>
    </row>
    <row r="57">
      <c r="A57" s="2" t="inlineStr">
        <is>
          <t>Asset #5 Land Improvements</t>
        </is>
      </c>
      <c r="B57" s="15" t="n">
        <v>41324.43</v>
      </c>
      <c r="C57" s="15" t="n">
        <v>10597.94</v>
      </c>
      <c r="F57" s="15" t="n">
        <v>30726.49</v>
      </c>
    </row>
    <row r="58">
      <c r="A58" s="7" t="inlineStr">
        <is>
          <t>Total Allocation:</t>
        </is>
      </c>
      <c r="B58" s="16" t="n">
        <v>493449.3</v>
      </c>
      <c r="C58" s="16" t="n">
        <v>126548.46</v>
      </c>
      <c r="F58" s="16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Appliances</t>
        </is>
      </c>
      <c r="B26" s="15" t="n">
        <v>3351.41</v>
      </c>
      <c r="C26" s="15" t="n">
        <v>3351.41</v>
      </c>
    </row>
    <row r="28">
      <c r="A28" s="14" t="inlineStr">
        <is>
          <t>Building Structure</t>
        </is>
      </c>
    </row>
    <row r="29">
      <c r="A29" s="2" t="inlineStr">
        <is>
          <t>Roofing Systems</t>
        </is>
      </c>
      <c r="B29" s="15" t="n">
        <v>2719.68</v>
      </c>
      <c r="F29" s="15" t="n">
        <v>2719.68</v>
      </c>
    </row>
    <row r="30">
      <c r="A30" s="2" t="inlineStr">
        <is>
          <t>Foundations</t>
        </is>
      </c>
      <c r="B30" s="15" t="n">
        <v>3519.01</v>
      </c>
      <c r="F30" s="15" t="n">
        <v>3519.01</v>
      </c>
    </row>
    <row r="31">
      <c r="A31" s="2" t="inlineStr">
        <is>
          <t>HVAC</t>
        </is>
      </c>
      <c r="B31" s="15" t="n">
        <v>2302.98</v>
      </c>
      <c r="F31" s="15" t="n">
        <v>2302.98</v>
      </c>
    </row>
    <row r="32">
      <c r="A32" s="2" t="inlineStr">
        <is>
          <t>Electrical</t>
        </is>
      </c>
      <c r="B32" s="15" t="n">
        <v>2425.62</v>
      </c>
      <c r="F32" s="15" t="n">
        <v>2425.62</v>
      </c>
    </row>
    <row r="33">
      <c r="A33" s="2" t="inlineStr">
        <is>
          <t>Fire Protection &amp; Alarm</t>
        </is>
      </c>
      <c r="B33" s="15" t="n">
        <v>317.12</v>
      </c>
      <c r="F33" s="15" t="n">
        <v>317.12</v>
      </c>
    </row>
    <row r="34">
      <c r="A34" s="2" t="inlineStr">
        <is>
          <t>Exterior Façade / Building Skin</t>
        </is>
      </c>
      <c r="B34" s="15" t="n">
        <v>1711.27</v>
      </c>
      <c r="F34" s="15" t="n">
        <v>1711.27</v>
      </c>
    </row>
    <row r="35">
      <c r="A35" s="2" t="inlineStr">
        <is>
          <t>Doors &amp; Frames</t>
        </is>
      </c>
      <c r="B35" s="15" t="n">
        <v>1055.79</v>
      </c>
      <c r="F35" s="15" t="n">
        <v>1055.79</v>
      </c>
    </row>
    <row r="36">
      <c r="A36" s="2" t="inlineStr">
        <is>
          <t>Windows</t>
        </is>
      </c>
      <c r="B36" s="15" t="n">
        <v>708.36</v>
      </c>
      <c r="F36" s="15" t="n">
        <v>708.36</v>
      </c>
    </row>
    <row r="37">
      <c r="A37" s="2" t="inlineStr">
        <is>
          <t>Ceiling Systems</t>
        </is>
      </c>
      <c r="B37" s="15" t="n">
        <v>1052.96</v>
      </c>
      <c r="F37" s="15" t="n">
        <v>1052.96</v>
      </c>
    </row>
    <row r="38">
      <c r="A38" s="2" t="inlineStr">
        <is>
          <t>Interior Framing / Partitions</t>
        </is>
      </c>
      <c r="B38" s="15" t="n">
        <v>1843.49</v>
      </c>
      <c r="F38" s="15" t="n">
        <v>1843.49</v>
      </c>
    </row>
    <row r="39">
      <c r="A39" s="2" t="inlineStr">
        <is>
          <t>Painting</t>
        </is>
      </c>
      <c r="B39" s="15" t="n">
        <v>1263.38</v>
      </c>
      <c r="F39" s="15" t="n">
        <v>1263.38</v>
      </c>
    </row>
    <row r="40">
      <c r="A40" s="2" t="inlineStr">
        <is>
          <t>Gutter Systems</t>
        </is>
      </c>
      <c r="B40" s="15" t="n">
        <v>673.55</v>
      </c>
      <c r="F40" s="15" t="n">
        <v>673.55</v>
      </c>
    </row>
    <row r="41">
      <c r="A41" s="2" t="inlineStr">
        <is>
          <t>Structural Framing</t>
        </is>
      </c>
      <c r="B41" s="15" t="n">
        <v>4284.8</v>
      </c>
      <c r="F41" s="15" t="n">
        <v>4284.8</v>
      </c>
    </row>
    <row r="43">
      <c r="A43" s="7" t="inlineStr">
        <is>
          <t>Total Building Cost</t>
        </is>
      </c>
      <c r="B43" s="16" t="n">
        <v>32251.52</v>
      </c>
      <c r="C43" s="16" t="n">
        <v>8373.51</v>
      </c>
      <c r="F43" s="16" t="n">
        <v>23878.01</v>
      </c>
    </row>
    <row r="44">
      <c r="A44" s="2" t="inlineStr">
        <is>
          <t>% of Building Cost</t>
        </is>
      </c>
      <c r="C44" s="17" t="n">
        <v>0.26</v>
      </c>
      <c r="F44" s="17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15" t="n">
        <v>26288.67</v>
      </c>
      <c r="C47" s="15" t="n">
        <v>6825.37</v>
      </c>
      <c r="F47" s="15" t="n">
        <v>19463.3</v>
      </c>
    </row>
    <row r="48">
      <c r="A48" s="2" t="inlineStr">
        <is>
          <t>Asset #4 Equipment</t>
        </is>
      </c>
      <c r="B48" s="15" t="n">
        <v>3261.92</v>
      </c>
      <c r="C48" s="15" t="n">
        <v>846.9</v>
      </c>
      <c r="F48" s="15" t="n">
        <v>2415.02</v>
      </c>
    </row>
    <row r="49">
      <c r="A49" s="2" t="inlineStr">
        <is>
          <t>Asset #5 Land Improvements</t>
        </is>
      </c>
      <c r="B49" s="15" t="n">
        <v>2700.93</v>
      </c>
      <c r="C49" s="15" t="n">
        <v>701.24</v>
      </c>
      <c r="F49" s="15" t="n">
        <v>1999.69</v>
      </c>
    </row>
    <row r="50">
      <c r="A50" s="7" t="inlineStr">
        <is>
          <t>Total Allocation:</t>
        </is>
      </c>
      <c r="B50" s="16" t="n">
        <v>32251.52</v>
      </c>
      <c r="C50" s="16" t="n">
        <v>8373.51</v>
      </c>
      <c r="F50" s="16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Mailboxes</t>
        </is>
      </c>
      <c r="B26" s="15" t="n">
        <v>5135.94</v>
      </c>
      <c r="C26" s="15" t="n">
        <v>5135.94</v>
      </c>
    </row>
    <row r="27">
      <c r="A27" s="2" t="inlineStr">
        <is>
          <t>Appliances</t>
        </is>
      </c>
      <c r="B27" s="15" t="n">
        <v>3351.42</v>
      </c>
      <c r="C27" s="15" t="n">
        <v>3351.42</v>
      </c>
    </row>
    <row r="29">
      <c r="A29" s="14" t="inlineStr">
        <is>
          <t>Building Structure</t>
        </is>
      </c>
    </row>
    <row r="30">
      <c r="A30" s="2" t="inlineStr">
        <is>
          <t>Roofing Systems</t>
        </is>
      </c>
      <c r="B30" s="15" t="n">
        <v>2719.65</v>
      </c>
      <c r="F30" s="15" t="n">
        <v>2719.65</v>
      </c>
    </row>
    <row r="31">
      <c r="A31" s="2" t="inlineStr">
        <is>
          <t>Foundations</t>
        </is>
      </c>
      <c r="B31" s="15" t="n">
        <v>3519.01</v>
      </c>
      <c r="F31" s="15" t="n">
        <v>3519.01</v>
      </c>
    </row>
    <row r="32">
      <c r="A32" s="2" t="inlineStr">
        <is>
          <t>HVAC</t>
        </is>
      </c>
      <c r="B32" s="15" t="n">
        <v>2302.99</v>
      </c>
      <c r="F32" s="15" t="n">
        <v>2302.99</v>
      </c>
    </row>
    <row r="33">
      <c r="A33" s="2" t="inlineStr">
        <is>
          <t>Electrical</t>
        </is>
      </c>
      <c r="B33" s="15" t="n">
        <v>2425.62</v>
      </c>
      <c r="F33" s="15" t="n">
        <v>2425.62</v>
      </c>
    </row>
    <row r="34">
      <c r="A34" s="2" t="inlineStr">
        <is>
          <t>Fire Protection &amp; Alarm</t>
        </is>
      </c>
      <c r="B34" s="15" t="n">
        <v>317.12</v>
      </c>
      <c r="F34" s="15" t="n">
        <v>317.12</v>
      </c>
    </row>
    <row r="35">
      <c r="A35" s="2" t="inlineStr">
        <is>
          <t>Exterior Façade / Building Skin</t>
        </is>
      </c>
      <c r="B35" s="15" t="n">
        <v>1711.27</v>
      </c>
      <c r="F35" s="15" t="n">
        <v>1711.27</v>
      </c>
    </row>
    <row r="36">
      <c r="A36" s="2" t="inlineStr">
        <is>
          <t>Doors &amp; Frames</t>
        </is>
      </c>
      <c r="B36" s="15" t="n">
        <v>1055.79</v>
      </c>
      <c r="F36" s="15" t="n">
        <v>1055.79</v>
      </c>
    </row>
    <row r="37">
      <c r="A37" s="2" t="inlineStr">
        <is>
          <t>Windows</t>
        </is>
      </c>
      <c r="B37" s="15" t="n">
        <v>708.36</v>
      </c>
      <c r="F37" s="15" t="n">
        <v>708.36</v>
      </c>
    </row>
    <row r="38">
      <c r="A38" s="2" t="inlineStr">
        <is>
          <t>Ceiling Systems</t>
        </is>
      </c>
      <c r="B38" s="15" t="n">
        <v>1052.96</v>
      </c>
      <c r="F38" s="15" t="n">
        <v>1052.96</v>
      </c>
    </row>
    <row r="39">
      <c r="A39" s="2" t="inlineStr">
        <is>
          <t>Interior Framing / Partitions</t>
        </is>
      </c>
      <c r="B39" s="15" t="n">
        <v>1843.49</v>
      </c>
      <c r="F39" s="15" t="n">
        <v>1843.49</v>
      </c>
    </row>
    <row r="40">
      <c r="A40" s="2" t="inlineStr">
        <is>
          <t>Painting</t>
        </is>
      </c>
      <c r="B40" s="15" t="n">
        <v>1263.38</v>
      </c>
      <c r="F40" s="15" t="n">
        <v>1263.38</v>
      </c>
    </row>
    <row r="41">
      <c r="A41" s="2" t="inlineStr">
        <is>
          <t>Gutter Systems</t>
        </is>
      </c>
      <c r="B41" s="15" t="n">
        <v>673.55</v>
      </c>
      <c r="F41" s="15" t="n">
        <v>673.55</v>
      </c>
    </row>
    <row r="42">
      <c r="A42" s="2" t="inlineStr">
        <is>
          <t>Structural Framing</t>
        </is>
      </c>
      <c r="B42" s="15" t="n">
        <v>4284.8</v>
      </c>
      <c r="F42" s="15" t="n">
        <v>4284.8</v>
      </c>
    </row>
    <row r="44">
      <c r="A44" s="7" t="inlineStr">
        <is>
          <t>Total Building Cost</t>
        </is>
      </c>
      <c r="B44" s="16" t="n">
        <v>37387.45</v>
      </c>
      <c r="C44" s="16" t="n">
        <v>13509.46</v>
      </c>
      <c r="F44" s="16" t="n">
        <v>23877.99</v>
      </c>
    </row>
    <row r="45">
      <c r="A45" s="2" t="inlineStr">
        <is>
          <t>% of Building Cost</t>
        </is>
      </c>
      <c r="C45" s="17" t="n">
        <v>0.361</v>
      </c>
      <c r="F45" s="17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15" t="n">
        <v>30475.01</v>
      </c>
      <c r="C48" s="15" t="n">
        <v>11011.74</v>
      </c>
      <c r="F48" s="15" t="n">
        <v>19463.27</v>
      </c>
    </row>
    <row r="49">
      <c r="A49" s="2" t="inlineStr">
        <is>
          <t>Asset #4 Equipment</t>
        </is>
      </c>
      <c r="B49" s="15" t="n">
        <v>3781.39</v>
      </c>
      <c r="C49" s="15" t="n">
        <v>1366.36</v>
      </c>
      <c r="F49" s="15" t="n">
        <v>2415.03</v>
      </c>
    </row>
    <row r="50">
      <c r="A50" s="2" t="inlineStr">
        <is>
          <t>Asset #5 Land Improvements</t>
        </is>
      </c>
      <c r="B50" s="15" t="n">
        <v>3131.05</v>
      </c>
      <c r="C50" s="15" t="n">
        <v>1131.36</v>
      </c>
      <c r="F50" s="15" t="n">
        <v>1999.69</v>
      </c>
    </row>
    <row r="51">
      <c r="A51" s="7" t="inlineStr">
        <is>
          <t>Total Allocation:</t>
        </is>
      </c>
      <c r="B51" s="16" t="n">
        <v>37387.45</v>
      </c>
      <c r="C51" s="16" t="n">
        <v>13509.46</v>
      </c>
      <c r="F51" s="16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Site Components</t>
        </is>
      </c>
    </row>
    <row r="16">
      <c r="A16" s="2" t="inlineStr">
        <is>
          <t>Site Drainage</t>
        </is>
      </c>
      <c r="B16" s="15" t="n">
        <v>5624.03</v>
      </c>
      <c r="E16" s="15" t="n">
        <v>5624.03</v>
      </c>
    </row>
    <row r="17">
      <c r="A17" s="2" t="inlineStr">
        <is>
          <t>Parking Lot</t>
        </is>
      </c>
      <c r="B17" s="15" t="n">
        <v>95314.96000000001</v>
      </c>
      <c r="E17" s="15" t="n">
        <v>95314.96000000001</v>
      </c>
    </row>
    <row r="18">
      <c r="A18" s="2" t="inlineStr">
        <is>
          <t>Parking Lot Striping / Barriers</t>
        </is>
      </c>
      <c r="B18" s="15" t="n">
        <v>5701.04</v>
      </c>
      <c r="E18" s="15" t="n">
        <v>5701.04</v>
      </c>
    </row>
    <row r="19">
      <c r="A19" s="2" t="inlineStr">
        <is>
          <t>Sidewalks / Curbs</t>
        </is>
      </c>
      <c r="B19" s="15" t="n">
        <v>55092.32</v>
      </c>
      <c r="E19" s="15" t="n">
        <v>55092.32</v>
      </c>
    </row>
    <row r="20">
      <c r="A20" s="2" t="inlineStr">
        <is>
          <t>Landscaping</t>
        </is>
      </c>
      <c r="B20" s="15" t="n">
        <v>1505.06</v>
      </c>
      <c r="E20" s="15" t="n">
        <v>1505.06</v>
      </c>
    </row>
    <row r="21">
      <c r="A21" s="2" t="inlineStr">
        <is>
          <t>Security Lighting Poles</t>
        </is>
      </c>
      <c r="B21" s="15" t="n">
        <v>3257.67</v>
      </c>
      <c r="E21" s="15" t="n">
        <v>3257.67</v>
      </c>
    </row>
    <row r="22">
      <c r="A22" s="2" t="inlineStr">
        <is>
          <t>Exterior Fencing</t>
        </is>
      </c>
      <c r="B22" s="15" t="n">
        <v>47550.94</v>
      </c>
      <c r="E22" s="15" t="n">
        <v>47550.94</v>
      </c>
    </row>
    <row r="23">
      <c r="A23" s="2" t="inlineStr">
        <is>
          <t>Dumpster Enclosures</t>
        </is>
      </c>
      <c r="B23" s="15" t="n">
        <v>3242.49</v>
      </c>
      <c r="E23" s="15" t="n">
        <v>3242.49</v>
      </c>
    </row>
    <row r="24">
      <c r="A24" s="2" t="inlineStr">
        <is>
          <t>Exterior Equipment Concrete Pads</t>
        </is>
      </c>
      <c r="B24" s="15" t="n">
        <v>1371.03</v>
      </c>
      <c r="E24" s="15" t="n">
        <v>1371.03</v>
      </c>
    </row>
    <row r="25">
      <c r="A25" s="2" t="inlineStr">
        <is>
          <t>Playground</t>
        </is>
      </c>
      <c r="B25" s="15" t="n">
        <v>5187.13</v>
      </c>
      <c r="E25" s="15" t="n">
        <v>5187.13</v>
      </c>
    </row>
    <row r="27">
      <c r="A27" s="14" t="inlineStr">
        <is>
          <t>Site Utilities</t>
        </is>
      </c>
    </row>
    <row r="28">
      <c r="A28" s="2" t="inlineStr">
        <is>
          <t>Site Utilities</t>
        </is>
      </c>
      <c r="B28" s="15" t="n">
        <v>88456.46000000001</v>
      </c>
      <c r="F28" s="15" t="n">
        <v>88456.46000000001</v>
      </c>
    </row>
    <row r="30">
      <c r="A30" s="7" t="inlineStr">
        <is>
          <t>Total Site Cost</t>
        </is>
      </c>
      <c r="B30" s="16" t="n">
        <v>312303.13</v>
      </c>
      <c r="E30" s="16" t="n">
        <v>223846.67</v>
      </c>
      <c r="F30" s="16" t="n">
        <v>88456.46000000001</v>
      </c>
    </row>
    <row r="31">
      <c r="A31" s="2" t="inlineStr">
        <is>
          <t>% of Site Cost</t>
        </is>
      </c>
      <c r="E31" s="17" t="n">
        <v>0.717</v>
      </c>
      <c r="F31" s="17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15" t="n">
        <v>254562.48</v>
      </c>
      <c r="E34" s="15" t="n">
        <v>182460.43</v>
      </c>
      <c r="F34" s="15" t="n">
        <v>72102.05</v>
      </c>
    </row>
    <row r="35">
      <c r="A35" s="2" t="inlineStr">
        <is>
          <t>Asset #4 Equipment</t>
        </is>
      </c>
      <c r="B35" s="15" t="n">
        <v>31586.5</v>
      </c>
      <c r="E35" s="15" t="n">
        <v>22639.97</v>
      </c>
      <c r="F35" s="15" t="n">
        <v>8946.530000000001</v>
      </c>
    </row>
    <row r="36">
      <c r="A36" s="2" t="inlineStr">
        <is>
          <t>Asset #5 Land Improvements</t>
        </is>
      </c>
      <c r="B36" s="15" t="n">
        <v>26154.15</v>
      </c>
      <c r="E36" s="15" t="n">
        <v>18746.27</v>
      </c>
      <c r="F36" s="15" t="n">
        <v>7407.88</v>
      </c>
    </row>
    <row r="37">
      <c r="A37" s="7" t="inlineStr">
        <is>
          <t>Total Allocation:</t>
        </is>
      </c>
      <c r="B37" s="16" t="n">
        <v>312303.13</v>
      </c>
      <c r="E37" s="16" t="n">
        <v>223846.67</v>
      </c>
      <c r="F37" s="16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2026-06-23T23:15:16Z</dcterms:created>
  <dcterms:modified xmlns:dcterms="http://purl.org/dc/terms/" xmlns:xsi="http://www.w3.org/2001/XMLSchema-instance" xsi:type="dcterms:W3CDTF">2026-06-23T23:15:16Z</dcterms:modified>
</cp:coreProperties>
</file>