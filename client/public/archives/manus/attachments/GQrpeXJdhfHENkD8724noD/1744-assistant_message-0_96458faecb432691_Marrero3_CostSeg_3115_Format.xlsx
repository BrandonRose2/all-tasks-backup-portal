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right" vertical="center"/>
    </xf>
    <xf numFmtId="0" fontId="4" fillId="7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164" fontId="6" fillId="5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20" customHeight="1">
      <c r="B1" s="1" t="inlineStr">
        <is>
          <t>MARRERO 3, LLC — COST SEGREGATION STUDY SUMMARY</t>
        </is>
      </c>
    </row>
    <row r="2" ht="15" customHeight="1">
      <c r="B2" s="2" t="inlineStr">
        <is>
          <t>Form 3115 — Section 481(a) Adjustment Summary  |  EIN: 82-2324040  |  FYE: 12/31/2024</t>
        </is>
      </c>
    </row>
    <row r="4" ht="15" customHeight="1">
      <c r="B4" s="3" t="inlineStr">
        <is>
          <t>MACRS RECLASSIFICATION BY PROPERTY</t>
        </is>
      </c>
    </row>
    <row r="5" ht="32" customHeight="1">
      <c r="A5" s="4" t="inlineStr"/>
      <c r="B5" s="4" t="inlineStr">
        <is>
          <t>Property</t>
        </is>
      </c>
      <c r="C5" s="4" t="inlineStr">
        <is>
          <t>Total Cost
(After)</t>
        </is>
      </c>
      <c r="D5" s="4" t="inlineStr">
        <is>
          <t>5-Year
(200DB)</t>
        </is>
      </c>
      <c r="E5" s="4" t="inlineStr">
        <is>
          <t>7-Year
(200DB)</t>
        </is>
      </c>
      <c r="F5" s="4" t="inlineStr">
        <is>
          <t>15-Year
(150DB)</t>
        </is>
      </c>
      <c r="G5" s="4" t="inlineStr">
        <is>
          <t>27.5-Year
(S/L)</t>
        </is>
      </c>
      <c r="H5" s="4" t="inlineStr">
        <is>
          <t>Sec 481(a)
Prev Reported</t>
        </is>
      </c>
      <c r="I5" s="4" t="inlineStr">
        <is>
          <t>Sec 481(a)
Corrected</t>
        </is>
      </c>
    </row>
    <row r="6" ht="15" customHeight="1">
      <c r="B6" s="5" t="inlineStr">
        <is>
          <t>530 Ames Blvd</t>
        </is>
      </c>
      <c r="C6" s="6" t="n">
        <v>2017604</v>
      </c>
      <c r="D6" s="6" t="n">
        <v>369968</v>
      </c>
      <c r="E6" s="6" t="n">
        <v>0</v>
      </c>
      <c r="F6" s="6" t="n">
        <v>33717</v>
      </c>
      <c r="G6" s="6" t="n">
        <v>1613919</v>
      </c>
      <c r="H6" s="6" t="n">
        <v>790255.88</v>
      </c>
      <c r="I6" s="6" t="n">
        <v>816946.05</v>
      </c>
    </row>
    <row r="7" ht="15" customHeight="1">
      <c r="B7" s="7" t="inlineStr">
        <is>
          <t>540 Freedom Ct</t>
        </is>
      </c>
      <c r="C7" s="8" t="n">
        <v>101473</v>
      </c>
      <c r="D7" s="8" t="n">
        <v>17500</v>
      </c>
      <c r="E7" s="8" t="n">
        <v>0</v>
      </c>
      <c r="F7" s="8" t="n">
        <v>2702</v>
      </c>
      <c r="G7" s="8" t="n">
        <v>81271</v>
      </c>
      <c r="H7" s="8" t="n">
        <v>39745.12</v>
      </c>
      <c r="I7" s="8" t="n">
        <v>40940.39</v>
      </c>
    </row>
    <row r="8" ht="15" customHeight="1">
      <c r="B8" s="5" t="inlineStr">
        <is>
          <t>1208 Smith Square</t>
        </is>
      </c>
      <c r="C8" s="6" t="n">
        <v>730531</v>
      </c>
      <c r="D8" s="6" t="n">
        <v>135919</v>
      </c>
      <c r="E8" s="6" t="n">
        <v>0</v>
      </c>
      <c r="F8" s="6" t="n">
        <v>21326</v>
      </c>
      <c r="G8" s="6" t="n">
        <v>573286</v>
      </c>
      <c r="H8" s="6" t="n">
        <v>286132.85</v>
      </c>
      <c r="I8" s="6" t="n">
        <v>304040.94</v>
      </c>
    </row>
    <row r="9" ht="15" customHeight="1">
      <c r="B9" s="7" t="inlineStr">
        <is>
          <t>1209 Smith Square</t>
        </is>
      </c>
      <c r="C9" s="8" t="n">
        <v>148349</v>
      </c>
      <c r="D9" s="8" t="n">
        <v>25271</v>
      </c>
      <c r="E9" s="8" t="n">
        <v>0</v>
      </c>
      <c r="F9" s="8" t="n">
        <v>4482</v>
      </c>
      <c r="G9" s="8" t="n">
        <v>118596</v>
      </c>
      <c r="H9" s="8" t="n">
        <v>58105.15</v>
      </c>
      <c r="I9" s="8" t="n">
        <v>60120.51</v>
      </c>
    </row>
    <row r="10" ht="15" customHeight="1">
      <c r="B10" s="5" t="inlineStr">
        <is>
          <t>3112 Havenwood Dr</t>
        </is>
      </c>
      <c r="C10" s="6" t="n">
        <v>791189</v>
      </c>
      <c r="D10" s="6" t="n">
        <v>136023</v>
      </c>
      <c r="E10" s="6" t="n">
        <v>0</v>
      </c>
      <c r="F10" s="6" t="n">
        <v>19397</v>
      </c>
      <c r="G10" s="6" t="n">
        <v>635769</v>
      </c>
      <c r="H10" s="6" t="n">
        <v>309892.45</v>
      </c>
      <c r="I10" s="6" t="n">
        <v>318215.63</v>
      </c>
    </row>
    <row r="11" ht="15" customHeight="1">
      <c r="B11" s="7" t="inlineStr">
        <is>
          <t>3117 Barbwood Dr</t>
        </is>
      </c>
      <c r="C11" s="8" t="n">
        <v>127489</v>
      </c>
      <c r="D11" s="8" t="n">
        <v>17165</v>
      </c>
      <c r="E11" s="8" t="n">
        <v>0</v>
      </c>
      <c r="F11" s="8" t="n">
        <v>2122</v>
      </c>
      <c r="G11" s="8" t="n">
        <v>108202</v>
      </c>
      <c r="H11" s="8" t="n">
        <v>49934.55</v>
      </c>
      <c r="I11" s="8" t="n">
        <v>46937.1</v>
      </c>
    </row>
    <row r="12" ht="15" customHeight="1">
      <c r="B12" s="5" t="inlineStr">
        <is>
          <t>6805 Sayres</t>
        </is>
      </c>
      <c r="C12" s="6" t="n">
        <v>1362911</v>
      </c>
      <c r="D12" s="6" t="n">
        <v>204466</v>
      </c>
      <c r="E12" s="6" t="n">
        <v>0</v>
      </c>
      <c r="F12" s="6" t="n">
        <v>23070</v>
      </c>
      <c r="G12" s="6" t="n">
        <v>1135375</v>
      </c>
      <c r="H12" s="6" t="n">
        <v>517926.62</v>
      </c>
      <c r="I12" s="6" t="n">
        <v>514820.02</v>
      </c>
    </row>
    <row r="13" ht="15" customHeight="1">
      <c r="B13" s="7" t="inlineStr">
        <is>
          <t>6800 Sayres</t>
        </is>
      </c>
      <c r="C13" s="8" t="n">
        <v>269163</v>
      </c>
      <c r="D13" s="8" t="n">
        <v>43335</v>
      </c>
      <c r="E13" s="8" t="n">
        <v>0</v>
      </c>
      <c r="F13" s="8" t="n">
        <v>6152</v>
      </c>
      <c r="G13" s="8" t="n">
        <v>219676</v>
      </c>
      <c r="H13" s="8" t="n">
        <v>102285.38</v>
      </c>
      <c r="I13" s="8" t="n">
        <v>105071.7</v>
      </c>
    </row>
    <row r="14" ht="15" customHeight="1">
      <c r="B14" s="5" t="inlineStr">
        <is>
          <t>7112 Kayla Ct</t>
        </is>
      </c>
      <c r="C14" s="6" t="n">
        <v>1337398</v>
      </c>
      <c r="D14" s="6" t="n">
        <v>223321</v>
      </c>
      <c r="E14" s="6" t="n">
        <v>0</v>
      </c>
      <c r="F14" s="6" t="n">
        <v>19903</v>
      </c>
      <c r="G14" s="6" t="n">
        <v>1094174</v>
      </c>
      <c r="H14" s="6" t="n">
        <v>523830.88</v>
      </c>
      <c r="I14" s="6" t="n">
        <v>523398.82</v>
      </c>
    </row>
    <row r="15" ht="15" customHeight="1">
      <c r="B15" s="7" t="inlineStr">
        <is>
          <t>7141 Kayla Ct</t>
        </is>
      </c>
      <c r="C15" s="8" t="n">
        <v>301841</v>
      </c>
      <c r="D15" s="8" t="n">
        <v>49360</v>
      </c>
      <c r="E15" s="8" t="n">
        <v>0</v>
      </c>
      <c r="F15" s="8" t="n">
        <v>5595</v>
      </c>
      <c r="G15" s="8" t="n">
        <v>246886</v>
      </c>
      <c r="H15" s="8" t="n">
        <v>118225.12</v>
      </c>
      <c r="I15" s="8" t="n">
        <v>118173</v>
      </c>
    </row>
    <row r="16" ht="15" customHeight="1">
      <c r="B16" s="9" t="inlineStr">
        <is>
          <t>GRAND TOTAL</t>
        </is>
      </c>
      <c r="C16" s="10">
        <f>SUM(C6:C15)</f>
        <v/>
      </c>
      <c r="D16" s="10">
        <f>SUM(D6:D15)</f>
        <v/>
      </c>
      <c r="E16" s="10">
        <f>SUM(E6:E15)</f>
        <v/>
      </c>
      <c r="F16" s="10">
        <f>SUM(F6:F15)</f>
        <v/>
      </c>
      <c r="G16" s="10">
        <f>SUM(G6:G15)</f>
        <v/>
      </c>
      <c r="H16" s="10">
        <f>SUM(H6:H15)</f>
        <v/>
      </c>
      <c r="I16" s="10">
        <f>SUM(I6:I15)</f>
        <v/>
      </c>
    </row>
    <row r="18" ht="15" customHeight="1">
      <c r="B18" s="3" t="inlineStr">
        <is>
          <t>ORIGINAL COST BASIS (AS PREVIOUSLY FILED)</t>
        </is>
      </c>
    </row>
    <row r="19" ht="32" customHeight="1">
      <c r="A19" s="4" t="inlineStr"/>
      <c r="B19" s="4" t="inlineStr">
        <is>
          <t>Property</t>
        </is>
      </c>
      <c r="C19" s="4" t="inlineStr">
        <is>
          <t>Total Cost
(Before)</t>
        </is>
      </c>
      <c r="D19" s="4" t="inlineStr">
        <is>
          <t>Land Imp
(15yr)</t>
        </is>
      </c>
      <c r="E19" s="4" t="inlineStr">
        <is>
          <t>Building
(27.5yr)</t>
        </is>
      </c>
      <c r="F19" s="4" t="inlineStr">
        <is>
          <t>Equipment
(5yr)</t>
        </is>
      </c>
      <c r="G19" s="4" t="inlineStr"/>
      <c r="H19" s="4" t="inlineStr">
        <is>
          <t>Prev End Depr</t>
        </is>
      </c>
      <c r="I19" s="4" t="inlineStr">
        <is>
          <t>Prev Net Book</t>
        </is>
      </c>
    </row>
    <row r="20" ht="15" customHeight="1">
      <c r="B20" s="5" t="inlineStr">
        <is>
          <t>530 Ames Blvd</t>
        </is>
      </c>
      <c r="C20" s="6" t="n">
        <v>2017604</v>
      </c>
      <c r="D20" s="6" t="n">
        <v>121057</v>
      </c>
      <c r="E20" s="6" t="n">
        <v>1573731</v>
      </c>
      <c r="F20" s="6" t="n">
        <v>322816</v>
      </c>
      <c r="H20" s="6" t="n">
        <v>790255.88</v>
      </c>
      <c r="I20" s="6" t="n">
        <v>1227348.12</v>
      </c>
    </row>
    <row r="21" ht="15" customHeight="1">
      <c r="B21" s="7" t="inlineStr">
        <is>
          <t>540 Freedom Ct</t>
        </is>
      </c>
      <c r="C21" s="8" t="n">
        <v>101473</v>
      </c>
      <c r="D21" s="8" t="n">
        <v>6088</v>
      </c>
      <c r="E21" s="8" t="n">
        <v>79149</v>
      </c>
      <c r="F21" s="8" t="n">
        <v>16236</v>
      </c>
      <c r="H21" s="8" t="n">
        <v>39745.12</v>
      </c>
      <c r="I21" s="8" t="n">
        <v>61727.88</v>
      </c>
    </row>
    <row r="22" ht="15" customHeight="1">
      <c r="B22" s="5" t="inlineStr">
        <is>
          <t>1208 Smith Square</t>
        </is>
      </c>
      <c r="C22" s="6" t="n">
        <v>730531</v>
      </c>
      <c r="D22" s="6" t="n">
        <v>43832</v>
      </c>
      <c r="E22" s="6" t="n">
        <v>569814</v>
      </c>
      <c r="F22" s="6" t="n">
        <v>116885</v>
      </c>
      <c r="H22" s="6" t="n">
        <v>286132.85</v>
      </c>
      <c r="I22" s="6" t="n">
        <v>444398.15</v>
      </c>
    </row>
    <row r="23" ht="15" customHeight="1">
      <c r="B23" s="7" t="inlineStr">
        <is>
          <t>1209 Smith Square</t>
        </is>
      </c>
      <c r="C23" s="8" t="n">
        <v>148349</v>
      </c>
      <c r="D23" s="8" t="n">
        <v>8901</v>
      </c>
      <c r="E23" s="8" t="n">
        <v>115712</v>
      </c>
      <c r="F23" s="8" t="n">
        <v>23736</v>
      </c>
      <c r="H23" s="8" t="n">
        <v>58105.15</v>
      </c>
      <c r="I23" s="8" t="n">
        <v>90243.85000000001</v>
      </c>
    </row>
    <row r="24" ht="15" customHeight="1">
      <c r="B24" s="5" t="inlineStr">
        <is>
          <t>3112 Havenwood Dr</t>
        </is>
      </c>
      <c r="C24" s="6" t="n">
        <v>791189</v>
      </c>
      <c r="D24" s="6" t="n">
        <v>47472</v>
      </c>
      <c r="E24" s="6" t="n">
        <v>617127</v>
      </c>
      <c r="F24" s="6" t="n">
        <v>126590</v>
      </c>
      <c r="H24" s="6" t="n">
        <v>309892.45</v>
      </c>
      <c r="I24" s="6" t="n">
        <v>481296.55</v>
      </c>
    </row>
    <row r="25" ht="15" customHeight="1">
      <c r="B25" s="7" t="inlineStr">
        <is>
          <t>3117 Barbwood Dr</t>
        </is>
      </c>
      <c r="C25" s="8" t="n">
        <v>127489</v>
      </c>
      <c r="D25" s="8" t="n">
        <v>7649</v>
      </c>
      <c r="E25" s="8" t="n">
        <v>99442</v>
      </c>
      <c r="F25" s="8" t="n">
        <v>20398</v>
      </c>
      <c r="H25" s="8" t="n">
        <v>49934.55</v>
      </c>
      <c r="I25" s="8" t="n">
        <v>77554.45</v>
      </c>
    </row>
    <row r="26" ht="15" customHeight="1">
      <c r="B26" s="5" t="inlineStr">
        <is>
          <t>6805 Sayres</t>
        </is>
      </c>
      <c r="C26" s="6" t="n">
        <v>1362910</v>
      </c>
      <c r="D26" s="6" t="n">
        <v>40887</v>
      </c>
      <c r="E26" s="6" t="n">
        <v>1131216</v>
      </c>
      <c r="F26" s="6" t="n">
        <v>190807</v>
      </c>
      <c r="H26" s="6" t="n">
        <v>517926.62</v>
      </c>
      <c r="I26" s="6" t="n">
        <v>844983.38</v>
      </c>
    </row>
    <row r="27" ht="15" customHeight="1">
      <c r="B27" s="7" t="inlineStr">
        <is>
          <t>6800 Sayres</t>
        </is>
      </c>
      <c r="C27" s="8" t="n">
        <v>269163</v>
      </c>
      <c r="D27" s="8" t="n">
        <v>8075</v>
      </c>
      <c r="E27" s="8" t="n">
        <v>223405</v>
      </c>
      <c r="F27" s="8" t="n">
        <v>37683</v>
      </c>
      <c r="H27" s="8" t="n">
        <v>102285.38</v>
      </c>
      <c r="I27" s="8" t="n">
        <v>166877.62</v>
      </c>
    </row>
    <row r="28" ht="15" customHeight="1">
      <c r="B28" s="5" t="inlineStr">
        <is>
          <t>7112 Kayla Ct</t>
        </is>
      </c>
      <c r="C28" s="6" t="n">
        <v>1337398</v>
      </c>
      <c r="D28" s="6" t="n">
        <v>80244</v>
      </c>
      <c r="E28" s="6" t="n">
        <v>1043171</v>
      </c>
      <c r="F28" s="6" t="n">
        <v>213983</v>
      </c>
      <c r="H28" s="6" t="n">
        <v>523830.88</v>
      </c>
      <c r="I28" s="6" t="n">
        <v>813567.12</v>
      </c>
    </row>
    <row r="29" ht="15" customHeight="1">
      <c r="B29" s="7" t="inlineStr">
        <is>
          <t>7141 Kayla Ct</t>
        </is>
      </c>
      <c r="C29" s="8" t="n">
        <v>301841</v>
      </c>
      <c r="D29" s="8" t="n">
        <v>18110</v>
      </c>
      <c r="E29" s="8" t="n">
        <v>235436</v>
      </c>
      <c r="F29" s="8" t="n">
        <v>48295</v>
      </c>
      <c r="H29" s="8" t="n">
        <v>118225.12</v>
      </c>
      <c r="I29" s="8" t="n">
        <v>183615.88</v>
      </c>
    </row>
    <row r="30" ht="15" customHeight="1">
      <c r="B30" s="9" t="inlineStr">
        <is>
          <t>GRAND TOTAL</t>
        </is>
      </c>
      <c r="C30" s="10">
        <f>SUM(C20:C29)</f>
        <v/>
      </c>
      <c r="D30" s="10">
        <f>SUM(D20:D29)</f>
        <v/>
      </c>
      <c r="E30" s="10">
        <f>SUM(E20:E29)</f>
        <v/>
      </c>
      <c r="F30" s="10">
        <f>SUM(F20:F29)</f>
        <v/>
      </c>
      <c r="H30" s="10">
        <f>SUM(H20:H29)</f>
        <v/>
      </c>
      <c r="I30" s="10">
        <f>SUM(I20:I29)</f>
        <v/>
      </c>
    </row>
    <row r="32" ht="15" customHeight="1">
      <c r="B32" s="3" t="inlineStr">
        <is>
          <t>SECTION 481(a) ADJUSTMENT SUMMARY</t>
        </is>
      </c>
    </row>
    <row r="33" ht="32" customHeight="1">
      <c r="A33" s="4" t="inlineStr"/>
      <c r="B33" s="4" t="inlineStr">
        <is>
          <t>Property</t>
        </is>
      </c>
      <c r="C33" s="4" t="inlineStr">
        <is>
          <t>Prev Reported
Depr</t>
        </is>
      </c>
      <c r="D33" s="4" t="inlineStr">
        <is>
          <t>Corrected
Depr</t>
        </is>
      </c>
      <c r="E33" s="4" t="inlineStr">
        <is>
          <t>481(a)
Adjustment</t>
        </is>
      </c>
      <c r="F33" s="4" t="inlineStr"/>
      <c r="G33" s="4" t="inlineStr"/>
      <c r="H33" s="4" t="inlineStr"/>
      <c r="I33" s="4" t="inlineStr"/>
    </row>
    <row r="34" ht="15" customHeight="1">
      <c r="B34" s="5" t="inlineStr">
        <is>
          <t>530 Ames Blvd</t>
        </is>
      </c>
      <c r="C34" s="6" t="n">
        <v>790255.88</v>
      </c>
      <c r="D34" s="6" t="n">
        <v>816946.05</v>
      </c>
      <c r="E34" s="6" t="n">
        <v>26690.17000000004</v>
      </c>
    </row>
    <row r="35" ht="15" customHeight="1">
      <c r="B35" s="7" t="inlineStr">
        <is>
          <t>540 Freedom Ct</t>
        </is>
      </c>
      <c r="C35" s="8" t="n">
        <v>39745.12</v>
      </c>
      <c r="D35" s="8" t="n">
        <v>40940.39</v>
      </c>
      <c r="E35" s="8" t="n">
        <v>1195.269999999997</v>
      </c>
    </row>
    <row r="36" ht="15" customHeight="1">
      <c r="B36" s="5" t="inlineStr">
        <is>
          <t>1208 Smith Square</t>
        </is>
      </c>
      <c r="C36" s="6" t="n">
        <v>286132.85</v>
      </c>
      <c r="D36" s="6" t="n">
        <v>304040.94</v>
      </c>
      <c r="E36" s="6" t="n">
        <v>17908.09000000003</v>
      </c>
    </row>
    <row r="37" ht="15" customHeight="1">
      <c r="B37" s="7" t="inlineStr">
        <is>
          <t>1209 Smith Square</t>
        </is>
      </c>
      <c r="C37" s="8" t="n">
        <v>58105.15</v>
      </c>
      <c r="D37" s="8" t="n">
        <v>60120.51</v>
      </c>
      <c r="E37" s="8" t="n">
        <v>2015.360000000001</v>
      </c>
    </row>
    <row r="38" ht="15" customHeight="1">
      <c r="B38" s="5" t="inlineStr">
        <is>
          <t>3112 Havenwood Dr</t>
        </is>
      </c>
      <c r="C38" s="6" t="n">
        <v>309892.45</v>
      </c>
      <c r="D38" s="6" t="n">
        <v>318215.63</v>
      </c>
      <c r="E38" s="6" t="n">
        <v>8323.179999999993</v>
      </c>
    </row>
    <row r="39" ht="15" customHeight="1">
      <c r="B39" s="7" t="inlineStr">
        <is>
          <t>3117 Barbwood Dr</t>
        </is>
      </c>
      <c r="C39" s="8" t="n">
        <v>49934.55</v>
      </c>
      <c r="D39" s="8" t="n">
        <v>46937.1</v>
      </c>
      <c r="E39" s="8" t="n">
        <v>-2997.450000000004</v>
      </c>
    </row>
    <row r="40" ht="15" customHeight="1">
      <c r="B40" s="5" t="inlineStr">
        <is>
          <t>6805 Sayres</t>
        </is>
      </c>
      <c r="C40" s="6" t="n">
        <v>517926.62</v>
      </c>
      <c r="D40" s="6" t="n">
        <v>514820.02</v>
      </c>
      <c r="E40" s="6" t="n">
        <v>-3106.599999999977</v>
      </c>
    </row>
    <row r="41" ht="15" customHeight="1">
      <c r="B41" s="7" t="inlineStr">
        <is>
          <t>6800 Sayres</t>
        </is>
      </c>
      <c r="C41" s="8" t="n">
        <v>102285.38</v>
      </c>
      <c r="D41" s="8" t="n">
        <v>105071.7</v>
      </c>
      <c r="E41" s="8" t="n">
        <v>2786.319999999992</v>
      </c>
    </row>
    <row r="42" ht="15" customHeight="1">
      <c r="B42" s="5" t="inlineStr">
        <is>
          <t>7112 Kayla Ct</t>
        </is>
      </c>
      <c r="C42" s="6" t="n">
        <v>523830.88</v>
      </c>
      <c r="D42" s="6" t="n">
        <v>523398.82</v>
      </c>
      <c r="E42" s="6" t="n">
        <v>-432.0599999999977</v>
      </c>
    </row>
    <row r="43" ht="15" customHeight="1">
      <c r="B43" s="7" t="inlineStr">
        <is>
          <t>7141 Kayla Ct</t>
        </is>
      </c>
      <c r="C43" s="8" t="n">
        <v>118225.12</v>
      </c>
      <c r="D43" s="8" t="n">
        <v>118173</v>
      </c>
      <c r="E43" s="8" t="n">
        <v>-52.11999999999534</v>
      </c>
    </row>
    <row r="44" ht="15" customHeight="1">
      <c r="B44" s="9" t="inlineStr">
        <is>
          <t>TOTAL 481(a) ADJUSTMENT</t>
        </is>
      </c>
      <c r="C44" s="10">
        <f>SUM(C34:C43)</f>
        <v/>
      </c>
      <c r="D44" s="10">
        <f>SUM(D34:D43)</f>
        <v/>
      </c>
      <c r="E44" s="10">
        <f>SUM(E34:E43)</f>
        <v/>
      </c>
    </row>
  </sheetData>
  <mergeCells count="5">
    <mergeCell ref="B18:I18"/>
    <mergeCell ref="B2:I2"/>
    <mergeCell ref="B1:I1"/>
    <mergeCell ref="B32:I32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530 Ames Blvd., Marrero, LA  |  EIN: 82-2324040  |  FYE: 12/31/2024</t>
        </is>
      </c>
    </row>
    <row r="3" ht="15" customHeight="1">
      <c r="B3" s="11" t="inlineStr">
        <is>
          <t>Property: 530 Ames Blvd  |  Units: 46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4444.19</v>
      </c>
      <c r="D27" s="14" t="n">
        <v>0</v>
      </c>
      <c r="E27" s="14" t="n">
        <v>0</v>
      </c>
      <c r="F27" s="14" t="n">
        <v>0</v>
      </c>
      <c r="G27" s="14" t="n">
        <v>4444.19</v>
      </c>
    </row>
    <row r="28" ht="15" customHeight="1">
      <c r="B28" s="13" t="inlineStr">
        <is>
          <t>HVAC</t>
        </is>
      </c>
      <c r="C28" s="14" t="n">
        <v>2944.42</v>
      </c>
      <c r="D28" s="14" t="n">
        <v>0</v>
      </c>
      <c r="E28" s="14" t="n">
        <v>0</v>
      </c>
      <c r="F28" s="14" t="n">
        <v>0</v>
      </c>
      <c r="G28" s="14" t="n">
        <v>2944.42</v>
      </c>
    </row>
    <row r="29" ht="15" customHeight="1">
      <c r="B29" s="13" t="inlineStr">
        <is>
          <t>Electrical</t>
        </is>
      </c>
      <c r="C29" s="14" t="n">
        <v>2757.96</v>
      </c>
      <c r="D29" s="14" t="n">
        <v>0</v>
      </c>
      <c r="E29" s="14" t="n">
        <v>0</v>
      </c>
      <c r="F29" s="14" t="n">
        <v>0</v>
      </c>
      <c r="G29" s="14" t="n">
        <v>2757.96</v>
      </c>
    </row>
    <row r="30" ht="15" customHeight="1">
      <c r="B30" s="13" t="inlineStr">
        <is>
          <t>Plumbing</t>
        </is>
      </c>
      <c r="C30" s="14" t="n">
        <v>2596.79</v>
      </c>
      <c r="D30" s="14" t="n">
        <v>0</v>
      </c>
      <c r="E30" s="14" t="n">
        <v>0</v>
      </c>
      <c r="F30" s="14" t="n">
        <v>0</v>
      </c>
      <c r="G30" s="14" t="n">
        <v>2596.79</v>
      </c>
    </row>
    <row r="31" ht="15" customHeight="1">
      <c r="B31" s="13" t="inlineStr">
        <is>
          <t>Fire Protection &amp; Alarm</t>
        </is>
      </c>
      <c r="C31" s="14" t="n">
        <v>170.86</v>
      </c>
      <c r="D31" s="14" t="n">
        <v>0</v>
      </c>
      <c r="E31" s="14" t="n">
        <v>0</v>
      </c>
      <c r="F31" s="14" t="n">
        <v>0</v>
      </c>
      <c r="G31" s="14" t="n">
        <v>170.86</v>
      </c>
    </row>
    <row r="32" ht="15" customHeight="1">
      <c r="B32" s="13" t="inlineStr">
        <is>
          <t>Exterior Façade / Building Skin</t>
        </is>
      </c>
      <c r="C32" s="14" t="n">
        <v>1575.35</v>
      </c>
      <c r="D32" s="14" t="n">
        <v>0</v>
      </c>
      <c r="E32" s="14" t="n">
        <v>0</v>
      </c>
      <c r="F32" s="14" t="n">
        <v>0</v>
      </c>
      <c r="G32" s="14" t="n">
        <v>1575.35</v>
      </c>
    </row>
    <row r="33" ht="15" customHeight="1">
      <c r="B33" s="13" t="inlineStr">
        <is>
          <t>Doors &amp; Frames</t>
        </is>
      </c>
      <c r="C33" s="14" t="n">
        <v>2049.79</v>
      </c>
      <c r="D33" s="14" t="n">
        <v>0</v>
      </c>
      <c r="E33" s="14" t="n">
        <v>0</v>
      </c>
      <c r="F33" s="14" t="n">
        <v>0</v>
      </c>
      <c r="G33" s="14" t="n">
        <v>2049.79</v>
      </c>
    </row>
    <row r="34" ht="15" customHeight="1">
      <c r="B34" s="13" t="inlineStr">
        <is>
          <t>Windows</t>
        </is>
      </c>
      <c r="C34" s="14" t="n">
        <v>1685.6</v>
      </c>
      <c r="D34" s="14" t="n">
        <v>0</v>
      </c>
      <c r="E34" s="14" t="n">
        <v>0</v>
      </c>
      <c r="F34" s="14" t="n">
        <v>0</v>
      </c>
      <c r="G34" s="14" t="n">
        <v>1685.6</v>
      </c>
    </row>
    <row r="35" ht="15" customHeight="1">
      <c r="B35" s="13" t="inlineStr">
        <is>
          <t>Ceiling Systems</t>
        </is>
      </c>
      <c r="C35" s="14" t="n">
        <v>1546.81</v>
      </c>
      <c r="D35" s="14" t="n">
        <v>0</v>
      </c>
      <c r="E35" s="14" t="n">
        <v>0</v>
      </c>
      <c r="F35" s="14" t="n">
        <v>0</v>
      </c>
      <c r="G35" s="14" t="n">
        <v>1546.81</v>
      </c>
    </row>
    <row r="36" ht="15" customHeight="1">
      <c r="B36" s="13" t="inlineStr">
        <is>
          <t>Interior Framing / Partitions</t>
        </is>
      </c>
      <c r="C36" s="14" t="n">
        <v>4298.39</v>
      </c>
      <c r="D36" s="14" t="n">
        <v>0</v>
      </c>
      <c r="E36" s="14" t="n">
        <v>0</v>
      </c>
      <c r="F36" s="14" t="n">
        <v>0</v>
      </c>
      <c r="G36" s="14" t="n">
        <v>4298.39</v>
      </c>
    </row>
    <row r="37" ht="15" customHeight="1">
      <c r="B37" s="13" t="inlineStr">
        <is>
          <t>Painting</t>
        </is>
      </c>
      <c r="C37" s="14" t="n">
        <v>1463.49</v>
      </c>
      <c r="D37" s="14" t="n">
        <v>0</v>
      </c>
      <c r="E37" s="14" t="n">
        <v>0</v>
      </c>
      <c r="F37" s="14" t="n">
        <v>0</v>
      </c>
      <c r="G37" s="14" t="n">
        <v>1463.49</v>
      </c>
    </row>
    <row r="38" ht="15" customHeight="1">
      <c r="B38" s="13" t="inlineStr">
        <is>
          <t>Structural Framing</t>
        </is>
      </c>
      <c r="C38" s="14" t="n">
        <v>5008.87</v>
      </c>
      <c r="D38" s="14" t="n">
        <v>0</v>
      </c>
      <c r="E38" s="14" t="n">
        <v>0</v>
      </c>
      <c r="F38" s="14" t="n">
        <v>0</v>
      </c>
      <c r="G38" s="14" t="n">
        <v>5008.87</v>
      </c>
    </row>
    <row r="39" ht="15" customHeight="1">
      <c r="B39" s="13" t="inlineStr">
        <is>
          <t>Site Utilities</t>
        </is>
      </c>
      <c r="C39" s="14" t="n">
        <v>673.26</v>
      </c>
      <c r="D39" s="14" t="n">
        <v>0</v>
      </c>
      <c r="E39" s="14" t="n">
        <v>0</v>
      </c>
      <c r="F39" s="14" t="n">
        <v>0</v>
      </c>
      <c r="G39" s="14" t="n">
        <v>673.26</v>
      </c>
    </row>
    <row r="40" ht="15" customHeight="1">
      <c r="B40" s="13" t="inlineStr">
        <is>
          <t>Bathroom Accessories</t>
        </is>
      </c>
      <c r="C40" s="14" t="n">
        <v>648.78</v>
      </c>
      <c r="D40" s="14" t="n">
        <v>0</v>
      </c>
      <c r="E40" s="14" t="n">
        <v>0</v>
      </c>
      <c r="F40" s="14" t="n">
        <v>0</v>
      </c>
      <c r="G40" s="14" t="n">
        <v>648.78</v>
      </c>
    </row>
    <row r="41" ht="15" customHeight="1">
      <c r="B41" s="13" t="inlineStr">
        <is>
          <t>Cabinets / Millwork - Restrooms</t>
        </is>
      </c>
      <c r="C41" s="14" t="n">
        <v>430.4</v>
      </c>
      <c r="D41" s="14" t="n">
        <v>0</v>
      </c>
      <c r="E41" s="14" t="n">
        <v>0</v>
      </c>
      <c r="F41" s="14" t="n">
        <v>0</v>
      </c>
      <c r="G41" s="14" t="n">
        <v>430.4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17-Land Improvements - Ames</t>
        </is>
      </c>
      <c r="C47" s="14" t="n">
        <v>121056.82</v>
      </c>
      <c r="D47" s="14" t="n">
        <v>22198.22</v>
      </c>
      <c r="E47" s="14" t="n">
        <v>0</v>
      </c>
      <c r="F47" s="14" t="n">
        <v>2023.08</v>
      </c>
      <c r="G47" s="14" t="n">
        <v>96835.52</v>
      </c>
    </row>
    <row r="48" ht="15" customHeight="1">
      <c r="B48" s="13" t="inlineStr">
        <is>
          <t>Asset # 18-Building - Ames</t>
        </is>
      </c>
      <c r="C48" s="14" t="n">
        <v>1573730.84</v>
      </c>
      <c r="D48" s="14" t="n">
        <v>288574.56</v>
      </c>
      <c r="E48" s="14" t="n">
        <v>0</v>
      </c>
      <c r="F48" s="14" t="n">
        <v>26299.12</v>
      </c>
      <c r="G48" s="14" t="n">
        <v>1258857.16</v>
      </c>
    </row>
    <row r="49" ht="15" customHeight="1">
      <c r="B49" s="13" t="inlineStr">
        <is>
          <t>Asset # 19-Equipment - Ames</t>
        </is>
      </c>
      <c r="C49" s="14" t="n">
        <v>322816.5</v>
      </c>
      <c r="D49" s="14" t="n">
        <v>59194.64</v>
      </c>
      <c r="E49" s="14" t="n">
        <v>0</v>
      </c>
      <c r="F49" s="14" t="n">
        <v>5394.88</v>
      </c>
      <c r="G49" s="14" t="n">
        <v>258226.98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17 - Land Improvements - Ames</t>
        </is>
      </c>
      <c r="C55" s="14" t="n">
        <v>121057</v>
      </c>
      <c r="D55" s="14" t="n">
        <v>0</v>
      </c>
      <c r="E55" s="14" t="n">
        <v>57319.39</v>
      </c>
      <c r="F55" s="14" t="n">
        <v>7148.5</v>
      </c>
      <c r="G55" s="14" t="n">
        <v>64467.89</v>
      </c>
      <c r="H55" s="14" t="n">
        <v>56589.11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18 - Building - Ames</t>
        </is>
      </c>
      <c r="C56" s="14" t="n">
        <v>1573731</v>
      </c>
      <c r="D56" s="14" t="n">
        <v>0</v>
      </c>
      <c r="E56" s="14" t="n">
        <v>345745.14</v>
      </c>
      <c r="F56" s="14" t="n">
        <v>57226.85</v>
      </c>
      <c r="G56" s="14" t="n">
        <v>402971.99</v>
      </c>
      <c r="H56" s="14" t="n">
        <v>1170759.01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19 - Equipment - Ames</t>
        </is>
      </c>
      <c r="C57" s="14" t="n">
        <v>322816</v>
      </c>
      <c r="D57" s="14" t="n">
        <v>0</v>
      </c>
      <c r="E57" s="14" t="n">
        <v>322816</v>
      </c>
      <c r="F57" s="14" t="n">
        <v>0</v>
      </c>
      <c r="G57" s="14" t="n">
        <v>322816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17 - Land Improvements - Ames - 5yr</t>
        </is>
      </c>
      <c r="C62" s="14" t="n">
        <v>22198</v>
      </c>
      <c r="D62" s="14" t="n">
        <v>0</v>
      </c>
      <c r="E62" s="14" t="n">
        <v>22198</v>
      </c>
      <c r="F62" s="14" t="n">
        <v>22198</v>
      </c>
      <c r="G62" s="14" t="n">
        <v>22198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17 - Land Improvements - Ames - 15yr</t>
        </is>
      </c>
      <c r="C63" s="14" t="n">
        <v>2023</v>
      </c>
      <c r="D63" s="14" t="n">
        <v>0</v>
      </c>
      <c r="E63" s="14" t="n">
        <v>2023</v>
      </c>
      <c r="F63" s="14" t="n">
        <v>2023</v>
      </c>
      <c r="G63" s="14" t="n">
        <v>2023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17 - Land Improvements - Ames - 27.5yr</t>
        </is>
      </c>
      <c r="C64" s="14" t="n">
        <v>96835</v>
      </c>
      <c r="D64" s="14" t="n">
        <v>0</v>
      </c>
      <c r="E64" s="14" t="n">
        <v>0</v>
      </c>
      <c r="F64" s="14" t="n">
        <v>3521.27</v>
      </c>
      <c r="G64" s="14" t="n">
        <v>24795.61</v>
      </c>
      <c r="H64" s="14" t="n">
        <v>72039.39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18 - Building - Ames - 5yr</t>
        </is>
      </c>
      <c r="C65" s="14" t="n">
        <v>288575</v>
      </c>
      <c r="D65" s="14" t="n">
        <v>0</v>
      </c>
      <c r="E65" s="14" t="n">
        <v>288575</v>
      </c>
      <c r="F65" s="14" t="n">
        <v>288575</v>
      </c>
      <c r="G65" s="14" t="n">
        <v>288575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18 - Building - Ames - 15yr</t>
        </is>
      </c>
      <c r="C66" s="14" t="n">
        <v>26299</v>
      </c>
      <c r="D66" s="14" t="n">
        <v>0</v>
      </c>
      <c r="E66" s="14" t="n">
        <v>26299</v>
      </c>
      <c r="F66" s="14" t="n">
        <v>26299</v>
      </c>
      <c r="G66" s="14" t="n">
        <v>26299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18 - Building - Ames - 27.5yr</t>
        </is>
      </c>
      <c r="C67" s="14" t="n">
        <v>1258857</v>
      </c>
      <c r="D67" s="14" t="n">
        <v>0</v>
      </c>
      <c r="E67" s="14" t="n">
        <v>0</v>
      </c>
      <c r="F67" s="14" t="n">
        <v>45776.62</v>
      </c>
      <c r="G67" s="14" t="n">
        <v>322343.7</v>
      </c>
      <c r="H67" s="14" t="n">
        <v>936513.3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19 - Equipment - Ames - 5yr</t>
        </is>
      </c>
      <c r="C68" s="14" t="n">
        <v>59195</v>
      </c>
      <c r="D68" s="14" t="n">
        <v>0</v>
      </c>
      <c r="E68" s="14" t="n">
        <v>59195</v>
      </c>
      <c r="F68" s="14" t="n">
        <v>59195</v>
      </c>
      <c r="G68" s="14" t="n">
        <v>59195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19 - Equipment - Ames - 15yr</t>
        </is>
      </c>
      <c r="C69" s="14" t="n">
        <v>5395</v>
      </c>
      <c r="D69" s="14" t="n">
        <v>0</v>
      </c>
      <c r="E69" s="14" t="n">
        <v>5395</v>
      </c>
      <c r="F69" s="14" t="n">
        <v>5395</v>
      </c>
      <c r="G69" s="14" t="n">
        <v>5395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19 - Equipment - Ames - 27.5yr</t>
        </is>
      </c>
      <c r="C70" s="14" t="n">
        <v>258227</v>
      </c>
      <c r="D70" s="14" t="n">
        <v>0</v>
      </c>
      <c r="E70" s="14" t="n">
        <v>0</v>
      </c>
      <c r="F70" s="14" t="n">
        <v>9390.07</v>
      </c>
      <c r="G70" s="14" t="n">
        <v>66121.74000000001</v>
      </c>
      <c r="H70" s="14" t="n">
        <v>192105.26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790255.88</v>
      </c>
    </row>
    <row r="75" ht="15" customHeight="1">
      <c r="B75" s="13" t="inlineStr">
        <is>
          <t>Cost Segregation Corrected Depreciation</t>
        </is>
      </c>
      <c r="C75" s="14" t="n">
        <v>816946.05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540 Freedom Ct., Marrero, LA  |  EIN: 82-2324040  |  FYE: 12/31/2024</t>
        </is>
      </c>
    </row>
    <row r="3" ht="15" customHeight="1">
      <c r="B3" s="11" t="inlineStr">
        <is>
          <t>Property: 540 Freedom Ct  |  Units: 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1413.34</v>
      </c>
      <c r="D8" s="14" t="n">
        <v>1413.34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704.98</v>
      </c>
      <c r="D9" s="14" t="n">
        <v>704.98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Vinyl Tile</t>
        </is>
      </c>
      <c r="C10" s="14" t="n">
        <v>115.67</v>
      </c>
      <c r="D10" s="14" t="n">
        <v>115.67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Carpet</t>
        </is>
      </c>
      <c r="C11" s="14" t="n">
        <v>2552.89</v>
      </c>
      <c r="D11" s="14" t="n">
        <v>2552.89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Flooring - Wood Laminate</t>
        </is>
      </c>
      <c r="C12" s="14" t="n">
        <v>74.23999999999999</v>
      </c>
      <c r="D12" s="14" t="n">
        <v>74.23999999999999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Security System</t>
        </is>
      </c>
      <c r="C13" s="14" t="n">
        <v>503.17</v>
      </c>
      <c r="D13" s="14" t="n">
        <v>503.17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Window Treatments</t>
        </is>
      </c>
      <c r="C14" s="14" t="n">
        <v>417.2</v>
      </c>
      <c r="D14" s="14" t="n">
        <v>417.2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HVAC - Dryer Vents</t>
        </is>
      </c>
      <c r="C15" s="14" t="n">
        <v>42.81</v>
      </c>
      <c r="D15" s="14" t="n">
        <v>42.81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Building Signage</t>
        </is>
      </c>
      <c r="C16" s="14" t="n">
        <v>21.12</v>
      </c>
      <c r="D16" s="14" t="n">
        <v>21.12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Electrical - Appliances</t>
        </is>
      </c>
      <c r="C17" s="14" t="n">
        <v>731.0700000000001</v>
      </c>
      <c r="D17" s="14" t="n">
        <v>731.0700000000001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Communication / Data</t>
        </is>
      </c>
      <c r="C18" s="14" t="n">
        <v>338.82</v>
      </c>
      <c r="D18" s="14" t="n">
        <v>338.82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Specialty Plumbing - Kitchen Sink / Laundry</t>
        </is>
      </c>
      <c r="C19" s="14" t="n">
        <v>800.46</v>
      </c>
      <c r="D19" s="14" t="n">
        <v>800.46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Security / Exterior Lighting</t>
        </is>
      </c>
      <c r="C20" s="14" t="n">
        <v>232.42</v>
      </c>
      <c r="D20" s="14" t="n">
        <v>232.42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801.88</v>
      </c>
      <c r="D21" s="14" t="n">
        <v>801.88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1053.33</v>
      </c>
      <c r="D23" s="14" t="n">
        <v>0</v>
      </c>
      <c r="E23" s="14" t="n">
        <v>0</v>
      </c>
      <c r="F23" s="14" t="n">
        <v>1053.33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217.91</v>
      </c>
      <c r="D24" s="14" t="n">
        <v>0</v>
      </c>
      <c r="E24" s="14" t="n">
        <v>0</v>
      </c>
      <c r="F24" s="14" t="n">
        <v>217.91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49.43</v>
      </c>
      <c r="D25" s="14" t="n">
        <v>0</v>
      </c>
      <c r="E25" s="14" t="n">
        <v>0</v>
      </c>
      <c r="F25" s="14" t="n">
        <v>49.43</v>
      </c>
      <c r="G25" s="14" t="n">
        <v>0</v>
      </c>
    </row>
    <row r="26" ht="15" customHeight="1">
      <c r="B26" s="13" t="inlineStr">
        <is>
          <t>Mailboxes</t>
        </is>
      </c>
      <c r="C26" s="14" t="n">
        <v>30.65</v>
      </c>
      <c r="D26" s="14" t="n">
        <v>0</v>
      </c>
      <c r="E26" s="14" t="n">
        <v>0</v>
      </c>
      <c r="F26" s="14" t="n">
        <v>30.65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3154.94</v>
      </c>
      <c r="D28" s="14" t="n">
        <v>0</v>
      </c>
      <c r="E28" s="14" t="n">
        <v>0</v>
      </c>
      <c r="F28" s="14" t="n">
        <v>0</v>
      </c>
      <c r="G28" s="14" t="n">
        <v>3154.94</v>
      </c>
    </row>
    <row r="29" ht="15" customHeight="1">
      <c r="B29" s="13" t="inlineStr">
        <is>
          <t>Foundations</t>
        </is>
      </c>
      <c r="C29" s="14" t="n">
        <v>5238.39</v>
      </c>
      <c r="D29" s="14" t="n">
        <v>0</v>
      </c>
      <c r="E29" s="14" t="n">
        <v>0</v>
      </c>
      <c r="F29" s="14" t="n">
        <v>0</v>
      </c>
      <c r="G29" s="14" t="n">
        <v>5238.39</v>
      </c>
    </row>
    <row r="30" ht="15" customHeight="1">
      <c r="B30" s="13" t="inlineStr">
        <is>
          <t>HVAC</t>
        </is>
      </c>
      <c r="C30" s="14" t="n">
        <v>3486.17</v>
      </c>
      <c r="D30" s="14" t="n">
        <v>0</v>
      </c>
      <c r="E30" s="14" t="n">
        <v>0</v>
      </c>
      <c r="F30" s="14" t="n">
        <v>0</v>
      </c>
      <c r="G30" s="14" t="n">
        <v>3486.17</v>
      </c>
    </row>
    <row r="31" ht="15" customHeight="1">
      <c r="B31" s="13" t="inlineStr">
        <is>
          <t>Electrical</t>
        </is>
      </c>
      <c r="C31" s="14" t="n">
        <v>3390.72</v>
      </c>
      <c r="D31" s="14" t="n">
        <v>0</v>
      </c>
      <c r="E31" s="14" t="n">
        <v>0</v>
      </c>
      <c r="F31" s="14" t="n">
        <v>0</v>
      </c>
      <c r="G31" s="14" t="n">
        <v>3390.72</v>
      </c>
    </row>
    <row r="32" ht="15" customHeight="1">
      <c r="B32" s="13" t="inlineStr">
        <is>
          <t>Plumbing</t>
        </is>
      </c>
      <c r="C32" s="14" t="n">
        <v>3067.72</v>
      </c>
      <c r="D32" s="14" t="n">
        <v>0</v>
      </c>
      <c r="E32" s="14" t="n">
        <v>0</v>
      </c>
      <c r="F32" s="14" t="n">
        <v>0</v>
      </c>
      <c r="G32" s="14" t="n">
        <v>3067.72</v>
      </c>
    </row>
    <row r="33" ht="15" customHeight="1">
      <c r="B33" s="13" t="inlineStr">
        <is>
          <t>Fire Protection &amp; Alarm</t>
        </is>
      </c>
      <c r="C33" s="14" t="n">
        <v>213.56</v>
      </c>
      <c r="D33" s="14" t="n">
        <v>0</v>
      </c>
      <c r="E33" s="14" t="n">
        <v>0</v>
      </c>
      <c r="F33" s="14" t="n">
        <v>0</v>
      </c>
      <c r="G33" s="14" t="n">
        <v>213.56</v>
      </c>
    </row>
    <row r="34" ht="15" customHeight="1">
      <c r="B34" s="13" t="inlineStr">
        <is>
          <t>Exterior Façade / Building Skin</t>
        </is>
      </c>
      <c r="C34" s="14" t="n">
        <v>1769.68</v>
      </c>
      <c r="D34" s="14" t="n">
        <v>0</v>
      </c>
      <c r="E34" s="14" t="n">
        <v>0</v>
      </c>
      <c r="F34" s="14" t="n">
        <v>0</v>
      </c>
      <c r="G34" s="14" t="n">
        <v>1769.68</v>
      </c>
    </row>
    <row r="35" ht="15" customHeight="1">
      <c r="B35" s="13" t="inlineStr">
        <is>
          <t>Doors &amp; Frames</t>
        </is>
      </c>
      <c r="C35" s="14" t="n">
        <v>2247.15</v>
      </c>
      <c r="D35" s="14" t="n">
        <v>0</v>
      </c>
      <c r="E35" s="14" t="n">
        <v>0</v>
      </c>
      <c r="F35" s="14" t="n">
        <v>0</v>
      </c>
      <c r="G35" s="14" t="n">
        <v>2247.15</v>
      </c>
    </row>
    <row r="36" ht="15" customHeight="1">
      <c r="B36" s="13" t="inlineStr">
        <is>
          <t>Windows</t>
        </is>
      </c>
      <c r="C36" s="14" t="n">
        <v>1838.84</v>
      </c>
      <c r="D36" s="14" t="n">
        <v>0</v>
      </c>
      <c r="E36" s="14" t="n">
        <v>0</v>
      </c>
      <c r="F36" s="14" t="n">
        <v>0</v>
      </c>
      <c r="G36" s="14" t="n">
        <v>1838.84</v>
      </c>
    </row>
    <row r="37" ht="15" customHeight="1">
      <c r="B37" s="13" t="inlineStr">
        <is>
          <t>Ceiling Systems</t>
        </is>
      </c>
      <c r="C37" s="14" t="n">
        <v>1800.68</v>
      </c>
      <c r="D37" s="14" t="n">
        <v>0</v>
      </c>
      <c r="E37" s="14" t="n">
        <v>0</v>
      </c>
      <c r="F37" s="14" t="n">
        <v>0</v>
      </c>
      <c r="G37" s="14" t="n">
        <v>1800.68</v>
      </c>
    </row>
    <row r="38" ht="15" customHeight="1">
      <c r="B38" s="13" t="inlineStr">
        <is>
          <t>Interior Framing / Partitions</t>
        </is>
      </c>
      <c r="C38" s="14" t="n">
        <v>5040.91</v>
      </c>
      <c r="D38" s="14" t="n">
        <v>0</v>
      </c>
      <c r="E38" s="14" t="n">
        <v>0</v>
      </c>
      <c r="F38" s="14" t="n">
        <v>0</v>
      </c>
      <c r="G38" s="14" t="n">
        <v>5040.91</v>
      </c>
    </row>
    <row r="39" ht="15" customHeight="1">
      <c r="B39" s="13" t="inlineStr">
        <is>
          <t>Painting</t>
        </is>
      </c>
      <c r="C39" s="14" t="n">
        <v>1719.87</v>
      </c>
      <c r="D39" s="14" t="n">
        <v>0</v>
      </c>
      <c r="E39" s="14" t="n">
        <v>0</v>
      </c>
      <c r="F39" s="14" t="n">
        <v>0</v>
      </c>
      <c r="G39" s="14" t="n">
        <v>1719.87</v>
      </c>
    </row>
    <row r="40" ht="15" customHeight="1">
      <c r="B40" s="13" t="inlineStr">
        <is>
          <t>Structural Framing</t>
        </is>
      </c>
      <c r="C40" s="14" t="n">
        <v>5655.94</v>
      </c>
      <c r="D40" s="14" t="n">
        <v>0</v>
      </c>
      <c r="E40" s="14" t="n">
        <v>0</v>
      </c>
      <c r="F40" s="14" t="n">
        <v>0</v>
      </c>
      <c r="G40" s="14" t="n">
        <v>5655.94</v>
      </c>
    </row>
    <row r="41" ht="15" customHeight="1">
      <c r="B41" s="13" t="inlineStr">
        <is>
          <t>Site Utilities</t>
        </is>
      </c>
      <c r="C41" s="14" t="n">
        <v>795.83</v>
      </c>
      <c r="D41" s="14" t="n">
        <v>0</v>
      </c>
      <c r="E41" s="14" t="n">
        <v>0</v>
      </c>
      <c r="F41" s="14" t="n">
        <v>0</v>
      </c>
      <c r="G41" s="14" t="n">
        <v>795.83</v>
      </c>
    </row>
    <row r="42" ht="15" customHeight="1">
      <c r="B42" s="13" t="inlineStr">
        <is>
          <t>Bathroom Accessories</t>
        </is>
      </c>
      <c r="C42" s="14" t="n">
        <v>664.51</v>
      </c>
      <c r="D42" s="14" t="n">
        <v>0</v>
      </c>
      <c r="E42" s="14" t="n">
        <v>0</v>
      </c>
      <c r="F42" s="14" t="n">
        <v>0</v>
      </c>
      <c r="G42" s="14" t="n">
        <v>664.51</v>
      </c>
    </row>
    <row r="43" ht="15" customHeight="1">
      <c r="B43" s="13" t="inlineStr">
        <is>
          <t>Cabinets / Millwork - Restrooms</t>
        </is>
      </c>
      <c r="C43" s="14" t="n">
        <v>550.2</v>
      </c>
      <c r="D43" s="14" t="n">
        <v>0</v>
      </c>
      <c r="E43" s="14" t="n">
        <v>0</v>
      </c>
      <c r="F43" s="14" t="n">
        <v>0</v>
      </c>
      <c r="G43" s="14" t="n">
        <v>550.2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17-Land Improvements - Ames</t>
        </is>
      </c>
      <c r="C49" s="14" t="n">
        <v>6088.4</v>
      </c>
      <c r="D49" s="14" t="n">
        <v>1050.02</v>
      </c>
      <c r="E49" s="14" t="n">
        <v>0</v>
      </c>
      <c r="F49" s="14" t="n">
        <v>162.16</v>
      </c>
      <c r="G49" s="14" t="n">
        <v>4876.22</v>
      </c>
    </row>
    <row r="50" ht="15" customHeight="1">
      <c r="B50" s="13" t="inlineStr">
        <is>
          <t>Asset # 18-Building - Ames</t>
        </is>
      </c>
      <c r="C50" s="14" t="n">
        <v>79148.94</v>
      </c>
      <c r="D50" s="14" t="n">
        <v>13650.1</v>
      </c>
      <c r="E50" s="14" t="n">
        <v>0</v>
      </c>
      <c r="F50" s="14" t="n">
        <v>2108.06</v>
      </c>
      <c r="G50" s="14" t="n">
        <v>63390.78</v>
      </c>
    </row>
    <row r="51" ht="15" customHeight="1">
      <c r="B51" s="13" t="inlineStr">
        <is>
          <t>Asset # 19-Equipment - Ames</t>
        </is>
      </c>
      <c r="C51" s="14" t="n">
        <v>16235.66</v>
      </c>
      <c r="D51" s="14" t="n">
        <v>2800.02</v>
      </c>
      <c r="E51" s="14" t="n">
        <v>0</v>
      </c>
      <c r="F51" s="14" t="n">
        <v>432.42</v>
      </c>
      <c r="G51" s="14" t="n">
        <v>13004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17 - Land Improvements - Ames</t>
        </is>
      </c>
      <c r="C57" s="14" t="n">
        <v>6088</v>
      </c>
      <c r="D57" s="14" t="n">
        <v>0</v>
      </c>
      <c r="E57" s="14" t="n">
        <v>2882.61</v>
      </c>
      <c r="F57" s="14" t="n">
        <v>359.5</v>
      </c>
      <c r="G57" s="14" t="n">
        <v>3242.11</v>
      </c>
      <c r="H57" s="14" t="n">
        <v>2845.89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18 - Building - Ames</t>
        </is>
      </c>
      <c r="C58" s="14" t="n">
        <v>79149</v>
      </c>
      <c r="D58" s="14" t="n">
        <v>0</v>
      </c>
      <c r="E58" s="14" t="n">
        <v>17388.86</v>
      </c>
      <c r="F58" s="14" t="n">
        <v>2878.15</v>
      </c>
      <c r="G58" s="14" t="n">
        <v>20267.01</v>
      </c>
      <c r="H58" s="14" t="n">
        <v>58881.99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19 - Equipment - Ames</t>
        </is>
      </c>
      <c r="C59" s="14" t="n">
        <v>16236</v>
      </c>
      <c r="D59" s="14" t="n">
        <v>0</v>
      </c>
      <c r="E59" s="14" t="n">
        <v>16236</v>
      </c>
      <c r="F59" s="14" t="n">
        <v>0</v>
      </c>
      <c r="G59" s="14" t="n">
        <v>16236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17 - Land Improvements - Ames - 5yr</t>
        </is>
      </c>
      <c r="C64" s="14" t="n">
        <v>1050</v>
      </c>
      <c r="D64" s="14" t="n">
        <v>0</v>
      </c>
      <c r="E64" s="14" t="n">
        <v>1050</v>
      </c>
      <c r="F64" s="14" t="n">
        <v>1050</v>
      </c>
      <c r="G64" s="14" t="n">
        <v>1050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17 - Land Improvements - Ames - 15yr</t>
        </is>
      </c>
      <c r="C65" s="14" t="n">
        <v>162</v>
      </c>
      <c r="D65" s="14" t="n">
        <v>0</v>
      </c>
      <c r="E65" s="14" t="n">
        <v>162</v>
      </c>
      <c r="F65" s="14" t="n">
        <v>162</v>
      </c>
      <c r="G65" s="14" t="n">
        <v>162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17 - Land Improvements - Ames - 27.5yr</t>
        </is>
      </c>
      <c r="C66" s="14" t="n">
        <v>4876</v>
      </c>
      <c r="D66" s="14" t="n">
        <v>0</v>
      </c>
      <c r="E66" s="14" t="n">
        <v>0</v>
      </c>
      <c r="F66" s="14" t="n">
        <v>177.31</v>
      </c>
      <c r="G66" s="14" t="n">
        <v>1248.56</v>
      </c>
      <c r="H66" s="14" t="n">
        <v>3627.44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18 - Building - Ames - 5yr</t>
        </is>
      </c>
      <c r="C67" s="14" t="n">
        <v>13650</v>
      </c>
      <c r="D67" s="14" t="n">
        <v>0</v>
      </c>
      <c r="E67" s="14" t="n">
        <v>13650</v>
      </c>
      <c r="F67" s="14" t="n">
        <v>13650</v>
      </c>
      <c r="G67" s="14" t="n">
        <v>13650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18 - Building - Ames - 15yr</t>
        </is>
      </c>
      <c r="C68" s="14" t="n">
        <v>2108</v>
      </c>
      <c r="D68" s="14" t="n">
        <v>0</v>
      </c>
      <c r="E68" s="14" t="n">
        <v>2108</v>
      </c>
      <c r="F68" s="14" t="n">
        <v>2108</v>
      </c>
      <c r="G68" s="14" t="n">
        <v>2108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18 - Building - Ames - 27.5yr</t>
        </is>
      </c>
      <c r="C69" s="14" t="n">
        <v>63391</v>
      </c>
      <c r="D69" s="14" t="n">
        <v>0</v>
      </c>
      <c r="E69" s="14" t="n">
        <v>0</v>
      </c>
      <c r="F69" s="14" t="n">
        <v>2305.13</v>
      </c>
      <c r="G69" s="14" t="n">
        <v>16231.96</v>
      </c>
      <c r="H69" s="14" t="n">
        <v>47159.04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19 - Equipment - Ames - 5yr</t>
        </is>
      </c>
      <c r="C70" s="14" t="n">
        <v>2800</v>
      </c>
      <c r="D70" s="14" t="n">
        <v>0</v>
      </c>
      <c r="E70" s="14" t="n">
        <v>2800</v>
      </c>
      <c r="F70" s="14" t="n">
        <v>2800</v>
      </c>
      <c r="G70" s="14" t="n">
        <v>2800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19 - Equipment - Ames - 15yr</t>
        </is>
      </c>
      <c r="C71" s="14" t="n">
        <v>432</v>
      </c>
      <c r="D71" s="14" t="n">
        <v>0</v>
      </c>
      <c r="E71" s="14" t="n">
        <v>432</v>
      </c>
      <c r="F71" s="14" t="n">
        <v>432</v>
      </c>
      <c r="G71" s="14" t="n">
        <v>432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19 - Equipment - Ames - 27.5yr</t>
        </is>
      </c>
      <c r="C72" s="14" t="n">
        <v>13004</v>
      </c>
      <c r="D72" s="14" t="n">
        <v>0</v>
      </c>
      <c r="E72" s="14" t="n">
        <v>0</v>
      </c>
      <c r="F72" s="14" t="n">
        <v>472.87</v>
      </c>
      <c r="G72" s="14" t="n">
        <v>3329.61</v>
      </c>
      <c r="H72" s="14" t="n">
        <v>9674.389999999999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39745.12</v>
      </c>
    </row>
    <row r="77" ht="15" customHeight="1">
      <c r="B77" s="13" t="inlineStr">
        <is>
          <t>Cost Segregation Corrected Depreciation</t>
        </is>
      </c>
      <c r="C77" s="14" t="n">
        <v>40940.39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3:J3"/>
    <mergeCell ref="B5:J5"/>
    <mergeCell ref="B22:J22"/>
    <mergeCell ref="B62:J62"/>
    <mergeCell ref="B27:J27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1208 Smith Square Dr., Marrero, LA  |  EIN: 82-2324040  |  FYE: 12/31/2024</t>
        </is>
      </c>
    </row>
    <row r="3" ht="15" customHeight="1">
      <c r="B3" s="11" t="inlineStr">
        <is>
          <t>Property: 1208 Smith Square  |  Units: 24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1051.54</v>
      </c>
      <c r="D8" s="14" t="n">
        <v>1051.54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998.91</v>
      </c>
      <c r="D9" s="14" t="n">
        <v>998.91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2190.16</v>
      </c>
      <c r="D10" s="14" t="n">
        <v>2190.16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503.17</v>
      </c>
      <c r="D11" s="14" t="n">
        <v>503.17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382.43</v>
      </c>
      <c r="D12" s="14" t="n">
        <v>382.43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42.81</v>
      </c>
      <c r="D13" s="14" t="n">
        <v>42.81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21.12</v>
      </c>
      <c r="D14" s="14" t="n">
        <v>21.12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731.0700000000001</v>
      </c>
      <c r="D15" s="14" t="n">
        <v>731.0700000000001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286.8</v>
      </c>
      <c r="D16" s="14" t="n">
        <v>286.8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800.46</v>
      </c>
      <c r="D17" s="14" t="n">
        <v>800.46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232.42</v>
      </c>
      <c r="D18" s="14" t="n">
        <v>232.42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801.88</v>
      </c>
      <c r="D19" s="14" t="n">
        <v>801.88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463.54</v>
      </c>
      <c r="D21" s="14" t="n">
        <v>0</v>
      </c>
      <c r="E21" s="14" t="n">
        <v>0</v>
      </c>
      <c r="F21" s="14" t="n">
        <v>463.54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189.36</v>
      </c>
      <c r="D22" s="14" t="n">
        <v>0</v>
      </c>
      <c r="E22" s="14" t="n">
        <v>0</v>
      </c>
      <c r="F22" s="14" t="n">
        <v>189.36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49.43</v>
      </c>
      <c r="D23" s="14" t="n">
        <v>0</v>
      </c>
      <c r="E23" s="14" t="n">
        <v>0</v>
      </c>
      <c r="F23" s="14" t="n">
        <v>49.43</v>
      </c>
      <c r="G23" s="14" t="n">
        <v>0</v>
      </c>
    </row>
    <row r="24" ht="15" customHeight="1">
      <c r="B24" s="13" t="inlineStr">
        <is>
          <t>Mailboxes</t>
        </is>
      </c>
      <c r="C24" s="14" t="n">
        <v>30.65</v>
      </c>
      <c r="D24" s="14" t="n">
        <v>0</v>
      </c>
      <c r="E24" s="14" t="n">
        <v>0</v>
      </c>
      <c r="F24" s="14" t="n">
        <v>30.65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2790.25</v>
      </c>
      <c r="D26" s="14" t="n">
        <v>0</v>
      </c>
      <c r="E26" s="14" t="n">
        <v>0</v>
      </c>
      <c r="F26" s="14" t="n">
        <v>0</v>
      </c>
      <c r="G26" s="14" t="n">
        <v>2790.25</v>
      </c>
    </row>
    <row r="27" ht="15" customHeight="1">
      <c r="B27" s="13" t="inlineStr">
        <is>
          <t>Foundations</t>
        </is>
      </c>
      <c r="C27" s="14" t="n">
        <v>4782.96</v>
      </c>
      <c r="D27" s="14" t="n">
        <v>0</v>
      </c>
      <c r="E27" s="14" t="n">
        <v>0</v>
      </c>
      <c r="F27" s="14" t="n">
        <v>0</v>
      </c>
      <c r="G27" s="14" t="n">
        <v>4782.96</v>
      </c>
    </row>
    <row r="28" ht="15" customHeight="1">
      <c r="B28" s="13" t="inlineStr">
        <is>
          <t>HVAC</t>
        </is>
      </c>
      <c r="C28" s="14" t="n">
        <v>2829.99</v>
      </c>
      <c r="D28" s="14" t="n">
        <v>0</v>
      </c>
      <c r="E28" s="14" t="n">
        <v>0</v>
      </c>
      <c r="F28" s="14" t="n">
        <v>0</v>
      </c>
      <c r="G28" s="14" t="n">
        <v>2829.99</v>
      </c>
    </row>
    <row r="29" ht="15" customHeight="1">
      <c r="B29" s="13" t="inlineStr">
        <is>
          <t>Electrical</t>
        </is>
      </c>
      <c r="C29" s="14" t="n">
        <v>2863.54</v>
      </c>
      <c r="D29" s="14" t="n">
        <v>0</v>
      </c>
      <c r="E29" s="14" t="n">
        <v>0</v>
      </c>
      <c r="F29" s="14" t="n">
        <v>0</v>
      </c>
      <c r="G29" s="14" t="n">
        <v>2863.54</v>
      </c>
    </row>
    <row r="30" ht="15" customHeight="1">
      <c r="B30" s="13" t="inlineStr">
        <is>
          <t>Plumbing</t>
        </is>
      </c>
      <c r="C30" s="14" t="n">
        <v>2484.23</v>
      </c>
      <c r="D30" s="14" t="n">
        <v>0</v>
      </c>
      <c r="E30" s="14" t="n">
        <v>0</v>
      </c>
      <c r="F30" s="14" t="n">
        <v>0</v>
      </c>
      <c r="G30" s="14" t="n">
        <v>2484.23</v>
      </c>
    </row>
    <row r="31" ht="15" customHeight="1">
      <c r="B31" s="13" t="inlineStr">
        <is>
          <t>Fire Protection &amp; Alarm</t>
        </is>
      </c>
      <c r="C31" s="14" t="n">
        <v>138.55</v>
      </c>
      <c r="D31" s="14" t="n">
        <v>0</v>
      </c>
      <c r="E31" s="14" t="n">
        <v>0</v>
      </c>
      <c r="F31" s="14" t="n">
        <v>0</v>
      </c>
      <c r="G31" s="14" t="n">
        <v>138.55</v>
      </c>
    </row>
    <row r="32" ht="15" customHeight="1">
      <c r="B32" s="13" t="inlineStr">
        <is>
          <t>Exterior Façade / Building Skin</t>
        </is>
      </c>
      <c r="C32" s="14" t="n">
        <v>994.37</v>
      </c>
      <c r="D32" s="14" t="n">
        <v>0</v>
      </c>
      <c r="E32" s="14" t="n">
        <v>0</v>
      </c>
      <c r="F32" s="14" t="n">
        <v>0</v>
      </c>
      <c r="G32" s="14" t="n">
        <v>994.37</v>
      </c>
    </row>
    <row r="33" ht="15" customHeight="1">
      <c r="B33" s="13" t="inlineStr">
        <is>
          <t>Doors &amp; Frames</t>
        </is>
      </c>
      <c r="C33" s="14" t="n">
        <v>1066.87</v>
      </c>
      <c r="D33" s="14" t="n">
        <v>0</v>
      </c>
      <c r="E33" s="14" t="n">
        <v>0</v>
      </c>
      <c r="F33" s="14" t="n">
        <v>0</v>
      </c>
      <c r="G33" s="14" t="n">
        <v>1066.87</v>
      </c>
    </row>
    <row r="34" ht="15" customHeight="1">
      <c r="B34" s="13" t="inlineStr">
        <is>
          <t>Windows</t>
        </is>
      </c>
      <c r="C34" s="14" t="n">
        <v>919.58</v>
      </c>
      <c r="D34" s="14" t="n">
        <v>0</v>
      </c>
      <c r="E34" s="14" t="n">
        <v>0</v>
      </c>
      <c r="F34" s="14" t="n">
        <v>0</v>
      </c>
      <c r="G34" s="14" t="n">
        <v>919.58</v>
      </c>
    </row>
    <row r="35" ht="15" customHeight="1">
      <c r="B35" s="13" t="inlineStr">
        <is>
          <t>Ceiling Systems</t>
        </is>
      </c>
      <c r="C35" s="14" t="n">
        <v>1434.53</v>
      </c>
      <c r="D35" s="14" t="n">
        <v>0</v>
      </c>
      <c r="E35" s="14" t="n">
        <v>0</v>
      </c>
      <c r="F35" s="14" t="n">
        <v>0</v>
      </c>
      <c r="G35" s="14" t="n">
        <v>1434.53</v>
      </c>
    </row>
    <row r="36" ht="15" customHeight="1">
      <c r="B36" s="13" t="inlineStr">
        <is>
          <t>Interior Framing / Partitions</t>
        </is>
      </c>
      <c r="C36" s="14" t="n">
        <v>3724.72</v>
      </c>
      <c r="D36" s="14" t="n">
        <v>0</v>
      </c>
      <c r="E36" s="14" t="n">
        <v>0</v>
      </c>
      <c r="F36" s="14" t="n">
        <v>0</v>
      </c>
      <c r="G36" s="14" t="n">
        <v>3724.72</v>
      </c>
    </row>
    <row r="37" ht="15" customHeight="1">
      <c r="B37" s="13" t="inlineStr">
        <is>
          <t>Painting</t>
        </is>
      </c>
      <c r="C37" s="14" t="n">
        <v>1303.94</v>
      </c>
      <c r="D37" s="14" t="n">
        <v>0</v>
      </c>
      <c r="E37" s="14" t="n">
        <v>0</v>
      </c>
      <c r="F37" s="14" t="n">
        <v>0</v>
      </c>
      <c r="G37" s="14" t="n">
        <v>1303.94</v>
      </c>
    </row>
    <row r="38" ht="15" customHeight="1">
      <c r="B38" s="13" t="inlineStr">
        <is>
          <t>Structural Framing</t>
        </is>
      </c>
      <c r="C38" s="14" t="n">
        <v>3740.14</v>
      </c>
      <c r="D38" s="14" t="n">
        <v>0</v>
      </c>
      <c r="E38" s="14" t="n">
        <v>0</v>
      </c>
      <c r="F38" s="14" t="n">
        <v>0</v>
      </c>
      <c r="G38" s="14" t="n">
        <v>3740.14</v>
      </c>
    </row>
    <row r="39" ht="15" customHeight="1">
      <c r="B39" s="13" t="inlineStr">
        <is>
          <t>Site Utilities</t>
        </is>
      </c>
      <c r="C39" s="14" t="n">
        <v>647.78</v>
      </c>
      <c r="D39" s="14" t="n">
        <v>0</v>
      </c>
      <c r="E39" s="14" t="n">
        <v>0</v>
      </c>
      <c r="F39" s="14" t="n">
        <v>0</v>
      </c>
      <c r="G39" s="14" t="n">
        <v>647.78</v>
      </c>
    </row>
    <row r="40" ht="15" customHeight="1">
      <c r="B40" s="13" t="inlineStr">
        <is>
          <t>Bathroom Accessories</t>
        </is>
      </c>
      <c r="C40" s="14" t="n">
        <v>431.12</v>
      </c>
      <c r="D40" s="14" t="n">
        <v>0</v>
      </c>
      <c r="E40" s="14" t="n">
        <v>0</v>
      </c>
      <c r="F40" s="14" t="n">
        <v>0</v>
      </c>
      <c r="G40" s="14" t="n">
        <v>431.12</v>
      </c>
    </row>
    <row r="41" ht="15" customHeight="1">
      <c r="B41" s="13" t="inlineStr">
        <is>
          <t>Cabinets / Millwork - Restrooms</t>
        </is>
      </c>
      <c r="C41" s="14" t="n">
        <v>256.73</v>
      </c>
      <c r="D41" s="14" t="n">
        <v>0</v>
      </c>
      <c r="E41" s="14" t="n">
        <v>0</v>
      </c>
      <c r="F41" s="14" t="n">
        <v>0</v>
      </c>
      <c r="G41" s="14" t="n">
        <v>256.73</v>
      </c>
    </row>
    <row r="42" ht="15" customHeight="1">
      <c r="B42" s="15" t="inlineStr">
        <is>
          <t>Total Building Cost</t>
        </is>
      </c>
      <c r="C42" s="16">
        <f>SUM(C8:C41)</f>
        <v/>
      </c>
      <c r="D42" s="16">
        <f>SUM(D8:D41)</f>
        <v/>
      </c>
      <c r="E42" s="16">
        <f>SUM(E8:E41)</f>
        <v/>
      </c>
      <c r="F42" s="16">
        <f>SUM(F8:F41)</f>
        <v/>
      </c>
      <c r="G42" s="16">
        <f>SUM(G8:G41)</f>
        <v/>
      </c>
    </row>
    <row r="43" ht="15" customHeight="1">
      <c r="B43" s="7" t="inlineStr">
        <is>
          <t>% of Building Cost</t>
        </is>
      </c>
      <c r="D43" s="17">
        <f>D42/C42</f>
        <v/>
      </c>
      <c r="E43" s="17">
        <f>E42/C42</f>
        <v/>
      </c>
      <c r="F43" s="17">
        <f>F42/C42</f>
        <v/>
      </c>
      <c r="G43" s="17">
        <f>G42/C42</f>
        <v/>
      </c>
    </row>
    <row r="45" ht="15" customHeight="1">
      <c r="B45" s="3" t="inlineStr">
        <is>
          <t>ASSET ALLOCATION</t>
        </is>
      </c>
    </row>
    <row r="46" ht="15" customHeight="1">
      <c r="A46" s="1" t="inlineStr"/>
      <c r="B46" s="1" t="inlineStr">
        <is>
          <t>Asset Description</t>
        </is>
      </c>
      <c r="C46" s="1" t="inlineStr">
        <is>
          <t>Total Cost</t>
        </is>
      </c>
      <c r="D46" s="1" t="inlineStr">
        <is>
          <t>5-Year</t>
        </is>
      </c>
      <c r="E46" s="1" t="inlineStr">
        <is>
          <t>7-Year</t>
        </is>
      </c>
      <c r="F46" s="1" t="inlineStr">
        <is>
          <t>15-Year</t>
        </is>
      </c>
      <c r="G46" s="1" t="inlineStr">
        <is>
          <t>27.5-Year</t>
        </is>
      </c>
      <c r="H46" s="1" t="inlineStr"/>
      <c r="I46" s="1" t="inlineStr"/>
      <c r="J46" s="1" t="inlineStr"/>
    </row>
    <row r="47" ht="15" customHeight="1">
      <c r="B47" s="13" t="inlineStr">
        <is>
          <t>Asset # 12-Land Improvements - Smith Square</t>
        </is>
      </c>
      <c r="C47" s="14" t="n">
        <v>43831.92</v>
      </c>
      <c r="D47" s="14" t="n">
        <v>8154.96</v>
      </c>
      <c r="E47" s="14" t="n">
        <v>0</v>
      </c>
      <c r="F47" s="14" t="n">
        <v>1279.68</v>
      </c>
      <c r="G47" s="14" t="n">
        <v>34397.28</v>
      </c>
    </row>
    <row r="48" ht="15" customHeight="1">
      <c r="B48" s="13" t="inlineStr">
        <is>
          <t>Asset # 13-Building - Smith Square</t>
        </is>
      </c>
      <c r="C48" s="14" t="n">
        <v>569814</v>
      </c>
      <c r="D48" s="14" t="n">
        <v>106016.64</v>
      </c>
      <c r="E48" s="14" t="n">
        <v>0</v>
      </c>
      <c r="F48" s="14" t="n">
        <v>16633.92</v>
      </c>
      <c r="G48" s="14" t="n">
        <v>447163.44</v>
      </c>
    </row>
    <row r="49" ht="15" customHeight="1">
      <c r="B49" s="13" t="inlineStr">
        <is>
          <t>Asset # 14-Equipment - Smith Square</t>
        </is>
      </c>
      <c r="C49" s="14" t="n">
        <v>116885.28</v>
      </c>
      <c r="D49" s="14" t="n">
        <v>21747.12</v>
      </c>
      <c r="E49" s="14" t="n">
        <v>0</v>
      </c>
      <c r="F49" s="14" t="n">
        <v>3412.08</v>
      </c>
      <c r="G49" s="14" t="n">
        <v>91726.08</v>
      </c>
    </row>
    <row r="50" ht="15" customHeight="1">
      <c r="B50" s="15" t="inlineStr">
        <is>
          <t>Total Allocation</t>
        </is>
      </c>
      <c r="C50" s="16">
        <f>SUM(C47:C49)</f>
        <v/>
      </c>
      <c r="D50" s="16">
        <f>SUM(D47:D49)</f>
        <v/>
      </c>
      <c r="E50" s="16">
        <f>SUM(E47:E49)</f>
        <v/>
      </c>
      <c r="F50" s="16">
        <f>SUM(F47:F49)</f>
        <v/>
      </c>
      <c r="G50" s="16">
        <f>SUM(G47:G49)</f>
        <v/>
      </c>
    </row>
    <row r="51" ht="15" customHeight="1">
      <c r="B51" s="9" t="inlineStr">
        <is>
          <t>TOTALS (Verification)</t>
        </is>
      </c>
      <c r="C51" s="10">
        <f>SUM(C47:C49)</f>
        <v/>
      </c>
      <c r="D51" s="10">
        <f>SUM(D47:D49)</f>
        <v/>
      </c>
      <c r="E51" s="10">
        <f>SUM(E47:E49)</f>
        <v/>
      </c>
      <c r="F51" s="10">
        <f>SUM(F47:F49)</f>
        <v/>
      </c>
      <c r="G51" s="10">
        <f>SUM(G47:G49)</f>
        <v/>
      </c>
    </row>
    <row r="53" ht="15" customHeight="1">
      <c r="B53" s="1" t="inlineStr">
        <is>
          <t>DEPRECIATION SCHEDULE — AS PREVIOUSLY FILED</t>
        </is>
      </c>
    </row>
    <row r="54" ht="28" customHeight="1">
      <c r="A54" s="18" t="inlineStr"/>
      <c r="B54" s="18" t="inlineStr">
        <is>
          <t>Property Description</t>
        </is>
      </c>
      <c r="C54" s="18" t="inlineStr">
        <is>
          <t>Tax Cost</t>
        </is>
      </c>
      <c r="D54" s="18" t="inlineStr">
        <is>
          <t>Tax Bonus Amt</t>
        </is>
      </c>
      <c r="E54" s="18" t="inlineStr">
        <is>
          <t>Tax Prior Depr</t>
        </is>
      </c>
      <c r="F54" s="18" t="inlineStr">
        <is>
          <t>Tax Current Depr</t>
        </is>
      </c>
      <c r="G54" s="18" t="inlineStr">
        <is>
          <t>Tax End Depr</t>
        </is>
      </c>
      <c r="H54" s="18" t="inlineStr">
        <is>
          <t>Tax Net Book Value</t>
        </is>
      </c>
      <c r="I54" s="18" t="inlineStr">
        <is>
          <t>Tax Method</t>
        </is>
      </c>
      <c r="J54" s="18" t="inlineStr">
        <is>
          <t>Tax Period</t>
        </is>
      </c>
    </row>
    <row r="55" ht="15" customHeight="1">
      <c r="B55" s="13" t="inlineStr">
        <is>
          <t>12 - Land Improvements - Smith Square</t>
        </is>
      </c>
      <c r="C55" s="14" t="n">
        <v>43832</v>
      </c>
      <c r="D55" s="14" t="n">
        <v>0</v>
      </c>
      <c r="E55" s="14" t="n">
        <v>20753.56</v>
      </c>
      <c r="F55" s="14" t="n">
        <v>2588.37</v>
      </c>
      <c r="G55" s="14" t="n">
        <v>23341.93</v>
      </c>
      <c r="H55" s="14" t="n">
        <v>20490.07</v>
      </c>
      <c r="I55" s="19" t="inlineStr">
        <is>
          <t>150DB</t>
        </is>
      </c>
      <c r="J55" s="20" t="n">
        <v>15</v>
      </c>
    </row>
    <row r="56" ht="15" customHeight="1">
      <c r="B56" s="13" t="inlineStr">
        <is>
          <t>13 - Building - Smith Square</t>
        </is>
      </c>
      <c r="C56" s="14" t="n">
        <v>569814</v>
      </c>
      <c r="D56" s="14" t="n">
        <v>0</v>
      </c>
      <c r="E56" s="14" t="n">
        <v>125185.59</v>
      </c>
      <c r="F56" s="14" t="n">
        <v>20720.33</v>
      </c>
      <c r="G56" s="14" t="n">
        <v>145905.92</v>
      </c>
      <c r="H56" s="14" t="n">
        <v>423908.08</v>
      </c>
      <c r="I56" s="19" t="inlineStr">
        <is>
          <t>S/L</t>
        </is>
      </c>
      <c r="J56" s="20" t="n">
        <v>27.5</v>
      </c>
    </row>
    <row r="57" ht="15" customHeight="1">
      <c r="B57" s="13" t="inlineStr">
        <is>
          <t>14 - Equipment - Smith Square</t>
        </is>
      </c>
      <c r="C57" s="14" t="n">
        <v>116885</v>
      </c>
      <c r="D57" s="14" t="n">
        <v>0</v>
      </c>
      <c r="E57" s="14" t="n">
        <v>116885</v>
      </c>
      <c r="F57" s="14" t="n">
        <v>0</v>
      </c>
      <c r="G57" s="14" t="n">
        <v>116885</v>
      </c>
      <c r="H57" s="14" t="n">
        <v>0</v>
      </c>
      <c r="I57" s="19" t="inlineStr">
        <is>
          <t>200DB</t>
        </is>
      </c>
      <c r="J57" s="20" t="n">
        <v>5</v>
      </c>
    </row>
    <row r="58" ht="15" customHeight="1">
      <c r="B58" s="15" t="inlineStr">
        <is>
          <t>Grand Total</t>
        </is>
      </c>
      <c r="C58" s="16">
        <f>SUM(C55:C57)</f>
        <v/>
      </c>
      <c r="D58" s="16">
        <f>SUM(D55:D57)</f>
        <v/>
      </c>
      <c r="E58" s="16">
        <f>SUM(E55:E57)</f>
        <v/>
      </c>
      <c r="F58" s="16">
        <f>SUM(F55:F57)</f>
        <v/>
      </c>
      <c r="G58" s="16">
        <f>SUM(G55:G57)</f>
        <v/>
      </c>
      <c r="H58" s="16">
        <f>SUM(H55:H57)</f>
        <v/>
      </c>
    </row>
    <row r="60" ht="15" customHeight="1">
      <c r="B60" s="1" t="inlineStr">
        <is>
          <t>DEPRECIATION SCHEDULE — AFTER COST SEGREGATION CORRECTION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12 - Land Improvements - Smith Square - 5yr</t>
        </is>
      </c>
      <c r="C62" s="14" t="n">
        <v>8155</v>
      </c>
      <c r="D62" s="14" t="n">
        <v>0</v>
      </c>
      <c r="E62" s="14" t="n">
        <v>8155</v>
      </c>
      <c r="F62" s="14" t="n">
        <v>8155</v>
      </c>
      <c r="G62" s="14" t="n">
        <v>8155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3" t="inlineStr">
        <is>
          <t>12 - Land Improvements - Smith Square - 15yr</t>
        </is>
      </c>
      <c r="C63" s="14" t="n">
        <v>1280</v>
      </c>
      <c r="D63" s="14" t="n">
        <v>0</v>
      </c>
      <c r="E63" s="14" t="n">
        <v>1280</v>
      </c>
      <c r="F63" s="14" t="n">
        <v>1280</v>
      </c>
      <c r="G63" s="14" t="n">
        <v>1280</v>
      </c>
      <c r="H63" s="14" t="n">
        <v>0</v>
      </c>
      <c r="I63" s="19" t="inlineStr">
        <is>
          <t>150DB</t>
        </is>
      </c>
      <c r="J63" s="20" t="n">
        <v>15</v>
      </c>
    </row>
    <row r="64" ht="15" customHeight="1">
      <c r="B64" s="13" t="inlineStr">
        <is>
          <t>12 - Land Improvements - Smith Square - 27.5yr</t>
        </is>
      </c>
      <c r="C64" s="14" t="n">
        <v>34397</v>
      </c>
      <c r="D64" s="14" t="n">
        <v>0</v>
      </c>
      <c r="E64" s="14" t="n">
        <v>0</v>
      </c>
      <c r="F64" s="14" t="n">
        <v>7556.92</v>
      </c>
      <c r="G64" s="14" t="n">
        <v>8807.719999999999</v>
      </c>
      <c r="H64" s="14" t="n">
        <v>25589.28</v>
      </c>
      <c r="I64" s="19" t="inlineStr">
        <is>
          <t>S/L</t>
        </is>
      </c>
      <c r="J64" s="20" t="n">
        <v>27.5</v>
      </c>
    </row>
    <row r="65" ht="15" customHeight="1">
      <c r="B65" s="13" t="inlineStr">
        <is>
          <t>13 - Building - Smith Square - 5yr</t>
        </is>
      </c>
      <c r="C65" s="14" t="n">
        <v>106017</v>
      </c>
      <c r="D65" s="14" t="n">
        <v>0</v>
      </c>
      <c r="E65" s="14" t="n">
        <v>106017</v>
      </c>
      <c r="F65" s="14" t="n">
        <v>106017</v>
      </c>
      <c r="G65" s="14" t="n">
        <v>106017</v>
      </c>
      <c r="H65" s="14" t="n">
        <v>0</v>
      </c>
      <c r="I65" s="19" t="inlineStr">
        <is>
          <t>200DB</t>
        </is>
      </c>
      <c r="J65" s="20" t="n">
        <v>5</v>
      </c>
    </row>
    <row r="66" ht="15" customHeight="1">
      <c r="B66" s="13" t="inlineStr">
        <is>
          <t>13 - Building - Smith Square - 15yr</t>
        </is>
      </c>
      <c r="C66" s="14" t="n">
        <v>16634</v>
      </c>
      <c r="D66" s="14" t="n">
        <v>0</v>
      </c>
      <c r="E66" s="14" t="n">
        <v>16634</v>
      </c>
      <c r="F66" s="14" t="n">
        <v>16634</v>
      </c>
      <c r="G66" s="14" t="n">
        <v>16634</v>
      </c>
      <c r="H66" s="14" t="n">
        <v>0</v>
      </c>
      <c r="I66" s="19" t="inlineStr">
        <is>
          <t>150DB</t>
        </is>
      </c>
      <c r="J66" s="20" t="n">
        <v>15</v>
      </c>
    </row>
    <row r="67" ht="15" customHeight="1">
      <c r="B67" s="13" t="inlineStr">
        <is>
          <t>13 - Building - Smith Square - 27.5yr</t>
        </is>
      </c>
      <c r="C67" s="14" t="n">
        <v>447163</v>
      </c>
      <c r="D67" s="14" t="n">
        <v>0</v>
      </c>
      <c r="E67" s="14" t="n">
        <v>0</v>
      </c>
      <c r="F67" s="14" t="n">
        <v>98240.34</v>
      </c>
      <c r="G67" s="14" t="n">
        <v>114500.81</v>
      </c>
      <c r="H67" s="14" t="n">
        <v>332662.19</v>
      </c>
      <c r="I67" s="19" t="inlineStr">
        <is>
          <t>S/L</t>
        </is>
      </c>
      <c r="J67" s="20" t="n">
        <v>27.5</v>
      </c>
    </row>
    <row r="68" ht="15" customHeight="1">
      <c r="B68" s="13" t="inlineStr">
        <is>
          <t>14 - Equipment - Smith Square - 5yr</t>
        </is>
      </c>
      <c r="C68" s="14" t="n">
        <v>21747</v>
      </c>
      <c r="D68" s="14" t="n">
        <v>0</v>
      </c>
      <c r="E68" s="14" t="n">
        <v>21747</v>
      </c>
      <c r="F68" s="14" t="n">
        <v>21747</v>
      </c>
      <c r="G68" s="14" t="n">
        <v>21747</v>
      </c>
      <c r="H68" s="14" t="n">
        <v>0</v>
      </c>
      <c r="I68" s="19" t="inlineStr">
        <is>
          <t>200DB</t>
        </is>
      </c>
      <c r="J68" s="20" t="n">
        <v>5</v>
      </c>
    </row>
    <row r="69" ht="15" customHeight="1">
      <c r="B69" s="13" t="inlineStr">
        <is>
          <t>14 - Equipment - Smith Square - 15yr</t>
        </is>
      </c>
      <c r="C69" s="14" t="n">
        <v>3412</v>
      </c>
      <c r="D69" s="14" t="n">
        <v>0</v>
      </c>
      <c r="E69" s="14" t="n">
        <v>3412</v>
      </c>
      <c r="F69" s="14" t="n">
        <v>3412</v>
      </c>
      <c r="G69" s="14" t="n">
        <v>3412</v>
      </c>
      <c r="H69" s="14" t="n">
        <v>0</v>
      </c>
      <c r="I69" s="19" t="inlineStr">
        <is>
          <t>150DB</t>
        </is>
      </c>
      <c r="J69" s="20" t="n">
        <v>15</v>
      </c>
    </row>
    <row r="70" ht="15" customHeight="1">
      <c r="B70" s="13" t="inlineStr">
        <is>
          <t>14 - Equipment - Smith Square - 27.5yr</t>
        </is>
      </c>
      <c r="C70" s="14" t="n">
        <v>91726</v>
      </c>
      <c r="D70" s="14" t="n">
        <v>0</v>
      </c>
      <c r="E70" s="14" t="n">
        <v>0</v>
      </c>
      <c r="F70" s="14" t="n">
        <v>20151.92</v>
      </c>
      <c r="G70" s="14" t="n">
        <v>23487.41</v>
      </c>
      <c r="H70" s="14" t="n">
        <v>68238.59</v>
      </c>
      <c r="I70" s="19" t="inlineStr">
        <is>
          <t>S/L</t>
        </is>
      </c>
      <c r="J70" s="20" t="n">
        <v>27.5</v>
      </c>
    </row>
    <row r="71" ht="15" customHeight="1">
      <c r="B71" s="15" t="inlineStr">
        <is>
          <t>Grand Total</t>
        </is>
      </c>
      <c r="C71" s="16">
        <f>SUM(C62:C70)</f>
        <v/>
      </c>
      <c r="D71" s="16">
        <f>SUM(D62:D70)</f>
        <v/>
      </c>
      <c r="E71" s="16">
        <f>SUM(E62:E70)</f>
        <v/>
      </c>
      <c r="F71" s="16">
        <f>SUM(F62:F70)</f>
        <v/>
      </c>
      <c r="G71" s="16">
        <f>SUM(G62:G70)</f>
        <v/>
      </c>
      <c r="H71" s="16">
        <f>SUM(H62:H70)</f>
        <v/>
      </c>
    </row>
    <row r="73" ht="15" customHeight="1">
      <c r="B73" s="1" t="inlineStr">
        <is>
          <t>SECTION 481(a) ADJUSTMENT</t>
        </is>
      </c>
    </row>
    <row r="74" ht="15" customHeight="1">
      <c r="B74" s="13" t="inlineStr">
        <is>
          <t>Depreciation Previously Reported</t>
        </is>
      </c>
      <c r="C74" s="14" t="n">
        <v>286132.85</v>
      </c>
    </row>
    <row r="75" ht="15" customHeight="1">
      <c r="B75" s="13" t="inlineStr">
        <is>
          <t>Cost Segregation Corrected Depreciation</t>
        </is>
      </c>
      <c r="C75" s="14" t="n">
        <v>304040.94</v>
      </c>
    </row>
    <row r="76" ht="15" customHeight="1">
      <c r="B76" s="9" t="inlineStr">
        <is>
          <t>Section 481(a) Adjustment</t>
        </is>
      </c>
      <c r="C76" s="10">
        <f>C75-C74</f>
        <v/>
      </c>
    </row>
  </sheetData>
  <mergeCells count="11">
    <mergeCell ref="B7:J7"/>
    <mergeCell ref="B25:J25"/>
    <mergeCell ref="B3:J3"/>
    <mergeCell ref="B5:J5"/>
    <mergeCell ref="B20:J20"/>
    <mergeCell ref="B45:J45"/>
    <mergeCell ref="B60:J60"/>
    <mergeCell ref="B1:J1"/>
    <mergeCell ref="B53:J53"/>
    <mergeCell ref="B73:J7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1209 Smith Square Dr., Marrero, LA  |  EIN: 82-2324040  |  FYE: 12/31/2024</t>
        </is>
      </c>
    </row>
    <row r="3" ht="15" customHeight="1">
      <c r="B3" s="11" t="inlineStr">
        <is>
          <t>Property: 1209 Smith Square  |  Units: 4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990.47</v>
      </c>
      <c r="D8" s="14" t="n">
        <v>990.47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702.0700000000001</v>
      </c>
      <c r="D9" s="14" t="n">
        <v>702.0700000000001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1541.32</v>
      </c>
      <c r="D10" s="14" t="n">
        <v>1541.32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326.42</v>
      </c>
      <c r="D11" s="14" t="n">
        <v>326.42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191.73</v>
      </c>
      <c r="D12" s="14" t="n">
        <v>191.73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27.77</v>
      </c>
      <c r="D13" s="14" t="n">
        <v>27.77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18.26</v>
      </c>
      <c r="D14" s="14" t="n">
        <v>18.26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474.3</v>
      </c>
      <c r="D15" s="14" t="n">
        <v>474.3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201.84</v>
      </c>
      <c r="D16" s="14" t="n">
        <v>201.84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519.3</v>
      </c>
      <c r="D17" s="14" t="n">
        <v>519.3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103</v>
      </c>
      <c r="D18" s="14" t="n">
        <v>103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Access Control</t>
        </is>
      </c>
      <c r="C19" s="14" t="n">
        <v>46.57</v>
      </c>
      <c r="D19" s="14" t="n">
        <v>46.57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520.23</v>
      </c>
      <c r="D20" s="14" t="n">
        <v>520.23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685.64</v>
      </c>
      <c r="D22" s="14" t="n">
        <v>0</v>
      </c>
      <c r="E22" s="14" t="n">
        <v>0</v>
      </c>
      <c r="F22" s="14" t="n">
        <v>685.64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150.96</v>
      </c>
      <c r="D23" s="14" t="n">
        <v>0</v>
      </c>
      <c r="E23" s="14" t="n">
        <v>0</v>
      </c>
      <c r="F23" s="14" t="n">
        <v>150.96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32.07</v>
      </c>
      <c r="D24" s="14" t="n">
        <v>0</v>
      </c>
      <c r="E24" s="14" t="n">
        <v>0</v>
      </c>
      <c r="F24" s="14" t="n">
        <v>32.07</v>
      </c>
      <c r="G24" s="14" t="n">
        <v>0</v>
      </c>
    </row>
    <row r="25" ht="15" customHeight="1">
      <c r="B25" s="13" t="inlineStr">
        <is>
          <t>Mailboxes</t>
        </is>
      </c>
      <c r="C25" s="14" t="n">
        <v>19.9</v>
      </c>
      <c r="D25" s="14" t="n">
        <v>0</v>
      </c>
      <c r="E25" s="14" t="n">
        <v>0</v>
      </c>
      <c r="F25" s="14" t="n">
        <v>19.9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1795.53</v>
      </c>
      <c r="D27" s="14" t="n">
        <v>0</v>
      </c>
      <c r="E27" s="14" t="n">
        <v>0</v>
      </c>
      <c r="F27" s="14" t="n">
        <v>0</v>
      </c>
      <c r="G27" s="14" t="n">
        <v>1795.53</v>
      </c>
    </row>
    <row r="28" ht="15" customHeight="1">
      <c r="B28" s="13" t="inlineStr">
        <is>
          <t>Foundations</t>
        </is>
      </c>
      <c r="C28" s="14" t="n">
        <v>3640.65</v>
      </c>
      <c r="D28" s="14" t="n">
        <v>0</v>
      </c>
      <c r="E28" s="14" t="n">
        <v>0</v>
      </c>
      <c r="F28" s="14" t="n">
        <v>0</v>
      </c>
      <c r="G28" s="14" t="n">
        <v>3640.65</v>
      </c>
    </row>
    <row r="29" ht="15" customHeight="1">
      <c r="B29" s="13" t="inlineStr">
        <is>
          <t>HVAC</t>
        </is>
      </c>
      <c r="C29" s="14" t="n">
        <v>2074.48</v>
      </c>
      <c r="D29" s="14" t="n">
        <v>0</v>
      </c>
      <c r="E29" s="14" t="n">
        <v>0</v>
      </c>
      <c r="F29" s="14" t="n">
        <v>0</v>
      </c>
      <c r="G29" s="14" t="n">
        <v>2074.48</v>
      </c>
    </row>
    <row r="30" ht="15" customHeight="1">
      <c r="B30" s="13" t="inlineStr">
        <is>
          <t>Electrical</t>
        </is>
      </c>
      <c r="C30" s="14" t="n">
        <v>1981.12</v>
      </c>
      <c r="D30" s="14" t="n">
        <v>0</v>
      </c>
      <c r="E30" s="14" t="n">
        <v>0</v>
      </c>
      <c r="F30" s="14" t="n">
        <v>0</v>
      </c>
      <c r="G30" s="14" t="n">
        <v>1981.12</v>
      </c>
    </row>
    <row r="31" ht="15" customHeight="1">
      <c r="B31" s="13" t="inlineStr">
        <is>
          <t>Plumbing</t>
        </is>
      </c>
      <c r="C31" s="14" t="n">
        <v>1827.48</v>
      </c>
      <c r="D31" s="14" t="n">
        <v>0</v>
      </c>
      <c r="E31" s="14" t="n">
        <v>0</v>
      </c>
      <c r="F31" s="14" t="n">
        <v>0</v>
      </c>
      <c r="G31" s="14" t="n">
        <v>1827.48</v>
      </c>
    </row>
    <row r="32" ht="15" customHeight="1">
      <c r="B32" s="13" t="inlineStr">
        <is>
          <t>Fire Protection &amp; Alarm</t>
        </is>
      </c>
      <c r="C32" s="14" t="n">
        <v>110.84</v>
      </c>
      <c r="D32" s="14" t="n">
        <v>0</v>
      </c>
      <c r="E32" s="14" t="n">
        <v>0</v>
      </c>
      <c r="F32" s="14" t="n">
        <v>0</v>
      </c>
      <c r="G32" s="14" t="n">
        <v>110.84</v>
      </c>
    </row>
    <row r="33" ht="15" customHeight="1">
      <c r="B33" s="13" t="inlineStr">
        <is>
          <t>Exterior Façade / Building Skin</t>
        </is>
      </c>
      <c r="C33" s="14" t="n">
        <v>1031.81</v>
      </c>
      <c r="D33" s="14" t="n">
        <v>0</v>
      </c>
      <c r="E33" s="14" t="n">
        <v>0</v>
      </c>
      <c r="F33" s="14" t="n">
        <v>0</v>
      </c>
      <c r="G33" s="14" t="n">
        <v>1031.81</v>
      </c>
    </row>
    <row r="34" ht="15" customHeight="1">
      <c r="B34" s="13" t="inlineStr">
        <is>
          <t>Doors &amp; Frames</t>
        </is>
      </c>
      <c r="C34" s="14" t="n">
        <v>953.01</v>
      </c>
      <c r="D34" s="14" t="n">
        <v>0</v>
      </c>
      <c r="E34" s="14" t="n">
        <v>0</v>
      </c>
      <c r="F34" s="14" t="n">
        <v>0</v>
      </c>
      <c r="G34" s="14" t="n">
        <v>953.01</v>
      </c>
    </row>
    <row r="35" ht="15" customHeight="1">
      <c r="B35" s="13" t="inlineStr">
        <is>
          <t>Windows</t>
        </is>
      </c>
      <c r="C35" s="14" t="n">
        <v>845.03</v>
      </c>
      <c r="D35" s="14" t="n">
        <v>0</v>
      </c>
      <c r="E35" s="14" t="n">
        <v>0</v>
      </c>
      <c r="F35" s="14" t="n">
        <v>0</v>
      </c>
      <c r="G35" s="14" t="n">
        <v>845.03</v>
      </c>
    </row>
    <row r="36" ht="15" customHeight="1">
      <c r="B36" s="13" t="inlineStr">
        <is>
          <t>Ceiling Systems</t>
        </is>
      </c>
      <c r="C36" s="14" t="n">
        <v>1080.49</v>
      </c>
      <c r="D36" s="14" t="n">
        <v>0</v>
      </c>
      <c r="E36" s="14" t="n">
        <v>0</v>
      </c>
      <c r="F36" s="14" t="n">
        <v>0</v>
      </c>
      <c r="G36" s="14" t="n">
        <v>1080.49</v>
      </c>
    </row>
    <row r="37" ht="15" customHeight="1">
      <c r="B37" s="13" t="inlineStr">
        <is>
          <t>Interior Framing / Partitions</t>
        </is>
      </c>
      <c r="C37" s="14" t="n">
        <v>3076.64</v>
      </c>
      <c r="D37" s="14" t="n">
        <v>0</v>
      </c>
      <c r="E37" s="14" t="n">
        <v>0</v>
      </c>
      <c r="F37" s="14" t="n">
        <v>0</v>
      </c>
      <c r="G37" s="14" t="n">
        <v>3076.64</v>
      </c>
    </row>
    <row r="38" ht="15" customHeight="1">
      <c r="B38" s="13" t="inlineStr">
        <is>
          <t>Painting</t>
        </is>
      </c>
      <c r="C38" s="14" t="n">
        <v>1043.32</v>
      </c>
      <c r="D38" s="14" t="n">
        <v>0</v>
      </c>
      <c r="E38" s="14" t="n">
        <v>0</v>
      </c>
      <c r="F38" s="14" t="n">
        <v>0</v>
      </c>
      <c r="G38" s="14" t="n">
        <v>1043.32</v>
      </c>
    </row>
    <row r="39" ht="15" customHeight="1">
      <c r="B39" s="13" t="inlineStr">
        <is>
          <t>Structural Framing</t>
        </is>
      </c>
      <c r="C39" s="14" t="n">
        <v>3237.39</v>
      </c>
      <c r="D39" s="14" t="n">
        <v>0</v>
      </c>
      <c r="E39" s="14" t="n">
        <v>0</v>
      </c>
      <c r="F39" s="14" t="n">
        <v>0</v>
      </c>
      <c r="G39" s="14" t="n">
        <v>3237.39</v>
      </c>
    </row>
    <row r="40" ht="15" customHeight="1">
      <c r="B40" s="13" t="inlineStr">
        <is>
          <t>Site Utilities</t>
        </is>
      </c>
      <c r="C40" s="14" t="n">
        <v>320.35</v>
      </c>
      <c r="D40" s="14" t="n">
        <v>0</v>
      </c>
      <c r="E40" s="14" t="n">
        <v>0</v>
      </c>
      <c r="F40" s="14" t="n">
        <v>0</v>
      </c>
      <c r="G40" s="14" t="n">
        <v>320.35</v>
      </c>
    </row>
    <row r="41" ht="15" customHeight="1">
      <c r="B41" s="13" t="inlineStr">
        <is>
          <t>Bathroom Accessories</t>
        </is>
      </c>
      <c r="C41" s="14" t="n">
        <v>441.33</v>
      </c>
      <c r="D41" s="14" t="n">
        <v>0</v>
      </c>
      <c r="E41" s="14" t="n">
        <v>0</v>
      </c>
      <c r="F41" s="14" t="n">
        <v>0</v>
      </c>
      <c r="G41" s="14" t="n">
        <v>441.33</v>
      </c>
    </row>
    <row r="42" ht="15" customHeight="1">
      <c r="B42" s="13" t="inlineStr">
        <is>
          <t>Cabinets / Millwork - Restrooms</t>
        </is>
      </c>
      <c r="C42" s="14" t="n">
        <v>427.48</v>
      </c>
      <c r="D42" s="14" t="n">
        <v>0</v>
      </c>
      <c r="E42" s="14" t="n">
        <v>0</v>
      </c>
      <c r="F42" s="14" t="n">
        <v>0</v>
      </c>
      <c r="G42" s="14" t="n">
        <v>427.48</v>
      </c>
    </row>
    <row r="43" ht="15" customHeight="1">
      <c r="B43" s="15" t="inlineStr">
        <is>
          <t>Total Building Cost</t>
        </is>
      </c>
      <c r="C43" s="16">
        <f>SUM(C8:C42)</f>
        <v/>
      </c>
      <c r="D43" s="16">
        <f>SUM(D8:D42)</f>
        <v/>
      </c>
      <c r="E43" s="16">
        <f>SUM(E8:E42)</f>
        <v/>
      </c>
      <c r="F43" s="16">
        <f>SUM(F8:F42)</f>
        <v/>
      </c>
      <c r="G43" s="16">
        <f>SUM(G8:G42)</f>
        <v/>
      </c>
    </row>
    <row r="44" ht="15" customHeight="1">
      <c r="B44" s="7" t="inlineStr">
        <is>
          <t>% of Building Cost</t>
        </is>
      </c>
      <c r="D44" s="17">
        <f>D43/C43</f>
        <v/>
      </c>
      <c r="E44" s="17">
        <f>E43/C43</f>
        <v/>
      </c>
      <c r="F44" s="17">
        <f>F43/C43</f>
        <v/>
      </c>
      <c r="G44" s="17">
        <f>G43/C43</f>
        <v/>
      </c>
    </row>
    <row r="46" ht="15" customHeight="1">
      <c r="B46" s="3" t="inlineStr">
        <is>
          <t>ASSET ALLOCATION</t>
        </is>
      </c>
    </row>
    <row r="47" ht="15" customHeight="1">
      <c r="A47" s="1" t="inlineStr"/>
      <c r="B47" s="1" t="inlineStr">
        <is>
          <t>Asset Description</t>
        </is>
      </c>
      <c r="C47" s="1" t="inlineStr">
        <is>
          <t>Total Cost</t>
        </is>
      </c>
      <c r="D47" s="1" t="inlineStr">
        <is>
          <t>5-Year</t>
        </is>
      </c>
      <c r="E47" s="1" t="inlineStr">
        <is>
          <t>7-Year</t>
        </is>
      </c>
      <c r="F47" s="1" t="inlineStr">
        <is>
          <t>15-Year</t>
        </is>
      </c>
      <c r="G47" s="1" t="inlineStr">
        <is>
          <t>27.5-Year</t>
        </is>
      </c>
      <c r="H47" s="1" t="inlineStr"/>
      <c r="I47" s="1" t="inlineStr"/>
      <c r="J47" s="1" t="inlineStr"/>
    </row>
    <row r="48" ht="15" customHeight="1">
      <c r="B48" s="13" t="inlineStr">
        <is>
          <t>Asset # 12-Land Improvements - Smith Square</t>
        </is>
      </c>
      <c r="C48" s="14" t="n">
        <v>8900.959999999999</v>
      </c>
      <c r="D48" s="14" t="n">
        <v>1516.32</v>
      </c>
      <c r="E48" s="14" t="n">
        <v>0</v>
      </c>
      <c r="F48" s="14" t="n">
        <v>268.92</v>
      </c>
      <c r="G48" s="14" t="n">
        <v>7115.72</v>
      </c>
    </row>
    <row r="49" ht="15" customHeight="1">
      <c r="B49" s="13" t="inlineStr">
        <is>
          <t>Asset # 13-Building - Smith Square</t>
        </is>
      </c>
      <c r="C49" s="14" t="n">
        <v>115711.92</v>
      </c>
      <c r="D49" s="14" t="n">
        <v>19711.88</v>
      </c>
      <c r="E49" s="14" t="n">
        <v>0</v>
      </c>
      <c r="F49" s="14" t="n">
        <v>3496</v>
      </c>
      <c r="G49" s="14" t="n">
        <v>92504.03999999999</v>
      </c>
    </row>
    <row r="50" ht="15" customHeight="1">
      <c r="B50" s="13" t="inlineStr">
        <is>
          <t>Asset # 14-Equipment - Smith Square</t>
        </is>
      </c>
      <c r="C50" s="14" t="n">
        <v>23735.84</v>
      </c>
      <c r="D50" s="14" t="n">
        <v>4043.48</v>
      </c>
      <c r="E50" s="14" t="n">
        <v>0</v>
      </c>
      <c r="F50" s="14" t="n">
        <v>717.12</v>
      </c>
      <c r="G50" s="14" t="n">
        <v>18975.24</v>
      </c>
    </row>
    <row r="51" ht="15" customHeight="1">
      <c r="B51" s="15" t="inlineStr">
        <is>
          <t>Total Allocation</t>
        </is>
      </c>
      <c r="C51" s="16">
        <f>SUM(C48:C50)</f>
        <v/>
      </c>
      <c r="D51" s="16">
        <f>SUM(D48:D50)</f>
        <v/>
      </c>
      <c r="E51" s="16">
        <f>SUM(E48:E50)</f>
        <v/>
      </c>
      <c r="F51" s="16">
        <f>SUM(F48:F50)</f>
        <v/>
      </c>
      <c r="G51" s="16">
        <f>SUM(G48:G50)</f>
        <v/>
      </c>
    </row>
    <row r="52" ht="15" customHeight="1">
      <c r="B52" s="9" t="inlineStr">
        <is>
          <t>TOTALS (Verification)</t>
        </is>
      </c>
      <c r="C52" s="10">
        <f>SUM(C48:C50)</f>
        <v/>
      </c>
      <c r="D52" s="10">
        <f>SUM(D48:D50)</f>
        <v/>
      </c>
      <c r="E52" s="10">
        <f>SUM(E48:E50)</f>
        <v/>
      </c>
      <c r="F52" s="10">
        <f>SUM(F48:F50)</f>
        <v/>
      </c>
      <c r="G52" s="10">
        <f>SUM(G48:G50)</f>
        <v/>
      </c>
    </row>
    <row r="54" ht="15" customHeight="1">
      <c r="B54" s="1" t="inlineStr">
        <is>
          <t>DEPRECIATION SCHEDULE — AS PREVIOUSLY FILED</t>
        </is>
      </c>
    </row>
    <row r="55" ht="28" customHeight="1">
      <c r="A55" s="18" t="inlineStr"/>
      <c r="B55" s="18" t="inlineStr">
        <is>
          <t>Property Description</t>
        </is>
      </c>
      <c r="C55" s="18" t="inlineStr">
        <is>
          <t>Tax Cost</t>
        </is>
      </c>
      <c r="D55" s="18" t="inlineStr">
        <is>
          <t>Tax Bonus Amt</t>
        </is>
      </c>
      <c r="E55" s="18" t="inlineStr">
        <is>
          <t>Tax Prior Depr</t>
        </is>
      </c>
      <c r="F55" s="18" t="inlineStr">
        <is>
          <t>Tax Current Depr</t>
        </is>
      </c>
      <c r="G55" s="18" t="inlineStr">
        <is>
          <t>Tax End Depr</t>
        </is>
      </c>
      <c r="H55" s="18" t="inlineStr">
        <is>
          <t>Tax Net Book Value</t>
        </is>
      </c>
      <c r="I55" s="18" t="inlineStr">
        <is>
          <t>Tax Method</t>
        </is>
      </c>
      <c r="J55" s="18" t="inlineStr">
        <is>
          <t>Tax Period</t>
        </is>
      </c>
    </row>
    <row r="56" ht="15" customHeight="1">
      <c r="B56" s="13" t="inlineStr">
        <is>
          <t>12 - Land Improvements - Smith Square</t>
        </is>
      </c>
      <c r="C56" s="14" t="n">
        <v>8901</v>
      </c>
      <c r="D56" s="14" t="n">
        <v>0</v>
      </c>
      <c r="E56" s="14" t="n">
        <v>4214.44</v>
      </c>
      <c r="F56" s="14" t="n">
        <v>525.63</v>
      </c>
      <c r="G56" s="14" t="n">
        <v>4740.07</v>
      </c>
      <c r="H56" s="14" t="n">
        <v>4160.93</v>
      </c>
      <c r="I56" s="19" t="inlineStr">
        <is>
          <t>150DB</t>
        </is>
      </c>
      <c r="J56" s="20" t="n">
        <v>15</v>
      </c>
    </row>
    <row r="57" ht="15" customHeight="1">
      <c r="B57" s="13" t="inlineStr">
        <is>
          <t>13 - Building - Smith Square</t>
        </is>
      </c>
      <c r="C57" s="14" t="n">
        <v>115712</v>
      </c>
      <c r="D57" s="14" t="n">
        <v>0</v>
      </c>
      <c r="E57" s="14" t="n">
        <v>25421.41</v>
      </c>
      <c r="F57" s="14" t="n">
        <v>4207.67</v>
      </c>
      <c r="G57" s="14" t="n">
        <v>29629.08</v>
      </c>
      <c r="H57" s="14" t="n">
        <v>86082.92</v>
      </c>
      <c r="I57" s="19" t="inlineStr">
        <is>
          <t>S/L</t>
        </is>
      </c>
      <c r="J57" s="20" t="n">
        <v>27.5</v>
      </c>
    </row>
    <row r="58" ht="15" customHeight="1">
      <c r="B58" s="13" t="inlineStr">
        <is>
          <t>14 - Equipment - Smith Square</t>
        </is>
      </c>
      <c r="C58" s="14" t="n">
        <v>23736</v>
      </c>
      <c r="D58" s="14" t="n">
        <v>0</v>
      </c>
      <c r="E58" s="14" t="n">
        <v>23736</v>
      </c>
      <c r="F58" s="14" t="n">
        <v>0</v>
      </c>
      <c r="G58" s="14" t="n">
        <v>23736</v>
      </c>
      <c r="H58" s="14" t="n">
        <v>0</v>
      </c>
      <c r="I58" s="19" t="inlineStr">
        <is>
          <t>200DB</t>
        </is>
      </c>
      <c r="J58" s="20" t="n">
        <v>5</v>
      </c>
    </row>
    <row r="59" ht="15" customHeight="1">
      <c r="B59" s="15" t="inlineStr">
        <is>
          <t>Grand Total</t>
        </is>
      </c>
      <c r="C59" s="16">
        <f>SUM(C56:C58)</f>
        <v/>
      </c>
      <c r="D59" s="16">
        <f>SUM(D56:D58)</f>
        <v/>
      </c>
      <c r="E59" s="16">
        <f>SUM(E56:E58)</f>
        <v/>
      </c>
      <c r="F59" s="16">
        <f>SUM(F56:F58)</f>
        <v/>
      </c>
      <c r="G59" s="16">
        <f>SUM(G56:G58)</f>
        <v/>
      </c>
      <c r="H59" s="16">
        <f>SUM(H56:H58)</f>
        <v/>
      </c>
    </row>
    <row r="61" ht="15" customHeight="1">
      <c r="B61" s="1" t="inlineStr">
        <is>
          <t>DEPRECIATION SCHEDULE — AFTER COST SEGREGATION CORRECTION</t>
        </is>
      </c>
    </row>
    <row r="62" ht="28" customHeight="1">
      <c r="A62" s="18" t="inlineStr"/>
      <c r="B62" s="18" t="inlineStr">
        <is>
          <t>Property Description</t>
        </is>
      </c>
      <c r="C62" s="18" t="inlineStr">
        <is>
          <t>Tax Cost</t>
        </is>
      </c>
      <c r="D62" s="18" t="inlineStr">
        <is>
          <t>Tax Bonus Amt</t>
        </is>
      </c>
      <c r="E62" s="18" t="inlineStr">
        <is>
          <t>Tax Prior Depr</t>
        </is>
      </c>
      <c r="F62" s="18" t="inlineStr">
        <is>
          <t>Tax Current Depr</t>
        </is>
      </c>
      <c r="G62" s="18" t="inlineStr">
        <is>
          <t>Tax End Depr</t>
        </is>
      </c>
      <c r="H62" s="18" t="inlineStr">
        <is>
          <t>Tax Net Book Value</t>
        </is>
      </c>
      <c r="I62" s="18" t="inlineStr">
        <is>
          <t>Tax Method</t>
        </is>
      </c>
      <c r="J62" s="18" t="inlineStr">
        <is>
          <t>Tax Period</t>
        </is>
      </c>
    </row>
    <row r="63" ht="15" customHeight="1">
      <c r="B63" s="13" t="inlineStr">
        <is>
          <t>12 - Land Improvements - Smith Square - 5yr</t>
        </is>
      </c>
      <c r="C63" s="14" t="n">
        <v>1516</v>
      </c>
      <c r="D63" s="14" t="n">
        <v>0</v>
      </c>
      <c r="E63" s="14" t="n">
        <v>1516</v>
      </c>
      <c r="F63" s="14" t="n">
        <v>1516</v>
      </c>
      <c r="G63" s="14" t="n">
        <v>1516</v>
      </c>
      <c r="H63" s="14" t="n">
        <v>0</v>
      </c>
      <c r="I63" s="19" t="inlineStr">
        <is>
          <t>200DB</t>
        </is>
      </c>
      <c r="J63" s="20" t="n">
        <v>5</v>
      </c>
    </row>
    <row r="64" ht="15" customHeight="1">
      <c r="B64" s="13" t="inlineStr">
        <is>
          <t>12 - Land Improvements - Smith Square - 15yr</t>
        </is>
      </c>
      <c r="C64" s="14" t="n">
        <v>269</v>
      </c>
      <c r="D64" s="14" t="n">
        <v>0</v>
      </c>
      <c r="E64" s="14" t="n">
        <v>269</v>
      </c>
      <c r="F64" s="14" t="n">
        <v>269</v>
      </c>
      <c r="G64" s="14" t="n">
        <v>269</v>
      </c>
      <c r="H64" s="14" t="n">
        <v>0</v>
      </c>
      <c r="I64" s="19" t="inlineStr">
        <is>
          <t>150DB</t>
        </is>
      </c>
      <c r="J64" s="20" t="n">
        <v>15</v>
      </c>
    </row>
    <row r="65" ht="15" customHeight="1">
      <c r="B65" s="13" t="inlineStr">
        <is>
          <t>12 - Land Improvements - Smith Square - 27.5yr</t>
        </is>
      </c>
      <c r="C65" s="14" t="n">
        <v>7116</v>
      </c>
      <c r="D65" s="14" t="n">
        <v>0</v>
      </c>
      <c r="E65" s="14" t="n">
        <v>0</v>
      </c>
      <c r="F65" s="14" t="n">
        <v>1563.34</v>
      </c>
      <c r="G65" s="14" t="n">
        <v>1822.1</v>
      </c>
      <c r="H65" s="14" t="n">
        <v>5293.9</v>
      </c>
      <c r="I65" s="19" t="inlineStr">
        <is>
          <t>S/L</t>
        </is>
      </c>
      <c r="J65" s="20" t="n">
        <v>27.5</v>
      </c>
    </row>
    <row r="66" ht="15" customHeight="1">
      <c r="B66" s="13" t="inlineStr">
        <is>
          <t>13 - Building - Smith Square - 5yr</t>
        </is>
      </c>
      <c r="C66" s="14" t="n">
        <v>19712</v>
      </c>
      <c r="D66" s="14" t="n">
        <v>0</v>
      </c>
      <c r="E66" s="14" t="n">
        <v>19712</v>
      </c>
      <c r="F66" s="14" t="n">
        <v>19712</v>
      </c>
      <c r="G66" s="14" t="n">
        <v>19712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13 - Building - Smith Square - 15yr</t>
        </is>
      </c>
      <c r="C67" s="14" t="n">
        <v>3496</v>
      </c>
      <c r="D67" s="14" t="n">
        <v>0</v>
      </c>
      <c r="E67" s="14" t="n">
        <v>3496</v>
      </c>
      <c r="F67" s="14" t="n">
        <v>3496</v>
      </c>
      <c r="G67" s="14" t="n">
        <v>3496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13 - Building - Smith Square - 27.5yr</t>
        </is>
      </c>
      <c r="C68" s="14" t="n">
        <v>92504</v>
      </c>
      <c r="D68" s="14" t="n">
        <v>0</v>
      </c>
      <c r="E68" s="14" t="n">
        <v>0</v>
      </c>
      <c r="F68" s="14" t="n">
        <v>20322.84</v>
      </c>
      <c r="G68" s="14" t="n">
        <v>23686.62</v>
      </c>
      <c r="H68" s="14" t="n">
        <v>68817.38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14 - Equipment - Smith Square - 5yr</t>
        </is>
      </c>
      <c r="C69" s="14" t="n">
        <v>4043</v>
      </c>
      <c r="D69" s="14" t="n">
        <v>0</v>
      </c>
      <c r="E69" s="14" t="n">
        <v>4043</v>
      </c>
      <c r="F69" s="14" t="n">
        <v>4043</v>
      </c>
      <c r="G69" s="14" t="n">
        <v>4043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14 - Equipment - Smith Square - 15yr</t>
        </is>
      </c>
      <c r="C70" s="14" t="n">
        <v>717</v>
      </c>
      <c r="D70" s="14" t="n">
        <v>0</v>
      </c>
      <c r="E70" s="14" t="n">
        <v>717</v>
      </c>
      <c r="F70" s="14" t="n">
        <v>717</v>
      </c>
      <c r="G70" s="14" t="n">
        <v>717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14 - Equipment - Smith Square - 27.5yr</t>
        </is>
      </c>
      <c r="C71" s="14" t="n">
        <v>18976</v>
      </c>
      <c r="D71" s="14" t="n">
        <v>0</v>
      </c>
      <c r="E71" s="14" t="n">
        <v>0</v>
      </c>
      <c r="F71" s="14" t="n">
        <v>4168.75</v>
      </c>
      <c r="G71" s="14" t="n">
        <v>4858.79</v>
      </c>
      <c r="H71" s="14" t="n">
        <v>14117.21</v>
      </c>
      <c r="I71" s="19" t="inlineStr">
        <is>
          <t>S/L</t>
        </is>
      </c>
      <c r="J71" s="20" t="n">
        <v>27.5</v>
      </c>
    </row>
    <row r="72" ht="15" customHeight="1">
      <c r="B72" s="15" t="inlineStr">
        <is>
          <t>Grand Total</t>
        </is>
      </c>
      <c r="C72" s="16">
        <f>SUM(C63:C71)</f>
        <v/>
      </c>
      <c r="D72" s="16">
        <f>SUM(D63:D71)</f>
        <v/>
      </c>
      <c r="E72" s="16">
        <f>SUM(E63:E71)</f>
        <v/>
      </c>
      <c r="F72" s="16">
        <f>SUM(F63:F71)</f>
        <v/>
      </c>
      <c r="G72" s="16">
        <f>SUM(G63:G71)</f>
        <v/>
      </c>
      <c r="H72" s="16">
        <f>SUM(H63:H71)</f>
        <v/>
      </c>
    </row>
    <row r="74" ht="15" customHeight="1">
      <c r="B74" s="1" t="inlineStr">
        <is>
          <t>SECTION 481(a) ADJUSTMENT</t>
        </is>
      </c>
    </row>
    <row r="75" ht="15" customHeight="1">
      <c r="B75" s="13" t="inlineStr">
        <is>
          <t>Depreciation Previously Reported</t>
        </is>
      </c>
      <c r="C75" s="14" t="n">
        <v>58105.15</v>
      </c>
    </row>
    <row r="76" ht="15" customHeight="1">
      <c r="B76" s="13" t="inlineStr">
        <is>
          <t>Cost Segregation Corrected Depreciation</t>
        </is>
      </c>
      <c r="C76" s="14" t="n">
        <v>60120.51</v>
      </c>
    </row>
    <row r="77" ht="15" customHeight="1">
      <c r="B77" s="9" t="inlineStr">
        <is>
          <t>Section 481(a) Adjustment</t>
        </is>
      </c>
      <c r="C77" s="10">
        <f>C76-C75</f>
        <v/>
      </c>
    </row>
  </sheetData>
  <mergeCells count="11">
    <mergeCell ref="B7:J7"/>
    <mergeCell ref="B3:J3"/>
    <mergeCell ref="B5:J5"/>
    <mergeCell ref="B46:J46"/>
    <mergeCell ref="B61:J61"/>
    <mergeCell ref="B54:J54"/>
    <mergeCell ref="B26:J26"/>
    <mergeCell ref="B1:J1"/>
    <mergeCell ref="B74:J74"/>
    <mergeCell ref="B21:J2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3112 Havenwood Dr., Marrero, LA  |  EIN: 82-2324040  |  FYE: 12/31/2024</t>
        </is>
      </c>
    </row>
    <row r="3" ht="15" customHeight="1">
      <c r="B3" s="11" t="inlineStr">
        <is>
          <t>Property: 3112 Havenwood Dr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1065.36</v>
      </c>
      <c r="D8" s="14" t="n">
        <v>1065.36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894.1</v>
      </c>
      <c r="D9" s="14" t="n">
        <v>894.1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1954.35</v>
      </c>
      <c r="D10" s="14" t="n">
        <v>1954.35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613.8</v>
      </c>
      <c r="D11" s="14" t="n">
        <v>613.8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Door &amp; Window Guards</t>
        </is>
      </c>
      <c r="C12" s="14" t="n">
        <v>136.47</v>
      </c>
      <c r="D12" s="14" t="n">
        <v>136.47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302.35</v>
      </c>
      <c r="D13" s="14" t="n">
        <v>302.35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30.15</v>
      </c>
      <c r="D14" s="14" t="n">
        <v>30.15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19.82</v>
      </c>
      <c r="D15" s="14" t="n">
        <v>19.82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514.89</v>
      </c>
      <c r="D16" s="14" t="n">
        <v>514.89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255.92</v>
      </c>
      <c r="D17" s="14" t="n">
        <v>255.92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563.75</v>
      </c>
      <c r="D18" s="14" t="n">
        <v>563.75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192.79</v>
      </c>
      <c r="D19" s="14" t="n">
        <v>192.79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Access Control</t>
        </is>
      </c>
      <c r="C20" s="14" t="n">
        <v>50.57</v>
      </c>
      <c r="D20" s="14" t="n">
        <v>50.57</v>
      </c>
      <c r="E20" s="14" t="n">
        <v>0</v>
      </c>
      <c r="F20" s="14" t="n">
        <v>0</v>
      </c>
      <c r="G20" s="14" t="n">
        <v>0</v>
      </c>
    </row>
    <row r="21" ht="15" customHeight="1">
      <c r="B21" s="13" t="inlineStr">
        <is>
          <t>Appliances</t>
        </is>
      </c>
      <c r="C21" s="14" t="n">
        <v>564.76</v>
      </c>
      <c r="D21" s="14" t="n">
        <v>564.76</v>
      </c>
      <c r="E21" s="14" t="n">
        <v>0</v>
      </c>
      <c r="F21" s="14" t="n">
        <v>0</v>
      </c>
      <c r="G21" s="14" t="n">
        <v>0</v>
      </c>
    </row>
    <row r="22" ht="15" customHeight="1">
      <c r="B22" s="12" t="inlineStr">
        <is>
          <t>Site Work / Improvements</t>
        </is>
      </c>
    </row>
    <row r="23" ht="15" customHeight="1">
      <c r="B23" s="13" t="inlineStr">
        <is>
          <t>Driveway</t>
        </is>
      </c>
      <c r="C23" s="14" t="n">
        <v>679.12</v>
      </c>
      <c r="D23" s="14" t="n">
        <v>0</v>
      </c>
      <c r="E23" s="14" t="n">
        <v>0</v>
      </c>
      <c r="F23" s="14" t="n">
        <v>679.12</v>
      </c>
      <c r="G23" s="14" t="n">
        <v>0</v>
      </c>
    </row>
    <row r="24" ht="15" customHeight="1">
      <c r="B24" s="13" t="inlineStr">
        <is>
          <t>Sidewalks / Curbs</t>
        </is>
      </c>
      <c r="C24" s="14" t="n">
        <v>285.36</v>
      </c>
      <c r="D24" s="14" t="n">
        <v>0</v>
      </c>
      <c r="E24" s="14" t="n">
        <v>0</v>
      </c>
      <c r="F24" s="14" t="n">
        <v>285.36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34.81</v>
      </c>
      <c r="D25" s="14" t="n">
        <v>0</v>
      </c>
      <c r="E25" s="14" t="n">
        <v>0</v>
      </c>
      <c r="F25" s="14" t="n">
        <v>34.81</v>
      </c>
      <c r="G25" s="14" t="n">
        <v>0</v>
      </c>
    </row>
    <row r="26" ht="15" customHeight="1">
      <c r="B26" s="13" t="inlineStr">
        <is>
          <t>Mailboxes</t>
        </is>
      </c>
      <c r="C26" s="14" t="n">
        <v>21.6</v>
      </c>
      <c r="D26" s="14" t="n">
        <v>0</v>
      </c>
      <c r="E26" s="14" t="n">
        <v>0</v>
      </c>
      <c r="F26" s="14" t="n">
        <v>21.6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2393.31</v>
      </c>
      <c r="D28" s="14" t="n">
        <v>0</v>
      </c>
      <c r="E28" s="14" t="n">
        <v>0</v>
      </c>
      <c r="F28" s="14" t="n">
        <v>0</v>
      </c>
      <c r="G28" s="14" t="n">
        <v>2393.31</v>
      </c>
    </row>
    <row r="29" ht="15" customHeight="1">
      <c r="B29" s="13" t="inlineStr">
        <is>
          <t>Foundations</t>
        </is>
      </c>
      <c r="C29" s="14" t="n">
        <v>5241.81</v>
      </c>
      <c r="D29" s="14" t="n">
        <v>0</v>
      </c>
      <c r="E29" s="14" t="n">
        <v>0</v>
      </c>
      <c r="F29" s="14" t="n">
        <v>0</v>
      </c>
      <c r="G29" s="14" t="n">
        <v>5241.81</v>
      </c>
    </row>
    <row r="30" ht="15" customHeight="1">
      <c r="B30" s="13" t="inlineStr">
        <is>
          <t>HVAC</t>
        </is>
      </c>
      <c r="C30" s="14" t="n">
        <v>2635.44</v>
      </c>
      <c r="D30" s="14" t="n">
        <v>0</v>
      </c>
      <c r="E30" s="14" t="n">
        <v>0</v>
      </c>
      <c r="F30" s="14" t="n">
        <v>0</v>
      </c>
      <c r="G30" s="14" t="n">
        <v>2635.44</v>
      </c>
    </row>
    <row r="31" ht="15" customHeight="1">
      <c r="B31" s="13" t="inlineStr">
        <is>
          <t>Electrical</t>
        </is>
      </c>
      <c r="C31" s="14" t="n">
        <v>2808.52</v>
      </c>
      <c r="D31" s="14" t="n">
        <v>0</v>
      </c>
      <c r="E31" s="14" t="n">
        <v>0</v>
      </c>
      <c r="F31" s="14" t="n">
        <v>0</v>
      </c>
      <c r="G31" s="14" t="n">
        <v>2808.52</v>
      </c>
    </row>
    <row r="32" ht="15" customHeight="1">
      <c r="B32" s="13" t="inlineStr">
        <is>
          <t>Plumbing</t>
        </is>
      </c>
      <c r="C32" s="14" t="n">
        <v>2317.18</v>
      </c>
      <c r="D32" s="14" t="n">
        <v>0</v>
      </c>
      <c r="E32" s="14" t="n">
        <v>0</v>
      </c>
      <c r="F32" s="14" t="n">
        <v>0</v>
      </c>
      <c r="G32" s="14" t="n">
        <v>2317.18</v>
      </c>
    </row>
    <row r="33" ht="15" customHeight="1">
      <c r="B33" s="13" t="inlineStr">
        <is>
          <t>Fire Protection &amp; Alarm</t>
        </is>
      </c>
      <c r="C33" s="14" t="n">
        <v>120.33</v>
      </c>
      <c r="D33" s="14" t="n">
        <v>0</v>
      </c>
      <c r="E33" s="14" t="n">
        <v>0</v>
      </c>
      <c r="F33" s="14" t="n">
        <v>0</v>
      </c>
      <c r="G33" s="14" t="n">
        <v>120.33</v>
      </c>
    </row>
    <row r="34" ht="15" customHeight="1">
      <c r="B34" s="13" t="inlineStr">
        <is>
          <t>Exterior Façade / Building Skin</t>
        </is>
      </c>
      <c r="C34" s="14" t="n">
        <v>1467.77</v>
      </c>
      <c r="D34" s="14" t="n">
        <v>0</v>
      </c>
      <c r="E34" s="14" t="n">
        <v>0</v>
      </c>
      <c r="F34" s="14" t="n">
        <v>0</v>
      </c>
      <c r="G34" s="14" t="n">
        <v>1467.77</v>
      </c>
    </row>
    <row r="35" ht="15" customHeight="1">
      <c r="B35" s="13" t="inlineStr">
        <is>
          <t>Doors &amp; Frames</t>
        </is>
      </c>
      <c r="C35" s="14" t="n">
        <v>1559.85</v>
      </c>
      <c r="D35" s="14" t="n">
        <v>0</v>
      </c>
      <c r="E35" s="14" t="n">
        <v>0</v>
      </c>
      <c r="F35" s="14" t="n">
        <v>0</v>
      </c>
      <c r="G35" s="14" t="n">
        <v>1559.85</v>
      </c>
    </row>
    <row r="36" ht="15" customHeight="1">
      <c r="B36" s="13" t="inlineStr">
        <is>
          <t>Windows</t>
        </is>
      </c>
      <c r="C36" s="14" t="n">
        <v>1214.17</v>
      </c>
      <c r="D36" s="14" t="n">
        <v>0</v>
      </c>
      <c r="E36" s="14" t="n">
        <v>0</v>
      </c>
      <c r="F36" s="14" t="n">
        <v>0</v>
      </c>
      <c r="G36" s="14" t="n">
        <v>1214.17</v>
      </c>
    </row>
    <row r="37" ht="15" customHeight="1">
      <c r="B37" s="13" t="inlineStr">
        <is>
          <t>Ceiling Systems</t>
        </is>
      </c>
      <c r="C37" s="14" t="n">
        <v>1352.65</v>
      </c>
      <c r="D37" s="14" t="n">
        <v>0</v>
      </c>
      <c r="E37" s="14" t="n">
        <v>0</v>
      </c>
      <c r="F37" s="14" t="n">
        <v>0</v>
      </c>
      <c r="G37" s="14" t="n">
        <v>1352.65</v>
      </c>
    </row>
    <row r="38" ht="15" customHeight="1">
      <c r="B38" s="13" t="inlineStr">
        <is>
          <t>Interior Framing / Partitions</t>
        </is>
      </c>
      <c r="C38" s="14" t="n">
        <v>4299.13</v>
      </c>
      <c r="D38" s="14" t="n">
        <v>0</v>
      </c>
      <c r="E38" s="14" t="n">
        <v>0</v>
      </c>
      <c r="F38" s="14" t="n">
        <v>0</v>
      </c>
      <c r="G38" s="14" t="n">
        <v>4299.13</v>
      </c>
    </row>
    <row r="39" ht="15" customHeight="1">
      <c r="B39" s="13" t="inlineStr">
        <is>
          <t>Painting</t>
        </is>
      </c>
      <c r="C39" s="14" t="n">
        <v>1422.08</v>
      </c>
      <c r="D39" s="14" t="n">
        <v>0</v>
      </c>
      <c r="E39" s="14" t="n">
        <v>0</v>
      </c>
      <c r="F39" s="14" t="n">
        <v>0</v>
      </c>
      <c r="G39" s="14" t="n">
        <v>1422.08</v>
      </c>
    </row>
    <row r="40" ht="15" customHeight="1">
      <c r="B40" s="13" t="inlineStr">
        <is>
          <t>Gutter Systems</t>
        </is>
      </c>
      <c r="C40" s="14" t="n">
        <v>537.9</v>
      </c>
      <c r="D40" s="14" t="n">
        <v>0</v>
      </c>
      <c r="E40" s="14" t="n">
        <v>0</v>
      </c>
      <c r="F40" s="14" t="n">
        <v>0</v>
      </c>
      <c r="G40" s="14" t="n">
        <v>537.9</v>
      </c>
    </row>
    <row r="41" ht="15" customHeight="1">
      <c r="B41" s="13" t="inlineStr">
        <is>
          <t>Structural Framing</t>
        </is>
      </c>
      <c r="C41" s="14" t="n">
        <v>4290.9</v>
      </c>
      <c r="D41" s="14" t="n">
        <v>0</v>
      </c>
      <c r="E41" s="14" t="n">
        <v>0</v>
      </c>
      <c r="F41" s="14" t="n">
        <v>0</v>
      </c>
      <c r="G41" s="14" t="n">
        <v>4290.9</v>
      </c>
    </row>
    <row r="42" ht="15" customHeight="1">
      <c r="B42" s="13" t="inlineStr">
        <is>
          <t>Site Utilities</t>
        </is>
      </c>
      <c r="C42" s="14" t="n">
        <v>470.52</v>
      </c>
      <c r="D42" s="14" t="n">
        <v>0</v>
      </c>
      <c r="E42" s="14" t="n">
        <v>0</v>
      </c>
      <c r="F42" s="14" t="n">
        <v>0</v>
      </c>
      <c r="G42" s="14" t="n">
        <v>470.52</v>
      </c>
    </row>
    <row r="43" ht="15" customHeight="1">
      <c r="B43" s="13" t="inlineStr">
        <is>
          <t>Garage Doors</t>
        </is>
      </c>
      <c r="C43" s="14" t="n">
        <v>397.47</v>
      </c>
      <c r="D43" s="14" t="n">
        <v>0</v>
      </c>
      <c r="E43" s="14" t="n">
        <v>0</v>
      </c>
      <c r="F43" s="14" t="n">
        <v>0</v>
      </c>
      <c r="G43" s="14" t="n">
        <v>397.47</v>
      </c>
    </row>
    <row r="44" ht="15" customHeight="1">
      <c r="B44" s="13" t="inlineStr">
        <is>
          <t>Flooring - Sealed Concrete</t>
        </is>
      </c>
      <c r="C44" s="14" t="n">
        <v>45.13</v>
      </c>
      <c r="D44" s="14" t="n">
        <v>0</v>
      </c>
      <c r="E44" s="14" t="n">
        <v>0</v>
      </c>
      <c r="F44" s="14" t="n">
        <v>0</v>
      </c>
      <c r="G44" s="14" t="n">
        <v>45.13</v>
      </c>
    </row>
    <row r="45" ht="15" customHeight="1">
      <c r="B45" s="13" t="inlineStr">
        <is>
          <t>Bathroom Accessories</t>
        </is>
      </c>
      <c r="C45" s="14" t="n">
        <v>468.02</v>
      </c>
      <c r="D45" s="14" t="n">
        <v>0</v>
      </c>
      <c r="E45" s="14" t="n">
        <v>0</v>
      </c>
      <c r="F45" s="14" t="n">
        <v>0</v>
      </c>
      <c r="G45" s="14" t="n">
        <v>468.02</v>
      </c>
    </row>
    <row r="46" ht="15" customHeight="1">
      <c r="B46" s="13" t="inlineStr">
        <is>
          <t>Cabinets / Millwork - Restrooms</t>
        </is>
      </c>
      <c r="C46" s="14" t="n">
        <v>419.32</v>
      </c>
      <c r="D46" s="14" t="n">
        <v>0</v>
      </c>
      <c r="E46" s="14" t="n">
        <v>0</v>
      </c>
      <c r="F46" s="14" t="n">
        <v>0</v>
      </c>
      <c r="G46" s="14" t="n">
        <v>419.32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2-Land Improvements - Havenwood Drive</t>
        </is>
      </c>
      <c r="C52" s="14" t="n">
        <v>47471.5</v>
      </c>
      <c r="D52" s="14" t="n">
        <v>8161.45</v>
      </c>
      <c r="E52" s="14" t="n">
        <v>0</v>
      </c>
      <c r="F52" s="14" t="n">
        <v>1163.94</v>
      </c>
      <c r="G52" s="14" t="n">
        <v>38146.11</v>
      </c>
    </row>
    <row r="53" ht="15" customHeight="1">
      <c r="B53" s="13" t="inlineStr">
        <is>
          <t>Asset # 3-Building - Havenwood Drive</t>
        </is>
      </c>
      <c r="C53" s="14" t="n">
        <v>617126.84</v>
      </c>
      <c r="D53" s="14" t="n">
        <v>106097.52</v>
      </c>
      <c r="E53" s="14" t="n">
        <v>0</v>
      </c>
      <c r="F53" s="14" t="n">
        <v>15129.51</v>
      </c>
      <c r="G53" s="14" t="n">
        <v>495899.81</v>
      </c>
    </row>
    <row r="54" ht="15" customHeight="1">
      <c r="B54" s="13" t="inlineStr">
        <is>
          <t>Asset # 4-Equipment - Havenwood Drive</t>
        </is>
      </c>
      <c r="C54" s="14" t="n">
        <v>126589.59</v>
      </c>
      <c r="D54" s="14" t="n">
        <v>21763.55</v>
      </c>
      <c r="E54" s="14" t="n">
        <v>0</v>
      </c>
      <c r="F54" s="14" t="n">
        <v>3103.46</v>
      </c>
      <c r="G54" s="14" t="n">
        <v>101722.58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2 - Land Improvements - Havenwood</t>
        </is>
      </c>
      <c r="C60" s="14" t="n">
        <v>47472</v>
      </c>
      <c r="D60" s="14" t="n">
        <v>0</v>
      </c>
      <c r="E60" s="14" t="n">
        <v>22477.31</v>
      </c>
      <c r="F60" s="14" t="n">
        <v>2803.31</v>
      </c>
      <c r="G60" s="14" t="n">
        <v>25280.62</v>
      </c>
      <c r="H60" s="14" t="n">
        <v>22191.38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3 - Building - Havenwood</t>
        </is>
      </c>
      <c r="C61" s="14" t="n">
        <v>617127</v>
      </c>
      <c r="D61" s="14" t="n">
        <v>0</v>
      </c>
      <c r="E61" s="14" t="n">
        <v>135580.9</v>
      </c>
      <c r="F61" s="14" t="n">
        <v>22440.93</v>
      </c>
      <c r="G61" s="14" t="n">
        <v>158021.83</v>
      </c>
      <c r="H61" s="14" t="n">
        <v>459105.17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4 - Equipment - Havenwood</t>
        </is>
      </c>
      <c r="C62" s="14" t="n">
        <v>126590</v>
      </c>
      <c r="D62" s="14" t="n">
        <v>0</v>
      </c>
      <c r="E62" s="14" t="n">
        <v>126590</v>
      </c>
      <c r="F62" s="14" t="n">
        <v>0</v>
      </c>
      <c r="G62" s="14" t="n">
        <v>126590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2 - Land Improvements - Havenwood - 5yr</t>
        </is>
      </c>
      <c r="C67" s="14" t="n">
        <v>8161</v>
      </c>
      <c r="D67" s="14" t="n">
        <v>0</v>
      </c>
      <c r="E67" s="14" t="n">
        <v>8161</v>
      </c>
      <c r="F67" s="14" t="n">
        <v>8161</v>
      </c>
      <c r="G67" s="14" t="n">
        <v>8161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2 - Land Improvements - Havenwood - 15yr</t>
        </is>
      </c>
      <c r="C68" s="14" t="n">
        <v>1164</v>
      </c>
      <c r="D68" s="14" t="n">
        <v>0</v>
      </c>
      <c r="E68" s="14" t="n">
        <v>1164</v>
      </c>
      <c r="F68" s="14" t="n">
        <v>1164</v>
      </c>
      <c r="G68" s="14" t="n">
        <v>1164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2 - Land Improvements - Havenwood - 27.5yr</t>
        </is>
      </c>
      <c r="C69" s="14" t="n">
        <v>38146</v>
      </c>
      <c r="D69" s="14" t="n">
        <v>0</v>
      </c>
      <c r="E69" s="14" t="n">
        <v>0</v>
      </c>
      <c r="F69" s="14" t="n">
        <v>8380.76</v>
      </c>
      <c r="G69" s="14" t="n">
        <v>9767.889999999999</v>
      </c>
      <c r="H69" s="14" t="n">
        <v>28378.11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3 - Building - Havenwood - 5yr</t>
        </is>
      </c>
      <c r="C70" s="14" t="n">
        <v>106098</v>
      </c>
      <c r="D70" s="14" t="n">
        <v>0</v>
      </c>
      <c r="E70" s="14" t="n">
        <v>106098</v>
      </c>
      <c r="F70" s="14" t="n">
        <v>106098</v>
      </c>
      <c r="G70" s="14" t="n">
        <v>106098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3 - Building - Havenwood - 15yr</t>
        </is>
      </c>
      <c r="C71" s="14" t="n">
        <v>15130</v>
      </c>
      <c r="D71" s="14" t="n">
        <v>0</v>
      </c>
      <c r="E71" s="14" t="n">
        <v>15130</v>
      </c>
      <c r="F71" s="14" t="n">
        <v>15130</v>
      </c>
      <c r="G71" s="14" t="n">
        <v>15130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3 - Building - Havenwood - 27.5yr</t>
        </is>
      </c>
      <c r="C72" s="14" t="n">
        <v>495900</v>
      </c>
      <c r="D72" s="14" t="n">
        <v>0</v>
      </c>
      <c r="E72" s="14" t="n">
        <v>0</v>
      </c>
      <c r="F72" s="14" t="n">
        <v>108947.74</v>
      </c>
      <c r="G72" s="14" t="n">
        <v>126980.47</v>
      </c>
      <c r="H72" s="14" t="n">
        <v>368919.53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4 - Equipment - Havenwood - 5yr</t>
        </is>
      </c>
      <c r="C73" s="14" t="n">
        <v>21764</v>
      </c>
      <c r="D73" s="14" t="n">
        <v>0</v>
      </c>
      <c r="E73" s="14" t="n">
        <v>21764</v>
      </c>
      <c r="F73" s="14" t="n">
        <v>21764</v>
      </c>
      <c r="G73" s="14" t="n">
        <v>21764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4 - Equipment - Havenwood - 15yr</t>
        </is>
      </c>
      <c r="C74" s="14" t="n">
        <v>3103</v>
      </c>
      <c r="D74" s="14" t="n">
        <v>0</v>
      </c>
      <c r="E74" s="14" t="n">
        <v>3103</v>
      </c>
      <c r="F74" s="14" t="n">
        <v>3103</v>
      </c>
      <c r="G74" s="14" t="n">
        <v>3103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4 - Equipment - Havenwood - 27.5yr</t>
        </is>
      </c>
      <c r="C75" s="14" t="n">
        <v>101723</v>
      </c>
      <c r="D75" s="14" t="n">
        <v>0</v>
      </c>
      <c r="E75" s="14" t="n">
        <v>0</v>
      </c>
      <c r="F75" s="14" t="n">
        <v>22348.25</v>
      </c>
      <c r="G75" s="14" t="n">
        <v>26047.27</v>
      </c>
      <c r="H75" s="14" t="n">
        <v>75675.73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309892.45</v>
      </c>
    </row>
    <row r="80" ht="15" customHeight="1">
      <c r="B80" s="13" t="inlineStr">
        <is>
          <t>Cost Segregation Corrected Depreciation</t>
        </is>
      </c>
      <c r="C80" s="14" t="n">
        <v>318215.63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2:J22"/>
    <mergeCell ref="B50:J50"/>
    <mergeCell ref="B27:J27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3117 Barbwood Dr., Marrero, LA  |  EIN: 82-2324040  |  FYE: 12/31/2024</t>
        </is>
      </c>
    </row>
    <row r="3" ht="15" customHeight="1">
      <c r="B3" s="11" t="inlineStr">
        <is>
          <t>Property: 3117 Barbwood Dr  |  Units: 3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1194.23</v>
      </c>
      <c r="D8" s="14" t="n">
        <v>1194.23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892.45</v>
      </c>
      <c r="D9" s="14" t="n">
        <v>892.45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772.85</v>
      </c>
      <c r="D10" s="14" t="n">
        <v>772.85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479.69</v>
      </c>
      <c r="D11" s="14" t="n">
        <v>479.69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324.2</v>
      </c>
      <c r="D12" s="14" t="n">
        <v>324.2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30.15</v>
      </c>
      <c r="D13" s="14" t="n">
        <v>30.15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19.82</v>
      </c>
      <c r="D14" s="14" t="n">
        <v>19.82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514.89</v>
      </c>
      <c r="D15" s="14" t="n">
        <v>514.89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253.01</v>
      </c>
      <c r="D16" s="14" t="n">
        <v>253.01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563.75</v>
      </c>
      <c r="D17" s="14" t="n">
        <v>563.75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111.83</v>
      </c>
      <c r="D18" s="14" t="n">
        <v>111.83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564.76</v>
      </c>
      <c r="D19" s="14" t="n">
        <v>564.76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508.62</v>
      </c>
      <c r="D21" s="14" t="n">
        <v>0</v>
      </c>
      <c r="E21" s="14" t="n">
        <v>0</v>
      </c>
      <c r="F21" s="14" t="n">
        <v>508.62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142.45</v>
      </c>
      <c r="D22" s="14" t="n">
        <v>0</v>
      </c>
      <c r="E22" s="14" t="n">
        <v>0</v>
      </c>
      <c r="F22" s="14" t="n">
        <v>142.45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34.81</v>
      </c>
      <c r="D23" s="14" t="n">
        <v>0</v>
      </c>
      <c r="E23" s="14" t="n">
        <v>0</v>
      </c>
      <c r="F23" s="14" t="n">
        <v>34.81</v>
      </c>
      <c r="G23" s="14" t="n">
        <v>0</v>
      </c>
    </row>
    <row r="24" ht="15" customHeight="1">
      <c r="B24" s="13" t="inlineStr">
        <is>
          <t>Mailboxes</t>
        </is>
      </c>
      <c r="C24" s="14" t="n">
        <v>21.6</v>
      </c>
      <c r="D24" s="14" t="n">
        <v>0</v>
      </c>
      <c r="E24" s="14" t="n">
        <v>0</v>
      </c>
      <c r="F24" s="14" t="n">
        <v>21.6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2544.9</v>
      </c>
      <c r="D26" s="14" t="n">
        <v>0</v>
      </c>
      <c r="E26" s="14" t="n">
        <v>0</v>
      </c>
      <c r="F26" s="14" t="n">
        <v>0</v>
      </c>
      <c r="G26" s="14" t="n">
        <v>2544.9</v>
      </c>
    </row>
    <row r="27" ht="15" customHeight="1">
      <c r="B27" s="13" t="inlineStr">
        <is>
          <t>Foundations</t>
        </is>
      </c>
      <c r="C27" s="14" t="n">
        <v>5290.6</v>
      </c>
      <c r="D27" s="14" t="n">
        <v>0</v>
      </c>
      <c r="E27" s="14" t="n">
        <v>0</v>
      </c>
      <c r="F27" s="14" t="n">
        <v>0</v>
      </c>
      <c r="G27" s="14" t="n">
        <v>5290.6</v>
      </c>
    </row>
    <row r="28" ht="15" customHeight="1">
      <c r="B28" s="13" t="inlineStr">
        <is>
          <t>HVAC</t>
        </is>
      </c>
      <c r="C28" s="14" t="n">
        <v>2605.13</v>
      </c>
      <c r="D28" s="14" t="n">
        <v>0</v>
      </c>
      <c r="E28" s="14" t="n">
        <v>0</v>
      </c>
      <c r="F28" s="14" t="n">
        <v>0</v>
      </c>
      <c r="G28" s="14" t="n">
        <v>2605.13</v>
      </c>
    </row>
    <row r="29" ht="15" customHeight="1">
      <c r="B29" s="13" t="inlineStr">
        <is>
          <t>Electrical</t>
        </is>
      </c>
      <c r="C29" s="14" t="n">
        <v>2808.12</v>
      </c>
      <c r="D29" s="14" t="n">
        <v>0</v>
      </c>
      <c r="E29" s="14" t="n">
        <v>0</v>
      </c>
      <c r="F29" s="14" t="n">
        <v>0</v>
      </c>
      <c r="G29" s="14" t="n">
        <v>2808.12</v>
      </c>
    </row>
    <row r="30" ht="15" customHeight="1">
      <c r="B30" s="13" t="inlineStr">
        <is>
          <t>Plumbing</t>
        </is>
      </c>
      <c r="C30" s="14" t="n">
        <v>2290.83</v>
      </c>
      <c r="D30" s="14" t="n">
        <v>0</v>
      </c>
      <c r="E30" s="14" t="n">
        <v>0</v>
      </c>
      <c r="F30" s="14" t="n">
        <v>0</v>
      </c>
      <c r="G30" s="14" t="n">
        <v>2290.83</v>
      </c>
    </row>
    <row r="31" ht="15" customHeight="1">
      <c r="B31" s="13" t="inlineStr">
        <is>
          <t>Fire Protection &amp; Alarm</t>
        </is>
      </c>
      <c r="C31" s="14" t="n">
        <v>150.42</v>
      </c>
      <c r="D31" s="14" t="n">
        <v>0</v>
      </c>
      <c r="E31" s="14" t="n">
        <v>0</v>
      </c>
      <c r="F31" s="14" t="n">
        <v>0</v>
      </c>
      <c r="G31" s="14" t="n">
        <v>150.42</v>
      </c>
    </row>
    <row r="32" ht="15" customHeight="1">
      <c r="B32" s="13" t="inlineStr">
        <is>
          <t>Exterior Façade / Building Skin</t>
        </is>
      </c>
      <c r="C32" s="14" t="n">
        <v>1919.86</v>
      </c>
      <c r="D32" s="14" t="n">
        <v>0</v>
      </c>
      <c r="E32" s="14" t="n">
        <v>0</v>
      </c>
      <c r="F32" s="14" t="n">
        <v>0</v>
      </c>
      <c r="G32" s="14" t="n">
        <v>1919.86</v>
      </c>
    </row>
    <row r="33" ht="15" customHeight="1">
      <c r="B33" s="13" t="inlineStr">
        <is>
          <t>Doors &amp; Frames</t>
        </is>
      </c>
      <c r="C33" s="14" t="n">
        <v>1776.29</v>
      </c>
      <c r="D33" s="14" t="n">
        <v>0</v>
      </c>
      <c r="E33" s="14" t="n">
        <v>0</v>
      </c>
      <c r="F33" s="14" t="n">
        <v>0</v>
      </c>
      <c r="G33" s="14" t="n">
        <v>1776.29</v>
      </c>
    </row>
    <row r="34" ht="15" customHeight="1">
      <c r="B34" s="13" t="inlineStr">
        <is>
          <t>Windows</t>
        </is>
      </c>
      <c r="C34" s="14" t="n">
        <v>1322.1</v>
      </c>
      <c r="D34" s="14" t="n">
        <v>0</v>
      </c>
      <c r="E34" s="14" t="n">
        <v>0</v>
      </c>
      <c r="F34" s="14" t="n">
        <v>0</v>
      </c>
      <c r="G34" s="14" t="n">
        <v>1322.1</v>
      </c>
    </row>
    <row r="35" ht="15" customHeight="1">
      <c r="B35" s="13" t="inlineStr">
        <is>
          <t>Ceiling Systems</t>
        </is>
      </c>
      <c r="C35" s="14" t="n">
        <v>1338.43</v>
      </c>
      <c r="D35" s="14" t="n">
        <v>0</v>
      </c>
      <c r="E35" s="14" t="n">
        <v>0</v>
      </c>
      <c r="F35" s="14" t="n">
        <v>0</v>
      </c>
      <c r="G35" s="14" t="n">
        <v>1338.43</v>
      </c>
    </row>
    <row r="36" ht="15" customHeight="1">
      <c r="B36" s="13" t="inlineStr">
        <is>
          <t>Interior Framing / Partitions</t>
        </is>
      </c>
      <c r="C36" s="14" t="n">
        <v>4310.61</v>
      </c>
      <c r="D36" s="14" t="n">
        <v>0</v>
      </c>
      <c r="E36" s="14" t="n">
        <v>0</v>
      </c>
      <c r="F36" s="14" t="n">
        <v>0</v>
      </c>
      <c r="G36" s="14" t="n">
        <v>4310.61</v>
      </c>
    </row>
    <row r="37" ht="15" customHeight="1">
      <c r="B37" s="13" t="inlineStr">
        <is>
          <t>Painting</t>
        </is>
      </c>
      <c r="C37" s="14" t="n">
        <v>1420.92</v>
      </c>
      <c r="D37" s="14" t="n">
        <v>0</v>
      </c>
      <c r="E37" s="14" t="n">
        <v>0</v>
      </c>
      <c r="F37" s="14" t="n">
        <v>0</v>
      </c>
      <c r="G37" s="14" t="n">
        <v>1420.92</v>
      </c>
    </row>
    <row r="38" ht="15" customHeight="1">
      <c r="B38" s="13" t="inlineStr">
        <is>
          <t>Gutter Systems</t>
        </is>
      </c>
      <c r="C38" s="14" t="n">
        <v>509.47</v>
      </c>
      <c r="D38" s="14" t="n">
        <v>0</v>
      </c>
      <c r="E38" s="14" t="n">
        <v>0</v>
      </c>
      <c r="F38" s="14" t="n">
        <v>0</v>
      </c>
      <c r="G38" s="14" t="n">
        <v>509.47</v>
      </c>
    </row>
    <row r="39" ht="15" customHeight="1">
      <c r="B39" s="13" t="inlineStr">
        <is>
          <t>Structural Framing</t>
        </is>
      </c>
      <c r="C39" s="14" t="n">
        <v>4496.26</v>
      </c>
      <c r="D39" s="14" t="n">
        <v>0</v>
      </c>
      <c r="E39" s="14" t="n">
        <v>0</v>
      </c>
      <c r="F39" s="14" t="n">
        <v>0</v>
      </c>
      <c r="G39" s="14" t="n">
        <v>4496.26</v>
      </c>
    </row>
    <row r="40" ht="15" customHeight="1">
      <c r="B40" s="13" t="inlineStr">
        <is>
          <t>Site Utilities</t>
        </is>
      </c>
      <c r="C40" s="14" t="n">
        <v>373.61</v>
      </c>
      <c r="D40" s="14" t="n">
        <v>0</v>
      </c>
      <c r="E40" s="14" t="n">
        <v>0</v>
      </c>
      <c r="F40" s="14" t="n">
        <v>0</v>
      </c>
      <c r="G40" s="14" t="n">
        <v>373.61</v>
      </c>
    </row>
    <row r="41" ht="15" customHeight="1">
      <c r="B41" s="13" t="inlineStr">
        <is>
          <t>Garage Doors</t>
        </is>
      </c>
      <c r="C41" s="14" t="n">
        <v>397.47</v>
      </c>
      <c r="D41" s="14" t="n">
        <v>0</v>
      </c>
      <c r="E41" s="14" t="n">
        <v>0</v>
      </c>
      <c r="F41" s="14" t="n">
        <v>0</v>
      </c>
      <c r="G41" s="14" t="n">
        <v>397.47</v>
      </c>
    </row>
    <row r="42" ht="15" customHeight="1">
      <c r="B42" s="13" t="inlineStr">
        <is>
          <t>Flooring - Sealed Concrete</t>
        </is>
      </c>
      <c r="C42" s="14" t="n">
        <v>52.64</v>
      </c>
      <c r="D42" s="14" t="n">
        <v>0</v>
      </c>
      <c r="E42" s="14" t="n">
        <v>0</v>
      </c>
      <c r="F42" s="14" t="n">
        <v>0</v>
      </c>
      <c r="G42" s="14" t="n">
        <v>52.64</v>
      </c>
    </row>
    <row r="43" ht="15" customHeight="1">
      <c r="B43" s="13" t="inlineStr">
        <is>
          <t>Bathroom Accessories</t>
        </is>
      </c>
      <c r="C43" s="14" t="n">
        <v>468.02</v>
      </c>
      <c r="D43" s="14" t="n">
        <v>0</v>
      </c>
      <c r="E43" s="14" t="n">
        <v>0</v>
      </c>
      <c r="F43" s="14" t="n">
        <v>0</v>
      </c>
      <c r="G43" s="14" t="n">
        <v>468.02</v>
      </c>
    </row>
    <row r="44" ht="15" customHeight="1">
      <c r="B44" s="13" t="inlineStr">
        <is>
          <t>Ceramic Tile Flooring</t>
        </is>
      </c>
      <c r="C44" s="14" t="n">
        <v>1629.46</v>
      </c>
      <c r="D44" s="14" t="n">
        <v>0</v>
      </c>
      <c r="E44" s="14" t="n">
        <v>0</v>
      </c>
      <c r="F44" s="14" t="n">
        <v>0</v>
      </c>
      <c r="G44" s="14" t="n">
        <v>1629.46</v>
      </c>
    </row>
    <row r="45" ht="15" customHeight="1">
      <c r="B45" s="13" t="inlineStr">
        <is>
          <t>Cabinets / Millwork - Restrooms</t>
        </is>
      </c>
      <c r="C45" s="14" t="n">
        <v>362.41</v>
      </c>
      <c r="D45" s="14" t="n">
        <v>0</v>
      </c>
      <c r="E45" s="14" t="n">
        <v>0</v>
      </c>
      <c r="F45" s="14" t="n">
        <v>0</v>
      </c>
      <c r="G45" s="14" t="n">
        <v>362.41</v>
      </c>
    </row>
    <row r="46" ht="15" customHeight="1">
      <c r="B46" s="15" t="inlineStr">
        <is>
          <t>Total Building Cost</t>
        </is>
      </c>
      <c r="C46" s="16">
        <f>SUM(C8:C45)</f>
        <v/>
      </c>
      <c r="D46" s="16">
        <f>SUM(D8:D45)</f>
        <v/>
      </c>
      <c r="E46" s="16">
        <f>SUM(E8:E45)</f>
        <v/>
      </c>
      <c r="F46" s="16">
        <f>SUM(F8:F45)</f>
        <v/>
      </c>
      <c r="G46" s="16">
        <f>SUM(G8:G45)</f>
        <v/>
      </c>
    </row>
    <row r="47" ht="15" customHeight="1">
      <c r="B47" s="7" t="inlineStr">
        <is>
          <t>% of Building Cost</t>
        </is>
      </c>
      <c r="D47" s="17">
        <f>D46/C46</f>
        <v/>
      </c>
      <c r="E47" s="17">
        <f>E46/C46</f>
        <v/>
      </c>
      <c r="F47" s="17">
        <f>F46/C46</f>
        <v/>
      </c>
      <c r="G47" s="17">
        <f>G46/C46</f>
        <v/>
      </c>
    </row>
    <row r="49" ht="15" customHeight="1">
      <c r="B49" s="3" t="inlineStr">
        <is>
          <t>ASSET ALLOCATION</t>
        </is>
      </c>
    </row>
    <row r="50" ht="15" customHeight="1">
      <c r="A50" s="1" t="inlineStr"/>
      <c r="B50" s="1" t="inlineStr">
        <is>
          <t>Asset Description</t>
        </is>
      </c>
      <c r="C50" s="1" t="inlineStr">
        <is>
          <t>Total Cost</t>
        </is>
      </c>
      <c r="D50" s="1" t="inlineStr">
        <is>
          <t>5-Year</t>
        </is>
      </c>
      <c r="E50" s="1" t="inlineStr">
        <is>
          <t>7-Year</t>
        </is>
      </c>
      <c r="F50" s="1" t="inlineStr">
        <is>
          <t>15-Year</t>
        </is>
      </c>
      <c r="G50" s="1" t="inlineStr">
        <is>
          <t>27.5-Year</t>
        </is>
      </c>
      <c r="H50" s="1" t="inlineStr"/>
      <c r="I50" s="1" t="inlineStr"/>
      <c r="J50" s="1" t="inlineStr"/>
    </row>
    <row r="51" ht="15" customHeight="1">
      <c r="B51" s="13" t="inlineStr">
        <is>
          <t>Asset # 2-Land Improvements - Havenwood Drive</t>
        </is>
      </c>
      <c r="C51" s="14" t="n">
        <v>7649.46</v>
      </c>
      <c r="D51" s="14" t="n">
        <v>1029.9</v>
      </c>
      <c r="E51" s="14" t="n">
        <v>0</v>
      </c>
      <c r="F51" s="14" t="n">
        <v>127.35</v>
      </c>
      <c r="G51" s="14" t="n">
        <v>6492.21</v>
      </c>
    </row>
    <row r="52" ht="15" customHeight="1">
      <c r="B52" s="13" t="inlineStr">
        <is>
          <t>Asset # 3-Building - Havenwood Drive</t>
        </is>
      </c>
      <c r="C52" s="14" t="n">
        <v>99442.2</v>
      </c>
      <c r="D52" s="14" t="n">
        <v>13388.61</v>
      </c>
      <c r="E52" s="14" t="n">
        <v>0</v>
      </c>
      <c r="F52" s="14" t="n">
        <v>1655.49</v>
      </c>
      <c r="G52" s="14" t="n">
        <v>84398.10000000001</v>
      </c>
    </row>
    <row r="53" ht="15" customHeight="1">
      <c r="B53" s="13" t="inlineStr">
        <is>
          <t>Asset # 4-Equipment - Havenwood Drive</t>
        </is>
      </c>
      <c r="C53" s="14" t="n">
        <v>20398.32</v>
      </c>
      <c r="D53" s="14" t="n">
        <v>2746.38</v>
      </c>
      <c r="E53" s="14" t="n">
        <v>0</v>
      </c>
      <c r="F53" s="14" t="n">
        <v>339.6</v>
      </c>
      <c r="G53" s="14" t="n">
        <v>17312.34</v>
      </c>
    </row>
    <row r="54" ht="15" customHeight="1">
      <c r="B54" s="15" t="inlineStr">
        <is>
          <t>Total Allocation</t>
        </is>
      </c>
      <c r="C54" s="16">
        <f>SUM(C51:C53)</f>
        <v/>
      </c>
      <c r="D54" s="16">
        <f>SUM(D51:D53)</f>
        <v/>
      </c>
      <c r="E54" s="16">
        <f>SUM(E51:E53)</f>
        <v/>
      </c>
      <c r="F54" s="16">
        <f>SUM(F51:F53)</f>
        <v/>
      </c>
      <c r="G54" s="16">
        <f>SUM(G51:G53)</f>
        <v/>
      </c>
    </row>
    <row r="55" ht="15" customHeight="1">
      <c r="B55" s="9" t="inlineStr">
        <is>
          <t>TOTALS (Verification)</t>
        </is>
      </c>
      <c r="C55" s="10">
        <f>SUM(C51:C53)</f>
        <v/>
      </c>
      <c r="D55" s="10">
        <f>SUM(D51:D53)</f>
        <v/>
      </c>
      <c r="E55" s="10">
        <f>SUM(E51:E53)</f>
        <v/>
      </c>
      <c r="F55" s="10">
        <f>SUM(F51:F53)</f>
        <v/>
      </c>
      <c r="G55" s="10">
        <f>SUM(G51:G53)</f>
        <v/>
      </c>
    </row>
    <row r="57" ht="15" customHeight="1">
      <c r="B57" s="1" t="inlineStr">
        <is>
          <t>DEPRECIATION SCHEDULE — AS PREVIOUSLY FILED</t>
        </is>
      </c>
    </row>
    <row r="58" ht="28" customHeight="1">
      <c r="A58" s="18" t="inlineStr"/>
      <c r="B58" s="18" t="inlineStr">
        <is>
          <t>Property Description</t>
        </is>
      </c>
      <c r="C58" s="18" t="inlineStr">
        <is>
          <t>Tax Cost</t>
        </is>
      </c>
      <c r="D58" s="18" t="inlineStr">
        <is>
          <t>Tax Bonus Amt</t>
        </is>
      </c>
      <c r="E58" s="18" t="inlineStr">
        <is>
          <t>Tax Prior Depr</t>
        </is>
      </c>
      <c r="F58" s="18" t="inlineStr">
        <is>
          <t>Tax Current Depr</t>
        </is>
      </c>
      <c r="G58" s="18" t="inlineStr">
        <is>
          <t>Tax End Depr</t>
        </is>
      </c>
      <c r="H58" s="18" t="inlineStr">
        <is>
          <t>Tax Net Book Value</t>
        </is>
      </c>
      <c r="I58" s="18" t="inlineStr">
        <is>
          <t>Tax Method</t>
        </is>
      </c>
      <c r="J58" s="18" t="inlineStr">
        <is>
          <t>Tax Period</t>
        </is>
      </c>
    </row>
    <row r="59" ht="15" customHeight="1">
      <c r="B59" s="13" t="inlineStr">
        <is>
          <t>2 - Land Improvements - Havenwood</t>
        </is>
      </c>
      <c r="C59" s="14" t="n">
        <v>7649</v>
      </c>
      <c r="D59" s="14" t="n">
        <v>0</v>
      </c>
      <c r="E59" s="14" t="n">
        <v>3621.69</v>
      </c>
      <c r="F59" s="14" t="n">
        <v>451.69</v>
      </c>
      <c r="G59" s="14" t="n">
        <v>4073.38</v>
      </c>
      <c r="H59" s="14" t="n">
        <v>3575.62</v>
      </c>
      <c r="I59" s="19" t="inlineStr">
        <is>
          <t>150DB</t>
        </is>
      </c>
      <c r="J59" s="20" t="n">
        <v>15</v>
      </c>
    </row>
    <row r="60" ht="15" customHeight="1">
      <c r="B60" s="13" t="inlineStr">
        <is>
          <t>3 - Building - Havenwood</t>
        </is>
      </c>
      <c r="C60" s="14" t="n">
        <v>99442</v>
      </c>
      <c r="D60" s="14" t="n">
        <v>0</v>
      </c>
      <c r="E60" s="14" t="n">
        <v>21847.1</v>
      </c>
      <c r="F60" s="14" t="n">
        <v>3616.07</v>
      </c>
      <c r="G60" s="14" t="n">
        <v>25463.17</v>
      </c>
      <c r="H60" s="14" t="n">
        <v>73978.83</v>
      </c>
      <c r="I60" s="19" t="inlineStr">
        <is>
          <t>S/L</t>
        </is>
      </c>
      <c r="J60" s="20" t="n">
        <v>27.5</v>
      </c>
    </row>
    <row r="61" ht="15" customHeight="1">
      <c r="B61" s="13" t="inlineStr">
        <is>
          <t>4 - Equipment - Havenwood</t>
        </is>
      </c>
      <c r="C61" s="14" t="n">
        <v>20398</v>
      </c>
      <c r="D61" s="14" t="n">
        <v>0</v>
      </c>
      <c r="E61" s="14" t="n">
        <v>20398</v>
      </c>
      <c r="F61" s="14" t="n">
        <v>0</v>
      </c>
      <c r="G61" s="14" t="n">
        <v>20398</v>
      </c>
      <c r="H61" s="14" t="n">
        <v>0</v>
      </c>
      <c r="I61" s="19" t="inlineStr">
        <is>
          <t>200DB</t>
        </is>
      </c>
      <c r="J61" s="20" t="n">
        <v>5</v>
      </c>
    </row>
    <row r="62" ht="15" customHeight="1">
      <c r="B62" s="15" t="inlineStr">
        <is>
          <t>Grand Total</t>
        </is>
      </c>
      <c r="C62" s="16">
        <f>SUM(C59:C61)</f>
        <v/>
      </c>
      <c r="D62" s="16">
        <f>SUM(D59:D61)</f>
        <v/>
      </c>
      <c r="E62" s="16">
        <f>SUM(E59:E61)</f>
        <v/>
      </c>
      <c r="F62" s="16">
        <f>SUM(F59:F61)</f>
        <v/>
      </c>
      <c r="G62" s="16">
        <f>SUM(G59:G61)</f>
        <v/>
      </c>
      <c r="H62" s="16">
        <f>SUM(H59:H61)</f>
        <v/>
      </c>
    </row>
    <row r="64" ht="15" customHeight="1">
      <c r="B64" s="1" t="inlineStr">
        <is>
          <t>DEPRECIATION SCHEDULE — AFTER COST SEGREGATION CORRECTION</t>
        </is>
      </c>
    </row>
    <row r="65" ht="28" customHeight="1">
      <c r="A65" s="18" t="inlineStr"/>
      <c r="B65" s="18" t="inlineStr">
        <is>
          <t>Property Description</t>
        </is>
      </c>
      <c r="C65" s="18" t="inlineStr">
        <is>
          <t>Tax Cost</t>
        </is>
      </c>
      <c r="D65" s="18" t="inlineStr">
        <is>
          <t>Tax Bonus Amt</t>
        </is>
      </c>
      <c r="E65" s="18" t="inlineStr">
        <is>
          <t>Tax Prior Depr</t>
        </is>
      </c>
      <c r="F65" s="18" t="inlineStr">
        <is>
          <t>Tax Current Depr</t>
        </is>
      </c>
      <c r="G65" s="18" t="inlineStr">
        <is>
          <t>Tax End Depr</t>
        </is>
      </c>
      <c r="H65" s="18" t="inlineStr">
        <is>
          <t>Tax Net Book Value</t>
        </is>
      </c>
      <c r="I65" s="18" t="inlineStr">
        <is>
          <t>Tax Method</t>
        </is>
      </c>
      <c r="J65" s="18" t="inlineStr">
        <is>
          <t>Tax Period</t>
        </is>
      </c>
    </row>
    <row r="66" ht="15" customHeight="1">
      <c r="B66" s="13" t="inlineStr">
        <is>
          <t>2 - Land Improvements - Havenwood - 5yr</t>
        </is>
      </c>
      <c r="C66" s="14" t="n">
        <v>1030</v>
      </c>
      <c r="D66" s="14" t="n">
        <v>0</v>
      </c>
      <c r="E66" s="14" t="n">
        <v>1030</v>
      </c>
      <c r="F66" s="14" t="n">
        <v>1030</v>
      </c>
      <c r="G66" s="14" t="n">
        <v>1030</v>
      </c>
      <c r="H66" s="14" t="n">
        <v>0</v>
      </c>
      <c r="I66" s="19" t="inlineStr">
        <is>
          <t>200DB</t>
        </is>
      </c>
      <c r="J66" s="20" t="n">
        <v>5</v>
      </c>
    </row>
    <row r="67" ht="15" customHeight="1">
      <c r="B67" s="13" t="inlineStr">
        <is>
          <t>2 - Land Improvements - Havenwood - 15yr</t>
        </is>
      </c>
      <c r="C67" s="14" t="n">
        <v>127</v>
      </c>
      <c r="D67" s="14" t="n">
        <v>0</v>
      </c>
      <c r="E67" s="14" t="n">
        <v>127</v>
      </c>
      <c r="F67" s="14" t="n">
        <v>127</v>
      </c>
      <c r="G67" s="14" t="n">
        <v>127</v>
      </c>
      <c r="H67" s="14" t="n">
        <v>0</v>
      </c>
      <c r="I67" s="19" t="inlineStr">
        <is>
          <t>150DB</t>
        </is>
      </c>
      <c r="J67" s="20" t="n">
        <v>15</v>
      </c>
    </row>
    <row r="68" ht="15" customHeight="1">
      <c r="B68" s="13" t="inlineStr">
        <is>
          <t>2 - Land Improvements - Havenwood - 27.5yr</t>
        </is>
      </c>
      <c r="C68" s="14" t="n">
        <v>6492</v>
      </c>
      <c r="D68" s="14" t="n">
        <v>0</v>
      </c>
      <c r="E68" s="14" t="n">
        <v>0</v>
      </c>
      <c r="F68" s="14" t="n">
        <v>1426.26</v>
      </c>
      <c r="G68" s="14" t="n">
        <v>1662.37</v>
      </c>
      <c r="H68" s="14" t="n">
        <v>4830.63</v>
      </c>
      <c r="I68" s="19" t="inlineStr">
        <is>
          <t>S/L</t>
        </is>
      </c>
      <c r="J68" s="20" t="n">
        <v>27.5</v>
      </c>
    </row>
    <row r="69" ht="15" customHeight="1">
      <c r="B69" s="13" t="inlineStr">
        <is>
          <t>3 - Building - Havenwood - 5yr</t>
        </is>
      </c>
      <c r="C69" s="14" t="n">
        <v>13389</v>
      </c>
      <c r="D69" s="14" t="n">
        <v>0</v>
      </c>
      <c r="E69" s="14" t="n">
        <v>13389</v>
      </c>
      <c r="F69" s="14" t="n">
        <v>13389</v>
      </c>
      <c r="G69" s="14" t="n">
        <v>13389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3 - Building - Havenwood - 15yr</t>
        </is>
      </c>
      <c r="C70" s="14" t="n">
        <v>1655</v>
      </c>
      <c r="D70" s="14" t="n">
        <v>0</v>
      </c>
      <c r="E70" s="14" t="n">
        <v>1655</v>
      </c>
      <c r="F70" s="14" t="n">
        <v>1655</v>
      </c>
      <c r="G70" s="14" t="n">
        <v>1655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3 - Building - Havenwood - 27.5yr</t>
        </is>
      </c>
      <c r="C71" s="14" t="n">
        <v>84398</v>
      </c>
      <c r="D71" s="14" t="n">
        <v>0</v>
      </c>
      <c r="E71" s="14" t="n">
        <v>0</v>
      </c>
      <c r="F71" s="14" t="n">
        <v>18542</v>
      </c>
      <c r="G71" s="14" t="n">
        <v>21611.02</v>
      </c>
      <c r="H71" s="14" t="n">
        <v>62786.98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4 - Equipment - Havenwood - 5yr</t>
        </is>
      </c>
      <c r="C72" s="14" t="n">
        <v>2746</v>
      </c>
      <c r="D72" s="14" t="n">
        <v>0</v>
      </c>
      <c r="E72" s="14" t="n">
        <v>2746</v>
      </c>
      <c r="F72" s="14" t="n">
        <v>2746</v>
      </c>
      <c r="G72" s="14" t="n">
        <v>2746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4 - Equipment - Havenwood - 15yr</t>
        </is>
      </c>
      <c r="C73" s="14" t="n">
        <v>340</v>
      </c>
      <c r="D73" s="14" t="n">
        <v>0</v>
      </c>
      <c r="E73" s="14" t="n">
        <v>340</v>
      </c>
      <c r="F73" s="14" t="n">
        <v>340</v>
      </c>
      <c r="G73" s="14" t="n">
        <v>340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4 - Equipment - Havenwood - 27.5yr</t>
        </is>
      </c>
      <c r="C74" s="14" t="n">
        <v>17312</v>
      </c>
      <c r="D74" s="14" t="n">
        <v>0</v>
      </c>
      <c r="E74" s="14" t="n">
        <v>0</v>
      </c>
      <c r="F74" s="14" t="n">
        <v>3803.41</v>
      </c>
      <c r="G74" s="14" t="n">
        <v>4432.94</v>
      </c>
      <c r="H74" s="14" t="n">
        <v>12879.06</v>
      </c>
      <c r="I74" s="19" t="inlineStr">
        <is>
          <t>S/L</t>
        </is>
      </c>
      <c r="J74" s="20" t="n">
        <v>27.5</v>
      </c>
    </row>
    <row r="75" ht="15" customHeight="1">
      <c r="B75" s="15" t="inlineStr">
        <is>
          <t>Grand Total</t>
        </is>
      </c>
      <c r="C75" s="16">
        <f>SUM(C66:C74)</f>
        <v/>
      </c>
      <c r="D75" s="16">
        <f>SUM(D66:D74)</f>
        <v/>
      </c>
      <c r="E75" s="16">
        <f>SUM(E66:E74)</f>
        <v/>
      </c>
      <c r="F75" s="16">
        <f>SUM(F66:F74)</f>
        <v/>
      </c>
      <c r="G75" s="16">
        <f>SUM(G66:G74)</f>
        <v/>
      </c>
      <c r="H75" s="16">
        <f>SUM(H66:H74)</f>
        <v/>
      </c>
    </row>
    <row r="77" ht="15" customHeight="1">
      <c r="B77" s="1" t="inlineStr">
        <is>
          <t>SECTION 481(a) ADJUSTMENT</t>
        </is>
      </c>
    </row>
    <row r="78" ht="15" customHeight="1">
      <c r="B78" s="13" t="inlineStr">
        <is>
          <t>Depreciation Previously Reported</t>
        </is>
      </c>
      <c r="C78" s="14" t="n">
        <v>49934.55</v>
      </c>
    </row>
    <row r="79" ht="15" customHeight="1">
      <c r="B79" s="13" t="inlineStr">
        <is>
          <t>Cost Segregation Corrected Depreciation</t>
        </is>
      </c>
      <c r="C79" s="14" t="n">
        <v>46937.1</v>
      </c>
    </row>
    <row r="80" ht="15" customHeight="1">
      <c r="B80" s="9" t="inlineStr">
        <is>
          <t>Section 481(a) Adjustment</t>
        </is>
      </c>
      <c r="C80" s="10">
        <f>C79-C78</f>
        <v/>
      </c>
    </row>
  </sheetData>
  <mergeCells count="11">
    <mergeCell ref="B7:J7"/>
    <mergeCell ref="B25:J25"/>
    <mergeCell ref="B3:J3"/>
    <mergeCell ref="B5:J5"/>
    <mergeCell ref="B20:J20"/>
    <mergeCell ref="B1:J1"/>
    <mergeCell ref="B57:J57"/>
    <mergeCell ref="B49:J49"/>
    <mergeCell ref="B77:J77"/>
    <mergeCell ref="B2:J2"/>
    <mergeCell ref="B64:J6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6805 Sayres Ave., Marrero, LA  |  EIN: 82-2324040  |  FYE: 12/31/2024</t>
        </is>
      </c>
    </row>
    <row r="3" ht="15" customHeight="1">
      <c r="B3" s="11" t="inlineStr">
        <is>
          <t>Property: 6805 Sayres  |  Units: 32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769.54</v>
      </c>
      <c r="D8" s="14" t="n">
        <v>769.54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1073.38</v>
      </c>
      <c r="D9" s="14" t="n">
        <v>1073.38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1525.14</v>
      </c>
      <c r="D10" s="14" t="n">
        <v>1525.14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391.94</v>
      </c>
      <c r="D11" s="14" t="n">
        <v>391.94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399.45</v>
      </c>
      <c r="D12" s="14" t="n">
        <v>399.45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33.34</v>
      </c>
      <c r="D13" s="14" t="n">
        <v>33.34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21.93</v>
      </c>
      <c r="D14" s="14" t="n">
        <v>21.93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569.4</v>
      </c>
      <c r="D15" s="14" t="n">
        <v>569.4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233.79</v>
      </c>
      <c r="D16" s="14" t="n">
        <v>233.79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623.4400000000001</v>
      </c>
      <c r="D17" s="14" t="n">
        <v>623.4400000000001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123.66</v>
      </c>
      <c r="D18" s="14" t="n">
        <v>123.66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624.5599999999999</v>
      </c>
      <c r="D19" s="14" t="n">
        <v>624.5599999999999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462.21</v>
      </c>
      <c r="D21" s="14" t="n">
        <v>0</v>
      </c>
      <c r="E21" s="14" t="n">
        <v>0</v>
      </c>
      <c r="F21" s="14" t="n">
        <v>462.21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179.88</v>
      </c>
      <c r="D22" s="14" t="n">
        <v>0</v>
      </c>
      <c r="E22" s="14" t="n">
        <v>0</v>
      </c>
      <c r="F22" s="14" t="n">
        <v>179.88</v>
      </c>
      <c r="G22" s="14" t="n">
        <v>0</v>
      </c>
    </row>
    <row r="23" ht="15" customHeight="1">
      <c r="B23" s="13" t="inlineStr">
        <is>
          <t>Landscaping</t>
        </is>
      </c>
      <c r="C23" s="14" t="n">
        <v>16.47</v>
      </c>
      <c r="D23" s="14" t="n">
        <v>0</v>
      </c>
      <c r="E23" s="14" t="n">
        <v>0</v>
      </c>
      <c r="F23" s="14" t="n">
        <v>16.47</v>
      </c>
      <c r="G23" s="14" t="n">
        <v>0</v>
      </c>
    </row>
    <row r="24" ht="15" customHeight="1">
      <c r="B24" s="13" t="inlineStr">
        <is>
          <t>Exterior Equipment Concrete Pads</t>
        </is>
      </c>
      <c r="C24" s="14" t="n">
        <v>38.5</v>
      </c>
      <c r="D24" s="14" t="n">
        <v>0</v>
      </c>
      <c r="E24" s="14" t="n">
        <v>0</v>
      </c>
      <c r="F24" s="14" t="n">
        <v>38.5</v>
      </c>
      <c r="G24" s="14" t="n">
        <v>0</v>
      </c>
    </row>
    <row r="25" ht="15" customHeight="1">
      <c r="B25" s="13" t="inlineStr">
        <is>
          <t>Mailboxes</t>
        </is>
      </c>
      <c r="C25" s="14" t="n">
        <v>23.87</v>
      </c>
      <c r="D25" s="14" t="n">
        <v>0</v>
      </c>
      <c r="E25" s="14" t="n">
        <v>0</v>
      </c>
      <c r="F25" s="14" t="n">
        <v>23.87</v>
      </c>
      <c r="G25" s="14" t="n">
        <v>0</v>
      </c>
    </row>
    <row r="26" ht="15" customHeight="1">
      <c r="B26" s="12" t="inlineStr">
        <is>
          <t>Building Structure</t>
        </is>
      </c>
    </row>
    <row r="27" ht="15" customHeight="1">
      <c r="B27" s="13" t="inlineStr">
        <is>
          <t>Roofing Systems</t>
        </is>
      </c>
      <c r="C27" s="14" t="n">
        <v>2692.77</v>
      </c>
      <c r="D27" s="14" t="n">
        <v>0</v>
      </c>
      <c r="E27" s="14" t="n">
        <v>0</v>
      </c>
      <c r="F27" s="14" t="n">
        <v>0</v>
      </c>
      <c r="G27" s="14" t="n">
        <v>2692.77</v>
      </c>
    </row>
    <row r="28" ht="15" customHeight="1">
      <c r="B28" s="13" t="inlineStr">
        <is>
          <t>Foundations</t>
        </is>
      </c>
      <c r="C28" s="14" t="n">
        <v>4528.89</v>
      </c>
      <c r="D28" s="14" t="n">
        <v>0</v>
      </c>
      <c r="E28" s="14" t="n">
        <v>0</v>
      </c>
      <c r="F28" s="14" t="n">
        <v>0</v>
      </c>
      <c r="G28" s="14" t="n">
        <v>4528.89</v>
      </c>
    </row>
    <row r="29" ht="15" customHeight="1">
      <c r="B29" s="13" t="inlineStr">
        <is>
          <t>HVAC</t>
        </is>
      </c>
      <c r="C29" s="14" t="n">
        <v>2401.76</v>
      </c>
      <c r="D29" s="14" t="n">
        <v>0</v>
      </c>
      <c r="E29" s="14" t="n">
        <v>0</v>
      </c>
      <c r="F29" s="14" t="n">
        <v>0</v>
      </c>
      <c r="G29" s="14" t="n">
        <v>2401.76</v>
      </c>
    </row>
    <row r="30" ht="15" customHeight="1">
      <c r="B30" s="13" t="inlineStr">
        <is>
          <t>Electrical</t>
        </is>
      </c>
      <c r="C30" s="14" t="n">
        <v>2545.73</v>
      </c>
      <c r="D30" s="14" t="n">
        <v>0</v>
      </c>
      <c r="E30" s="14" t="n">
        <v>0</v>
      </c>
      <c r="F30" s="14" t="n">
        <v>0</v>
      </c>
      <c r="G30" s="14" t="n">
        <v>2545.73</v>
      </c>
    </row>
    <row r="31" ht="15" customHeight="1">
      <c r="B31" s="13" t="inlineStr">
        <is>
          <t>Plumbing</t>
        </is>
      </c>
      <c r="C31" s="14" t="n">
        <v>2116.83</v>
      </c>
      <c r="D31" s="14" t="n">
        <v>0</v>
      </c>
      <c r="E31" s="14" t="n">
        <v>0</v>
      </c>
      <c r="F31" s="14" t="n">
        <v>0</v>
      </c>
      <c r="G31" s="14" t="n">
        <v>2116.83</v>
      </c>
    </row>
    <row r="32" ht="15" customHeight="1">
      <c r="B32" s="13" t="inlineStr">
        <is>
          <t>Fire Protection &amp; Alarm</t>
        </is>
      </c>
      <c r="C32" s="14" t="n">
        <v>133.07</v>
      </c>
      <c r="D32" s="14" t="n">
        <v>0</v>
      </c>
      <c r="E32" s="14" t="n">
        <v>0</v>
      </c>
      <c r="F32" s="14" t="n">
        <v>0</v>
      </c>
      <c r="G32" s="14" t="n">
        <v>133.07</v>
      </c>
    </row>
    <row r="33" ht="15" customHeight="1">
      <c r="B33" s="13" t="inlineStr">
        <is>
          <t>Exterior Façade / Building Skin</t>
        </is>
      </c>
      <c r="C33" s="14" t="n">
        <v>2525.75</v>
      </c>
      <c r="D33" s="14" t="n">
        <v>0</v>
      </c>
      <c r="E33" s="14" t="n">
        <v>0</v>
      </c>
      <c r="F33" s="14" t="n">
        <v>0</v>
      </c>
      <c r="G33" s="14" t="n">
        <v>2525.75</v>
      </c>
    </row>
    <row r="34" ht="15" customHeight="1">
      <c r="B34" s="13" t="inlineStr">
        <is>
          <t>Doors &amp; Frames</t>
        </is>
      </c>
      <c r="C34" s="14" t="n">
        <v>1588.26</v>
      </c>
      <c r="D34" s="14" t="n">
        <v>0</v>
      </c>
      <c r="E34" s="14" t="n">
        <v>0</v>
      </c>
      <c r="F34" s="14" t="n">
        <v>0</v>
      </c>
      <c r="G34" s="14" t="n">
        <v>1588.26</v>
      </c>
    </row>
    <row r="35" ht="15" customHeight="1">
      <c r="B35" s="13" t="inlineStr">
        <is>
          <t>Windows</t>
        </is>
      </c>
      <c r="C35" s="14" t="n">
        <v>1402.38</v>
      </c>
      <c r="D35" s="14" t="n">
        <v>0</v>
      </c>
      <c r="E35" s="14" t="n">
        <v>0</v>
      </c>
      <c r="F35" s="14" t="n">
        <v>0</v>
      </c>
      <c r="G35" s="14" t="n">
        <v>1402.38</v>
      </c>
    </row>
    <row r="36" ht="15" customHeight="1">
      <c r="B36" s="13" t="inlineStr">
        <is>
          <t>Ceiling Systems</t>
        </is>
      </c>
      <c r="C36" s="14" t="n">
        <v>1255.57</v>
      </c>
      <c r="D36" s="14" t="n">
        <v>0</v>
      </c>
      <c r="E36" s="14" t="n">
        <v>0</v>
      </c>
      <c r="F36" s="14" t="n">
        <v>0</v>
      </c>
      <c r="G36" s="14" t="n">
        <v>1255.57</v>
      </c>
    </row>
    <row r="37" ht="15" customHeight="1">
      <c r="B37" s="13" t="inlineStr">
        <is>
          <t>Interior Framing / Partitions</t>
        </is>
      </c>
      <c r="C37" s="14" t="n">
        <v>5166.35</v>
      </c>
      <c r="D37" s="14" t="n">
        <v>0</v>
      </c>
      <c r="E37" s="14" t="n">
        <v>0</v>
      </c>
      <c r="F37" s="14" t="n">
        <v>0</v>
      </c>
      <c r="G37" s="14" t="n">
        <v>5166.35</v>
      </c>
    </row>
    <row r="38" ht="15" customHeight="1">
      <c r="B38" s="13" t="inlineStr">
        <is>
          <t>Painting</t>
        </is>
      </c>
      <c r="C38" s="14" t="n">
        <v>1609.06</v>
      </c>
      <c r="D38" s="14" t="n">
        <v>0</v>
      </c>
      <c r="E38" s="14" t="n">
        <v>0</v>
      </c>
      <c r="F38" s="14" t="n">
        <v>0</v>
      </c>
      <c r="G38" s="14" t="n">
        <v>1609.06</v>
      </c>
    </row>
    <row r="39" ht="15" customHeight="1">
      <c r="B39" s="13" t="inlineStr">
        <is>
          <t>Gutter Systems</t>
        </is>
      </c>
      <c r="C39" s="14" t="n">
        <v>510.29</v>
      </c>
      <c r="D39" s="14" t="n">
        <v>0</v>
      </c>
      <c r="E39" s="14" t="n">
        <v>0</v>
      </c>
      <c r="F39" s="14" t="n">
        <v>0</v>
      </c>
      <c r="G39" s="14" t="n">
        <v>510.29</v>
      </c>
    </row>
    <row r="40" ht="15" customHeight="1">
      <c r="B40" s="13" t="inlineStr">
        <is>
          <t>Structural Framing</t>
        </is>
      </c>
      <c r="C40" s="14" t="n">
        <v>4954.03</v>
      </c>
      <c r="D40" s="14" t="n">
        <v>0</v>
      </c>
      <c r="E40" s="14" t="n">
        <v>0</v>
      </c>
      <c r="F40" s="14" t="n">
        <v>0</v>
      </c>
      <c r="G40" s="14" t="n">
        <v>4954.03</v>
      </c>
    </row>
    <row r="41" ht="15" customHeight="1">
      <c r="B41" s="13" t="inlineStr">
        <is>
          <t>Site Utilities</t>
        </is>
      </c>
      <c r="C41" s="14" t="n">
        <v>363.68</v>
      </c>
      <c r="D41" s="14" t="n">
        <v>0</v>
      </c>
      <c r="E41" s="14" t="n">
        <v>0</v>
      </c>
      <c r="F41" s="14" t="n">
        <v>0</v>
      </c>
      <c r="G41" s="14" t="n">
        <v>363.68</v>
      </c>
    </row>
    <row r="42" ht="15" customHeight="1">
      <c r="B42" s="13" t="inlineStr">
        <is>
          <t>Garage Doors</t>
        </is>
      </c>
      <c r="C42" s="14" t="n">
        <v>439.55</v>
      </c>
      <c r="D42" s="14" t="n">
        <v>0</v>
      </c>
      <c r="E42" s="14" t="n">
        <v>0</v>
      </c>
      <c r="F42" s="14" t="n">
        <v>0</v>
      </c>
      <c r="G42" s="14" t="n">
        <v>439.55</v>
      </c>
    </row>
    <row r="43" ht="15" customHeight="1">
      <c r="B43" s="13" t="inlineStr">
        <is>
          <t>Flooring - Sealed Concrete</t>
        </is>
      </c>
      <c r="C43" s="14" t="n">
        <v>58.21</v>
      </c>
      <c r="D43" s="14" t="n">
        <v>0</v>
      </c>
      <c r="E43" s="14" t="n">
        <v>0</v>
      </c>
      <c r="F43" s="14" t="n">
        <v>0</v>
      </c>
      <c r="G43" s="14" t="n">
        <v>58.21</v>
      </c>
    </row>
    <row r="44" ht="15" customHeight="1">
      <c r="B44" s="13" t="inlineStr">
        <is>
          <t>Bathroom Accessories</t>
        </is>
      </c>
      <c r="C44" s="14" t="n">
        <v>517.5700000000001</v>
      </c>
      <c r="D44" s="14" t="n">
        <v>0</v>
      </c>
      <c r="E44" s="14" t="n">
        <v>0</v>
      </c>
      <c r="F44" s="14" t="n">
        <v>0</v>
      </c>
      <c r="G44" s="14" t="n">
        <v>517.5700000000001</v>
      </c>
    </row>
    <row r="45" ht="15" customHeight="1">
      <c r="B45" s="13" t="inlineStr">
        <is>
          <t>Ceramic Tile Flooring</t>
        </is>
      </c>
      <c r="C45" s="14" t="n">
        <v>365.76</v>
      </c>
      <c r="D45" s="14" t="n">
        <v>0</v>
      </c>
      <c r="E45" s="14" t="n">
        <v>0</v>
      </c>
      <c r="F45" s="14" t="n">
        <v>0</v>
      </c>
      <c r="G45" s="14" t="n">
        <v>365.76</v>
      </c>
    </row>
    <row r="46" ht="15" customHeight="1">
      <c r="B46" s="13" t="inlineStr">
        <is>
          <t>Cabinets / Millwork - Restrooms</t>
        </is>
      </c>
      <c r="C46" s="14" t="n">
        <v>304.95</v>
      </c>
      <c r="D46" s="14" t="n">
        <v>0</v>
      </c>
      <c r="E46" s="14" t="n">
        <v>0</v>
      </c>
      <c r="F46" s="14" t="n">
        <v>0</v>
      </c>
      <c r="G46" s="14" t="n">
        <v>304.95</v>
      </c>
    </row>
    <row r="47" ht="15" customHeight="1">
      <c r="B47" s="15" t="inlineStr">
        <is>
          <t>Total Building Cost</t>
        </is>
      </c>
      <c r="C47" s="16">
        <f>SUM(C8:C46)</f>
        <v/>
      </c>
      <c r="D47" s="16">
        <f>SUM(D8:D46)</f>
        <v/>
      </c>
      <c r="E47" s="16">
        <f>SUM(E8:E46)</f>
        <v/>
      </c>
      <c r="F47" s="16">
        <f>SUM(F8:F46)</f>
        <v/>
      </c>
      <c r="G47" s="16">
        <f>SUM(G8:G46)</f>
        <v/>
      </c>
    </row>
    <row r="48" ht="15" customHeight="1">
      <c r="B48" s="7" t="inlineStr">
        <is>
          <t>% of Building Cost</t>
        </is>
      </c>
      <c r="D48" s="17">
        <f>D47/C47</f>
        <v/>
      </c>
      <c r="E48" s="17">
        <f>E47/C47</f>
        <v/>
      </c>
      <c r="F48" s="17">
        <f>F47/C47</f>
        <v/>
      </c>
      <c r="G48" s="17">
        <f>G47/C47</f>
        <v/>
      </c>
    </row>
    <row r="50" ht="15" customHeight="1">
      <c r="B50" s="3" t="inlineStr">
        <is>
          <t>ASSET ALLOCATION</t>
        </is>
      </c>
    </row>
    <row r="51" ht="15" customHeight="1">
      <c r="A51" s="1" t="inlineStr"/>
      <c r="B51" s="1" t="inlineStr">
        <is>
          <t>Asset Description</t>
        </is>
      </c>
      <c r="C51" s="1" t="inlineStr">
        <is>
          <t>Total Cost</t>
        </is>
      </c>
      <c r="D51" s="1" t="inlineStr">
        <is>
          <t>5-Year</t>
        </is>
      </c>
      <c r="E51" s="1" t="inlineStr">
        <is>
          <t>7-Year</t>
        </is>
      </c>
      <c r="F51" s="1" t="inlineStr">
        <is>
          <t>15-Year</t>
        </is>
      </c>
      <c r="G51" s="1" t="inlineStr">
        <is>
          <t>27.5-Year</t>
        </is>
      </c>
      <c r="H51" s="1" t="inlineStr"/>
      <c r="I51" s="1" t="inlineStr"/>
      <c r="J51" s="1" t="inlineStr"/>
    </row>
    <row r="52" ht="15" customHeight="1">
      <c r="B52" s="13" t="inlineStr">
        <is>
          <t>Asset # 22-Land Improvements - Gentry</t>
        </is>
      </c>
      <c r="C52" s="14" t="n">
        <v>40887.04</v>
      </c>
      <c r="D52" s="14" t="n">
        <v>6133.76</v>
      </c>
      <c r="E52" s="14" t="n">
        <v>0</v>
      </c>
      <c r="F52" s="14" t="n">
        <v>692.16</v>
      </c>
      <c r="G52" s="14" t="n">
        <v>34061.12</v>
      </c>
    </row>
    <row r="53" ht="15" customHeight="1">
      <c r="B53" s="13" t="inlineStr">
        <is>
          <t>Asset # 23-Building - Gentry</t>
        </is>
      </c>
      <c r="C53" s="14" t="n">
        <v>1131216.32</v>
      </c>
      <c r="D53" s="14" t="n">
        <v>169707.2</v>
      </c>
      <c r="E53" s="14" t="n">
        <v>0</v>
      </c>
      <c r="F53" s="14" t="n">
        <v>19147.84</v>
      </c>
      <c r="G53" s="14" t="n">
        <v>942361.28</v>
      </c>
    </row>
    <row r="54" ht="15" customHeight="1">
      <c r="B54" s="13" t="inlineStr">
        <is>
          <t>Asset # 24-Equipment - Gentry</t>
        </is>
      </c>
      <c r="C54" s="14" t="n">
        <v>190807.36</v>
      </c>
      <c r="D54" s="14" t="n">
        <v>28625.28</v>
      </c>
      <c r="E54" s="14" t="n">
        <v>0</v>
      </c>
      <c r="F54" s="14" t="n">
        <v>3229.76</v>
      </c>
      <c r="G54" s="14" t="n">
        <v>158952.32</v>
      </c>
    </row>
    <row r="55" ht="15" customHeight="1">
      <c r="B55" s="15" t="inlineStr">
        <is>
          <t>Total Allocation</t>
        </is>
      </c>
      <c r="C55" s="16">
        <f>SUM(C52:C54)</f>
        <v/>
      </c>
      <c r="D55" s="16">
        <f>SUM(D52:D54)</f>
        <v/>
      </c>
      <c r="E55" s="16">
        <f>SUM(E52:E54)</f>
        <v/>
      </c>
      <c r="F55" s="16">
        <f>SUM(F52:F54)</f>
        <v/>
      </c>
      <c r="G55" s="16">
        <f>SUM(G52:G54)</f>
        <v/>
      </c>
    </row>
    <row r="56" ht="15" customHeight="1">
      <c r="B56" s="9" t="inlineStr">
        <is>
          <t>TOTALS (Verification)</t>
        </is>
      </c>
      <c r="C56" s="10">
        <f>SUM(C52:C54)</f>
        <v/>
      </c>
      <c r="D56" s="10">
        <f>SUM(D52:D54)</f>
        <v/>
      </c>
      <c r="E56" s="10">
        <f>SUM(E52:E54)</f>
        <v/>
      </c>
      <c r="F56" s="10">
        <f>SUM(F52:F54)</f>
        <v/>
      </c>
      <c r="G56" s="10">
        <f>SUM(G52:G54)</f>
        <v/>
      </c>
    </row>
    <row r="58" ht="15" customHeight="1">
      <c r="B58" s="1" t="inlineStr">
        <is>
          <t>DEPRECIATION SCHEDULE — AS PREVIOUSLY FILED</t>
        </is>
      </c>
    </row>
    <row r="59" ht="28" customHeight="1">
      <c r="A59" s="18" t="inlineStr"/>
      <c r="B59" s="18" t="inlineStr">
        <is>
          <t>Property Description</t>
        </is>
      </c>
      <c r="C59" s="18" t="inlineStr">
        <is>
          <t>Tax Cost</t>
        </is>
      </c>
      <c r="D59" s="18" t="inlineStr">
        <is>
          <t>Tax Bonus Amt</t>
        </is>
      </c>
      <c r="E59" s="18" t="inlineStr">
        <is>
          <t>Tax Prior Depr</t>
        </is>
      </c>
      <c r="F59" s="18" t="inlineStr">
        <is>
          <t>Tax Current Depr</t>
        </is>
      </c>
      <c r="G59" s="18" t="inlineStr">
        <is>
          <t>Tax End Depr</t>
        </is>
      </c>
      <c r="H59" s="18" t="inlineStr">
        <is>
          <t>Tax Net Book Value</t>
        </is>
      </c>
      <c r="I59" s="18" t="inlineStr">
        <is>
          <t>Tax Method</t>
        </is>
      </c>
      <c r="J59" s="18" t="inlineStr">
        <is>
          <t>Tax Period</t>
        </is>
      </c>
    </row>
    <row r="60" ht="15" customHeight="1">
      <c r="B60" s="13" t="inlineStr">
        <is>
          <t>22 - Land Improvements - Gentry</t>
        </is>
      </c>
      <c r="C60" s="14" t="n">
        <v>40887</v>
      </c>
      <c r="D60" s="14" t="n">
        <v>0</v>
      </c>
      <c r="E60" s="14" t="n">
        <v>40887</v>
      </c>
      <c r="F60" s="14" t="n">
        <v>0</v>
      </c>
      <c r="G60" s="14" t="n">
        <v>40887</v>
      </c>
      <c r="H60" s="14" t="n">
        <v>0</v>
      </c>
      <c r="I60" s="19" t="inlineStr">
        <is>
          <t>150DB</t>
        </is>
      </c>
      <c r="J60" s="20" t="n">
        <v>15</v>
      </c>
    </row>
    <row r="61" ht="15" customHeight="1">
      <c r="B61" s="13" t="inlineStr">
        <is>
          <t>23 - Building - Gentry</t>
        </is>
      </c>
      <c r="C61" s="14" t="n">
        <v>1131216</v>
      </c>
      <c r="D61" s="14" t="n">
        <v>0</v>
      </c>
      <c r="E61" s="14" t="n">
        <v>245097.45</v>
      </c>
      <c r="F61" s="14" t="n">
        <v>41135.17</v>
      </c>
      <c r="G61" s="14" t="n">
        <v>286232.62</v>
      </c>
      <c r="H61" s="14" t="n">
        <v>844983.38</v>
      </c>
      <c r="I61" s="19" t="inlineStr">
        <is>
          <t>S/L</t>
        </is>
      </c>
      <c r="J61" s="20" t="n">
        <v>27.5</v>
      </c>
    </row>
    <row r="62" ht="15" customHeight="1">
      <c r="B62" s="13" t="inlineStr">
        <is>
          <t>24 - Equipment - Gentry</t>
        </is>
      </c>
      <c r="C62" s="14" t="n">
        <v>190807</v>
      </c>
      <c r="D62" s="14" t="n">
        <v>0</v>
      </c>
      <c r="E62" s="14" t="n">
        <v>190807</v>
      </c>
      <c r="F62" s="14" t="n">
        <v>0</v>
      </c>
      <c r="G62" s="14" t="n">
        <v>190807</v>
      </c>
      <c r="H62" s="14" t="n">
        <v>0</v>
      </c>
      <c r="I62" s="19" t="inlineStr">
        <is>
          <t>200DB</t>
        </is>
      </c>
      <c r="J62" s="20" t="n">
        <v>5</v>
      </c>
    </row>
    <row r="63" ht="15" customHeight="1">
      <c r="B63" s="15" t="inlineStr">
        <is>
          <t>Grand Total</t>
        </is>
      </c>
      <c r="C63" s="16">
        <f>SUM(C60:C62)</f>
        <v/>
      </c>
      <c r="D63" s="16">
        <f>SUM(D60:D62)</f>
        <v/>
      </c>
      <c r="E63" s="16">
        <f>SUM(E60:E62)</f>
        <v/>
      </c>
      <c r="F63" s="16">
        <f>SUM(F60:F62)</f>
        <v/>
      </c>
      <c r="G63" s="16">
        <f>SUM(G60:G62)</f>
        <v/>
      </c>
      <c r="H63" s="16">
        <f>SUM(H60:H62)</f>
        <v/>
      </c>
    </row>
    <row r="65" ht="15" customHeight="1">
      <c r="B65" s="1" t="inlineStr">
        <is>
          <t>DEPRECIATION SCHEDULE — AFTER COST SEGREGATION CORRECTION</t>
        </is>
      </c>
    </row>
    <row r="66" ht="28" customHeight="1">
      <c r="A66" s="18" t="inlineStr"/>
      <c r="B66" s="18" t="inlineStr">
        <is>
          <t>Property Description</t>
        </is>
      </c>
      <c r="C66" s="18" t="inlineStr">
        <is>
          <t>Tax Cost</t>
        </is>
      </c>
      <c r="D66" s="18" t="inlineStr">
        <is>
          <t>Tax Bonus Amt</t>
        </is>
      </c>
      <c r="E66" s="18" t="inlineStr">
        <is>
          <t>Tax Prior Depr</t>
        </is>
      </c>
      <c r="F66" s="18" t="inlineStr">
        <is>
          <t>Tax Current Depr</t>
        </is>
      </c>
      <c r="G66" s="18" t="inlineStr">
        <is>
          <t>Tax End Depr</t>
        </is>
      </c>
      <c r="H66" s="18" t="inlineStr">
        <is>
          <t>Tax Net Book Value</t>
        </is>
      </c>
      <c r="I66" s="18" t="inlineStr">
        <is>
          <t>Tax Method</t>
        </is>
      </c>
      <c r="J66" s="18" t="inlineStr">
        <is>
          <t>Tax Period</t>
        </is>
      </c>
    </row>
    <row r="67" ht="15" customHeight="1">
      <c r="B67" s="13" t="inlineStr">
        <is>
          <t>22 - Land Improvements - Gentry - 5yr</t>
        </is>
      </c>
      <c r="C67" s="14" t="n">
        <v>6134</v>
      </c>
      <c r="D67" s="14" t="n">
        <v>0</v>
      </c>
      <c r="E67" s="14" t="n">
        <v>6134</v>
      </c>
      <c r="F67" s="14" t="n">
        <v>6134</v>
      </c>
      <c r="G67" s="14" t="n">
        <v>6134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22 - Land Improvements - Gentry - 15yr</t>
        </is>
      </c>
      <c r="C68" s="14" t="n">
        <v>692</v>
      </c>
      <c r="D68" s="14" t="n">
        <v>0</v>
      </c>
      <c r="E68" s="14" t="n">
        <v>692</v>
      </c>
      <c r="F68" s="14" t="n">
        <v>692</v>
      </c>
      <c r="G68" s="14" t="n">
        <v>692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22 - Land Improvements - Gentry - 27.5yr</t>
        </is>
      </c>
      <c r="C69" s="14" t="n">
        <v>34061</v>
      </c>
      <c r="D69" s="14" t="n">
        <v>0</v>
      </c>
      <c r="E69" s="14" t="n">
        <v>0</v>
      </c>
      <c r="F69" s="14" t="n">
        <v>7379.87</v>
      </c>
      <c r="G69" s="14" t="n">
        <v>8618.450000000001</v>
      </c>
      <c r="H69" s="14" t="n">
        <v>25442.55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23 - Building - Gentry - 5yr</t>
        </is>
      </c>
      <c r="C70" s="14" t="n">
        <v>169707</v>
      </c>
      <c r="D70" s="14" t="n">
        <v>0</v>
      </c>
      <c r="E70" s="14" t="n">
        <v>169707</v>
      </c>
      <c r="F70" s="14" t="n">
        <v>169707</v>
      </c>
      <c r="G70" s="14" t="n">
        <v>169707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23 - Building - Gentry - 15yr</t>
        </is>
      </c>
      <c r="C71" s="14" t="n">
        <v>19148</v>
      </c>
      <c r="D71" s="14" t="n">
        <v>0</v>
      </c>
      <c r="E71" s="14" t="n">
        <v>19148</v>
      </c>
      <c r="F71" s="14" t="n">
        <v>19148</v>
      </c>
      <c r="G71" s="14" t="n">
        <v>19148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23 - Building - Gentry - 27.5yr</t>
        </is>
      </c>
      <c r="C72" s="14" t="n">
        <v>942361</v>
      </c>
      <c r="D72" s="14" t="n">
        <v>0</v>
      </c>
      <c r="E72" s="14" t="n">
        <v>0</v>
      </c>
      <c r="F72" s="14" t="n">
        <v>204178.2</v>
      </c>
      <c r="G72" s="14" t="n">
        <v>238445.87</v>
      </c>
      <c r="H72" s="14" t="n">
        <v>703915.13</v>
      </c>
      <c r="I72" s="19" t="inlineStr">
        <is>
          <t>S/L</t>
        </is>
      </c>
      <c r="J72" s="20" t="n">
        <v>27.5</v>
      </c>
    </row>
    <row r="73" ht="15" customHeight="1">
      <c r="B73" s="13" t="inlineStr">
        <is>
          <t>24 - Equipment - Gentry - 5yr</t>
        </is>
      </c>
      <c r="C73" s="14" t="n">
        <v>28625</v>
      </c>
      <c r="D73" s="14" t="n">
        <v>0</v>
      </c>
      <c r="E73" s="14" t="n">
        <v>28625</v>
      </c>
      <c r="F73" s="14" t="n">
        <v>28625</v>
      </c>
      <c r="G73" s="14" t="n">
        <v>28625</v>
      </c>
      <c r="H73" s="14" t="n">
        <v>0</v>
      </c>
      <c r="I73" s="19" t="inlineStr">
        <is>
          <t>200DB</t>
        </is>
      </c>
      <c r="J73" s="20" t="n">
        <v>5</v>
      </c>
    </row>
    <row r="74" ht="15" customHeight="1">
      <c r="B74" s="13" t="inlineStr">
        <is>
          <t>24 - Equipment - Gentry - 15yr</t>
        </is>
      </c>
      <c r="C74" s="14" t="n">
        <v>3230</v>
      </c>
      <c r="D74" s="14" t="n">
        <v>0</v>
      </c>
      <c r="E74" s="14" t="n">
        <v>3230</v>
      </c>
      <c r="F74" s="14" t="n">
        <v>3230</v>
      </c>
      <c r="G74" s="14" t="n">
        <v>3230</v>
      </c>
      <c r="H74" s="14" t="n">
        <v>0</v>
      </c>
      <c r="I74" s="19" t="inlineStr">
        <is>
          <t>150DB</t>
        </is>
      </c>
      <c r="J74" s="20" t="n">
        <v>15</v>
      </c>
    </row>
    <row r="75" ht="15" customHeight="1">
      <c r="B75" s="13" t="inlineStr">
        <is>
          <t>24 - Equipment - Gentry - 27.5yr</t>
        </is>
      </c>
      <c r="C75" s="14" t="n">
        <v>158953</v>
      </c>
      <c r="D75" s="14" t="n">
        <v>0</v>
      </c>
      <c r="E75" s="14" t="n">
        <v>0</v>
      </c>
      <c r="F75" s="14" t="n">
        <v>34439.59</v>
      </c>
      <c r="G75" s="14" t="n">
        <v>40219.7</v>
      </c>
      <c r="H75" s="14" t="n">
        <v>118733.3</v>
      </c>
      <c r="I75" s="19" t="inlineStr">
        <is>
          <t>S/L</t>
        </is>
      </c>
      <c r="J75" s="20" t="n">
        <v>27.5</v>
      </c>
    </row>
    <row r="76" ht="15" customHeight="1">
      <c r="B76" s="15" t="inlineStr">
        <is>
          <t>Grand Total</t>
        </is>
      </c>
      <c r="C76" s="16">
        <f>SUM(C67:C75)</f>
        <v/>
      </c>
      <c r="D76" s="16">
        <f>SUM(D67:D75)</f>
        <v/>
      </c>
      <c r="E76" s="16">
        <f>SUM(E67:E75)</f>
        <v/>
      </c>
      <c r="F76" s="16">
        <f>SUM(F67:F75)</f>
        <v/>
      </c>
      <c r="G76" s="16">
        <f>SUM(G67:G75)</f>
        <v/>
      </c>
      <c r="H76" s="16">
        <f>SUM(H67:H75)</f>
        <v/>
      </c>
    </row>
    <row r="78" ht="15" customHeight="1">
      <c r="B78" s="1" t="inlineStr">
        <is>
          <t>SECTION 481(a) ADJUSTMENT</t>
        </is>
      </c>
    </row>
    <row r="79" ht="15" customHeight="1">
      <c r="B79" s="13" t="inlineStr">
        <is>
          <t>Depreciation Previously Reported</t>
        </is>
      </c>
      <c r="C79" s="14" t="n">
        <v>517926.62</v>
      </c>
    </row>
    <row r="80" ht="15" customHeight="1">
      <c r="B80" s="13" t="inlineStr">
        <is>
          <t>Cost Segregation Corrected Depreciation</t>
        </is>
      </c>
      <c r="C80" s="14" t="n">
        <v>514820.02</v>
      </c>
    </row>
    <row r="81" ht="15" customHeight="1">
      <c r="B81" s="9" t="inlineStr">
        <is>
          <t>Section 481(a) Adjustment</t>
        </is>
      </c>
      <c r="C81" s="10">
        <f>C80-C79</f>
        <v/>
      </c>
    </row>
  </sheetData>
  <mergeCells count="11">
    <mergeCell ref="B7:J7"/>
    <mergeCell ref="B3:J3"/>
    <mergeCell ref="B5:J5"/>
    <mergeCell ref="B20:J20"/>
    <mergeCell ref="B50:J50"/>
    <mergeCell ref="B26:J26"/>
    <mergeCell ref="B1:J1"/>
    <mergeCell ref="B65:J65"/>
    <mergeCell ref="B58:J58"/>
    <mergeCell ref="B2:J2"/>
    <mergeCell ref="B78:J7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6800 Sayres Ave., Marrero, LA  |  EIN: 82-2324040  |  FYE: 12/31/2024</t>
        </is>
      </c>
    </row>
    <row r="3" ht="15" customHeight="1">
      <c r="B3" s="11" t="inlineStr">
        <is>
          <t>Property: 6800 Sayres  |  Units: 6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835.76</v>
      </c>
      <c r="D8" s="14" t="n">
        <v>835.76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712.35</v>
      </c>
      <c r="D9" s="14" t="n">
        <v>712.35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Carpet</t>
        </is>
      </c>
      <c r="C10" s="14" t="n">
        <v>1187.54</v>
      </c>
      <c r="D10" s="14" t="n">
        <v>1187.54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Flooring - Wood Laminate</t>
        </is>
      </c>
      <c r="C11" s="14" t="n">
        <v>1052.42</v>
      </c>
      <c r="D11" s="14" t="n">
        <v>1052.42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Security System</t>
        </is>
      </c>
      <c r="C12" s="14" t="n">
        <v>530.5</v>
      </c>
      <c r="D12" s="14" t="n">
        <v>530.5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Window Treatments</t>
        </is>
      </c>
      <c r="C13" s="14" t="n">
        <v>622.76</v>
      </c>
      <c r="D13" s="14" t="n">
        <v>622.76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Specialty HVAC - Dryer Vents</t>
        </is>
      </c>
      <c r="C14" s="14" t="n">
        <v>33.34</v>
      </c>
      <c r="D14" s="14" t="n">
        <v>33.34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Building Signage</t>
        </is>
      </c>
      <c r="C15" s="14" t="n">
        <v>21.93</v>
      </c>
      <c r="D15" s="14" t="n">
        <v>21.93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Specialty Electrical - Appliances</t>
        </is>
      </c>
      <c r="C16" s="14" t="n">
        <v>569.4</v>
      </c>
      <c r="D16" s="14" t="n">
        <v>569.4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Communication / Data</t>
        </is>
      </c>
      <c r="C17" s="14" t="n">
        <v>284.9</v>
      </c>
      <c r="D17" s="14" t="n">
        <v>284.9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Specialty Plumbing - Kitchen Sink / Laundry</t>
        </is>
      </c>
      <c r="C18" s="14" t="n">
        <v>623.4400000000001</v>
      </c>
      <c r="D18" s="14" t="n">
        <v>623.4400000000001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Security / Exterior Lighting</t>
        </is>
      </c>
      <c r="C19" s="14" t="n">
        <v>123.66</v>
      </c>
      <c r="D19" s="14" t="n">
        <v>123.66</v>
      </c>
      <c r="E19" s="14" t="n">
        <v>0</v>
      </c>
      <c r="F19" s="14" t="n">
        <v>0</v>
      </c>
      <c r="G19" s="14" t="n">
        <v>0</v>
      </c>
    </row>
    <row r="20" ht="15" customHeight="1">
      <c r="B20" s="13" t="inlineStr">
        <is>
          <t>Appliances</t>
        </is>
      </c>
      <c r="C20" s="14" t="n">
        <v>624.5599999999999</v>
      </c>
      <c r="D20" s="14" t="n">
        <v>624.5599999999999</v>
      </c>
      <c r="E20" s="14" t="n">
        <v>0</v>
      </c>
      <c r="F20" s="14" t="n">
        <v>0</v>
      </c>
      <c r="G20" s="14" t="n">
        <v>0</v>
      </c>
    </row>
    <row r="21" ht="15" customHeight="1">
      <c r="B21" s="12" t="inlineStr">
        <is>
          <t>Site Work / Improvements</t>
        </is>
      </c>
    </row>
    <row r="22" ht="15" customHeight="1">
      <c r="B22" s="13" t="inlineStr">
        <is>
          <t>Driveway</t>
        </is>
      </c>
      <c r="C22" s="14" t="n">
        <v>669.91</v>
      </c>
      <c r="D22" s="14" t="n">
        <v>0</v>
      </c>
      <c r="E22" s="14" t="n">
        <v>0</v>
      </c>
      <c r="F22" s="14" t="n">
        <v>669.91</v>
      </c>
      <c r="G22" s="14" t="n">
        <v>0</v>
      </c>
    </row>
    <row r="23" ht="15" customHeight="1">
      <c r="B23" s="13" t="inlineStr">
        <is>
          <t>Sidewalks / Curbs</t>
        </is>
      </c>
      <c r="C23" s="14" t="n">
        <v>276.49</v>
      </c>
      <c r="D23" s="14" t="n">
        <v>0</v>
      </c>
      <c r="E23" s="14" t="n">
        <v>0</v>
      </c>
      <c r="F23" s="14" t="n">
        <v>276.49</v>
      </c>
      <c r="G23" s="14" t="n">
        <v>0</v>
      </c>
    </row>
    <row r="24" ht="15" customHeight="1">
      <c r="B24" s="13" t="inlineStr">
        <is>
          <t>Landscaping</t>
        </is>
      </c>
      <c r="C24" s="14" t="n">
        <v>16.47</v>
      </c>
      <c r="D24" s="14" t="n">
        <v>0</v>
      </c>
      <c r="E24" s="14" t="n">
        <v>0</v>
      </c>
      <c r="F24" s="14" t="n">
        <v>16.47</v>
      </c>
      <c r="G24" s="14" t="n">
        <v>0</v>
      </c>
    </row>
    <row r="25" ht="15" customHeight="1">
      <c r="B25" s="13" t="inlineStr">
        <is>
          <t>Exterior Equipment Concrete Pads</t>
        </is>
      </c>
      <c r="C25" s="14" t="n">
        <v>38.5</v>
      </c>
      <c r="D25" s="14" t="n">
        <v>0</v>
      </c>
      <c r="E25" s="14" t="n">
        <v>0</v>
      </c>
      <c r="F25" s="14" t="n">
        <v>38.5</v>
      </c>
      <c r="G25" s="14" t="n">
        <v>0</v>
      </c>
    </row>
    <row r="26" ht="15" customHeight="1">
      <c r="B26" s="13" t="inlineStr">
        <is>
          <t>Mailboxes</t>
        </is>
      </c>
      <c r="C26" s="14" t="n">
        <v>23.87</v>
      </c>
      <c r="D26" s="14" t="n">
        <v>0</v>
      </c>
      <c r="E26" s="14" t="n">
        <v>0</v>
      </c>
      <c r="F26" s="14" t="n">
        <v>23.87</v>
      </c>
      <c r="G26" s="14" t="n">
        <v>0</v>
      </c>
    </row>
    <row r="27" ht="15" customHeight="1">
      <c r="B27" s="12" t="inlineStr">
        <is>
          <t>Building Structure</t>
        </is>
      </c>
    </row>
    <row r="28" ht="15" customHeight="1">
      <c r="B28" s="13" t="inlineStr">
        <is>
          <t>Roofing Systems</t>
        </is>
      </c>
      <c r="C28" s="14" t="n">
        <v>1690.23</v>
      </c>
      <c r="D28" s="14" t="n">
        <v>0</v>
      </c>
      <c r="E28" s="14" t="n">
        <v>0</v>
      </c>
      <c r="F28" s="14" t="n">
        <v>0</v>
      </c>
      <c r="G28" s="14" t="n">
        <v>1690.23</v>
      </c>
    </row>
    <row r="29" ht="15" customHeight="1">
      <c r="B29" s="13" t="inlineStr">
        <is>
          <t>Foundations</t>
        </is>
      </c>
      <c r="C29" s="14" t="n">
        <v>2714.92</v>
      </c>
      <c r="D29" s="14" t="n">
        <v>0</v>
      </c>
      <c r="E29" s="14" t="n">
        <v>0</v>
      </c>
      <c r="F29" s="14" t="n">
        <v>0</v>
      </c>
      <c r="G29" s="14" t="n">
        <v>2714.92</v>
      </c>
    </row>
    <row r="30" ht="15" customHeight="1">
      <c r="B30" s="13" t="inlineStr">
        <is>
          <t>HVAC</t>
        </is>
      </c>
      <c r="C30" s="14" t="n">
        <v>2934.13</v>
      </c>
      <c r="D30" s="14" t="n">
        <v>0</v>
      </c>
      <c r="E30" s="14" t="n">
        <v>0</v>
      </c>
      <c r="F30" s="14" t="n">
        <v>0</v>
      </c>
      <c r="G30" s="14" t="n">
        <v>2934.13</v>
      </c>
    </row>
    <row r="31" ht="15" customHeight="1">
      <c r="B31" s="13" t="inlineStr">
        <is>
          <t>Electrical</t>
        </is>
      </c>
      <c r="C31" s="14" t="n">
        <v>3148.18</v>
      </c>
      <c r="D31" s="14" t="n">
        <v>0</v>
      </c>
      <c r="E31" s="14" t="n">
        <v>0</v>
      </c>
      <c r="F31" s="14" t="n">
        <v>0</v>
      </c>
      <c r="G31" s="14" t="n">
        <v>3148.18</v>
      </c>
    </row>
    <row r="32" ht="15" customHeight="1">
      <c r="B32" s="13" t="inlineStr">
        <is>
          <t>Plumbing</t>
        </is>
      </c>
      <c r="C32" s="14" t="n">
        <v>2579.61</v>
      </c>
      <c r="D32" s="14" t="n">
        <v>0</v>
      </c>
      <c r="E32" s="14" t="n">
        <v>0</v>
      </c>
      <c r="F32" s="14" t="n">
        <v>0</v>
      </c>
      <c r="G32" s="14" t="n">
        <v>2579.61</v>
      </c>
    </row>
    <row r="33" ht="15" customHeight="1">
      <c r="B33" s="13" t="inlineStr">
        <is>
          <t>Fire Protection &amp; Alarm</t>
        </is>
      </c>
      <c r="C33" s="14" t="n">
        <v>199.61</v>
      </c>
      <c r="D33" s="14" t="n">
        <v>0</v>
      </c>
      <c r="E33" s="14" t="n">
        <v>0</v>
      </c>
      <c r="F33" s="14" t="n">
        <v>0</v>
      </c>
      <c r="G33" s="14" t="n">
        <v>199.61</v>
      </c>
    </row>
    <row r="34" ht="15" customHeight="1">
      <c r="B34" s="13" t="inlineStr">
        <is>
          <t>Exterior Façade / Building Skin</t>
        </is>
      </c>
      <c r="C34" s="14" t="n">
        <v>2160.08</v>
      </c>
      <c r="D34" s="14" t="n">
        <v>0</v>
      </c>
      <c r="E34" s="14" t="n">
        <v>0</v>
      </c>
      <c r="F34" s="14" t="n">
        <v>0</v>
      </c>
      <c r="G34" s="14" t="n">
        <v>2160.08</v>
      </c>
    </row>
    <row r="35" ht="15" customHeight="1">
      <c r="B35" s="13" t="inlineStr">
        <is>
          <t>Doors &amp; Frames</t>
        </is>
      </c>
      <c r="C35" s="14" t="n">
        <v>1998.37</v>
      </c>
      <c r="D35" s="14" t="n">
        <v>0</v>
      </c>
      <c r="E35" s="14" t="n">
        <v>0</v>
      </c>
      <c r="F35" s="14" t="n">
        <v>0</v>
      </c>
      <c r="G35" s="14" t="n">
        <v>1998.37</v>
      </c>
    </row>
    <row r="36" ht="15" customHeight="1">
      <c r="B36" s="13" t="inlineStr">
        <is>
          <t>Windows</t>
        </is>
      </c>
      <c r="C36" s="14" t="n">
        <v>1909.62</v>
      </c>
      <c r="D36" s="14" t="n">
        <v>0</v>
      </c>
      <c r="E36" s="14" t="n">
        <v>0</v>
      </c>
      <c r="F36" s="14" t="n">
        <v>0</v>
      </c>
      <c r="G36" s="14" t="n">
        <v>1909.62</v>
      </c>
    </row>
    <row r="37" ht="15" customHeight="1">
      <c r="B37" s="13" t="inlineStr">
        <is>
          <t>Ceiling Systems</t>
        </is>
      </c>
      <c r="C37" s="14" t="n">
        <v>1505.06</v>
      </c>
      <c r="D37" s="14" t="n">
        <v>0</v>
      </c>
      <c r="E37" s="14" t="n">
        <v>0</v>
      </c>
      <c r="F37" s="14" t="n">
        <v>0</v>
      </c>
      <c r="G37" s="14" t="n">
        <v>1505.06</v>
      </c>
    </row>
    <row r="38" ht="15" customHeight="1">
      <c r="B38" s="13" t="inlineStr">
        <is>
          <t>Interior Framing / Partitions</t>
        </is>
      </c>
      <c r="C38" s="14" t="n">
        <v>5656.78</v>
      </c>
      <c r="D38" s="14" t="n">
        <v>0</v>
      </c>
      <c r="E38" s="14" t="n">
        <v>0</v>
      </c>
      <c r="F38" s="14" t="n">
        <v>0</v>
      </c>
      <c r="G38" s="14" t="n">
        <v>5656.78</v>
      </c>
    </row>
    <row r="39" ht="15" customHeight="1">
      <c r="B39" s="13" t="inlineStr">
        <is>
          <t>Painting</t>
        </is>
      </c>
      <c r="C39" s="14" t="n">
        <v>1800.79</v>
      </c>
      <c r="D39" s="14" t="n">
        <v>0</v>
      </c>
      <c r="E39" s="14" t="n">
        <v>0</v>
      </c>
      <c r="F39" s="14" t="n">
        <v>0</v>
      </c>
      <c r="G39" s="14" t="n">
        <v>1800.79</v>
      </c>
    </row>
    <row r="40" ht="15" customHeight="1">
      <c r="B40" s="13" t="inlineStr">
        <is>
          <t>Gutter Systems</t>
        </is>
      </c>
      <c r="C40" s="14" t="n">
        <v>563.39</v>
      </c>
      <c r="D40" s="14" t="n">
        <v>0</v>
      </c>
      <c r="E40" s="14" t="n">
        <v>0</v>
      </c>
      <c r="F40" s="14" t="n">
        <v>0</v>
      </c>
      <c r="G40" s="14" t="n">
        <v>563.39</v>
      </c>
    </row>
    <row r="41" ht="15" customHeight="1">
      <c r="B41" s="13" t="inlineStr">
        <is>
          <t>Structural Framing</t>
        </is>
      </c>
      <c r="C41" s="14" t="n">
        <v>5028.83</v>
      </c>
      <c r="D41" s="14" t="n">
        <v>0</v>
      </c>
      <c r="E41" s="14" t="n">
        <v>0</v>
      </c>
      <c r="F41" s="14" t="n">
        <v>0</v>
      </c>
      <c r="G41" s="14" t="n">
        <v>5028.83</v>
      </c>
    </row>
    <row r="42" ht="15" customHeight="1">
      <c r="B42" s="13" t="inlineStr">
        <is>
          <t>Site Utilities</t>
        </is>
      </c>
      <c r="C42" s="14" t="n">
        <v>476.38</v>
      </c>
      <c r="D42" s="14" t="n">
        <v>0</v>
      </c>
      <c r="E42" s="14" t="n">
        <v>0</v>
      </c>
      <c r="F42" s="14" t="n">
        <v>0</v>
      </c>
      <c r="G42" s="14" t="n">
        <v>476.38</v>
      </c>
    </row>
    <row r="43" ht="15" customHeight="1">
      <c r="B43" s="13" t="inlineStr">
        <is>
          <t>Stairs / Balconies</t>
        </is>
      </c>
      <c r="C43" s="14" t="n">
        <v>845.9299999999999</v>
      </c>
      <c r="D43" s="14" t="n">
        <v>0</v>
      </c>
      <c r="E43" s="14" t="n">
        <v>0</v>
      </c>
      <c r="F43" s="14" t="n">
        <v>0</v>
      </c>
      <c r="G43" s="14" t="n">
        <v>845.9299999999999</v>
      </c>
    </row>
    <row r="44" ht="15" customHeight="1">
      <c r="B44" s="13" t="inlineStr">
        <is>
          <t>Garage Doors</t>
        </is>
      </c>
      <c r="C44" s="14" t="n">
        <v>439.55</v>
      </c>
      <c r="D44" s="14" t="n">
        <v>0</v>
      </c>
      <c r="E44" s="14" t="n">
        <v>0</v>
      </c>
      <c r="F44" s="14" t="n">
        <v>0</v>
      </c>
      <c r="G44" s="14" t="n">
        <v>439.55</v>
      </c>
    </row>
    <row r="45" ht="15" customHeight="1">
      <c r="B45" s="13" t="inlineStr">
        <is>
          <t>Flooring - Sealed Concrete</t>
        </is>
      </c>
      <c r="C45" s="14" t="n">
        <v>54.06</v>
      </c>
      <c r="D45" s="14" t="n">
        <v>0</v>
      </c>
      <c r="E45" s="14" t="n">
        <v>0</v>
      </c>
      <c r="F45" s="14" t="n">
        <v>0</v>
      </c>
      <c r="G45" s="14" t="n">
        <v>54.06</v>
      </c>
    </row>
    <row r="46" ht="15" customHeight="1">
      <c r="B46" s="13" t="inlineStr">
        <is>
          <t>Bathroom Accessories</t>
        </is>
      </c>
      <c r="C46" s="14" t="n">
        <v>517.5700000000001</v>
      </c>
      <c r="D46" s="14" t="n">
        <v>0</v>
      </c>
      <c r="E46" s="14" t="n">
        <v>0</v>
      </c>
      <c r="F46" s="14" t="n">
        <v>0</v>
      </c>
      <c r="G46" s="14" t="n">
        <v>517.5700000000001</v>
      </c>
    </row>
    <row r="47" ht="15" customHeight="1">
      <c r="B47" s="13" t="inlineStr">
        <is>
          <t>Ceramic Tile Flooring</t>
        </is>
      </c>
      <c r="C47" s="14" t="n">
        <v>81.28</v>
      </c>
      <c r="D47" s="14" t="n">
        <v>0</v>
      </c>
      <c r="E47" s="14" t="n">
        <v>0</v>
      </c>
      <c r="F47" s="14" t="n">
        <v>0</v>
      </c>
      <c r="G47" s="14" t="n">
        <v>81.28</v>
      </c>
    </row>
    <row r="48" ht="15" customHeight="1">
      <c r="B48" s="13" t="inlineStr">
        <is>
          <t>Cabinets / Millwork - Restrooms</t>
        </is>
      </c>
      <c r="C48" s="14" t="n">
        <v>308.22</v>
      </c>
      <c r="D48" s="14" t="n">
        <v>0</v>
      </c>
      <c r="E48" s="14" t="n">
        <v>0</v>
      </c>
      <c r="F48" s="14" t="n">
        <v>0</v>
      </c>
      <c r="G48" s="14" t="n">
        <v>308.22</v>
      </c>
    </row>
    <row r="49" ht="15" customHeight="1">
      <c r="B49" s="15" t="inlineStr">
        <is>
          <t>Total Building Cost</t>
        </is>
      </c>
      <c r="C49" s="16">
        <f>SUM(C8:C48)</f>
        <v/>
      </c>
      <c r="D49" s="16">
        <f>SUM(D8:D48)</f>
        <v/>
      </c>
      <c r="E49" s="16">
        <f>SUM(E8:E48)</f>
        <v/>
      </c>
      <c r="F49" s="16">
        <f>SUM(F8:F48)</f>
        <v/>
      </c>
      <c r="G49" s="16">
        <f>SUM(G8:G48)</f>
        <v/>
      </c>
    </row>
    <row r="50" ht="15" customHeight="1">
      <c r="B50" s="7" t="inlineStr">
        <is>
          <t>% of Building Cost</t>
        </is>
      </c>
      <c r="D50" s="17">
        <f>D49/C49</f>
        <v/>
      </c>
      <c r="E50" s="17">
        <f>E49/C49</f>
        <v/>
      </c>
      <c r="F50" s="17">
        <f>F49/C49</f>
        <v/>
      </c>
      <c r="G50" s="17">
        <f>G49/C49</f>
        <v/>
      </c>
    </row>
    <row r="52" ht="15" customHeight="1">
      <c r="B52" s="3" t="inlineStr">
        <is>
          <t>ASSET ALLOCATION</t>
        </is>
      </c>
    </row>
    <row r="53" ht="15" customHeight="1">
      <c r="A53" s="1" t="inlineStr"/>
      <c r="B53" s="1" t="inlineStr">
        <is>
          <t>Asset Description</t>
        </is>
      </c>
      <c r="C53" s="1" t="inlineStr">
        <is>
          <t>Total Cost</t>
        </is>
      </c>
      <c r="D53" s="1" t="inlineStr">
        <is>
          <t>5-Year</t>
        </is>
      </c>
      <c r="E53" s="1" t="inlineStr">
        <is>
          <t>7-Year</t>
        </is>
      </c>
      <c r="F53" s="1" t="inlineStr">
        <is>
          <t>15-Year</t>
        </is>
      </c>
      <c r="G53" s="1" t="inlineStr">
        <is>
          <t>27.5-Year</t>
        </is>
      </c>
      <c r="H53" s="1" t="inlineStr"/>
      <c r="I53" s="1" t="inlineStr"/>
      <c r="J53" s="1" t="inlineStr"/>
    </row>
    <row r="54" ht="15" customHeight="1">
      <c r="B54" s="13" t="inlineStr">
        <is>
          <t>Asset # 22-Land Improvements - Gentry</t>
        </is>
      </c>
      <c r="C54" s="14" t="n">
        <v>8074.86</v>
      </c>
      <c r="D54" s="14" t="n">
        <v>1300.02</v>
      </c>
      <c r="E54" s="14" t="n">
        <v>0</v>
      </c>
      <c r="F54" s="14" t="n">
        <v>184.56</v>
      </c>
      <c r="G54" s="14" t="n">
        <v>6590.28</v>
      </c>
    </row>
    <row r="55" ht="15" customHeight="1">
      <c r="B55" s="13" t="inlineStr">
        <is>
          <t>Asset # 23-Building - Gentry</t>
        </is>
      </c>
      <c r="C55" s="14" t="n">
        <v>223404.78</v>
      </c>
      <c r="D55" s="14" t="n">
        <v>35968.38</v>
      </c>
      <c r="E55" s="14" t="n">
        <v>0</v>
      </c>
      <c r="F55" s="14" t="n">
        <v>5105.7</v>
      </c>
      <c r="G55" s="14" t="n">
        <v>182330.7</v>
      </c>
    </row>
    <row r="56" ht="15" customHeight="1">
      <c r="B56" s="13" t="inlineStr">
        <is>
          <t>Asset # 24-Equipment - Gentry</t>
        </is>
      </c>
      <c r="C56" s="14" t="n">
        <v>37682.34</v>
      </c>
      <c r="D56" s="14" t="n">
        <v>6066.96</v>
      </c>
      <c r="E56" s="14" t="n">
        <v>0</v>
      </c>
      <c r="F56" s="14" t="n">
        <v>861.12</v>
      </c>
      <c r="G56" s="14" t="n">
        <v>30754.26</v>
      </c>
    </row>
    <row r="57" ht="15" customHeight="1">
      <c r="B57" s="15" t="inlineStr">
        <is>
          <t>Total Allocation</t>
        </is>
      </c>
      <c r="C57" s="16">
        <f>SUM(C54:C56)</f>
        <v/>
      </c>
      <c r="D57" s="16">
        <f>SUM(D54:D56)</f>
        <v/>
      </c>
      <c r="E57" s="16">
        <f>SUM(E54:E56)</f>
        <v/>
      </c>
      <c r="F57" s="16">
        <f>SUM(F54:F56)</f>
        <v/>
      </c>
      <c r="G57" s="16">
        <f>SUM(G54:G56)</f>
        <v/>
      </c>
    </row>
    <row r="58" ht="15" customHeight="1">
      <c r="B58" s="9" t="inlineStr">
        <is>
          <t>TOTALS (Verification)</t>
        </is>
      </c>
      <c r="C58" s="10">
        <f>SUM(C54:C56)</f>
        <v/>
      </c>
      <c r="D58" s="10">
        <f>SUM(D54:D56)</f>
        <v/>
      </c>
      <c r="E58" s="10">
        <f>SUM(E54:E56)</f>
        <v/>
      </c>
      <c r="F58" s="10">
        <f>SUM(F54:F56)</f>
        <v/>
      </c>
      <c r="G58" s="10">
        <f>SUM(G54:G56)</f>
        <v/>
      </c>
    </row>
    <row r="60" ht="15" customHeight="1">
      <c r="B60" s="1" t="inlineStr">
        <is>
          <t>DEPRECIATION SCHEDULE — AS PREVIOUSLY FILED</t>
        </is>
      </c>
    </row>
    <row r="61" ht="28" customHeight="1">
      <c r="A61" s="18" t="inlineStr"/>
      <c r="B61" s="18" t="inlineStr">
        <is>
          <t>Property Description</t>
        </is>
      </c>
      <c r="C61" s="18" t="inlineStr">
        <is>
          <t>Tax Cost</t>
        </is>
      </c>
      <c r="D61" s="18" t="inlineStr">
        <is>
          <t>Tax Bonus Amt</t>
        </is>
      </c>
      <c r="E61" s="18" t="inlineStr">
        <is>
          <t>Tax Prior Depr</t>
        </is>
      </c>
      <c r="F61" s="18" t="inlineStr">
        <is>
          <t>Tax Current Depr</t>
        </is>
      </c>
      <c r="G61" s="18" t="inlineStr">
        <is>
          <t>Tax End Depr</t>
        </is>
      </c>
      <c r="H61" s="18" t="inlineStr">
        <is>
          <t>Tax Net Book Value</t>
        </is>
      </c>
      <c r="I61" s="18" t="inlineStr">
        <is>
          <t>Tax Method</t>
        </is>
      </c>
      <c r="J61" s="18" t="inlineStr">
        <is>
          <t>Tax Period</t>
        </is>
      </c>
    </row>
    <row r="62" ht="15" customHeight="1">
      <c r="B62" s="13" t="inlineStr">
        <is>
          <t>22 - Land Improvements - Gentry</t>
        </is>
      </c>
      <c r="C62" s="14" t="n">
        <v>8075</v>
      </c>
      <c r="D62" s="14" t="n">
        <v>0</v>
      </c>
      <c r="E62" s="14" t="n">
        <v>8075</v>
      </c>
      <c r="F62" s="14" t="n">
        <v>0</v>
      </c>
      <c r="G62" s="14" t="n">
        <v>8075</v>
      </c>
      <c r="H62" s="14" t="n">
        <v>0</v>
      </c>
      <c r="I62" s="19" t="inlineStr">
        <is>
          <t>150DB</t>
        </is>
      </c>
      <c r="J62" s="20" t="n">
        <v>15</v>
      </c>
    </row>
    <row r="63" ht="15" customHeight="1">
      <c r="B63" s="13" t="inlineStr">
        <is>
          <t>23 - Building - Gentry</t>
        </is>
      </c>
      <c r="C63" s="14" t="n">
        <v>223405</v>
      </c>
      <c r="D63" s="14" t="n">
        <v>0</v>
      </c>
      <c r="E63" s="14" t="n">
        <v>48404.55</v>
      </c>
      <c r="F63" s="14" t="n">
        <v>8123.83</v>
      </c>
      <c r="G63" s="14" t="n">
        <v>56528.38</v>
      </c>
      <c r="H63" s="14" t="n">
        <v>166876.62</v>
      </c>
      <c r="I63" s="19" t="inlineStr">
        <is>
          <t>S/L</t>
        </is>
      </c>
      <c r="J63" s="20" t="n">
        <v>27.5</v>
      </c>
    </row>
    <row r="64" ht="15" customHeight="1">
      <c r="B64" s="13" t="inlineStr">
        <is>
          <t>24 - Equipment - Gentry</t>
        </is>
      </c>
      <c r="C64" s="14" t="n">
        <v>37683</v>
      </c>
      <c r="D64" s="14" t="n">
        <v>0</v>
      </c>
      <c r="E64" s="14" t="n">
        <v>37682</v>
      </c>
      <c r="F64" s="14" t="n">
        <v>0</v>
      </c>
      <c r="G64" s="14" t="n">
        <v>37682</v>
      </c>
      <c r="H64" s="14" t="n">
        <v>1</v>
      </c>
      <c r="I64" s="19" t="inlineStr">
        <is>
          <t>200DB</t>
        </is>
      </c>
      <c r="J64" s="20" t="n">
        <v>5</v>
      </c>
    </row>
    <row r="65" ht="15" customHeight="1">
      <c r="B65" s="15" t="inlineStr">
        <is>
          <t>Grand Total</t>
        </is>
      </c>
      <c r="C65" s="16">
        <f>SUM(C62:C64)</f>
        <v/>
      </c>
      <c r="D65" s="16">
        <f>SUM(D62:D64)</f>
        <v/>
      </c>
      <c r="E65" s="16">
        <f>SUM(E62:E64)</f>
        <v/>
      </c>
      <c r="F65" s="16">
        <f>SUM(F62:F64)</f>
        <v/>
      </c>
      <c r="G65" s="16">
        <f>SUM(G62:G64)</f>
        <v/>
      </c>
      <c r="H65" s="16">
        <f>SUM(H62:H64)</f>
        <v/>
      </c>
    </row>
    <row r="67" ht="15" customHeight="1">
      <c r="B67" s="1" t="inlineStr">
        <is>
          <t>DEPRECIATION SCHEDULE — AFTER COST SEGREGATION CORRECTION</t>
        </is>
      </c>
    </row>
    <row r="68" ht="28" customHeight="1">
      <c r="A68" s="18" t="inlineStr"/>
      <c r="B68" s="18" t="inlineStr">
        <is>
          <t>Property Description</t>
        </is>
      </c>
      <c r="C68" s="18" t="inlineStr">
        <is>
          <t>Tax Cost</t>
        </is>
      </c>
      <c r="D68" s="18" t="inlineStr">
        <is>
          <t>Tax Bonus Amt</t>
        </is>
      </c>
      <c r="E68" s="18" t="inlineStr">
        <is>
          <t>Tax Prior Depr</t>
        </is>
      </c>
      <c r="F68" s="18" t="inlineStr">
        <is>
          <t>Tax Current Depr</t>
        </is>
      </c>
      <c r="G68" s="18" t="inlineStr">
        <is>
          <t>Tax End Depr</t>
        </is>
      </c>
      <c r="H68" s="18" t="inlineStr">
        <is>
          <t>Tax Net Book Value</t>
        </is>
      </c>
      <c r="I68" s="18" t="inlineStr">
        <is>
          <t>Tax Method</t>
        </is>
      </c>
      <c r="J68" s="18" t="inlineStr">
        <is>
          <t>Tax Period</t>
        </is>
      </c>
    </row>
    <row r="69" ht="15" customHeight="1">
      <c r="B69" s="13" t="inlineStr">
        <is>
          <t>22 - Land Improvements - Gentry - 5yr</t>
        </is>
      </c>
      <c r="C69" s="14" t="n">
        <v>1300</v>
      </c>
      <c r="D69" s="14" t="n">
        <v>0</v>
      </c>
      <c r="E69" s="14" t="n">
        <v>1300</v>
      </c>
      <c r="F69" s="14" t="n">
        <v>1300</v>
      </c>
      <c r="G69" s="14" t="n">
        <v>1300</v>
      </c>
      <c r="H69" s="14" t="n">
        <v>0</v>
      </c>
      <c r="I69" s="19" t="inlineStr">
        <is>
          <t>200DB</t>
        </is>
      </c>
      <c r="J69" s="20" t="n">
        <v>5</v>
      </c>
    </row>
    <row r="70" ht="15" customHeight="1">
      <c r="B70" s="13" t="inlineStr">
        <is>
          <t>22 - Land Improvements - Gentry - 15yr</t>
        </is>
      </c>
      <c r="C70" s="14" t="n">
        <v>185</v>
      </c>
      <c r="D70" s="14" t="n">
        <v>0</v>
      </c>
      <c r="E70" s="14" t="n">
        <v>185</v>
      </c>
      <c r="F70" s="14" t="n">
        <v>185</v>
      </c>
      <c r="G70" s="14" t="n">
        <v>185</v>
      </c>
      <c r="H70" s="14" t="n">
        <v>0</v>
      </c>
      <c r="I70" s="19" t="inlineStr">
        <is>
          <t>150DB</t>
        </is>
      </c>
      <c r="J70" s="20" t="n">
        <v>15</v>
      </c>
    </row>
    <row r="71" ht="15" customHeight="1">
      <c r="B71" s="13" t="inlineStr">
        <is>
          <t>22 - Land Improvements - Gentry - 27.5yr</t>
        </is>
      </c>
      <c r="C71" s="14" t="n">
        <v>6590</v>
      </c>
      <c r="D71" s="14" t="n">
        <v>0</v>
      </c>
      <c r="E71" s="14" t="n">
        <v>0</v>
      </c>
      <c r="F71" s="14" t="n">
        <v>1427.85</v>
      </c>
      <c r="G71" s="14" t="n">
        <v>1667.49</v>
      </c>
      <c r="H71" s="14" t="n">
        <v>4922.51</v>
      </c>
      <c r="I71" s="19" t="inlineStr">
        <is>
          <t>S/L</t>
        </is>
      </c>
      <c r="J71" s="20" t="n">
        <v>27.5</v>
      </c>
    </row>
    <row r="72" ht="15" customHeight="1">
      <c r="B72" s="13" t="inlineStr">
        <is>
          <t>23 - Building - Gentry - 5yr</t>
        </is>
      </c>
      <c r="C72" s="14" t="n">
        <v>35968</v>
      </c>
      <c r="D72" s="14" t="n">
        <v>0</v>
      </c>
      <c r="E72" s="14" t="n">
        <v>35968</v>
      </c>
      <c r="F72" s="14" t="n">
        <v>35968</v>
      </c>
      <c r="G72" s="14" t="n">
        <v>35968</v>
      </c>
      <c r="H72" s="14" t="n">
        <v>0</v>
      </c>
      <c r="I72" s="19" t="inlineStr">
        <is>
          <t>200DB</t>
        </is>
      </c>
      <c r="J72" s="20" t="n">
        <v>5</v>
      </c>
    </row>
    <row r="73" ht="15" customHeight="1">
      <c r="B73" s="13" t="inlineStr">
        <is>
          <t>23 - Building - Gentry - 15yr</t>
        </is>
      </c>
      <c r="C73" s="14" t="n">
        <v>5106</v>
      </c>
      <c r="D73" s="14" t="n">
        <v>0</v>
      </c>
      <c r="E73" s="14" t="n">
        <v>5106</v>
      </c>
      <c r="F73" s="14" t="n">
        <v>5106</v>
      </c>
      <c r="G73" s="14" t="n">
        <v>5106</v>
      </c>
      <c r="H73" s="14" t="n">
        <v>0</v>
      </c>
      <c r="I73" s="19" t="inlineStr">
        <is>
          <t>150DB</t>
        </is>
      </c>
      <c r="J73" s="20" t="n">
        <v>15</v>
      </c>
    </row>
    <row r="74" ht="15" customHeight="1">
      <c r="B74" s="13" t="inlineStr">
        <is>
          <t>23 - Building - Gentry - 27.5yr</t>
        </is>
      </c>
      <c r="C74" s="14" t="n">
        <v>182331</v>
      </c>
      <c r="D74" s="14" t="n">
        <v>0</v>
      </c>
      <c r="E74" s="14" t="n">
        <v>0</v>
      </c>
      <c r="F74" s="14" t="n">
        <v>39505.06</v>
      </c>
      <c r="G74" s="14" t="n">
        <v>46135.28</v>
      </c>
      <c r="H74" s="14" t="n">
        <v>136195.72</v>
      </c>
      <c r="I74" s="19" t="inlineStr">
        <is>
          <t>S/L</t>
        </is>
      </c>
      <c r="J74" s="20" t="n">
        <v>27.5</v>
      </c>
    </row>
    <row r="75" ht="15" customHeight="1">
      <c r="B75" s="13" t="inlineStr">
        <is>
          <t>24 - Equipment - Gentry - 5yr</t>
        </is>
      </c>
      <c r="C75" s="14" t="n">
        <v>6067</v>
      </c>
      <c r="D75" s="14" t="n">
        <v>0</v>
      </c>
      <c r="E75" s="14" t="n">
        <v>6067</v>
      </c>
      <c r="F75" s="14" t="n">
        <v>6067</v>
      </c>
      <c r="G75" s="14" t="n">
        <v>6067</v>
      </c>
      <c r="H75" s="14" t="n">
        <v>0</v>
      </c>
      <c r="I75" s="19" t="inlineStr">
        <is>
          <t>200DB</t>
        </is>
      </c>
      <c r="J75" s="20" t="n">
        <v>5</v>
      </c>
    </row>
    <row r="76" ht="15" customHeight="1">
      <c r="B76" s="13" t="inlineStr">
        <is>
          <t>24 - Equipment - Gentry - 15yr</t>
        </is>
      </c>
      <c r="C76" s="14" t="n">
        <v>861</v>
      </c>
      <c r="D76" s="14" t="n">
        <v>0</v>
      </c>
      <c r="E76" s="14" t="n">
        <v>861</v>
      </c>
      <c r="F76" s="14" t="n">
        <v>861</v>
      </c>
      <c r="G76" s="14" t="n">
        <v>861</v>
      </c>
      <c r="H76" s="14" t="n">
        <v>0</v>
      </c>
      <c r="I76" s="19" t="inlineStr">
        <is>
          <t>150DB</t>
        </is>
      </c>
      <c r="J76" s="20" t="n">
        <v>15</v>
      </c>
    </row>
    <row r="77" ht="15" customHeight="1">
      <c r="B77" s="13" t="inlineStr">
        <is>
          <t>24 - Equipment - Gentry - 27.5yr</t>
        </is>
      </c>
      <c r="C77" s="14" t="n">
        <v>30755</v>
      </c>
      <c r="D77" s="14" t="n">
        <v>0</v>
      </c>
      <c r="E77" s="14" t="n">
        <v>0</v>
      </c>
      <c r="F77" s="14" t="n">
        <v>6663.57</v>
      </c>
      <c r="G77" s="14" t="n">
        <v>7781.93</v>
      </c>
      <c r="H77" s="14" t="n">
        <v>22973.07</v>
      </c>
      <c r="I77" s="19" t="inlineStr">
        <is>
          <t>S/L</t>
        </is>
      </c>
      <c r="J77" s="20" t="n">
        <v>27.5</v>
      </c>
    </row>
    <row r="78" ht="15" customHeight="1">
      <c r="B78" s="15" t="inlineStr">
        <is>
          <t>Grand Total</t>
        </is>
      </c>
      <c r="C78" s="16">
        <f>SUM(C69:C77)</f>
        <v/>
      </c>
      <c r="D78" s="16">
        <f>SUM(D69:D77)</f>
        <v/>
      </c>
      <c r="E78" s="16">
        <f>SUM(E69:E77)</f>
        <v/>
      </c>
      <c r="F78" s="16">
        <f>SUM(F69:F77)</f>
        <v/>
      </c>
      <c r="G78" s="16">
        <f>SUM(G69:G77)</f>
        <v/>
      </c>
      <c r="H78" s="16">
        <f>SUM(H69:H77)</f>
        <v/>
      </c>
    </row>
    <row r="80" ht="15" customHeight="1">
      <c r="B80" s="1" t="inlineStr">
        <is>
          <t>SECTION 481(a) ADJUSTMENT</t>
        </is>
      </c>
    </row>
    <row r="81" ht="15" customHeight="1">
      <c r="B81" s="13" t="inlineStr">
        <is>
          <t>Depreciation Previously Reported</t>
        </is>
      </c>
      <c r="C81" s="14" t="n">
        <v>102285.38</v>
      </c>
    </row>
    <row r="82" ht="15" customHeight="1">
      <c r="B82" s="13" t="inlineStr">
        <is>
          <t>Cost Segregation Corrected Depreciation</t>
        </is>
      </c>
      <c r="C82" s="14" t="n">
        <v>105071.7</v>
      </c>
    </row>
    <row r="83" ht="15" customHeight="1">
      <c r="B83" s="9" t="inlineStr">
        <is>
          <t>Section 481(a) Adjustment</t>
        </is>
      </c>
      <c r="C83" s="10">
        <f>C82-C81</f>
        <v/>
      </c>
    </row>
  </sheetData>
  <mergeCells count="11">
    <mergeCell ref="B7:J7"/>
    <mergeCell ref="B3:J3"/>
    <mergeCell ref="B5:J5"/>
    <mergeCell ref="B80:J80"/>
    <mergeCell ref="B67:J67"/>
    <mergeCell ref="B60:J60"/>
    <mergeCell ref="B27:J27"/>
    <mergeCell ref="B1:J1"/>
    <mergeCell ref="B52:J52"/>
    <mergeCell ref="B21:J21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7112 Kayla Ct., Marrero, LA  |  EIN: 82-2324040  |  FYE: 12/31/2024</t>
        </is>
      </c>
    </row>
    <row r="3" ht="15" customHeight="1">
      <c r="B3" s="11" t="inlineStr">
        <is>
          <t>Property: 7112 Kayla Ct  |  Units: 30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1253.18</v>
      </c>
      <c r="D8" s="14" t="n">
        <v>1253.18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1025.1</v>
      </c>
      <c r="D9" s="14" t="n">
        <v>1025.1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1949.87</v>
      </c>
      <c r="D10" s="14" t="n">
        <v>1949.87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539.2</v>
      </c>
      <c r="D11" s="14" t="n">
        <v>539.2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392.2</v>
      </c>
      <c r="D12" s="14" t="n">
        <v>392.2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255.33</v>
      </c>
      <c r="D16" s="14" t="n">
        <v>255.33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440.5</v>
      </c>
      <c r="D21" s="14" t="n">
        <v>0</v>
      </c>
      <c r="E21" s="14" t="n">
        <v>0</v>
      </c>
      <c r="F21" s="14" t="n">
        <v>440.5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159.55</v>
      </c>
      <c r="D22" s="14" t="n">
        <v>0</v>
      </c>
      <c r="E22" s="14" t="n">
        <v>0</v>
      </c>
      <c r="F22" s="14" t="n">
        <v>159.55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2834.33</v>
      </c>
      <c r="D26" s="14" t="n">
        <v>0</v>
      </c>
      <c r="E26" s="14" t="n">
        <v>0</v>
      </c>
      <c r="F26" s="14" t="n">
        <v>0</v>
      </c>
      <c r="G26" s="14" t="n">
        <v>2834.33</v>
      </c>
    </row>
    <row r="27" ht="15" customHeight="1">
      <c r="B27" s="13" t="inlineStr">
        <is>
          <t>Foundations</t>
        </is>
      </c>
      <c r="C27" s="14" t="n">
        <v>5611.36</v>
      </c>
      <c r="D27" s="14" t="n">
        <v>0</v>
      </c>
      <c r="E27" s="14" t="n">
        <v>0</v>
      </c>
      <c r="F27" s="14" t="n">
        <v>0</v>
      </c>
      <c r="G27" s="14" t="n">
        <v>5611.36</v>
      </c>
    </row>
    <row r="28" ht="15" customHeight="1">
      <c r="B28" s="13" t="inlineStr">
        <is>
          <t>HVAC</t>
        </is>
      </c>
      <c r="C28" s="14" t="n">
        <v>2625.61</v>
      </c>
      <c r="D28" s="14" t="n">
        <v>0</v>
      </c>
      <c r="E28" s="14" t="n">
        <v>0</v>
      </c>
      <c r="F28" s="14" t="n">
        <v>0</v>
      </c>
      <c r="G28" s="14" t="n">
        <v>2625.61</v>
      </c>
    </row>
    <row r="29" ht="15" customHeight="1">
      <c r="B29" s="13" t="inlineStr">
        <is>
          <t>Electrical</t>
        </is>
      </c>
      <c r="C29" s="14" t="n">
        <v>2802.9</v>
      </c>
      <c r="D29" s="14" t="n">
        <v>0</v>
      </c>
      <c r="E29" s="14" t="n">
        <v>0</v>
      </c>
      <c r="F29" s="14" t="n">
        <v>0</v>
      </c>
      <c r="G29" s="14" t="n">
        <v>2802.9</v>
      </c>
    </row>
    <row r="30" ht="15" customHeight="1">
      <c r="B30" s="13" t="inlineStr">
        <is>
          <t>Plumbing</t>
        </is>
      </c>
      <c r="C30" s="14" t="n">
        <v>2311.88</v>
      </c>
      <c r="D30" s="14" t="n">
        <v>0</v>
      </c>
      <c r="E30" s="14" t="n">
        <v>0</v>
      </c>
      <c r="F30" s="14" t="n">
        <v>0</v>
      </c>
      <c r="G30" s="14" t="n">
        <v>2311.88</v>
      </c>
    </row>
    <row r="31" ht="15" customHeight="1">
      <c r="B31" s="13" t="inlineStr">
        <is>
          <t>Fire Protection &amp; Alarm</t>
        </is>
      </c>
      <c r="C31" s="14" t="n">
        <v>135.25</v>
      </c>
      <c r="D31" s="14" t="n">
        <v>0</v>
      </c>
      <c r="E31" s="14" t="n">
        <v>0</v>
      </c>
      <c r="F31" s="14" t="n">
        <v>0</v>
      </c>
      <c r="G31" s="14" t="n">
        <v>135.25</v>
      </c>
    </row>
    <row r="32" ht="15" customHeight="1">
      <c r="B32" s="13" t="inlineStr">
        <is>
          <t>Exterior Façade / Building Skin</t>
        </is>
      </c>
      <c r="C32" s="14" t="n">
        <v>2244.42</v>
      </c>
      <c r="D32" s="14" t="n">
        <v>0</v>
      </c>
      <c r="E32" s="14" t="n">
        <v>0</v>
      </c>
      <c r="F32" s="14" t="n">
        <v>0</v>
      </c>
      <c r="G32" s="14" t="n">
        <v>2244.42</v>
      </c>
    </row>
    <row r="33" ht="15" customHeight="1">
      <c r="B33" s="13" t="inlineStr">
        <is>
          <t>Doors &amp; Frames</t>
        </is>
      </c>
      <c r="C33" s="14" t="n">
        <v>1579.74</v>
      </c>
      <c r="D33" s="14" t="n">
        <v>0</v>
      </c>
      <c r="E33" s="14" t="n">
        <v>0</v>
      </c>
      <c r="F33" s="14" t="n">
        <v>0</v>
      </c>
      <c r="G33" s="14" t="n">
        <v>1579.74</v>
      </c>
    </row>
    <row r="34" ht="15" customHeight="1">
      <c r="B34" s="13" t="inlineStr">
        <is>
          <t>Windows</t>
        </is>
      </c>
      <c r="C34" s="14" t="n">
        <v>1728.69</v>
      </c>
      <c r="D34" s="14" t="n">
        <v>0</v>
      </c>
      <c r="E34" s="14" t="n">
        <v>0</v>
      </c>
      <c r="F34" s="14" t="n">
        <v>0</v>
      </c>
      <c r="G34" s="14" t="n">
        <v>1728.69</v>
      </c>
    </row>
    <row r="35" ht="15" customHeight="1">
      <c r="B35" s="13" t="inlineStr">
        <is>
          <t>Ceiling Systems</t>
        </is>
      </c>
      <c r="C35" s="14" t="n">
        <v>1362.6</v>
      </c>
      <c r="D35" s="14" t="n">
        <v>0</v>
      </c>
      <c r="E35" s="14" t="n">
        <v>0</v>
      </c>
      <c r="F35" s="14" t="n">
        <v>0</v>
      </c>
      <c r="G35" s="14" t="n">
        <v>1362.6</v>
      </c>
    </row>
    <row r="36" ht="15" customHeight="1">
      <c r="B36" s="13" t="inlineStr">
        <is>
          <t>Interior Framing / Partitions</t>
        </is>
      </c>
      <c r="C36" s="14" t="n">
        <v>4921.02</v>
      </c>
      <c r="D36" s="14" t="n">
        <v>0</v>
      </c>
      <c r="E36" s="14" t="n">
        <v>0</v>
      </c>
      <c r="F36" s="14" t="n">
        <v>0</v>
      </c>
      <c r="G36" s="14" t="n">
        <v>4921.02</v>
      </c>
    </row>
    <row r="37" ht="15" customHeight="1">
      <c r="B37" s="13" t="inlineStr">
        <is>
          <t>Painting</t>
        </is>
      </c>
      <c r="C37" s="14" t="n">
        <v>1576.54</v>
      </c>
      <c r="D37" s="14" t="n">
        <v>0</v>
      </c>
      <c r="E37" s="14" t="n">
        <v>0</v>
      </c>
      <c r="F37" s="14" t="n">
        <v>0</v>
      </c>
      <c r="G37" s="14" t="n">
        <v>1576.54</v>
      </c>
    </row>
    <row r="38" ht="15" customHeight="1">
      <c r="B38" s="13" t="inlineStr">
        <is>
          <t>Structural Framing</t>
        </is>
      </c>
      <c r="C38" s="14" t="n">
        <v>5014.17</v>
      </c>
      <c r="D38" s="14" t="n">
        <v>0</v>
      </c>
      <c r="E38" s="14" t="n">
        <v>0</v>
      </c>
      <c r="F38" s="14" t="n">
        <v>0</v>
      </c>
      <c r="G38" s="14" t="n">
        <v>5014.17</v>
      </c>
    </row>
    <row r="39" ht="15" customHeight="1">
      <c r="B39" s="13" t="inlineStr">
        <is>
          <t>Site Utilities</t>
        </is>
      </c>
      <c r="C39" s="14" t="n">
        <v>380.3</v>
      </c>
      <c r="D39" s="14" t="n">
        <v>0</v>
      </c>
      <c r="E39" s="14" t="n">
        <v>0</v>
      </c>
      <c r="F39" s="14" t="n">
        <v>0</v>
      </c>
      <c r="G39" s="14" t="n">
        <v>380.3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311.62</v>
      </c>
      <c r="D43" s="14" t="n">
        <v>0</v>
      </c>
      <c r="E43" s="14" t="n">
        <v>0</v>
      </c>
      <c r="F43" s="14" t="n">
        <v>0</v>
      </c>
      <c r="G43" s="14" t="n">
        <v>311.62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80243.39999999999</v>
      </c>
      <c r="D49" s="14" t="n">
        <v>13399.2</v>
      </c>
      <c r="E49" s="14" t="n">
        <v>0</v>
      </c>
      <c r="F49" s="14" t="n">
        <v>1194.3</v>
      </c>
      <c r="G49" s="14" t="n">
        <v>65649.89999999999</v>
      </c>
    </row>
    <row r="50" ht="15" customHeight="1">
      <c r="B50" s="13" t="inlineStr">
        <is>
          <t>Asset # 8-Building - Kayla Court</t>
        </is>
      </c>
      <c r="C50" s="14" t="n">
        <v>1043170.8</v>
      </c>
      <c r="D50" s="14" t="n">
        <v>174190.5</v>
      </c>
      <c r="E50" s="14" t="n">
        <v>0</v>
      </c>
      <c r="F50" s="14" t="n">
        <v>15524.4</v>
      </c>
      <c r="G50" s="14" t="n">
        <v>853455.9</v>
      </c>
    </row>
    <row r="51" ht="15" customHeight="1">
      <c r="B51" s="13" t="inlineStr">
        <is>
          <t>Asset # 9-Equipment - Kayla Court</t>
        </is>
      </c>
      <c r="C51" s="14" t="n">
        <v>213983.4</v>
      </c>
      <c r="D51" s="14" t="n">
        <v>35731.2</v>
      </c>
      <c r="E51" s="14" t="n">
        <v>0</v>
      </c>
      <c r="F51" s="14" t="n">
        <v>3184.5</v>
      </c>
      <c r="G51" s="14" t="n">
        <v>175067.7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80244</v>
      </c>
      <c r="D57" s="14" t="n">
        <v>0</v>
      </c>
      <c r="E57" s="14" t="n">
        <v>37993.4</v>
      </c>
      <c r="F57" s="14" t="n">
        <v>4738.57</v>
      </c>
      <c r="G57" s="14" t="n">
        <v>42731.97</v>
      </c>
      <c r="H57" s="14" t="n">
        <v>37512.03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1043171</v>
      </c>
      <c r="D58" s="14" t="n">
        <v>0</v>
      </c>
      <c r="E58" s="14" t="n">
        <v>229182.26</v>
      </c>
      <c r="F58" s="14" t="n">
        <v>37933.65</v>
      </c>
      <c r="G58" s="14" t="n">
        <v>267115.91</v>
      </c>
      <c r="H58" s="14" t="n">
        <v>776055.09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213983</v>
      </c>
      <c r="D59" s="14" t="n">
        <v>0</v>
      </c>
      <c r="E59" s="14" t="n">
        <v>213983</v>
      </c>
      <c r="F59" s="14" t="n">
        <v>0</v>
      </c>
      <c r="G59" s="14" t="n">
        <v>213983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13399</v>
      </c>
      <c r="D64" s="14" t="n">
        <v>0</v>
      </c>
      <c r="E64" s="14" t="n">
        <v>13399</v>
      </c>
      <c r="F64" s="14" t="n">
        <v>13399</v>
      </c>
      <c r="G64" s="14" t="n">
        <v>13399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1194</v>
      </c>
      <c r="D65" s="14" t="n">
        <v>0</v>
      </c>
      <c r="E65" s="14" t="n">
        <v>1194</v>
      </c>
      <c r="F65" s="14" t="n">
        <v>1194</v>
      </c>
      <c r="G65" s="14" t="n">
        <v>1194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65650</v>
      </c>
      <c r="D66" s="14" t="n">
        <v>0</v>
      </c>
      <c r="E66" s="14" t="n">
        <v>0</v>
      </c>
      <c r="F66" s="14" t="n">
        <v>14423.09</v>
      </c>
      <c r="G66" s="14" t="n">
        <v>16810.36</v>
      </c>
      <c r="H66" s="14" t="n">
        <v>48839.64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174191</v>
      </c>
      <c r="D67" s="14" t="n">
        <v>0</v>
      </c>
      <c r="E67" s="14" t="n">
        <v>174191</v>
      </c>
      <c r="F67" s="14" t="n">
        <v>174191</v>
      </c>
      <c r="G67" s="14" t="n">
        <v>174191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15524</v>
      </c>
      <c r="D68" s="14" t="n">
        <v>0</v>
      </c>
      <c r="E68" s="14" t="n">
        <v>15524</v>
      </c>
      <c r="F68" s="14" t="n">
        <v>15524</v>
      </c>
      <c r="G68" s="14" t="n">
        <v>15524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853456</v>
      </c>
      <c r="D69" s="14" t="n">
        <v>0</v>
      </c>
      <c r="E69" s="14" t="n">
        <v>0</v>
      </c>
      <c r="F69" s="14" t="n">
        <v>187501.68</v>
      </c>
      <c r="G69" s="14" t="n">
        <v>218536.44</v>
      </c>
      <c r="H69" s="14" t="n">
        <v>634919.5600000001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35731</v>
      </c>
      <c r="D70" s="14" t="n">
        <v>0</v>
      </c>
      <c r="E70" s="14" t="n">
        <v>35731</v>
      </c>
      <c r="F70" s="14" t="n">
        <v>35731</v>
      </c>
      <c r="G70" s="14" t="n">
        <v>35731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3185</v>
      </c>
      <c r="D71" s="14" t="n">
        <v>0</v>
      </c>
      <c r="E71" s="14" t="n">
        <v>3185</v>
      </c>
      <c r="F71" s="14" t="n">
        <v>3185</v>
      </c>
      <c r="G71" s="14" t="n">
        <v>3185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175068</v>
      </c>
      <c r="D72" s="14" t="n">
        <v>0</v>
      </c>
      <c r="E72" s="14" t="n">
        <v>0</v>
      </c>
      <c r="F72" s="14" t="n">
        <v>38461.91</v>
      </c>
      <c r="G72" s="14" t="n">
        <v>44828.02</v>
      </c>
      <c r="H72" s="14" t="n">
        <v>130239.98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523830.88</v>
      </c>
    </row>
    <row r="77" ht="15" customHeight="1">
      <c r="B77" s="13" t="inlineStr">
        <is>
          <t>Cost Segregation Corrected Depreciation</t>
        </is>
      </c>
      <c r="C77" s="14" t="n">
        <v>523398.82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 ht="18" customHeight="1">
      <c r="B1" s="1" t="inlineStr">
        <is>
          <t>COST SEGREGATION STUDY — FORM 3115 DEPRECIATION RECONCILIATION</t>
        </is>
      </c>
    </row>
    <row r="2" ht="15" customHeight="1">
      <c r="B2" s="2" t="inlineStr">
        <is>
          <t>Marrero 3, LLC  |  7141 Kayla Ct., Marrero, LA  |  EIN: 82-2324040  |  FYE: 12/31/2024</t>
        </is>
      </c>
    </row>
    <row r="3" ht="15" customHeight="1">
      <c r="B3" s="11" t="inlineStr">
        <is>
          <t>Property: 7141 Kayla Ct  |  Units: 7</t>
        </is>
      </c>
    </row>
    <row r="5" ht="15" customHeight="1">
      <c r="B5" s="3" t="inlineStr">
        <is>
          <t>COMPONENT COST BREAKDOWN (Per Unit)</t>
        </is>
      </c>
    </row>
    <row r="6" ht="28" customHeight="1">
      <c r="A6" s="4" t="inlineStr"/>
      <c r="B6" s="4" t="inlineStr">
        <is>
          <t>Property Category</t>
        </is>
      </c>
      <c r="C6" s="4" t="inlineStr">
        <is>
          <t>Total Cost</t>
        </is>
      </c>
      <c r="D6" s="4" t="inlineStr">
        <is>
          <t>5-Year
(200DB)</t>
        </is>
      </c>
      <c r="E6" s="4" t="inlineStr">
        <is>
          <t>7-Year
(200DB)</t>
        </is>
      </c>
      <c r="F6" s="4" t="inlineStr">
        <is>
          <t>15-Year
(150DB)</t>
        </is>
      </c>
      <c r="G6" s="4" t="inlineStr">
        <is>
          <t>27.5-Year
(S/L)</t>
        </is>
      </c>
      <c r="H6" s="4" t="inlineStr"/>
      <c r="I6" s="4" t="inlineStr"/>
      <c r="J6" s="4" t="inlineStr"/>
    </row>
    <row r="7" ht="15" customHeight="1">
      <c r="B7" s="12" t="inlineStr">
        <is>
          <t>Building Components</t>
        </is>
      </c>
    </row>
    <row r="8" ht="15" customHeight="1">
      <c r="B8" s="13" t="inlineStr">
        <is>
          <t>Cabinets / Millwork</t>
        </is>
      </c>
      <c r="C8" s="14" t="n">
        <v>1224.05</v>
      </c>
      <c r="D8" s="14" t="n">
        <v>1224.05</v>
      </c>
      <c r="E8" s="14" t="n">
        <v>0</v>
      </c>
      <c r="F8" s="14" t="n">
        <v>0</v>
      </c>
      <c r="G8" s="14" t="n">
        <v>0</v>
      </c>
    </row>
    <row r="9" ht="15" customHeight="1">
      <c r="B9" s="13" t="inlineStr">
        <is>
          <t>Moldings</t>
        </is>
      </c>
      <c r="C9" s="14" t="n">
        <v>1003.14</v>
      </c>
      <c r="D9" s="14" t="n">
        <v>1003.14</v>
      </c>
      <c r="E9" s="14" t="n">
        <v>0</v>
      </c>
      <c r="F9" s="14" t="n">
        <v>0</v>
      </c>
      <c r="G9" s="14" t="n">
        <v>0</v>
      </c>
    </row>
    <row r="10" ht="15" customHeight="1">
      <c r="B10" s="13" t="inlineStr">
        <is>
          <t>Flooring - Wood Laminate</t>
        </is>
      </c>
      <c r="C10" s="14" t="n">
        <v>1894.04</v>
      </c>
      <c r="D10" s="14" t="n">
        <v>1894.04</v>
      </c>
      <c r="E10" s="14" t="n">
        <v>0</v>
      </c>
      <c r="F10" s="14" t="n">
        <v>0</v>
      </c>
      <c r="G10" s="14" t="n">
        <v>0</v>
      </c>
    </row>
    <row r="11" ht="15" customHeight="1">
      <c r="B11" s="13" t="inlineStr">
        <is>
          <t>Security System</t>
        </is>
      </c>
      <c r="C11" s="14" t="n">
        <v>398.36</v>
      </c>
      <c r="D11" s="14" t="n">
        <v>398.36</v>
      </c>
      <c r="E11" s="14" t="n">
        <v>0</v>
      </c>
      <c r="F11" s="14" t="n">
        <v>0</v>
      </c>
      <c r="G11" s="14" t="n">
        <v>0</v>
      </c>
    </row>
    <row r="12" ht="15" customHeight="1">
      <c r="B12" s="13" t="inlineStr">
        <is>
          <t>Window Treatments</t>
        </is>
      </c>
      <c r="C12" s="14" t="n">
        <v>254.6</v>
      </c>
      <c r="D12" s="14" t="n">
        <v>254.6</v>
      </c>
      <c r="E12" s="14" t="n">
        <v>0</v>
      </c>
      <c r="F12" s="14" t="n">
        <v>0</v>
      </c>
      <c r="G12" s="14" t="n">
        <v>0</v>
      </c>
    </row>
    <row r="13" ht="15" customHeight="1">
      <c r="B13" s="13" t="inlineStr">
        <is>
          <t>Specialty HVAC - Dryer Vents</t>
        </is>
      </c>
      <c r="C13" s="14" t="n">
        <v>33.89</v>
      </c>
      <c r="D13" s="14" t="n">
        <v>33.89</v>
      </c>
      <c r="E13" s="14" t="n">
        <v>0</v>
      </c>
      <c r="F13" s="14" t="n">
        <v>0</v>
      </c>
      <c r="G13" s="14" t="n">
        <v>0</v>
      </c>
    </row>
    <row r="14" ht="15" customHeight="1">
      <c r="B14" s="13" t="inlineStr">
        <is>
          <t>Building Signage</t>
        </is>
      </c>
      <c r="C14" s="14" t="n">
        <v>22.29</v>
      </c>
      <c r="D14" s="14" t="n">
        <v>22.29</v>
      </c>
      <c r="E14" s="14" t="n">
        <v>0</v>
      </c>
      <c r="F14" s="14" t="n">
        <v>0</v>
      </c>
      <c r="G14" s="14" t="n">
        <v>0</v>
      </c>
    </row>
    <row r="15" ht="15" customHeight="1">
      <c r="B15" s="13" t="inlineStr">
        <is>
          <t>Specialty Electrical - Appliances</t>
        </is>
      </c>
      <c r="C15" s="14" t="n">
        <v>578.78</v>
      </c>
      <c r="D15" s="14" t="n">
        <v>578.78</v>
      </c>
      <c r="E15" s="14" t="n">
        <v>0</v>
      </c>
      <c r="F15" s="14" t="n">
        <v>0</v>
      </c>
      <c r="G15" s="14" t="n">
        <v>0</v>
      </c>
    </row>
    <row r="16" ht="15" customHeight="1">
      <c r="B16" s="13" t="inlineStr">
        <is>
          <t>Communication / Data</t>
        </is>
      </c>
      <c r="C16" s="14" t="n">
        <v>248.02</v>
      </c>
      <c r="D16" s="14" t="n">
        <v>248.02</v>
      </c>
      <c r="E16" s="14" t="n">
        <v>0</v>
      </c>
      <c r="F16" s="14" t="n">
        <v>0</v>
      </c>
      <c r="G16" s="14" t="n">
        <v>0</v>
      </c>
    </row>
    <row r="17" ht="15" customHeight="1">
      <c r="B17" s="13" t="inlineStr">
        <is>
          <t>Specialty Plumbing - Kitchen Sink / Laundry</t>
        </is>
      </c>
      <c r="C17" s="14" t="n">
        <v>633.66</v>
      </c>
      <c r="D17" s="14" t="n">
        <v>633.66</v>
      </c>
      <c r="E17" s="14" t="n">
        <v>0</v>
      </c>
      <c r="F17" s="14" t="n">
        <v>0</v>
      </c>
      <c r="G17" s="14" t="n">
        <v>0</v>
      </c>
    </row>
    <row r="18" ht="15" customHeight="1">
      <c r="B18" s="13" t="inlineStr">
        <is>
          <t>Security / Exterior Lighting</t>
        </is>
      </c>
      <c r="C18" s="14" t="n">
        <v>125.71</v>
      </c>
      <c r="D18" s="14" t="n">
        <v>125.71</v>
      </c>
      <c r="E18" s="14" t="n">
        <v>0</v>
      </c>
      <c r="F18" s="14" t="n">
        <v>0</v>
      </c>
      <c r="G18" s="14" t="n">
        <v>0</v>
      </c>
    </row>
    <row r="19" ht="15" customHeight="1">
      <c r="B19" s="13" t="inlineStr">
        <is>
          <t>Appliances</t>
        </is>
      </c>
      <c r="C19" s="14" t="n">
        <v>634.8200000000001</v>
      </c>
      <c r="D19" s="14" t="n">
        <v>634.8200000000001</v>
      </c>
      <c r="E19" s="14" t="n">
        <v>0</v>
      </c>
      <c r="F19" s="14" t="n">
        <v>0</v>
      </c>
      <c r="G19" s="14" t="n">
        <v>0</v>
      </c>
    </row>
    <row r="20" ht="15" customHeight="1">
      <c r="B20" s="12" t="inlineStr">
        <is>
          <t>Site Work / Improvements</t>
        </is>
      </c>
    </row>
    <row r="21" ht="15" customHeight="1">
      <c r="B21" s="13" t="inlineStr">
        <is>
          <t>Driveway</t>
        </is>
      </c>
      <c r="C21" s="14" t="n">
        <v>506.65</v>
      </c>
      <c r="D21" s="14" t="n">
        <v>0</v>
      </c>
      <c r="E21" s="14" t="n">
        <v>0</v>
      </c>
      <c r="F21" s="14" t="n">
        <v>506.65</v>
      </c>
      <c r="G21" s="14" t="n">
        <v>0</v>
      </c>
    </row>
    <row r="22" ht="15" customHeight="1">
      <c r="B22" s="13" t="inlineStr">
        <is>
          <t>Sidewalks / Curbs</t>
        </is>
      </c>
      <c r="C22" s="14" t="n">
        <v>229.17</v>
      </c>
      <c r="D22" s="14" t="n">
        <v>0</v>
      </c>
      <c r="E22" s="14" t="n">
        <v>0</v>
      </c>
      <c r="F22" s="14" t="n">
        <v>229.17</v>
      </c>
      <c r="G22" s="14" t="n">
        <v>0</v>
      </c>
    </row>
    <row r="23" ht="15" customHeight="1">
      <c r="B23" s="13" t="inlineStr">
        <is>
          <t>Exterior Equipment Concrete Pads</t>
        </is>
      </c>
      <c r="C23" s="14" t="n">
        <v>39.13</v>
      </c>
      <c r="D23" s="14" t="n">
        <v>0</v>
      </c>
      <c r="E23" s="14" t="n">
        <v>0</v>
      </c>
      <c r="F23" s="14" t="n">
        <v>39.13</v>
      </c>
      <c r="G23" s="14" t="n">
        <v>0</v>
      </c>
    </row>
    <row r="24" ht="15" customHeight="1">
      <c r="B24" s="13" t="inlineStr">
        <is>
          <t>Mailboxes</t>
        </is>
      </c>
      <c r="C24" s="14" t="n">
        <v>24.26</v>
      </c>
      <c r="D24" s="14" t="n">
        <v>0</v>
      </c>
      <c r="E24" s="14" t="n">
        <v>0</v>
      </c>
      <c r="F24" s="14" t="n">
        <v>24.26</v>
      </c>
      <c r="G24" s="14" t="n">
        <v>0</v>
      </c>
    </row>
    <row r="25" ht="15" customHeight="1">
      <c r="B25" s="12" t="inlineStr">
        <is>
          <t>Building Structure</t>
        </is>
      </c>
    </row>
    <row r="26" ht="15" customHeight="1">
      <c r="B26" s="13" t="inlineStr">
        <is>
          <t>Roofing Systems</t>
        </is>
      </c>
      <c r="C26" s="14" t="n">
        <v>2548.43</v>
      </c>
      <c r="D26" s="14" t="n">
        <v>0</v>
      </c>
      <c r="E26" s="14" t="n">
        <v>0</v>
      </c>
      <c r="F26" s="14" t="n">
        <v>0</v>
      </c>
      <c r="G26" s="14" t="n">
        <v>2548.43</v>
      </c>
    </row>
    <row r="27" ht="15" customHeight="1">
      <c r="B27" s="13" t="inlineStr">
        <is>
          <t>Foundations</t>
        </is>
      </c>
      <c r="C27" s="14" t="n">
        <v>5484.79</v>
      </c>
      <c r="D27" s="14" t="n">
        <v>0</v>
      </c>
      <c r="E27" s="14" t="n">
        <v>0</v>
      </c>
      <c r="F27" s="14" t="n">
        <v>0</v>
      </c>
      <c r="G27" s="14" t="n">
        <v>5484.79</v>
      </c>
    </row>
    <row r="28" ht="15" customHeight="1">
      <c r="B28" s="13" t="inlineStr">
        <is>
          <t>HVAC</t>
        </is>
      </c>
      <c r="C28" s="14" t="n">
        <v>2549.45</v>
      </c>
      <c r="D28" s="14" t="n">
        <v>0</v>
      </c>
      <c r="E28" s="14" t="n">
        <v>0</v>
      </c>
      <c r="F28" s="14" t="n">
        <v>0</v>
      </c>
      <c r="G28" s="14" t="n">
        <v>2549.45</v>
      </c>
    </row>
    <row r="29" ht="15" customHeight="1">
      <c r="B29" s="13" t="inlineStr">
        <is>
          <t>Electrical</t>
        </is>
      </c>
      <c r="C29" s="14" t="n">
        <v>2713.95</v>
      </c>
      <c r="D29" s="14" t="n">
        <v>0</v>
      </c>
      <c r="E29" s="14" t="n">
        <v>0</v>
      </c>
      <c r="F29" s="14" t="n">
        <v>0</v>
      </c>
      <c r="G29" s="14" t="n">
        <v>2713.95</v>
      </c>
    </row>
    <row r="30" ht="15" customHeight="1">
      <c r="B30" s="13" t="inlineStr">
        <is>
          <t>Plumbing</t>
        </is>
      </c>
      <c r="C30" s="14" t="n">
        <v>2245.68</v>
      </c>
      <c r="D30" s="14" t="n">
        <v>0</v>
      </c>
      <c r="E30" s="14" t="n">
        <v>0</v>
      </c>
      <c r="F30" s="14" t="n">
        <v>0</v>
      </c>
      <c r="G30" s="14" t="n">
        <v>2245.68</v>
      </c>
    </row>
    <row r="31" ht="15" customHeight="1">
      <c r="B31" s="13" t="inlineStr">
        <is>
          <t>Fire Protection &amp; Alarm</t>
        </is>
      </c>
      <c r="C31" s="14" t="n">
        <v>169.07</v>
      </c>
      <c r="D31" s="14" t="n">
        <v>0</v>
      </c>
      <c r="E31" s="14" t="n">
        <v>0</v>
      </c>
      <c r="F31" s="14" t="n">
        <v>0</v>
      </c>
      <c r="G31" s="14" t="n">
        <v>169.07</v>
      </c>
    </row>
    <row r="32" ht="15" customHeight="1">
      <c r="B32" s="13" t="inlineStr">
        <is>
          <t>Exterior Façade / Building Skin</t>
        </is>
      </c>
      <c r="C32" s="14" t="n">
        <v>2358.3</v>
      </c>
      <c r="D32" s="14" t="n">
        <v>0</v>
      </c>
      <c r="E32" s="14" t="n">
        <v>0</v>
      </c>
      <c r="F32" s="14" t="n">
        <v>0</v>
      </c>
      <c r="G32" s="14" t="n">
        <v>2358.3</v>
      </c>
    </row>
    <row r="33" ht="15" customHeight="1">
      <c r="B33" s="13" t="inlineStr">
        <is>
          <t>Doors &amp; Frames</t>
        </is>
      </c>
      <c r="C33" s="14" t="n">
        <v>1892.23</v>
      </c>
      <c r="D33" s="14" t="n">
        <v>0</v>
      </c>
      <c r="E33" s="14" t="n">
        <v>0</v>
      </c>
      <c r="F33" s="14" t="n">
        <v>0</v>
      </c>
      <c r="G33" s="14" t="n">
        <v>1892.23</v>
      </c>
    </row>
    <row r="34" ht="15" customHeight="1">
      <c r="B34" s="13" t="inlineStr">
        <is>
          <t>Windows</t>
        </is>
      </c>
      <c r="C34" s="14" t="n">
        <v>1122.14</v>
      </c>
      <c r="D34" s="14" t="n">
        <v>0</v>
      </c>
      <c r="E34" s="14" t="n">
        <v>0</v>
      </c>
      <c r="F34" s="14" t="n">
        <v>0</v>
      </c>
      <c r="G34" s="14" t="n">
        <v>1122.14</v>
      </c>
    </row>
    <row r="35" ht="15" customHeight="1">
      <c r="B35" s="13" t="inlineStr">
        <is>
          <t>Ceiling Systems</t>
        </is>
      </c>
      <c r="C35" s="14" t="n">
        <v>1326.93</v>
      </c>
      <c r="D35" s="14" t="n">
        <v>0</v>
      </c>
      <c r="E35" s="14" t="n">
        <v>0</v>
      </c>
      <c r="F35" s="14" t="n">
        <v>0</v>
      </c>
      <c r="G35" s="14" t="n">
        <v>1326.93</v>
      </c>
    </row>
    <row r="36" ht="15" customHeight="1">
      <c r="B36" s="13" t="inlineStr">
        <is>
          <t>Interior Framing / Partitions</t>
        </is>
      </c>
      <c r="C36" s="14" t="n">
        <v>4881.53</v>
      </c>
      <c r="D36" s="14" t="n">
        <v>0</v>
      </c>
      <c r="E36" s="14" t="n">
        <v>0</v>
      </c>
      <c r="F36" s="14" t="n">
        <v>0</v>
      </c>
      <c r="G36" s="14" t="n">
        <v>4881.53</v>
      </c>
    </row>
    <row r="37" ht="15" customHeight="1">
      <c r="B37" s="13" t="inlineStr">
        <is>
          <t>Painting</t>
        </is>
      </c>
      <c r="C37" s="14" t="n">
        <v>1557.23</v>
      </c>
      <c r="D37" s="14" t="n">
        <v>0</v>
      </c>
      <c r="E37" s="14" t="n">
        <v>0</v>
      </c>
      <c r="F37" s="14" t="n">
        <v>0</v>
      </c>
      <c r="G37" s="14" t="n">
        <v>1557.23</v>
      </c>
    </row>
    <row r="38" ht="15" customHeight="1">
      <c r="B38" s="13" t="inlineStr">
        <is>
          <t>Structural Framing</t>
        </is>
      </c>
      <c r="C38" s="14" t="n">
        <v>4653.25</v>
      </c>
      <c r="D38" s="14" t="n">
        <v>0</v>
      </c>
      <c r="E38" s="14" t="n">
        <v>0</v>
      </c>
      <c r="F38" s="14" t="n">
        <v>0</v>
      </c>
      <c r="G38" s="14" t="n">
        <v>4653.25</v>
      </c>
    </row>
    <row r="39" ht="15" customHeight="1">
      <c r="B39" s="13" t="inlineStr">
        <is>
          <t>Site Utilities</t>
        </is>
      </c>
      <c r="C39" s="14" t="n">
        <v>419.93</v>
      </c>
      <c r="D39" s="14" t="n">
        <v>0</v>
      </c>
      <c r="E39" s="14" t="n">
        <v>0</v>
      </c>
      <c r="F39" s="14" t="n">
        <v>0</v>
      </c>
      <c r="G39" s="14" t="n">
        <v>419.93</v>
      </c>
    </row>
    <row r="40" ht="15" customHeight="1">
      <c r="B40" s="13" t="inlineStr">
        <is>
          <t>Garage Doors</t>
        </is>
      </c>
      <c r="C40" s="14" t="n">
        <v>446.76</v>
      </c>
      <c r="D40" s="14" t="n">
        <v>0</v>
      </c>
      <c r="E40" s="14" t="n">
        <v>0</v>
      </c>
      <c r="F40" s="14" t="n">
        <v>0</v>
      </c>
      <c r="G40" s="14" t="n">
        <v>446.76</v>
      </c>
    </row>
    <row r="41" ht="15" customHeight="1">
      <c r="B41" s="13" t="inlineStr">
        <is>
          <t>Flooring - Sealed Concrete</t>
        </is>
      </c>
      <c r="C41" s="14" t="n">
        <v>59.17</v>
      </c>
      <c r="D41" s="14" t="n">
        <v>0</v>
      </c>
      <c r="E41" s="14" t="n">
        <v>0</v>
      </c>
      <c r="F41" s="14" t="n">
        <v>0</v>
      </c>
      <c r="G41" s="14" t="n">
        <v>59.17</v>
      </c>
    </row>
    <row r="42" ht="15" customHeight="1">
      <c r="B42" s="13" t="inlineStr">
        <is>
          <t>Bathroom Accessories</t>
        </is>
      </c>
      <c r="C42" s="14" t="n">
        <v>526.09</v>
      </c>
      <c r="D42" s="14" t="n">
        <v>0</v>
      </c>
      <c r="E42" s="14" t="n">
        <v>0</v>
      </c>
      <c r="F42" s="14" t="n">
        <v>0</v>
      </c>
      <c r="G42" s="14" t="n">
        <v>526.09</v>
      </c>
    </row>
    <row r="43" ht="15" customHeight="1">
      <c r="B43" s="13" t="inlineStr">
        <is>
          <t>Cabinets / Millwork - Restrooms</t>
        </is>
      </c>
      <c r="C43" s="14" t="n">
        <v>314.69</v>
      </c>
      <c r="D43" s="14" t="n">
        <v>0</v>
      </c>
      <c r="E43" s="14" t="n">
        <v>0</v>
      </c>
      <c r="F43" s="14" t="n">
        <v>0</v>
      </c>
      <c r="G43" s="14" t="n">
        <v>314.69</v>
      </c>
    </row>
    <row r="44" ht="15" customHeight="1">
      <c r="B44" s="15" t="inlineStr">
        <is>
          <t>Total Building Cost</t>
        </is>
      </c>
      <c r="C44" s="16">
        <f>SUM(C8:C43)</f>
        <v/>
      </c>
      <c r="D44" s="16">
        <f>SUM(D8:D43)</f>
        <v/>
      </c>
      <c r="E44" s="16">
        <f>SUM(E8:E43)</f>
        <v/>
      </c>
      <c r="F44" s="16">
        <f>SUM(F8:F43)</f>
        <v/>
      </c>
      <c r="G44" s="16">
        <f>SUM(G8:G43)</f>
        <v/>
      </c>
    </row>
    <row r="45" ht="15" customHeight="1">
      <c r="B45" s="7" t="inlineStr">
        <is>
          <t>% of Building Cost</t>
        </is>
      </c>
      <c r="D45" s="17">
        <f>D44/C44</f>
        <v/>
      </c>
      <c r="E45" s="17">
        <f>E44/C44</f>
        <v/>
      </c>
      <c r="F45" s="17">
        <f>F44/C44</f>
        <v/>
      </c>
      <c r="G45" s="17">
        <f>G44/C44</f>
        <v/>
      </c>
    </row>
    <row r="47" ht="15" customHeight="1">
      <c r="B47" s="3" t="inlineStr">
        <is>
          <t>ASSET ALLOCATION</t>
        </is>
      </c>
    </row>
    <row r="48" ht="15" customHeight="1">
      <c r="A48" s="1" t="inlineStr"/>
      <c r="B48" s="1" t="inlineStr">
        <is>
          <t>Asset Description</t>
        </is>
      </c>
      <c r="C48" s="1" t="inlineStr">
        <is>
          <t>Total Cost</t>
        </is>
      </c>
      <c r="D48" s="1" t="inlineStr">
        <is>
          <t>5-Year</t>
        </is>
      </c>
      <c r="E48" s="1" t="inlineStr">
        <is>
          <t>7-Year</t>
        </is>
      </c>
      <c r="F48" s="1" t="inlineStr">
        <is>
          <t>15-Year</t>
        </is>
      </c>
      <c r="G48" s="1" t="inlineStr">
        <is>
          <t>27.5-Year</t>
        </is>
      </c>
      <c r="H48" s="1" t="inlineStr"/>
      <c r="I48" s="1" t="inlineStr"/>
      <c r="J48" s="1" t="inlineStr"/>
    </row>
    <row r="49" ht="15" customHeight="1">
      <c r="B49" s="13" t="inlineStr">
        <is>
          <t>Asset # 7-Land Improvements - Kayla Court</t>
        </is>
      </c>
      <c r="C49" s="14" t="n">
        <v>18110.47</v>
      </c>
      <c r="D49" s="14" t="n">
        <v>2961.56</v>
      </c>
      <c r="E49" s="14" t="n">
        <v>0</v>
      </c>
      <c r="F49" s="14" t="n">
        <v>335.72</v>
      </c>
      <c r="G49" s="14" t="n">
        <v>14813.19</v>
      </c>
    </row>
    <row r="50" ht="15" customHeight="1">
      <c r="B50" s="13" t="inlineStr">
        <is>
          <t>Asset # 8-Building - Kayla Court</t>
        </is>
      </c>
      <c r="C50" s="14" t="n">
        <v>235436.32</v>
      </c>
      <c r="D50" s="14" t="n">
        <v>38500.42</v>
      </c>
      <c r="E50" s="14" t="n">
        <v>0</v>
      </c>
      <c r="F50" s="14" t="n">
        <v>4363.66</v>
      </c>
      <c r="G50" s="14" t="n">
        <v>192572.24</v>
      </c>
    </row>
    <row r="51" ht="15" customHeight="1">
      <c r="B51" s="13" t="inlineStr">
        <is>
          <t>Asset # 9-Equipment - Kayla Court</t>
        </is>
      </c>
      <c r="C51" s="14" t="n">
        <v>48294.54</v>
      </c>
      <c r="D51" s="14" t="n">
        <v>7897.54</v>
      </c>
      <c r="E51" s="14" t="n">
        <v>0</v>
      </c>
      <c r="F51" s="14" t="n">
        <v>895.09</v>
      </c>
      <c r="G51" s="14" t="n">
        <v>39501.91</v>
      </c>
    </row>
    <row r="52" ht="15" customHeight="1">
      <c r="B52" s="15" t="inlineStr">
        <is>
          <t>Total Allocation</t>
        </is>
      </c>
      <c r="C52" s="16">
        <f>SUM(C49:C51)</f>
        <v/>
      </c>
      <c r="D52" s="16">
        <f>SUM(D49:D51)</f>
        <v/>
      </c>
      <c r="E52" s="16">
        <f>SUM(E49:E51)</f>
        <v/>
      </c>
      <c r="F52" s="16">
        <f>SUM(F49:F51)</f>
        <v/>
      </c>
      <c r="G52" s="16">
        <f>SUM(G49:G51)</f>
        <v/>
      </c>
    </row>
    <row r="53" ht="15" customHeight="1">
      <c r="B53" s="9" t="inlineStr">
        <is>
          <t>TOTALS (Verification)</t>
        </is>
      </c>
      <c r="C53" s="10">
        <f>SUM(C49:C51)</f>
        <v/>
      </c>
      <c r="D53" s="10">
        <f>SUM(D49:D51)</f>
        <v/>
      </c>
      <c r="E53" s="10">
        <f>SUM(E49:E51)</f>
        <v/>
      </c>
      <c r="F53" s="10">
        <f>SUM(F49:F51)</f>
        <v/>
      </c>
      <c r="G53" s="10">
        <f>SUM(G49:G51)</f>
        <v/>
      </c>
    </row>
    <row r="55" ht="15" customHeight="1">
      <c r="B55" s="1" t="inlineStr">
        <is>
          <t>DEPRECIATION SCHEDULE — AS PREVIOUSLY FILED</t>
        </is>
      </c>
    </row>
    <row r="56" ht="28" customHeight="1">
      <c r="A56" s="18" t="inlineStr"/>
      <c r="B56" s="18" t="inlineStr">
        <is>
          <t>Property Description</t>
        </is>
      </c>
      <c r="C56" s="18" t="inlineStr">
        <is>
          <t>Tax Cost</t>
        </is>
      </c>
      <c r="D56" s="18" t="inlineStr">
        <is>
          <t>Tax Bonus Amt</t>
        </is>
      </c>
      <c r="E56" s="18" t="inlineStr">
        <is>
          <t>Tax Prior Depr</t>
        </is>
      </c>
      <c r="F56" s="18" t="inlineStr">
        <is>
          <t>Tax Current Depr</t>
        </is>
      </c>
      <c r="G56" s="18" t="inlineStr">
        <is>
          <t>Tax End Depr</t>
        </is>
      </c>
      <c r="H56" s="18" t="inlineStr">
        <is>
          <t>Tax Net Book Value</t>
        </is>
      </c>
      <c r="I56" s="18" t="inlineStr">
        <is>
          <t>Tax Method</t>
        </is>
      </c>
      <c r="J56" s="18" t="inlineStr">
        <is>
          <t>Tax Period</t>
        </is>
      </c>
    </row>
    <row r="57" ht="15" customHeight="1">
      <c r="B57" s="13" t="inlineStr">
        <is>
          <t>7 - Land Improvements - Kayla</t>
        </is>
      </c>
      <c r="C57" s="14" t="n">
        <v>18110</v>
      </c>
      <c r="D57" s="14" t="n">
        <v>0</v>
      </c>
      <c r="E57" s="14" t="n">
        <v>8574.6</v>
      </c>
      <c r="F57" s="14" t="n">
        <v>1069.43</v>
      </c>
      <c r="G57" s="14" t="n">
        <v>9644.030000000001</v>
      </c>
      <c r="H57" s="14" t="n">
        <v>8465.969999999999</v>
      </c>
      <c r="I57" s="19" t="inlineStr">
        <is>
          <t>150DB</t>
        </is>
      </c>
      <c r="J57" s="20" t="n">
        <v>15</v>
      </c>
    </row>
    <row r="58" ht="15" customHeight="1">
      <c r="B58" s="13" t="inlineStr">
        <is>
          <t>8 - Building - Kayla</t>
        </is>
      </c>
      <c r="C58" s="14" t="n">
        <v>235436</v>
      </c>
      <c r="D58" s="14" t="n">
        <v>0</v>
      </c>
      <c r="E58" s="14" t="n">
        <v>51724.74</v>
      </c>
      <c r="F58" s="14" t="n">
        <v>8561.35</v>
      </c>
      <c r="G58" s="14" t="n">
        <v>60286.09</v>
      </c>
      <c r="H58" s="14" t="n">
        <v>175149.91</v>
      </c>
      <c r="I58" s="19" t="inlineStr">
        <is>
          <t>S/L</t>
        </is>
      </c>
      <c r="J58" s="20" t="n">
        <v>27.5</v>
      </c>
    </row>
    <row r="59" ht="15" customHeight="1">
      <c r="B59" s="13" t="inlineStr">
        <is>
          <t>9 - Equipment - Kayla</t>
        </is>
      </c>
      <c r="C59" s="14" t="n">
        <v>48295</v>
      </c>
      <c r="D59" s="14" t="n">
        <v>0</v>
      </c>
      <c r="E59" s="14" t="n">
        <v>48295</v>
      </c>
      <c r="F59" s="14" t="n">
        <v>0</v>
      </c>
      <c r="G59" s="14" t="n">
        <v>48295</v>
      </c>
      <c r="H59" s="14" t="n">
        <v>0</v>
      </c>
      <c r="I59" s="19" t="inlineStr">
        <is>
          <t>200DB</t>
        </is>
      </c>
      <c r="J59" s="20" t="n">
        <v>5</v>
      </c>
    </row>
    <row r="60" ht="15" customHeight="1">
      <c r="B60" s="15" t="inlineStr">
        <is>
          <t>Grand Total</t>
        </is>
      </c>
      <c r="C60" s="16">
        <f>SUM(C57:C59)</f>
        <v/>
      </c>
      <c r="D60" s="16">
        <f>SUM(D57:D59)</f>
        <v/>
      </c>
      <c r="E60" s="16">
        <f>SUM(E57:E59)</f>
        <v/>
      </c>
      <c r="F60" s="16">
        <f>SUM(F57:F59)</f>
        <v/>
      </c>
      <c r="G60" s="16">
        <f>SUM(G57:G59)</f>
        <v/>
      </c>
      <c r="H60" s="16">
        <f>SUM(H57:H59)</f>
        <v/>
      </c>
    </row>
    <row r="62" ht="15" customHeight="1">
      <c r="B62" s="1" t="inlineStr">
        <is>
          <t>DEPRECIATION SCHEDULE — AFTER COST SEGREGATION CORRECTION</t>
        </is>
      </c>
    </row>
    <row r="63" ht="28" customHeight="1">
      <c r="A63" s="18" t="inlineStr"/>
      <c r="B63" s="18" t="inlineStr">
        <is>
          <t>Property Description</t>
        </is>
      </c>
      <c r="C63" s="18" t="inlineStr">
        <is>
          <t>Tax Cost</t>
        </is>
      </c>
      <c r="D63" s="18" t="inlineStr">
        <is>
          <t>Tax Bonus Amt</t>
        </is>
      </c>
      <c r="E63" s="18" t="inlineStr">
        <is>
          <t>Tax Prior Depr</t>
        </is>
      </c>
      <c r="F63" s="18" t="inlineStr">
        <is>
          <t>Tax Current Depr</t>
        </is>
      </c>
      <c r="G63" s="18" t="inlineStr">
        <is>
          <t>Tax End Depr</t>
        </is>
      </c>
      <c r="H63" s="18" t="inlineStr">
        <is>
          <t>Tax Net Book Value</t>
        </is>
      </c>
      <c r="I63" s="18" t="inlineStr">
        <is>
          <t>Tax Method</t>
        </is>
      </c>
      <c r="J63" s="18" t="inlineStr">
        <is>
          <t>Tax Period</t>
        </is>
      </c>
    </row>
    <row r="64" ht="15" customHeight="1">
      <c r="B64" s="13" t="inlineStr">
        <is>
          <t>7 - Land Improvements - Kayla - 5yr</t>
        </is>
      </c>
      <c r="C64" s="14" t="n">
        <v>2962</v>
      </c>
      <c r="D64" s="14" t="n">
        <v>0</v>
      </c>
      <c r="E64" s="14" t="n">
        <v>2962</v>
      </c>
      <c r="F64" s="14" t="n">
        <v>2962</v>
      </c>
      <c r="G64" s="14" t="n">
        <v>2962</v>
      </c>
      <c r="H64" s="14" t="n">
        <v>0</v>
      </c>
      <c r="I64" s="19" t="inlineStr">
        <is>
          <t>200DB</t>
        </is>
      </c>
      <c r="J64" s="20" t="n">
        <v>5</v>
      </c>
    </row>
    <row r="65" ht="15" customHeight="1">
      <c r="B65" s="13" t="inlineStr">
        <is>
          <t>7 - Land Improvements - Kayla - 15yr</t>
        </is>
      </c>
      <c r="C65" s="14" t="n">
        <v>336</v>
      </c>
      <c r="D65" s="14" t="n">
        <v>0</v>
      </c>
      <c r="E65" s="14" t="n">
        <v>336</v>
      </c>
      <c r="F65" s="14" t="n">
        <v>336</v>
      </c>
      <c r="G65" s="14" t="n">
        <v>336</v>
      </c>
      <c r="H65" s="14" t="n">
        <v>0</v>
      </c>
      <c r="I65" s="19" t="inlineStr">
        <is>
          <t>150DB</t>
        </is>
      </c>
      <c r="J65" s="20" t="n">
        <v>15</v>
      </c>
    </row>
    <row r="66" ht="15" customHeight="1">
      <c r="B66" s="13" t="inlineStr">
        <is>
          <t>7 - Land Improvements - Kayla - 27.5yr</t>
        </is>
      </c>
      <c r="C66" s="14" t="n">
        <v>14813</v>
      </c>
      <c r="D66" s="14" t="n">
        <v>0</v>
      </c>
      <c r="E66" s="14" t="n">
        <v>0</v>
      </c>
      <c r="F66" s="14" t="n">
        <v>3254.34</v>
      </c>
      <c r="G66" s="14" t="n">
        <v>3792.99</v>
      </c>
      <c r="H66" s="14" t="n">
        <v>11020.01</v>
      </c>
      <c r="I66" s="19" t="inlineStr">
        <is>
          <t>S/L</t>
        </is>
      </c>
      <c r="J66" s="20" t="n">
        <v>27.5</v>
      </c>
    </row>
    <row r="67" ht="15" customHeight="1">
      <c r="B67" s="13" t="inlineStr">
        <is>
          <t>8 - Building - Kayla - 5yr</t>
        </is>
      </c>
      <c r="C67" s="14" t="n">
        <v>38500</v>
      </c>
      <c r="D67" s="14" t="n">
        <v>0</v>
      </c>
      <c r="E67" s="14" t="n">
        <v>38500</v>
      </c>
      <c r="F67" s="14" t="n">
        <v>38500</v>
      </c>
      <c r="G67" s="14" t="n">
        <v>38500</v>
      </c>
      <c r="H67" s="14" t="n">
        <v>0</v>
      </c>
      <c r="I67" s="19" t="inlineStr">
        <is>
          <t>200DB</t>
        </is>
      </c>
      <c r="J67" s="20" t="n">
        <v>5</v>
      </c>
    </row>
    <row r="68" ht="15" customHeight="1">
      <c r="B68" s="13" t="inlineStr">
        <is>
          <t>8 - Building - Kayla - 15yr</t>
        </is>
      </c>
      <c r="C68" s="14" t="n">
        <v>4364</v>
      </c>
      <c r="D68" s="14" t="n">
        <v>0</v>
      </c>
      <c r="E68" s="14" t="n">
        <v>4364</v>
      </c>
      <c r="F68" s="14" t="n">
        <v>4364</v>
      </c>
      <c r="G68" s="14" t="n">
        <v>4364</v>
      </c>
      <c r="H68" s="14" t="n">
        <v>0</v>
      </c>
      <c r="I68" s="19" t="inlineStr">
        <is>
          <t>150DB</t>
        </is>
      </c>
      <c r="J68" s="20" t="n">
        <v>15</v>
      </c>
    </row>
    <row r="69" ht="15" customHeight="1">
      <c r="B69" s="13" t="inlineStr">
        <is>
          <t>8 - Building - Kayla - 27.5yr</t>
        </is>
      </c>
      <c r="C69" s="14" t="n">
        <v>192572</v>
      </c>
      <c r="D69" s="14" t="n">
        <v>0</v>
      </c>
      <c r="E69" s="14" t="n">
        <v>0</v>
      </c>
      <c r="F69" s="14" t="n">
        <v>42307.5</v>
      </c>
      <c r="G69" s="14" t="n">
        <v>49310.12</v>
      </c>
      <c r="H69" s="14" t="n">
        <v>143261.88</v>
      </c>
      <c r="I69" s="19" t="inlineStr">
        <is>
          <t>S/L</t>
        </is>
      </c>
      <c r="J69" s="20" t="n">
        <v>27.5</v>
      </c>
    </row>
    <row r="70" ht="15" customHeight="1">
      <c r="B70" s="13" t="inlineStr">
        <is>
          <t>9 - Equipment - Kayla - 5yr</t>
        </is>
      </c>
      <c r="C70" s="14" t="n">
        <v>7898</v>
      </c>
      <c r="D70" s="14" t="n">
        <v>0</v>
      </c>
      <c r="E70" s="14" t="n">
        <v>7898</v>
      </c>
      <c r="F70" s="14" t="n">
        <v>7898</v>
      </c>
      <c r="G70" s="14" t="n">
        <v>7898</v>
      </c>
      <c r="H70" s="14" t="n">
        <v>0</v>
      </c>
      <c r="I70" s="19" t="inlineStr">
        <is>
          <t>200DB</t>
        </is>
      </c>
      <c r="J70" s="20" t="n">
        <v>5</v>
      </c>
    </row>
    <row r="71" ht="15" customHeight="1">
      <c r="B71" s="13" t="inlineStr">
        <is>
          <t>9 - Equipment - Kayla - 15yr</t>
        </is>
      </c>
      <c r="C71" s="14" t="n">
        <v>895</v>
      </c>
      <c r="D71" s="14" t="n">
        <v>0</v>
      </c>
      <c r="E71" s="14" t="n">
        <v>895</v>
      </c>
      <c r="F71" s="14" t="n">
        <v>895</v>
      </c>
      <c r="G71" s="14" t="n">
        <v>895</v>
      </c>
      <c r="H71" s="14" t="n">
        <v>0</v>
      </c>
      <c r="I71" s="19" t="inlineStr">
        <is>
          <t>150DB</t>
        </is>
      </c>
      <c r="J71" s="20" t="n">
        <v>15</v>
      </c>
    </row>
    <row r="72" ht="15" customHeight="1">
      <c r="B72" s="13" t="inlineStr">
        <is>
          <t>9 - Equipment - Kayla - 27.5yr</t>
        </is>
      </c>
      <c r="C72" s="14" t="n">
        <v>39501</v>
      </c>
      <c r="D72" s="14" t="n">
        <v>0</v>
      </c>
      <c r="E72" s="14" t="n">
        <v>0</v>
      </c>
      <c r="F72" s="14" t="n">
        <v>8678.49</v>
      </c>
      <c r="G72" s="14" t="n">
        <v>10114.89</v>
      </c>
      <c r="H72" s="14" t="n">
        <v>29386.11</v>
      </c>
      <c r="I72" s="19" t="inlineStr">
        <is>
          <t>S/L</t>
        </is>
      </c>
      <c r="J72" s="20" t="n">
        <v>27.5</v>
      </c>
    </row>
    <row r="73" ht="15" customHeight="1">
      <c r="B73" s="15" t="inlineStr">
        <is>
          <t>Grand Total</t>
        </is>
      </c>
      <c r="C73" s="16">
        <f>SUM(C64:C72)</f>
        <v/>
      </c>
      <c r="D73" s="16">
        <f>SUM(D64:D72)</f>
        <v/>
      </c>
      <c r="E73" s="16">
        <f>SUM(E64:E72)</f>
        <v/>
      </c>
      <c r="F73" s="16">
        <f>SUM(F64:F72)</f>
        <v/>
      </c>
      <c r="G73" s="16">
        <f>SUM(G64:G72)</f>
        <v/>
      </c>
      <c r="H73" s="16">
        <f>SUM(H64:H72)</f>
        <v/>
      </c>
    </row>
    <row r="75" ht="15" customHeight="1">
      <c r="B75" s="1" t="inlineStr">
        <is>
          <t>SECTION 481(a) ADJUSTMENT</t>
        </is>
      </c>
    </row>
    <row r="76" ht="15" customHeight="1">
      <c r="B76" s="13" t="inlineStr">
        <is>
          <t>Depreciation Previously Reported</t>
        </is>
      </c>
      <c r="C76" s="14" t="n">
        <v>118225.12</v>
      </c>
    </row>
    <row r="77" ht="15" customHeight="1">
      <c r="B77" s="13" t="inlineStr">
        <is>
          <t>Cost Segregation Corrected Depreciation</t>
        </is>
      </c>
      <c r="C77" s="14" t="n">
        <v>118173</v>
      </c>
    </row>
    <row r="78" ht="15" customHeight="1">
      <c r="B78" s="9" t="inlineStr">
        <is>
          <t>Section 481(a) Adjustment</t>
        </is>
      </c>
      <c r="C78" s="10">
        <f>C77-C76</f>
        <v/>
      </c>
    </row>
  </sheetData>
  <mergeCells count="11">
    <mergeCell ref="B7:J7"/>
    <mergeCell ref="B25:J25"/>
    <mergeCell ref="B3:J3"/>
    <mergeCell ref="B5:J5"/>
    <mergeCell ref="B20:J20"/>
    <mergeCell ref="B62:J62"/>
    <mergeCell ref="B1:J1"/>
    <mergeCell ref="B75:J75"/>
    <mergeCell ref="B55:J55"/>
    <mergeCell ref="B47:J4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2026-07-07T22:21:48Z</dcterms:created>
  <dcterms:modified xmlns:dcterms="http://purl.org/dc/terms/" xmlns:xsi="http://www.w3.org/2001/XMLSchema-instance" xsi:type="dcterms:W3CDTF">2026-07-07T22:21:49Z</dcterms:modified>
</cp:coreProperties>
</file>