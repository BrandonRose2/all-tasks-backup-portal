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bldg 1" sheetId="3" state="visible" r:id="rId3"/>
    <sheet xmlns:r="http://schemas.openxmlformats.org/officeDocument/2006/relationships" name="bldg 2" sheetId="4" state="visible" r:id="rId4"/>
    <sheet xmlns:r="http://schemas.openxmlformats.org/officeDocument/2006/relationships" name="bldg 3" sheetId="5" state="visible" r:id="rId5"/>
    <sheet xmlns:r="http://schemas.openxmlformats.org/officeDocument/2006/relationships" name="office" sheetId="6" state="visible" r:id="rId6"/>
    <sheet xmlns:r="http://schemas.openxmlformats.org/officeDocument/2006/relationships" name="bldg 5" sheetId="7" state="visible" r:id="rId7"/>
    <sheet xmlns:r="http://schemas.openxmlformats.org/officeDocument/2006/relationships" name="bldg 6" sheetId="8" state="visible" r:id="rId8"/>
    <sheet xmlns:r="http://schemas.openxmlformats.org/officeDocument/2006/relationships" name="bldg 7" sheetId="9" state="visible" r:id="rId9"/>
    <sheet xmlns:r="http://schemas.openxmlformats.org/officeDocument/2006/relationships" name="bldg 8" sheetId="10" state="visible" r:id="rId10"/>
    <sheet xmlns:r="http://schemas.openxmlformats.org/officeDocument/2006/relationships" name="bldg 9" sheetId="11" state="visible" r:id="rId11"/>
    <sheet xmlns:r="http://schemas.openxmlformats.org/officeDocument/2006/relationships" name="bldg 10" sheetId="12" state="visible" r:id="rId12"/>
    <sheet xmlns:r="http://schemas.openxmlformats.org/officeDocument/2006/relationships" name="bldg 11" sheetId="13" state="visible" r:id="rId13"/>
    <sheet xmlns:r="http://schemas.openxmlformats.org/officeDocument/2006/relationships" name="bldg 12" sheetId="14" state="visible" r:id="rId14"/>
    <sheet xmlns:r="http://schemas.openxmlformats.org/officeDocument/2006/relationships" name="bldg 13" sheetId="15" state="visible" r:id="rId15"/>
    <sheet xmlns:r="http://schemas.openxmlformats.org/officeDocument/2006/relationships" name="bldg 14" sheetId="16" state="visible" r:id="rId16"/>
    <sheet xmlns:r="http://schemas.openxmlformats.org/officeDocument/2006/relationships" name="bldg 15" sheetId="17" state="visible" r:id="rId17"/>
    <sheet xmlns:r="http://schemas.openxmlformats.org/officeDocument/2006/relationships" name="bldg 16" sheetId="18" state="visible" r:id="rId18"/>
    <sheet xmlns:r="http://schemas.openxmlformats.org/officeDocument/2006/relationships" name="bldg 17" sheetId="19" state="visible" r:id="rId19"/>
    <sheet xmlns:r="http://schemas.openxmlformats.org/officeDocument/2006/relationships" name="maint" sheetId="20" state="visible" r:id="rId20"/>
    <sheet xmlns:r="http://schemas.openxmlformats.org/officeDocument/2006/relationships" name="asset 15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.00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2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4" fontId="0" fillId="0" borderId="0" pivotButton="0" quotePrefix="0" xfId="0"/>
    <xf numFmtId="39" fontId="2" fillId="0" borderId="0" pivotButton="0" quotePrefix="0" xfId="0"/>
    <xf numFmtId="0" fontId="1" fillId="4" borderId="0" pivotButton="0" quotePrefix="0" xfId="0"/>
    <xf numFmtId="39" fontId="2" fillId="4" borderId="0" pivotButton="0" quotePrefix="0" xfId="0"/>
    <xf numFmtId="39" fontId="0" fillId="0" borderId="0" pivotButton="0" quotePrefix="0" xfId="0"/>
    <xf numFmtId="165" fontId="1" fillId="3" borderId="0" pivotButton="0" quotePrefix="0" xfId="0"/>
    <xf numFmtId="166" fontId="2" fillId="0" borderId="0" pivotButton="0" quotePrefix="0" xfId="0"/>
    <xf numFmtId="165" fontId="2" fillId="0" borderId="0" pivotButton="0" quotePrefix="0" xfId="0"/>
    <xf numFmtId="39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  <col width="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6" customWidth="1" min="27" max="27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6" customWidth="1" min="50" max="50"/>
  </cols>
  <sheetData>
    <row r="1">
      <c r="A1" s="1" t="inlineStr">
        <is>
          <t>Silver Spring Terrace Apartments</t>
        </is>
      </c>
    </row>
    <row r="2">
      <c r="A2" s="2" t="inlineStr">
        <is>
          <t>Summary of Cost Seg Adjustments</t>
        </is>
      </c>
    </row>
    <row r="3">
      <c r="A3" s="2" t="inlineStr">
        <is>
          <t>As of December 31, 2024</t>
        </is>
      </c>
    </row>
    <row r="9">
      <c r="AC9" s="2" t="inlineStr">
        <is>
          <t>end deprec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3" t="inlineStr">
        <is>
          <t>#</t>
        </is>
      </c>
      <c r="F10" s="3" t="inlineStr">
        <is>
          <t>site</t>
        </is>
      </c>
      <c r="G10" s="3" t="inlineStr">
        <is>
          <t>bldg 1</t>
        </is>
      </c>
      <c r="H10" s="3" t="inlineStr">
        <is>
          <t>bldg 2</t>
        </is>
      </c>
      <c r="I10" s="3" t="inlineStr">
        <is>
          <t>bldg 3</t>
        </is>
      </c>
      <c r="J10" s="3" t="inlineStr">
        <is>
          <t>office</t>
        </is>
      </c>
      <c r="K10" s="3" t="inlineStr">
        <is>
          <t>bldg 5</t>
        </is>
      </c>
      <c r="L10" s="3" t="inlineStr">
        <is>
          <t>bldg 6</t>
        </is>
      </c>
      <c r="M10" s="3" t="inlineStr">
        <is>
          <t>bldg 7</t>
        </is>
      </c>
      <c r="N10" s="3" t="inlineStr">
        <is>
          <t>bldg 8</t>
        </is>
      </c>
      <c r="O10" s="3" t="inlineStr">
        <is>
          <t>bldg 9</t>
        </is>
      </c>
      <c r="P10" s="3" t="inlineStr">
        <is>
          <t>bldg 10</t>
        </is>
      </c>
      <c r="Q10" s="3" t="inlineStr">
        <is>
          <t>bldg 11</t>
        </is>
      </c>
      <c r="R10" s="3" t="inlineStr">
        <is>
          <t>bldg 12</t>
        </is>
      </c>
      <c r="S10" s="3" t="inlineStr">
        <is>
          <t>bldg 13</t>
        </is>
      </c>
      <c r="T10" s="3" t="inlineStr">
        <is>
          <t>bldg 14</t>
        </is>
      </c>
      <c r="U10" s="3" t="inlineStr">
        <is>
          <t>bldg 15</t>
        </is>
      </c>
      <c r="V10" s="3" t="inlineStr">
        <is>
          <t>bldg 16</t>
        </is>
      </c>
      <c r="W10" s="3" t="inlineStr">
        <is>
          <t>bldg 17</t>
        </is>
      </c>
      <c r="X10" s="3" t="inlineStr">
        <is>
          <t>maint</t>
        </is>
      </c>
      <c r="Y10" s="3" t="inlineStr">
        <is>
          <t>asset 15</t>
        </is>
      </c>
      <c r="AA10" s="3" t="inlineStr">
        <is>
          <t>total cost</t>
        </is>
      </c>
      <c r="AC10" s="3" t="inlineStr">
        <is>
          <t>site</t>
        </is>
      </c>
      <c r="AD10" s="3" t="inlineStr">
        <is>
          <t>bldg 1</t>
        </is>
      </c>
      <c r="AE10" s="3" t="inlineStr">
        <is>
          <t>bldg 2</t>
        </is>
      </c>
      <c r="AF10" s="3" t="inlineStr">
        <is>
          <t>bldg 3</t>
        </is>
      </c>
      <c r="AG10" s="3" t="inlineStr">
        <is>
          <t>office</t>
        </is>
      </c>
      <c r="AH10" s="3" t="inlineStr">
        <is>
          <t>bldg 5</t>
        </is>
      </c>
      <c r="AI10" s="3" t="inlineStr">
        <is>
          <t>bldg 6</t>
        </is>
      </c>
      <c r="AJ10" s="3" t="inlineStr">
        <is>
          <t>bldg 7</t>
        </is>
      </c>
      <c r="AK10" s="3" t="inlineStr">
        <is>
          <t>bldg 8</t>
        </is>
      </c>
      <c r="AL10" s="3" t="inlineStr">
        <is>
          <t>bldg 9</t>
        </is>
      </c>
      <c r="AM10" s="3" t="inlineStr">
        <is>
          <t>bldg 10</t>
        </is>
      </c>
      <c r="AN10" s="3" t="inlineStr">
        <is>
          <t>bldg 11</t>
        </is>
      </c>
      <c r="AO10" s="3" t="inlineStr">
        <is>
          <t>bldg 12</t>
        </is>
      </c>
      <c r="AP10" s="3" t="inlineStr">
        <is>
          <t>bldg 13</t>
        </is>
      </c>
      <c r="AQ10" s="3" t="inlineStr">
        <is>
          <t>bldg 14</t>
        </is>
      </c>
      <c r="AR10" s="3" t="inlineStr">
        <is>
          <t>bldg 15</t>
        </is>
      </c>
      <c r="AS10" s="3" t="inlineStr">
        <is>
          <t>bldg 16</t>
        </is>
      </c>
      <c r="AT10" s="3" t="inlineStr">
        <is>
          <t>bldg 17</t>
        </is>
      </c>
      <c r="AU10" s="3" t="inlineStr">
        <is>
          <t>maint</t>
        </is>
      </c>
      <c r="AV10" s="3" t="inlineStr">
        <is>
          <t>asset 15</t>
        </is>
      </c>
      <c r="AX10" s="3" t="inlineStr">
        <is>
          <t>total</t>
        </is>
      </c>
    </row>
    <row r="11">
      <c r="A11" s="2" t="inlineStr">
        <is>
          <t>5/31/17</t>
        </is>
      </c>
      <c r="B11" s="1" t="inlineStr">
        <is>
          <t>5 Year Personal Property</t>
        </is>
      </c>
      <c r="F11" s="2" t="n">
        <v>284262.06</v>
      </c>
      <c r="G11" s="2" t="n">
        <v>48570.52</v>
      </c>
      <c r="H11" s="2" t="n">
        <v>48570.52</v>
      </c>
      <c r="I11" s="2" t="n">
        <v>48570.52</v>
      </c>
      <c r="J11" s="2" t="n">
        <v>18918.78</v>
      </c>
      <c r="K11" s="2" t="n">
        <v>31841.95</v>
      </c>
      <c r="L11" s="2" t="n">
        <v>55766.87</v>
      </c>
      <c r="M11" s="2" t="n">
        <v>55766.87</v>
      </c>
      <c r="N11" s="2" t="n">
        <v>31841.95</v>
      </c>
      <c r="O11" s="2" t="n">
        <v>55766.87</v>
      </c>
      <c r="P11" s="2" t="n">
        <v>55766.87</v>
      </c>
      <c r="Q11" s="2" t="n">
        <v>48570.52</v>
      </c>
      <c r="R11" s="2" t="n">
        <v>31841.95</v>
      </c>
      <c r="S11" s="2" t="n">
        <v>31841.95</v>
      </c>
      <c r="T11" s="2" t="n">
        <v>27333.77</v>
      </c>
      <c r="U11" s="2" t="n">
        <v>22421.67</v>
      </c>
      <c r="V11" s="2" t="n">
        <v>22421.67</v>
      </c>
      <c r="W11" s="2" t="n">
        <v>55766.87</v>
      </c>
      <c r="X11" s="2" t="n">
        <v>481.32</v>
      </c>
      <c r="Y11" s="2" t="n">
        <v>25900</v>
      </c>
    </row>
    <row r="12">
      <c r="B12" s="1" t="inlineStr">
        <is>
          <t>15 Year Real Property</t>
        </is>
      </c>
    </row>
    <row r="13">
      <c r="B13" s="1" t="inlineStr">
        <is>
          <t>27.5 Year Real Property</t>
        </is>
      </c>
      <c r="F13" s="2" t="n">
        <v>134674.07</v>
      </c>
      <c r="G13" s="2" t="n">
        <v>185820.51</v>
      </c>
      <c r="H13" s="2" t="n">
        <v>185820.51</v>
      </c>
      <c r="I13" s="2" t="n">
        <v>185820.51</v>
      </c>
      <c r="J13" s="2" t="n">
        <v>73984.5</v>
      </c>
      <c r="K13" s="2" t="n">
        <v>137928.07</v>
      </c>
      <c r="L13" s="2" t="n">
        <v>210049.58</v>
      </c>
      <c r="M13" s="2" t="n">
        <v>210049.58</v>
      </c>
      <c r="N13" s="2" t="n">
        <v>137928.07</v>
      </c>
      <c r="O13" s="2" t="n">
        <v>210049.58</v>
      </c>
      <c r="P13" s="2" t="n">
        <v>210049.58</v>
      </c>
      <c r="Q13" s="2" t="n">
        <v>185820.51</v>
      </c>
      <c r="R13" s="2" t="n">
        <v>137928.07</v>
      </c>
      <c r="S13" s="2" t="n">
        <v>137928.07</v>
      </c>
      <c r="T13" s="2" t="n">
        <v>117038.37</v>
      </c>
      <c r="U13" s="2" t="n">
        <v>89561.91</v>
      </c>
      <c r="V13" s="2" t="n">
        <v>89561.91</v>
      </c>
      <c r="W13" s="2" t="n">
        <v>210049.58</v>
      </c>
      <c r="X13" s="2" t="n">
        <v>3561.52</v>
      </c>
      <c r="Y13" s="2" t="n">
        <v>61640</v>
      </c>
    </row>
    <row r="14">
      <c r="B14" s="1" t="inlineStr">
        <is>
          <t>7 Year Personal Property</t>
        </is>
      </c>
    </row>
    <row r="15">
      <c r="F15" s="4">
        <f>SUM(F11:F14)</f>
        <v/>
      </c>
      <c r="G15" s="4">
        <f>SUM(G11:G14)</f>
        <v/>
      </c>
      <c r="H15" s="4">
        <f>SUM(H11:H14)</f>
        <v/>
      </c>
      <c r="I15" s="4">
        <f>SUM(I11:I14)</f>
        <v/>
      </c>
      <c r="J15" s="4">
        <f>SUM(J11:J14)</f>
        <v/>
      </c>
      <c r="K15" s="4">
        <f>SUM(K11:K14)</f>
        <v/>
      </c>
      <c r="L15" s="4">
        <f>SUM(L11:L14)</f>
        <v/>
      </c>
      <c r="M15" s="4">
        <f>SUM(M11:M14)</f>
        <v/>
      </c>
      <c r="N15" s="4">
        <f>SUM(N11:N14)</f>
        <v/>
      </c>
      <c r="O15" s="4">
        <f>SUM(O11:O14)</f>
        <v/>
      </c>
      <c r="P15" s="4">
        <f>SUM(P11:P14)</f>
        <v/>
      </c>
      <c r="Q15" s="4">
        <f>SUM(Q11:Q14)</f>
        <v/>
      </c>
      <c r="R15" s="4">
        <f>SUM(R11:R14)</f>
        <v/>
      </c>
      <c r="S15" s="4">
        <f>SUM(S11:S14)</f>
        <v/>
      </c>
      <c r="T15" s="4">
        <f>SUM(T11:T14)</f>
        <v/>
      </c>
      <c r="U15" s="4">
        <f>SUM(U11:U14)</f>
        <v/>
      </c>
      <c r="V15" s="4">
        <f>SUM(V11:V14)</f>
        <v/>
      </c>
      <c r="W15" s="4">
        <f>SUM(W11:W14)</f>
        <v/>
      </c>
      <c r="X15" s="4">
        <f>SUM(X11:X14)</f>
        <v/>
      </c>
      <c r="Y15" s="4">
        <f>SUM(Y11:Y14)</f>
        <v/>
      </c>
    </row>
    <row r="16">
      <c r="B16" s="1" t="inlineStr">
        <is>
          <t>Total</t>
        </is>
      </c>
      <c r="F16" s="2" t="n">
        <v>418936.13</v>
      </c>
      <c r="G16" s="2" t="n">
        <v>234391.03</v>
      </c>
      <c r="H16" s="2" t="n">
        <v>234391.03</v>
      </c>
      <c r="I16" s="2" t="n">
        <v>234391.03</v>
      </c>
      <c r="J16" s="2" t="n">
        <v>92903.28</v>
      </c>
      <c r="K16" s="2" t="n">
        <v>169770.02</v>
      </c>
      <c r="L16" s="2" t="n">
        <v>265816.45</v>
      </c>
      <c r="M16" s="2" t="n">
        <v>265816.45</v>
      </c>
      <c r="N16" s="2" t="n">
        <v>169770.02</v>
      </c>
      <c r="O16" s="2" t="n">
        <v>265816.45</v>
      </c>
      <c r="P16" s="2" t="n">
        <v>265816.45</v>
      </c>
      <c r="Q16" s="2" t="n">
        <v>234391.03</v>
      </c>
      <c r="R16" s="2" t="n">
        <v>169770.02</v>
      </c>
      <c r="S16" s="2" t="n">
        <v>169770.02</v>
      </c>
      <c r="T16" s="2" t="n">
        <v>144372.14</v>
      </c>
      <c r="U16" s="2" t="n">
        <v>111983.58</v>
      </c>
      <c r="V16" s="2" t="n">
        <v>111983.58</v>
      </c>
      <c r="W16" s="2" t="n">
        <v>265816.45</v>
      </c>
      <c r="X16" s="2" t="n">
        <v>4042.84</v>
      </c>
      <c r="Y16" s="2" t="n">
        <v>87540</v>
      </c>
      <c r="AA16" s="2" t="n">
        <v>3917488</v>
      </c>
      <c r="AC16" s="5" t="n">
        <v>290720.32</v>
      </c>
      <c r="AD16" s="5" t="n">
        <v>162655.33</v>
      </c>
      <c r="AE16" s="5" t="n">
        <v>162655.33</v>
      </c>
      <c r="AF16" s="5" t="n">
        <v>162655.33</v>
      </c>
      <c r="AG16" s="5" t="n">
        <v>64470.1</v>
      </c>
      <c r="AH16" s="5" t="n">
        <v>117811.65</v>
      </c>
      <c r="AI16" s="5" t="n">
        <v>184462.94</v>
      </c>
      <c r="AJ16" s="5" t="n">
        <v>184462.94</v>
      </c>
      <c r="AK16" s="5" t="n">
        <v>117811.65</v>
      </c>
      <c r="AL16" s="5" t="n">
        <v>184462.94</v>
      </c>
      <c r="AM16" s="5" t="n">
        <v>184462.94</v>
      </c>
      <c r="AN16" s="5" t="n">
        <v>162655.33</v>
      </c>
      <c r="AO16" s="5" t="n">
        <v>117811.65</v>
      </c>
      <c r="AP16" s="5" t="n">
        <v>117811.65</v>
      </c>
      <c r="AQ16" s="5" t="n">
        <v>100186.83</v>
      </c>
      <c r="AR16" s="5" t="n">
        <v>77710.85000000001</v>
      </c>
      <c r="AS16" s="5" t="n">
        <v>77710.85000000001</v>
      </c>
      <c r="AT16" s="5" t="n">
        <v>184462.94</v>
      </c>
      <c r="AU16" s="5" t="n">
        <v>2805.54</v>
      </c>
      <c r="AV16" s="5" t="n">
        <v>79032</v>
      </c>
      <c r="AX16" s="5" t="n">
        <v>2736819.11</v>
      </c>
    </row>
    <row r="17">
      <c r="AC17" s="5" t="n">
        <v>290720.32</v>
      </c>
      <c r="AD17" s="5" t="n">
        <v>162655.33</v>
      </c>
      <c r="AE17" s="5" t="n">
        <v>162655.33</v>
      </c>
      <c r="AF17" s="5" t="n">
        <v>162655.33</v>
      </c>
      <c r="AG17" s="5" t="n">
        <v>64470.1</v>
      </c>
      <c r="AH17" s="5" t="n">
        <v>117811.65</v>
      </c>
      <c r="AI17" s="5" t="n">
        <v>184462.94</v>
      </c>
      <c r="AJ17" s="5" t="n">
        <v>184462.94</v>
      </c>
      <c r="AK17" s="5" t="n">
        <v>117811.65</v>
      </c>
      <c r="AL17" s="5" t="n">
        <v>184462.94</v>
      </c>
      <c r="AM17" s="5" t="n">
        <v>184462.94</v>
      </c>
      <c r="AN17" s="5" t="n">
        <v>162655.33</v>
      </c>
      <c r="AO17" s="5" t="n">
        <v>117811.65</v>
      </c>
      <c r="AP17" s="5" t="n">
        <v>117811.65</v>
      </c>
      <c r="AQ17" s="5" t="n">
        <v>100186.83</v>
      </c>
      <c r="AR17" s="5" t="n">
        <v>77710.85000000001</v>
      </c>
      <c r="AS17" s="5" t="n">
        <v>77710.85000000001</v>
      </c>
      <c r="AT17" s="5" t="n">
        <v>184462.94</v>
      </c>
      <c r="AU17" s="5" t="n">
        <v>2805.54</v>
      </c>
      <c r="AV17" s="5" t="n">
        <v>79032</v>
      </c>
      <c r="AX17" s="5" t="n">
        <v>2736819.11</v>
      </c>
    </row>
    <row r="18">
      <c r="B18" s="1" t="inlineStr">
        <is>
          <t>MACRS Reclassification</t>
        </is>
      </c>
    </row>
    <row r="20">
      <c r="B20" s="2" t="inlineStr">
        <is>
          <t>19 - Building - Silver Spring Terrace Apartments - 5yr</t>
        </is>
      </c>
      <c r="F20" s="2" t="n">
        <v>802.92</v>
      </c>
      <c r="G20" s="2" t="n">
        <v>137.19</v>
      </c>
      <c r="H20" s="2" t="n">
        <v>137.19</v>
      </c>
      <c r="I20" s="2" t="n">
        <v>137.19</v>
      </c>
      <c r="J20" s="2" t="n">
        <v>53.44</v>
      </c>
      <c r="K20" s="2" t="n">
        <v>89.94</v>
      </c>
      <c r="L20" s="2" t="n">
        <v>157.52</v>
      </c>
      <c r="M20" s="2" t="n">
        <v>157.52</v>
      </c>
      <c r="N20" s="2" t="n">
        <v>89.94</v>
      </c>
      <c r="O20" s="2" t="n">
        <v>157.52</v>
      </c>
      <c r="P20" s="2" t="n">
        <v>157.52</v>
      </c>
      <c r="Q20" s="2" t="n">
        <v>137.19</v>
      </c>
      <c r="R20" s="2" t="n">
        <v>89.94</v>
      </c>
      <c r="S20" s="2" t="n">
        <v>89.94</v>
      </c>
      <c r="T20" s="2" t="n">
        <v>77.20999999999999</v>
      </c>
      <c r="U20" s="2" t="n">
        <v>63.33</v>
      </c>
      <c r="V20" s="2" t="n">
        <v>63.33</v>
      </c>
      <c r="W20" s="2" t="n">
        <v>157.52</v>
      </c>
      <c r="X20" s="2" t="n">
        <v>1.36</v>
      </c>
      <c r="AA20" s="2" t="n">
        <v>2757.71</v>
      </c>
      <c r="AC20" s="5" t="n">
        <v>802.92</v>
      </c>
      <c r="AD20" s="5" t="n">
        <v>137.19</v>
      </c>
      <c r="AE20" s="5" t="n">
        <v>137.19</v>
      </c>
      <c r="AF20" s="5" t="n">
        <v>137.19</v>
      </c>
      <c r="AG20" s="5" t="n">
        <v>53.44</v>
      </c>
      <c r="AH20" s="5" t="n">
        <v>89.94</v>
      </c>
      <c r="AI20" s="5" t="n">
        <v>157.52</v>
      </c>
      <c r="AJ20" s="5" t="n">
        <v>157.52</v>
      </c>
      <c r="AK20" s="5" t="n">
        <v>89.94</v>
      </c>
      <c r="AL20" s="5" t="n">
        <v>157.52</v>
      </c>
      <c r="AM20" s="5" t="n">
        <v>157.52</v>
      </c>
      <c r="AN20" s="5" t="n">
        <v>137.19</v>
      </c>
      <c r="AO20" s="5" t="n">
        <v>89.94</v>
      </c>
      <c r="AP20" s="5" t="n">
        <v>89.94</v>
      </c>
      <c r="AQ20" s="5" t="n">
        <v>77.20999999999999</v>
      </c>
      <c r="AR20" s="5" t="n">
        <v>63.33</v>
      </c>
      <c r="AS20" s="5" t="n">
        <v>63.33</v>
      </c>
      <c r="AT20" s="5" t="n">
        <v>157.52</v>
      </c>
      <c r="AU20" s="5" t="n">
        <v>1.36</v>
      </c>
      <c r="AX20" s="5" t="n">
        <v>2757.71</v>
      </c>
    </row>
    <row r="21">
      <c r="B21" s="2" t="inlineStr">
        <is>
          <t>19 - Building - Silver Spring Terrace Apartments - 27.5yr</t>
        </is>
      </c>
      <c r="F21" s="2" t="n">
        <v>380.4</v>
      </c>
      <c r="G21" s="2" t="n">
        <v>524.87</v>
      </c>
      <c r="H21" s="2" t="n">
        <v>524.87</v>
      </c>
      <c r="I21" s="2" t="n">
        <v>524.87</v>
      </c>
      <c r="J21" s="2" t="n">
        <v>208.97</v>
      </c>
      <c r="K21" s="2" t="n">
        <v>389.59</v>
      </c>
      <c r="L21" s="2" t="n">
        <v>593.3</v>
      </c>
      <c r="M21" s="2" t="n">
        <v>593.3</v>
      </c>
      <c r="N21" s="2" t="n">
        <v>389.59</v>
      </c>
      <c r="O21" s="2" t="n">
        <v>593.3</v>
      </c>
      <c r="P21" s="2" t="n">
        <v>593.3</v>
      </c>
      <c r="Q21" s="2" t="n">
        <v>524.87</v>
      </c>
      <c r="R21" s="2" t="n">
        <v>389.59</v>
      </c>
      <c r="S21" s="2" t="n">
        <v>389.59</v>
      </c>
      <c r="T21" s="2" t="n">
        <v>330.58</v>
      </c>
      <c r="U21" s="2" t="n">
        <v>252.97</v>
      </c>
      <c r="V21" s="2" t="n">
        <v>252.97</v>
      </c>
      <c r="W21" s="2" t="n">
        <v>593.3</v>
      </c>
      <c r="X21" s="2" t="n">
        <v>10.06</v>
      </c>
      <c r="AA21" s="2" t="n">
        <v>8060.29</v>
      </c>
      <c r="AC21" s="5" t="n">
        <v>380.4</v>
      </c>
      <c r="AD21" s="5" t="n">
        <v>524.87</v>
      </c>
      <c r="AE21" s="5" t="n">
        <v>524.87</v>
      </c>
      <c r="AF21" s="5" t="n">
        <v>524.87</v>
      </c>
      <c r="AG21" s="5" t="n">
        <v>208.97</v>
      </c>
      <c r="AH21" s="5" t="n">
        <v>389.59</v>
      </c>
      <c r="AI21" s="5" t="n">
        <v>593.3</v>
      </c>
      <c r="AJ21" s="5" t="n">
        <v>593.3</v>
      </c>
      <c r="AK21" s="5" t="n">
        <v>389.59</v>
      </c>
      <c r="AL21" s="5" t="n">
        <v>593.3</v>
      </c>
      <c r="AM21" s="5" t="n">
        <v>593.3</v>
      </c>
      <c r="AN21" s="5" t="n">
        <v>524.87</v>
      </c>
      <c r="AO21" s="5" t="n">
        <v>389.59</v>
      </c>
      <c r="AP21" s="5" t="n">
        <v>389.59</v>
      </c>
      <c r="AQ21" s="5" t="n">
        <v>330.58</v>
      </c>
      <c r="AR21" s="5" t="n">
        <v>252.97</v>
      </c>
      <c r="AS21" s="5" t="n">
        <v>252.97</v>
      </c>
      <c r="AT21" s="5" t="n">
        <v>593.3</v>
      </c>
      <c r="AU21" s="5" t="n">
        <v>10.06</v>
      </c>
      <c r="AX21" s="5" t="n">
        <v>8060.29</v>
      </c>
    </row>
    <row r="22">
      <c r="B22" s="2" t="inlineStr">
        <is>
          <t>3 - Building - Silver Spring Terrace Apartments - 5yr</t>
        </is>
      </c>
      <c r="F22" s="2" t="n">
        <v>238926.62</v>
      </c>
      <c r="G22" s="2" t="n">
        <v>40824.27</v>
      </c>
      <c r="H22" s="2" t="n">
        <v>40824.27</v>
      </c>
      <c r="I22" s="2" t="n">
        <v>40824.27</v>
      </c>
      <c r="J22" s="2" t="n">
        <v>15901.52</v>
      </c>
      <c r="K22" s="2" t="n">
        <v>26763.65</v>
      </c>
      <c r="L22" s="2" t="n">
        <v>46872.91</v>
      </c>
      <c r="M22" s="2" t="n">
        <v>46872.91</v>
      </c>
      <c r="N22" s="2" t="n">
        <v>26763.65</v>
      </c>
      <c r="O22" s="2" t="n">
        <v>46872.91</v>
      </c>
      <c r="P22" s="2" t="n">
        <v>46872.91</v>
      </c>
      <c r="Q22" s="2" t="n">
        <v>40824.27</v>
      </c>
      <c r="R22" s="2" t="n">
        <v>26763.65</v>
      </c>
      <c r="S22" s="2" t="n">
        <v>26763.65</v>
      </c>
      <c r="T22" s="2" t="n">
        <v>22974.45</v>
      </c>
      <c r="U22" s="2" t="n">
        <v>18845.76</v>
      </c>
      <c r="V22" s="2" t="n">
        <v>18845.76</v>
      </c>
      <c r="W22" s="2" t="n">
        <v>46872.91</v>
      </c>
      <c r="X22" s="2" t="n">
        <v>404.56</v>
      </c>
      <c r="AA22" s="2" t="n">
        <v>820614.9</v>
      </c>
      <c r="AC22" s="5" t="n">
        <v>238926.62</v>
      </c>
      <c r="AD22" s="5" t="n">
        <v>40824.27</v>
      </c>
      <c r="AE22" s="5" t="n">
        <v>40824.27</v>
      </c>
      <c r="AF22" s="5" t="n">
        <v>40824.27</v>
      </c>
      <c r="AG22" s="5" t="n">
        <v>15901.52</v>
      </c>
      <c r="AH22" s="5" t="n">
        <v>26763.65</v>
      </c>
      <c r="AI22" s="5" t="n">
        <v>46872.91</v>
      </c>
      <c r="AJ22" s="5" t="n">
        <v>46872.91</v>
      </c>
      <c r="AK22" s="5" t="n">
        <v>26763.65</v>
      </c>
      <c r="AL22" s="5" t="n">
        <v>46872.91</v>
      </c>
      <c r="AM22" s="5" t="n">
        <v>46872.91</v>
      </c>
      <c r="AN22" s="5" t="n">
        <v>40824.27</v>
      </c>
      <c r="AO22" s="5" t="n">
        <v>26763.65</v>
      </c>
      <c r="AP22" s="5" t="n">
        <v>26763.65</v>
      </c>
      <c r="AQ22" s="5" t="n">
        <v>22974.45</v>
      </c>
      <c r="AR22" s="5" t="n">
        <v>18845.76</v>
      </c>
      <c r="AS22" s="5" t="n">
        <v>18845.76</v>
      </c>
      <c r="AT22" s="5" t="n">
        <v>46872.91</v>
      </c>
      <c r="AU22" s="5" t="n">
        <v>404.56</v>
      </c>
      <c r="AX22" s="5" t="n">
        <v>820614.9</v>
      </c>
    </row>
    <row r="23">
      <c r="B23" s="2" t="inlineStr">
        <is>
          <t>3 - Building - Silver Spring Terrace Apartments - 27.5yr</t>
        </is>
      </c>
      <c r="F23" s="2" t="n">
        <v>113195.62</v>
      </c>
      <c r="G23" s="2" t="n">
        <v>156184.98</v>
      </c>
      <c r="H23" s="2" t="n">
        <v>156184.98</v>
      </c>
      <c r="I23" s="2" t="n">
        <v>156184.98</v>
      </c>
      <c r="J23" s="2" t="n">
        <v>62185.11</v>
      </c>
      <c r="K23" s="2" t="n">
        <v>115930.65</v>
      </c>
      <c r="L23" s="2" t="n">
        <v>176549.89</v>
      </c>
      <c r="M23" s="2" t="n">
        <v>176549.89</v>
      </c>
      <c r="N23" s="2" t="n">
        <v>115930.65</v>
      </c>
      <c r="O23" s="2" t="n">
        <v>176549.89</v>
      </c>
      <c r="P23" s="2" t="n">
        <v>176549.89</v>
      </c>
      <c r="Q23" s="2" t="n">
        <v>156184.98</v>
      </c>
      <c r="R23" s="2" t="n">
        <v>115930.65</v>
      </c>
      <c r="S23" s="2" t="n">
        <v>115930.65</v>
      </c>
      <c r="T23" s="2" t="n">
        <v>98372.55</v>
      </c>
      <c r="U23" s="2" t="n">
        <v>75278.16</v>
      </c>
      <c r="V23" s="2" t="n">
        <v>75278.16</v>
      </c>
      <c r="W23" s="2" t="n">
        <v>176549.89</v>
      </c>
      <c r="X23" s="2" t="n">
        <v>2993.53</v>
      </c>
      <c r="AA23" s="2" t="n">
        <v>2398515.1</v>
      </c>
      <c r="AC23" s="5" t="n">
        <v>113195.62</v>
      </c>
      <c r="AD23" s="5" t="n">
        <v>156184.98</v>
      </c>
      <c r="AE23" s="5" t="n">
        <v>156184.98</v>
      </c>
      <c r="AF23" s="5" t="n">
        <v>156184.98</v>
      </c>
      <c r="AG23" s="5" t="n">
        <v>62185.11</v>
      </c>
      <c r="AH23" s="5" t="n">
        <v>115930.65</v>
      </c>
      <c r="AI23" s="5" t="n">
        <v>176549.89</v>
      </c>
      <c r="AJ23" s="5" t="n">
        <v>176549.89</v>
      </c>
      <c r="AK23" s="5" t="n">
        <v>115930.65</v>
      </c>
      <c r="AL23" s="5" t="n">
        <v>176549.89</v>
      </c>
      <c r="AM23" s="5" t="n">
        <v>176549.89</v>
      </c>
      <c r="AN23" s="5" t="n">
        <v>156184.98</v>
      </c>
      <c r="AO23" s="5" t="n">
        <v>115930.65</v>
      </c>
      <c r="AP23" s="5" t="n">
        <v>115930.65</v>
      </c>
      <c r="AQ23" s="5" t="n">
        <v>98372.55</v>
      </c>
      <c r="AR23" s="5" t="n">
        <v>75278.16</v>
      </c>
      <c r="AS23" s="5" t="n">
        <v>75278.16</v>
      </c>
      <c r="AT23" s="5" t="n">
        <v>176549.89</v>
      </c>
      <c r="AU23" s="5" t="n">
        <v>2993.53</v>
      </c>
      <c r="AX23" s="5" t="n">
        <v>2398515.1</v>
      </c>
    </row>
    <row r="24">
      <c r="B24" s="2" t="inlineStr">
        <is>
          <t>4 - Equipment - Silver Spring Terrace Apartments - 5yr</t>
        </is>
      </c>
      <c r="F24" s="2" t="n">
        <v>14844.18</v>
      </c>
      <c r="G24" s="2" t="n">
        <v>2536.35</v>
      </c>
      <c r="H24" s="2" t="n">
        <v>2536.35</v>
      </c>
      <c r="I24" s="2" t="n">
        <v>2536.35</v>
      </c>
      <c r="J24" s="2" t="n">
        <v>987.9400000000001</v>
      </c>
      <c r="K24" s="2" t="n">
        <v>1662.79</v>
      </c>
      <c r="L24" s="2" t="n">
        <v>2912.15</v>
      </c>
      <c r="M24" s="2" t="n">
        <v>2912.15</v>
      </c>
      <c r="N24" s="2" t="n">
        <v>1662.79</v>
      </c>
      <c r="O24" s="2" t="n">
        <v>2912.15</v>
      </c>
      <c r="P24" s="2" t="n">
        <v>2912.15</v>
      </c>
      <c r="Q24" s="2" t="n">
        <v>2536.35</v>
      </c>
      <c r="R24" s="2" t="n">
        <v>1662.79</v>
      </c>
      <c r="S24" s="2" t="n">
        <v>1662.79</v>
      </c>
      <c r="T24" s="2" t="n">
        <v>1427.37</v>
      </c>
      <c r="U24" s="2" t="n">
        <v>1170.86</v>
      </c>
      <c r="V24" s="2" t="n">
        <v>1170.86</v>
      </c>
      <c r="W24" s="2" t="n">
        <v>2912.15</v>
      </c>
      <c r="X24" s="2" t="n">
        <v>25.13</v>
      </c>
      <c r="AA24" s="2" t="n">
        <v>50983.65</v>
      </c>
      <c r="AC24" s="5" t="n">
        <v>14844.18</v>
      </c>
      <c r="AD24" s="5" t="n">
        <v>2536.35</v>
      </c>
      <c r="AE24" s="5" t="n">
        <v>2536.35</v>
      </c>
      <c r="AF24" s="5" t="n">
        <v>2536.35</v>
      </c>
      <c r="AG24" s="5" t="n">
        <v>987.9400000000001</v>
      </c>
      <c r="AH24" s="5" t="n">
        <v>1662.79</v>
      </c>
      <c r="AI24" s="5" t="n">
        <v>2912.15</v>
      </c>
      <c r="AJ24" s="5" t="n">
        <v>2912.15</v>
      </c>
      <c r="AK24" s="5" t="n">
        <v>1662.79</v>
      </c>
      <c r="AL24" s="5" t="n">
        <v>2912.15</v>
      </c>
      <c r="AM24" s="5" t="n">
        <v>2912.15</v>
      </c>
      <c r="AN24" s="5" t="n">
        <v>2536.35</v>
      </c>
      <c r="AO24" s="5" t="n">
        <v>1662.79</v>
      </c>
      <c r="AP24" s="5" t="n">
        <v>1662.79</v>
      </c>
      <c r="AQ24" s="5" t="n">
        <v>1427.37</v>
      </c>
      <c r="AR24" s="5" t="n">
        <v>1170.86</v>
      </c>
      <c r="AS24" s="5" t="n">
        <v>1170.86</v>
      </c>
      <c r="AT24" s="5" t="n">
        <v>2912.15</v>
      </c>
      <c r="AU24" s="5" t="n">
        <v>25.13</v>
      </c>
      <c r="AX24" s="5" t="n">
        <v>50983.65</v>
      </c>
    </row>
    <row r="25">
      <c r="B25" s="2" t="inlineStr">
        <is>
          <t>4 - Equipment - Silver Spring Terrace Apartments - 27.5yr</t>
        </is>
      </c>
      <c r="F25" s="2" t="n">
        <v>7032.68</v>
      </c>
      <c r="G25" s="2" t="n">
        <v>9703.559999999999</v>
      </c>
      <c r="H25" s="2" t="n">
        <v>9703.559999999999</v>
      </c>
      <c r="I25" s="2" t="n">
        <v>9703.559999999999</v>
      </c>
      <c r="J25" s="2" t="n">
        <v>3863.47</v>
      </c>
      <c r="K25" s="2" t="n">
        <v>7202.61</v>
      </c>
      <c r="L25" s="2" t="n">
        <v>10968.79</v>
      </c>
      <c r="M25" s="2" t="n">
        <v>10968.79</v>
      </c>
      <c r="N25" s="2" t="n">
        <v>7202.61</v>
      </c>
      <c r="O25" s="2" t="n">
        <v>10968.79</v>
      </c>
      <c r="P25" s="2" t="n">
        <v>10968.79</v>
      </c>
      <c r="Q25" s="2" t="n">
        <v>9703.559999999999</v>
      </c>
      <c r="R25" s="2" t="n">
        <v>7202.61</v>
      </c>
      <c r="S25" s="2" t="n">
        <v>7202.61</v>
      </c>
      <c r="T25" s="2" t="n">
        <v>6111.74</v>
      </c>
      <c r="U25" s="2" t="n">
        <v>4676.93</v>
      </c>
      <c r="V25" s="2" t="n">
        <v>4676.93</v>
      </c>
      <c r="W25" s="2" t="n">
        <v>10968.79</v>
      </c>
      <c r="X25" s="2" t="n">
        <v>185.97</v>
      </c>
      <c r="AA25" s="2" t="n">
        <v>149016.35</v>
      </c>
      <c r="AC25" s="5" t="n">
        <v>7032.68</v>
      </c>
      <c r="AD25" s="5" t="n">
        <v>9703.559999999999</v>
      </c>
      <c r="AE25" s="5" t="n">
        <v>9703.559999999999</v>
      </c>
      <c r="AF25" s="5" t="n">
        <v>9703.559999999999</v>
      </c>
      <c r="AG25" s="5" t="n">
        <v>3863.47</v>
      </c>
      <c r="AH25" s="5" t="n">
        <v>7202.61</v>
      </c>
      <c r="AI25" s="5" t="n">
        <v>10968.79</v>
      </c>
      <c r="AJ25" s="5" t="n">
        <v>10968.79</v>
      </c>
      <c r="AK25" s="5" t="n">
        <v>7202.61</v>
      </c>
      <c r="AL25" s="5" t="n">
        <v>10968.79</v>
      </c>
      <c r="AM25" s="5" t="n">
        <v>10968.79</v>
      </c>
      <c r="AN25" s="5" t="n">
        <v>9703.559999999999</v>
      </c>
      <c r="AO25" s="5" t="n">
        <v>7202.61</v>
      </c>
      <c r="AP25" s="5" t="n">
        <v>7202.61</v>
      </c>
      <c r="AQ25" s="5" t="n">
        <v>6111.74</v>
      </c>
      <c r="AR25" s="5" t="n">
        <v>4676.93</v>
      </c>
      <c r="AS25" s="5" t="n">
        <v>4676.93</v>
      </c>
      <c r="AT25" s="5" t="n">
        <v>10968.79</v>
      </c>
      <c r="AU25" s="5" t="n">
        <v>185.97</v>
      </c>
      <c r="AX25" s="5" t="n">
        <v>149016.35</v>
      </c>
    </row>
    <row r="26">
      <c r="B26" s="2" t="inlineStr">
        <is>
          <t>2 - Land Imp - Silver Spring Terrace Apartments - 5yr</t>
        </is>
      </c>
      <c r="F26" s="2" t="n">
        <v>29688.34</v>
      </c>
      <c r="G26" s="2" t="n">
        <v>5072.71</v>
      </c>
      <c r="H26" s="2" t="n">
        <v>5072.71</v>
      </c>
      <c r="I26" s="2" t="n">
        <v>5072.71</v>
      </c>
      <c r="J26" s="2" t="n">
        <v>1975.88</v>
      </c>
      <c r="K26" s="2" t="n">
        <v>3325.57</v>
      </c>
      <c r="L26" s="2" t="n">
        <v>5824.29</v>
      </c>
      <c r="M26" s="2" t="n">
        <v>5824.29</v>
      </c>
      <c r="N26" s="2" t="n">
        <v>3325.57</v>
      </c>
      <c r="O26" s="2" t="n">
        <v>5824.29</v>
      </c>
      <c r="P26" s="2" t="n">
        <v>5824.29</v>
      </c>
      <c r="Q26" s="2" t="n">
        <v>5072.71</v>
      </c>
      <c r="R26" s="2" t="n">
        <v>3325.57</v>
      </c>
      <c r="S26" s="2" t="n">
        <v>3325.57</v>
      </c>
      <c r="T26" s="2" t="n">
        <v>2854.74</v>
      </c>
      <c r="U26" s="2" t="n">
        <v>2341.72</v>
      </c>
      <c r="V26" s="2" t="n">
        <v>2341.72</v>
      </c>
      <c r="W26" s="2" t="n">
        <v>5824.29</v>
      </c>
      <c r="X26" s="2" t="n">
        <v>50.27</v>
      </c>
      <c r="AA26" s="2" t="n">
        <v>101967.24</v>
      </c>
      <c r="AC26" s="5" t="n">
        <v>29688.34</v>
      </c>
      <c r="AD26" s="5" t="n">
        <v>5072.71</v>
      </c>
      <c r="AE26" s="5" t="n">
        <v>5072.71</v>
      </c>
      <c r="AF26" s="5" t="n">
        <v>5072.71</v>
      </c>
      <c r="AG26" s="5" t="n">
        <v>1975.88</v>
      </c>
      <c r="AH26" s="5" t="n">
        <v>3325.57</v>
      </c>
      <c r="AI26" s="5" t="n">
        <v>5824.29</v>
      </c>
      <c r="AJ26" s="5" t="n">
        <v>5824.29</v>
      </c>
      <c r="AK26" s="5" t="n">
        <v>3325.57</v>
      </c>
      <c r="AL26" s="5" t="n">
        <v>5824.29</v>
      </c>
      <c r="AM26" s="5" t="n">
        <v>5824.29</v>
      </c>
      <c r="AN26" s="5" t="n">
        <v>5072.71</v>
      </c>
      <c r="AO26" s="5" t="n">
        <v>3325.57</v>
      </c>
      <c r="AP26" s="5" t="n">
        <v>3325.57</v>
      </c>
      <c r="AQ26" s="5" t="n">
        <v>2854.74</v>
      </c>
      <c r="AR26" s="5" t="n">
        <v>2341.72</v>
      </c>
      <c r="AS26" s="5" t="n">
        <v>2341.72</v>
      </c>
      <c r="AT26" s="5" t="n">
        <v>5824.29</v>
      </c>
      <c r="AU26" s="5" t="n">
        <v>50.27</v>
      </c>
      <c r="AX26" s="5" t="n">
        <v>101967.24</v>
      </c>
    </row>
    <row r="27">
      <c r="B27" s="2" t="inlineStr">
        <is>
          <t>2 - Land Imp - Silver Spring Terrace Apartments - 27.5yr</t>
        </is>
      </c>
      <c r="F27" s="2" t="n">
        <v>14065.37</v>
      </c>
      <c r="G27" s="2" t="n">
        <v>19407.1</v>
      </c>
      <c r="H27" s="2" t="n">
        <v>19407.1</v>
      </c>
      <c r="I27" s="2" t="n">
        <v>19407.1</v>
      </c>
      <c r="J27" s="2" t="n">
        <v>7726.95</v>
      </c>
      <c r="K27" s="2" t="n">
        <v>14405.22</v>
      </c>
      <c r="L27" s="2" t="n">
        <v>21937.6</v>
      </c>
      <c r="M27" s="2" t="n">
        <v>21937.6</v>
      </c>
      <c r="N27" s="2" t="n">
        <v>14405.22</v>
      </c>
      <c r="O27" s="2" t="n">
        <v>21937.6</v>
      </c>
      <c r="P27" s="2" t="n">
        <v>21937.6</v>
      </c>
      <c r="Q27" s="2" t="n">
        <v>19407.1</v>
      </c>
      <c r="R27" s="2" t="n">
        <v>14405.22</v>
      </c>
      <c r="S27" s="2" t="n">
        <v>14405.22</v>
      </c>
      <c r="T27" s="2" t="n">
        <v>12223.5</v>
      </c>
      <c r="U27" s="2" t="n">
        <v>9353.85</v>
      </c>
      <c r="V27" s="2" t="n">
        <v>9353.85</v>
      </c>
      <c r="W27" s="2" t="n">
        <v>21937.6</v>
      </c>
      <c r="X27" s="2" t="n">
        <v>371.96</v>
      </c>
      <c r="AA27" s="2" t="n">
        <v>298032.76</v>
      </c>
      <c r="AC27" s="5" t="n">
        <v>14065.37</v>
      </c>
      <c r="AD27" s="5" t="n">
        <v>19407.1</v>
      </c>
      <c r="AE27" s="5" t="n">
        <v>19407.1</v>
      </c>
      <c r="AF27" s="5" t="n">
        <v>19407.1</v>
      </c>
      <c r="AG27" s="5" t="n">
        <v>7726.95</v>
      </c>
      <c r="AH27" s="5" t="n">
        <v>14405.22</v>
      </c>
      <c r="AI27" s="5" t="n">
        <v>21937.6</v>
      </c>
      <c r="AJ27" s="5" t="n">
        <v>21937.6</v>
      </c>
      <c r="AK27" s="5" t="n">
        <v>14405.22</v>
      </c>
      <c r="AL27" s="5" t="n">
        <v>21937.6</v>
      </c>
      <c r="AM27" s="5" t="n">
        <v>21937.6</v>
      </c>
      <c r="AN27" s="5" t="n">
        <v>19407.1</v>
      </c>
      <c r="AO27" s="5" t="n">
        <v>14405.22</v>
      </c>
      <c r="AP27" s="5" t="n">
        <v>14405.22</v>
      </c>
      <c r="AQ27" s="5" t="n">
        <v>12223.5</v>
      </c>
      <c r="AR27" s="5" t="n">
        <v>9353.85</v>
      </c>
      <c r="AS27" s="5" t="n">
        <v>9353.85</v>
      </c>
      <c r="AT27" s="5" t="n">
        <v>21937.6</v>
      </c>
      <c r="AU27" s="5" t="n">
        <v>371.96</v>
      </c>
      <c r="AX27" s="5" t="n">
        <v>298032.76</v>
      </c>
    </row>
    <row r="32">
      <c r="F32" s="4">
        <f>SUM(F20:F31)</f>
        <v/>
      </c>
      <c r="G32" s="4">
        <f>SUM(G20:G31)</f>
        <v/>
      </c>
      <c r="H32" s="4">
        <f>SUM(H20:H31)</f>
        <v/>
      </c>
      <c r="I32" s="4">
        <f>SUM(I20:I31)</f>
        <v/>
      </c>
      <c r="J32" s="4">
        <f>SUM(J20:J31)</f>
        <v/>
      </c>
      <c r="K32" s="4">
        <f>SUM(K20:K31)</f>
        <v/>
      </c>
      <c r="L32" s="4">
        <f>SUM(L20:L31)</f>
        <v/>
      </c>
      <c r="M32" s="4">
        <f>SUM(M20:M31)</f>
        <v/>
      </c>
      <c r="N32" s="4">
        <f>SUM(N20:N31)</f>
        <v/>
      </c>
      <c r="O32" s="4">
        <f>SUM(O20:O31)</f>
        <v/>
      </c>
      <c r="P32" s="4">
        <f>SUM(P20:P31)</f>
        <v/>
      </c>
      <c r="Q32" s="4">
        <f>SUM(Q20:Q31)</f>
        <v/>
      </c>
      <c r="R32" s="4">
        <f>SUM(R20:R31)</f>
        <v/>
      </c>
      <c r="S32" s="4">
        <f>SUM(S20:S31)</f>
        <v/>
      </c>
      <c r="T32" s="4">
        <f>SUM(T20:T31)</f>
        <v/>
      </c>
      <c r="U32" s="4">
        <f>SUM(U20:U31)</f>
        <v/>
      </c>
      <c r="V32" s="4">
        <f>SUM(V20:V31)</f>
        <v/>
      </c>
      <c r="W32" s="4">
        <f>SUM(W20:W31)</f>
        <v/>
      </c>
      <c r="X32" s="4">
        <f>SUM(X20:X31)</f>
        <v/>
      </c>
      <c r="Y32" s="4">
        <f>SUM(Y20:Y31)</f>
        <v/>
      </c>
    </row>
    <row r="33">
      <c r="B33" s="6" t="inlineStr">
        <is>
          <t>Total MACRS Reclassification</t>
        </is>
      </c>
      <c r="F33" s="7">
        <f>SUM(F20:F31)</f>
        <v/>
      </c>
      <c r="G33" s="7">
        <f>SUM(G20:G31)</f>
        <v/>
      </c>
      <c r="H33" s="7">
        <f>SUM(H20:H31)</f>
        <v/>
      </c>
      <c r="I33" s="7">
        <f>SUM(I20:I31)</f>
        <v/>
      </c>
      <c r="J33" s="7">
        <f>SUM(J20:J31)</f>
        <v/>
      </c>
      <c r="K33" s="7">
        <f>SUM(K20:K31)</f>
        <v/>
      </c>
      <c r="L33" s="7">
        <f>SUM(L20:L31)</f>
        <v/>
      </c>
      <c r="M33" s="7">
        <f>SUM(M20:M31)</f>
        <v/>
      </c>
      <c r="N33" s="7">
        <f>SUM(N20:N31)</f>
        <v/>
      </c>
      <c r="O33" s="7">
        <f>SUM(O20:O31)</f>
        <v/>
      </c>
      <c r="P33" s="7">
        <f>SUM(P20:P31)</f>
        <v/>
      </c>
      <c r="Q33" s="7">
        <f>SUM(Q20:Q31)</f>
        <v/>
      </c>
      <c r="R33" s="7">
        <f>SUM(R20:R31)</f>
        <v/>
      </c>
      <c r="S33" s="7">
        <f>SUM(S20:S31)</f>
        <v/>
      </c>
      <c r="T33" s="7">
        <f>SUM(T20:T31)</f>
        <v/>
      </c>
      <c r="U33" s="7">
        <f>SUM(U20:U31)</f>
        <v/>
      </c>
      <c r="V33" s="7">
        <f>SUM(V20:V31)</f>
        <v/>
      </c>
      <c r="W33" s="7">
        <f>SUM(W20:W31)</f>
        <v/>
      </c>
      <c r="X33" s="7">
        <f>SUM(X20:X31)</f>
        <v/>
      </c>
      <c r="Y33" s="7">
        <f>SUM(Y20:Y31)</f>
        <v/>
      </c>
      <c r="AA33" s="7" t="n">
        <v>3917488</v>
      </c>
    </row>
    <row r="35">
      <c r="B35" s="1" t="inlineStr">
        <is>
          <t>Difference (should be zero)</t>
        </is>
      </c>
      <c r="F35" s="8">
        <f>+F16-F33</f>
        <v/>
      </c>
      <c r="G35" s="8">
        <f>+G16-G33</f>
        <v/>
      </c>
      <c r="H35" s="8">
        <f>+H16-H33</f>
        <v/>
      </c>
      <c r="I35" s="8">
        <f>+I16-I33</f>
        <v/>
      </c>
      <c r="J35" s="8">
        <f>+J16-J33</f>
        <v/>
      </c>
      <c r="K35" s="8">
        <f>+K16-K33</f>
        <v/>
      </c>
      <c r="L35" s="8">
        <f>+L16-L33</f>
        <v/>
      </c>
      <c r="M35" s="8">
        <f>+M16-M33</f>
        <v/>
      </c>
      <c r="N35" s="8">
        <f>+N16-N33</f>
        <v/>
      </c>
      <c r="O35" s="8">
        <f>+O16-O33</f>
        <v/>
      </c>
      <c r="P35" s="8">
        <f>+P16-P33</f>
        <v/>
      </c>
      <c r="Q35" s="8">
        <f>+Q16-Q33</f>
        <v/>
      </c>
      <c r="R35" s="8">
        <f>+R16-R33</f>
        <v/>
      </c>
      <c r="S35" s="8">
        <f>+S16-S33</f>
        <v/>
      </c>
      <c r="T35" s="8">
        <f>+T16-T33</f>
        <v/>
      </c>
      <c r="U35" s="8">
        <f>+U16-U33</f>
        <v/>
      </c>
      <c r="V35" s="8">
        <f>+V16-V33</f>
        <v/>
      </c>
      <c r="W35" s="8">
        <f>+W16-W33</f>
        <v/>
      </c>
      <c r="X35" s="8">
        <f>+X16-X33</f>
        <v/>
      </c>
      <c r="Y35" s="8">
        <f>+Y16-Y33</f>
        <v/>
      </c>
    </row>
    <row r="37">
      <c r="B37" s="1" t="inlineStr">
        <is>
          <t>End Depreciation Reconciliation</t>
        </is>
      </c>
    </row>
    <row r="38">
      <c r="B38" s="2" t="inlineStr">
        <is>
          <t>Before Cost Segregation (As Previously Filed)</t>
        </is>
      </c>
      <c r="F38" s="5" t="n">
        <v>290720.32</v>
      </c>
      <c r="G38" s="5" t="n">
        <v>162655.33</v>
      </c>
      <c r="H38" s="5" t="n">
        <v>162655.33</v>
      </c>
      <c r="I38" s="5" t="n">
        <v>162655.33</v>
      </c>
      <c r="J38" s="5" t="n">
        <v>64470.1</v>
      </c>
      <c r="K38" s="5" t="n">
        <v>117811.65</v>
      </c>
      <c r="L38" s="5" t="n">
        <v>184462.94</v>
      </c>
      <c r="M38" s="5" t="n">
        <v>184462.94</v>
      </c>
      <c r="N38" s="5" t="n">
        <v>117811.65</v>
      </c>
      <c r="O38" s="5" t="n">
        <v>184462.94</v>
      </c>
      <c r="P38" s="5" t="n">
        <v>184462.94</v>
      </c>
      <c r="Q38" s="5" t="n">
        <v>162655.33</v>
      </c>
      <c r="R38" s="5" t="n">
        <v>117811.65</v>
      </c>
      <c r="S38" s="5" t="n">
        <v>117811.65</v>
      </c>
      <c r="T38" s="5" t="n">
        <v>100186.83</v>
      </c>
      <c r="U38" s="5" t="n">
        <v>77710.85000000001</v>
      </c>
      <c r="V38" s="5" t="n">
        <v>77710.85000000001</v>
      </c>
      <c r="W38" s="5" t="n">
        <v>184462.94</v>
      </c>
      <c r="X38" s="5" t="n">
        <v>2805.54</v>
      </c>
      <c r="Y38" s="5" t="n">
        <v>79032</v>
      </c>
      <c r="AA38" s="5" t="n">
        <v>2736819.11</v>
      </c>
    </row>
    <row r="39">
      <c r="B39" s="2" t="inlineStr">
        <is>
          <t>19 - Building - Silver Spring Terrace Apartments - 5yr</t>
        </is>
      </c>
      <c r="F39" s="5" t="n">
        <v>432.6689017153998</v>
      </c>
      <c r="G39" s="5" t="n">
        <v>81.16231611124368</v>
      </c>
      <c r="H39" s="5" t="n">
        <v>81.16231611124368</v>
      </c>
      <c r="I39" s="5" t="n">
        <v>81.16231611124368</v>
      </c>
      <c r="J39" s="5" t="n">
        <v>31.75813841664148</v>
      </c>
      <c r="K39" s="5" t="n">
        <v>54.52855421940812</v>
      </c>
      <c r="L39" s="5" t="n">
        <v>92.88698367915154</v>
      </c>
      <c r="M39" s="5" t="n">
        <v>92.88698367915154</v>
      </c>
      <c r="N39" s="5" t="n">
        <v>54.52855421940812</v>
      </c>
      <c r="O39" s="5" t="n">
        <v>92.88698367915154</v>
      </c>
      <c r="P39" s="5" t="n">
        <v>92.88698367915154</v>
      </c>
      <c r="Q39" s="5" t="n">
        <v>81.16231611124368</v>
      </c>
      <c r="R39" s="5" t="n">
        <v>54.52855421940812</v>
      </c>
      <c r="S39" s="5" t="n">
        <v>54.52855421940812</v>
      </c>
      <c r="T39" s="5" t="n">
        <v>46.70868895203741</v>
      </c>
      <c r="U39" s="5" t="n">
        <v>37.7970176591961</v>
      </c>
      <c r="V39" s="5" t="n">
        <v>37.7970176591961</v>
      </c>
      <c r="W39" s="5" t="n">
        <v>92.88698367915154</v>
      </c>
      <c r="X39" s="5" t="n">
        <v>0.8940596214542254</v>
      </c>
      <c r="AA39" s="5" t="n">
        <v>1594.82222374229</v>
      </c>
    </row>
    <row r="40">
      <c r="B40" s="2" t="inlineStr">
        <is>
          <t>19 - Building - Silver Spring Terrace Apartments - 27.5yr</t>
        </is>
      </c>
      <c r="F40" s="5" t="n">
        <v>204.9858643607559</v>
      </c>
      <c r="G40" s="5" t="n">
        <v>310.5158164393066</v>
      </c>
      <c r="H40" s="5" t="n">
        <v>310.5158164393066</v>
      </c>
      <c r="I40" s="5" t="n">
        <v>310.5158164393066</v>
      </c>
      <c r="J40" s="5" t="n">
        <v>124.1859690292958</v>
      </c>
      <c r="K40" s="5" t="n">
        <v>236.1994600660352</v>
      </c>
      <c r="L40" s="5" t="n">
        <v>349.8593665365706</v>
      </c>
      <c r="M40" s="5" t="n">
        <v>349.8593665365706</v>
      </c>
      <c r="N40" s="5" t="n">
        <v>236.1994600660352</v>
      </c>
      <c r="O40" s="5" t="n">
        <v>349.8593665365706</v>
      </c>
      <c r="P40" s="5" t="n">
        <v>349.8593665365706</v>
      </c>
      <c r="Q40" s="5" t="n">
        <v>310.5158164393066</v>
      </c>
      <c r="R40" s="5" t="n">
        <v>236.1994600660352</v>
      </c>
      <c r="S40" s="5" t="n">
        <v>236.1994600660352</v>
      </c>
      <c r="T40" s="5" t="n">
        <v>199.9865094387324</v>
      </c>
      <c r="U40" s="5" t="n">
        <v>150.9791813871284</v>
      </c>
      <c r="V40" s="5" t="n">
        <v>150.9791813871284</v>
      </c>
      <c r="W40" s="5" t="n">
        <v>349.8593665365706</v>
      </c>
      <c r="X40" s="5" t="n">
        <v>6.613411611639343</v>
      </c>
      <c r="AA40" s="5" t="n">
        <v>4773.888055918899</v>
      </c>
    </row>
    <row r="41">
      <c r="B41" s="2" t="inlineStr">
        <is>
          <t>3 - Building - Silver Spring Terrace Apartments - 5yr</t>
        </is>
      </c>
      <c r="F41" s="5" t="n">
        <v>128750.2095675443</v>
      </c>
      <c r="G41" s="5" t="n">
        <v>24151.85003827365</v>
      </c>
      <c r="H41" s="5" t="n">
        <v>24151.85003827365</v>
      </c>
      <c r="I41" s="5" t="n">
        <v>24151.85003827365</v>
      </c>
      <c r="J41" s="5" t="n">
        <v>9449.90032176259</v>
      </c>
      <c r="K41" s="5" t="n">
        <v>16226.18568083458</v>
      </c>
      <c r="L41" s="5" t="n">
        <v>27640.19315746787</v>
      </c>
      <c r="M41" s="5" t="n">
        <v>27640.19315746787</v>
      </c>
      <c r="N41" s="5" t="n">
        <v>16226.18568083458</v>
      </c>
      <c r="O41" s="5" t="n">
        <v>27640.19315746787</v>
      </c>
      <c r="P41" s="5" t="n">
        <v>27640.19315746787</v>
      </c>
      <c r="Q41" s="5" t="n">
        <v>24151.85003827365</v>
      </c>
      <c r="R41" s="5" t="n">
        <v>16226.18568083458</v>
      </c>
      <c r="S41" s="5" t="n">
        <v>16226.18568083458</v>
      </c>
      <c r="T41" s="5" t="n">
        <v>13898.54214342878</v>
      </c>
      <c r="U41" s="5" t="n">
        <v>11247.64761599513</v>
      </c>
      <c r="V41" s="5" t="n">
        <v>11247.64761599513</v>
      </c>
      <c r="W41" s="5" t="n">
        <v>27640.19315746787</v>
      </c>
      <c r="X41" s="5" t="n">
        <v>265.9564415114128</v>
      </c>
      <c r="AA41" s="5" t="n">
        <v>474573.0123700096</v>
      </c>
    </row>
    <row r="42">
      <c r="B42" s="2" t="inlineStr">
        <is>
          <t>3 - Building - Silver Spring Terrace Apartments - 27.5yr</t>
        </is>
      </c>
      <c r="F42" s="5" t="n">
        <v>60997.63934687609</v>
      </c>
      <c r="G42" s="5" t="n">
        <v>92399.84487636325</v>
      </c>
      <c r="H42" s="5" t="n">
        <v>92399.84487636325</v>
      </c>
      <c r="I42" s="5" t="n">
        <v>92399.84487636325</v>
      </c>
      <c r="J42" s="5" t="n">
        <v>36955.15214884125</v>
      </c>
      <c r="K42" s="5" t="n">
        <v>70286.0877720283</v>
      </c>
      <c r="L42" s="5" t="n">
        <v>104108.6005014347</v>
      </c>
      <c r="M42" s="5" t="n">
        <v>104108.6005014347</v>
      </c>
      <c r="N42" s="5" t="n">
        <v>70286.0877720283</v>
      </c>
      <c r="O42" s="5" t="n">
        <v>104108.6005014347</v>
      </c>
      <c r="P42" s="5" t="n">
        <v>104108.6005014347</v>
      </c>
      <c r="Q42" s="5" t="n">
        <v>92399.84487636325</v>
      </c>
      <c r="R42" s="5" t="n">
        <v>70286.0877720283</v>
      </c>
      <c r="S42" s="5" t="n">
        <v>70286.0877720283</v>
      </c>
      <c r="T42" s="5" t="n">
        <v>59511.11046974159</v>
      </c>
      <c r="U42" s="5" t="n">
        <v>44927.99530825501</v>
      </c>
      <c r="V42" s="5" t="n">
        <v>44927.99530825501</v>
      </c>
      <c r="W42" s="5" t="n">
        <v>104108.6005014347</v>
      </c>
      <c r="X42" s="5" t="n">
        <v>1967.936984273432</v>
      </c>
      <c r="AA42" s="5" t="n">
        <v>1420574.562666982</v>
      </c>
    </row>
    <row r="43">
      <c r="B43" s="2" t="inlineStr">
        <is>
          <t>4 - Equipment - Silver Spring Terrace Apartments - 5yr</t>
        </is>
      </c>
      <c r="F43" s="5" t="n">
        <v>7999.072208271939</v>
      </c>
      <c r="G43" s="5" t="n">
        <v>1500.517825415503</v>
      </c>
      <c r="H43" s="5" t="n">
        <v>1500.517825415503</v>
      </c>
      <c r="I43" s="5" t="n">
        <v>1500.517825415503</v>
      </c>
      <c r="J43" s="5" t="n">
        <v>587.1095671283081</v>
      </c>
      <c r="K43" s="5" t="n">
        <v>1008.111348348784</v>
      </c>
      <c r="L43" s="5" t="n">
        <v>1717.247521084568</v>
      </c>
      <c r="M43" s="5" t="n">
        <v>1717.247521084568</v>
      </c>
      <c r="N43" s="5" t="n">
        <v>1008.111348348784</v>
      </c>
      <c r="O43" s="5" t="n">
        <v>1717.247521084568</v>
      </c>
      <c r="P43" s="5" t="n">
        <v>1717.247521084568</v>
      </c>
      <c r="Q43" s="5" t="n">
        <v>1500.517825415503</v>
      </c>
      <c r="R43" s="5" t="n">
        <v>1008.111348348784</v>
      </c>
      <c r="S43" s="5" t="n">
        <v>1008.111348348784</v>
      </c>
      <c r="T43" s="5" t="n">
        <v>863.4967147969128</v>
      </c>
      <c r="U43" s="5" t="n">
        <v>698.8001910065742</v>
      </c>
      <c r="V43" s="5" t="n">
        <v>698.8001910065742</v>
      </c>
      <c r="W43" s="5" t="n">
        <v>1717.247521084568</v>
      </c>
      <c r="X43" s="5" t="n">
        <v>16.52038109348873</v>
      </c>
      <c r="AA43" s="5" t="n">
        <v>29484.55355378379</v>
      </c>
    </row>
    <row r="44">
      <c r="B44" s="2" t="inlineStr">
        <is>
          <t>4 - Equipment - Silver Spring Terrace Apartments - 27.5yr</t>
        </is>
      </c>
      <c r="F44" s="5" t="n">
        <v>3789.695027793377</v>
      </c>
      <c r="G44" s="5" t="n">
        <v>5740.67646420599</v>
      </c>
      <c r="H44" s="5" t="n">
        <v>5740.67646420599</v>
      </c>
      <c r="I44" s="5" t="n">
        <v>5740.67646420599</v>
      </c>
      <c r="J44" s="5" t="n">
        <v>2295.96959259996</v>
      </c>
      <c r="K44" s="5" t="n">
        <v>4366.776850191806</v>
      </c>
      <c r="L44" s="5" t="n">
        <v>6468.117176930172</v>
      </c>
      <c r="M44" s="5" t="n">
        <v>6468.117176930172</v>
      </c>
      <c r="N44" s="5" t="n">
        <v>4366.776850191806</v>
      </c>
      <c r="O44" s="5" t="n">
        <v>6468.117176930172</v>
      </c>
      <c r="P44" s="5" t="n">
        <v>6468.117176930172</v>
      </c>
      <c r="Q44" s="5" t="n">
        <v>5740.67646420599</v>
      </c>
      <c r="R44" s="5" t="n">
        <v>4366.776850191806</v>
      </c>
      <c r="S44" s="5" t="n">
        <v>4366.776850191806</v>
      </c>
      <c r="T44" s="5" t="n">
        <v>3697.336648306245</v>
      </c>
      <c r="U44" s="5" t="n">
        <v>2791.315423982694</v>
      </c>
      <c r="V44" s="5" t="n">
        <v>2791.315423982694</v>
      </c>
      <c r="W44" s="5" t="n">
        <v>6468.117176930172</v>
      </c>
      <c r="X44" s="5" t="n">
        <v>122.2560792660605</v>
      </c>
      <c r="AA44" s="5" t="n">
        <v>88258.28733817308</v>
      </c>
    </row>
    <row r="45">
      <c r="B45" s="2" t="inlineStr">
        <is>
          <t>2 - Land Imp - Silver Spring Terrace Apartments - 5yr</t>
        </is>
      </c>
      <c r="F45" s="5" t="n">
        <v>15998.13363915879</v>
      </c>
      <c r="G45" s="5" t="n">
        <v>3001.041566882914</v>
      </c>
      <c r="H45" s="5" t="n">
        <v>3001.041566882914</v>
      </c>
      <c r="I45" s="5" t="n">
        <v>3001.041566882914</v>
      </c>
      <c r="J45" s="5" t="n">
        <v>1174.219134256616</v>
      </c>
      <c r="K45" s="5" t="n">
        <v>2016.216633927475</v>
      </c>
      <c r="L45" s="5" t="n">
        <v>3434.489145331675</v>
      </c>
      <c r="M45" s="5" t="n">
        <v>3434.489145331675</v>
      </c>
      <c r="N45" s="5" t="n">
        <v>2016.216633927475</v>
      </c>
      <c r="O45" s="5" t="n">
        <v>3434.489145331675</v>
      </c>
      <c r="P45" s="5" t="n">
        <v>3434.489145331675</v>
      </c>
      <c r="Q45" s="5" t="n">
        <v>3001.041566882914</v>
      </c>
      <c r="R45" s="5" t="n">
        <v>2016.216633927475</v>
      </c>
      <c r="S45" s="5" t="n">
        <v>2016.216633927475</v>
      </c>
      <c r="T45" s="5" t="n">
        <v>1726.993429593826</v>
      </c>
      <c r="U45" s="5" t="n">
        <v>1397.600382013148</v>
      </c>
      <c r="V45" s="5" t="n">
        <v>1397.600382013148</v>
      </c>
      <c r="W45" s="5" t="n">
        <v>3434.489145331675</v>
      </c>
      <c r="X45" s="5" t="n">
        <v>33.04733615478229</v>
      </c>
      <c r="AA45" s="5" t="n">
        <v>58969.07283309026</v>
      </c>
    </row>
    <row r="46">
      <c r="B46" s="2" t="inlineStr">
        <is>
          <t>2 - Land Imp - Silver Spring Terrace Apartments - 27.5yr</t>
        </is>
      </c>
      <c r="F46" s="5" t="n">
        <v>7579.395444279298</v>
      </c>
      <c r="G46" s="5" t="n">
        <v>11481.34109630817</v>
      </c>
      <c r="H46" s="5" t="n">
        <v>11481.34109630817</v>
      </c>
      <c r="I46" s="5" t="n">
        <v>11481.34109630817</v>
      </c>
      <c r="J46" s="5" t="n">
        <v>4591.945127965342</v>
      </c>
      <c r="K46" s="5" t="n">
        <v>8733.553700383613</v>
      </c>
      <c r="L46" s="5" t="n">
        <v>12936.24614753526</v>
      </c>
      <c r="M46" s="5" t="n">
        <v>12936.24614753526</v>
      </c>
      <c r="N46" s="5" t="n">
        <v>8733.553700383613</v>
      </c>
      <c r="O46" s="5" t="n">
        <v>12936.24614753526</v>
      </c>
      <c r="P46" s="5" t="n">
        <v>12936.24614753526</v>
      </c>
      <c r="Q46" s="5" t="n">
        <v>11481.34109630817</v>
      </c>
      <c r="R46" s="5" t="n">
        <v>8733.553700383613</v>
      </c>
      <c r="S46" s="5" t="n">
        <v>8733.553700383613</v>
      </c>
      <c r="T46" s="5" t="n">
        <v>7394.685395741864</v>
      </c>
      <c r="U46" s="5" t="n">
        <v>5582.624879701113</v>
      </c>
      <c r="V46" s="5" t="n">
        <v>5582.624879701113</v>
      </c>
      <c r="W46" s="5" t="n">
        <v>12936.24614753526</v>
      </c>
      <c r="X46" s="5" t="n">
        <v>244.5253064677306</v>
      </c>
      <c r="AA46" s="5" t="n">
        <v>176516.6109582999</v>
      </c>
    </row>
    <row r="51">
      <c r="B51" s="2" t="inlineStr">
        <is>
          <t>After Cost Segregation (Corrected)</t>
        </is>
      </c>
      <c r="F51" s="9" t="n">
        <v>225751.8</v>
      </c>
      <c r="G51" s="9" t="n">
        <v>138666.95</v>
      </c>
      <c r="H51" s="9" t="n">
        <v>138666.95</v>
      </c>
      <c r="I51" s="9" t="n">
        <v>138666.95</v>
      </c>
      <c r="J51" s="9" t="n">
        <v>55210.24</v>
      </c>
      <c r="K51" s="9" t="n">
        <v>102927.66</v>
      </c>
      <c r="L51" s="9" t="n">
        <v>156747.64</v>
      </c>
      <c r="M51" s="9" t="n">
        <v>156747.64</v>
      </c>
      <c r="N51" s="9" t="n">
        <v>102927.66</v>
      </c>
      <c r="O51" s="9" t="n">
        <v>156747.64</v>
      </c>
      <c r="P51" s="9" t="n">
        <v>156747.64</v>
      </c>
      <c r="Q51" s="9" t="n">
        <v>138666.95</v>
      </c>
      <c r="R51" s="9" t="n">
        <v>102927.66</v>
      </c>
      <c r="S51" s="9" t="n">
        <v>102927.66</v>
      </c>
      <c r="T51" s="9" t="n">
        <v>87338.86</v>
      </c>
      <c r="U51" s="9" t="n">
        <v>66834.75999999999</v>
      </c>
      <c r="V51" s="9" t="n">
        <v>66834.75999999999</v>
      </c>
      <c r="W51" s="9" t="n">
        <v>156747.64</v>
      </c>
      <c r="X51" s="9" t="n">
        <v>2657.75</v>
      </c>
      <c r="Y51" s="9" t="n">
        <v>54191.82</v>
      </c>
      <c r="AA51" s="9" t="n">
        <v>2308936.63</v>
      </c>
    </row>
    <row r="52">
      <c r="B52" s="10" t="inlineStr">
        <is>
          <t>Section 481(a) Adjustment</t>
        </is>
      </c>
      <c r="F52" s="11" t="n">
        <v>-64968.52</v>
      </c>
      <c r="G52" s="11" t="n">
        <v>-23988.38</v>
      </c>
      <c r="H52" s="11" t="n">
        <v>-23988.38</v>
      </c>
      <c r="I52" s="11" t="n">
        <v>-23988.38</v>
      </c>
      <c r="J52" s="11" t="n">
        <v>-9259.860000000001</v>
      </c>
      <c r="K52" s="11" t="n">
        <v>-14883.99</v>
      </c>
      <c r="L52" s="11" t="n">
        <v>-27715.3</v>
      </c>
      <c r="M52" s="11" t="n">
        <v>-27715.3</v>
      </c>
      <c r="N52" s="11" t="n">
        <v>-14883.99</v>
      </c>
      <c r="O52" s="11" t="n">
        <v>-27715.3</v>
      </c>
      <c r="P52" s="11" t="n">
        <v>-27715.3</v>
      </c>
      <c r="Q52" s="11" t="n">
        <v>-23988.38</v>
      </c>
      <c r="R52" s="11" t="n">
        <v>-14883.99</v>
      </c>
      <c r="S52" s="11" t="n">
        <v>-14883.99</v>
      </c>
      <c r="T52" s="11" t="n">
        <v>-12847.97</v>
      </c>
      <c r="U52" s="11" t="n">
        <v>-10876.09</v>
      </c>
      <c r="V52" s="11" t="n">
        <v>-10876.09</v>
      </c>
      <c r="W52" s="11" t="n">
        <v>-27715.3</v>
      </c>
      <c r="X52" s="11" t="n">
        <v>-147.79</v>
      </c>
      <c r="Y52" s="11" t="n">
        <v>-24840.18</v>
      </c>
      <c r="AA52" s="11" t="n">
        <v>-427882.4799999999</v>
      </c>
    </row>
    <row r="53">
      <c r="F53">
        <f>SUM(F39:F50)</f>
        <v/>
      </c>
      <c r="G53">
        <f>SUM(G39:G50)</f>
        <v/>
      </c>
      <c r="H53">
        <f>SUM(H39:H50)</f>
        <v/>
      </c>
      <c r="I53">
        <f>SUM(I39:I50)</f>
        <v/>
      </c>
      <c r="J53">
        <f>SUM(J39:J50)</f>
        <v/>
      </c>
      <c r="K53">
        <f>SUM(K39:K50)</f>
        <v/>
      </c>
      <c r="L53">
        <f>SUM(L39:L50)</f>
        <v/>
      </c>
      <c r="M53">
        <f>SUM(M39:M50)</f>
        <v/>
      </c>
      <c r="N53">
        <f>SUM(N39:N50)</f>
        <v/>
      </c>
      <c r="O53">
        <f>SUM(O39:O50)</f>
        <v/>
      </c>
      <c r="P53">
        <f>SUM(P39:P50)</f>
        <v/>
      </c>
      <c r="Q53">
        <f>SUM(Q39:Q50)</f>
        <v/>
      </c>
      <c r="R53">
        <f>SUM(R39:R50)</f>
        <v/>
      </c>
      <c r="S53">
        <f>SUM(S39:S50)</f>
        <v/>
      </c>
      <c r="T53">
        <f>SUM(T39:T50)</f>
        <v/>
      </c>
      <c r="U53">
        <f>SUM(U39:U50)</f>
        <v/>
      </c>
      <c r="V53">
        <f>SUM(V39:V50)</f>
        <v/>
      </c>
      <c r="W53">
        <f>SUM(W39:W50)</f>
        <v/>
      </c>
      <c r="X53">
        <f>SUM(X39:X50)</f>
        <v/>
      </c>
      <c r="Y53">
        <f>SUM(Y39:Y50)</f>
        <v/>
      </c>
    </row>
    <row r="54">
      <c r="F54" s="12">
        <f>F53-F51</f>
        <v/>
      </c>
      <c r="G54" s="12">
        <f>G53-G51</f>
        <v/>
      </c>
      <c r="H54" s="12">
        <f>H53-H51</f>
        <v/>
      </c>
      <c r="I54" s="12">
        <f>I53-I51</f>
        <v/>
      </c>
      <c r="J54" s="12">
        <f>J53-J51</f>
        <v/>
      </c>
      <c r="K54" s="12">
        <f>K53-K51</f>
        <v/>
      </c>
      <c r="L54" s="12">
        <f>L53-L51</f>
        <v/>
      </c>
      <c r="M54" s="12">
        <f>M53-M51</f>
        <v/>
      </c>
      <c r="N54" s="12">
        <f>N53-N51</f>
        <v/>
      </c>
      <c r="O54" s="12">
        <f>O53-O51</f>
        <v/>
      </c>
      <c r="P54" s="12">
        <f>P53-P51</f>
        <v/>
      </c>
      <c r="Q54" s="12">
        <f>Q53-Q51</f>
        <v/>
      </c>
      <c r="R54" s="12">
        <f>R53-R51</f>
        <v/>
      </c>
      <c r="S54" s="12">
        <f>S53-S51</f>
        <v/>
      </c>
      <c r="T54" s="12">
        <f>T53-T51</f>
        <v/>
      </c>
      <c r="U54" s="12">
        <f>U53-U51</f>
        <v/>
      </c>
      <c r="V54" s="12">
        <f>V53-V51</f>
        <v/>
      </c>
      <c r="W54" s="12">
        <f>W53-W51</f>
        <v/>
      </c>
      <c r="X54" s="12">
        <f>X53-X51</f>
        <v/>
      </c>
      <c r="Y54" s="12">
        <f>Y53-Y51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Site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Site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1">
      <c r="A11" s="6" t="inlineStr">
        <is>
          <t>Total Building Cost</t>
        </is>
      </c>
      <c r="B11" s="13" t="n">
        <v>418936.13</v>
      </c>
      <c r="C11" s="13" t="n">
        <v>284262.06</v>
      </c>
      <c r="F11" s="13" t="n">
        <v>134674.07</v>
      </c>
    </row>
    <row r="12">
      <c r="A12" s="2" t="inlineStr">
        <is>
          <t>% of Building Cost</t>
        </is>
      </c>
      <c r="C12" s="14" t="n">
        <v>0.678533169244677</v>
      </c>
      <c r="F12" s="14" t="n">
        <v>0.321466830755323</v>
      </c>
    </row>
    <row r="14">
      <c r="A14" s="1" t="inlineStr">
        <is>
          <t>Asset Allocation:</t>
        </is>
      </c>
    </row>
    <row r="15">
      <c r="A15" s="2" t="inlineStr">
        <is>
          <t>Asset # 19-Building - 754 "Menowitz"</t>
        </is>
      </c>
      <c r="B15" s="15" t="n">
        <v>1183.32</v>
      </c>
      <c r="C15" s="15" t="n">
        <v>802.92</v>
      </c>
      <c r="F15" s="15" t="n">
        <v>380.4</v>
      </c>
    </row>
    <row r="16">
      <c r="A16" s="2" t="inlineStr">
        <is>
          <t>Asset # 3-Building</t>
        </is>
      </c>
      <c r="B16" s="15" t="n">
        <v>352122.24</v>
      </c>
      <c r="C16" s="15" t="n">
        <v>238926.62</v>
      </c>
      <c r="F16" s="15" t="n">
        <v>113195.62</v>
      </c>
    </row>
    <row r="17">
      <c r="A17" s="2" t="inlineStr">
        <is>
          <t>Asset # 4-Personal Property</t>
        </is>
      </c>
      <c r="B17" s="15" t="n">
        <v>21876.86</v>
      </c>
      <c r="C17" s="15" t="n">
        <v>14844.18</v>
      </c>
      <c r="F17" s="15" t="n">
        <v>7032.68</v>
      </c>
    </row>
    <row r="18">
      <c r="A18" s="2" t="inlineStr">
        <is>
          <t>Asset # 2-Land Improvements</t>
        </is>
      </c>
      <c r="B18" s="15" t="n">
        <v>43753.71</v>
      </c>
      <c r="C18" s="15" t="n">
        <v>29688.34</v>
      </c>
      <c r="F18" s="15" t="n">
        <v>14065.37</v>
      </c>
    </row>
    <row r="19">
      <c r="A19" s="6" t="inlineStr">
        <is>
          <t>Total Allocation:</t>
        </is>
      </c>
      <c r="B19" s="13" t="n">
        <v>418936.13</v>
      </c>
      <c r="C19" s="13" t="n">
        <v>284262.06</v>
      </c>
      <c r="F19" s="13" t="n">
        <v>134674.07</v>
      </c>
    </row>
    <row r="21">
      <c r="A21" s="1" t="inlineStr">
        <is>
          <t>End Depreciation Reconciliation</t>
        </is>
      </c>
    </row>
    <row r="22">
      <c r="A22" s="2" t="inlineStr">
        <is>
          <t>Before Cost Segregation (As Previously Filed)</t>
        </is>
      </c>
      <c r="B22" s="5" t="n">
        <v>290720.32</v>
      </c>
    </row>
    <row r="23">
      <c r="A23" s="2" t="inlineStr">
        <is>
          <t>After Cost Segregation (Corrected)</t>
        </is>
      </c>
      <c r="B23" s="9" t="n">
        <v>225751.8</v>
      </c>
    </row>
    <row r="24">
      <c r="A24" s="10" t="inlineStr">
        <is>
          <t>Section 481(a) Adjustment</t>
        </is>
      </c>
      <c r="B24" s="16" t="n">
        <v>-64968.52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Bldg 1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Bldg 1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11319.08</v>
      </c>
      <c r="C11" s="15" t="n">
        <v>11319.08</v>
      </c>
    </row>
    <row r="12">
      <c r="A12" s="2" t="inlineStr">
        <is>
          <t>Moldings</t>
        </is>
      </c>
      <c r="B12" s="15" t="n">
        <v>4407.51</v>
      </c>
      <c r="C12" s="15" t="n">
        <v>4407.51</v>
      </c>
    </row>
    <row r="13">
      <c r="A13" s="2" t="inlineStr">
        <is>
          <t>Flooring - Vinyl Plank</t>
        </is>
      </c>
      <c r="B13" s="15" t="n">
        <v>17858.88</v>
      </c>
      <c r="C13" s="15" t="n">
        <v>17858.88</v>
      </c>
    </row>
    <row r="14">
      <c r="A14" s="2" t="inlineStr">
        <is>
          <t>Window Treatments</t>
        </is>
      </c>
      <c r="B14" s="15" t="n">
        <v>1586.91</v>
      </c>
      <c r="C14" s="15" t="n">
        <v>1586.91</v>
      </c>
    </row>
    <row r="15">
      <c r="A15" s="2" t="inlineStr">
        <is>
          <t>Building Signage</t>
        </is>
      </c>
      <c r="B15" s="15" t="n">
        <v>127.35</v>
      </c>
      <c r="C15" s="15" t="n">
        <v>127.35</v>
      </c>
    </row>
    <row r="16">
      <c r="A16" s="2" t="inlineStr">
        <is>
          <t>Specialty Electrical - Appliances</t>
        </is>
      </c>
      <c r="B16" s="15" t="n">
        <v>2548.79</v>
      </c>
      <c r="C16" s="15" t="n">
        <v>2548.79</v>
      </c>
    </row>
    <row r="17">
      <c r="A17" s="2" t="inlineStr">
        <is>
          <t>Communication / Data</t>
        </is>
      </c>
      <c r="B17" s="15" t="n">
        <v>1548.16</v>
      </c>
      <c r="C17" s="15" t="n">
        <v>1548.16</v>
      </c>
    </row>
    <row r="18">
      <c r="A18" s="2" t="inlineStr">
        <is>
          <t>Specialty Plumbing - Kitchen Sinks</t>
        </is>
      </c>
      <c r="B18" s="15" t="n">
        <v>4626.46</v>
      </c>
      <c r="C18" s="15" t="n">
        <v>4626.46</v>
      </c>
    </row>
    <row r="19">
      <c r="A19" s="2" t="inlineStr">
        <is>
          <t>Security / Exterior Lighting</t>
        </is>
      </c>
      <c r="B19" s="15" t="n">
        <v>480.75</v>
      </c>
      <c r="C19" s="15" t="n">
        <v>480.75</v>
      </c>
    </row>
    <row r="20">
      <c r="A20" s="2" t="inlineStr">
        <is>
          <t>Access Control</t>
        </is>
      </c>
      <c r="B20" s="15" t="n">
        <v>75.53</v>
      </c>
      <c r="C20" s="15" t="n">
        <v>75.53</v>
      </c>
    </row>
    <row r="21">
      <c r="A21" s="2" t="inlineStr">
        <is>
          <t>Appliances</t>
        </is>
      </c>
      <c r="B21" s="15" t="n">
        <v>3991.1</v>
      </c>
      <c r="C21" s="15" t="n">
        <v>3991.1</v>
      </c>
    </row>
    <row r="22">
      <c r="A22" s="6" t="inlineStr">
        <is>
          <t>Building Structure</t>
        </is>
      </c>
    </row>
    <row r="23">
      <c r="A23" s="2" t="inlineStr">
        <is>
          <t>Roofing Systems</t>
        </is>
      </c>
      <c r="B23" s="15" t="n">
        <v>7270.82</v>
      </c>
      <c r="F23" s="15" t="n">
        <v>7270.82</v>
      </c>
    </row>
    <row r="24">
      <c r="A24" s="2" t="inlineStr">
        <is>
          <t>Foundations</t>
        </is>
      </c>
      <c r="B24" s="15" t="n">
        <v>12116.84</v>
      </c>
      <c r="F24" s="15" t="n">
        <v>12116.84</v>
      </c>
    </row>
    <row r="25">
      <c r="A25" s="2" t="inlineStr">
        <is>
          <t>HVAC</t>
        </is>
      </c>
      <c r="B25" s="15" t="n">
        <v>17293.33</v>
      </c>
      <c r="F25" s="15" t="n">
        <v>17293.33</v>
      </c>
    </row>
    <row r="26">
      <c r="A26" s="2" t="inlineStr">
        <is>
          <t>Electrical</t>
        </is>
      </c>
      <c r="B26" s="15" t="n">
        <v>16285.45</v>
      </c>
      <c r="F26" s="15" t="n">
        <v>16285.45</v>
      </c>
    </row>
    <row r="27">
      <c r="A27" s="2" t="inlineStr">
        <is>
          <t>Plumbing</t>
        </is>
      </c>
      <c r="B27" s="15" t="n">
        <v>15033</v>
      </c>
      <c r="F27" s="15" t="n">
        <v>15033</v>
      </c>
    </row>
    <row r="28">
      <c r="A28" s="2" t="inlineStr">
        <is>
          <t>Fire Protection &amp; Alarm</t>
        </is>
      </c>
      <c r="B28" s="15" t="n">
        <v>958.91</v>
      </c>
      <c r="F28" s="15" t="n">
        <v>958.91</v>
      </c>
    </row>
    <row r="29">
      <c r="A29" s="2" t="inlineStr">
        <is>
          <t>Exterior Façade / Building Skin</t>
        </is>
      </c>
      <c r="B29" s="15" t="n">
        <v>26187.51</v>
      </c>
      <c r="F29" s="15" t="n">
        <v>26187.51</v>
      </c>
    </row>
    <row r="30">
      <c r="A30" s="2" t="inlineStr">
        <is>
          <t>Doors &amp; Frames</t>
        </is>
      </c>
      <c r="B30" s="15" t="n">
        <v>11772.85</v>
      </c>
      <c r="F30" s="15" t="n">
        <v>11772.85</v>
      </c>
    </row>
    <row r="31">
      <c r="A31" s="2" t="inlineStr">
        <is>
          <t>Windows</t>
        </is>
      </c>
      <c r="B31" s="15" t="n">
        <v>6994.46</v>
      </c>
      <c r="F31" s="15" t="n">
        <v>6994.46</v>
      </c>
    </row>
    <row r="32">
      <c r="A32" s="2" t="inlineStr">
        <is>
          <t>Ceiling Systems</t>
        </is>
      </c>
      <c r="B32" s="15" t="n">
        <v>7953.64</v>
      </c>
      <c r="F32" s="15" t="n">
        <v>7953.64</v>
      </c>
    </row>
    <row r="33">
      <c r="A33" s="2" t="inlineStr">
        <is>
          <t>Interior Framing / Partitions</t>
        </is>
      </c>
      <c r="B33" s="15" t="n">
        <v>19168.95</v>
      </c>
      <c r="F33" s="15" t="n">
        <v>19168.95</v>
      </c>
    </row>
    <row r="34">
      <c r="A34" s="2" t="inlineStr">
        <is>
          <t>Painting</t>
        </is>
      </c>
      <c r="B34" s="15" t="n">
        <v>7364.73</v>
      </c>
      <c r="F34" s="15" t="n">
        <v>7364.73</v>
      </c>
    </row>
    <row r="35">
      <c r="A35" s="2" t="inlineStr">
        <is>
          <t>Gutter Systems</t>
        </is>
      </c>
      <c r="B35" s="15" t="n">
        <v>1137.92</v>
      </c>
      <c r="F35" s="15" t="n">
        <v>1137.92</v>
      </c>
    </row>
    <row r="36">
      <c r="A36" s="2" t="inlineStr">
        <is>
          <t>Structural Framing</t>
        </is>
      </c>
      <c r="B36" s="15" t="n">
        <v>28878.51</v>
      </c>
      <c r="F36" s="15" t="n">
        <v>28878.51</v>
      </c>
    </row>
    <row r="37">
      <c r="A37" s="2" t="inlineStr">
        <is>
          <t>Stairs / Balconies</t>
        </is>
      </c>
      <c r="B37" s="15" t="n">
        <v>4019.19</v>
      </c>
      <c r="F37" s="15" t="n">
        <v>4019.19</v>
      </c>
    </row>
    <row r="38">
      <c r="A38" s="2" t="inlineStr">
        <is>
          <t>Bathroom Accessories</t>
        </is>
      </c>
      <c r="B38" s="15" t="n">
        <v>2482.89</v>
      </c>
      <c r="F38" s="15" t="n">
        <v>2482.89</v>
      </c>
    </row>
    <row r="39">
      <c r="A39" s="2" t="inlineStr">
        <is>
          <t>Cabinets / Millwork - Restrooms</t>
        </is>
      </c>
      <c r="B39" s="15" t="n">
        <v>901.51</v>
      </c>
      <c r="F39" s="15" t="n">
        <v>901.51</v>
      </c>
    </row>
    <row r="41">
      <c r="A41" s="6" t="inlineStr">
        <is>
          <t>Total Building Cost</t>
        </is>
      </c>
      <c r="B41" s="13" t="n">
        <v>234391.03</v>
      </c>
      <c r="C41" s="13" t="n">
        <v>48570.52</v>
      </c>
      <c r="F41" s="13" t="n">
        <v>185820.51</v>
      </c>
    </row>
    <row r="42">
      <c r="A42" s="2" t="inlineStr">
        <is>
          <t>% of Building Cost</t>
        </is>
      </c>
      <c r="C42" s="14" t="n">
        <v>0.2072200459206993</v>
      </c>
      <c r="F42" s="14" t="n">
        <v>0.7927799540793008</v>
      </c>
    </row>
    <row r="44">
      <c r="A44" s="1" t="inlineStr">
        <is>
          <t>Asset Allocation:</t>
        </is>
      </c>
    </row>
    <row r="45">
      <c r="A45" s="2" t="inlineStr">
        <is>
          <t>Asset # 19-Building - 754 "Menowitz"</t>
        </is>
      </c>
      <c r="B45" s="15" t="n">
        <v>662.0599999999999</v>
      </c>
      <c r="C45" s="15" t="n">
        <v>137.19</v>
      </c>
      <c r="F45" s="15" t="n">
        <v>524.87</v>
      </c>
    </row>
    <row r="46">
      <c r="A46" s="2" t="inlineStr">
        <is>
          <t>Asset # 3-Building</t>
        </is>
      </c>
      <c r="B46" s="15" t="n">
        <v>197009.25</v>
      </c>
      <c r="C46" s="15" t="n">
        <v>40824.27</v>
      </c>
      <c r="F46" s="15" t="n">
        <v>156184.98</v>
      </c>
    </row>
    <row r="47">
      <c r="A47" s="2" t="inlineStr">
        <is>
          <t>Asset # 4-Personal Property</t>
        </is>
      </c>
      <c r="B47" s="15" t="n">
        <v>12239.91</v>
      </c>
      <c r="C47" s="15" t="n">
        <v>2536.35</v>
      </c>
      <c r="F47" s="15" t="n">
        <v>9703.559999999999</v>
      </c>
    </row>
    <row r="48">
      <c r="A48" s="2" t="inlineStr">
        <is>
          <t>Asset # 2-Land Improvements</t>
        </is>
      </c>
      <c r="B48" s="15" t="n">
        <v>24479.81</v>
      </c>
      <c r="C48" s="15" t="n">
        <v>5072.71</v>
      </c>
      <c r="F48" s="15" t="n">
        <v>19407.1</v>
      </c>
    </row>
    <row r="49">
      <c r="A49" s="6" t="inlineStr">
        <is>
          <t>Total Allocation:</t>
        </is>
      </c>
      <c r="B49" s="13" t="n">
        <v>234391.03</v>
      </c>
      <c r="C49" s="13" t="n">
        <v>48570.52</v>
      </c>
      <c r="F49" s="13" t="n">
        <v>185820.51</v>
      </c>
    </row>
    <row r="51">
      <c r="A51" s="1" t="inlineStr">
        <is>
          <t>End Depreciation Reconciliation</t>
        </is>
      </c>
    </row>
    <row r="52">
      <c r="A52" s="2" t="inlineStr">
        <is>
          <t>Before Cost Segregation (As Previously Filed)</t>
        </is>
      </c>
      <c r="B52" s="5" t="n">
        <v>162655.33</v>
      </c>
    </row>
    <row r="53">
      <c r="A53" s="2" t="inlineStr">
        <is>
          <t>After Cost Segregation (Corrected)</t>
        </is>
      </c>
      <c r="B53" s="9" t="n">
        <v>138666.95</v>
      </c>
    </row>
    <row r="54">
      <c r="A54" s="10" t="inlineStr">
        <is>
          <t>Section 481(a) Adjustment</t>
        </is>
      </c>
      <c r="B54" s="16" t="n">
        <v>-23988.38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Bldg 2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Bldg 2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11319.08</v>
      </c>
      <c r="C11" s="15" t="n">
        <v>11319.08</v>
      </c>
    </row>
    <row r="12">
      <c r="A12" s="2" t="inlineStr">
        <is>
          <t>Moldings</t>
        </is>
      </c>
      <c r="B12" s="15" t="n">
        <v>4407.51</v>
      </c>
      <c r="C12" s="15" t="n">
        <v>4407.51</v>
      </c>
    </row>
    <row r="13">
      <c r="A13" s="2" t="inlineStr">
        <is>
          <t>Flooring - Vinyl Plank</t>
        </is>
      </c>
      <c r="B13" s="15" t="n">
        <v>17858.88</v>
      </c>
      <c r="C13" s="15" t="n">
        <v>17858.88</v>
      </c>
    </row>
    <row r="14">
      <c r="A14" s="2" t="inlineStr">
        <is>
          <t>Window Treatments</t>
        </is>
      </c>
      <c r="B14" s="15" t="n">
        <v>1586.91</v>
      </c>
      <c r="C14" s="15" t="n">
        <v>1586.91</v>
      </c>
    </row>
    <row r="15">
      <c r="A15" s="2" t="inlineStr">
        <is>
          <t>Building Signage</t>
        </is>
      </c>
      <c r="B15" s="15" t="n">
        <v>127.35</v>
      </c>
      <c r="C15" s="15" t="n">
        <v>127.35</v>
      </c>
    </row>
    <row r="16">
      <c r="A16" s="2" t="inlineStr">
        <is>
          <t>Specialty Electrical - Appliances</t>
        </is>
      </c>
      <c r="B16" s="15" t="n">
        <v>2548.79</v>
      </c>
      <c r="C16" s="15" t="n">
        <v>2548.79</v>
      </c>
    </row>
    <row r="17">
      <c r="A17" s="2" t="inlineStr">
        <is>
          <t>Communication / Data</t>
        </is>
      </c>
      <c r="B17" s="15" t="n">
        <v>1548.16</v>
      </c>
      <c r="C17" s="15" t="n">
        <v>1548.16</v>
      </c>
    </row>
    <row r="18">
      <c r="A18" s="2" t="inlineStr">
        <is>
          <t>Specialty Plumbing - Kitchen Sinks</t>
        </is>
      </c>
      <c r="B18" s="15" t="n">
        <v>4626.46</v>
      </c>
      <c r="C18" s="15" t="n">
        <v>4626.46</v>
      </c>
    </row>
    <row r="19">
      <c r="A19" s="2" t="inlineStr">
        <is>
          <t>Security / Exterior Lighting</t>
        </is>
      </c>
      <c r="B19" s="15" t="n">
        <v>480.75</v>
      </c>
      <c r="C19" s="15" t="n">
        <v>480.75</v>
      </c>
    </row>
    <row r="20">
      <c r="A20" s="2" t="inlineStr">
        <is>
          <t>Access Control</t>
        </is>
      </c>
      <c r="B20" s="15" t="n">
        <v>75.53</v>
      </c>
      <c r="C20" s="15" t="n">
        <v>75.53</v>
      </c>
    </row>
    <row r="21">
      <c r="A21" s="2" t="inlineStr">
        <is>
          <t>Appliances</t>
        </is>
      </c>
      <c r="B21" s="15" t="n">
        <v>3991.1</v>
      </c>
      <c r="C21" s="15" t="n">
        <v>3991.1</v>
      </c>
    </row>
    <row r="22">
      <c r="A22" s="6" t="inlineStr">
        <is>
          <t>Building Structure</t>
        </is>
      </c>
    </row>
    <row r="23">
      <c r="A23" s="2" t="inlineStr">
        <is>
          <t>Roofing Systems</t>
        </is>
      </c>
      <c r="B23" s="15" t="n">
        <v>7270.82</v>
      </c>
      <c r="F23" s="15" t="n">
        <v>7270.82</v>
      </c>
    </row>
    <row r="24">
      <c r="A24" s="2" t="inlineStr">
        <is>
          <t>Foundations</t>
        </is>
      </c>
      <c r="B24" s="15" t="n">
        <v>12116.84</v>
      </c>
      <c r="F24" s="15" t="n">
        <v>12116.84</v>
      </c>
    </row>
    <row r="25">
      <c r="A25" s="2" t="inlineStr">
        <is>
          <t>HVAC</t>
        </is>
      </c>
      <c r="B25" s="15" t="n">
        <v>17293.33</v>
      </c>
      <c r="F25" s="15" t="n">
        <v>17293.33</v>
      </c>
    </row>
    <row r="26">
      <c r="A26" s="2" t="inlineStr">
        <is>
          <t>Electrical</t>
        </is>
      </c>
      <c r="B26" s="15" t="n">
        <v>16285.45</v>
      </c>
      <c r="F26" s="15" t="n">
        <v>16285.45</v>
      </c>
    </row>
    <row r="27">
      <c r="A27" s="2" t="inlineStr">
        <is>
          <t>Plumbing</t>
        </is>
      </c>
      <c r="B27" s="15" t="n">
        <v>15033</v>
      </c>
      <c r="F27" s="15" t="n">
        <v>15033</v>
      </c>
    </row>
    <row r="28">
      <c r="A28" s="2" t="inlineStr">
        <is>
          <t>Fire Protection &amp; Alarm</t>
        </is>
      </c>
      <c r="B28" s="15" t="n">
        <v>958.91</v>
      </c>
      <c r="F28" s="15" t="n">
        <v>958.91</v>
      </c>
    </row>
    <row r="29">
      <c r="A29" s="2" t="inlineStr">
        <is>
          <t>Exterior Façade / Building Skin</t>
        </is>
      </c>
      <c r="B29" s="15" t="n">
        <v>26187.51</v>
      </c>
      <c r="F29" s="15" t="n">
        <v>26187.51</v>
      </c>
    </row>
    <row r="30">
      <c r="A30" s="2" t="inlineStr">
        <is>
          <t>Doors &amp; Frames</t>
        </is>
      </c>
      <c r="B30" s="15" t="n">
        <v>11772.85</v>
      </c>
      <c r="F30" s="15" t="n">
        <v>11772.85</v>
      </c>
    </row>
    <row r="31">
      <c r="A31" s="2" t="inlineStr">
        <is>
          <t>Windows</t>
        </is>
      </c>
      <c r="B31" s="15" t="n">
        <v>6994.46</v>
      </c>
      <c r="F31" s="15" t="n">
        <v>6994.46</v>
      </c>
    </row>
    <row r="32">
      <c r="A32" s="2" t="inlineStr">
        <is>
          <t>Ceiling Systems</t>
        </is>
      </c>
      <c r="B32" s="15" t="n">
        <v>7953.64</v>
      </c>
      <c r="F32" s="15" t="n">
        <v>7953.64</v>
      </c>
    </row>
    <row r="33">
      <c r="A33" s="2" t="inlineStr">
        <is>
          <t>Interior Framing / Partitions</t>
        </is>
      </c>
      <c r="B33" s="15" t="n">
        <v>19168.95</v>
      </c>
      <c r="F33" s="15" t="n">
        <v>19168.95</v>
      </c>
    </row>
    <row r="34">
      <c r="A34" s="2" t="inlineStr">
        <is>
          <t>Painting</t>
        </is>
      </c>
      <c r="B34" s="15" t="n">
        <v>7364.73</v>
      </c>
      <c r="F34" s="15" t="n">
        <v>7364.73</v>
      </c>
    </row>
    <row r="35">
      <c r="A35" s="2" t="inlineStr">
        <is>
          <t>Gutter Systems</t>
        </is>
      </c>
      <c r="B35" s="15" t="n">
        <v>1137.92</v>
      </c>
      <c r="F35" s="15" t="n">
        <v>1137.92</v>
      </c>
    </row>
    <row r="36">
      <c r="A36" s="2" t="inlineStr">
        <is>
          <t>Structural Framing</t>
        </is>
      </c>
      <c r="B36" s="15" t="n">
        <v>28878.51</v>
      </c>
      <c r="F36" s="15" t="n">
        <v>28878.51</v>
      </c>
    </row>
    <row r="37">
      <c r="A37" s="2" t="inlineStr">
        <is>
          <t>Stairs / Balconies</t>
        </is>
      </c>
      <c r="B37" s="15" t="n">
        <v>4019.19</v>
      </c>
      <c r="F37" s="15" t="n">
        <v>4019.19</v>
      </c>
    </row>
    <row r="38">
      <c r="A38" s="2" t="inlineStr">
        <is>
          <t>Bathroom Accessories</t>
        </is>
      </c>
      <c r="B38" s="15" t="n">
        <v>2482.89</v>
      </c>
      <c r="F38" s="15" t="n">
        <v>2482.89</v>
      </c>
    </row>
    <row r="39">
      <c r="A39" s="2" t="inlineStr">
        <is>
          <t>Cabinets / Millwork - Restrooms</t>
        </is>
      </c>
      <c r="B39" s="15" t="n">
        <v>901.51</v>
      </c>
      <c r="F39" s="15" t="n">
        <v>901.51</v>
      </c>
    </row>
    <row r="41">
      <c r="A41" s="6" t="inlineStr">
        <is>
          <t>Total Building Cost</t>
        </is>
      </c>
      <c r="B41" s="13" t="n">
        <v>234391.03</v>
      </c>
      <c r="C41" s="13" t="n">
        <v>48570.52</v>
      </c>
      <c r="F41" s="13" t="n">
        <v>185820.51</v>
      </c>
    </row>
    <row r="42">
      <c r="A42" s="2" t="inlineStr">
        <is>
          <t>% of Building Cost</t>
        </is>
      </c>
      <c r="C42" s="14" t="n">
        <v>0.2072200459206993</v>
      </c>
      <c r="F42" s="14" t="n">
        <v>0.7927799540793008</v>
      </c>
    </row>
    <row r="44">
      <c r="A44" s="1" t="inlineStr">
        <is>
          <t>Asset Allocation:</t>
        </is>
      </c>
    </row>
    <row r="45">
      <c r="A45" s="2" t="inlineStr">
        <is>
          <t>Asset # 19-Building - 754 "Menowitz"</t>
        </is>
      </c>
      <c r="B45" s="15" t="n">
        <v>662.0599999999999</v>
      </c>
      <c r="C45" s="15" t="n">
        <v>137.19</v>
      </c>
      <c r="F45" s="15" t="n">
        <v>524.87</v>
      </c>
    </row>
    <row r="46">
      <c r="A46" s="2" t="inlineStr">
        <is>
          <t>Asset # 3-Building</t>
        </is>
      </c>
      <c r="B46" s="15" t="n">
        <v>197009.25</v>
      </c>
      <c r="C46" s="15" t="n">
        <v>40824.27</v>
      </c>
      <c r="F46" s="15" t="n">
        <v>156184.98</v>
      </c>
    </row>
    <row r="47">
      <c r="A47" s="2" t="inlineStr">
        <is>
          <t>Asset # 4-Personal Property</t>
        </is>
      </c>
      <c r="B47" s="15" t="n">
        <v>12239.91</v>
      </c>
      <c r="C47" s="15" t="n">
        <v>2536.35</v>
      </c>
      <c r="F47" s="15" t="n">
        <v>9703.559999999999</v>
      </c>
    </row>
    <row r="48">
      <c r="A48" s="2" t="inlineStr">
        <is>
          <t>Asset # 2-Land Improvements</t>
        </is>
      </c>
      <c r="B48" s="15" t="n">
        <v>24479.81</v>
      </c>
      <c r="C48" s="15" t="n">
        <v>5072.71</v>
      </c>
      <c r="F48" s="15" t="n">
        <v>19407.1</v>
      </c>
    </row>
    <row r="49">
      <c r="A49" s="6" t="inlineStr">
        <is>
          <t>Total Allocation:</t>
        </is>
      </c>
      <c r="B49" s="13" t="n">
        <v>234391.03</v>
      </c>
      <c r="C49" s="13" t="n">
        <v>48570.52</v>
      </c>
      <c r="F49" s="13" t="n">
        <v>185820.51</v>
      </c>
    </row>
    <row r="51">
      <c r="A51" s="1" t="inlineStr">
        <is>
          <t>End Depreciation Reconciliation</t>
        </is>
      </c>
    </row>
    <row r="52">
      <c r="A52" s="2" t="inlineStr">
        <is>
          <t>Before Cost Segregation (As Previously Filed)</t>
        </is>
      </c>
      <c r="B52" s="5" t="n">
        <v>162655.33</v>
      </c>
    </row>
    <row r="53">
      <c r="A53" s="2" t="inlineStr">
        <is>
          <t>After Cost Segregation (Corrected)</t>
        </is>
      </c>
      <c r="B53" s="9" t="n">
        <v>138666.95</v>
      </c>
    </row>
    <row r="54">
      <c r="A54" s="10" t="inlineStr">
        <is>
          <t>Section 481(a) Adjustment</t>
        </is>
      </c>
      <c r="B54" s="16" t="n">
        <v>-23988.38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Bldg 3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Bldg 3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11319.08</v>
      </c>
      <c r="C11" s="15" t="n">
        <v>11319.08</v>
      </c>
    </row>
    <row r="12">
      <c r="A12" s="2" t="inlineStr">
        <is>
          <t>Moldings</t>
        </is>
      </c>
      <c r="B12" s="15" t="n">
        <v>4407.51</v>
      </c>
      <c r="C12" s="15" t="n">
        <v>4407.51</v>
      </c>
    </row>
    <row r="13">
      <c r="A13" s="2" t="inlineStr">
        <is>
          <t>Flooring - Vinyl Plank</t>
        </is>
      </c>
      <c r="B13" s="15" t="n">
        <v>17858.88</v>
      </c>
      <c r="C13" s="15" t="n">
        <v>17858.88</v>
      </c>
    </row>
    <row r="14">
      <c r="A14" s="2" t="inlineStr">
        <is>
          <t>Window Treatments</t>
        </is>
      </c>
      <c r="B14" s="15" t="n">
        <v>1586.91</v>
      </c>
      <c r="C14" s="15" t="n">
        <v>1586.91</v>
      </c>
    </row>
    <row r="15">
      <c r="A15" s="2" t="inlineStr">
        <is>
          <t>Building Signage</t>
        </is>
      </c>
      <c r="B15" s="15" t="n">
        <v>127.35</v>
      </c>
      <c r="C15" s="15" t="n">
        <v>127.35</v>
      </c>
    </row>
    <row r="16">
      <c r="A16" s="2" t="inlineStr">
        <is>
          <t>Specialty Electrical - Appliances</t>
        </is>
      </c>
      <c r="B16" s="15" t="n">
        <v>2548.79</v>
      </c>
      <c r="C16" s="15" t="n">
        <v>2548.79</v>
      </c>
    </row>
    <row r="17">
      <c r="A17" s="2" t="inlineStr">
        <is>
          <t>Communication / Data</t>
        </is>
      </c>
      <c r="B17" s="15" t="n">
        <v>1548.16</v>
      </c>
      <c r="C17" s="15" t="n">
        <v>1548.16</v>
      </c>
    </row>
    <row r="18">
      <c r="A18" s="2" t="inlineStr">
        <is>
          <t>Specialty Plumbing - Kitchen Sinks</t>
        </is>
      </c>
      <c r="B18" s="15" t="n">
        <v>4626.46</v>
      </c>
      <c r="C18" s="15" t="n">
        <v>4626.46</v>
      </c>
    </row>
    <row r="19">
      <c r="A19" s="2" t="inlineStr">
        <is>
          <t>Security / Exterior Lighting</t>
        </is>
      </c>
      <c r="B19" s="15" t="n">
        <v>480.75</v>
      </c>
      <c r="C19" s="15" t="n">
        <v>480.75</v>
      </c>
    </row>
    <row r="20">
      <c r="A20" s="2" t="inlineStr">
        <is>
          <t>Access Control</t>
        </is>
      </c>
      <c r="B20" s="15" t="n">
        <v>75.53</v>
      </c>
      <c r="C20" s="15" t="n">
        <v>75.53</v>
      </c>
    </row>
    <row r="21">
      <c r="A21" s="2" t="inlineStr">
        <is>
          <t>Appliances</t>
        </is>
      </c>
      <c r="B21" s="15" t="n">
        <v>3991.1</v>
      </c>
      <c r="C21" s="15" t="n">
        <v>3991.1</v>
      </c>
    </row>
    <row r="22">
      <c r="A22" s="6" t="inlineStr">
        <is>
          <t>Building Structure</t>
        </is>
      </c>
    </row>
    <row r="23">
      <c r="A23" s="2" t="inlineStr">
        <is>
          <t>Roofing Systems</t>
        </is>
      </c>
      <c r="B23" s="15" t="n">
        <v>7270.82</v>
      </c>
      <c r="F23" s="15" t="n">
        <v>7270.82</v>
      </c>
    </row>
    <row r="24">
      <c r="A24" s="2" t="inlineStr">
        <is>
          <t>Foundations</t>
        </is>
      </c>
      <c r="B24" s="15" t="n">
        <v>12116.84</v>
      </c>
      <c r="F24" s="15" t="n">
        <v>12116.84</v>
      </c>
    </row>
    <row r="25">
      <c r="A25" s="2" t="inlineStr">
        <is>
          <t>HVAC</t>
        </is>
      </c>
      <c r="B25" s="15" t="n">
        <v>17293.33</v>
      </c>
      <c r="F25" s="15" t="n">
        <v>17293.33</v>
      </c>
    </row>
    <row r="26">
      <c r="A26" s="2" t="inlineStr">
        <is>
          <t>Electrical</t>
        </is>
      </c>
      <c r="B26" s="15" t="n">
        <v>16285.45</v>
      </c>
      <c r="F26" s="15" t="n">
        <v>16285.45</v>
      </c>
    </row>
    <row r="27">
      <c r="A27" s="2" t="inlineStr">
        <is>
          <t>Plumbing</t>
        </is>
      </c>
      <c r="B27" s="15" t="n">
        <v>15033</v>
      </c>
      <c r="F27" s="15" t="n">
        <v>15033</v>
      </c>
    </row>
    <row r="28">
      <c r="A28" s="2" t="inlineStr">
        <is>
          <t>Fire Protection &amp; Alarm</t>
        </is>
      </c>
      <c r="B28" s="15" t="n">
        <v>958.91</v>
      </c>
      <c r="F28" s="15" t="n">
        <v>958.91</v>
      </c>
    </row>
    <row r="29">
      <c r="A29" s="2" t="inlineStr">
        <is>
          <t>Exterior Façade / Building Skin</t>
        </is>
      </c>
      <c r="B29" s="15" t="n">
        <v>26187.51</v>
      </c>
      <c r="F29" s="15" t="n">
        <v>26187.51</v>
      </c>
    </row>
    <row r="30">
      <c r="A30" s="2" t="inlineStr">
        <is>
          <t>Doors &amp; Frames</t>
        </is>
      </c>
      <c r="B30" s="15" t="n">
        <v>11772.85</v>
      </c>
      <c r="F30" s="15" t="n">
        <v>11772.85</v>
      </c>
    </row>
    <row r="31">
      <c r="A31" s="2" t="inlineStr">
        <is>
          <t>Windows</t>
        </is>
      </c>
      <c r="B31" s="15" t="n">
        <v>6994.46</v>
      </c>
      <c r="F31" s="15" t="n">
        <v>6994.46</v>
      </c>
    </row>
    <row r="32">
      <c r="A32" s="2" t="inlineStr">
        <is>
          <t>Ceiling Systems</t>
        </is>
      </c>
      <c r="B32" s="15" t="n">
        <v>7953.64</v>
      </c>
      <c r="F32" s="15" t="n">
        <v>7953.64</v>
      </c>
    </row>
    <row r="33">
      <c r="A33" s="2" t="inlineStr">
        <is>
          <t>Interior Framing / Partitions</t>
        </is>
      </c>
      <c r="B33" s="15" t="n">
        <v>19168.95</v>
      </c>
      <c r="F33" s="15" t="n">
        <v>19168.95</v>
      </c>
    </row>
    <row r="34">
      <c r="A34" s="2" t="inlineStr">
        <is>
          <t>Painting</t>
        </is>
      </c>
      <c r="B34" s="15" t="n">
        <v>7364.73</v>
      </c>
      <c r="F34" s="15" t="n">
        <v>7364.73</v>
      </c>
    </row>
    <row r="35">
      <c r="A35" s="2" t="inlineStr">
        <is>
          <t>Gutter Systems</t>
        </is>
      </c>
      <c r="B35" s="15" t="n">
        <v>1137.92</v>
      </c>
      <c r="F35" s="15" t="n">
        <v>1137.92</v>
      </c>
    </row>
    <row r="36">
      <c r="A36" s="2" t="inlineStr">
        <is>
          <t>Structural Framing</t>
        </is>
      </c>
      <c r="B36" s="15" t="n">
        <v>28878.51</v>
      </c>
      <c r="F36" s="15" t="n">
        <v>28878.51</v>
      </c>
    </row>
    <row r="37">
      <c r="A37" s="2" t="inlineStr">
        <is>
          <t>Stairs / Balconies</t>
        </is>
      </c>
      <c r="B37" s="15" t="n">
        <v>4019.19</v>
      </c>
      <c r="F37" s="15" t="n">
        <v>4019.19</v>
      </c>
    </row>
    <row r="38">
      <c r="A38" s="2" t="inlineStr">
        <is>
          <t>Bathroom Accessories</t>
        </is>
      </c>
      <c r="B38" s="15" t="n">
        <v>2482.89</v>
      </c>
      <c r="F38" s="15" t="n">
        <v>2482.89</v>
      </c>
    </row>
    <row r="39">
      <c r="A39" s="2" t="inlineStr">
        <is>
          <t>Cabinets / Millwork - Restrooms</t>
        </is>
      </c>
      <c r="B39" s="15" t="n">
        <v>901.51</v>
      </c>
      <c r="F39" s="15" t="n">
        <v>901.51</v>
      </c>
    </row>
    <row r="41">
      <c r="A41" s="6" t="inlineStr">
        <is>
          <t>Total Building Cost</t>
        </is>
      </c>
      <c r="B41" s="13" t="n">
        <v>234391.03</v>
      </c>
      <c r="C41" s="13" t="n">
        <v>48570.52</v>
      </c>
      <c r="F41" s="13" t="n">
        <v>185820.51</v>
      </c>
    </row>
    <row r="42">
      <c r="A42" s="2" t="inlineStr">
        <is>
          <t>% of Building Cost</t>
        </is>
      </c>
      <c r="C42" s="14" t="n">
        <v>0.2072200459206993</v>
      </c>
      <c r="F42" s="14" t="n">
        <v>0.7927799540793008</v>
      </c>
    </row>
    <row r="44">
      <c r="A44" s="1" t="inlineStr">
        <is>
          <t>Asset Allocation:</t>
        </is>
      </c>
    </row>
    <row r="45">
      <c r="A45" s="2" t="inlineStr">
        <is>
          <t>Asset # 19-Building - 754 "Menowitz"</t>
        </is>
      </c>
      <c r="B45" s="15" t="n">
        <v>662.0599999999999</v>
      </c>
      <c r="C45" s="15" t="n">
        <v>137.19</v>
      </c>
      <c r="F45" s="15" t="n">
        <v>524.87</v>
      </c>
    </row>
    <row r="46">
      <c r="A46" s="2" t="inlineStr">
        <is>
          <t>Asset # 3-Building</t>
        </is>
      </c>
      <c r="B46" s="15" t="n">
        <v>197009.25</v>
      </c>
      <c r="C46" s="15" t="n">
        <v>40824.27</v>
      </c>
      <c r="F46" s="15" t="n">
        <v>156184.98</v>
      </c>
    </row>
    <row r="47">
      <c r="A47" s="2" t="inlineStr">
        <is>
          <t>Asset # 4-Personal Property</t>
        </is>
      </c>
      <c r="B47" s="15" t="n">
        <v>12239.91</v>
      </c>
      <c r="C47" s="15" t="n">
        <v>2536.35</v>
      </c>
      <c r="F47" s="15" t="n">
        <v>9703.559999999999</v>
      </c>
    </row>
    <row r="48">
      <c r="A48" s="2" t="inlineStr">
        <is>
          <t>Asset # 2-Land Improvements</t>
        </is>
      </c>
      <c r="B48" s="15" t="n">
        <v>24479.81</v>
      </c>
      <c r="C48" s="15" t="n">
        <v>5072.71</v>
      </c>
      <c r="F48" s="15" t="n">
        <v>19407.1</v>
      </c>
    </row>
    <row r="49">
      <c r="A49" s="6" t="inlineStr">
        <is>
          <t>Total Allocation:</t>
        </is>
      </c>
      <c r="B49" s="13" t="n">
        <v>234391.03</v>
      </c>
      <c r="C49" s="13" t="n">
        <v>48570.52</v>
      </c>
      <c r="F49" s="13" t="n">
        <v>185820.51</v>
      </c>
    </row>
    <row r="51">
      <c r="A51" s="1" t="inlineStr">
        <is>
          <t>End Depreciation Reconciliation</t>
        </is>
      </c>
    </row>
    <row r="52">
      <c r="A52" s="2" t="inlineStr">
        <is>
          <t>Before Cost Segregation (As Previously Filed)</t>
        </is>
      </c>
      <c r="B52" s="5" t="n">
        <v>162655.33</v>
      </c>
    </row>
    <row r="53">
      <c r="A53" s="2" t="inlineStr">
        <is>
          <t>After Cost Segregation (Corrected)</t>
        </is>
      </c>
      <c r="B53" s="9" t="n">
        <v>138666.95</v>
      </c>
    </row>
    <row r="54">
      <c r="A54" s="10" t="inlineStr">
        <is>
          <t>Section 481(a) Adjustment</t>
        </is>
      </c>
      <c r="B54" s="16" t="n">
        <v>-23988.38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Office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Office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520.4400000000001</v>
      </c>
      <c r="C11" s="15" t="n">
        <v>520.4400000000001</v>
      </c>
    </row>
    <row r="12">
      <c r="A12" s="2" t="inlineStr">
        <is>
          <t>Moldings</t>
        </is>
      </c>
      <c r="B12" s="15" t="n">
        <v>1317.26</v>
      </c>
      <c r="C12" s="15" t="n">
        <v>1317.26</v>
      </c>
    </row>
    <row r="13">
      <c r="A13" s="2" t="inlineStr">
        <is>
          <t>Flooring - Carpet</t>
        </is>
      </c>
      <c r="B13" s="15" t="n">
        <v>3476.89</v>
      </c>
      <c r="C13" s="15" t="n">
        <v>3476.89</v>
      </c>
    </row>
    <row r="14">
      <c r="A14" s="2" t="inlineStr">
        <is>
          <t>Flooring - Vinyl Plank</t>
        </is>
      </c>
      <c r="B14" s="15" t="n">
        <v>1033.5</v>
      </c>
      <c r="C14" s="15" t="n">
        <v>1033.5</v>
      </c>
    </row>
    <row r="15">
      <c r="A15" s="2" t="inlineStr">
        <is>
          <t>Interior Half Walls</t>
        </is>
      </c>
      <c r="B15" s="15" t="n">
        <v>80.40000000000001</v>
      </c>
      <c r="C15" s="15" t="n">
        <v>80.40000000000001</v>
      </c>
    </row>
    <row r="16">
      <c r="A16" s="2" t="inlineStr">
        <is>
          <t>Window Treatments</t>
        </is>
      </c>
      <c r="B16" s="15" t="n">
        <v>417.88</v>
      </c>
      <c r="C16" s="15" t="n">
        <v>417.88</v>
      </c>
    </row>
    <row r="17">
      <c r="A17" s="2" t="inlineStr">
        <is>
          <t>Specialty HVAC - Dryer Vents</t>
        </is>
      </c>
      <c r="B17" s="15" t="n">
        <v>318.53</v>
      </c>
      <c r="C17" s="15" t="n">
        <v>318.53</v>
      </c>
    </row>
    <row r="18">
      <c r="A18" s="2" t="inlineStr">
        <is>
          <t>Specialty Electrical - Appliances</t>
        </is>
      </c>
      <c r="B18" s="15" t="n">
        <v>2056.7</v>
      </c>
      <c r="C18" s="15" t="n">
        <v>2056.7</v>
      </c>
    </row>
    <row r="19">
      <c r="A19" s="2" t="inlineStr">
        <is>
          <t>Communication / Data</t>
        </is>
      </c>
      <c r="B19" s="15" t="n">
        <v>2255.5</v>
      </c>
      <c r="C19" s="15" t="n">
        <v>2255.5</v>
      </c>
    </row>
    <row r="20">
      <c r="A20" s="2" t="inlineStr">
        <is>
          <t>Specialty Plumbing - Breakroom Sink / Laundry</t>
        </is>
      </c>
      <c r="B20" s="15" t="n">
        <v>1908.2</v>
      </c>
      <c r="C20" s="15" t="n">
        <v>1908.2</v>
      </c>
    </row>
    <row r="21">
      <c r="A21" s="2" t="inlineStr">
        <is>
          <t>Security / Exterior Lighting</t>
        </is>
      </c>
      <c r="B21" s="15" t="n">
        <v>264.96</v>
      </c>
      <c r="C21" s="15" t="n">
        <v>264.96</v>
      </c>
    </row>
    <row r="22">
      <c r="A22" s="2" t="inlineStr">
        <is>
          <t>Interior Windows</t>
        </is>
      </c>
      <c r="B22" s="15" t="n">
        <v>104.91</v>
      </c>
      <c r="C22" s="15" t="n">
        <v>104.91</v>
      </c>
    </row>
    <row r="23">
      <c r="A23" s="2" t="inlineStr">
        <is>
          <t>Mailboxes</t>
        </is>
      </c>
      <c r="B23" s="15" t="n">
        <v>31.84</v>
      </c>
      <c r="C23" s="15" t="n">
        <v>31.84</v>
      </c>
    </row>
    <row r="24">
      <c r="A24" s="2" t="inlineStr">
        <is>
          <t>Appliances</t>
        </is>
      </c>
      <c r="B24" s="15" t="n">
        <v>5131.77</v>
      </c>
      <c r="C24" s="15" t="n">
        <v>5131.77</v>
      </c>
    </row>
    <row r="25">
      <c r="A25" s="6" t="inlineStr">
        <is>
          <t>Building Structure</t>
        </is>
      </c>
    </row>
    <row r="26">
      <c r="A26" s="2" t="inlineStr">
        <is>
          <t>Roofing Systems</t>
        </is>
      </c>
      <c r="B26" s="15" t="n">
        <v>5390.21</v>
      </c>
      <c r="F26" s="15" t="n">
        <v>5390.21</v>
      </c>
    </row>
    <row r="27">
      <c r="A27" s="2" t="inlineStr">
        <is>
          <t>Foundations</t>
        </is>
      </c>
      <c r="B27" s="15" t="n">
        <v>9199.73</v>
      </c>
      <c r="F27" s="15" t="n">
        <v>9199.73</v>
      </c>
    </row>
    <row r="28">
      <c r="A28" s="2" t="inlineStr">
        <is>
          <t>HVAC</t>
        </is>
      </c>
      <c r="B28" s="15" t="n">
        <v>6425.49</v>
      </c>
      <c r="F28" s="15" t="n">
        <v>6425.49</v>
      </c>
    </row>
    <row r="29">
      <c r="A29" s="2" t="inlineStr">
        <is>
          <t>Electrical</t>
        </is>
      </c>
      <c r="B29" s="15" t="n">
        <v>5288.25</v>
      </c>
      <c r="F29" s="15" t="n">
        <v>5288.25</v>
      </c>
    </row>
    <row r="30">
      <c r="A30" s="2" t="inlineStr">
        <is>
          <t>Plumbing</t>
        </is>
      </c>
      <c r="B30" s="15" t="n">
        <v>5862.54</v>
      </c>
      <c r="F30" s="15" t="n">
        <v>5862.54</v>
      </c>
    </row>
    <row r="31">
      <c r="A31" s="2" t="inlineStr">
        <is>
          <t>Fire Protection &amp; Alarm</t>
        </is>
      </c>
      <c r="B31" s="15" t="n">
        <v>31.08</v>
      </c>
      <c r="F31" s="15" t="n">
        <v>31.08</v>
      </c>
    </row>
    <row r="32">
      <c r="A32" s="2" t="inlineStr">
        <is>
          <t>Exterior Façade / Building Skin</t>
        </is>
      </c>
      <c r="B32" s="15" t="n">
        <v>7191.13</v>
      </c>
      <c r="F32" s="15" t="n">
        <v>7191.13</v>
      </c>
    </row>
    <row r="33">
      <c r="A33" s="2" t="inlineStr">
        <is>
          <t>Doors &amp; Frames</t>
        </is>
      </c>
      <c r="B33" s="15" t="n">
        <v>3067.26</v>
      </c>
      <c r="F33" s="15" t="n">
        <v>3067.26</v>
      </c>
    </row>
    <row r="34">
      <c r="A34" s="2" t="inlineStr">
        <is>
          <t>Windows</t>
        </is>
      </c>
      <c r="B34" s="15" t="n">
        <v>1771.93</v>
      </c>
      <c r="F34" s="15" t="n">
        <v>1771.93</v>
      </c>
    </row>
    <row r="35">
      <c r="A35" s="2" t="inlineStr">
        <is>
          <t>Ceiling Systems</t>
        </is>
      </c>
      <c r="B35" s="15" t="n">
        <v>3101.74</v>
      </c>
      <c r="F35" s="15" t="n">
        <v>3101.74</v>
      </c>
    </row>
    <row r="36">
      <c r="A36" s="2" t="inlineStr">
        <is>
          <t>Interior Framing / Partitions</t>
        </is>
      </c>
      <c r="B36" s="15" t="n">
        <v>10409.1</v>
      </c>
      <c r="F36" s="15" t="n">
        <v>10409.1</v>
      </c>
    </row>
    <row r="37">
      <c r="A37" s="2" t="inlineStr">
        <is>
          <t>Painting</t>
        </is>
      </c>
      <c r="B37" s="15" t="n">
        <v>3502.1</v>
      </c>
      <c r="F37" s="15" t="n">
        <v>3502.1</v>
      </c>
    </row>
    <row r="38">
      <c r="A38" s="2" t="inlineStr">
        <is>
          <t>Gutter Systems</t>
        </is>
      </c>
      <c r="B38" s="15" t="n">
        <v>499.77</v>
      </c>
      <c r="F38" s="15" t="n">
        <v>499.77</v>
      </c>
    </row>
    <row r="39">
      <c r="A39" s="2" t="inlineStr">
        <is>
          <t>Emergency Lighting</t>
        </is>
      </c>
      <c r="B39" s="15" t="n">
        <v>320.27</v>
      </c>
      <c r="F39" s="15" t="n">
        <v>320.27</v>
      </c>
    </row>
    <row r="40">
      <c r="A40" s="2" t="inlineStr">
        <is>
          <t>Structural Framing</t>
        </is>
      </c>
      <c r="B40" s="15" t="n">
        <v>11487.8</v>
      </c>
      <c r="F40" s="15" t="n">
        <v>11487.8</v>
      </c>
    </row>
    <row r="41">
      <c r="A41" s="2" t="inlineStr">
        <is>
          <t>Flooring - Sealed Concrete</t>
        </is>
      </c>
      <c r="B41" s="15" t="n">
        <v>260.1</v>
      </c>
      <c r="F41" s="15" t="n">
        <v>260.1</v>
      </c>
    </row>
    <row r="42">
      <c r="A42" s="2" t="inlineStr">
        <is>
          <t>Bathroom Accessories</t>
        </is>
      </c>
      <c r="B42" s="15" t="n">
        <v>176</v>
      </c>
      <c r="F42" s="15" t="n">
        <v>176</v>
      </c>
    </row>
    <row r="44">
      <c r="A44" s="6" t="inlineStr">
        <is>
          <t>Total Building Cost</t>
        </is>
      </c>
      <c r="B44" s="13" t="n">
        <v>92903.28</v>
      </c>
      <c r="C44" s="13" t="n">
        <v>18918.78</v>
      </c>
      <c r="F44" s="13" t="n">
        <v>73984.5</v>
      </c>
    </row>
    <row r="45">
      <c r="A45" s="2" t="inlineStr">
        <is>
          <t>% of Building Cost</t>
        </is>
      </c>
      <c r="C45" s="14" t="n">
        <v>0.2036395270436092</v>
      </c>
      <c r="F45" s="14" t="n">
        <v>0.7963604729563908</v>
      </c>
    </row>
    <row r="47">
      <c r="A47" s="1" t="inlineStr">
        <is>
          <t>Asset Allocation:</t>
        </is>
      </c>
    </row>
    <row r="48">
      <c r="A48" s="2" t="inlineStr">
        <is>
          <t>Asset # 19-Building - 754 "Menowitz"</t>
        </is>
      </c>
      <c r="B48" s="15" t="n">
        <v>262.41</v>
      </c>
      <c r="C48" s="15" t="n">
        <v>53.44</v>
      </c>
      <c r="F48" s="15" t="n">
        <v>208.97</v>
      </c>
    </row>
    <row r="49">
      <c r="A49" s="2" t="inlineStr">
        <is>
          <t>Asset # 3-Building</t>
        </is>
      </c>
      <c r="B49" s="15" t="n">
        <v>78086.63</v>
      </c>
      <c r="C49" s="15" t="n">
        <v>15901.52</v>
      </c>
      <c r="F49" s="15" t="n">
        <v>62185.11</v>
      </c>
    </row>
    <row r="50">
      <c r="A50" s="2" t="inlineStr">
        <is>
          <t>Asset # 4-Personal Property</t>
        </is>
      </c>
      <c r="B50" s="15" t="n">
        <v>4851.41</v>
      </c>
      <c r="C50" s="15" t="n">
        <v>987.9400000000001</v>
      </c>
      <c r="F50" s="15" t="n">
        <v>3863.47</v>
      </c>
    </row>
    <row r="51">
      <c r="A51" s="2" t="inlineStr">
        <is>
          <t>Asset # 2-Land Improvements</t>
        </is>
      </c>
      <c r="B51" s="15" t="n">
        <v>9702.83</v>
      </c>
      <c r="C51" s="15" t="n">
        <v>1975.88</v>
      </c>
      <c r="F51" s="15" t="n">
        <v>7726.95</v>
      </c>
    </row>
    <row r="52">
      <c r="A52" s="6" t="inlineStr">
        <is>
          <t>Total Allocation:</t>
        </is>
      </c>
      <c r="B52" s="13" t="n">
        <v>92903.28</v>
      </c>
      <c r="C52" s="13" t="n">
        <v>18918.78</v>
      </c>
      <c r="F52" s="13" t="n">
        <v>73984.5</v>
      </c>
    </row>
    <row r="54">
      <c r="A54" s="1" t="inlineStr">
        <is>
          <t>End Depreciation Reconciliation</t>
        </is>
      </c>
    </row>
    <row r="55">
      <c r="A55" s="2" t="inlineStr">
        <is>
          <t>Before Cost Segregation (As Previously Filed)</t>
        </is>
      </c>
      <c r="B55" s="5" t="n">
        <v>64470.1</v>
      </c>
    </row>
    <row r="56">
      <c r="A56" s="2" t="inlineStr">
        <is>
          <t>After Cost Segregation (Corrected)</t>
        </is>
      </c>
      <c r="B56" s="9" t="n">
        <v>55210.24</v>
      </c>
    </row>
    <row r="57">
      <c r="A57" s="10" t="inlineStr">
        <is>
          <t>Section 481(a) Adjustment</t>
        </is>
      </c>
      <c r="B57" s="16" t="n">
        <v>-9259.860000000001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Bldg 5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Bldg 5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7800.47</v>
      </c>
      <c r="C11" s="15" t="n">
        <v>7800.47</v>
      </c>
    </row>
    <row r="12">
      <c r="A12" s="2" t="inlineStr">
        <is>
          <t>Moldings</t>
        </is>
      </c>
      <c r="B12" s="15" t="n">
        <v>3748.91</v>
      </c>
      <c r="C12" s="15" t="n">
        <v>3748.91</v>
      </c>
    </row>
    <row r="13">
      <c r="A13" s="2" t="inlineStr">
        <is>
          <t>Flooring - Vinyl Plank</t>
        </is>
      </c>
      <c r="B13" s="15" t="n">
        <v>12139.37</v>
      </c>
      <c r="C13" s="15" t="n">
        <v>12139.37</v>
      </c>
    </row>
    <row r="14">
      <c r="A14" s="2" t="inlineStr">
        <is>
          <t>Window Treatments</t>
        </is>
      </c>
      <c r="B14" s="15" t="n">
        <v>1142.58</v>
      </c>
      <c r="C14" s="15" t="n">
        <v>1142.58</v>
      </c>
    </row>
    <row r="15">
      <c r="A15" s="2" t="inlineStr">
        <is>
          <t>Building Signage</t>
        </is>
      </c>
      <c r="B15" s="15" t="n">
        <v>85.23999999999999</v>
      </c>
      <c r="C15" s="15" t="n">
        <v>85.23999999999999</v>
      </c>
    </row>
    <row r="16">
      <c r="A16" s="2" t="inlineStr">
        <is>
          <t>Specialty Electrical - Appliances</t>
        </is>
      </c>
      <c r="B16" s="15" t="n">
        <v>1274.42</v>
      </c>
      <c r="C16" s="15" t="n">
        <v>1274.42</v>
      </c>
    </row>
    <row r="17">
      <c r="A17" s="2" t="inlineStr">
        <is>
          <t>Communication / Data</t>
        </is>
      </c>
      <c r="B17" s="15" t="n">
        <v>1052.34</v>
      </c>
      <c r="C17" s="15" t="n">
        <v>1052.34</v>
      </c>
    </row>
    <row r="18">
      <c r="A18" s="2" t="inlineStr">
        <is>
          <t>Specialty Plumbing - Kitchen Sinks</t>
        </is>
      </c>
      <c r="B18" s="15" t="n">
        <v>2313.24</v>
      </c>
      <c r="C18" s="15" t="n">
        <v>2313.24</v>
      </c>
    </row>
    <row r="19">
      <c r="A19" s="2" t="inlineStr">
        <is>
          <t>Security / Exterior Lighting</t>
        </is>
      </c>
      <c r="B19" s="15" t="n">
        <v>252.07</v>
      </c>
      <c r="C19" s="15" t="n">
        <v>252.07</v>
      </c>
    </row>
    <row r="20">
      <c r="A20" s="2" t="inlineStr">
        <is>
          <t>Access Control</t>
        </is>
      </c>
      <c r="B20" s="15" t="n">
        <v>37.76</v>
      </c>
      <c r="C20" s="15" t="n">
        <v>37.76</v>
      </c>
    </row>
    <row r="21">
      <c r="A21" s="2" t="inlineStr">
        <is>
          <t>Appliances</t>
        </is>
      </c>
      <c r="B21" s="15" t="n">
        <v>1995.55</v>
      </c>
      <c r="C21" s="15" t="n">
        <v>1995.55</v>
      </c>
    </row>
    <row r="22">
      <c r="A22" s="6" t="inlineStr">
        <is>
          <t>Building Structure</t>
        </is>
      </c>
    </row>
    <row r="23">
      <c r="A23" s="2" t="inlineStr">
        <is>
          <t>Roofing Systems</t>
        </is>
      </c>
      <c r="B23" s="15" t="n">
        <v>5090</v>
      </c>
      <c r="F23" s="15" t="n">
        <v>5090</v>
      </c>
    </row>
    <row r="24">
      <c r="A24" s="2" t="inlineStr">
        <is>
          <t>Foundations</t>
        </is>
      </c>
      <c r="B24" s="15" t="n">
        <v>8538.110000000001</v>
      </c>
      <c r="F24" s="15" t="n">
        <v>8538.110000000001</v>
      </c>
    </row>
    <row r="25">
      <c r="A25" s="2" t="inlineStr">
        <is>
          <t>HVAC</t>
        </is>
      </c>
      <c r="B25" s="15" t="n">
        <v>11754.94</v>
      </c>
      <c r="F25" s="15" t="n">
        <v>11754.94</v>
      </c>
    </row>
    <row r="26">
      <c r="A26" s="2" t="inlineStr">
        <is>
          <t>Electrical</t>
        </is>
      </c>
      <c r="B26" s="15" t="n">
        <v>11527.95</v>
      </c>
      <c r="F26" s="15" t="n">
        <v>11527.95</v>
      </c>
    </row>
    <row r="27">
      <c r="A27" s="2" t="inlineStr">
        <is>
          <t>Plumbing</t>
        </is>
      </c>
      <c r="B27" s="15" t="n">
        <v>10218.5</v>
      </c>
      <c r="F27" s="15" t="n">
        <v>10218.5</v>
      </c>
    </row>
    <row r="28">
      <c r="A28" s="2" t="inlineStr">
        <is>
          <t>Fire Protection &amp; Alarm</t>
        </is>
      </c>
      <c r="B28" s="15" t="n">
        <v>775.83</v>
      </c>
      <c r="F28" s="15" t="n">
        <v>775.83</v>
      </c>
    </row>
    <row r="29">
      <c r="A29" s="2" t="inlineStr">
        <is>
          <t>Exterior Façade / Building Skin</t>
        </is>
      </c>
      <c r="B29" s="15" t="n">
        <v>22829.89</v>
      </c>
      <c r="F29" s="15" t="n">
        <v>22829.89</v>
      </c>
    </row>
    <row r="30">
      <c r="A30" s="2" t="inlineStr">
        <is>
          <t>Doors &amp; Frames</t>
        </is>
      </c>
      <c r="B30" s="15" t="n">
        <v>5886.42</v>
      </c>
      <c r="F30" s="15" t="n">
        <v>5886.42</v>
      </c>
    </row>
    <row r="31">
      <c r="A31" s="2" t="inlineStr">
        <is>
          <t>Windows</t>
        </is>
      </c>
      <c r="B31" s="15" t="n">
        <v>5036.01</v>
      </c>
      <c r="F31" s="15" t="n">
        <v>5036.01</v>
      </c>
    </row>
    <row r="32">
      <c r="A32" s="2" t="inlineStr">
        <is>
          <t>Ceiling Systems</t>
        </is>
      </c>
      <c r="B32" s="15" t="n">
        <v>5406.4</v>
      </c>
      <c r="F32" s="15" t="n">
        <v>5406.4</v>
      </c>
    </row>
    <row r="33">
      <c r="A33" s="2" t="inlineStr">
        <is>
          <t>Interior Framing / Partitions</t>
        </is>
      </c>
      <c r="B33" s="15" t="n">
        <v>16464.28</v>
      </c>
      <c r="F33" s="15" t="n">
        <v>16464.28</v>
      </c>
    </row>
    <row r="34">
      <c r="A34" s="2" t="inlineStr">
        <is>
          <t>Painting</t>
        </is>
      </c>
      <c r="B34" s="15" t="n">
        <v>5938.8</v>
      </c>
      <c r="F34" s="15" t="n">
        <v>5938.8</v>
      </c>
    </row>
    <row r="35">
      <c r="A35" s="2" t="inlineStr">
        <is>
          <t>Gutter Systems</t>
        </is>
      </c>
      <c r="B35" s="15" t="n">
        <v>1234.18</v>
      </c>
      <c r="F35" s="15" t="n">
        <v>1234.18</v>
      </c>
    </row>
    <row r="36">
      <c r="A36" s="2" t="inlineStr">
        <is>
          <t>Structural Framing</t>
        </is>
      </c>
      <c r="B36" s="15" t="n">
        <v>20850.04</v>
      </c>
      <c r="F36" s="15" t="n">
        <v>20850.04</v>
      </c>
    </row>
    <row r="37">
      <c r="A37" s="2" t="inlineStr">
        <is>
          <t>Stairs / Balconies</t>
        </is>
      </c>
      <c r="B37" s="15" t="n">
        <v>2992.32</v>
      </c>
      <c r="F37" s="15" t="n">
        <v>2992.32</v>
      </c>
    </row>
    <row r="38">
      <c r="A38" s="2" t="inlineStr">
        <is>
          <t>Bathroom Accessories</t>
        </is>
      </c>
      <c r="B38" s="15" t="n">
        <v>2482.89</v>
      </c>
      <c r="F38" s="15" t="n">
        <v>2482.89</v>
      </c>
    </row>
    <row r="39">
      <c r="A39" s="2" t="inlineStr">
        <is>
          <t>Cabinets / Millwork - Restrooms</t>
        </is>
      </c>
      <c r="B39" s="15" t="n">
        <v>901.51</v>
      </c>
      <c r="F39" s="15" t="n">
        <v>901.51</v>
      </c>
    </row>
    <row r="41">
      <c r="A41" s="6" t="inlineStr">
        <is>
          <t>Total Building Cost</t>
        </is>
      </c>
      <c r="B41" s="13" t="n">
        <v>169770.02</v>
      </c>
      <c r="C41" s="13" t="n">
        <v>31841.95</v>
      </c>
      <c r="F41" s="13" t="n">
        <v>137928.07</v>
      </c>
    </row>
    <row r="42">
      <c r="A42" s="2" t="inlineStr">
        <is>
          <t>% of Building Cost</t>
        </is>
      </c>
      <c r="C42" s="14" t="n">
        <v>0.1875593229004744</v>
      </c>
      <c r="F42" s="14" t="n">
        <v>0.8124406770995257</v>
      </c>
    </row>
    <row r="44">
      <c r="A44" s="1" t="inlineStr">
        <is>
          <t>Asset Allocation:</t>
        </is>
      </c>
    </row>
    <row r="45">
      <c r="A45" s="2" t="inlineStr">
        <is>
          <t>Asset # 19-Building - 754 "Menowitz"</t>
        </is>
      </c>
      <c r="B45" s="15" t="n">
        <v>479.53</v>
      </c>
      <c r="C45" s="15" t="n">
        <v>89.94</v>
      </c>
      <c r="F45" s="15" t="n">
        <v>389.59</v>
      </c>
    </row>
    <row r="46">
      <c r="A46" s="2" t="inlineStr">
        <is>
          <t>Asset # 3-Building</t>
        </is>
      </c>
      <c r="B46" s="15" t="n">
        <v>142694.3</v>
      </c>
      <c r="C46" s="15" t="n">
        <v>26763.65</v>
      </c>
      <c r="F46" s="15" t="n">
        <v>115930.65</v>
      </c>
    </row>
    <row r="47">
      <c r="A47" s="2" t="inlineStr">
        <is>
          <t>Asset # 4-Personal Property</t>
        </is>
      </c>
      <c r="B47" s="15" t="n">
        <v>8865.4</v>
      </c>
      <c r="C47" s="15" t="n">
        <v>1662.79</v>
      </c>
      <c r="F47" s="15" t="n">
        <v>7202.61</v>
      </c>
    </row>
    <row r="48">
      <c r="A48" s="2" t="inlineStr">
        <is>
          <t>Asset # 2-Land Improvements</t>
        </is>
      </c>
      <c r="B48" s="15" t="n">
        <v>17730.79</v>
      </c>
      <c r="C48" s="15" t="n">
        <v>3325.57</v>
      </c>
      <c r="F48" s="15" t="n">
        <v>14405.22</v>
      </c>
    </row>
    <row r="49">
      <c r="A49" s="6" t="inlineStr">
        <is>
          <t>Total Allocation:</t>
        </is>
      </c>
      <c r="B49" s="13" t="n">
        <v>169770.02</v>
      </c>
      <c r="C49" s="13" t="n">
        <v>31841.95</v>
      </c>
      <c r="F49" s="13" t="n">
        <v>137928.07</v>
      </c>
    </row>
    <row r="51">
      <c r="A51" s="1" t="inlineStr">
        <is>
          <t>End Depreciation Reconciliation</t>
        </is>
      </c>
    </row>
    <row r="52">
      <c r="A52" s="2" t="inlineStr">
        <is>
          <t>Before Cost Segregation (As Previously Filed)</t>
        </is>
      </c>
      <c r="B52" s="5" t="n">
        <v>117811.65</v>
      </c>
    </row>
    <row r="53">
      <c r="A53" s="2" t="inlineStr">
        <is>
          <t>After Cost Segregation (Corrected)</t>
        </is>
      </c>
      <c r="B53" s="9" t="n">
        <v>102927.66</v>
      </c>
    </row>
    <row r="54">
      <c r="A54" s="10" t="inlineStr">
        <is>
          <t>Section 481(a) Adjustment</t>
        </is>
      </c>
      <c r="B54" s="16" t="n">
        <v>-14883.99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Bldg 6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Bldg 6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13932.37</v>
      </c>
      <c r="C11" s="15" t="n">
        <v>13932.37</v>
      </c>
    </row>
    <row r="12">
      <c r="A12" s="2" t="inlineStr">
        <is>
          <t>Moldings</t>
        </is>
      </c>
      <c r="B12" s="15" t="n">
        <v>4762.13</v>
      </c>
      <c r="C12" s="15" t="n">
        <v>4762.13</v>
      </c>
    </row>
    <row r="13">
      <c r="A13" s="2" t="inlineStr">
        <is>
          <t>Flooring - Vinyl Plank</t>
        </is>
      </c>
      <c r="B13" s="15" t="n">
        <v>21399.52</v>
      </c>
      <c r="C13" s="15" t="n">
        <v>21399.52</v>
      </c>
    </row>
    <row r="14">
      <c r="A14" s="2" t="inlineStr">
        <is>
          <t>Window Treatments</t>
        </is>
      </c>
      <c r="B14" s="15" t="n">
        <v>1967.77</v>
      </c>
      <c r="C14" s="15" t="n">
        <v>1967.77</v>
      </c>
    </row>
    <row r="15">
      <c r="A15" s="2" t="inlineStr">
        <is>
          <t>Building Signage</t>
        </is>
      </c>
      <c r="B15" s="15" t="n">
        <v>127.35</v>
      </c>
      <c r="C15" s="15" t="n">
        <v>127.35</v>
      </c>
    </row>
    <row r="16">
      <c r="A16" s="2" t="inlineStr">
        <is>
          <t>Specialty Electrical - Appliances</t>
        </is>
      </c>
      <c r="B16" s="15" t="n">
        <v>2548.79</v>
      </c>
      <c r="C16" s="15" t="n">
        <v>2548.79</v>
      </c>
    </row>
    <row r="17">
      <c r="A17" s="2" t="inlineStr">
        <is>
          <t>Communication / Data</t>
        </is>
      </c>
      <c r="B17" s="15" t="n">
        <v>1855.1</v>
      </c>
      <c r="C17" s="15" t="n">
        <v>1855.1</v>
      </c>
    </row>
    <row r="18">
      <c r="A18" s="2" t="inlineStr">
        <is>
          <t>Specialty Plumbing - Kitchen Sinks</t>
        </is>
      </c>
      <c r="B18" s="15" t="n">
        <v>4626.46</v>
      </c>
      <c r="C18" s="15" t="n">
        <v>4626.46</v>
      </c>
    </row>
    <row r="19">
      <c r="A19" s="2" t="inlineStr">
        <is>
          <t>Security / Exterior Lighting</t>
        </is>
      </c>
      <c r="B19" s="15" t="n">
        <v>480.75</v>
      </c>
      <c r="C19" s="15" t="n">
        <v>480.75</v>
      </c>
    </row>
    <row r="20">
      <c r="A20" s="2" t="inlineStr">
        <is>
          <t>Access Control</t>
        </is>
      </c>
      <c r="B20" s="15" t="n">
        <v>75.53</v>
      </c>
      <c r="C20" s="15" t="n">
        <v>75.53</v>
      </c>
    </row>
    <row r="21">
      <c r="A21" s="2" t="inlineStr">
        <is>
          <t>Appliances</t>
        </is>
      </c>
      <c r="B21" s="15" t="n">
        <v>3991.1</v>
      </c>
      <c r="C21" s="15" t="n">
        <v>3991.1</v>
      </c>
    </row>
    <row r="22">
      <c r="A22" s="6" t="inlineStr">
        <is>
          <t>Building Structure</t>
        </is>
      </c>
    </row>
    <row r="23">
      <c r="A23" s="2" t="inlineStr">
        <is>
          <t>Roofing Systems</t>
        </is>
      </c>
      <c r="B23" s="15" t="n">
        <v>8726.139999999999</v>
      </c>
      <c r="F23" s="15" t="n">
        <v>8726.139999999999</v>
      </c>
    </row>
    <row r="24">
      <c r="A24" s="2" t="inlineStr">
        <is>
          <t>Foundations</t>
        </is>
      </c>
      <c r="B24" s="15" t="n">
        <v>14310.97</v>
      </c>
      <c r="F24" s="15" t="n">
        <v>14310.97</v>
      </c>
    </row>
    <row r="25">
      <c r="A25" s="2" t="inlineStr">
        <is>
          <t>HVAC</t>
        </is>
      </c>
      <c r="B25" s="15" t="n">
        <v>20721.85</v>
      </c>
      <c r="F25" s="15" t="n">
        <v>20721.85</v>
      </c>
    </row>
    <row r="26">
      <c r="A26" s="2" t="inlineStr">
        <is>
          <t>Electrical</t>
        </is>
      </c>
      <c r="B26" s="15" t="n">
        <v>20019.46</v>
      </c>
      <c r="F26" s="15" t="n">
        <v>20019.46</v>
      </c>
    </row>
    <row r="27">
      <c r="A27" s="2" t="inlineStr">
        <is>
          <t>Plumbing</t>
        </is>
      </c>
      <c r="B27" s="15" t="n">
        <v>18013.39</v>
      </c>
      <c r="F27" s="15" t="n">
        <v>18013.39</v>
      </c>
    </row>
    <row r="28">
      <c r="A28" s="2" t="inlineStr">
        <is>
          <t>Fire Protection &amp; Alarm</t>
        </is>
      </c>
      <c r="B28" s="15" t="n">
        <v>1255.28</v>
      </c>
      <c r="F28" s="15" t="n">
        <v>1255.28</v>
      </c>
    </row>
    <row r="29">
      <c r="A29" s="2" t="inlineStr">
        <is>
          <t>Exterior Façade / Building Skin</t>
        </is>
      </c>
      <c r="B29" s="15" t="n">
        <v>28034.85</v>
      </c>
      <c r="F29" s="15" t="n">
        <v>28034.85</v>
      </c>
    </row>
    <row r="30">
      <c r="A30" s="2" t="inlineStr">
        <is>
          <t>Doors &amp; Frames</t>
        </is>
      </c>
      <c r="B30" s="15" t="n">
        <v>9209.33</v>
      </c>
      <c r="F30" s="15" t="n">
        <v>9209.33</v>
      </c>
    </row>
    <row r="31">
      <c r="A31" s="2" t="inlineStr">
        <is>
          <t>Windows</t>
        </is>
      </c>
      <c r="B31" s="15" t="n">
        <v>8673.120000000001</v>
      </c>
      <c r="F31" s="15" t="n">
        <v>8673.120000000001</v>
      </c>
    </row>
    <row r="32">
      <c r="A32" s="2" t="inlineStr">
        <is>
          <t>Ceiling Systems</t>
        </is>
      </c>
      <c r="B32" s="15" t="n">
        <v>9530.52</v>
      </c>
      <c r="F32" s="15" t="n">
        <v>9530.52</v>
      </c>
    </row>
    <row r="33">
      <c r="A33" s="2" t="inlineStr">
        <is>
          <t>Interior Framing / Partitions</t>
        </is>
      </c>
      <c r="B33" s="15" t="n">
        <v>20615.67</v>
      </c>
      <c r="F33" s="15" t="n">
        <v>20615.67</v>
      </c>
    </row>
    <row r="34">
      <c r="A34" s="2" t="inlineStr">
        <is>
          <t>Painting</t>
        </is>
      </c>
      <c r="B34" s="15" t="n">
        <v>8186.44</v>
      </c>
      <c r="F34" s="15" t="n">
        <v>8186.44</v>
      </c>
    </row>
    <row r="35">
      <c r="A35" s="2" t="inlineStr">
        <is>
          <t>Gutter Systems</t>
        </is>
      </c>
      <c r="B35" s="15" t="n">
        <v>1433.11</v>
      </c>
      <c r="F35" s="15" t="n">
        <v>1433.11</v>
      </c>
    </row>
    <row r="36">
      <c r="A36" s="2" t="inlineStr">
        <is>
          <t>Structural Framing</t>
        </is>
      </c>
      <c r="B36" s="15" t="n">
        <v>33915.86</v>
      </c>
      <c r="F36" s="15" t="n">
        <v>33915.86</v>
      </c>
    </row>
    <row r="37">
      <c r="A37" s="2" t="inlineStr">
        <is>
          <t>Stairs / Balconies</t>
        </is>
      </c>
      <c r="B37" s="15" t="n">
        <v>4019.19</v>
      </c>
      <c r="F37" s="15" t="n">
        <v>4019.19</v>
      </c>
    </row>
    <row r="38">
      <c r="A38" s="2" t="inlineStr">
        <is>
          <t>Bathroom Accessories</t>
        </is>
      </c>
      <c r="B38" s="15" t="n">
        <v>2482.89</v>
      </c>
      <c r="F38" s="15" t="n">
        <v>2482.89</v>
      </c>
    </row>
    <row r="39">
      <c r="A39" s="2" t="inlineStr">
        <is>
          <t>Cabinets / Millwork - Restrooms</t>
        </is>
      </c>
      <c r="B39" s="15" t="n">
        <v>901.51</v>
      </c>
      <c r="F39" s="15" t="n">
        <v>901.51</v>
      </c>
    </row>
    <row r="41">
      <c r="A41" s="6" t="inlineStr">
        <is>
          <t>Total Building Cost</t>
        </is>
      </c>
      <c r="B41" s="13" t="n">
        <v>265816.45</v>
      </c>
      <c r="C41" s="13" t="n">
        <v>55766.87</v>
      </c>
      <c r="F41" s="13" t="n">
        <v>210049.58</v>
      </c>
    </row>
    <row r="42">
      <c r="A42" s="2" t="inlineStr">
        <is>
          <t>% of Building Cost</t>
        </is>
      </c>
      <c r="C42" s="14" t="n">
        <v>0.2097946534159191</v>
      </c>
      <c r="F42" s="14" t="n">
        <v>0.7902053465840808</v>
      </c>
    </row>
    <row r="44">
      <c r="A44" s="1" t="inlineStr">
        <is>
          <t>Asset Allocation:</t>
        </is>
      </c>
    </row>
    <row r="45">
      <c r="A45" s="2" t="inlineStr">
        <is>
          <t>Asset # 19-Building - 754 "Menowitz"</t>
        </is>
      </c>
      <c r="B45" s="15" t="n">
        <v>750.8200000000001</v>
      </c>
      <c r="C45" s="15" t="n">
        <v>157.52</v>
      </c>
      <c r="F45" s="15" t="n">
        <v>593.3</v>
      </c>
    </row>
    <row r="46">
      <c r="A46" s="2" t="inlineStr">
        <is>
          <t>Asset # 3-Building</t>
        </is>
      </c>
      <c r="B46" s="15" t="n">
        <v>223422.8</v>
      </c>
      <c r="C46" s="15" t="n">
        <v>46872.91</v>
      </c>
      <c r="F46" s="15" t="n">
        <v>176549.89</v>
      </c>
    </row>
    <row r="47">
      <c r="A47" s="2" t="inlineStr">
        <is>
          <t>Asset # 4-Personal Property</t>
        </is>
      </c>
      <c r="B47" s="15" t="n">
        <v>13880.94</v>
      </c>
      <c r="C47" s="15" t="n">
        <v>2912.15</v>
      </c>
      <c r="F47" s="15" t="n">
        <v>10968.79</v>
      </c>
    </row>
    <row r="48">
      <c r="A48" s="2" t="inlineStr">
        <is>
          <t>Asset # 2-Land Improvements</t>
        </is>
      </c>
      <c r="B48" s="15" t="n">
        <v>27761.89</v>
      </c>
      <c r="C48" s="15" t="n">
        <v>5824.29</v>
      </c>
      <c r="F48" s="15" t="n">
        <v>21937.6</v>
      </c>
    </row>
    <row r="49">
      <c r="A49" s="6" t="inlineStr">
        <is>
          <t>Total Allocation:</t>
        </is>
      </c>
      <c r="B49" s="13" t="n">
        <v>265816.45</v>
      </c>
      <c r="C49" s="13" t="n">
        <v>55766.87</v>
      </c>
      <c r="F49" s="13" t="n">
        <v>210049.58</v>
      </c>
    </row>
    <row r="51">
      <c r="A51" s="1" t="inlineStr">
        <is>
          <t>End Depreciation Reconciliation</t>
        </is>
      </c>
    </row>
    <row r="52">
      <c r="A52" s="2" t="inlineStr">
        <is>
          <t>Before Cost Segregation (As Previously Filed)</t>
        </is>
      </c>
      <c r="B52" s="5" t="n">
        <v>184462.94</v>
      </c>
    </row>
    <row r="53">
      <c r="A53" s="2" t="inlineStr">
        <is>
          <t>After Cost Segregation (Corrected)</t>
        </is>
      </c>
      <c r="B53" s="9" t="n">
        <v>156747.64</v>
      </c>
    </row>
    <row r="54">
      <c r="A54" s="10" t="inlineStr">
        <is>
          <t>Section 481(a) Adjustment</t>
        </is>
      </c>
      <c r="B54" s="16" t="n">
        <v>-27715.3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Bldg 7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Bldg 7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13932.37</v>
      </c>
      <c r="C11" s="15" t="n">
        <v>13932.37</v>
      </c>
    </row>
    <row r="12">
      <c r="A12" s="2" t="inlineStr">
        <is>
          <t>Moldings</t>
        </is>
      </c>
      <c r="B12" s="15" t="n">
        <v>4762.13</v>
      </c>
      <c r="C12" s="15" t="n">
        <v>4762.13</v>
      </c>
    </row>
    <row r="13">
      <c r="A13" s="2" t="inlineStr">
        <is>
          <t>Flooring - Vinyl Plank</t>
        </is>
      </c>
      <c r="B13" s="15" t="n">
        <v>21399.52</v>
      </c>
      <c r="C13" s="15" t="n">
        <v>21399.52</v>
      </c>
    </row>
    <row r="14">
      <c r="A14" s="2" t="inlineStr">
        <is>
          <t>Window Treatments</t>
        </is>
      </c>
      <c r="B14" s="15" t="n">
        <v>1967.77</v>
      </c>
      <c r="C14" s="15" t="n">
        <v>1967.77</v>
      </c>
    </row>
    <row r="15">
      <c r="A15" s="2" t="inlineStr">
        <is>
          <t>Building Signage</t>
        </is>
      </c>
      <c r="B15" s="15" t="n">
        <v>127.35</v>
      </c>
      <c r="C15" s="15" t="n">
        <v>127.35</v>
      </c>
    </row>
    <row r="16">
      <c r="A16" s="2" t="inlineStr">
        <is>
          <t>Specialty Electrical - Appliances</t>
        </is>
      </c>
      <c r="B16" s="15" t="n">
        <v>2548.79</v>
      </c>
      <c r="C16" s="15" t="n">
        <v>2548.79</v>
      </c>
    </row>
    <row r="17">
      <c r="A17" s="2" t="inlineStr">
        <is>
          <t>Communication / Data</t>
        </is>
      </c>
      <c r="B17" s="15" t="n">
        <v>1855.1</v>
      </c>
      <c r="C17" s="15" t="n">
        <v>1855.1</v>
      </c>
    </row>
    <row r="18">
      <c r="A18" s="2" t="inlineStr">
        <is>
          <t>Specialty Plumbing - Kitchen Sinks</t>
        </is>
      </c>
      <c r="B18" s="15" t="n">
        <v>4626.46</v>
      </c>
      <c r="C18" s="15" t="n">
        <v>4626.46</v>
      </c>
    </row>
    <row r="19">
      <c r="A19" s="2" t="inlineStr">
        <is>
          <t>Security / Exterior Lighting</t>
        </is>
      </c>
      <c r="B19" s="15" t="n">
        <v>480.75</v>
      </c>
      <c r="C19" s="15" t="n">
        <v>480.75</v>
      </c>
    </row>
    <row r="20">
      <c r="A20" s="2" t="inlineStr">
        <is>
          <t>Access Control</t>
        </is>
      </c>
      <c r="B20" s="15" t="n">
        <v>75.53</v>
      </c>
      <c r="C20" s="15" t="n">
        <v>75.53</v>
      </c>
    </row>
    <row r="21">
      <c r="A21" s="2" t="inlineStr">
        <is>
          <t>Appliances</t>
        </is>
      </c>
      <c r="B21" s="15" t="n">
        <v>3991.1</v>
      </c>
      <c r="C21" s="15" t="n">
        <v>3991.1</v>
      </c>
    </row>
    <row r="22">
      <c r="A22" s="6" t="inlineStr">
        <is>
          <t>Building Structure</t>
        </is>
      </c>
    </row>
    <row r="23">
      <c r="A23" s="2" t="inlineStr">
        <is>
          <t>Roofing Systems</t>
        </is>
      </c>
      <c r="B23" s="15" t="n">
        <v>8726.139999999999</v>
      </c>
      <c r="F23" s="15" t="n">
        <v>8726.139999999999</v>
      </c>
    </row>
    <row r="24">
      <c r="A24" s="2" t="inlineStr">
        <is>
          <t>Foundations</t>
        </is>
      </c>
      <c r="B24" s="15" t="n">
        <v>14310.97</v>
      </c>
      <c r="F24" s="15" t="n">
        <v>14310.97</v>
      </c>
    </row>
    <row r="25">
      <c r="A25" s="2" t="inlineStr">
        <is>
          <t>HVAC</t>
        </is>
      </c>
      <c r="B25" s="15" t="n">
        <v>20721.85</v>
      </c>
      <c r="F25" s="15" t="n">
        <v>20721.85</v>
      </c>
    </row>
    <row r="26">
      <c r="A26" s="2" t="inlineStr">
        <is>
          <t>Electrical</t>
        </is>
      </c>
      <c r="B26" s="15" t="n">
        <v>20019.46</v>
      </c>
      <c r="F26" s="15" t="n">
        <v>20019.46</v>
      </c>
    </row>
    <row r="27">
      <c r="A27" s="2" t="inlineStr">
        <is>
          <t>Plumbing</t>
        </is>
      </c>
      <c r="B27" s="15" t="n">
        <v>18013.39</v>
      </c>
      <c r="F27" s="15" t="n">
        <v>18013.39</v>
      </c>
    </row>
    <row r="28">
      <c r="A28" s="2" t="inlineStr">
        <is>
          <t>Fire Protection &amp; Alarm</t>
        </is>
      </c>
      <c r="B28" s="15" t="n">
        <v>1255.28</v>
      </c>
      <c r="F28" s="15" t="n">
        <v>1255.28</v>
      </c>
    </row>
    <row r="29">
      <c r="A29" s="2" t="inlineStr">
        <is>
          <t>Exterior Façade / Building Skin</t>
        </is>
      </c>
      <c r="B29" s="15" t="n">
        <v>28034.85</v>
      </c>
      <c r="F29" s="15" t="n">
        <v>28034.85</v>
      </c>
    </row>
    <row r="30">
      <c r="A30" s="2" t="inlineStr">
        <is>
          <t>Doors &amp; Frames</t>
        </is>
      </c>
      <c r="B30" s="15" t="n">
        <v>9209.33</v>
      </c>
      <c r="F30" s="15" t="n">
        <v>9209.33</v>
      </c>
    </row>
    <row r="31">
      <c r="A31" s="2" t="inlineStr">
        <is>
          <t>Windows</t>
        </is>
      </c>
      <c r="B31" s="15" t="n">
        <v>8673.120000000001</v>
      </c>
      <c r="F31" s="15" t="n">
        <v>8673.120000000001</v>
      </c>
    </row>
    <row r="32">
      <c r="A32" s="2" t="inlineStr">
        <is>
          <t>Ceiling Systems</t>
        </is>
      </c>
      <c r="B32" s="15" t="n">
        <v>9530.52</v>
      </c>
      <c r="F32" s="15" t="n">
        <v>9530.52</v>
      </c>
    </row>
    <row r="33">
      <c r="A33" s="2" t="inlineStr">
        <is>
          <t>Interior Framing / Partitions</t>
        </is>
      </c>
      <c r="B33" s="15" t="n">
        <v>20615.67</v>
      </c>
      <c r="F33" s="15" t="n">
        <v>20615.67</v>
      </c>
    </row>
    <row r="34">
      <c r="A34" s="2" t="inlineStr">
        <is>
          <t>Painting</t>
        </is>
      </c>
      <c r="B34" s="15" t="n">
        <v>8186.44</v>
      </c>
      <c r="F34" s="15" t="n">
        <v>8186.44</v>
      </c>
    </row>
    <row r="35">
      <c r="A35" s="2" t="inlineStr">
        <is>
          <t>Gutter Systems</t>
        </is>
      </c>
      <c r="B35" s="15" t="n">
        <v>1433.11</v>
      </c>
      <c r="F35" s="15" t="n">
        <v>1433.11</v>
      </c>
    </row>
    <row r="36">
      <c r="A36" s="2" t="inlineStr">
        <is>
          <t>Structural Framing</t>
        </is>
      </c>
      <c r="B36" s="15" t="n">
        <v>33915.86</v>
      </c>
      <c r="F36" s="15" t="n">
        <v>33915.86</v>
      </c>
    </row>
    <row r="37">
      <c r="A37" s="2" t="inlineStr">
        <is>
          <t>Stairs / Balconies</t>
        </is>
      </c>
      <c r="B37" s="15" t="n">
        <v>4019.19</v>
      </c>
      <c r="F37" s="15" t="n">
        <v>4019.19</v>
      </c>
    </row>
    <row r="38">
      <c r="A38" s="2" t="inlineStr">
        <is>
          <t>Bathroom Accessories</t>
        </is>
      </c>
      <c r="B38" s="15" t="n">
        <v>2482.89</v>
      </c>
      <c r="F38" s="15" t="n">
        <v>2482.89</v>
      </c>
    </row>
    <row r="39">
      <c r="A39" s="2" t="inlineStr">
        <is>
          <t>Cabinets / Millwork - Restrooms</t>
        </is>
      </c>
      <c r="B39" s="15" t="n">
        <v>901.51</v>
      </c>
      <c r="F39" s="15" t="n">
        <v>901.51</v>
      </c>
    </row>
    <row r="41">
      <c r="A41" s="6" t="inlineStr">
        <is>
          <t>Total Building Cost</t>
        </is>
      </c>
      <c r="B41" s="13" t="n">
        <v>265816.45</v>
      </c>
      <c r="C41" s="13" t="n">
        <v>55766.87</v>
      </c>
      <c r="F41" s="13" t="n">
        <v>210049.58</v>
      </c>
    </row>
    <row r="42">
      <c r="A42" s="2" t="inlineStr">
        <is>
          <t>% of Building Cost</t>
        </is>
      </c>
      <c r="C42" s="14" t="n">
        <v>0.2097946534159191</v>
      </c>
      <c r="F42" s="14" t="n">
        <v>0.7902053465840808</v>
      </c>
    </row>
    <row r="44">
      <c r="A44" s="1" t="inlineStr">
        <is>
          <t>Asset Allocation:</t>
        </is>
      </c>
    </row>
    <row r="45">
      <c r="A45" s="2" t="inlineStr">
        <is>
          <t>Asset # 19-Building - 754 "Menowitz"</t>
        </is>
      </c>
      <c r="B45" s="15" t="n">
        <v>750.8200000000001</v>
      </c>
      <c r="C45" s="15" t="n">
        <v>157.52</v>
      </c>
      <c r="F45" s="15" t="n">
        <v>593.3</v>
      </c>
    </row>
    <row r="46">
      <c r="A46" s="2" t="inlineStr">
        <is>
          <t>Asset # 3-Building</t>
        </is>
      </c>
      <c r="B46" s="15" t="n">
        <v>223422.8</v>
      </c>
      <c r="C46" s="15" t="n">
        <v>46872.91</v>
      </c>
      <c r="F46" s="15" t="n">
        <v>176549.89</v>
      </c>
    </row>
    <row r="47">
      <c r="A47" s="2" t="inlineStr">
        <is>
          <t>Asset # 4-Personal Property</t>
        </is>
      </c>
      <c r="B47" s="15" t="n">
        <v>13880.94</v>
      </c>
      <c r="C47" s="15" t="n">
        <v>2912.15</v>
      </c>
      <c r="F47" s="15" t="n">
        <v>10968.79</v>
      </c>
    </row>
    <row r="48">
      <c r="A48" s="2" t="inlineStr">
        <is>
          <t>Asset # 2-Land Improvements</t>
        </is>
      </c>
      <c r="B48" s="15" t="n">
        <v>27761.89</v>
      </c>
      <c r="C48" s="15" t="n">
        <v>5824.29</v>
      </c>
      <c r="F48" s="15" t="n">
        <v>21937.6</v>
      </c>
    </row>
    <row r="49">
      <c r="A49" s="6" t="inlineStr">
        <is>
          <t>Total Allocation:</t>
        </is>
      </c>
      <c r="B49" s="13" t="n">
        <v>265816.45</v>
      </c>
      <c r="C49" s="13" t="n">
        <v>55766.87</v>
      </c>
      <c r="F49" s="13" t="n">
        <v>210049.58</v>
      </c>
    </row>
    <row r="51">
      <c r="A51" s="1" t="inlineStr">
        <is>
          <t>End Depreciation Reconciliation</t>
        </is>
      </c>
    </row>
    <row r="52">
      <c r="A52" s="2" t="inlineStr">
        <is>
          <t>Before Cost Segregation (As Previously Filed)</t>
        </is>
      </c>
      <c r="B52" s="5" t="n">
        <v>184462.94</v>
      </c>
    </row>
    <row r="53">
      <c r="A53" s="2" t="inlineStr">
        <is>
          <t>After Cost Segregation (Corrected)</t>
        </is>
      </c>
      <c r="B53" s="9" t="n">
        <v>156747.64</v>
      </c>
    </row>
    <row r="54">
      <c r="A54" s="10" t="inlineStr">
        <is>
          <t>Section 481(a) Adjustment</t>
        </is>
      </c>
      <c r="B54" s="16" t="n">
        <v>-27715.3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Bldg 8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Bldg 8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7800.47</v>
      </c>
      <c r="C11" s="15" t="n">
        <v>7800.47</v>
      </c>
    </row>
    <row r="12">
      <c r="A12" s="2" t="inlineStr">
        <is>
          <t>Moldings</t>
        </is>
      </c>
      <c r="B12" s="15" t="n">
        <v>3748.91</v>
      </c>
      <c r="C12" s="15" t="n">
        <v>3748.91</v>
      </c>
    </row>
    <row r="13">
      <c r="A13" s="2" t="inlineStr">
        <is>
          <t>Flooring - Vinyl Plank</t>
        </is>
      </c>
      <c r="B13" s="15" t="n">
        <v>12139.37</v>
      </c>
      <c r="C13" s="15" t="n">
        <v>12139.37</v>
      </c>
    </row>
    <row r="14">
      <c r="A14" s="2" t="inlineStr">
        <is>
          <t>Window Treatments</t>
        </is>
      </c>
      <c r="B14" s="15" t="n">
        <v>1142.58</v>
      </c>
      <c r="C14" s="15" t="n">
        <v>1142.58</v>
      </c>
    </row>
    <row r="15">
      <c r="A15" s="2" t="inlineStr">
        <is>
          <t>Building Signage</t>
        </is>
      </c>
      <c r="B15" s="15" t="n">
        <v>85.23999999999999</v>
      </c>
      <c r="C15" s="15" t="n">
        <v>85.23999999999999</v>
      </c>
    </row>
    <row r="16">
      <c r="A16" s="2" t="inlineStr">
        <is>
          <t>Specialty Electrical - Appliances</t>
        </is>
      </c>
      <c r="B16" s="15" t="n">
        <v>1274.42</v>
      </c>
      <c r="C16" s="15" t="n">
        <v>1274.42</v>
      </c>
    </row>
    <row r="17">
      <c r="A17" s="2" t="inlineStr">
        <is>
          <t>Communication / Data</t>
        </is>
      </c>
      <c r="B17" s="15" t="n">
        <v>1052.34</v>
      </c>
      <c r="C17" s="15" t="n">
        <v>1052.34</v>
      </c>
    </row>
    <row r="18">
      <c r="A18" s="2" t="inlineStr">
        <is>
          <t>Specialty Plumbing - Kitchen Sinks</t>
        </is>
      </c>
      <c r="B18" s="15" t="n">
        <v>2313.24</v>
      </c>
      <c r="C18" s="15" t="n">
        <v>2313.24</v>
      </c>
    </row>
    <row r="19">
      <c r="A19" s="2" t="inlineStr">
        <is>
          <t>Security / Exterior Lighting</t>
        </is>
      </c>
      <c r="B19" s="15" t="n">
        <v>252.07</v>
      </c>
      <c r="C19" s="15" t="n">
        <v>252.07</v>
      </c>
    </row>
    <row r="20">
      <c r="A20" s="2" t="inlineStr">
        <is>
          <t>Access Control</t>
        </is>
      </c>
      <c r="B20" s="15" t="n">
        <v>37.76</v>
      </c>
      <c r="C20" s="15" t="n">
        <v>37.76</v>
      </c>
    </row>
    <row r="21">
      <c r="A21" s="2" t="inlineStr">
        <is>
          <t>Appliances</t>
        </is>
      </c>
      <c r="B21" s="15" t="n">
        <v>1995.55</v>
      </c>
      <c r="C21" s="15" t="n">
        <v>1995.55</v>
      </c>
    </row>
    <row r="22">
      <c r="A22" s="6" t="inlineStr">
        <is>
          <t>Building Structure</t>
        </is>
      </c>
    </row>
    <row r="23">
      <c r="A23" s="2" t="inlineStr">
        <is>
          <t>Roofing Systems</t>
        </is>
      </c>
      <c r="B23" s="15" t="n">
        <v>5090</v>
      </c>
      <c r="F23" s="15" t="n">
        <v>5090</v>
      </c>
    </row>
    <row r="24">
      <c r="A24" s="2" t="inlineStr">
        <is>
          <t>Foundations</t>
        </is>
      </c>
      <c r="B24" s="15" t="n">
        <v>8538.110000000001</v>
      </c>
      <c r="F24" s="15" t="n">
        <v>8538.110000000001</v>
      </c>
    </row>
    <row r="25">
      <c r="A25" s="2" t="inlineStr">
        <is>
          <t>HVAC</t>
        </is>
      </c>
      <c r="B25" s="15" t="n">
        <v>11754.94</v>
      </c>
      <c r="F25" s="15" t="n">
        <v>11754.94</v>
      </c>
    </row>
    <row r="26">
      <c r="A26" s="2" t="inlineStr">
        <is>
          <t>Electrical</t>
        </is>
      </c>
      <c r="B26" s="15" t="n">
        <v>11527.95</v>
      </c>
      <c r="F26" s="15" t="n">
        <v>11527.95</v>
      </c>
    </row>
    <row r="27">
      <c r="A27" s="2" t="inlineStr">
        <is>
          <t>Plumbing</t>
        </is>
      </c>
      <c r="B27" s="15" t="n">
        <v>10218.5</v>
      </c>
      <c r="F27" s="15" t="n">
        <v>10218.5</v>
      </c>
    </row>
    <row r="28">
      <c r="A28" s="2" t="inlineStr">
        <is>
          <t>Fire Protection &amp; Alarm</t>
        </is>
      </c>
      <c r="B28" s="15" t="n">
        <v>775.83</v>
      </c>
      <c r="F28" s="15" t="n">
        <v>775.83</v>
      </c>
    </row>
    <row r="29">
      <c r="A29" s="2" t="inlineStr">
        <is>
          <t>Exterior Façade / Building Skin</t>
        </is>
      </c>
      <c r="B29" s="15" t="n">
        <v>22829.89</v>
      </c>
      <c r="F29" s="15" t="n">
        <v>22829.89</v>
      </c>
    </row>
    <row r="30">
      <c r="A30" s="2" t="inlineStr">
        <is>
          <t>Doors &amp; Frames</t>
        </is>
      </c>
      <c r="B30" s="15" t="n">
        <v>5886.42</v>
      </c>
      <c r="F30" s="15" t="n">
        <v>5886.42</v>
      </c>
    </row>
    <row r="31">
      <c r="A31" s="2" t="inlineStr">
        <is>
          <t>Windows</t>
        </is>
      </c>
      <c r="B31" s="15" t="n">
        <v>5036.01</v>
      </c>
      <c r="F31" s="15" t="n">
        <v>5036.01</v>
      </c>
    </row>
    <row r="32">
      <c r="A32" s="2" t="inlineStr">
        <is>
          <t>Ceiling Systems</t>
        </is>
      </c>
      <c r="B32" s="15" t="n">
        <v>5406.4</v>
      </c>
      <c r="F32" s="15" t="n">
        <v>5406.4</v>
      </c>
    </row>
    <row r="33">
      <c r="A33" s="2" t="inlineStr">
        <is>
          <t>Interior Framing / Partitions</t>
        </is>
      </c>
      <c r="B33" s="15" t="n">
        <v>16464.28</v>
      </c>
      <c r="F33" s="15" t="n">
        <v>16464.28</v>
      </c>
    </row>
    <row r="34">
      <c r="A34" s="2" t="inlineStr">
        <is>
          <t>Painting</t>
        </is>
      </c>
      <c r="B34" s="15" t="n">
        <v>5938.8</v>
      </c>
      <c r="F34" s="15" t="n">
        <v>5938.8</v>
      </c>
    </row>
    <row r="35">
      <c r="A35" s="2" t="inlineStr">
        <is>
          <t>Gutter Systems</t>
        </is>
      </c>
      <c r="B35" s="15" t="n">
        <v>1234.18</v>
      </c>
      <c r="F35" s="15" t="n">
        <v>1234.18</v>
      </c>
    </row>
    <row r="36">
      <c r="A36" s="2" t="inlineStr">
        <is>
          <t>Structural Framing</t>
        </is>
      </c>
      <c r="B36" s="15" t="n">
        <v>20850.04</v>
      </c>
      <c r="F36" s="15" t="n">
        <v>20850.04</v>
      </c>
    </row>
    <row r="37">
      <c r="A37" s="2" t="inlineStr">
        <is>
          <t>Stairs / Balconies</t>
        </is>
      </c>
      <c r="B37" s="15" t="n">
        <v>2992.32</v>
      </c>
      <c r="F37" s="15" t="n">
        <v>2992.32</v>
      </c>
    </row>
    <row r="38">
      <c r="A38" s="2" t="inlineStr">
        <is>
          <t>Bathroom Accessories</t>
        </is>
      </c>
      <c r="B38" s="15" t="n">
        <v>2482.89</v>
      </c>
      <c r="F38" s="15" t="n">
        <v>2482.89</v>
      </c>
    </row>
    <row r="39">
      <c r="A39" s="2" t="inlineStr">
        <is>
          <t>Cabinets / Millwork - Restrooms</t>
        </is>
      </c>
      <c r="B39" s="15" t="n">
        <v>901.51</v>
      </c>
      <c r="F39" s="15" t="n">
        <v>901.51</v>
      </c>
    </row>
    <row r="41">
      <c r="A41" s="6" t="inlineStr">
        <is>
          <t>Total Building Cost</t>
        </is>
      </c>
      <c r="B41" s="13" t="n">
        <v>169770.02</v>
      </c>
      <c r="C41" s="13" t="n">
        <v>31841.95</v>
      </c>
      <c r="F41" s="13" t="n">
        <v>137928.07</v>
      </c>
    </row>
    <row r="42">
      <c r="A42" s="2" t="inlineStr">
        <is>
          <t>% of Building Cost</t>
        </is>
      </c>
      <c r="C42" s="14" t="n">
        <v>0.1875593229004744</v>
      </c>
      <c r="F42" s="14" t="n">
        <v>0.8124406770995257</v>
      </c>
    </row>
    <row r="44">
      <c r="A44" s="1" t="inlineStr">
        <is>
          <t>Asset Allocation:</t>
        </is>
      </c>
    </row>
    <row r="45">
      <c r="A45" s="2" t="inlineStr">
        <is>
          <t>Asset # 19-Building - 754 "Menowitz"</t>
        </is>
      </c>
      <c r="B45" s="15" t="n">
        <v>479.53</v>
      </c>
      <c r="C45" s="15" t="n">
        <v>89.94</v>
      </c>
      <c r="F45" s="15" t="n">
        <v>389.59</v>
      </c>
    </row>
    <row r="46">
      <c r="A46" s="2" t="inlineStr">
        <is>
          <t>Asset # 3-Building</t>
        </is>
      </c>
      <c r="B46" s="15" t="n">
        <v>142694.3</v>
      </c>
      <c r="C46" s="15" t="n">
        <v>26763.65</v>
      </c>
      <c r="F46" s="15" t="n">
        <v>115930.65</v>
      </c>
    </row>
    <row r="47">
      <c r="A47" s="2" t="inlineStr">
        <is>
          <t>Asset # 4-Personal Property</t>
        </is>
      </c>
      <c r="B47" s="15" t="n">
        <v>8865.4</v>
      </c>
      <c r="C47" s="15" t="n">
        <v>1662.79</v>
      </c>
      <c r="F47" s="15" t="n">
        <v>7202.61</v>
      </c>
    </row>
    <row r="48">
      <c r="A48" s="2" t="inlineStr">
        <is>
          <t>Asset # 2-Land Improvements</t>
        </is>
      </c>
      <c r="B48" s="15" t="n">
        <v>17730.79</v>
      </c>
      <c r="C48" s="15" t="n">
        <v>3325.57</v>
      </c>
      <c r="F48" s="15" t="n">
        <v>14405.22</v>
      </c>
    </row>
    <row r="49">
      <c r="A49" s="6" t="inlineStr">
        <is>
          <t>Total Allocation:</t>
        </is>
      </c>
      <c r="B49" s="13" t="n">
        <v>169770.02</v>
      </c>
      <c r="C49" s="13" t="n">
        <v>31841.95</v>
      </c>
      <c r="F49" s="13" t="n">
        <v>137928.07</v>
      </c>
    </row>
    <row r="51">
      <c r="A51" s="1" t="inlineStr">
        <is>
          <t>End Depreciation Reconciliation</t>
        </is>
      </c>
    </row>
    <row r="52">
      <c r="A52" s="2" t="inlineStr">
        <is>
          <t>Before Cost Segregation (As Previously Filed)</t>
        </is>
      </c>
      <c r="B52" s="5" t="n">
        <v>117811.65</v>
      </c>
    </row>
    <row r="53">
      <c r="A53" s="2" t="inlineStr">
        <is>
          <t>After Cost Segregation (Corrected)</t>
        </is>
      </c>
      <c r="B53" s="9" t="n">
        <v>102927.66</v>
      </c>
    </row>
    <row r="54">
      <c r="A54" s="10" t="inlineStr">
        <is>
          <t>Section 481(a) Adjustment</t>
        </is>
      </c>
      <c r="B54" s="16" t="n">
        <v>-14883.99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Bldg 9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Bldg 9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13932.37</v>
      </c>
      <c r="C11" s="15" t="n">
        <v>13932.37</v>
      </c>
    </row>
    <row r="12">
      <c r="A12" s="2" t="inlineStr">
        <is>
          <t>Moldings</t>
        </is>
      </c>
      <c r="B12" s="15" t="n">
        <v>4762.13</v>
      </c>
      <c r="C12" s="15" t="n">
        <v>4762.13</v>
      </c>
    </row>
    <row r="13">
      <c r="A13" s="2" t="inlineStr">
        <is>
          <t>Flooring - Vinyl Plank</t>
        </is>
      </c>
      <c r="B13" s="15" t="n">
        <v>21399.52</v>
      </c>
      <c r="C13" s="15" t="n">
        <v>21399.52</v>
      </c>
    </row>
    <row r="14">
      <c r="A14" s="2" t="inlineStr">
        <is>
          <t>Window Treatments</t>
        </is>
      </c>
      <c r="B14" s="15" t="n">
        <v>1967.77</v>
      </c>
      <c r="C14" s="15" t="n">
        <v>1967.77</v>
      </c>
    </row>
    <row r="15">
      <c r="A15" s="2" t="inlineStr">
        <is>
          <t>Building Signage</t>
        </is>
      </c>
      <c r="B15" s="15" t="n">
        <v>127.35</v>
      </c>
      <c r="C15" s="15" t="n">
        <v>127.35</v>
      </c>
    </row>
    <row r="16">
      <c r="A16" s="2" t="inlineStr">
        <is>
          <t>Specialty Electrical - Appliances</t>
        </is>
      </c>
      <c r="B16" s="15" t="n">
        <v>2548.79</v>
      </c>
      <c r="C16" s="15" t="n">
        <v>2548.79</v>
      </c>
    </row>
    <row r="17">
      <c r="A17" s="2" t="inlineStr">
        <is>
          <t>Communication / Data</t>
        </is>
      </c>
      <c r="B17" s="15" t="n">
        <v>1855.1</v>
      </c>
      <c r="C17" s="15" t="n">
        <v>1855.1</v>
      </c>
    </row>
    <row r="18">
      <c r="A18" s="2" t="inlineStr">
        <is>
          <t>Specialty Plumbing - Kitchen Sinks</t>
        </is>
      </c>
      <c r="B18" s="15" t="n">
        <v>4626.46</v>
      </c>
      <c r="C18" s="15" t="n">
        <v>4626.46</v>
      </c>
    </row>
    <row r="19">
      <c r="A19" s="2" t="inlineStr">
        <is>
          <t>Security / Exterior Lighting</t>
        </is>
      </c>
      <c r="B19" s="15" t="n">
        <v>480.75</v>
      </c>
      <c r="C19" s="15" t="n">
        <v>480.75</v>
      </c>
    </row>
    <row r="20">
      <c r="A20" s="2" t="inlineStr">
        <is>
          <t>Access Control</t>
        </is>
      </c>
      <c r="B20" s="15" t="n">
        <v>75.53</v>
      </c>
      <c r="C20" s="15" t="n">
        <v>75.53</v>
      </c>
    </row>
    <row r="21">
      <c r="A21" s="2" t="inlineStr">
        <is>
          <t>Appliances</t>
        </is>
      </c>
      <c r="B21" s="15" t="n">
        <v>3991.1</v>
      </c>
      <c r="C21" s="15" t="n">
        <v>3991.1</v>
      </c>
    </row>
    <row r="22">
      <c r="A22" s="6" t="inlineStr">
        <is>
          <t>Building Structure</t>
        </is>
      </c>
    </row>
    <row r="23">
      <c r="A23" s="2" t="inlineStr">
        <is>
          <t>Roofing Systems</t>
        </is>
      </c>
      <c r="B23" s="15" t="n">
        <v>8726.139999999999</v>
      </c>
      <c r="F23" s="15" t="n">
        <v>8726.139999999999</v>
      </c>
    </row>
    <row r="24">
      <c r="A24" s="2" t="inlineStr">
        <is>
          <t>Foundations</t>
        </is>
      </c>
      <c r="B24" s="15" t="n">
        <v>14310.97</v>
      </c>
      <c r="F24" s="15" t="n">
        <v>14310.97</v>
      </c>
    </row>
    <row r="25">
      <c r="A25" s="2" t="inlineStr">
        <is>
          <t>HVAC</t>
        </is>
      </c>
      <c r="B25" s="15" t="n">
        <v>20721.85</v>
      </c>
      <c r="F25" s="15" t="n">
        <v>20721.85</v>
      </c>
    </row>
    <row r="26">
      <c r="A26" s="2" t="inlineStr">
        <is>
          <t>Electrical</t>
        </is>
      </c>
      <c r="B26" s="15" t="n">
        <v>20019.46</v>
      </c>
      <c r="F26" s="15" t="n">
        <v>20019.46</v>
      </c>
    </row>
    <row r="27">
      <c r="A27" s="2" t="inlineStr">
        <is>
          <t>Plumbing</t>
        </is>
      </c>
      <c r="B27" s="15" t="n">
        <v>18013.39</v>
      </c>
      <c r="F27" s="15" t="n">
        <v>18013.39</v>
      </c>
    </row>
    <row r="28">
      <c r="A28" s="2" t="inlineStr">
        <is>
          <t>Fire Protection &amp; Alarm</t>
        </is>
      </c>
      <c r="B28" s="15" t="n">
        <v>1255.28</v>
      </c>
      <c r="F28" s="15" t="n">
        <v>1255.28</v>
      </c>
    </row>
    <row r="29">
      <c r="A29" s="2" t="inlineStr">
        <is>
          <t>Exterior Façade / Building Skin</t>
        </is>
      </c>
      <c r="B29" s="15" t="n">
        <v>28034.85</v>
      </c>
      <c r="F29" s="15" t="n">
        <v>28034.85</v>
      </c>
    </row>
    <row r="30">
      <c r="A30" s="2" t="inlineStr">
        <is>
          <t>Doors &amp; Frames</t>
        </is>
      </c>
      <c r="B30" s="15" t="n">
        <v>9209.33</v>
      </c>
      <c r="F30" s="15" t="n">
        <v>9209.33</v>
      </c>
    </row>
    <row r="31">
      <c r="A31" s="2" t="inlineStr">
        <is>
          <t>Windows</t>
        </is>
      </c>
      <c r="B31" s="15" t="n">
        <v>8673.120000000001</v>
      </c>
      <c r="F31" s="15" t="n">
        <v>8673.120000000001</v>
      </c>
    </row>
    <row r="32">
      <c r="A32" s="2" t="inlineStr">
        <is>
          <t>Ceiling Systems</t>
        </is>
      </c>
      <c r="B32" s="15" t="n">
        <v>9530.52</v>
      </c>
      <c r="F32" s="15" t="n">
        <v>9530.52</v>
      </c>
    </row>
    <row r="33">
      <c r="A33" s="2" t="inlineStr">
        <is>
          <t>Interior Framing / Partitions</t>
        </is>
      </c>
      <c r="B33" s="15" t="n">
        <v>20615.67</v>
      </c>
      <c r="F33" s="15" t="n">
        <v>20615.67</v>
      </c>
    </row>
    <row r="34">
      <c r="A34" s="2" t="inlineStr">
        <is>
          <t>Painting</t>
        </is>
      </c>
      <c r="B34" s="15" t="n">
        <v>8186.44</v>
      </c>
      <c r="F34" s="15" t="n">
        <v>8186.44</v>
      </c>
    </row>
    <row r="35">
      <c r="A35" s="2" t="inlineStr">
        <is>
          <t>Gutter Systems</t>
        </is>
      </c>
      <c r="B35" s="15" t="n">
        <v>1433.11</v>
      </c>
      <c r="F35" s="15" t="n">
        <v>1433.11</v>
      </c>
    </row>
    <row r="36">
      <c r="A36" s="2" t="inlineStr">
        <is>
          <t>Structural Framing</t>
        </is>
      </c>
      <c r="B36" s="15" t="n">
        <v>33915.86</v>
      </c>
      <c r="F36" s="15" t="n">
        <v>33915.86</v>
      </c>
    </row>
    <row r="37">
      <c r="A37" s="2" t="inlineStr">
        <is>
          <t>Stairs / Balconies</t>
        </is>
      </c>
      <c r="B37" s="15" t="n">
        <v>4019.19</v>
      </c>
      <c r="F37" s="15" t="n">
        <v>4019.19</v>
      </c>
    </row>
    <row r="38">
      <c r="A38" s="2" t="inlineStr">
        <is>
          <t>Bathroom Accessories</t>
        </is>
      </c>
      <c r="B38" s="15" t="n">
        <v>2482.89</v>
      </c>
      <c r="F38" s="15" t="n">
        <v>2482.89</v>
      </c>
    </row>
    <row r="39">
      <c r="A39" s="2" t="inlineStr">
        <is>
          <t>Cabinets / Millwork - Restrooms</t>
        </is>
      </c>
      <c r="B39" s="15" t="n">
        <v>901.51</v>
      </c>
      <c r="F39" s="15" t="n">
        <v>901.51</v>
      </c>
    </row>
    <row r="41">
      <c r="A41" s="6" t="inlineStr">
        <is>
          <t>Total Building Cost</t>
        </is>
      </c>
      <c r="B41" s="13" t="n">
        <v>265816.45</v>
      </c>
      <c r="C41" s="13" t="n">
        <v>55766.87</v>
      </c>
      <c r="F41" s="13" t="n">
        <v>210049.58</v>
      </c>
    </row>
    <row r="42">
      <c r="A42" s="2" t="inlineStr">
        <is>
          <t>% of Building Cost</t>
        </is>
      </c>
      <c r="C42" s="14" t="n">
        <v>0.2097946534159191</v>
      </c>
      <c r="F42" s="14" t="n">
        <v>0.7902053465840808</v>
      </c>
    </row>
    <row r="44">
      <c r="A44" s="1" t="inlineStr">
        <is>
          <t>Asset Allocation:</t>
        </is>
      </c>
    </row>
    <row r="45">
      <c r="A45" s="2" t="inlineStr">
        <is>
          <t>Asset # 19-Building - 754 "Menowitz"</t>
        </is>
      </c>
      <c r="B45" s="15" t="n">
        <v>750.8200000000001</v>
      </c>
      <c r="C45" s="15" t="n">
        <v>157.52</v>
      </c>
      <c r="F45" s="15" t="n">
        <v>593.3</v>
      </c>
    </row>
    <row r="46">
      <c r="A46" s="2" t="inlineStr">
        <is>
          <t>Asset # 3-Building</t>
        </is>
      </c>
      <c r="B46" s="15" t="n">
        <v>223422.8</v>
      </c>
      <c r="C46" s="15" t="n">
        <v>46872.91</v>
      </c>
      <c r="F46" s="15" t="n">
        <v>176549.89</v>
      </c>
    </row>
    <row r="47">
      <c r="A47" s="2" t="inlineStr">
        <is>
          <t>Asset # 4-Personal Property</t>
        </is>
      </c>
      <c r="B47" s="15" t="n">
        <v>13880.94</v>
      </c>
      <c r="C47" s="15" t="n">
        <v>2912.15</v>
      </c>
      <c r="F47" s="15" t="n">
        <v>10968.79</v>
      </c>
    </row>
    <row r="48">
      <c r="A48" s="2" t="inlineStr">
        <is>
          <t>Asset # 2-Land Improvements</t>
        </is>
      </c>
      <c r="B48" s="15" t="n">
        <v>27761.89</v>
      </c>
      <c r="C48" s="15" t="n">
        <v>5824.29</v>
      </c>
      <c r="F48" s="15" t="n">
        <v>21937.6</v>
      </c>
    </row>
    <row r="49">
      <c r="A49" s="6" t="inlineStr">
        <is>
          <t>Total Allocation:</t>
        </is>
      </c>
      <c r="B49" s="13" t="n">
        <v>265816.45</v>
      </c>
      <c r="C49" s="13" t="n">
        <v>55766.87</v>
      </c>
      <c r="F49" s="13" t="n">
        <v>210049.58</v>
      </c>
    </row>
    <row r="51">
      <c r="A51" s="1" t="inlineStr">
        <is>
          <t>End Depreciation Reconciliation</t>
        </is>
      </c>
    </row>
    <row r="52">
      <c r="A52" s="2" t="inlineStr">
        <is>
          <t>Before Cost Segregation (As Previously Filed)</t>
        </is>
      </c>
      <c r="B52" s="5" t="n">
        <v>184462.94</v>
      </c>
    </row>
    <row r="53">
      <c r="A53" s="2" t="inlineStr">
        <is>
          <t>After Cost Segregation (Corrected)</t>
        </is>
      </c>
      <c r="B53" s="9" t="n">
        <v>156747.64</v>
      </c>
    </row>
    <row r="54">
      <c r="A54" s="10" t="inlineStr">
        <is>
          <t>Section 481(a) Adjustment</t>
        </is>
      </c>
      <c r="B54" s="16" t="n">
        <v>-27715.3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Bldg 10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Bldg 10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13932.37</v>
      </c>
      <c r="C11" s="15" t="n">
        <v>13932.37</v>
      </c>
    </row>
    <row r="12">
      <c r="A12" s="2" t="inlineStr">
        <is>
          <t>Moldings</t>
        </is>
      </c>
      <c r="B12" s="15" t="n">
        <v>4762.13</v>
      </c>
      <c r="C12" s="15" t="n">
        <v>4762.13</v>
      </c>
    </row>
    <row r="13">
      <c r="A13" s="2" t="inlineStr">
        <is>
          <t>Flooring - Vinyl Plank</t>
        </is>
      </c>
      <c r="B13" s="15" t="n">
        <v>21399.52</v>
      </c>
      <c r="C13" s="15" t="n">
        <v>21399.52</v>
      </c>
    </row>
    <row r="14">
      <c r="A14" s="2" t="inlineStr">
        <is>
          <t>Window Treatments</t>
        </is>
      </c>
      <c r="B14" s="15" t="n">
        <v>1967.77</v>
      </c>
      <c r="C14" s="15" t="n">
        <v>1967.77</v>
      </c>
    </row>
    <row r="15">
      <c r="A15" s="2" t="inlineStr">
        <is>
          <t>Building Signage</t>
        </is>
      </c>
      <c r="B15" s="15" t="n">
        <v>127.35</v>
      </c>
      <c r="C15" s="15" t="n">
        <v>127.35</v>
      </c>
    </row>
    <row r="16">
      <c r="A16" s="2" t="inlineStr">
        <is>
          <t>Specialty Electrical - Appliances</t>
        </is>
      </c>
      <c r="B16" s="15" t="n">
        <v>2548.79</v>
      </c>
      <c r="C16" s="15" t="n">
        <v>2548.79</v>
      </c>
    </row>
    <row r="17">
      <c r="A17" s="2" t="inlineStr">
        <is>
          <t>Communication / Data</t>
        </is>
      </c>
      <c r="B17" s="15" t="n">
        <v>1855.1</v>
      </c>
      <c r="C17" s="15" t="n">
        <v>1855.1</v>
      </c>
    </row>
    <row r="18">
      <c r="A18" s="2" t="inlineStr">
        <is>
          <t>Specialty Plumbing - Kitchen Sinks</t>
        </is>
      </c>
      <c r="B18" s="15" t="n">
        <v>4626.46</v>
      </c>
      <c r="C18" s="15" t="n">
        <v>4626.46</v>
      </c>
    </row>
    <row r="19">
      <c r="A19" s="2" t="inlineStr">
        <is>
          <t>Security / Exterior Lighting</t>
        </is>
      </c>
      <c r="B19" s="15" t="n">
        <v>480.75</v>
      </c>
      <c r="C19" s="15" t="n">
        <v>480.75</v>
      </c>
    </row>
    <row r="20">
      <c r="A20" s="2" t="inlineStr">
        <is>
          <t>Access Control</t>
        </is>
      </c>
      <c r="B20" s="15" t="n">
        <v>75.53</v>
      </c>
      <c r="C20" s="15" t="n">
        <v>75.53</v>
      </c>
    </row>
    <row r="21">
      <c r="A21" s="2" t="inlineStr">
        <is>
          <t>Appliances</t>
        </is>
      </c>
      <c r="B21" s="15" t="n">
        <v>3991.1</v>
      </c>
      <c r="C21" s="15" t="n">
        <v>3991.1</v>
      </c>
    </row>
    <row r="22">
      <c r="A22" s="6" t="inlineStr">
        <is>
          <t>Building Structure</t>
        </is>
      </c>
    </row>
    <row r="23">
      <c r="A23" s="2" t="inlineStr">
        <is>
          <t>Roofing Systems</t>
        </is>
      </c>
      <c r="B23" s="15" t="n">
        <v>8726.139999999999</v>
      </c>
      <c r="F23" s="15" t="n">
        <v>8726.139999999999</v>
      </c>
    </row>
    <row r="24">
      <c r="A24" s="2" t="inlineStr">
        <is>
          <t>Foundations</t>
        </is>
      </c>
      <c r="B24" s="15" t="n">
        <v>14310.97</v>
      </c>
      <c r="F24" s="15" t="n">
        <v>14310.97</v>
      </c>
    </row>
    <row r="25">
      <c r="A25" s="2" t="inlineStr">
        <is>
          <t>HVAC</t>
        </is>
      </c>
      <c r="B25" s="15" t="n">
        <v>20721.85</v>
      </c>
      <c r="F25" s="15" t="n">
        <v>20721.85</v>
      </c>
    </row>
    <row r="26">
      <c r="A26" s="2" t="inlineStr">
        <is>
          <t>Electrical</t>
        </is>
      </c>
      <c r="B26" s="15" t="n">
        <v>20019.46</v>
      </c>
      <c r="F26" s="15" t="n">
        <v>20019.46</v>
      </c>
    </row>
    <row r="27">
      <c r="A27" s="2" t="inlineStr">
        <is>
          <t>Plumbing</t>
        </is>
      </c>
      <c r="B27" s="15" t="n">
        <v>18013.39</v>
      </c>
      <c r="F27" s="15" t="n">
        <v>18013.39</v>
      </c>
    </row>
    <row r="28">
      <c r="A28" s="2" t="inlineStr">
        <is>
          <t>Fire Protection &amp; Alarm</t>
        </is>
      </c>
      <c r="B28" s="15" t="n">
        <v>1255.28</v>
      </c>
      <c r="F28" s="15" t="n">
        <v>1255.28</v>
      </c>
    </row>
    <row r="29">
      <c r="A29" s="2" t="inlineStr">
        <is>
          <t>Exterior Façade / Building Skin</t>
        </is>
      </c>
      <c r="B29" s="15" t="n">
        <v>28034.85</v>
      </c>
      <c r="F29" s="15" t="n">
        <v>28034.85</v>
      </c>
    </row>
    <row r="30">
      <c r="A30" s="2" t="inlineStr">
        <is>
          <t>Doors &amp; Frames</t>
        </is>
      </c>
      <c r="B30" s="15" t="n">
        <v>9209.33</v>
      </c>
      <c r="F30" s="15" t="n">
        <v>9209.33</v>
      </c>
    </row>
    <row r="31">
      <c r="A31" s="2" t="inlineStr">
        <is>
          <t>Windows</t>
        </is>
      </c>
      <c r="B31" s="15" t="n">
        <v>8673.120000000001</v>
      </c>
      <c r="F31" s="15" t="n">
        <v>8673.120000000001</v>
      </c>
    </row>
    <row r="32">
      <c r="A32" s="2" t="inlineStr">
        <is>
          <t>Ceiling Systems</t>
        </is>
      </c>
      <c r="B32" s="15" t="n">
        <v>9530.52</v>
      </c>
      <c r="F32" s="15" t="n">
        <v>9530.52</v>
      </c>
    </row>
    <row r="33">
      <c r="A33" s="2" t="inlineStr">
        <is>
          <t>Interior Framing / Partitions</t>
        </is>
      </c>
      <c r="B33" s="15" t="n">
        <v>20615.67</v>
      </c>
      <c r="F33" s="15" t="n">
        <v>20615.67</v>
      </c>
    </row>
    <row r="34">
      <c r="A34" s="2" t="inlineStr">
        <is>
          <t>Painting</t>
        </is>
      </c>
      <c r="B34" s="15" t="n">
        <v>8186.44</v>
      </c>
      <c r="F34" s="15" t="n">
        <v>8186.44</v>
      </c>
    </row>
    <row r="35">
      <c r="A35" s="2" t="inlineStr">
        <is>
          <t>Gutter Systems</t>
        </is>
      </c>
      <c r="B35" s="15" t="n">
        <v>1433.11</v>
      </c>
      <c r="F35" s="15" t="n">
        <v>1433.11</v>
      </c>
    </row>
    <row r="36">
      <c r="A36" s="2" t="inlineStr">
        <is>
          <t>Structural Framing</t>
        </is>
      </c>
      <c r="B36" s="15" t="n">
        <v>33915.86</v>
      </c>
      <c r="F36" s="15" t="n">
        <v>33915.86</v>
      </c>
    </row>
    <row r="37">
      <c r="A37" s="2" t="inlineStr">
        <is>
          <t>Stairs / Balconies</t>
        </is>
      </c>
      <c r="B37" s="15" t="n">
        <v>4019.19</v>
      </c>
      <c r="F37" s="15" t="n">
        <v>4019.19</v>
      </c>
    </row>
    <row r="38">
      <c r="A38" s="2" t="inlineStr">
        <is>
          <t>Bathroom Accessories</t>
        </is>
      </c>
      <c r="B38" s="15" t="n">
        <v>2482.89</v>
      </c>
      <c r="F38" s="15" t="n">
        <v>2482.89</v>
      </c>
    </row>
    <row r="39">
      <c r="A39" s="2" t="inlineStr">
        <is>
          <t>Cabinets / Millwork - Restrooms</t>
        </is>
      </c>
      <c r="B39" s="15" t="n">
        <v>901.51</v>
      </c>
      <c r="F39" s="15" t="n">
        <v>901.51</v>
      </c>
    </row>
    <row r="41">
      <c r="A41" s="6" t="inlineStr">
        <is>
          <t>Total Building Cost</t>
        </is>
      </c>
      <c r="B41" s="13" t="n">
        <v>265816.45</v>
      </c>
      <c r="C41" s="13" t="n">
        <v>55766.87</v>
      </c>
      <c r="F41" s="13" t="n">
        <v>210049.58</v>
      </c>
    </row>
    <row r="42">
      <c r="A42" s="2" t="inlineStr">
        <is>
          <t>% of Building Cost</t>
        </is>
      </c>
      <c r="C42" s="14" t="n">
        <v>0.2097946534159191</v>
      </c>
      <c r="F42" s="14" t="n">
        <v>0.7902053465840808</v>
      </c>
    </row>
    <row r="44">
      <c r="A44" s="1" t="inlineStr">
        <is>
          <t>Asset Allocation:</t>
        </is>
      </c>
    </row>
    <row r="45">
      <c r="A45" s="2" t="inlineStr">
        <is>
          <t>Asset # 19-Building - 754 "Menowitz"</t>
        </is>
      </c>
      <c r="B45" s="15" t="n">
        <v>750.8200000000001</v>
      </c>
      <c r="C45" s="15" t="n">
        <v>157.52</v>
      </c>
      <c r="F45" s="15" t="n">
        <v>593.3</v>
      </c>
    </row>
    <row r="46">
      <c r="A46" s="2" t="inlineStr">
        <is>
          <t>Asset # 3-Building</t>
        </is>
      </c>
      <c r="B46" s="15" t="n">
        <v>223422.8</v>
      </c>
      <c r="C46" s="15" t="n">
        <v>46872.91</v>
      </c>
      <c r="F46" s="15" t="n">
        <v>176549.89</v>
      </c>
    </row>
    <row r="47">
      <c r="A47" s="2" t="inlineStr">
        <is>
          <t>Asset # 4-Personal Property</t>
        </is>
      </c>
      <c r="B47" s="15" t="n">
        <v>13880.94</v>
      </c>
      <c r="C47" s="15" t="n">
        <v>2912.15</v>
      </c>
      <c r="F47" s="15" t="n">
        <v>10968.79</v>
      </c>
    </row>
    <row r="48">
      <c r="A48" s="2" t="inlineStr">
        <is>
          <t>Asset # 2-Land Improvements</t>
        </is>
      </c>
      <c r="B48" s="15" t="n">
        <v>27761.89</v>
      </c>
      <c r="C48" s="15" t="n">
        <v>5824.29</v>
      </c>
      <c r="F48" s="15" t="n">
        <v>21937.6</v>
      </c>
    </row>
    <row r="49">
      <c r="A49" s="6" t="inlineStr">
        <is>
          <t>Total Allocation:</t>
        </is>
      </c>
      <c r="B49" s="13" t="n">
        <v>265816.45</v>
      </c>
      <c r="C49" s="13" t="n">
        <v>55766.87</v>
      </c>
      <c r="F49" s="13" t="n">
        <v>210049.58</v>
      </c>
    </row>
    <row r="51">
      <c r="A51" s="1" t="inlineStr">
        <is>
          <t>End Depreciation Reconciliation</t>
        </is>
      </c>
    </row>
    <row r="52">
      <c r="A52" s="2" t="inlineStr">
        <is>
          <t>Before Cost Segregation (As Previously Filed)</t>
        </is>
      </c>
      <c r="B52" s="5" t="n">
        <v>184462.94</v>
      </c>
    </row>
    <row r="53">
      <c r="A53" s="2" t="inlineStr">
        <is>
          <t>After Cost Segregation (Corrected)</t>
        </is>
      </c>
      <c r="B53" s="9" t="n">
        <v>156747.64</v>
      </c>
    </row>
    <row r="54">
      <c r="A54" s="10" t="inlineStr">
        <is>
          <t>Section 481(a) Adjustment</t>
        </is>
      </c>
      <c r="B54" s="16" t="n">
        <v>-27715.3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Bldg 11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Bldg 11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11319.08</v>
      </c>
      <c r="C11" s="15" t="n">
        <v>11319.08</v>
      </c>
    </row>
    <row r="12">
      <c r="A12" s="2" t="inlineStr">
        <is>
          <t>Moldings</t>
        </is>
      </c>
      <c r="B12" s="15" t="n">
        <v>4407.51</v>
      </c>
      <c r="C12" s="15" t="n">
        <v>4407.51</v>
      </c>
    </row>
    <row r="13">
      <c r="A13" s="2" t="inlineStr">
        <is>
          <t>Flooring - Vinyl Plank</t>
        </is>
      </c>
      <c r="B13" s="15" t="n">
        <v>17858.88</v>
      </c>
      <c r="C13" s="15" t="n">
        <v>17858.88</v>
      </c>
    </row>
    <row r="14">
      <c r="A14" s="2" t="inlineStr">
        <is>
          <t>Window Treatments</t>
        </is>
      </c>
      <c r="B14" s="15" t="n">
        <v>1586.91</v>
      </c>
      <c r="C14" s="15" t="n">
        <v>1586.91</v>
      </c>
    </row>
    <row r="15">
      <c r="A15" s="2" t="inlineStr">
        <is>
          <t>Building Signage</t>
        </is>
      </c>
      <c r="B15" s="15" t="n">
        <v>127.35</v>
      </c>
      <c r="C15" s="15" t="n">
        <v>127.35</v>
      </c>
    </row>
    <row r="16">
      <c r="A16" s="2" t="inlineStr">
        <is>
          <t>Specialty Electrical - Appliances</t>
        </is>
      </c>
      <c r="B16" s="15" t="n">
        <v>2548.79</v>
      </c>
      <c r="C16" s="15" t="n">
        <v>2548.79</v>
      </c>
    </row>
    <row r="17">
      <c r="A17" s="2" t="inlineStr">
        <is>
          <t>Communication / Data</t>
        </is>
      </c>
      <c r="B17" s="15" t="n">
        <v>1548.16</v>
      </c>
      <c r="C17" s="15" t="n">
        <v>1548.16</v>
      </c>
    </row>
    <row r="18">
      <c r="A18" s="2" t="inlineStr">
        <is>
          <t>Specialty Plumbing - Kitchen Sinks</t>
        </is>
      </c>
      <c r="B18" s="15" t="n">
        <v>4626.46</v>
      </c>
      <c r="C18" s="15" t="n">
        <v>4626.46</v>
      </c>
    </row>
    <row r="19">
      <c r="A19" s="2" t="inlineStr">
        <is>
          <t>Security / Exterior Lighting</t>
        </is>
      </c>
      <c r="B19" s="15" t="n">
        <v>480.75</v>
      </c>
      <c r="C19" s="15" t="n">
        <v>480.75</v>
      </c>
    </row>
    <row r="20">
      <c r="A20" s="2" t="inlineStr">
        <is>
          <t>Access Control</t>
        </is>
      </c>
      <c r="B20" s="15" t="n">
        <v>75.53</v>
      </c>
      <c r="C20" s="15" t="n">
        <v>75.53</v>
      </c>
    </row>
    <row r="21">
      <c r="A21" s="2" t="inlineStr">
        <is>
          <t>Appliances</t>
        </is>
      </c>
      <c r="B21" s="15" t="n">
        <v>3991.1</v>
      </c>
      <c r="C21" s="15" t="n">
        <v>3991.1</v>
      </c>
    </row>
    <row r="22">
      <c r="A22" s="6" t="inlineStr">
        <is>
          <t>Building Structure</t>
        </is>
      </c>
    </row>
    <row r="23">
      <c r="A23" s="2" t="inlineStr">
        <is>
          <t>Roofing Systems</t>
        </is>
      </c>
      <c r="B23" s="15" t="n">
        <v>7270.82</v>
      </c>
      <c r="F23" s="15" t="n">
        <v>7270.82</v>
      </c>
    </row>
    <row r="24">
      <c r="A24" s="2" t="inlineStr">
        <is>
          <t>Foundations</t>
        </is>
      </c>
      <c r="B24" s="15" t="n">
        <v>12116.84</v>
      </c>
      <c r="F24" s="15" t="n">
        <v>12116.84</v>
      </c>
    </row>
    <row r="25">
      <c r="A25" s="2" t="inlineStr">
        <is>
          <t>HVAC</t>
        </is>
      </c>
      <c r="B25" s="15" t="n">
        <v>17293.33</v>
      </c>
      <c r="F25" s="15" t="n">
        <v>17293.33</v>
      </c>
    </row>
    <row r="26">
      <c r="A26" s="2" t="inlineStr">
        <is>
          <t>Electrical</t>
        </is>
      </c>
      <c r="B26" s="15" t="n">
        <v>16285.45</v>
      </c>
      <c r="F26" s="15" t="n">
        <v>16285.45</v>
      </c>
    </row>
    <row r="27">
      <c r="A27" s="2" t="inlineStr">
        <is>
          <t>Plumbing</t>
        </is>
      </c>
      <c r="B27" s="15" t="n">
        <v>15033</v>
      </c>
      <c r="F27" s="15" t="n">
        <v>15033</v>
      </c>
    </row>
    <row r="28">
      <c r="A28" s="2" t="inlineStr">
        <is>
          <t>Fire Protection &amp; Alarm</t>
        </is>
      </c>
      <c r="B28" s="15" t="n">
        <v>958.91</v>
      </c>
      <c r="F28" s="15" t="n">
        <v>958.91</v>
      </c>
    </row>
    <row r="29">
      <c r="A29" s="2" t="inlineStr">
        <is>
          <t>Exterior Façade / Building Skin</t>
        </is>
      </c>
      <c r="B29" s="15" t="n">
        <v>26187.51</v>
      </c>
      <c r="F29" s="15" t="n">
        <v>26187.51</v>
      </c>
    </row>
    <row r="30">
      <c r="A30" s="2" t="inlineStr">
        <is>
          <t>Doors &amp; Frames</t>
        </is>
      </c>
      <c r="B30" s="15" t="n">
        <v>11772.85</v>
      </c>
      <c r="F30" s="15" t="n">
        <v>11772.85</v>
      </c>
    </row>
    <row r="31">
      <c r="A31" s="2" t="inlineStr">
        <is>
          <t>Windows</t>
        </is>
      </c>
      <c r="B31" s="15" t="n">
        <v>6994.46</v>
      </c>
      <c r="F31" s="15" t="n">
        <v>6994.46</v>
      </c>
    </row>
    <row r="32">
      <c r="A32" s="2" t="inlineStr">
        <is>
          <t>Ceiling Systems</t>
        </is>
      </c>
      <c r="B32" s="15" t="n">
        <v>7953.64</v>
      </c>
      <c r="F32" s="15" t="n">
        <v>7953.64</v>
      </c>
    </row>
    <row r="33">
      <c r="A33" s="2" t="inlineStr">
        <is>
          <t>Interior Framing / Partitions</t>
        </is>
      </c>
      <c r="B33" s="15" t="n">
        <v>19168.95</v>
      </c>
      <c r="F33" s="15" t="n">
        <v>19168.95</v>
      </c>
    </row>
    <row r="34">
      <c r="A34" s="2" t="inlineStr">
        <is>
          <t>Painting</t>
        </is>
      </c>
      <c r="B34" s="15" t="n">
        <v>7364.73</v>
      </c>
      <c r="F34" s="15" t="n">
        <v>7364.73</v>
      </c>
    </row>
    <row r="35">
      <c r="A35" s="2" t="inlineStr">
        <is>
          <t>Gutter Systems</t>
        </is>
      </c>
      <c r="B35" s="15" t="n">
        <v>1137.92</v>
      </c>
      <c r="F35" s="15" t="n">
        <v>1137.92</v>
      </c>
    </row>
    <row r="36">
      <c r="A36" s="2" t="inlineStr">
        <is>
          <t>Structural Framing</t>
        </is>
      </c>
      <c r="B36" s="15" t="n">
        <v>28878.51</v>
      </c>
      <c r="F36" s="15" t="n">
        <v>28878.51</v>
      </c>
    </row>
    <row r="37">
      <c r="A37" s="2" t="inlineStr">
        <is>
          <t>Stairs / Balconies</t>
        </is>
      </c>
      <c r="B37" s="15" t="n">
        <v>4019.19</v>
      </c>
      <c r="F37" s="15" t="n">
        <v>4019.19</v>
      </c>
    </row>
    <row r="38">
      <c r="A38" s="2" t="inlineStr">
        <is>
          <t>Bathroom Accessories</t>
        </is>
      </c>
      <c r="B38" s="15" t="n">
        <v>2482.89</v>
      </c>
      <c r="F38" s="15" t="n">
        <v>2482.89</v>
      </c>
    </row>
    <row r="39">
      <c r="A39" s="2" t="inlineStr">
        <is>
          <t>Cabinets / Millwork - Restrooms</t>
        </is>
      </c>
      <c r="B39" s="15" t="n">
        <v>901.51</v>
      </c>
      <c r="F39" s="15" t="n">
        <v>901.51</v>
      </c>
    </row>
    <row r="41">
      <c r="A41" s="6" t="inlineStr">
        <is>
          <t>Total Building Cost</t>
        </is>
      </c>
      <c r="B41" s="13" t="n">
        <v>234391.03</v>
      </c>
      <c r="C41" s="13" t="n">
        <v>48570.52</v>
      </c>
      <c r="F41" s="13" t="n">
        <v>185820.51</v>
      </c>
    </row>
    <row r="42">
      <c r="A42" s="2" t="inlineStr">
        <is>
          <t>% of Building Cost</t>
        </is>
      </c>
      <c r="C42" s="14" t="n">
        <v>0.2072200459206993</v>
      </c>
      <c r="F42" s="14" t="n">
        <v>0.7927799540793008</v>
      </c>
    </row>
    <row r="44">
      <c r="A44" s="1" t="inlineStr">
        <is>
          <t>Asset Allocation:</t>
        </is>
      </c>
    </row>
    <row r="45">
      <c r="A45" s="2" t="inlineStr">
        <is>
          <t>Asset # 19-Building - 754 "Menowitz"</t>
        </is>
      </c>
      <c r="B45" s="15" t="n">
        <v>662.0599999999999</v>
      </c>
      <c r="C45" s="15" t="n">
        <v>137.19</v>
      </c>
      <c r="F45" s="15" t="n">
        <v>524.87</v>
      </c>
    </row>
    <row r="46">
      <c r="A46" s="2" t="inlineStr">
        <is>
          <t>Asset # 3-Building</t>
        </is>
      </c>
      <c r="B46" s="15" t="n">
        <v>197009.25</v>
      </c>
      <c r="C46" s="15" t="n">
        <v>40824.27</v>
      </c>
      <c r="F46" s="15" t="n">
        <v>156184.98</v>
      </c>
    </row>
    <row r="47">
      <c r="A47" s="2" t="inlineStr">
        <is>
          <t>Asset # 4-Personal Property</t>
        </is>
      </c>
      <c r="B47" s="15" t="n">
        <v>12239.91</v>
      </c>
      <c r="C47" s="15" t="n">
        <v>2536.35</v>
      </c>
      <c r="F47" s="15" t="n">
        <v>9703.559999999999</v>
      </c>
    </row>
    <row r="48">
      <c r="A48" s="2" t="inlineStr">
        <is>
          <t>Asset # 2-Land Improvements</t>
        </is>
      </c>
      <c r="B48" s="15" t="n">
        <v>24479.81</v>
      </c>
      <c r="C48" s="15" t="n">
        <v>5072.71</v>
      </c>
      <c r="F48" s="15" t="n">
        <v>19407.1</v>
      </c>
    </row>
    <row r="49">
      <c r="A49" s="6" t="inlineStr">
        <is>
          <t>Total Allocation:</t>
        </is>
      </c>
      <c r="B49" s="13" t="n">
        <v>234391.03</v>
      </c>
      <c r="C49" s="13" t="n">
        <v>48570.52</v>
      </c>
      <c r="F49" s="13" t="n">
        <v>185820.51</v>
      </c>
    </row>
    <row r="51">
      <c r="A51" s="1" t="inlineStr">
        <is>
          <t>End Depreciation Reconciliation</t>
        </is>
      </c>
    </row>
    <row r="52">
      <c r="A52" s="2" t="inlineStr">
        <is>
          <t>Before Cost Segregation (As Previously Filed)</t>
        </is>
      </c>
      <c r="B52" s="5" t="n">
        <v>162655.33</v>
      </c>
    </row>
    <row r="53">
      <c r="A53" s="2" t="inlineStr">
        <is>
          <t>After Cost Segregation (Corrected)</t>
        </is>
      </c>
      <c r="B53" s="9" t="n">
        <v>138666.95</v>
      </c>
    </row>
    <row r="54">
      <c r="A54" s="10" t="inlineStr">
        <is>
          <t>Section 481(a) Adjustment</t>
        </is>
      </c>
      <c r="B54" s="16" t="n">
        <v>-23988.38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Bldg 12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Bldg 12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7800.47</v>
      </c>
      <c r="C11" s="15" t="n">
        <v>7800.47</v>
      </c>
    </row>
    <row r="12">
      <c r="A12" s="2" t="inlineStr">
        <is>
          <t>Moldings</t>
        </is>
      </c>
      <c r="B12" s="15" t="n">
        <v>3748.91</v>
      </c>
      <c r="C12" s="15" t="n">
        <v>3748.91</v>
      </c>
    </row>
    <row r="13">
      <c r="A13" s="2" t="inlineStr">
        <is>
          <t>Flooring - Vinyl Plank</t>
        </is>
      </c>
      <c r="B13" s="15" t="n">
        <v>12139.37</v>
      </c>
      <c r="C13" s="15" t="n">
        <v>12139.37</v>
      </c>
    </row>
    <row r="14">
      <c r="A14" s="2" t="inlineStr">
        <is>
          <t>Window Treatments</t>
        </is>
      </c>
      <c r="B14" s="15" t="n">
        <v>1142.58</v>
      </c>
      <c r="C14" s="15" t="n">
        <v>1142.58</v>
      </c>
    </row>
    <row r="15">
      <c r="A15" s="2" t="inlineStr">
        <is>
          <t>Building Signage</t>
        </is>
      </c>
      <c r="B15" s="15" t="n">
        <v>85.23999999999999</v>
      </c>
      <c r="C15" s="15" t="n">
        <v>85.23999999999999</v>
      </c>
    </row>
    <row r="16">
      <c r="A16" s="2" t="inlineStr">
        <is>
          <t>Specialty Electrical - Appliances</t>
        </is>
      </c>
      <c r="B16" s="15" t="n">
        <v>1274.42</v>
      </c>
      <c r="C16" s="15" t="n">
        <v>1274.42</v>
      </c>
    </row>
    <row r="17">
      <c r="A17" s="2" t="inlineStr">
        <is>
          <t>Communication / Data</t>
        </is>
      </c>
      <c r="B17" s="15" t="n">
        <v>1052.34</v>
      </c>
      <c r="C17" s="15" t="n">
        <v>1052.34</v>
      </c>
    </row>
    <row r="18">
      <c r="A18" s="2" t="inlineStr">
        <is>
          <t>Specialty Plumbing - Kitchen Sinks</t>
        </is>
      </c>
      <c r="B18" s="15" t="n">
        <v>2313.24</v>
      </c>
      <c r="C18" s="15" t="n">
        <v>2313.24</v>
      </c>
    </row>
    <row r="19">
      <c r="A19" s="2" t="inlineStr">
        <is>
          <t>Security / Exterior Lighting</t>
        </is>
      </c>
      <c r="B19" s="15" t="n">
        <v>252.07</v>
      </c>
      <c r="C19" s="15" t="n">
        <v>252.07</v>
      </c>
    </row>
    <row r="20">
      <c r="A20" s="2" t="inlineStr">
        <is>
          <t>Access Control</t>
        </is>
      </c>
      <c r="B20" s="15" t="n">
        <v>37.76</v>
      </c>
      <c r="C20" s="15" t="n">
        <v>37.76</v>
      </c>
    </row>
    <row r="21">
      <c r="A21" s="2" t="inlineStr">
        <is>
          <t>Appliances</t>
        </is>
      </c>
      <c r="B21" s="15" t="n">
        <v>1995.55</v>
      </c>
      <c r="C21" s="15" t="n">
        <v>1995.55</v>
      </c>
    </row>
    <row r="22">
      <c r="A22" s="6" t="inlineStr">
        <is>
          <t>Building Structure</t>
        </is>
      </c>
    </row>
    <row r="23">
      <c r="A23" s="2" t="inlineStr">
        <is>
          <t>Roofing Systems</t>
        </is>
      </c>
      <c r="B23" s="15" t="n">
        <v>5090</v>
      </c>
      <c r="F23" s="15" t="n">
        <v>5090</v>
      </c>
    </row>
    <row r="24">
      <c r="A24" s="2" t="inlineStr">
        <is>
          <t>Foundations</t>
        </is>
      </c>
      <c r="B24" s="15" t="n">
        <v>8538.110000000001</v>
      </c>
      <c r="F24" s="15" t="n">
        <v>8538.110000000001</v>
      </c>
    </row>
    <row r="25">
      <c r="A25" s="2" t="inlineStr">
        <is>
          <t>HVAC</t>
        </is>
      </c>
      <c r="B25" s="15" t="n">
        <v>11754.94</v>
      </c>
      <c r="F25" s="15" t="n">
        <v>11754.94</v>
      </c>
    </row>
    <row r="26">
      <c r="A26" s="2" t="inlineStr">
        <is>
          <t>Electrical</t>
        </is>
      </c>
      <c r="B26" s="15" t="n">
        <v>11527.95</v>
      </c>
      <c r="F26" s="15" t="n">
        <v>11527.95</v>
      </c>
    </row>
    <row r="27">
      <c r="A27" s="2" t="inlineStr">
        <is>
          <t>Plumbing</t>
        </is>
      </c>
      <c r="B27" s="15" t="n">
        <v>10218.5</v>
      </c>
      <c r="F27" s="15" t="n">
        <v>10218.5</v>
      </c>
    </row>
    <row r="28">
      <c r="A28" s="2" t="inlineStr">
        <is>
          <t>Fire Protection &amp; Alarm</t>
        </is>
      </c>
      <c r="B28" s="15" t="n">
        <v>775.83</v>
      </c>
      <c r="F28" s="15" t="n">
        <v>775.83</v>
      </c>
    </row>
    <row r="29">
      <c r="A29" s="2" t="inlineStr">
        <is>
          <t>Exterior Façade / Building Skin</t>
        </is>
      </c>
      <c r="B29" s="15" t="n">
        <v>22829.89</v>
      </c>
      <c r="F29" s="15" t="n">
        <v>22829.89</v>
      </c>
    </row>
    <row r="30">
      <c r="A30" s="2" t="inlineStr">
        <is>
          <t>Doors &amp; Frames</t>
        </is>
      </c>
      <c r="B30" s="15" t="n">
        <v>5886.42</v>
      </c>
      <c r="F30" s="15" t="n">
        <v>5886.42</v>
      </c>
    </row>
    <row r="31">
      <c r="A31" s="2" t="inlineStr">
        <is>
          <t>Windows</t>
        </is>
      </c>
      <c r="B31" s="15" t="n">
        <v>5036.01</v>
      </c>
      <c r="F31" s="15" t="n">
        <v>5036.01</v>
      </c>
    </row>
    <row r="32">
      <c r="A32" s="2" t="inlineStr">
        <is>
          <t>Ceiling Systems</t>
        </is>
      </c>
      <c r="B32" s="15" t="n">
        <v>5406.4</v>
      </c>
      <c r="F32" s="15" t="n">
        <v>5406.4</v>
      </c>
    </row>
    <row r="33">
      <c r="A33" s="2" t="inlineStr">
        <is>
          <t>Interior Framing / Partitions</t>
        </is>
      </c>
      <c r="B33" s="15" t="n">
        <v>16464.28</v>
      </c>
      <c r="F33" s="15" t="n">
        <v>16464.28</v>
      </c>
    </row>
    <row r="34">
      <c r="A34" s="2" t="inlineStr">
        <is>
          <t>Painting</t>
        </is>
      </c>
      <c r="B34" s="15" t="n">
        <v>5938.8</v>
      </c>
      <c r="F34" s="15" t="n">
        <v>5938.8</v>
      </c>
    </row>
    <row r="35">
      <c r="A35" s="2" t="inlineStr">
        <is>
          <t>Gutter Systems</t>
        </is>
      </c>
      <c r="B35" s="15" t="n">
        <v>1234.18</v>
      </c>
      <c r="F35" s="15" t="n">
        <v>1234.18</v>
      </c>
    </row>
    <row r="36">
      <c r="A36" s="2" t="inlineStr">
        <is>
          <t>Structural Framing</t>
        </is>
      </c>
      <c r="B36" s="15" t="n">
        <v>20850.04</v>
      </c>
      <c r="F36" s="15" t="n">
        <v>20850.04</v>
      </c>
    </row>
    <row r="37">
      <c r="A37" s="2" t="inlineStr">
        <is>
          <t>Stairs / Balconies</t>
        </is>
      </c>
      <c r="B37" s="15" t="n">
        <v>2992.32</v>
      </c>
      <c r="F37" s="15" t="n">
        <v>2992.32</v>
      </c>
    </row>
    <row r="38">
      <c r="A38" s="2" t="inlineStr">
        <is>
          <t>Bathroom Accessories</t>
        </is>
      </c>
      <c r="B38" s="15" t="n">
        <v>2482.89</v>
      </c>
      <c r="F38" s="15" t="n">
        <v>2482.89</v>
      </c>
    </row>
    <row r="39">
      <c r="A39" s="2" t="inlineStr">
        <is>
          <t>Cabinets / Millwork - Restrooms</t>
        </is>
      </c>
      <c r="B39" s="15" t="n">
        <v>901.51</v>
      </c>
      <c r="F39" s="15" t="n">
        <v>901.51</v>
      </c>
    </row>
    <row r="41">
      <c r="A41" s="6" t="inlineStr">
        <is>
          <t>Total Building Cost</t>
        </is>
      </c>
      <c r="B41" s="13" t="n">
        <v>169770.02</v>
      </c>
      <c r="C41" s="13" t="n">
        <v>31841.95</v>
      </c>
      <c r="F41" s="13" t="n">
        <v>137928.07</v>
      </c>
    </row>
    <row r="42">
      <c r="A42" s="2" t="inlineStr">
        <is>
          <t>% of Building Cost</t>
        </is>
      </c>
      <c r="C42" s="14" t="n">
        <v>0.1875593229004744</v>
      </c>
      <c r="F42" s="14" t="n">
        <v>0.8124406770995257</v>
      </c>
    </row>
    <row r="44">
      <c r="A44" s="1" t="inlineStr">
        <is>
          <t>Asset Allocation:</t>
        </is>
      </c>
    </row>
    <row r="45">
      <c r="A45" s="2" t="inlineStr">
        <is>
          <t>Asset # 19-Building - 754 "Menowitz"</t>
        </is>
      </c>
      <c r="B45" s="15" t="n">
        <v>479.53</v>
      </c>
      <c r="C45" s="15" t="n">
        <v>89.94</v>
      </c>
      <c r="F45" s="15" t="n">
        <v>389.59</v>
      </c>
    </row>
    <row r="46">
      <c r="A46" s="2" t="inlineStr">
        <is>
          <t>Asset # 3-Building</t>
        </is>
      </c>
      <c r="B46" s="15" t="n">
        <v>142694.3</v>
      </c>
      <c r="C46" s="15" t="n">
        <v>26763.65</v>
      </c>
      <c r="F46" s="15" t="n">
        <v>115930.65</v>
      </c>
    </row>
    <row r="47">
      <c r="A47" s="2" t="inlineStr">
        <is>
          <t>Asset # 4-Personal Property</t>
        </is>
      </c>
      <c r="B47" s="15" t="n">
        <v>8865.4</v>
      </c>
      <c r="C47" s="15" t="n">
        <v>1662.79</v>
      </c>
      <c r="F47" s="15" t="n">
        <v>7202.61</v>
      </c>
    </row>
    <row r="48">
      <c r="A48" s="2" t="inlineStr">
        <is>
          <t>Asset # 2-Land Improvements</t>
        </is>
      </c>
      <c r="B48" s="15" t="n">
        <v>17730.79</v>
      </c>
      <c r="C48" s="15" t="n">
        <v>3325.57</v>
      </c>
      <c r="F48" s="15" t="n">
        <v>14405.22</v>
      </c>
    </row>
    <row r="49">
      <c r="A49" s="6" t="inlineStr">
        <is>
          <t>Total Allocation:</t>
        </is>
      </c>
      <c r="B49" s="13" t="n">
        <v>169770.02</v>
      </c>
      <c r="C49" s="13" t="n">
        <v>31841.95</v>
      </c>
      <c r="F49" s="13" t="n">
        <v>137928.07</v>
      </c>
    </row>
    <row r="51">
      <c r="A51" s="1" t="inlineStr">
        <is>
          <t>End Depreciation Reconciliation</t>
        </is>
      </c>
    </row>
    <row r="52">
      <c r="A52" s="2" t="inlineStr">
        <is>
          <t>Before Cost Segregation (As Previously Filed)</t>
        </is>
      </c>
      <c r="B52" s="5" t="n">
        <v>117811.65</v>
      </c>
    </row>
    <row r="53">
      <c r="A53" s="2" t="inlineStr">
        <is>
          <t>After Cost Segregation (Corrected)</t>
        </is>
      </c>
      <c r="B53" s="9" t="n">
        <v>102927.66</v>
      </c>
    </row>
    <row r="54">
      <c r="A54" s="10" t="inlineStr">
        <is>
          <t>Section 481(a) Adjustment</t>
        </is>
      </c>
      <c r="B54" s="16" t="n">
        <v>-14883.99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Bldg 13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Bldg 13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7800.47</v>
      </c>
      <c r="C11" s="15" t="n">
        <v>7800.47</v>
      </c>
    </row>
    <row r="12">
      <c r="A12" s="2" t="inlineStr">
        <is>
          <t>Moldings</t>
        </is>
      </c>
      <c r="B12" s="15" t="n">
        <v>3748.91</v>
      </c>
      <c r="C12" s="15" t="n">
        <v>3748.91</v>
      </c>
    </row>
    <row r="13">
      <c r="A13" s="2" t="inlineStr">
        <is>
          <t>Flooring - Vinyl Plank</t>
        </is>
      </c>
      <c r="B13" s="15" t="n">
        <v>12139.37</v>
      </c>
      <c r="C13" s="15" t="n">
        <v>12139.37</v>
      </c>
    </row>
    <row r="14">
      <c r="A14" s="2" t="inlineStr">
        <is>
          <t>Window Treatments</t>
        </is>
      </c>
      <c r="B14" s="15" t="n">
        <v>1142.58</v>
      </c>
      <c r="C14" s="15" t="n">
        <v>1142.58</v>
      </c>
    </row>
    <row r="15">
      <c r="A15" s="2" t="inlineStr">
        <is>
          <t>Building Signage</t>
        </is>
      </c>
      <c r="B15" s="15" t="n">
        <v>85.23999999999999</v>
      </c>
      <c r="C15" s="15" t="n">
        <v>85.23999999999999</v>
      </c>
    </row>
    <row r="16">
      <c r="A16" s="2" t="inlineStr">
        <is>
          <t>Specialty Electrical - Appliances</t>
        </is>
      </c>
      <c r="B16" s="15" t="n">
        <v>1274.42</v>
      </c>
      <c r="C16" s="15" t="n">
        <v>1274.42</v>
      </c>
    </row>
    <row r="17">
      <c r="A17" s="2" t="inlineStr">
        <is>
          <t>Communication / Data</t>
        </is>
      </c>
      <c r="B17" s="15" t="n">
        <v>1052.34</v>
      </c>
      <c r="C17" s="15" t="n">
        <v>1052.34</v>
      </c>
    </row>
    <row r="18">
      <c r="A18" s="2" t="inlineStr">
        <is>
          <t>Specialty Plumbing - Kitchen Sinks</t>
        </is>
      </c>
      <c r="B18" s="15" t="n">
        <v>2313.24</v>
      </c>
      <c r="C18" s="15" t="n">
        <v>2313.24</v>
      </c>
    </row>
    <row r="19">
      <c r="A19" s="2" t="inlineStr">
        <is>
          <t>Security / Exterior Lighting</t>
        </is>
      </c>
      <c r="B19" s="15" t="n">
        <v>252.07</v>
      </c>
      <c r="C19" s="15" t="n">
        <v>252.07</v>
      </c>
    </row>
    <row r="20">
      <c r="A20" s="2" t="inlineStr">
        <is>
          <t>Access Control</t>
        </is>
      </c>
      <c r="B20" s="15" t="n">
        <v>37.76</v>
      </c>
      <c r="C20" s="15" t="n">
        <v>37.76</v>
      </c>
    </row>
    <row r="21">
      <c r="A21" s="2" t="inlineStr">
        <is>
          <t>Appliances</t>
        </is>
      </c>
      <c r="B21" s="15" t="n">
        <v>1995.55</v>
      </c>
      <c r="C21" s="15" t="n">
        <v>1995.55</v>
      </c>
    </row>
    <row r="22">
      <c r="A22" s="6" t="inlineStr">
        <is>
          <t>Building Structure</t>
        </is>
      </c>
    </row>
    <row r="23">
      <c r="A23" s="2" t="inlineStr">
        <is>
          <t>Roofing Systems</t>
        </is>
      </c>
      <c r="B23" s="15" t="n">
        <v>5090</v>
      </c>
      <c r="F23" s="15" t="n">
        <v>5090</v>
      </c>
    </row>
    <row r="24">
      <c r="A24" s="2" t="inlineStr">
        <is>
          <t>Foundations</t>
        </is>
      </c>
      <c r="B24" s="15" t="n">
        <v>8538.110000000001</v>
      </c>
      <c r="F24" s="15" t="n">
        <v>8538.110000000001</v>
      </c>
    </row>
    <row r="25">
      <c r="A25" s="2" t="inlineStr">
        <is>
          <t>HVAC</t>
        </is>
      </c>
      <c r="B25" s="15" t="n">
        <v>11754.94</v>
      </c>
      <c r="F25" s="15" t="n">
        <v>11754.94</v>
      </c>
    </row>
    <row r="26">
      <c r="A26" s="2" t="inlineStr">
        <is>
          <t>Electrical</t>
        </is>
      </c>
      <c r="B26" s="15" t="n">
        <v>11527.95</v>
      </c>
      <c r="F26" s="15" t="n">
        <v>11527.95</v>
      </c>
    </row>
    <row r="27">
      <c r="A27" s="2" t="inlineStr">
        <is>
          <t>Plumbing</t>
        </is>
      </c>
      <c r="B27" s="15" t="n">
        <v>10218.5</v>
      </c>
      <c r="F27" s="15" t="n">
        <v>10218.5</v>
      </c>
    </row>
    <row r="28">
      <c r="A28" s="2" t="inlineStr">
        <is>
          <t>Fire Protection &amp; Alarm</t>
        </is>
      </c>
      <c r="B28" s="15" t="n">
        <v>775.83</v>
      </c>
      <c r="F28" s="15" t="n">
        <v>775.83</v>
      </c>
    </row>
    <row r="29">
      <c r="A29" s="2" t="inlineStr">
        <is>
          <t>Exterior Façade / Building Skin</t>
        </is>
      </c>
      <c r="B29" s="15" t="n">
        <v>22829.89</v>
      </c>
      <c r="F29" s="15" t="n">
        <v>22829.89</v>
      </c>
    </row>
    <row r="30">
      <c r="A30" s="2" t="inlineStr">
        <is>
          <t>Doors &amp; Frames</t>
        </is>
      </c>
      <c r="B30" s="15" t="n">
        <v>5886.42</v>
      </c>
      <c r="F30" s="15" t="n">
        <v>5886.42</v>
      </c>
    </row>
    <row r="31">
      <c r="A31" s="2" t="inlineStr">
        <is>
          <t>Windows</t>
        </is>
      </c>
      <c r="B31" s="15" t="n">
        <v>5036.01</v>
      </c>
      <c r="F31" s="15" t="n">
        <v>5036.01</v>
      </c>
    </row>
    <row r="32">
      <c r="A32" s="2" t="inlineStr">
        <is>
          <t>Ceiling Systems</t>
        </is>
      </c>
      <c r="B32" s="15" t="n">
        <v>5406.4</v>
      </c>
      <c r="F32" s="15" t="n">
        <v>5406.4</v>
      </c>
    </row>
    <row r="33">
      <c r="A33" s="2" t="inlineStr">
        <is>
          <t>Interior Framing / Partitions</t>
        </is>
      </c>
      <c r="B33" s="15" t="n">
        <v>16464.28</v>
      </c>
      <c r="F33" s="15" t="n">
        <v>16464.28</v>
      </c>
    </row>
    <row r="34">
      <c r="A34" s="2" t="inlineStr">
        <is>
          <t>Painting</t>
        </is>
      </c>
      <c r="B34" s="15" t="n">
        <v>5938.8</v>
      </c>
      <c r="F34" s="15" t="n">
        <v>5938.8</v>
      </c>
    </row>
    <row r="35">
      <c r="A35" s="2" t="inlineStr">
        <is>
          <t>Gutter Systems</t>
        </is>
      </c>
      <c r="B35" s="15" t="n">
        <v>1234.18</v>
      </c>
      <c r="F35" s="15" t="n">
        <v>1234.18</v>
      </c>
    </row>
    <row r="36">
      <c r="A36" s="2" t="inlineStr">
        <is>
          <t>Structural Framing</t>
        </is>
      </c>
      <c r="B36" s="15" t="n">
        <v>20850.04</v>
      </c>
      <c r="F36" s="15" t="n">
        <v>20850.04</v>
      </c>
    </row>
    <row r="37">
      <c r="A37" s="2" t="inlineStr">
        <is>
          <t>Stairs / Balconies</t>
        </is>
      </c>
      <c r="B37" s="15" t="n">
        <v>2992.32</v>
      </c>
      <c r="F37" s="15" t="n">
        <v>2992.32</v>
      </c>
    </row>
    <row r="38">
      <c r="A38" s="2" t="inlineStr">
        <is>
          <t>Bathroom Accessories</t>
        </is>
      </c>
      <c r="B38" s="15" t="n">
        <v>2482.89</v>
      </c>
      <c r="F38" s="15" t="n">
        <v>2482.89</v>
      </c>
    </row>
    <row r="39">
      <c r="A39" s="2" t="inlineStr">
        <is>
          <t>Cabinets / Millwork - Restrooms</t>
        </is>
      </c>
      <c r="B39" s="15" t="n">
        <v>901.51</v>
      </c>
      <c r="F39" s="15" t="n">
        <v>901.51</v>
      </c>
    </row>
    <row r="41">
      <c r="A41" s="6" t="inlineStr">
        <is>
          <t>Total Building Cost</t>
        </is>
      </c>
      <c r="B41" s="13" t="n">
        <v>169770.02</v>
      </c>
      <c r="C41" s="13" t="n">
        <v>31841.95</v>
      </c>
      <c r="F41" s="13" t="n">
        <v>137928.07</v>
      </c>
    </row>
    <row r="42">
      <c r="A42" s="2" t="inlineStr">
        <is>
          <t>% of Building Cost</t>
        </is>
      </c>
      <c r="C42" s="14" t="n">
        <v>0.1875593229004744</v>
      </c>
      <c r="F42" s="14" t="n">
        <v>0.8124406770995257</v>
      </c>
    </row>
    <row r="44">
      <c r="A44" s="1" t="inlineStr">
        <is>
          <t>Asset Allocation:</t>
        </is>
      </c>
    </row>
    <row r="45">
      <c r="A45" s="2" t="inlineStr">
        <is>
          <t>Asset # 19-Building - 754 "Menowitz"</t>
        </is>
      </c>
      <c r="B45" s="15" t="n">
        <v>479.53</v>
      </c>
      <c r="C45" s="15" t="n">
        <v>89.94</v>
      </c>
      <c r="F45" s="15" t="n">
        <v>389.59</v>
      </c>
    </row>
    <row r="46">
      <c r="A46" s="2" t="inlineStr">
        <is>
          <t>Asset # 3-Building</t>
        </is>
      </c>
      <c r="B46" s="15" t="n">
        <v>142694.3</v>
      </c>
      <c r="C46" s="15" t="n">
        <v>26763.65</v>
      </c>
      <c r="F46" s="15" t="n">
        <v>115930.65</v>
      </c>
    </row>
    <row r="47">
      <c r="A47" s="2" t="inlineStr">
        <is>
          <t>Asset # 4-Personal Property</t>
        </is>
      </c>
      <c r="B47" s="15" t="n">
        <v>8865.4</v>
      </c>
      <c r="C47" s="15" t="n">
        <v>1662.79</v>
      </c>
      <c r="F47" s="15" t="n">
        <v>7202.61</v>
      </c>
    </row>
    <row r="48">
      <c r="A48" s="2" t="inlineStr">
        <is>
          <t>Asset # 2-Land Improvements</t>
        </is>
      </c>
      <c r="B48" s="15" t="n">
        <v>17730.79</v>
      </c>
      <c r="C48" s="15" t="n">
        <v>3325.57</v>
      </c>
      <c r="F48" s="15" t="n">
        <v>14405.22</v>
      </c>
    </row>
    <row r="49">
      <c r="A49" s="6" t="inlineStr">
        <is>
          <t>Total Allocation:</t>
        </is>
      </c>
      <c r="B49" s="13" t="n">
        <v>169770.02</v>
      </c>
      <c r="C49" s="13" t="n">
        <v>31841.95</v>
      </c>
      <c r="F49" s="13" t="n">
        <v>137928.07</v>
      </c>
    </row>
    <row r="51">
      <c r="A51" s="1" t="inlineStr">
        <is>
          <t>End Depreciation Reconciliation</t>
        </is>
      </c>
    </row>
    <row r="52">
      <c r="A52" s="2" t="inlineStr">
        <is>
          <t>Before Cost Segregation (As Previously Filed)</t>
        </is>
      </c>
      <c r="B52" s="5" t="n">
        <v>117811.65</v>
      </c>
    </row>
    <row r="53">
      <c r="A53" s="2" t="inlineStr">
        <is>
          <t>After Cost Segregation (Corrected)</t>
        </is>
      </c>
      <c r="B53" s="9" t="n">
        <v>102927.66</v>
      </c>
    </row>
    <row r="54">
      <c r="A54" s="10" t="inlineStr">
        <is>
          <t>Section 481(a) Adjustment</t>
        </is>
      </c>
      <c r="B54" s="16" t="n">
        <v>-14883.99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Bldg 14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Bldg 14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6312.84</v>
      </c>
      <c r="C11" s="15" t="n">
        <v>6312.84</v>
      </c>
    </row>
    <row r="12">
      <c r="A12" s="2" t="inlineStr">
        <is>
          <t>Moldings</t>
        </is>
      </c>
      <c r="B12" s="15" t="n">
        <v>3318.29</v>
      </c>
      <c r="C12" s="15" t="n">
        <v>3318.29</v>
      </c>
    </row>
    <row r="13">
      <c r="A13" s="2" t="inlineStr">
        <is>
          <t>Flooring - Vinyl Plank</t>
        </is>
      </c>
      <c r="B13" s="15" t="n">
        <v>9989.690000000001</v>
      </c>
      <c r="C13" s="15" t="n">
        <v>9989.690000000001</v>
      </c>
    </row>
    <row r="14">
      <c r="A14" s="2" t="inlineStr">
        <is>
          <t>Window Treatments</t>
        </is>
      </c>
      <c r="B14" s="15" t="n">
        <v>888.6799999999999</v>
      </c>
      <c r="C14" s="15" t="n">
        <v>888.6799999999999</v>
      </c>
    </row>
    <row r="15">
      <c r="A15" s="2" t="inlineStr">
        <is>
          <t>Building Signage</t>
        </is>
      </c>
      <c r="B15" s="15" t="n">
        <v>85.23999999999999</v>
      </c>
      <c r="C15" s="15" t="n">
        <v>85.23999999999999</v>
      </c>
    </row>
    <row r="16">
      <c r="A16" s="2" t="inlineStr">
        <is>
          <t>Specialty Electrical - Appliances</t>
        </is>
      </c>
      <c r="B16" s="15" t="n">
        <v>1274.42</v>
      </c>
      <c r="C16" s="15" t="n">
        <v>1274.42</v>
      </c>
    </row>
    <row r="17">
      <c r="A17" s="2" t="inlineStr">
        <is>
          <t>Communication / Data</t>
        </is>
      </c>
      <c r="B17" s="15" t="n">
        <v>865.99</v>
      </c>
      <c r="C17" s="15" t="n">
        <v>865.99</v>
      </c>
    </row>
    <row r="18">
      <c r="A18" s="2" t="inlineStr">
        <is>
          <t>Specialty Plumbing - Kitchen Sinks</t>
        </is>
      </c>
      <c r="B18" s="15" t="n">
        <v>2313.24</v>
      </c>
      <c r="C18" s="15" t="n">
        <v>2313.24</v>
      </c>
    </row>
    <row r="19">
      <c r="A19" s="2" t="inlineStr">
        <is>
          <t>Security / Exterior Lighting</t>
        </is>
      </c>
      <c r="B19" s="15" t="n">
        <v>252.07</v>
      </c>
      <c r="C19" s="15" t="n">
        <v>252.07</v>
      </c>
    </row>
    <row r="20">
      <c r="A20" s="2" t="inlineStr">
        <is>
          <t>Access Control</t>
        </is>
      </c>
      <c r="B20" s="15" t="n">
        <v>37.76</v>
      </c>
      <c r="C20" s="15" t="n">
        <v>37.76</v>
      </c>
    </row>
    <row r="21">
      <c r="A21" s="2" t="inlineStr">
        <is>
          <t>Appliances</t>
        </is>
      </c>
      <c r="B21" s="15" t="n">
        <v>1995.55</v>
      </c>
      <c r="C21" s="15" t="n">
        <v>1995.55</v>
      </c>
    </row>
    <row r="22">
      <c r="A22" s="6" t="inlineStr">
        <is>
          <t>Building Structure</t>
        </is>
      </c>
    </row>
    <row r="23">
      <c r="A23" s="2" t="inlineStr">
        <is>
          <t>Roofing Systems</t>
        </is>
      </c>
      <c r="B23" s="15" t="n">
        <v>4400.88</v>
      </c>
      <c r="F23" s="15" t="n">
        <v>4400.88</v>
      </c>
    </row>
    <row r="24">
      <c r="A24" s="2" t="inlineStr">
        <is>
          <t>Foundations</t>
        </is>
      </c>
      <c r="B24" s="15" t="n">
        <v>7119.64</v>
      </c>
      <c r="F24" s="15" t="n">
        <v>7119.64</v>
      </c>
    </row>
    <row r="25">
      <c r="A25" s="2" t="inlineStr">
        <is>
          <t>HVAC</t>
        </is>
      </c>
      <c r="B25" s="15" t="n">
        <v>9673.34</v>
      </c>
      <c r="F25" s="15" t="n">
        <v>9673.34</v>
      </c>
    </row>
    <row r="26">
      <c r="A26" s="2" t="inlineStr">
        <is>
          <t>Electrical</t>
        </is>
      </c>
      <c r="B26" s="15" t="n">
        <v>9260.860000000001</v>
      </c>
      <c r="F26" s="15" t="n">
        <v>9260.860000000001</v>
      </c>
    </row>
    <row r="27">
      <c r="A27" s="2" t="inlineStr">
        <is>
          <t>Plumbing</t>
        </is>
      </c>
      <c r="B27" s="15" t="n">
        <v>8408.98</v>
      </c>
      <c r="F27" s="15" t="n">
        <v>8408.98</v>
      </c>
    </row>
    <row r="28">
      <c r="A28" s="2" t="inlineStr">
        <is>
          <t>Fire Protection &amp; Alarm</t>
        </is>
      </c>
      <c r="B28" s="15" t="n">
        <v>553.55</v>
      </c>
      <c r="F28" s="15" t="n">
        <v>553.55</v>
      </c>
    </row>
    <row r="29">
      <c r="A29" s="2" t="inlineStr">
        <is>
          <t>Exterior Façade / Building Skin</t>
        </is>
      </c>
      <c r="B29" s="15" t="n">
        <v>20503.5</v>
      </c>
      <c r="F29" s="15" t="n">
        <v>20503.5</v>
      </c>
    </row>
    <row r="30">
      <c r="A30" s="2" t="inlineStr">
        <is>
          <t>Doors &amp; Frames</t>
        </is>
      </c>
      <c r="B30" s="15" t="n">
        <v>5245.53</v>
      </c>
      <c r="F30" s="15" t="n">
        <v>5245.53</v>
      </c>
    </row>
    <row r="31">
      <c r="A31" s="2" t="inlineStr">
        <is>
          <t>Windows</t>
        </is>
      </c>
      <c r="B31" s="15" t="n">
        <v>3916.9</v>
      </c>
      <c r="F31" s="15" t="n">
        <v>3916.9</v>
      </c>
    </row>
    <row r="32">
      <c r="A32" s="2" t="inlineStr">
        <is>
          <t>Ceiling Systems</t>
        </is>
      </c>
      <c r="B32" s="15" t="n">
        <v>4449.02</v>
      </c>
      <c r="F32" s="15" t="n">
        <v>4449.02</v>
      </c>
    </row>
    <row r="33">
      <c r="A33" s="2" t="inlineStr">
        <is>
          <t>Interior Framing / Partitions</t>
        </is>
      </c>
      <c r="B33" s="15" t="n">
        <v>14615.82</v>
      </c>
      <c r="F33" s="15" t="n">
        <v>14615.82</v>
      </c>
    </row>
    <row r="34">
      <c r="A34" s="2" t="inlineStr">
        <is>
          <t>Painting</t>
        </is>
      </c>
      <c r="B34" s="15" t="n">
        <v>5177.37</v>
      </c>
      <c r="F34" s="15" t="n">
        <v>5177.37</v>
      </c>
    </row>
    <row r="35">
      <c r="A35" s="2" t="inlineStr">
        <is>
          <t>Gutter Systems</t>
        </is>
      </c>
      <c r="B35" s="15" t="n">
        <v>1147.32</v>
      </c>
      <c r="F35" s="15" t="n">
        <v>1147.32</v>
      </c>
    </row>
    <row r="36">
      <c r="A36" s="2" t="inlineStr">
        <is>
          <t>Structural Framing</t>
        </is>
      </c>
      <c r="B36" s="15" t="n">
        <v>17881.13</v>
      </c>
      <c r="F36" s="15" t="n">
        <v>17881.13</v>
      </c>
    </row>
    <row r="37">
      <c r="A37" s="2" t="inlineStr">
        <is>
          <t>Stairs / Balconies</t>
        </is>
      </c>
      <c r="B37" s="15" t="n">
        <v>2992.32</v>
      </c>
      <c r="F37" s="15" t="n">
        <v>2992.32</v>
      </c>
    </row>
    <row r="38">
      <c r="A38" s="2" t="inlineStr">
        <is>
          <t>Bathroom Accessories</t>
        </is>
      </c>
      <c r="B38" s="15" t="n">
        <v>1241.45</v>
      </c>
      <c r="F38" s="15" t="n">
        <v>1241.45</v>
      </c>
    </row>
    <row r="39">
      <c r="A39" s="2" t="inlineStr">
        <is>
          <t>Cabinets / Millwork - Restrooms</t>
        </is>
      </c>
      <c r="B39" s="15" t="n">
        <v>450.76</v>
      </c>
      <c r="F39" s="15" t="n">
        <v>450.76</v>
      </c>
    </row>
    <row r="41">
      <c r="A41" s="6" t="inlineStr">
        <is>
          <t>Total Building Cost</t>
        </is>
      </c>
      <c r="B41" s="13" t="n">
        <v>144372.14</v>
      </c>
      <c r="C41" s="13" t="n">
        <v>27333.77</v>
      </c>
      <c r="F41" s="13" t="n">
        <v>117038.37</v>
      </c>
    </row>
    <row r="42">
      <c r="A42" s="2" t="inlineStr">
        <is>
          <t>% of Building Cost</t>
        </is>
      </c>
      <c r="C42" s="14" t="n">
        <v>0.1893285643615174</v>
      </c>
      <c r="F42" s="14" t="n">
        <v>0.8106714356384825</v>
      </c>
    </row>
    <row r="44">
      <c r="A44" s="1" t="inlineStr">
        <is>
          <t>Asset Allocation:</t>
        </is>
      </c>
    </row>
    <row r="45">
      <c r="A45" s="2" t="inlineStr">
        <is>
          <t>Asset # 19-Building - 754 "Menowitz"</t>
        </is>
      </c>
      <c r="B45" s="15" t="n">
        <v>407.79</v>
      </c>
      <c r="C45" s="15" t="n">
        <v>77.20999999999999</v>
      </c>
      <c r="F45" s="15" t="n">
        <v>330.58</v>
      </c>
    </row>
    <row r="46">
      <c r="A46" s="2" t="inlineStr">
        <is>
          <t>Asset # 3-Building</t>
        </is>
      </c>
      <c r="B46" s="15" t="n">
        <v>121347</v>
      </c>
      <c r="C46" s="15" t="n">
        <v>22974.45</v>
      </c>
      <c r="F46" s="15" t="n">
        <v>98372.55</v>
      </c>
    </row>
    <row r="47">
      <c r="A47" s="2" t="inlineStr">
        <is>
          <t>Asset # 4-Personal Property</t>
        </is>
      </c>
      <c r="B47" s="15" t="n">
        <v>7539.11</v>
      </c>
      <c r="C47" s="15" t="n">
        <v>1427.37</v>
      </c>
      <c r="F47" s="15" t="n">
        <v>6111.74</v>
      </c>
    </row>
    <row r="48">
      <c r="A48" s="2" t="inlineStr">
        <is>
          <t>Asset # 2-Land Improvements</t>
        </is>
      </c>
      <c r="B48" s="15" t="n">
        <v>15078.24</v>
      </c>
      <c r="C48" s="15" t="n">
        <v>2854.74</v>
      </c>
      <c r="F48" s="15" t="n">
        <v>12223.5</v>
      </c>
    </row>
    <row r="49">
      <c r="A49" s="6" t="inlineStr">
        <is>
          <t>Total Allocation:</t>
        </is>
      </c>
      <c r="B49" s="13" t="n">
        <v>144372.14</v>
      </c>
      <c r="C49" s="13" t="n">
        <v>27333.77</v>
      </c>
      <c r="F49" s="13" t="n">
        <v>117038.37</v>
      </c>
    </row>
    <row r="51">
      <c r="A51" s="1" t="inlineStr">
        <is>
          <t>End Depreciation Reconciliation</t>
        </is>
      </c>
    </row>
    <row r="52">
      <c r="A52" s="2" t="inlineStr">
        <is>
          <t>Before Cost Segregation (As Previously Filed)</t>
        </is>
      </c>
      <c r="B52" s="5" t="n">
        <v>100186.83</v>
      </c>
    </row>
    <row r="53">
      <c r="A53" s="2" t="inlineStr">
        <is>
          <t>After Cost Segregation (Corrected)</t>
        </is>
      </c>
      <c r="B53" s="9" t="n">
        <v>87338.86</v>
      </c>
    </row>
    <row r="54">
      <c r="A54" s="10" t="inlineStr">
        <is>
          <t>Section 481(a) Adjustment</t>
        </is>
      </c>
      <c r="B54" s="16" t="n">
        <v>-12847.97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Bldg 15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Bldg 15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5461.24</v>
      </c>
      <c r="C11" s="15" t="n">
        <v>5461.24</v>
      </c>
    </row>
    <row r="12">
      <c r="A12" s="2" t="inlineStr">
        <is>
          <t>Moldings</t>
        </is>
      </c>
      <c r="B12" s="15" t="n">
        <v>2735.7</v>
      </c>
      <c r="C12" s="15" t="n">
        <v>2735.7</v>
      </c>
    </row>
    <row r="13">
      <c r="A13" s="2" t="inlineStr">
        <is>
          <t>Flooring - Vinyl Plank</t>
        </is>
      </c>
      <c r="B13" s="15" t="n">
        <v>7081.3</v>
      </c>
      <c r="C13" s="15" t="n">
        <v>7081.3</v>
      </c>
    </row>
    <row r="14">
      <c r="A14" s="2" t="inlineStr">
        <is>
          <t>Window Treatments</t>
        </is>
      </c>
      <c r="B14" s="15" t="n">
        <v>571.28</v>
      </c>
      <c r="C14" s="15" t="n">
        <v>571.28</v>
      </c>
    </row>
    <row r="15">
      <c r="A15" s="2" t="inlineStr">
        <is>
          <t>Building Signage</t>
        </is>
      </c>
      <c r="B15" s="15" t="n">
        <v>85.23999999999999</v>
      </c>
      <c r="C15" s="15" t="n">
        <v>85.23999999999999</v>
      </c>
    </row>
    <row r="16">
      <c r="A16" s="2" t="inlineStr">
        <is>
          <t>Specialty Electrical - Appliances</t>
        </is>
      </c>
      <c r="B16" s="15" t="n">
        <v>1274.42</v>
      </c>
      <c r="C16" s="15" t="n">
        <v>1274.42</v>
      </c>
    </row>
    <row r="17">
      <c r="A17" s="2" t="inlineStr">
        <is>
          <t>Communication / Data</t>
        </is>
      </c>
      <c r="B17" s="15" t="n">
        <v>613.87</v>
      </c>
      <c r="C17" s="15" t="n">
        <v>613.87</v>
      </c>
    </row>
    <row r="18">
      <c r="A18" s="2" t="inlineStr">
        <is>
          <t>Specialty Plumbing - Kitchen Sinks</t>
        </is>
      </c>
      <c r="B18" s="15" t="n">
        <v>2313.24</v>
      </c>
      <c r="C18" s="15" t="n">
        <v>2313.24</v>
      </c>
    </row>
    <row r="19">
      <c r="A19" s="2" t="inlineStr">
        <is>
          <t>Security / Exterior Lighting</t>
        </is>
      </c>
      <c r="B19" s="15" t="n">
        <v>252.07</v>
      </c>
      <c r="C19" s="15" t="n">
        <v>252.07</v>
      </c>
    </row>
    <row r="20">
      <c r="A20" s="2" t="inlineStr">
        <is>
          <t>Access Control</t>
        </is>
      </c>
      <c r="B20" s="15" t="n">
        <v>37.76</v>
      </c>
      <c r="C20" s="15" t="n">
        <v>37.76</v>
      </c>
    </row>
    <row r="21">
      <c r="A21" s="2" t="inlineStr">
        <is>
          <t>Appliances</t>
        </is>
      </c>
      <c r="B21" s="15" t="n">
        <v>1995.55</v>
      </c>
      <c r="C21" s="15" t="n">
        <v>1995.55</v>
      </c>
    </row>
    <row r="22">
      <c r="A22" s="6" t="inlineStr">
        <is>
          <t>Building Structure</t>
        </is>
      </c>
    </row>
    <row r="23">
      <c r="A23" s="2" t="inlineStr">
        <is>
          <t>Roofing Systems</t>
        </is>
      </c>
      <c r="B23" s="15" t="n">
        <v>3371.24</v>
      </c>
      <c r="F23" s="15" t="n">
        <v>3371.24</v>
      </c>
    </row>
    <row r="24">
      <c r="A24" s="2" t="inlineStr">
        <is>
          <t>Foundations</t>
        </is>
      </c>
      <c r="B24" s="15" t="n">
        <v>5200.56</v>
      </c>
      <c r="F24" s="15" t="n">
        <v>5200.56</v>
      </c>
    </row>
    <row r="25">
      <c r="A25" s="2" t="inlineStr">
        <is>
          <t>HVAC</t>
        </is>
      </c>
      <c r="B25" s="15" t="n">
        <v>6857.05</v>
      </c>
      <c r="F25" s="15" t="n">
        <v>6857.05</v>
      </c>
    </row>
    <row r="26">
      <c r="A26" s="2" t="inlineStr">
        <is>
          <t>Electrical</t>
        </is>
      </c>
      <c r="B26" s="15" t="n">
        <v>6193.63</v>
      </c>
      <c r="F26" s="15" t="n">
        <v>6193.63</v>
      </c>
    </row>
    <row r="27">
      <c r="A27" s="2" t="inlineStr">
        <is>
          <t>Plumbing</t>
        </is>
      </c>
      <c r="B27" s="15" t="n">
        <v>5960.79</v>
      </c>
      <c r="F27" s="15" t="n">
        <v>5960.79</v>
      </c>
    </row>
    <row r="28">
      <c r="A28" s="2" t="inlineStr">
        <is>
          <t>Fire Protection &amp; Alarm</t>
        </is>
      </c>
      <c r="B28" s="15" t="n">
        <v>331.27</v>
      </c>
      <c r="F28" s="15" t="n">
        <v>331.27</v>
      </c>
    </row>
    <row r="29">
      <c r="A29" s="2" t="inlineStr">
        <is>
          <t>Exterior Façade / Building Skin</t>
        </is>
      </c>
      <c r="B29" s="15" t="n">
        <v>17225.23</v>
      </c>
      <c r="F29" s="15" t="n">
        <v>17225.23</v>
      </c>
    </row>
    <row r="30">
      <c r="A30" s="2" t="inlineStr">
        <is>
          <t>Doors &amp; Frames</t>
        </is>
      </c>
      <c r="B30" s="15" t="n">
        <v>3322.88</v>
      </c>
      <c r="F30" s="15" t="n">
        <v>3322.88</v>
      </c>
    </row>
    <row r="31">
      <c r="A31" s="2" t="inlineStr">
        <is>
          <t>Windows</t>
        </is>
      </c>
      <c r="B31" s="15" t="n">
        <v>2518.01</v>
      </c>
      <c r="F31" s="15" t="n">
        <v>2518.01</v>
      </c>
    </row>
    <row r="32">
      <c r="A32" s="2" t="inlineStr">
        <is>
          <t>Ceiling Systems</t>
        </is>
      </c>
      <c r="B32" s="15" t="n">
        <v>3153.72</v>
      </c>
      <c r="F32" s="15" t="n">
        <v>3153.72</v>
      </c>
    </row>
    <row r="33">
      <c r="A33" s="2" t="inlineStr">
        <is>
          <t>Interior Framing / Partitions</t>
        </is>
      </c>
      <c r="B33" s="15" t="n">
        <v>12103.51</v>
      </c>
      <c r="F33" s="15" t="n">
        <v>12103.51</v>
      </c>
    </row>
    <row r="34">
      <c r="A34" s="2" t="inlineStr">
        <is>
          <t>Painting</t>
        </is>
      </c>
      <c r="B34" s="15" t="n">
        <v>4143.45</v>
      </c>
      <c r="F34" s="15" t="n">
        <v>4143.45</v>
      </c>
    </row>
    <row r="35">
      <c r="A35" s="2" t="inlineStr">
        <is>
          <t>Gutter Systems</t>
        </is>
      </c>
      <c r="B35" s="15" t="n">
        <v>831.0599999999999</v>
      </c>
      <c r="F35" s="15" t="n">
        <v>831.0599999999999</v>
      </c>
    </row>
    <row r="36">
      <c r="A36" s="2" t="inlineStr">
        <is>
          <t>Structural Framing</t>
        </is>
      </c>
      <c r="B36" s="15" t="n">
        <v>13664.98</v>
      </c>
      <c r="F36" s="15" t="n">
        <v>13664.98</v>
      </c>
    </row>
    <row r="37">
      <c r="A37" s="2" t="inlineStr">
        <is>
          <t>Stairs / Balconies</t>
        </is>
      </c>
      <c r="B37" s="15" t="n">
        <v>2992.32</v>
      </c>
      <c r="F37" s="15" t="n">
        <v>2992.32</v>
      </c>
    </row>
    <row r="38">
      <c r="A38" s="2" t="inlineStr">
        <is>
          <t>Bathroom Accessories</t>
        </is>
      </c>
      <c r="B38" s="15" t="n">
        <v>1241.45</v>
      </c>
      <c r="F38" s="15" t="n">
        <v>1241.45</v>
      </c>
    </row>
    <row r="39">
      <c r="A39" s="2" t="inlineStr">
        <is>
          <t>Cabinets / Millwork - Restrooms</t>
        </is>
      </c>
      <c r="B39" s="15" t="n">
        <v>450.76</v>
      </c>
      <c r="F39" s="15" t="n">
        <v>450.76</v>
      </c>
    </row>
    <row r="41">
      <c r="A41" s="6" t="inlineStr">
        <is>
          <t>Total Building Cost</t>
        </is>
      </c>
      <c r="B41" s="13" t="n">
        <v>111983.58</v>
      </c>
      <c r="C41" s="13" t="n">
        <v>22421.67</v>
      </c>
      <c r="F41" s="13" t="n">
        <v>89561.91</v>
      </c>
    </row>
    <row r="42">
      <c r="A42" s="2" t="inlineStr">
        <is>
          <t>% of Building Cost</t>
        </is>
      </c>
      <c r="C42" s="14" t="n">
        <v>0.2002228362408131</v>
      </c>
      <c r="F42" s="14" t="n">
        <v>0.7997771637591868</v>
      </c>
    </row>
    <row r="44">
      <c r="A44" s="1" t="inlineStr">
        <is>
          <t>Asset Allocation:</t>
        </is>
      </c>
    </row>
    <row r="45">
      <c r="A45" s="2" t="inlineStr">
        <is>
          <t>Asset # 19-Building - 754 "Menowitz"</t>
        </is>
      </c>
      <c r="B45" s="15" t="n">
        <v>316.3</v>
      </c>
      <c r="C45" s="15" t="n">
        <v>63.33</v>
      </c>
      <c r="F45" s="15" t="n">
        <v>252.97</v>
      </c>
    </row>
    <row r="46">
      <c r="A46" s="2" t="inlineStr">
        <is>
          <t>Asset # 3-Building</t>
        </is>
      </c>
      <c r="B46" s="15" t="n">
        <v>94123.92</v>
      </c>
      <c r="C46" s="15" t="n">
        <v>18845.76</v>
      </c>
      <c r="F46" s="15" t="n">
        <v>75278.16</v>
      </c>
    </row>
    <row r="47">
      <c r="A47" s="2" t="inlineStr">
        <is>
          <t>Asset # 4-Personal Property</t>
        </is>
      </c>
      <c r="B47" s="15" t="n">
        <v>5847.79</v>
      </c>
      <c r="C47" s="15" t="n">
        <v>1170.86</v>
      </c>
      <c r="F47" s="15" t="n">
        <v>4676.93</v>
      </c>
    </row>
    <row r="48">
      <c r="A48" s="2" t="inlineStr">
        <is>
          <t>Asset # 2-Land Improvements</t>
        </is>
      </c>
      <c r="B48" s="15" t="n">
        <v>11695.57</v>
      </c>
      <c r="C48" s="15" t="n">
        <v>2341.72</v>
      </c>
      <c r="F48" s="15" t="n">
        <v>9353.85</v>
      </c>
    </row>
    <row r="49">
      <c r="A49" s="6" t="inlineStr">
        <is>
          <t>Total Allocation:</t>
        </is>
      </c>
      <c r="B49" s="13" t="n">
        <v>111983.58</v>
      </c>
      <c r="C49" s="13" t="n">
        <v>22421.67</v>
      </c>
      <c r="F49" s="13" t="n">
        <v>89561.91</v>
      </c>
    </row>
    <row r="51">
      <c r="A51" s="1" t="inlineStr">
        <is>
          <t>End Depreciation Reconciliation</t>
        </is>
      </c>
    </row>
    <row r="52">
      <c r="A52" s="2" t="inlineStr">
        <is>
          <t>Before Cost Segregation (As Previously Filed)</t>
        </is>
      </c>
      <c r="B52" s="5" t="n">
        <v>77710.85000000001</v>
      </c>
    </row>
    <row r="53">
      <c r="A53" s="2" t="inlineStr">
        <is>
          <t>After Cost Segregation (Corrected)</t>
        </is>
      </c>
      <c r="B53" s="9" t="n">
        <v>66834.75999999999</v>
      </c>
    </row>
    <row r="54">
      <c r="A54" s="10" t="inlineStr">
        <is>
          <t>Section 481(a) Adjustment</t>
        </is>
      </c>
      <c r="B54" s="16" t="n">
        <v>-10876.09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Bldg 16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Bldg 16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5461.24</v>
      </c>
      <c r="C11" s="15" t="n">
        <v>5461.24</v>
      </c>
    </row>
    <row r="12">
      <c r="A12" s="2" t="inlineStr">
        <is>
          <t>Moldings</t>
        </is>
      </c>
      <c r="B12" s="15" t="n">
        <v>2735.7</v>
      </c>
      <c r="C12" s="15" t="n">
        <v>2735.7</v>
      </c>
    </row>
    <row r="13">
      <c r="A13" s="2" t="inlineStr">
        <is>
          <t>Flooring - Vinyl Plank</t>
        </is>
      </c>
      <c r="B13" s="15" t="n">
        <v>7081.3</v>
      </c>
      <c r="C13" s="15" t="n">
        <v>7081.3</v>
      </c>
    </row>
    <row r="14">
      <c r="A14" s="2" t="inlineStr">
        <is>
          <t>Window Treatments</t>
        </is>
      </c>
      <c r="B14" s="15" t="n">
        <v>571.28</v>
      </c>
      <c r="C14" s="15" t="n">
        <v>571.28</v>
      </c>
    </row>
    <row r="15">
      <c r="A15" s="2" t="inlineStr">
        <is>
          <t>Building Signage</t>
        </is>
      </c>
      <c r="B15" s="15" t="n">
        <v>85.23999999999999</v>
      </c>
      <c r="C15" s="15" t="n">
        <v>85.23999999999999</v>
      </c>
    </row>
    <row r="16">
      <c r="A16" s="2" t="inlineStr">
        <is>
          <t>Specialty Electrical - Appliances</t>
        </is>
      </c>
      <c r="B16" s="15" t="n">
        <v>1274.42</v>
      </c>
      <c r="C16" s="15" t="n">
        <v>1274.42</v>
      </c>
    </row>
    <row r="17">
      <c r="A17" s="2" t="inlineStr">
        <is>
          <t>Communication / Data</t>
        </is>
      </c>
      <c r="B17" s="15" t="n">
        <v>613.87</v>
      </c>
      <c r="C17" s="15" t="n">
        <v>613.87</v>
      </c>
    </row>
    <row r="18">
      <c r="A18" s="2" t="inlineStr">
        <is>
          <t>Specialty Plumbing - Kitchen Sinks</t>
        </is>
      </c>
      <c r="B18" s="15" t="n">
        <v>2313.24</v>
      </c>
      <c r="C18" s="15" t="n">
        <v>2313.24</v>
      </c>
    </row>
    <row r="19">
      <c r="A19" s="2" t="inlineStr">
        <is>
          <t>Security / Exterior Lighting</t>
        </is>
      </c>
      <c r="B19" s="15" t="n">
        <v>252.07</v>
      </c>
      <c r="C19" s="15" t="n">
        <v>252.07</v>
      </c>
    </row>
    <row r="20">
      <c r="A20" s="2" t="inlineStr">
        <is>
          <t>Access Control</t>
        </is>
      </c>
      <c r="B20" s="15" t="n">
        <v>37.76</v>
      </c>
      <c r="C20" s="15" t="n">
        <v>37.76</v>
      </c>
    </row>
    <row r="21">
      <c r="A21" s="2" t="inlineStr">
        <is>
          <t>Appliances</t>
        </is>
      </c>
      <c r="B21" s="15" t="n">
        <v>1995.55</v>
      </c>
      <c r="C21" s="15" t="n">
        <v>1995.55</v>
      </c>
    </row>
    <row r="22">
      <c r="A22" s="6" t="inlineStr">
        <is>
          <t>Building Structure</t>
        </is>
      </c>
    </row>
    <row r="23">
      <c r="A23" s="2" t="inlineStr">
        <is>
          <t>Roofing Systems</t>
        </is>
      </c>
      <c r="B23" s="15" t="n">
        <v>3371.24</v>
      </c>
      <c r="F23" s="15" t="n">
        <v>3371.24</v>
      </c>
    </row>
    <row r="24">
      <c r="A24" s="2" t="inlineStr">
        <is>
          <t>Foundations</t>
        </is>
      </c>
      <c r="B24" s="15" t="n">
        <v>5200.56</v>
      </c>
      <c r="F24" s="15" t="n">
        <v>5200.56</v>
      </c>
    </row>
    <row r="25">
      <c r="A25" s="2" t="inlineStr">
        <is>
          <t>HVAC</t>
        </is>
      </c>
      <c r="B25" s="15" t="n">
        <v>6857.05</v>
      </c>
      <c r="F25" s="15" t="n">
        <v>6857.05</v>
      </c>
    </row>
    <row r="26">
      <c r="A26" s="2" t="inlineStr">
        <is>
          <t>Electrical</t>
        </is>
      </c>
      <c r="B26" s="15" t="n">
        <v>6193.63</v>
      </c>
      <c r="F26" s="15" t="n">
        <v>6193.63</v>
      </c>
    </row>
    <row r="27">
      <c r="A27" s="2" t="inlineStr">
        <is>
          <t>Plumbing</t>
        </is>
      </c>
      <c r="B27" s="15" t="n">
        <v>5960.79</v>
      </c>
      <c r="F27" s="15" t="n">
        <v>5960.79</v>
      </c>
    </row>
    <row r="28">
      <c r="A28" s="2" t="inlineStr">
        <is>
          <t>Fire Protection &amp; Alarm</t>
        </is>
      </c>
      <c r="B28" s="15" t="n">
        <v>331.27</v>
      </c>
      <c r="F28" s="15" t="n">
        <v>331.27</v>
      </c>
    </row>
    <row r="29">
      <c r="A29" s="2" t="inlineStr">
        <is>
          <t>Exterior Façade / Building Skin</t>
        </is>
      </c>
      <c r="B29" s="15" t="n">
        <v>17225.23</v>
      </c>
      <c r="F29" s="15" t="n">
        <v>17225.23</v>
      </c>
    </row>
    <row r="30">
      <c r="A30" s="2" t="inlineStr">
        <is>
          <t>Doors &amp; Frames</t>
        </is>
      </c>
      <c r="B30" s="15" t="n">
        <v>3322.88</v>
      </c>
      <c r="F30" s="15" t="n">
        <v>3322.88</v>
      </c>
    </row>
    <row r="31">
      <c r="A31" s="2" t="inlineStr">
        <is>
          <t>Windows</t>
        </is>
      </c>
      <c r="B31" s="15" t="n">
        <v>2518.01</v>
      </c>
      <c r="F31" s="15" t="n">
        <v>2518.01</v>
      </c>
    </row>
    <row r="32">
      <c r="A32" s="2" t="inlineStr">
        <is>
          <t>Ceiling Systems</t>
        </is>
      </c>
      <c r="B32" s="15" t="n">
        <v>3153.72</v>
      </c>
      <c r="F32" s="15" t="n">
        <v>3153.72</v>
      </c>
    </row>
    <row r="33">
      <c r="A33" s="2" t="inlineStr">
        <is>
          <t>Interior Framing / Partitions</t>
        </is>
      </c>
      <c r="B33" s="15" t="n">
        <v>12103.51</v>
      </c>
      <c r="F33" s="15" t="n">
        <v>12103.51</v>
      </c>
    </row>
    <row r="34">
      <c r="A34" s="2" t="inlineStr">
        <is>
          <t>Painting</t>
        </is>
      </c>
      <c r="B34" s="15" t="n">
        <v>4143.45</v>
      </c>
      <c r="F34" s="15" t="n">
        <v>4143.45</v>
      </c>
    </row>
    <row r="35">
      <c r="A35" s="2" t="inlineStr">
        <is>
          <t>Gutter Systems</t>
        </is>
      </c>
      <c r="B35" s="15" t="n">
        <v>831.0599999999999</v>
      </c>
      <c r="F35" s="15" t="n">
        <v>831.0599999999999</v>
      </c>
    </row>
    <row r="36">
      <c r="A36" s="2" t="inlineStr">
        <is>
          <t>Structural Framing</t>
        </is>
      </c>
      <c r="B36" s="15" t="n">
        <v>13664.98</v>
      </c>
      <c r="F36" s="15" t="n">
        <v>13664.98</v>
      </c>
    </row>
    <row r="37">
      <c r="A37" s="2" t="inlineStr">
        <is>
          <t>Stairs / Balconies</t>
        </is>
      </c>
      <c r="B37" s="15" t="n">
        <v>2992.32</v>
      </c>
      <c r="F37" s="15" t="n">
        <v>2992.32</v>
      </c>
    </row>
    <row r="38">
      <c r="A38" s="2" t="inlineStr">
        <is>
          <t>Bathroom Accessories</t>
        </is>
      </c>
      <c r="B38" s="15" t="n">
        <v>1241.45</v>
      </c>
      <c r="F38" s="15" t="n">
        <v>1241.45</v>
      </c>
    </row>
    <row r="39">
      <c r="A39" s="2" t="inlineStr">
        <is>
          <t>Cabinets / Millwork - Restrooms</t>
        </is>
      </c>
      <c r="B39" s="15" t="n">
        <v>450.76</v>
      </c>
      <c r="F39" s="15" t="n">
        <v>450.76</v>
      </c>
    </row>
    <row r="41">
      <c r="A41" s="6" t="inlineStr">
        <is>
          <t>Total Building Cost</t>
        </is>
      </c>
      <c r="B41" s="13" t="n">
        <v>111983.58</v>
      </c>
      <c r="C41" s="13" t="n">
        <v>22421.67</v>
      </c>
      <c r="F41" s="13" t="n">
        <v>89561.91</v>
      </c>
    </row>
    <row r="42">
      <c r="A42" s="2" t="inlineStr">
        <is>
          <t>% of Building Cost</t>
        </is>
      </c>
      <c r="C42" s="14" t="n">
        <v>0.2002228362408131</v>
      </c>
      <c r="F42" s="14" t="n">
        <v>0.7997771637591868</v>
      </c>
    </row>
    <row r="44">
      <c r="A44" s="1" t="inlineStr">
        <is>
          <t>Asset Allocation:</t>
        </is>
      </c>
    </row>
    <row r="45">
      <c r="A45" s="2" t="inlineStr">
        <is>
          <t>Asset # 19-Building - 754 "Menowitz"</t>
        </is>
      </c>
      <c r="B45" s="15" t="n">
        <v>316.3</v>
      </c>
      <c r="C45" s="15" t="n">
        <v>63.33</v>
      </c>
      <c r="F45" s="15" t="n">
        <v>252.97</v>
      </c>
    </row>
    <row r="46">
      <c r="A46" s="2" t="inlineStr">
        <is>
          <t>Asset # 3-Building</t>
        </is>
      </c>
      <c r="B46" s="15" t="n">
        <v>94123.92</v>
      </c>
      <c r="C46" s="15" t="n">
        <v>18845.76</v>
      </c>
      <c r="F46" s="15" t="n">
        <v>75278.16</v>
      </c>
    </row>
    <row r="47">
      <c r="A47" s="2" t="inlineStr">
        <is>
          <t>Asset # 4-Personal Property</t>
        </is>
      </c>
      <c r="B47" s="15" t="n">
        <v>5847.79</v>
      </c>
      <c r="C47" s="15" t="n">
        <v>1170.86</v>
      </c>
      <c r="F47" s="15" t="n">
        <v>4676.93</v>
      </c>
    </row>
    <row r="48">
      <c r="A48" s="2" t="inlineStr">
        <is>
          <t>Asset # 2-Land Improvements</t>
        </is>
      </c>
      <c r="B48" s="15" t="n">
        <v>11695.57</v>
      </c>
      <c r="C48" s="15" t="n">
        <v>2341.72</v>
      </c>
      <c r="F48" s="15" t="n">
        <v>9353.85</v>
      </c>
    </row>
    <row r="49">
      <c r="A49" s="6" t="inlineStr">
        <is>
          <t>Total Allocation:</t>
        </is>
      </c>
      <c r="B49" s="13" t="n">
        <v>111983.58</v>
      </c>
      <c r="C49" s="13" t="n">
        <v>22421.67</v>
      </c>
      <c r="F49" s="13" t="n">
        <v>89561.91</v>
      </c>
    </row>
    <row r="51">
      <c r="A51" s="1" t="inlineStr">
        <is>
          <t>End Depreciation Reconciliation</t>
        </is>
      </c>
    </row>
    <row r="52">
      <c r="A52" s="2" t="inlineStr">
        <is>
          <t>Before Cost Segregation (As Previously Filed)</t>
        </is>
      </c>
      <c r="B52" s="5" t="n">
        <v>77710.85000000001</v>
      </c>
    </row>
    <row r="53">
      <c r="A53" s="2" t="inlineStr">
        <is>
          <t>After Cost Segregation (Corrected)</t>
        </is>
      </c>
      <c r="B53" s="9" t="n">
        <v>66834.75999999999</v>
      </c>
    </row>
    <row r="54">
      <c r="A54" s="10" t="inlineStr">
        <is>
          <t>Section 481(a) Adjustment</t>
        </is>
      </c>
      <c r="B54" s="16" t="n">
        <v>-10876.09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Bldg 17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Bldg 17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13932.37</v>
      </c>
      <c r="C11" s="15" t="n">
        <v>13932.37</v>
      </c>
    </row>
    <row r="12">
      <c r="A12" s="2" t="inlineStr">
        <is>
          <t>Moldings</t>
        </is>
      </c>
      <c r="B12" s="15" t="n">
        <v>4762.13</v>
      </c>
      <c r="C12" s="15" t="n">
        <v>4762.13</v>
      </c>
    </row>
    <row r="13">
      <c r="A13" s="2" t="inlineStr">
        <is>
          <t>Flooring - Vinyl Plank</t>
        </is>
      </c>
      <c r="B13" s="15" t="n">
        <v>21399.52</v>
      </c>
      <c r="C13" s="15" t="n">
        <v>21399.52</v>
      </c>
    </row>
    <row r="14">
      <c r="A14" s="2" t="inlineStr">
        <is>
          <t>Window Treatments</t>
        </is>
      </c>
      <c r="B14" s="15" t="n">
        <v>1967.77</v>
      </c>
      <c r="C14" s="15" t="n">
        <v>1967.77</v>
      </c>
    </row>
    <row r="15">
      <c r="A15" s="2" t="inlineStr">
        <is>
          <t>Building Signage</t>
        </is>
      </c>
      <c r="B15" s="15" t="n">
        <v>127.35</v>
      </c>
      <c r="C15" s="15" t="n">
        <v>127.35</v>
      </c>
    </row>
    <row r="16">
      <c r="A16" s="2" t="inlineStr">
        <is>
          <t>Specialty Electrical - Appliances</t>
        </is>
      </c>
      <c r="B16" s="15" t="n">
        <v>2548.79</v>
      </c>
      <c r="C16" s="15" t="n">
        <v>2548.79</v>
      </c>
    </row>
    <row r="17">
      <c r="A17" s="2" t="inlineStr">
        <is>
          <t>Communication / Data</t>
        </is>
      </c>
      <c r="B17" s="15" t="n">
        <v>1855.1</v>
      </c>
      <c r="C17" s="15" t="n">
        <v>1855.1</v>
      </c>
    </row>
    <row r="18">
      <c r="A18" s="2" t="inlineStr">
        <is>
          <t>Specialty Plumbing - Kitchen Sinks</t>
        </is>
      </c>
      <c r="B18" s="15" t="n">
        <v>4626.46</v>
      </c>
      <c r="C18" s="15" t="n">
        <v>4626.46</v>
      </c>
    </row>
    <row r="19">
      <c r="A19" s="2" t="inlineStr">
        <is>
          <t>Security / Exterior Lighting</t>
        </is>
      </c>
      <c r="B19" s="15" t="n">
        <v>480.75</v>
      </c>
      <c r="C19" s="15" t="n">
        <v>480.75</v>
      </c>
    </row>
    <row r="20">
      <c r="A20" s="2" t="inlineStr">
        <is>
          <t>Access Control</t>
        </is>
      </c>
      <c r="B20" s="15" t="n">
        <v>75.53</v>
      </c>
      <c r="C20" s="15" t="n">
        <v>75.53</v>
      </c>
    </row>
    <row r="21">
      <c r="A21" s="2" t="inlineStr">
        <is>
          <t>Appliances</t>
        </is>
      </c>
      <c r="B21" s="15" t="n">
        <v>3991.1</v>
      </c>
      <c r="C21" s="15" t="n">
        <v>3991.1</v>
      </c>
    </row>
    <row r="22">
      <c r="A22" s="6" t="inlineStr">
        <is>
          <t>Building Structure</t>
        </is>
      </c>
    </row>
    <row r="23">
      <c r="A23" s="2" t="inlineStr">
        <is>
          <t>Roofing Systems</t>
        </is>
      </c>
      <c r="B23" s="15" t="n">
        <v>8726.139999999999</v>
      </c>
      <c r="F23" s="15" t="n">
        <v>8726.139999999999</v>
      </c>
    </row>
    <row r="24">
      <c r="A24" s="2" t="inlineStr">
        <is>
          <t>Foundations</t>
        </is>
      </c>
      <c r="B24" s="15" t="n">
        <v>14310.97</v>
      </c>
      <c r="F24" s="15" t="n">
        <v>14310.97</v>
      </c>
    </row>
    <row r="25">
      <c r="A25" s="2" t="inlineStr">
        <is>
          <t>HVAC</t>
        </is>
      </c>
      <c r="B25" s="15" t="n">
        <v>20721.85</v>
      </c>
      <c r="F25" s="15" t="n">
        <v>20721.85</v>
      </c>
    </row>
    <row r="26">
      <c r="A26" s="2" t="inlineStr">
        <is>
          <t>Electrical</t>
        </is>
      </c>
      <c r="B26" s="15" t="n">
        <v>20019.46</v>
      </c>
      <c r="F26" s="15" t="n">
        <v>20019.46</v>
      </c>
    </row>
    <row r="27">
      <c r="A27" s="2" t="inlineStr">
        <is>
          <t>Plumbing</t>
        </is>
      </c>
      <c r="B27" s="15" t="n">
        <v>18013.39</v>
      </c>
      <c r="F27" s="15" t="n">
        <v>18013.39</v>
      </c>
    </row>
    <row r="28">
      <c r="A28" s="2" t="inlineStr">
        <is>
          <t>Fire Protection &amp; Alarm</t>
        </is>
      </c>
      <c r="B28" s="15" t="n">
        <v>1255.28</v>
      </c>
      <c r="F28" s="15" t="n">
        <v>1255.28</v>
      </c>
    </row>
    <row r="29">
      <c r="A29" s="2" t="inlineStr">
        <is>
          <t>Exterior Façade / Building Skin</t>
        </is>
      </c>
      <c r="B29" s="15" t="n">
        <v>28034.85</v>
      </c>
      <c r="F29" s="15" t="n">
        <v>28034.85</v>
      </c>
    </row>
    <row r="30">
      <c r="A30" s="2" t="inlineStr">
        <is>
          <t>Doors &amp; Frames</t>
        </is>
      </c>
      <c r="B30" s="15" t="n">
        <v>9209.33</v>
      </c>
      <c r="F30" s="15" t="n">
        <v>9209.33</v>
      </c>
    </row>
    <row r="31">
      <c r="A31" s="2" t="inlineStr">
        <is>
          <t>Windows</t>
        </is>
      </c>
      <c r="B31" s="15" t="n">
        <v>8673.120000000001</v>
      </c>
      <c r="F31" s="15" t="n">
        <v>8673.120000000001</v>
      </c>
    </row>
    <row r="32">
      <c r="A32" s="2" t="inlineStr">
        <is>
          <t>Ceiling Systems</t>
        </is>
      </c>
      <c r="B32" s="15" t="n">
        <v>9530.52</v>
      </c>
      <c r="F32" s="15" t="n">
        <v>9530.52</v>
      </c>
    </row>
    <row r="33">
      <c r="A33" s="2" t="inlineStr">
        <is>
          <t>Interior Framing / Partitions</t>
        </is>
      </c>
      <c r="B33" s="15" t="n">
        <v>20615.67</v>
      </c>
      <c r="F33" s="15" t="n">
        <v>20615.67</v>
      </c>
    </row>
    <row r="34">
      <c r="A34" s="2" t="inlineStr">
        <is>
          <t>Painting</t>
        </is>
      </c>
      <c r="B34" s="15" t="n">
        <v>8186.44</v>
      </c>
      <c r="F34" s="15" t="n">
        <v>8186.44</v>
      </c>
    </row>
    <row r="35">
      <c r="A35" s="2" t="inlineStr">
        <is>
          <t>Gutter Systems</t>
        </is>
      </c>
      <c r="B35" s="15" t="n">
        <v>1433.11</v>
      </c>
      <c r="F35" s="15" t="n">
        <v>1433.11</v>
      </c>
    </row>
    <row r="36">
      <c r="A36" s="2" t="inlineStr">
        <is>
          <t>Structural Framing</t>
        </is>
      </c>
      <c r="B36" s="15" t="n">
        <v>33915.86</v>
      </c>
      <c r="F36" s="15" t="n">
        <v>33915.86</v>
      </c>
    </row>
    <row r="37">
      <c r="A37" s="2" t="inlineStr">
        <is>
          <t>Stairs / Balconies</t>
        </is>
      </c>
      <c r="B37" s="15" t="n">
        <v>4019.19</v>
      </c>
      <c r="F37" s="15" t="n">
        <v>4019.19</v>
      </c>
    </row>
    <row r="38">
      <c r="A38" s="2" t="inlineStr">
        <is>
          <t>Bathroom Accessories</t>
        </is>
      </c>
      <c r="B38" s="15" t="n">
        <v>2482.89</v>
      </c>
      <c r="F38" s="15" t="n">
        <v>2482.89</v>
      </c>
    </row>
    <row r="39">
      <c r="A39" s="2" t="inlineStr">
        <is>
          <t>Cabinets / Millwork - Restrooms</t>
        </is>
      </c>
      <c r="B39" s="15" t="n">
        <v>901.51</v>
      </c>
      <c r="F39" s="15" t="n">
        <v>901.51</v>
      </c>
    </row>
    <row r="41">
      <c r="A41" s="6" t="inlineStr">
        <is>
          <t>Total Building Cost</t>
        </is>
      </c>
      <c r="B41" s="13" t="n">
        <v>265816.45</v>
      </c>
      <c r="C41" s="13" t="n">
        <v>55766.87</v>
      </c>
      <c r="F41" s="13" t="n">
        <v>210049.58</v>
      </c>
    </row>
    <row r="42">
      <c r="A42" s="2" t="inlineStr">
        <is>
          <t>% of Building Cost</t>
        </is>
      </c>
      <c r="C42" s="14" t="n">
        <v>0.2097946534159191</v>
      </c>
      <c r="F42" s="14" t="n">
        <v>0.7902053465840808</v>
      </c>
    </row>
    <row r="44">
      <c r="A44" s="1" t="inlineStr">
        <is>
          <t>Asset Allocation:</t>
        </is>
      </c>
    </row>
    <row r="45">
      <c r="A45" s="2" t="inlineStr">
        <is>
          <t>Asset # 19-Building - 754 "Menowitz"</t>
        </is>
      </c>
      <c r="B45" s="15" t="n">
        <v>750.8200000000001</v>
      </c>
      <c r="C45" s="15" t="n">
        <v>157.52</v>
      </c>
      <c r="F45" s="15" t="n">
        <v>593.3</v>
      </c>
    </row>
    <row r="46">
      <c r="A46" s="2" t="inlineStr">
        <is>
          <t>Asset # 3-Building</t>
        </is>
      </c>
      <c r="B46" s="15" t="n">
        <v>223422.8</v>
      </c>
      <c r="C46" s="15" t="n">
        <v>46872.91</v>
      </c>
      <c r="F46" s="15" t="n">
        <v>176549.89</v>
      </c>
    </row>
    <row r="47">
      <c r="A47" s="2" t="inlineStr">
        <is>
          <t>Asset # 4-Personal Property</t>
        </is>
      </c>
      <c r="B47" s="15" t="n">
        <v>13880.94</v>
      </c>
      <c r="C47" s="15" t="n">
        <v>2912.15</v>
      </c>
      <c r="F47" s="15" t="n">
        <v>10968.79</v>
      </c>
    </row>
    <row r="48">
      <c r="A48" s="2" t="inlineStr">
        <is>
          <t>Asset # 2-Land Improvements</t>
        </is>
      </c>
      <c r="B48" s="15" t="n">
        <v>27761.89</v>
      </c>
      <c r="C48" s="15" t="n">
        <v>5824.29</v>
      </c>
      <c r="F48" s="15" t="n">
        <v>21937.6</v>
      </c>
    </row>
    <row r="49">
      <c r="A49" s="6" t="inlineStr">
        <is>
          <t>Total Allocation:</t>
        </is>
      </c>
      <c r="B49" s="13" t="n">
        <v>265816.45</v>
      </c>
      <c r="C49" s="13" t="n">
        <v>55766.87</v>
      </c>
      <c r="F49" s="13" t="n">
        <v>210049.58</v>
      </c>
    </row>
    <row r="51">
      <c r="A51" s="1" t="inlineStr">
        <is>
          <t>End Depreciation Reconciliation</t>
        </is>
      </c>
    </row>
    <row r="52">
      <c r="A52" s="2" t="inlineStr">
        <is>
          <t>Before Cost Segregation (As Previously Filed)</t>
        </is>
      </c>
      <c r="B52" s="5" t="n">
        <v>184462.94</v>
      </c>
    </row>
    <row r="53">
      <c r="A53" s="2" t="inlineStr">
        <is>
          <t>After Cost Segregation (Corrected)</t>
        </is>
      </c>
      <c r="B53" s="9" t="n">
        <v>156747.64</v>
      </c>
    </row>
    <row r="54">
      <c r="A54" s="10" t="inlineStr">
        <is>
          <t>Section 481(a) Adjustment</t>
        </is>
      </c>
      <c r="B54" s="16" t="n">
        <v>-27715.3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Maint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Maint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Cabinets / Millwork</t>
        </is>
      </c>
      <c r="B11" s="15" t="n">
        <v>348.82</v>
      </c>
      <c r="C11" s="15" t="n">
        <v>348.82</v>
      </c>
    </row>
    <row r="12">
      <c r="A12" s="2" t="inlineStr">
        <is>
          <t>Raised Wood Paneling</t>
        </is>
      </c>
      <c r="B12" s="15" t="n">
        <v>45.38</v>
      </c>
      <c r="C12" s="15" t="n">
        <v>45.38</v>
      </c>
    </row>
    <row r="13">
      <c r="A13" s="2" t="inlineStr">
        <is>
          <t>Flooring - Vinyl Tile</t>
        </is>
      </c>
      <c r="B13" s="15" t="n">
        <v>87.12</v>
      </c>
      <c r="C13" s="15" t="n">
        <v>87.12</v>
      </c>
    </row>
    <row r="14">
      <c r="A14" s="6" t="inlineStr">
        <is>
          <t>Building Structure</t>
        </is>
      </c>
    </row>
    <row r="15">
      <c r="A15" s="2" t="inlineStr">
        <is>
          <t>Roofing Systems</t>
        </is>
      </c>
      <c r="B15" s="15" t="n">
        <v>224.44</v>
      </c>
      <c r="F15" s="15" t="n">
        <v>224.44</v>
      </c>
    </row>
    <row r="16">
      <c r="A16" s="2" t="inlineStr">
        <is>
          <t>Foundations</t>
        </is>
      </c>
      <c r="B16" s="15" t="n">
        <v>482.1</v>
      </c>
      <c r="F16" s="15" t="n">
        <v>482.1</v>
      </c>
    </row>
    <row r="17">
      <c r="A17" s="2" t="inlineStr">
        <is>
          <t>Electrical</t>
        </is>
      </c>
      <c r="B17" s="15" t="n">
        <v>118.55</v>
      </c>
      <c r="F17" s="15" t="n">
        <v>118.55</v>
      </c>
    </row>
    <row r="18">
      <c r="A18" s="2" t="inlineStr">
        <is>
          <t>Doors &amp; Frames</t>
        </is>
      </c>
      <c r="B18" s="15" t="n">
        <v>350.07</v>
      </c>
      <c r="F18" s="15" t="n">
        <v>350.07</v>
      </c>
    </row>
    <row r="19">
      <c r="A19" s="2" t="inlineStr">
        <is>
          <t>Windows</t>
        </is>
      </c>
      <c r="B19" s="15" t="n">
        <v>69.95</v>
      </c>
      <c r="F19" s="15" t="n">
        <v>69.95</v>
      </c>
    </row>
    <row r="20">
      <c r="A20" s="2" t="inlineStr">
        <is>
          <t>Ceiling Systems</t>
        </is>
      </c>
      <c r="B20" s="15" t="n">
        <v>107.21</v>
      </c>
      <c r="F20" s="15" t="n">
        <v>107.21</v>
      </c>
    </row>
    <row r="21">
      <c r="A21" s="2" t="inlineStr">
        <is>
          <t>Interior Framing / Partitions</t>
        </is>
      </c>
      <c r="B21" s="15" t="n">
        <v>398.31</v>
      </c>
      <c r="F21" s="15" t="n">
        <v>398.31</v>
      </c>
    </row>
    <row r="22">
      <c r="A22" s="2" t="inlineStr">
        <is>
          <t>Painting</t>
        </is>
      </c>
      <c r="B22" s="15" t="n">
        <v>179.51</v>
      </c>
      <c r="F22" s="15" t="n">
        <v>179.51</v>
      </c>
    </row>
    <row r="23">
      <c r="A23" s="2" t="inlineStr">
        <is>
          <t>Structural Framing</t>
        </is>
      </c>
      <c r="B23" s="15" t="n">
        <v>1631.38</v>
      </c>
      <c r="F23" s="15" t="n">
        <v>1631.38</v>
      </c>
    </row>
    <row r="25">
      <c r="A25" s="6" t="inlineStr">
        <is>
          <t>Total Building Cost</t>
        </is>
      </c>
      <c r="B25" s="13" t="n">
        <v>4042.84</v>
      </c>
      <c r="C25" s="13" t="n">
        <v>481.32</v>
      </c>
      <c r="F25" s="13" t="n">
        <v>3561.52</v>
      </c>
    </row>
    <row r="26">
      <c r="A26" s="2" t="inlineStr">
        <is>
          <t>% of Building Cost</t>
        </is>
      </c>
      <c r="C26" s="14" t="n">
        <v>0.1190549217876542</v>
      </c>
      <c r="F26" s="14" t="n">
        <v>0.8809450782123457</v>
      </c>
    </row>
    <row r="28">
      <c r="A28" s="1" t="inlineStr">
        <is>
          <t>Asset Allocation:</t>
        </is>
      </c>
    </row>
    <row r="29">
      <c r="A29" s="2" t="inlineStr">
        <is>
          <t>Asset # 19-Building - 754 "Menowitz"</t>
        </is>
      </c>
      <c r="B29" s="15" t="n">
        <v>11.42</v>
      </c>
      <c r="C29" s="15" t="n">
        <v>1.36</v>
      </c>
      <c r="F29" s="15" t="n">
        <v>10.06</v>
      </c>
    </row>
    <row r="30">
      <c r="A30" s="2" t="inlineStr">
        <is>
          <t>Asset # 3-Building</t>
        </is>
      </c>
      <c r="B30" s="15" t="n">
        <v>3398.09</v>
      </c>
      <c r="C30" s="15" t="n">
        <v>404.56</v>
      </c>
      <c r="F30" s="15" t="n">
        <v>2993.53</v>
      </c>
    </row>
    <row r="31">
      <c r="A31" s="2" t="inlineStr">
        <is>
          <t>Asset # 4-Personal Property</t>
        </is>
      </c>
      <c r="B31" s="15" t="n">
        <v>211.1</v>
      </c>
      <c r="C31" s="15" t="n">
        <v>25.13</v>
      </c>
      <c r="F31" s="15" t="n">
        <v>185.97</v>
      </c>
    </row>
    <row r="32">
      <c r="A32" s="2" t="inlineStr">
        <is>
          <t>Asset # 2-Land Improvements</t>
        </is>
      </c>
      <c r="B32" s="15" t="n">
        <v>422.23</v>
      </c>
      <c r="C32" s="15" t="n">
        <v>50.27</v>
      </c>
      <c r="F32" s="15" t="n">
        <v>371.96</v>
      </c>
    </row>
    <row r="33">
      <c r="A33" s="6" t="inlineStr">
        <is>
          <t>Total Allocation:</t>
        </is>
      </c>
      <c r="B33" s="13" t="n">
        <v>4042.84</v>
      </c>
      <c r="C33" s="13" t="n">
        <v>481.32</v>
      </c>
      <c r="F33" s="13" t="n">
        <v>3561.52</v>
      </c>
    </row>
    <row r="35">
      <c r="A35" s="1" t="inlineStr">
        <is>
          <t>End Depreciation Reconciliation</t>
        </is>
      </c>
    </row>
    <row r="36">
      <c r="A36" s="2" t="inlineStr">
        <is>
          <t>Before Cost Segregation (As Previously Filed)</t>
        </is>
      </c>
      <c r="B36" s="5" t="n">
        <v>2805.54</v>
      </c>
    </row>
    <row r="37">
      <c r="A37" s="2" t="inlineStr">
        <is>
          <t>After Cost Segregation (Corrected)</t>
        </is>
      </c>
      <c r="B37" s="9" t="n">
        <v>2657.75</v>
      </c>
    </row>
    <row r="38">
      <c r="A38" s="10" t="inlineStr">
        <is>
          <t>Section 481(a) Adjustment</t>
        </is>
      </c>
      <c r="B38" s="16" t="n">
        <v>-147.79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Silver Spring Terrace Apartments</t>
        </is>
      </c>
    </row>
    <row r="2">
      <c r="A2" s="2" t="inlineStr">
        <is>
          <t>Cost Segregation Study - Asset 15</t>
        </is>
      </c>
    </row>
    <row r="3">
      <c r="A3" s="2" t="inlineStr">
        <is>
          <t>Report #107752-39</t>
        </is>
      </c>
    </row>
    <row r="5">
      <c r="A5" s="2" t="inlineStr">
        <is>
          <t>Acquisition Date:</t>
        </is>
      </c>
      <c r="B5" s="2" t="inlineStr">
        <is>
          <t>5/31/17</t>
        </is>
      </c>
    </row>
    <row r="8">
      <c r="A8" s="1" t="inlineStr">
        <is>
          <t>Silver Spring Terrace Apartments - Asset 15</t>
        </is>
      </c>
    </row>
    <row r="9">
      <c r="A9" s="3" t="inlineStr">
        <is>
          <t>Property Category</t>
        </is>
      </c>
      <c r="B9" s="3" t="inlineStr">
        <is>
          <t>Cost</t>
        </is>
      </c>
      <c r="C9" s="3" t="inlineStr">
        <is>
          <t>5 Year</t>
        </is>
      </c>
      <c r="D9" s="3" t="inlineStr">
        <is>
          <t>7 Year</t>
        </is>
      </c>
      <c r="E9" s="3" t="inlineStr">
        <is>
          <t>15 Year</t>
        </is>
      </c>
      <c r="F9" s="3" t="inlineStr">
        <is>
          <t>27.5 Year</t>
        </is>
      </c>
    </row>
    <row r="10">
      <c r="A10" s="6" t="inlineStr">
        <is>
          <t>Building Components</t>
        </is>
      </c>
    </row>
    <row r="11">
      <c r="A11" s="2" t="inlineStr">
        <is>
          <t>Security System</t>
        </is>
      </c>
      <c r="B11" s="15" t="n">
        <v>25900</v>
      </c>
      <c r="C11" s="15" t="n">
        <v>25900</v>
      </c>
    </row>
    <row r="12">
      <c r="A12" s="6" t="inlineStr">
        <is>
          <t>Building Structure</t>
        </is>
      </c>
    </row>
    <row r="13">
      <c r="A13" s="2" t="inlineStr">
        <is>
          <t>Miscellaneous Building Components</t>
        </is>
      </c>
      <c r="B13" s="15" t="n">
        <v>61640</v>
      </c>
      <c r="F13" s="15" t="n">
        <v>61640</v>
      </c>
    </row>
    <row r="15">
      <c r="A15" s="6" t="inlineStr">
        <is>
          <t>Total Building Cost</t>
        </is>
      </c>
      <c r="B15" s="13" t="n">
        <v>87540</v>
      </c>
      <c r="C15" s="13" t="n">
        <v>25900</v>
      </c>
      <c r="F15" s="13" t="n">
        <v>61640</v>
      </c>
    </row>
    <row r="16">
      <c r="A16" s="2" t="inlineStr">
        <is>
          <t>% of Building Cost</t>
        </is>
      </c>
      <c r="C16" s="14" t="n">
        <v>0.2958647475439799</v>
      </c>
      <c r="F16" s="14" t="n">
        <v>0.7041352524560202</v>
      </c>
    </row>
    <row r="18">
      <c r="A18" s="1" t="inlineStr">
        <is>
          <t>Asset Allocation:</t>
        </is>
      </c>
    </row>
    <row r="19">
      <c r="A19" s="6" t="inlineStr">
        <is>
          <t>Total Allocation:</t>
        </is>
      </c>
      <c r="B19" s="13" t="n">
        <v>87540</v>
      </c>
      <c r="C19" s="13" t="n">
        <v>25900</v>
      </c>
      <c r="F19" s="13" t="n">
        <v>61640</v>
      </c>
    </row>
    <row r="21">
      <c r="A21" s="1" t="inlineStr">
        <is>
          <t>End Depreciation Reconciliation</t>
        </is>
      </c>
    </row>
    <row r="22">
      <c r="A22" s="2" t="inlineStr">
        <is>
          <t>Before Cost Segregation (As Previously Filed)</t>
        </is>
      </c>
      <c r="B22" s="5" t="n">
        <v>79032</v>
      </c>
    </row>
    <row r="23">
      <c r="A23" s="2" t="inlineStr">
        <is>
          <t>After Cost Segregation (Corrected)</t>
        </is>
      </c>
      <c r="B23" s="9" t="n">
        <v>54191.82</v>
      </c>
    </row>
    <row r="24">
      <c r="A24" s="10" t="inlineStr">
        <is>
          <t>Section 481(a) Adjustment</t>
        </is>
      </c>
      <c r="B24" s="16" t="n">
        <v>-24840.18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2026-06-28T04:56:02Z</dcterms:created>
  <dcterms:modified xmlns:dcterms="http://purl.org/dc/terms/" xmlns:xsi="http://www.w3.org/2001/XMLSchema-instance" xsi:type="dcterms:W3CDTF">2026-06-28T04:56:02Z</dcterms:modified>
</cp:coreProperties>
</file>