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530 Ames Blvd" sheetId="2" state="visible" r:id="rId2"/>
    <sheet xmlns:r="http://schemas.openxmlformats.org/officeDocument/2006/relationships" name="540 Freedom Ct" sheetId="3" state="visible" r:id="rId3"/>
    <sheet xmlns:r="http://schemas.openxmlformats.org/officeDocument/2006/relationships" name="1208 Smith Square" sheetId="4" state="visible" r:id="rId4"/>
    <sheet xmlns:r="http://schemas.openxmlformats.org/officeDocument/2006/relationships" name="1209 Smith Square" sheetId="5" state="visible" r:id="rId5"/>
    <sheet xmlns:r="http://schemas.openxmlformats.org/officeDocument/2006/relationships" name="3112 Havenwood Dr" sheetId="6" state="visible" r:id="rId6"/>
    <sheet xmlns:r="http://schemas.openxmlformats.org/officeDocument/2006/relationships" name="3117 Barbwood Dr" sheetId="7" state="visible" r:id="rId7"/>
    <sheet xmlns:r="http://schemas.openxmlformats.org/officeDocument/2006/relationships" name="6805 Sayres" sheetId="8" state="visible" r:id="rId8"/>
    <sheet xmlns:r="http://schemas.openxmlformats.org/officeDocument/2006/relationships" name="6800 Sayres" sheetId="9" state="visible" r:id="rId9"/>
    <sheet xmlns:r="http://schemas.openxmlformats.org/officeDocument/2006/relationships" name="7112 Kayla Ct" sheetId="10" state="visible" r:id="rId10"/>
    <sheet xmlns:r="http://schemas.openxmlformats.org/officeDocument/2006/relationships" name="7141 Kayla C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color rgb="00FFFFFF"/>
      <sz val="9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DCE4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left/>
      <right/>
      <top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4" fontId="3" fillId="5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0" fillId="0" borderId="3" pivotButton="0" quotePrefix="0" xfId="0"/>
    <xf numFmtId="0" fontId="4" fillId="0" borderId="0" applyAlignment="1" pivotButton="0" quotePrefix="0" xfId="0">
      <alignment horizontal="left" vertical="center" indent="1"/>
    </xf>
    <xf numFmtId="164" fontId="4" fillId="0" borderId="0" applyAlignment="1" pivotButton="0" quotePrefix="0" xfId="0">
      <alignment horizontal="right"/>
    </xf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right" vertical="center"/>
    </xf>
    <xf numFmtId="4" fontId="3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2" customHeight="1">
      <c r="A1" s="1" t="inlineStr">
        <is>
          <t>MARRERO 3 LLC — COST SEGREGATION SUMMARY</t>
        </is>
      </c>
    </row>
    <row r="2" ht="15" customHeight="1">
      <c r="A2" s="2" t="inlineStr">
        <is>
          <t>CSSI Study #107752-18  |  FYE 12/31/2024  |  EIN 82-2324040</t>
        </is>
      </c>
    </row>
    <row r="4" ht="15" customHeight="1">
      <c r="A4" s="3" t="inlineStr">
        <is>
          <t>Property</t>
        </is>
      </c>
      <c r="B4" s="4" t="inlineStr">
        <is>
          <t>Total Building Cost</t>
        </is>
      </c>
      <c r="C4" s="4" t="inlineStr">
        <is>
          <t>5-Year</t>
        </is>
      </c>
      <c r="D4" s="4" t="inlineStr">
        <is>
          <t>15-Year</t>
        </is>
      </c>
      <c r="E4" s="4" t="inlineStr">
        <is>
          <t>27.5-Year</t>
        </is>
      </c>
    </row>
    <row r="5" ht="15" customHeight="1">
      <c r="A5" s="5" t="inlineStr">
        <is>
          <t>530 Ames Blvd</t>
        </is>
      </c>
      <c r="B5" s="6" t="n">
        <v>43860.96</v>
      </c>
      <c r="C5" s="6" t="n">
        <v>8042.77</v>
      </c>
      <c r="D5" s="6" t="n">
        <v>732.98</v>
      </c>
      <c r="E5" s="6" t="n">
        <v>35085.21</v>
      </c>
    </row>
    <row r="6" ht="15" customHeight="1">
      <c r="A6" s="5" t="inlineStr">
        <is>
          <t>540 Freedom Ct</t>
        </is>
      </c>
      <c r="B6" s="6" t="n">
        <v>50736.5</v>
      </c>
      <c r="C6" s="6" t="n">
        <v>8750.07</v>
      </c>
      <c r="D6" s="6" t="n">
        <v>1351.32</v>
      </c>
      <c r="E6" s="6" t="n">
        <v>40635.11</v>
      </c>
    </row>
    <row r="7" ht="15" customHeight="1">
      <c r="A7" s="5" t="inlineStr">
        <is>
          <t>1208 Smith Square</t>
        </is>
      </c>
      <c r="B7" s="6" t="n">
        <v>42941.79</v>
      </c>
      <c r="C7" s="6" t="n">
        <v>6234.29</v>
      </c>
      <c r="D7" s="6" t="n">
        <v>1131.93</v>
      </c>
      <c r="E7" s="6" t="n">
        <v>35575.57</v>
      </c>
    </row>
    <row r="8" ht="15" customHeight="1">
      <c r="A8" s="5" t="inlineStr">
        <is>
          <t>1209 Smith Square</t>
        </is>
      </c>
      <c r="B8" s="6" t="n">
        <v>30438.8</v>
      </c>
      <c r="C8" s="6" t="n">
        <v>5663.28</v>
      </c>
      <c r="D8" s="6" t="n">
        <v>888.5699999999999</v>
      </c>
      <c r="E8" s="6" t="n">
        <v>23886.95</v>
      </c>
    </row>
    <row r="9" ht="15" customHeight="1">
      <c r="A9" s="5" t="inlineStr">
        <is>
          <t>3112 Havenwood Dr</t>
        </is>
      </c>
      <c r="B9" s="6" t="n">
        <v>41641.47</v>
      </c>
      <c r="C9" s="6" t="n">
        <v>7159.08</v>
      </c>
      <c r="D9" s="6" t="n">
        <v>1020.89</v>
      </c>
      <c r="E9" s="6" t="n">
        <v>33461.5</v>
      </c>
    </row>
    <row r="10" ht="15" customHeight="1">
      <c r="A10" s="5" t="inlineStr">
        <is>
          <t>3117 Barbwood Dr</t>
        </is>
      </c>
      <c r="B10" s="6" t="n">
        <v>42496.66</v>
      </c>
      <c r="C10" s="6" t="n">
        <v>5721.63</v>
      </c>
      <c r="D10" s="6" t="n">
        <v>707.48</v>
      </c>
      <c r="E10" s="6" t="n">
        <v>36067.55</v>
      </c>
    </row>
    <row r="11" ht="15" customHeight="1">
      <c r="A11" s="5" t="inlineStr">
        <is>
          <t>6805 Sayres</t>
        </is>
      </c>
      <c r="B11" s="6" t="n">
        <v>42227.28</v>
      </c>
      <c r="C11" s="6" t="n">
        <v>6389.57</v>
      </c>
      <c r="D11" s="6" t="n">
        <v>720.9299999999999</v>
      </c>
      <c r="E11" s="6" t="n">
        <v>35116.78</v>
      </c>
    </row>
    <row r="12" ht="15" customHeight="1">
      <c r="A12" s="5" t="inlineStr">
        <is>
          <t>6800 Sayres</t>
        </is>
      </c>
      <c r="B12" s="6" t="n">
        <v>44860.39</v>
      </c>
      <c r="C12" s="6" t="n">
        <v>7222.56</v>
      </c>
      <c r="D12" s="6" t="n">
        <v>1025.24</v>
      </c>
      <c r="E12" s="6" t="n">
        <v>36612.59</v>
      </c>
    </row>
    <row r="13" ht="15" customHeight="1">
      <c r="A13" s="5" t="inlineStr">
        <is>
          <t>7112 Kayla Ct</t>
        </is>
      </c>
      <c r="B13" s="6" t="n">
        <v>44579.92</v>
      </c>
      <c r="C13" s="6" t="n">
        <v>7444.03</v>
      </c>
      <c r="D13" s="6" t="n">
        <v>663.4400000000001</v>
      </c>
      <c r="E13" s="6" t="n">
        <v>36472.45</v>
      </c>
    </row>
    <row r="14" ht="15" customHeight="1">
      <c r="A14" s="5" t="inlineStr">
        <is>
          <t>7141 Kayla Ct</t>
        </is>
      </c>
      <c r="B14" s="6" t="n">
        <v>43120.19</v>
      </c>
      <c r="C14" s="6" t="n">
        <v>7051.36</v>
      </c>
      <c r="D14" s="6" t="n">
        <v>799.2099999999999</v>
      </c>
      <c r="E14" s="6" t="n">
        <v>35269.62</v>
      </c>
    </row>
    <row r="16" ht="15" customHeight="1">
      <c r="A16" s="7" t="inlineStr">
        <is>
          <t>GRAND TOTAL</t>
        </is>
      </c>
      <c r="B16" s="8" t="n">
        <v>426903.96</v>
      </c>
      <c r="C16" s="8" t="n">
        <v>69678.63999999998</v>
      </c>
      <c r="D16" s="8" t="n">
        <v>9041.99</v>
      </c>
      <c r="E16" s="8" t="n">
        <v>348183.33</v>
      </c>
    </row>
    <row r="18" ht="15" customHeight="1">
      <c r="A18" s="9" t="inlineStr">
        <is>
          <t>481(a) ADJUSTMENT SUMMARY</t>
        </is>
      </c>
    </row>
    <row r="19" ht="15" customHeight="1">
      <c r="A19" s="3" t="inlineStr">
        <is>
          <t>Property</t>
        </is>
      </c>
      <c r="B19" s="4" t="inlineStr">
        <is>
          <t>Prev. Depreciation</t>
        </is>
      </c>
      <c r="C19" s="4" t="inlineStr">
        <is>
          <t>Corrected Depreciation</t>
        </is>
      </c>
      <c r="D19" s="4" t="inlineStr">
        <is>
          <t>481(a) Adjustment</t>
        </is>
      </c>
      <c r="E19" s="4" t="inlineStr"/>
    </row>
    <row r="20" ht="15" customHeight="1">
      <c r="A20" s="5" t="inlineStr">
        <is>
          <t>530 Ames Blvd</t>
        </is>
      </c>
      <c r="B20" s="6" t="n">
        <v>790255.88</v>
      </c>
      <c r="C20" s="6" t="n">
        <v>816946.05</v>
      </c>
      <c r="D20" s="6" t="n">
        <v>-26690.17000000004</v>
      </c>
    </row>
    <row r="21" ht="15" customHeight="1">
      <c r="A21" s="5" t="inlineStr">
        <is>
          <t>540 Freedom Ct</t>
        </is>
      </c>
      <c r="B21" s="6" t="n">
        <v>39745.12</v>
      </c>
      <c r="C21" s="6" t="n">
        <v>40940.39</v>
      </c>
      <c r="D21" s="6" t="n">
        <v>-1195.269999999997</v>
      </c>
    </row>
    <row r="22" ht="15" customHeight="1">
      <c r="A22" s="5" t="inlineStr">
        <is>
          <t>1208 Smith Square</t>
        </is>
      </c>
      <c r="B22" s="6" t="n">
        <v>286132.85</v>
      </c>
      <c r="C22" s="6" t="n">
        <v>304040.94</v>
      </c>
      <c r="D22" s="6" t="n">
        <v>-17908.09000000003</v>
      </c>
    </row>
    <row r="23" ht="15" customHeight="1">
      <c r="A23" s="5" t="inlineStr">
        <is>
          <t>1209 Smith Square</t>
        </is>
      </c>
      <c r="B23" s="6" t="n">
        <v>58105.15</v>
      </c>
      <c r="C23" s="6" t="n">
        <v>60120.51</v>
      </c>
      <c r="D23" s="6" t="n">
        <v>-2015.360000000001</v>
      </c>
    </row>
    <row r="24" ht="15" customHeight="1">
      <c r="A24" s="5" t="inlineStr">
        <is>
          <t>3112 Havenwood Dr</t>
        </is>
      </c>
      <c r="B24" s="6" t="n">
        <v>309892.45</v>
      </c>
      <c r="C24" s="6" t="n">
        <v>318215.63</v>
      </c>
      <c r="D24" s="6" t="n">
        <v>-8323.179999999993</v>
      </c>
    </row>
    <row r="25" ht="15" customHeight="1">
      <c r="A25" s="5" t="inlineStr">
        <is>
          <t>3117 Barbwood Dr</t>
        </is>
      </c>
      <c r="B25" s="6" t="n">
        <v>49934.55</v>
      </c>
      <c r="C25" s="6" t="n">
        <v>46937.1</v>
      </c>
      <c r="D25" s="6" t="n">
        <v>2997.450000000004</v>
      </c>
    </row>
    <row r="26" ht="15" customHeight="1">
      <c r="A26" s="5" t="inlineStr">
        <is>
          <t>6805 Sayres</t>
        </is>
      </c>
      <c r="B26" s="6" t="n">
        <v>517926.62</v>
      </c>
      <c r="C26" s="6" t="n">
        <v>514820.02</v>
      </c>
      <c r="D26" s="6" t="n">
        <v>3106.599999999977</v>
      </c>
    </row>
    <row r="27" ht="15" customHeight="1">
      <c r="A27" s="5" t="inlineStr">
        <is>
          <t>6800 Sayres</t>
        </is>
      </c>
      <c r="B27" s="6" t="n">
        <v>102285.38</v>
      </c>
      <c r="C27" s="6" t="n">
        <v>105071.7</v>
      </c>
      <c r="D27" s="6" t="n">
        <v>-2786.319999999992</v>
      </c>
    </row>
    <row r="28" ht="15" customHeight="1">
      <c r="A28" s="5" t="inlineStr">
        <is>
          <t>7112 Kayla Ct</t>
        </is>
      </c>
      <c r="B28" s="6" t="n">
        <v>523830.88</v>
      </c>
      <c r="C28" s="6" t="n">
        <v>523398.82</v>
      </c>
      <c r="D28" s="6" t="n">
        <v>432.0599999999977</v>
      </c>
    </row>
    <row r="29" ht="15" customHeight="1">
      <c r="A29" s="5" t="inlineStr">
        <is>
          <t>7141 Kayla Ct</t>
        </is>
      </c>
      <c r="B29" s="6" t="n">
        <v>118225.12</v>
      </c>
      <c r="C29" s="6" t="n">
        <v>118173</v>
      </c>
      <c r="D29" s="6" t="n">
        <v>52.11999999999534</v>
      </c>
    </row>
    <row r="30" ht="15" customHeight="1">
      <c r="A30" s="7" t="inlineStr">
        <is>
          <t>TOTAL</t>
        </is>
      </c>
      <c r="B30" s="8" t="n">
        <v>2796334</v>
      </c>
      <c r="C30" s="8" t="n">
        <v>2848664.16</v>
      </c>
      <c r="D30" s="8" t="n">
        <v>52330.16000000015</v>
      </c>
    </row>
  </sheetData>
  <mergeCells count="3">
    <mergeCell ref="A2:E2"/>
    <mergeCell ref="A1:E1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530 Ames Blvd, Marrero, LA 70072</t>
        </is>
      </c>
    </row>
    <row r="3" ht="15" customHeight="1">
      <c r="A3" s="11" t="inlineStr">
        <is>
          <t>Marrero 3 LP  |  EIN 82-2324040  |  FYE 12/31/2024  |  Partial Assets #17, #18, &amp; #19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1051.54</v>
      </c>
      <c r="C8" s="6" t="n">
        <v>1051.54</v>
      </c>
    </row>
    <row r="9" ht="15" customHeight="1">
      <c r="A9" s="15" t="inlineStr">
        <is>
          <t>Moldings</t>
        </is>
      </c>
      <c r="B9" s="6" t="n">
        <v>998.91</v>
      </c>
      <c r="C9" s="6" t="n">
        <v>998.91</v>
      </c>
    </row>
    <row r="10" ht="15" customHeight="1">
      <c r="A10" s="15" t="inlineStr">
        <is>
          <t>Flooring - Wood Laminate</t>
        </is>
      </c>
      <c r="B10" s="6" t="n">
        <v>2190.16</v>
      </c>
      <c r="C10" s="6" t="n">
        <v>2190.16</v>
      </c>
    </row>
    <row r="11" ht="15" customHeight="1">
      <c r="A11" s="15" t="inlineStr">
        <is>
          <t>Security System</t>
        </is>
      </c>
      <c r="B11" s="6" t="n">
        <v>503.17</v>
      </c>
      <c r="C11" s="6" t="n">
        <v>503.17</v>
      </c>
    </row>
    <row r="12" ht="15" customHeight="1">
      <c r="A12" s="15" t="inlineStr">
        <is>
          <t>Window Treatments</t>
        </is>
      </c>
      <c r="B12" s="6" t="n">
        <v>382.43</v>
      </c>
      <c r="C12" s="6" t="n">
        <v>382.43</v>
      </c>
    </row>
    <row r="13" ht="15" customHeight="1">
      <c r="A13" s="15" t="inlineStr">
        <is>
          <t>Specialty HVAC - Dryer Vents</t>
        </is>
      </c>
      <c r="B13" s="6" t="n">
        <v>42.81</v>
      </c>
      <c r="C13" s="6" t="n">
        <v>42.81</v>
      </c>
    </row>
    <row r="14" ht="15" customHeight="1">
      <c r="A14" s="15" t="inlineStr">
        <is>
          <t>Building Signage</t>
        </is>
      </c>
      <c r="B14" s="6" t="n">
        <v>21.12</v>
      </c>
      <c r="C14" s="6" t="n">
        <v>21.12</v>
      </c>
    </row>
    <row r="15" ht="15" customHeight="1">
      <c r="A15" s="15" t="inlineStr">
        <is>
          <t>Specialty Electrical - Appliances</t>
        </is>
      </c>
      <c r="B15" s="6" t="n">
        <v>731.0700000000001</v>
      </c>
      <c r="C15" s="6" t="n">
        <v>731.0700000000001</v>
      </c>
    </row>
    <row r="16" ht="15" customHeight="1">
      <c r="A16" s="15" t="inlineStr">
        <is>
          <t>Communication / Data</t>
        </is>
      </c>
      <c r="B16" s="6" t="n">
        <v>286.8</v>
      </c>
      <c r="C16" s="6" t="n">
        <v>286.8</v>
      </c>
    </row>
    <row r="17" ht="15" customHeight="1">
      <c r="A17" s="15" t="inlineStr">
        <is>
          <t>Specialty Plumbing - Kitchen Sink / Laundry</t>
        </is>
      </c>
      <c r="B17" s="6" t="n">
        <v>800.46</v>
      </c>
      <c r="C17" s="6" t="n">
        <v>800.46</v>
      </c>
    </row>
    <row r="18" ht="15" customHeight="1">
      <c r="A18" s="15" t="inlineStr">
        <is>
          <t>Security / Exterior Lighting</t>
        </is>
      </c>
      <c r="B18" s="6" t="n">
        <v>232.42</v>
      </c>
      <c r="C18" s="6" t="n">
        <v>232.42</v>
      </c>
    </row>
    <row r="19" ht="15" customHeight="1">
      <c r="A19" s="15" t="inlineStr">
        <is>
          <t>Appliances</t>
        </is>
      </c>
      <c r="B19" s="6" t="n">
        <v>801.88</v>
      </c>
      <c r="C19" s="6" t="n">
        <v>801.88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463.54</v>
      </c>
      <c r="D21" s="6" t="n">
        <v>463.54</v>
      </c>
    </row>
    <row r="22" ht="15" customHeight="1">
      <c r="A22" s="15" t="inlineStr">
        <is>
          <t>Sidewalks / Curbs</t>
        </is>
      </c>
      <c r="B22" s="6" t="n">
        <v>189.36</v>
      </c>
      <c r="D22" s="6" t="n">
        <v>189.36</v>
      </c>
    </row>
    <row r="23" ht="15" customHeight="1">
      <c r="A23" s="15" t="inlineStr">
        <is>
          <t>Exterior Equipment Concrete Pads</t>
        </is>
      </c>
      <c r="B23" s="6" t="n">
        <v>49.43</v>
      </c>
      <c r="D23" s="6" t="n">
        <v>49.43</v>
      </c>
    </row>
    <row r="24" ht="15" customHeight="1">
      <c r="A24" s="15" t="inlineStr">
        <is>
          <t>Mailboxes</t>
        </is>
      </c>
      <c r="B24" s="6" t="n">
        <v>30.65</v>
      </c>
      <c r="D24" s="6" t="n">
        <v>30.65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2790.25</v>
      </c>
      <c r="E26" s="6" t="n">
        <v>2790.25</v>
      </c>
    </row>
    <row r="27" ht="15" customHeight="1">
      <c r="A27" s="15" t="inlineStr">
        <is>
          <t>Foundations</t>
        </is>
      </c>
      <c r="B27" s="6" t="n">
        <v>4444.19</v>
      </c>
      <c r="E27" s="6" t="n">
        <v>4444.19</v>
      </c>
    </row>
    <row r="28" ht="15" customHeight="1">
      <c r="A28" s="15" t="inlineStr">
        <is>
          <t>HVAC</t>
        </is>
      </c>
      <c r="B28" s="6" t="n">
        <v>2944.42</v>
      </c>
      <c r="E28" s="6" t="n">
        <v>2944.42</v>
      </c>
    </row>
    <row r="29" ht="15" customHeight="1">
      <c r="A29" s="15" t="inlineStr">
        <is>
          <t>Electrical</t>
        </is>
      </c>
      <c r="B29" s="6" t="n">
        <v>2757.96</v>
      </c>
      <c r="E29" s="6" t="n">
        <v>2757.96</v>
      </c>
    </row>
    <row r="30" ht="15" customHeight="1">
      <c r="A30" s="15" t="inlineStr">
        <is>
          <t>Plumbing</t>
        </is>
      </c>
      <c r="B30" s="6" t="n">
        <v>2596.79</v>
      </c>
      <c r="E30" s="6" t="n">
        <v>2596.79</v>
      </c>
    </row>
    <row r="31" ht="15" customHeight="1">
      <c r="A31" s="15" t="inlineStr">
        <is>
          <t>Fire Protection &amp; Alarm</t>
        </is>
      </c>
      <c r="B31" s="6" t="n">
        <v>170.86</v>
      </c>
      <c r="E31" s="6" t="n">
        <v>170.86</v>
      </c>
    </row>
    <row r="32" ht="15" customHeight="1">
      <c r="A32" s="15" t="inlineStr">
        <is>
          <t>Exterior Façade / Building Skin</t>
        </is>
      </c>
      <c r="B32" s="6" t="n">
        <v>1575.35</v>
      </c>
      <c r="E32" s="6" t="n">
        <v>1575.35</v>
      </c>
    </row>
    <row r="33" ht="15" customHeight="1">
      <c r="A33" s="15" t="inlineStr">
        <is>
          <t>Doors &amp; Frames</t>
        </is>
      </c>
      <c r="B33" s="6" t="n">
        <v>2049.79</v>
      </c>
      <c r="E33" s="6" t="n">
        <v>2049.79</v>
      </c>
    </row>
    <row r="34" ht="15" customHeight="1">
      <c r="A34" s="15" t="inlineStr">
        <is>
          <t>Windows</t>
        </is>
      </c>
      <c r="B34" s="6" t="n">
        <v>1685.6</v>
      </c>
      <c r="E34" s="6" t="n">
        <v>1685.6</v>
      </c>
    </row>
    <row r="35" ht="15" customHeight="1">
      <c r="A35" s="15" t="inlineStr">
        <is>
          <t>Ceiling Systems</t>
        </is>
      </c>
      <c r="B35" s="6" t="n">
        <v>1546.81</v>
      </c>
      <c r="E35" s="6" t="n">
        <v>1546.81</v>
      </c>
    </row>
    <row r="36" ht="15" customHeight="1">
      <c r="A36" s="15" t="inlineStr">
        <is>
          <t>Interior Framing / Partitions</t>
        </is>
      </c>
      <c r="B36" s="6" t="n">
        <v>4298.39</v>
      </c>
      <c r="E36" s="6" t="n">
        <v>4298.39</v>
      </c>
    </row>
    <row r="37" ht="15" customHeight="1">
      <c r="A37" s="15" t="inlineStr">
        <is>
          <t>Painting</t>
        </is>
      </c>
      <c r="B37" s="6" t="n">
        <v>1463.49</v>
      </c>
      <c r="E37" s="6" t="n">
        <v>1463.49</v>
      </c>
    </row>
    <row r="38" ht="15" customHeight="1">
      <c r="A38" s="15" t="inlineStr">
        <is>
          <t>Structural Framing</t>
        </is>
      </c>
      <c r="B38" s="6" t="n">
        <v>5008.87</v>
      </c>
      <c r="E38" s="6" t="n">
        <v>5008.87</v>
      </c>
    </row>
    <row r="39" ht="15" customHeight="1">
      <c r="A39" s="15" t="inlineStr">
        <is>
          <t>Site Utilities</t>
        </is>
      </c>
      <c r="B39" s="6" t="n">
        <v>673.26</v>
      </c>
      <c r="E39" s="6" t="n">
        <v>673.26</v>
      </c>
    </row>
    <row r="40" ht="15" customHeight="1">
      <c r="A40" s="15" t="inlineStr">
        <is>
          <t>Bathroom Accessories</t>
        </is>
      </c>
      <c r="B40" s="6" t="n">
        <v>648.78</v>
      </c>
      <c r="E40" s="6" t="n">
        <v>648.78</v>
      </c>
    </row>
    <row r="41" ht="15" customHeight="1">
      <c r="A41" s="15" t="inlineStr">
        <is>
          <t>Cabinets / Millwork - Restrooms</t>
        </is>
      </c>
      <c r="B41" s="6" t="n">
        <v>430.4</v>
      </c>
      <c r="E41" s="6" t="n">
        <v>430.4</v>
      </c>
    </row>
    <row r="42" ht="15" customHeight="1">
      <c r="A42" s="7" t="inlineStr">
        <is>
          <t>Total Building Cost</t>
        </is>
      </c>
      <c r="B42" s="8">
        <f>SUM(B8,B9,B10,B11,B12,B13,B14,B15,B16,B17,B18,B19,B21,B22,B23,B24,B26,B27,B28,B29,B30,B31,B32,B33,B34,B35,B36,B37,B38,B39,B40,B41)</f>
        <v/>
      </c>
      <c r="C42" s="8">
        <f>SUM(C8,C9,C10,C11,C12,C13,C14,C15,C16,C17,C18,C19,C21,C22,C23,C24,C26,C27,C28,C29,C30,C31,C32,C33,C34,C35,C36,C37,C38,C39,C40,C41)</f>
        <v/>
      </c>
      <c r="D42" s="8">
        <f>SUM(D8,D9,D10,D11,D12,D13,D14,D15,D16,D17,D18,D19,D21,D22,D23,D24,D26,D27,D28,D29,D30,D31,D32,D33,D34,D35,D36,D37,D38,D39,D40,D41)</f>
        <v/>
      </c>
      <c r="E42" s="8">
        <f>SUM(E8,E9,E10,E11,E12,E13,E14,E15,E16,E17,E18,E19,E21,E22,E23,E24,E26,E27,E28,E29,E30,E31,E32,E33,E34,E35,E36,E37,E38,E39,E40,E41)</f>
        <v/>
      </c>
    </row>
    <row r="43" ht="15" customHeight="1">
      <c r="A43" s="15" t="inlineStr">
        <is>
          <t>% of Building Cost</t>
        </is>
      </c>
      <c r="C43" s="16">
        <f>C42/B42</f>
        <v/>
      </c>
      <c r="D43" s="16">
        <f>D42/B42</f>
        <v/>
      </c>
      <c r="E43" s="16">
        <f>E42/B42</f>
        <v/>
      </c>
    </row>
    <row r="45" ht="15" customHeight="1">
      <c r="A45" s="12" t="inlineStr">
        <is>
          <t>ASSET ALLOCATION (Per Unit)</t>
        </is>
      </c>
    </row>
    <row r="46" ht="15" customHeight="1">
      <c r="A46" s="3" t="inlineStr">
        <is>
          <t>Asset</t>
        </is>
      </c>
      <c r="B46" s="4" t="inlineStr">
        <is>
          <t>Total</t>
        </is>
      </c>
      <c r="C46" s="4" t="inlineStr">
        <is>
          <t>5 Year</t>
        </is>
      </c>
      <c r="D46" s="4" t="inlineStr">
        <is>
          <t>15 Year</t>
        </is>
      </c>
      <c r="E46" s="4" t="inlineStr">
        <is>
          <t>27.5 Year</t>
        </is>
      </c>
    </row>
    <row r="47" ht="15" customHeight="1">
      <c r="A47" s="15" t="inlineStr">
        <is>
          <t>Asset # 18-Building - Ames</t>
        </is>
      </c>
      <c r="B47" s="6" t="n">
        <v>34211.54</v>
      </c>
      <c r="C47" s="6" t="n">
        <v>6273.36</v>
      </c>
      <c r="D47" s="6" t="n">
        <v>571.72</v>
      </c>
      <c r="E47" s="6" t="n">
        <v>27366.46</v>
      </c>
    </row>
    <row r="48" ht="15" customHeight="1">
      <c r="A48" s="15" t="inlineStr">
        <is>
          <t>Asset # 17-Land Improvements - Ames</t>
        </is>
      </c>
      <c r="B48" s="6" t="n">
        <v>2631.67</v>
      </c>
      <c r="C48" s="6" t="n">
        <v>482.57</v>
      </c>
      <c r="D48" s="6" t="n">
        <v>43.98</v>
      </c>
      <c r="E48" s="6" t="n">
        <v>2105.12</v>
      </c>
    </row>
    <row r="49" ht="15" customHeight="1">
      <c r="A49" s="15" t="inlineStr">
        <is>
          <t>Asset # 19-Equipment - Ames</t>
        </is>
      </c>
      <c r="B49" s="6" t="n">
        <v>7017.75</v>
      </c>
      <c r="C49" s="6" t="n">
        <v>1286.84</v>
      </c>
      <c r="D49" s="6" t="n">
        <v>117.28</v>
      </c>
      <c r="E49" s="6" t="n">
        <v>5613.63</v>
      </c>
    </row>
    <row r="50" ht="15" customHeight="1">
      <c r="A50" s="7" t="inlineStr">
        <is>
          <t>Total Allocation:</t>
        </is>
      </c>
      <c r="B50" s="8">
        <f>SUM(B47,B48,B49)</f>
        <v/>
      </c>
      <c r="C50" s="8">
        <f>SUM(C47,C48,C49)</f>
        <v/>
      </c>
      <c r="D50" s="8">
        <f>SUM(D47,D48,D49)</f>
        <v/>
      </c>
      <c r="E50" s="8">
        <f>SUM(E47,E48,E49)</f>
        <v/>
      </c>
    </row>
    <row r="52" ht="15" customHeight="1">
      <c r="A52" s="12" t="inlineStr">
        <is>
          <t>46 Identical Units - Totals:</t>
        </is>
      </c>
    </row>
    <row r="53" ht="15" customHeight="1">
      <c r="A53" s="3" t="inlineStr">
        <is>
          <t>Asset</t>
        </is>
      </c>
      <c r="B53" s="4" t="inlineStr">
        <is>
          <t>Total</t>
        </is>
      </c>
      <c r="C53" s="4" t="inlineStr">
        <is>
          <t>5 Year</t>
        </is>
      </c>
      <c r="D53" s="4" t="inlineStr">
        <is>
          <t>15 Year</t>
        </is>
      </c>
      <c r="E53" s="4" t="inlineStr">
        <is>
          <t>27.5 Year</t>
        </is>
      </c>
    </row>
    <row r="54" ht="15" customHeight="1">
      <c r="A54" s="15" t="inlineStr">
        <is>
          <t>Asset # 17-Land Improvements - Ames</t>
        </is>
      </c>
      <c r="B54" s="6" t="n">
        <v>121057</v>
      </c>
      <c r="C54" s="6" t="n">
        <v>22198</v>
      </c>
      <c r="D54" s="6" t="n">
        <v>2023</v>
      </c>
      <c r="E54" s="6" t="n">
        <v>96836</v>
      </c>
    </row>
    <row r="55" ht="15" customHeight="1">
      <c r="A55" s="15" t="inlineStr">
        <is>
          <t>Asset # 18-Building - Ames</t>
        </is>
      </c>
      <c r="B55" s="6" t="n">
        <v>1573731</v>
      </c>
      <c r="C55" s="6" t="n">
        <v>288575</v>
      </c>
      <c r="D55" s="6" t="n">
        <v>26299</v>
      </c>
      <c r="E55" s="6" t="n">
        <v>1258857</v>
      </c>
    </row>
    <row r="56" ht="15" customHeight="1">
      <c r="A56" s="15" t="inlineStr">
        <is>
          <t>Asset # 19-Equipment - Ames</t>
        </is>
      </c>
      <c r="B56" s="6" t="n">
        <v>322817</v>
      </c>
      <c r="C56" s="6" t="n">
        <v>59195</v>
      </c>
      <c r="D56" s="6" t="n">
        <v>5395</v>
      </c>
      <c r="E56" s="6" t="n">
        <v>258227</v>
      </c>
    </row>
    <row r="57" ht="15" customHeight="1">
      <c r="A57" s="7" t="inlineStr">
        <is>
          <t>Total Allocation:</t>
        </is>
      </c>
      <c r="B57" s="8">
        <f>SUM(B54,B55,B56)</f>
        <v/>
      </c>
      <c r="C57" s="8">
        <f>SUM(C54,C55,C56)</f>
        <v/>
      </c>
      <c r="D57" s="8">
        <f>SUM(D54,D55,D56)</f>
        <v/>
      </c>
      <c r="E57" s="8">
        <f>SUM(E54,E55,E56)</f>
        <v/>
      </c>
    </row>
    <row r="59" ht="15" customHeight="1">
      <c r="A59" s="12" t="inlineStr">
        <is>
          <t>AS PREVIOUSLY FILED — 481(a) Calculation (Regular Tax)</t>
        </is>
      </c>
    </row>
    <row r="60" ht="15" customHeight="1">
      <c r="A60" s="17" t="inlineStr">
        <is>
          <t>Asset Description</t>
        </is>
      </c>
      <c r="B60" s="18" t="inlineStr">
        <is>
          <t>Tax Cost</t>
        </is>
      </c>
      <c r="C60" s="18" t="inlineStr">
        <is>
          <t>Sec 179 Exp</t>
        </is>
      </c>
      <c r="D60" s="18" t="inlineStr">
        <is>
          <t>Bonus Amt</t>
        </is>
      </c>
      <c r="E60" s="18" t="inlineStr">
        <is>
          <t>Prior Depreciation</t>
        </is>
      </c>
      <c r="F60" s="18" t="inlineStr">
        <is>
          <t>Current Depreciation</t>
        </is>
      </c>
      <c r="G60" s="18" t="inlineStr">
        <is>
          <t>End Depreciation</t>
        </is>
      </c>
      <c r="H60" s="18" t="inlineStr">
        <is>
          <t>Net Book Value</t>
        </is>
      </c>
      <c r="I60" s="18" t="inlineStr">
        <is>
          <t>Method</t>
        </is>
      </c>
      <c r="J60" s="18" t="inlineStr">
        <is>
          <t>Period</t>
        </is>
      </c>
    </row>
    <row r="61" ht="15" customHeight="1">
      <c r="A61" s="19" t="inlineStr">
        <is>
          <t>17 - Land Improvements - Ames</t>
        </is>
      </c>
      <c r="B61" s="6" t="n">
        <v>121057</v>
      </c>
      <c r="C61" s="6" t="n">
        <v>0</v>
      </c>
      <c r="D61" s="6" t="n">
        <v>0</v>
      </c>
      <c r="E61" s="6" t="n">
        <v>57319.39</v>
      </c>
      <c r="F61" s="6" t="n">
        <v>7148.5</v>
      </c>
      <c r="G61" s="6" t="n">
        <v>64467.89</v>
      </c>
      <c r="H61" s="6" t="n">
        <v>56589.11</v>
      </c>
      <c r="I61" s="20" t="inlineStr">
        <is>
          <t>150DB</t>
        </is>
      </c>
      <c r="J61" s="20" t="n">
        <v>15</v>
      </c>
    </row>
    <row r="62" ht="15" customHeight="1">
      <c r="A62" s="19" t="inlineStr">
        <is>
          <t>18 - Buidling - Ames</t>
        </is>
      </c>
      <c r="B62" s="6" t="n">
        <v>1573731</v>
      </c>
      <c r="C62" s="6" t="n">
        <v>0</v>
      </c>
      <c r="D62" s="6" t="n">
        <v>0</v>
      </c>
      <c r="E62" s="6" t="n">
        <v>345745.14</v>
      </c>
      <c r="F62" s="6" t="n">
        <v>57226.85</v>
      </c>
      <c r="G62" s="6" t="n">
        <v>402971.99</v>
      </c>
      <c r="H62" s="6" t="n">
        <v>1170759.01</v>
      </c>
      <c r="I62" s="20" t="inlineStr">
        <is>
          <t>S/L</t>
        </is>
      </c>
      <c r="J62" s="20" t="n">
        <v>27.5</v>
      </c>
    </row>
    <row r="63" ht="15" customHeight="1">
      <c r="A63" s="19" t="inlineStr">
        <is>
          <t>19 - Equpiment - Ames</t>
        </is>
      </c>
      <c r="B63" s="6" t="n">
        <v>322816</v>
      </c>
      <c r="C63" s="6" t="n">
        <v>0</v>
      </c>
      <c r="D63" s="6" t="n">
        <v>0</v>
      </c>
      <c r="E63" s="6" t="n">
        <v>322816</v>
      </c>
      <c r="F63" s="6" t="n">
        <v>0</v>
      </c>
      <c r="G63" s="6" t="n">
        <v>322816</v>
      </c>
      <c r="H63" s="6" t="n">
        <v>0</v>
      </c>
      <c r="I63" s="20" t="inlineStr">
        <is>
          <t>S/L</t>
        </is>
      </c>
      <c r="J63" s="20" t="n">
        <v>5</v>
      </c>
    </row>
    <row r="64" ht="15" customHeight="1">
      <c r="A64" s="21" t="inlineStr">
        <is>
          <t>Grand Total</t>
        </is>
      </c>
      <c r="B64" s="8">
        <f>SUM(B61,B62,B63)</f>
        <v/>
      </c>
      <c r="C64" s="8">
        <f>SUM(C61,C62,C63)</f>
        <v/>
      </c>
      <c r="D64" s="8">
        <f>SUM(D61,D62,D63)</f>
        <v/>
      </c>
      <c r="E64" s="8">
        <f>SUM(E61,E62,E63)</f>
        <v/>
      </c>
      <c r="F64" s="8">
        <f>SUM(F61,F62,F63)</f>
        <v/>
      </c>
      <c r="G64" s="8">
        <f>SUM(G61,G62,G63)</f>
        <v/>
      </c>
      <c r="H64" s="8">
        <f>SUM(H61,H62,H63)</f>
        <v/>
      </c>
    </row>
    <row r="66" ht="15" customHeight="1">
      <c r="A66" s="12" t="inlineStr">
        <is>
          <t>AFTER COST SEGREGATION CORRECTION — 481(a) Calculation (Regular Tax)</t>
        </is>
      </c>
    </row>
    <row r="67" ht="15" customHeight="1">
      <c r="A67" s="17" t="inlineStr">
        <is>
          <t>Asset Description</t>
        </is>
      </c>
      <c r="B67" s="18" t="inlineStr">
        <is>
          <t>Tax Cost</t>
        </is>
      </c>
      <c r="C67" s="18" t="inlineStr">
        <is>
          <t>Sec 179 Exp</t>
        </is>
      </c>
      <c r="D67" s="18" t="inlineStr">
        <is>
          <t>Bonus Amt</t>
        </is>
      </c>
      <c r="E67" s="18" t="inlineStr">
        <is>
          <t>Prior Depreciation</t>
        </is>
      </c>
      <c r="F67" s="18" t="inlineStr">
        <is>
          <t>Current Depreciation</t>
        </is>
      </c>
      <c r="G67" s="18" t="inlineStr">
        <is>
          <t>End Depreciation</t>
        </is>
      </c>
      <c r="H67" s="18" t="inlineStr">
        <is>
          <t>Net Book Value</t>
        </is>
      </c>
      <c r="I67" s="18" t="inlineStr">
        <is>
          <t>Method</t>
        </is>
      </c>
      <c r="J67" s="18" t="inlineStr">
        <is>
          <t>Period</t>
        </is>
      </c>
    </row>
    <row r="68" ht="15" customHeight="1">
      <c r="A68" s="19" t="inlineStr">
        <is>
          <t>17 - Land Improvements - Ames - 5yr</t>
        </is>
      </c>
      <c r="B68" s="6" t="n">
        <v>22198</v>
      </c>
      <c r="C68" s="6" t="n">
        <v>0</v>
      </c>
      <c r="D68" s="6" t="n">
        <v>0</v>
      </c>
      <c r="E68" s="6" t="n">
        <v>22198</v>
      </c>
      <c r="F68" s="6" t="n">
        <v>0</v>
      </c>
      <c r="G68" s="6" t="n">
        <v>22198</v>
      </c>
      <c r="H68" s="6" t="n">
        <v>0</v>
      </c>
      <c r="I68" s="20" t="inlineStr">
        <is>
          <t>200DB</t>
        </is>
      </c>
      <c r="J68" s="20" t="n">
        <v>5</v>
      </c>
    </row>
    <row r="69" ht="15" customHeight="1">
      <c r="A69" s="19" t="inlineStr">
        <is>
          <t>17 - Land Improvements - Ames - 15yr</t>
        </is>
      </c>
      <c r="B69" s="6" t="n">
        <v>2023</v>
      </c>
      <c r="C69" s="6" t="n">
        <v>0</v>
      </c>
      <c r="D69" s="6" t="n">
        <v>0</v>
      </c>
      <c r="E69" s="6" t="n">
        <v>2023</v>
      </c>
      <c r="F69" s="6" t="n">
        <v>0</v>
      </c>
      <c r="G69" s="6" t="n">
        <v>2023</v>
      </c>
      <c r="H69" s="6" t="n">
        <v>0</v>
      </c>
      <c r="I69" s="20" t="inlineStr">
        <is>
          <t>150DB</t>
        </is>
      </c>
      <c r="J69" s="20" t="n">
        <v>15</v>
      </c>
    </row>
    <row r="70" ht="15" customHeight="1">
      <c r="A70" s="19" t="inlineStr">
        <is>
          <t>17 - Land Improvements - Ames - 27.5yr</t>
        </is>
      </c>
      <c r="B70" s="6" t="n">
        <v>96835</v>
      </c>
      <c r="C70" s="6" t="n">
        <v>0</v>
      </c>
      <c r="D70" s="6" t="n">
        <v>0</v>
      </c>
      <c r="E70" s="6" t="n">
        <v>0</v>
      </c>
      <c r="F70" s="6" t="n">
        <v>3521.27</v>
      </c>
      <c r="G70" s="6" t="n">
        <v>24795.61</v>
      </c>
      <c r="H70" s="6" t="n">
        <v>72039.39</v>
      </c>
      <c r="I70" s="20" t="inlineStr">
        <is>
          <t>S/L</t>
        </is>
      </c>
      <c r="J70" s="20" t="n">
        <v>27.5</v>
      </c>
    </row>
    <row r="71" ht="15" customHeight="1">
      <c r="A71" s="19" t="inlineStr">
        <is>
          <t>18 - Buidling - Ames - 5yr</t>
        </is>
      </c>
      <c r="B71" s="6" t="n">
        <v>288575</v>
      </c>
      <c r="C71" s="6" t="n">
        <v>0</v>
      </c>
      <c r="D71" s="6" t="n">
        <v>0</v>
      </c>
      <c r="E71" s="6" t="n">
        <v>288575</v>
      </c>
      <c r="F71" s="6" t="n">
        <v>0</v>
      </c>
      <c r="G71" s="6" t="n">
        <v>288575</v>
      </c>
      <c r="H71" s="6" t="n">
        <v>0</v>
      </c>
      <c r="I71" s="20" t="inlineStr">
        <is>
          <t>200DB</t>
        </is>
      </c>
      <c r="J71" s="20" t="n">
        <v>5</v>
      </c>
    </row>
    <row r="72" ht="15" customHeight="1">
      <c r="A72" s="19" t="inlineStr">
        <is>
          <t>18 - Buidling - Ames - 15yr</t>
        </is>
      </c>
      <c r="B72" s="6" t="n">
        <v>26299</v>
      </c>
      <c r="C72" s="6" t="n">
        <v>0</v>
      </c>
      <c r="D72" s="6" t="n">
        <v>0</v>
      </c>
      <c r="E72" s="6" t="n">
        <v>26299</v>
      </c>
      <c r="F72" s="6" t="n">
        <v>0</v>
      </c>
      <c r="G72" s="6" t="n">
        <v>26299</v>
      </c>
      <c r="H72" s="6" t="n">
        <v>0</v>
      </c>
      <c r="I72" s="20" t="inlineStr">
        <is>
          <t>150DB</t>
        </is>
      </c>
      <c r="J72" s="20" t="n">
        <v>15</v>
      </c>
    </row>
    <row r="73" ht="15" customHeight="1">
      <c r="A73" s="19" t="inlineStr">
        <is>
          <t>18 - Buidling - Ames - 27.5yr</t>
        </is>
      </c>
      <c r="B73" s="6" t="n">
        <v>1258857</v>
      </c>
      <c r="C73" s="6" t="n">
        <v>0</v>
      </c>
      <c r="D73" s="6" t="n">
        <v>0</v>
      </c>
      <c r="E73" s="6" t="n">
        <v>0</v>
      </c>
      <c r="F73" s="6" t="n">
        <v>45776.62</v>
      </c>
      <c r="G73" s="6" t="n">
        <v>322343.7</v>
      </c>
      <c r="H73" s="6" t="n">
        <v>936513.3</v>
      </c>
      <c r="I73" s="20" t="inlineStr">
        <is>
          <t>S/L</t>
        </is>
      </c>
      <c r="J73" s="20" t="n">
        <v>27.5</v>
      </c>
    </row>
    <row r="74" ht="15" customHeight="1">
      <c r="A74" s="19" t="inlineStr">
        <is>
          <t>19 - Equpiment - Ames - 5yr</t>
        </is>
      </c>
      <c r="B74" s="6" t="n">
        <v>59195</v>
      </c>
      <c r="C74" s="6" t="n">
        <v>0</v>
      </c>
      <c r="D74" s="6" t="n">
        <v>0</v>
      </c>
      <c r="E74" s="6" t="n">
        <v>59195</v>
      </c>
      <c r="F74" s="6" t="n">
        <v>0</v>
      </c>
      <c r="G74" s="6" t="n">
        <v>59195</v>
      </c>
      <c r="H74" s="6" t="n">
        <v>0</v>
      </c>
      <c r="I74" s="20" t="inlineStr">
        <is>
          <t>200DB</t>
        </is>
      </c>
      <c r="J74" s="20" t="n">
        <v>5</v>
      </c>
    </row>
    <row r="75" ht="15" customHeight="1">
      <c r="A75" s="19" t="inlineStr">
        <is>
          <t>19 - Equpiment - Ames - 15yr</t>
        </is>
      </c>
      <c r="B75" s="6" t="n">
        <v>5395</v>
      </c>
      <c r="C75" s="6" t="n">
        <v>0</v>
      </c>
      <c r="D75" s="6" t="n">
        <v>0</v>
      </c>
      <c r="E75" s="6" t="n">
        <v>5395</v>
      </c>
      <c r="F75" s="6" t="n">
        <v>0</v>
      </c>
      <c r="G75" s="6" t="n">
        <v>5395</v>
      </c>
      <c r="H75" s="6" t="n">
        <v>0</v>
      </c>
      <c r="I75" s="20" t="inlineStr">
        <is>
          <t>150DB</t>
        </is>
      </c>
      <c r="J75" s="20" t="n">
        <v>15</v>
      </c>
    </row>
    <row r="76" ht="15" customHeight="1">
      <c r="A76" s="19" t="inlineStr">
        <is>
          <t>19 - Equpiment - Ames - 27.5yr</t>
        </is>
      </c>
      <c r="B76" s="6" t="n">
        <v>258227</v>
      </c>
      <c r="C76" s="6" t="n">
        <v>0</v>
      </c>
      <c r="D76" s="6" t="n">
        <v>0</v>
      </c>
      <c r="E76" s="6" t="n">
        <v>0</v>
      </c>
      <c r="F76" s="6" t="n">
        <v>9390.07</v>
      </c>
      <c r="G76" s="6" t="n">
        <v>66121.74000000001</v>
      </c>
      <c r="H76" s="6" t="n">
        <v>192105.26</v>
      </c>
      <c r="I76" s="20" t="inlineStr">
        <is>
          <t>S/L</t>
        </is>
      </c>
      <c r="J76" s="20" t="n">
        <v>27.5</v>
      </c>
    </row>
    <row r="77" ht="15" customHeight="1">
      <c r="A77" s="21" t="inlineStr">
        <is>
          <t>Grand Total</t>
        </is>
      </c>
      <c r="B77" s="8">
        <f>SUM(B68,B69,B70,B71,B72,B73,B74,B75,B76)</f>
        <v/>
      </c>
      <c r="C77" s="8">
        <f>SUM(C68,C69,C70,C71,C72,C73,C74,C75,C76)</f>
        <v/>
      </c>
      <c r="D77" s="8">
        <f>SUM(D68,D69,D70,D71,D72,D73,D74,D75,D76)</f>
        <v/>
      </c>
      <c r="E77" s="8">
        <f>SUM(E68,E69,E70,E71,E72,E73,E74,E75,E76)</f>
        <v/>
      </c>
      <c r="F77" s="8">
        <f>SUM(F68,F69,F70,F71,F72,F73,F74,F75,F76)</f>
        <v/>
      </c>
      <c r="G77" s="8">
        <f>SUM(G68,G69,G70,G71,G72,G73,G74,G75,G76)</f>
        <v/>
      </c>
      <c r="H77" s="8">
        <f>SUM(H68,H69,H70,H71,H72,H73,H74,H75,H76)</f>
        <v/>
      </c>
    </row>
    <row r="79" ht="15" customHeight="1">
      <c r="A79" s="22" t="inlineStr">
        <is>
          <t>SECTION 481(a) ADJUSTMENT</t>
        </is>
      </c>
    </row>
    <row r="80" ht="15" customHeight="1">
      <c r="A80" s="23" t="inlineStr">
        <is>
          <t>Depreciation reported previously</t>
        </is>
      </c>
      <c r="B80" s="24" t="n">
        <v>790255.88</v>
      </c>
    </row>
    <row r="81" ht="15" customHeight="1">
      <c r="A81" s="23" t="inlineStr">
        <is>
          <t>Cost Segregation Corrected Depreciation</t>
        </is>
      </c>
      <c r="B81" s="24" t="n">
        <v>816946.05</v>
      </c>
    </row>
    <row r="82" ht="15" customHeight="1">
      <c r="A82" s="22" t="inlineStr">
        <is>
          <t>Section 481(a) Adjustment</t>
        </is>
      </c>
      <c r="B82" s="25" t="n">
        <v>-26690.17000000004</v>
      </c>
    </row>
  </sheetData>
  <mergeCells count="12">
    <mergeCell ref="A20:E20"/>
    <mergeCell ref="A2:E2"/>
    <mergeCell ref="A52:E52"/>
    <mergeCell ref="A7:E7"/>
    <mergeCell ref="A25:E25"/>
    <mergeCell ref="A66:J66"/>
    <mergeCell ref="A1:E1"/>
    <mergeCell ref="A5:E5"/>
    <mergeCell ref="A45:E45"/>
    <mergeCell ref="A59:J59"/>
    <mergeCell ref="A79:E79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540 Freedom Ct, Marrero, LA 70072</t>
        </is>
      </c>
    </row>
    <row r="3" ht="15" customHeight="1">
      <c r="A3" s="11" t="inlineStr">
        <is>
          <t>Marrero 3 LP  |  EIN 82-2324040  |  FYE 12/31/2024  |  Partial Assets #17, #18, &amp; #19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1413.34</v>
      </c>
      <c r="C8" s="6" t="n">
        <v>1413.34</v>
      </c>
    </row>
    <row r="9" ht="15" customHeight="1">
      <c r="A9" s="15" t="inlineStr">
        <is>
          <t>Moldings</t>
        </is>
      </c>
      <c r="B9" s="6" t="n">
        <v>704.98</v>
      </c>
      <c r="C9" s="6" t="n">
        <v>704.98</v>
      </c>
    </row>
    <row r="10" ht="15" customHeight="1">
      <c r="A10" s="15" t="inlineStr">
        <is>
          <t>Flooring - Vinyl Tile</t>
        </is>
      </c>
      <c r="B10" s="6" t="n">
        <v>115.67</v>
      </c>
      <c r="C10" s="6" t="n">
        <v>115.67</v>
      </c>
    </row>
    <row r="11" ht="15" customHeight="1">
      <c r="A11" s="15" t="inlineStr">
        <is>
          <t>Flooring - Carpet</t>
        </is>
      </c>
      <c r="B11" s="6" t="n">
        <v>2552.89</v>
      </c>
      <c r="C11" s="6" t="n">
        <v>2552.89</v>
      </c>
    </row>
    <row r="12" ht="15" customHeight="1">
      <c r="A12" s="15" t="inlineStr">
        <is>
          <t>Flooring - Wood Laminate</t>
        </is>
      </c>
      <c r="B12" s="6" t="n">
        <v>74.23999999999999</v>
      </c>
      <c r="C12" s="6" t="n">
        <v>74.23999999999999</v>
      </c>
    </row>
    <row r="13" ht="15" customHeight="1">
      <c r="A13" s="15" t="inlineStr">
        <is>
          <t>Security System</t>
        </is>
      </c>
      <c r="B13" s="6" t="n">
        <v>503.17</v>
      </c>
      <c r="C13" s="6" t="n">
        <v>503.17</v>
      </c>
    </row>
    <row r="14" ht="15" customHeight="1">
      <c r="A14" s="15" t="inlineStr">
        <is>
          <t>Window Treatments</t>
        </is>
      </c>
      <c r="B14" s="6" t="n">
        <v>417.2</v>
      </c>
      <c r="C14" s="6" t="n">
        <v>417.2</v>
      </c>
    </row>
    <row r="15" ht="15" customHeight="1">
      <c r="A15" s="15" t="inlineStr">
        <is>
          <t>Specialty HVAC - Dryer Vents</t>
        </is>
      </c>
      <c r="B15" s="6" t="n">
        <v>42.81</v>
      </c>
      <c r="C15" s="6" t="n">
        <v>42.81</v>
      </c>
    </row>
    <row r="16" ht="15" customHeight="1">
      <c r="A16" s="15" t="inlineStr">
        <is>
          <t>Building Signage</t>
        </is>
      </c>
      <c r="B16" s="6" t="n">
        <v>21.12</v>
      </c>
      <c r="C16" s="6" t="n">
        <v>21.12</v>
      </c>
    </row>
    <row r="17" ht="15" customHeight="1">
      <c r="A17" s="15" t="inlineStr">
        <is>
          <t>Specialty Electrical - Appliances</t>
        </is>
      </c>
      <c r="B17" s="6" t="n">
        <v>731.0700000000001</v>
      </c>
      <c r="C17" s="6" t="n">
        <v>731.0700000000001</v>
      </c>
    </row>
    <row r="18" ht="15" customHeight="1">
      <c r="A18" s="15" t="inlineStr">
        <is>
          <t>Communication / Data</t>
        </is>
      </c>
      <c r="B18" s="6" t="n">
        <v>338.82</v>
      </c>
      <c r="C18" s="6" t="n">
        <v>338.82</v>
      </c>
    </row>
    <row r="19" ht="15" customHeight="1">
      <c r="A19" s="15" t="inlineStr">
        <is>
          <t>Specialty Plumbing - Kitchen Sink / Laundry</t>
        </is>
      </c>
      <c r="B19" s="6" t="n">
        <v>800.46</v>
      </c>
      <c r="C19" s="6" t="n">
        <v>800.46</v>
      </c>
    </row>
    <row r="20" ht="15" customHeight="1">
      <c r="A20" s="15" t="inlineStr">
        <is>
          <t>Security / Exterior Lighting</t>
        </is>
      </c>
      <c r="B20" s="6" t="n">
        <v>232.42</v>
      </c>
      <c r="C20" s="6" t="n">
        <v>232.42</v>
      </c>
    </row>
    <row r="21" ht="15" customHeight="1">
      <c r="A21" s="15" t="inlineStr">
        <is>
          <t>Appliances</t>
        </is>
      </c>
      <c r="B21" s="6" t="n">
        <v>801.88</v>
      </c>
      <c r="C21" s="6" t="n">
        <v>801.88</v>
      </c>
    </row>
    <row r="22" ht="15" customHeight="1">
      <c r="A22" s="13" t="inlineStr">
        <is>
          <t>Site Work / Improvements</t>
        </is>
      </c>
      <c r="B22" s="14" t="n"/>
      <c r="C22" s="14" t="n"/>
      <c r="D22" s="14" t="n"/>
      <c r="E22" s="14" t="n"/>
    </row>
    <row r="23" ht="15" customHeight="1">
      <c r="A23" s="15" t="inlineStr">
        <is>
          <t>Driveway</t>
        </is>
      </c>
      <c r="B23" s="6" t="n">
        <v>1053.33</v>
      </c>
      <c r="D23" s="6" t="n">
        <v>1053.33</v>
      </c>
    </row>
    <row r="24" ht="15" customHeight="1">
      <c r="A24" s="15" t="inlineStr">
        <is>
          <t>Sidewalks / Curbs</t>
        </is>
      </c>
      <c r="B24" s="6" t="n">
        <v>217.91</v>
      </c>
      <c r="D24" s="6" t="n">
        <v>217.91</v>
      </c>
    </row>
    <row r="25" ht="15" customHeight="1">
      <c r="A25" s="15" t="inlineStr">
        <is>
          <t>Exterior Equipment Concrete Pads</t>
        </is>
      </c>
      <c r="B25" s="6" t="n">
        <v>49.43</v>
      </c>
      <c r="D25" s="6" t="n">
        <v>49.43</v>
      </c>
    </row>
    <row r="26" ht="15" customHeight="1">
      <c r="A26" s="15" t="inlineStr">
        <is>
          <t>Mailboxes</t>
        </is>
      </c>
      <c r="B26" s="6" t="n">
        <v>30.65</v>
      </c>
      <c r="D26" s="6" t="n">
        <v>30.65</v>
      </c>
    </row>
    <row r="27" ht="15" customHeight="1">
      <c r="A27" s="13" t="inlineStr">
        <is>
          <t>Building Structure</t>
        </is>
      </c>
      <c r="B27" s="14" t="n"/>
      <c r="C27" s="14" t="n"/>
      <c r="D27" s="14" t="n"/>
      <c r="E27" s="14" t="n"/>
    </row>
    <row r="28" ht="15" customHeight="1">
      <c r="A28" s="15" t="inlineStr">
        <is>
          <t>Roofing Systems</t>
        </is>
      </c>
      <c r="B28" s="6" t="n">
        <v>3154.94</v>
      </c>
      <c r="E28" s="6" t="n">
        <v>3154.94</v>
      </c>
    </row>
    <row r="29" ht="15" customHeight="1">
      <c r="A29" s="15" t="inlineStr">
        <is>
          <t>Foundations</t>
        </is>
      </c>
      <c r="B29" s="6" t="n">
        <v>5238.39</v>
      </c>
      <c r="E29" s="6" t="n">
        <v>5238.39</v>
      </c>
    </row>
    <row r="30" ht="15" customHeight="1">
      <c r="A30" s="15" t="inlineStr">
        <is>
          <t>HVAC</t>
        </is>
      </c>
      <c r="B30" s="6" t="n">
        <v>3486.17</v>
      </c>
      <c r="E30" s="6" t="n">
        <v>3486.17</v>
      </c>
    </row>
    <row r="31" ht="15" customHeight="1">
      <c r="A31" s="15" t="inlineStr">
        <is>
          <t>Electrical</t>
        </is>
      </c>
      <c r="B31" s="6" t="n">
        <v>3390.72</v>
      </c>
      <c r="E31" s="6" t="n">
        <v>3390.72</v>
      </c>
    </row>
    <row r="32" ht="15" customHeight="1">
      <c r="A32" s="15" t="inlineStr">
        <is>
          <t>Plumbing</t>
        </is>
      </c>
      <c r="B32" s="6" t="n">
        <v>3067.72</v>
      </c>
      <c r="E32" s="6" t="n">
        <v>3067.72</v>
      </c>
    </row>
    <row r="33" ht="15" customHeight="1">
      <c r="A33" s="15" t="inlineStr">
        <is>
          <t>Fire Protection &amp; Alarm</t>
        </is>
      </c>
      <c r="B33" s="6" t="n">
        <v>213.56</v>
      </c>
      <c r="E33" s="6" t="n">
        <v>213.56</v>
      </c>
    </row>
    <row r="34" ht="15" customHeight="1">
      <c r="A34" s="15" t="inlineStr">
        <is>
          <t>Exterior Façade / Building Skin</t>
        </is>
      </c>
      <c r="B34" s="6" t="n">
        <v>1769.68</v>
      </c>
      <c r="E34" s="6" t="n">
        <v>1769.68</v>
      </c>
    </row>
    <row r="35" ht="15" customHeight="1">
      <c r="A35" s="15" t="inlineStr">
        <is>
          <t>Doors &amp; Frames</t>
        </is>
      </c>
      <c r="B35" s="6" t="n">
        <v>2247.15</v>
      </c>
      <c r="E35" s="6" t="n">
        <v>2247.15</v>
      </c>
    </row>
    <row r="36" ht="15" customHeight="1">
      <c r="A36" s="15" t="inlineStr">
        <is>
          <t>Windows</t>
        </is>
      </c>
      <c r="B36" s="6" t="n">
        <v>1838.84</v>
      </c>
      <c r="E36" s="6" t="n">
        <v>1838.84</v>
      </c>
    </row>
    <row r="37" ht="15" customHeight="1">
      <c r="A37" s="15" t="inlineStr">
        <is>
          <t>Ceiling Systems</t>
        </is>
      </c>
      <c r="B37" s="6" t="n">
        <v>1800.68</v>
      </c>
      <c r="E37" s="6" t="n">
        <v>1800.68</v>
      </c>
    </row>
    <row r="38" ht="15" customHeight="1">
      <c r="A38" s="15" t="inlineStr">
        <is>
          <t>Interior Framing / Partitions</t>
        </is>
      </c>
      <c r="B38" s="6" t="n">
        <v>5040.91</v>
      </c>
      <c r="E38" s="6" t="n">
        <v>5040.91</v>
      </c>
    </row>
    <row r="39" ht="15" customHeight="1">
      <c r="A39" s="15" t="inlineStr">
        <is>
          <t>Painting</t>
        </is>
      </c>
      <c r="B39" s="6" t="n">
        <v>1719.87</v>
      </c>
      <c r="E39" s="6" t="n">
        <v>1719.87</v>
      </c>
    </row>
    <row r="40" ht="15" customHeight="1">
      <c r="A40" s="15" t="inlineStr">
        <is>
          <t>Structural Framing</t>
        </is>
      </c>
      <c r="B40" s="6" t="n">
        <v>5655.94</v>
      </c>
      <c r="E40" s="6" t="n">
        <v>5655.94</v>
      </c>
    </row>
    <row r="41" ht="15" customHeight="1">
      <c r="A41" s="15" t="inlineStr">
        <is>
          <t>Site Utilities</t>
        </is>
      </c>
      <c r="B41" s="6" t="n">
        <v>795.83</v>
      </c>
      <c r="E41" s="6" t="n">
        <v>795.83</v>
      </c>
    </row>
    <row r="42" ht="15" customHeight="1">
      <c r="A42" s="15" t="inlineStr">
        <is>
          <t>Bathroom Accessories</t>
        </is>
      </c>
      <c r="B42" s="6" t="n">
        <v>664.51</v>
      </c>
      <c r="E42" s="6" t="n">
        <v>664.51</v>
      </c>
    </row>
    <row r="43" ht="15" customHeight="1">
      <c r="A43" s="15" t="inlineStr">
        <is>
          <t>Cabinets / Millwork - Restrooms</t>
        </is>
      </c>
      <c r="B43" s="6" t="n">
        <v>550.2</v>
      </c>
      <c r="E43" s="6" t="n">
        <v>550.2</v>
      </c>
    </row>
    <row r="44" ht="15" customHeight="1">
      <c r="A44" s="7" t="inlineStr">
        <is>
          <t>Total Building Cost</t>
        </is>
      </c>
      <c r="B44" s="8">
        <f>SUM(B8,B9,B10,B11,B12,B13,B14,B15,B16,B17,B18,B19,B20,B21,B23,B24,B25,B26,B28,B29,B30,B31,B32,B33,B34,B35,B36,B37,B38,B39,B40,B41,B42,B43)</f>
        <v/>
      </c>
      <c r="C44" s="8">
        <f>SUM(C8,C9,C10,C11,C12,C13,C14,C15,C16,C17,C18,C19,C20,C21,C23,C24,C25,C26,C28,C29,C30,C31,C32,C33,C34,C35,C36,C37,C38,C39,C40,C41,C42,C43)</f>
        <v/>
      </c>
      <c r="D44" s="8">
        <f>SUM(D8,D9,D10,D11,D12,D13,D14,D15,D16,D17,D18,D19,D20,D21,D23,D24,D25,D26,D28,D29,D30,D31,D32,D33,D34,D35,D36,D37,D38,D39,D40,D41,D42,D43)</f>
        <v/>
      </c>
      <c r="E44" s="8">
        <f>SUM(E8,E9,E10,E11,E12,E13,E14,E15,E16,E17,E18,E19,E20,E21,E23,E24,E25,E26,E28,E29,E30,E31,E32,E33,E34,E35,E36,E37,E38,E39,E40,E41,E42,E43)</f>
        <v/>
      </c>
    </row>
    <row r="45" ht="15" customHeight="1">
      <c r="A45" s="15" t="inlineStr">
        <is>
          <t>% of Building Cost</t>
        </is>
      </c>
      <c r="C45" s="16">
        <f>C44/B44</f>
        <v/>
      </c>
      <c r="D45" s="16">
        <f>D44/B44</f>
        <v/>
      </c>
      <c r="E45" s="16">
        <f>E44/B44</f>
        <v/>
      </c>
    </row>
    <row r="47" ht="15" customHeight="1">
      <c r="A47" s="12" t="inlineStr">
        <is>
          <t>ASSET ALLOCATION (Per Unit)</t>
        </is>
      </c>
    </row>
    <row r="48" ht="15" customHeight="1">
      <c r="A48" s="3" t="inlineStr">
        <is>
          <t>Asset</t>
        </is>
      </c>
      <c r="B48" s="4" t="inlineStr">
        <is>
          <t>Total</t>
        </is>
      </c>
      <c r="C48" s="4" t="inlineStr">
        <is>
          <t>5 Year</t>
        </is>
      </c>
      <c r="D48" s="4" t="inlineStr">
        <is>
          <t>15 Year</t>
        </is>
      </c>
      <c r="E48" s="4" t="inlineStr">
        <is>
          <t>27.5 Year</t>
        </is>
      </c>
    </row>
    <row r="49" ht="15" customHeight="1">
      <c r="A49" s="15" t="inlineStr">
        <is>
          <t>Asset # 18-Building - Ames</t>
        </is>
      </c>
      <c r="B49" s="6" t="n">
        <v>39574.47</v>
      </c>
      <c r="C49" s="6" t="n">
        <v>6825.05</v>
      </c>
      <c r="D49" s="6" t="n">
        <v>1054.03</v>
      </c>
      <c r="E49" s="6" t="n">
        <v>31695.39</v>
      </c>
    </row>
    <row r="50" ht="15" customHeight="1">
      <c r="A50" s="15" t="inlineStr">
        <is>
          <t>Asset # 17-Land Improvements - Ames</t>
        </is>
      </c>
      <c r="B50" s="6" t="n">
        <v>3044.2</v>
      </c>
      <c r="C50" s="6" t="n">
        <v>525.01</v>
      </c>
      <c r="D50" s="6" t="n">
        <v>81.08</v>
      </c>
      <c r="E50" s="6" t="n">
        <v>2438.11</v>
      </c>
    </row>
    <row r="51" ht="15" customHeight="1">
      <c r="A51" s="15" t="inlineStr">
        <is>
          <t>Asset # 19-Equipment - Ames</t>
        </is>
      </c>
      <c r="B51" s="6" t="n">
        <v>8117.83</v>
      </c>
      <c r="C51" s="6" t="n">
        <v>1400.01</v>
      </c>
      <c r="D51" s="6" t="n">
        <v>216.21</v>
      </c>
      <c r="E51" s="6" t="n">
        <v>6501.61</v>
      </c>
    </row>
    <row r="52" ht="15" customHeight="1">
      <c r="A52" s="7" t="inlineStr">
        <is>
          <t>Total Allocation:</t>
        </is>
      </c>
      <c r="B52" s="8">
        <f>SUM(B49,B50,B51)</f>
        <v/>
      </c>
      <c r="C52" s="8">
        <f>SUM(C49,C50,C51)</f>
        <v/>
      </c>
      <c r="D52" s="8">
        <f>SUM(D49,D50,D51)</f>
        <v/>
      </c>
      <c r="E52" s="8">
        <f>SUM(E49,E50,E51)</f>
        <v/>
      </c>
    </row>
    <row r="54" ht="15" customHeight="1">
      <c r="A54" s="12" t="inlineStr">
        <is>
          <t>2 Identical Units - Totals:</t>
        </is>
      </c>
    </row>
    <row r="55" ht="15" customHeight="1">
      <c r="A55" s="3" t="inlineStr">
        <is>
          <t>Asset</t>
        </is>
      </c>
      <c r="B55" s="4" t="inlineStr">
        <is>
          <t>Total</t>
        </is>
      </c>
      <c r="C55" s="4" t="inlineStr">
        <is>
          <t>5 Year</t>
        </is>
      </c>
      <c r="D55" s="4" t="inlineStr">
        <is>
          <t>15 Year</t>
        </is>
      </c>
      <c r="E55" s="4" t="inlineStr">
        <is>
          <t>27.5 Year</t>
        </is>
      </c>
    </row>
    <row r="56" ht="15" customHeight="1">
      <c r="A56" s="15" t="inlineStr">
        <is>
          <t>Asset # 17-Land Improvements - Ames</t>
        </is>
      </c>
      <c r="B56" s="6" t="n">
        <v>6088</v>
      </c>
      <c r="C56" s="6" t="n">
        <v>1050</v>
      </c>
      <c r="D56" s="6" t="n">
        <v>162</v>
      </c>
      <c r="E56" s="6" t="n">
        <v>4876</v>
      </c>
    </row>
    <row r="57" ht="15" customHeight="1">
      <c r="A57" s="15" t="inlineStr">
        <is>
          <t>Asset # 18-Building - Ames</t>
        </is>
      </c>
      <c r="B57" s="6" t="n">
        <v>79149</v>
      </c>
      <c r="C57" s="6" t="n">
        <v>13650</v>
      </c>
      <c r="D57" s="6" t="n">
        <v>2108</v>
      </c>
      <c r="E57" s="6" t="n">
        <v>63391</v>
      </c>
    </row>
    <row r="58" ht="15" customHeight="1">
      <c r="A58" s="15" t="inlineStr">
        <is>
          <t>Asset # 19-Equipment - Ames</t>
        </is>
      </c>
      <c r="B58" s="6" t="n">
        <v>16236</v>
      </c>
      <c r="C58" s="6" t="n">
        <v>2800</v>
      </c>
      <c r="D58" s="6" t="n">
        <v>432</v>
      </c>
      <c r="E58" s="6" t="n">
        <v>13004</v>
      </c>
    </row>
    <row r="59" ht="15" customHeight="1">
      <c r="A59" s="7" t="inlineStr">
        <is>
          <t>Total Allocation:</t>
        </is>
      </c>
      <c r="B59" s="8">
        <f>SUM(B56,B57,B58)</f>
        <v/>
      </c>
      <c r="C59" s="8">
        <f>SUM(C56,C57,C58)</f>
        <v/>
      </c>
      <c r="D59" s="8">
        <f>SUM(D56,D57,D58)</f>
        <v/>
      </c>
      <c r="E59" s="8">
        <f>SUM(E56,E57,E58)</f>
        <v/>
      </c>
    </row>
    <row r="61" ht="15" customHeight="1">
      <c r="A61" s="12" t="inlineStr">
        <is>
          <t>AS PREVIOUSLY FILED — 481(a) Calculation (Regular Tax)</t>
        </is>
      </c>
    </row>
    <row r="62" ht="15" customHeight="1">
      <c r="A62" s="17" t="inlineStr">
        <is>
          <t>Asset Description</t>
        </is>
      </c>
      <c r="B62" s="18" t="inlineStr">
        <is>
          <t>Tax Cost</t>
        </is>
      </c>
      <c r="C62" s="18" t="inlineStr">
        <is>
          <t>Sec 179 Exp</t>
        </is>
      </c>
      <c r="D62" s="18" t="inlineStr">
        <is>
          <t>Bonus Amt</t>
        </is>
      </c>
      <c r="E62" s="18" t="inlineStr">
        <is>
          <t>Prior Depreciation</t>
        </is>
      </c>
      <c r="F62" s="18" t="inlineStr">
        <is>
          <t>Current Depreciation</t>
        </is>
      </c>
      <c r="G62" s="18" t="inlineStr">
        <is>
          <t>End Depreciation</t>
        </is>
      </c>
      <c r="H62" s="18" t="inlineStr">
        <is>
          <t>Net Book Value</t>
        </is>
      </c>
      <c r="I62" s="18" t="inlineStr">
        <is>
          <t>Method</t>
        </is>
      </c>
      <c r="J62" s="18" t="inlineStr">
        <is>
          <t>Period</t>
        </is>
      </c>
    </row>
    <row r="63" ht="15" customHeight="1">
      <c r="A63" s="19" t="inlineStr">
        <is>
          <t>17 - Land Improvements - Ames</t>
        </is>
      </c>
      <c r="B63" s="6" t="n">
        <v>6088</v>
      </c>
      <c r="C63" s="6" t="n">
        <v>0</v>
      </c>
      <c r="D63" s="6" t="n">
        <v>0</v>
      </c>
      <c r="E63" s="6" t="n">
        <v>2882.61</v>
      </c>
      <c r="F63" s="6" t="n">
        <v>359.5</v>
      </c>
      <c r="G63" s="6" t="n">
        <v>3242.11</v>
      </c>
      <c r="H63" s="6" t="n">
        <v>2845.89</v>
      </c>
      <c r="I63" s="20" t="inlineStr">
        <is>
          <t>150DB</t>
        </is>
      </c>
      <c r="J63" s="20" t="n">
        <v>15</v>
      </c>
    </row>
    <row r="64" ht="15" customHeight="1">
      <c r="A64" s="19" t="inlineStr">
        <is>
          <t>18 - Buidling - Ames</t>
        </is>
      </c>
      <c r="B64" s="6" t="n">
        <v>79149</v>
      </c>
      <c r="C64" s="6" t="n">
        <v>0</v>
      </c>
      <c r="D64" s="6" t="n">
        <v>0</v>
      </c>
      <c r="E64" s="6" t="n">
        <v>17388.86</v>
      </c>
      <c r="F64" s="6" t="n">
        <v>2878.15</v>
      </c>
      <c r="G64" s="6" t="n">
        <v>20267.01</v>
      </c>
      <c r="H64" s="6" t="n">
        <v>58881.99</v>
      </c>
      <c r="I64" s="20" t="inlineStr">
        <is>
          <t>S/L</t>
        </is>
      </c>
      <c r="J64" s="20" t="n">
        <v>27.5</v>
      </c>
    </row>
    <row r="65" ht="15" customHeight="1">
      <c r="A65" s="19" t="inlineStr">
        <is>
          <t>19 - Equpiment - Ames</t>
        </is>
      </c>
      <c r="B65" s="6" t="n">
        <v>16236</v>
      </c>
      <c r="C65" s="6" t="n">
        <v>0</v>
      </c>
      <c r="D65" s="6" t="n">
        <v>0</v>
      </c>
      <c r="E65" s="6" t="n">
        <v>16236</v>
      </c>
      <c r="F65" s="6" t="n">
        <v>0</v>
      </c>
      <c r="G65" s="6" t="n">
        <v>16236</v>
      </c>
      <c r="H65" s="6" t="n">
        <v>0</v>
      </c>
      <c r="I65" s="20" t="inlineStr">
        <is>
          <t>200DB</t>
        </is>
      </c>
      <c r="J65" s="20" t="n">
        <v>5</v>
      </c>
    </row>
    <row r="66" ht="15" customHeight="1">
      <c r="A66" s="21" t="inlineStr">
        <is>
          <t>Grand Total</t>
        </is>
      </c>
      <c r="B66" s="8">
        <f>SUM(B63,B64,B65)</f>
        <v/>
      </c>
      <c r="C66" s="8">
        <f>SUM(C63,C64,C65)</f>
        <v/>
      </c>
      <c r="D66" s="8">
        <f>SUM(D63,D64,D65)</f>
        <v/>
      </c>
      <c r="E66" s="8">
        <f>SUM(E63,E64,E65)</f>
        <v/>
      </c>
      <c r="F66" s="8">
        <f>SUM(F63,F64,F65)</f>
        <v/>
      </c>
      <c r="G66" s="8">
        <f>SUM(G63,G64,G65)</f>
        <v/>
      </c>
      <c r="H66" s="8">
        <f>SUM(H63,H64,H65)</f>
        <v/>
      </c>
    </row>
    <row r="68" ht="15" customHeight="1">
      <c r="A68" s="12" t="inlineStr">
        <is>
          <t>AFTER COST SEGREGATION CORRECTION — 481(a) Calculation (Regular Tax)</t>
        </is>
      </c>
    </row>
    <row r="69" ht="15" customHeight="1">
      <c r="A69" s="17" t="inlineStr">
        <is>
          <t>Asset Description</t>
        </is>
      </c>
      <c r="B69" s="18" t="inlineStr">
        <is>
          <t>Tax Cost</t>
        </is>
      </c>
      <c r="C69" s="18" t="inlineStr">
        <is>
          <t>Sec 179 Exp</t>
        </is>
      </c>
      <c r="D69" s="18" t="inlineStr">
        <is>
          <t>Bonus Amt</t>
        </is>
      </c>
      <c r="E69" s="18" t="inlineStr">
        <is>
          <t>Prior Depreciation</t>
        </is>
      </c>
      <c r="F69" s="18" t="inlineStr">
        <is>
          <t>Current Depreciation</t>
        </is>
      </c>
      <c r="G69" s="18" t="inlineStr">
        <is>
          <t>End Depreciation</t>
        </is>
      </c>
      <c r="H69" s="18" t="inlineStr">
        <is>
          <t>Net Book Value</t>
        </is>
      </c>
      <c r="I69" s="18" t="inlineStr">
        <is>
          <t>Method</t>
        </is>
      </c>
      <c r="J69" s="18" t="inlineStr">
        <is>
          <t>Period</t>
        </is>
      </c>
    </row>
    <row r="70" ht="15" customHeight="1">
      <c r="A70" s="19" t="inlineStr">
        <is>
          <t>17 - Land Improvements - Ames - 5yr</t>
        </is>
      </c>
      <c r="B70" s="6" t="n">
        <v>1050</v>
      </c>
      <c r="C70" s="6" t="n">
        <v>0</v>
      </c>
      <c r="D70" s="6" t="n">
        <v>0</v>
      </c>
      <c r="E70" s="6" t="n">
        <v>1050</v>
      </c>
      <c r="F70" s="6" t="n">
        <v>0</v>
      </c>
      <c r="G70" s="6" t="n">
        <v>1050</v>
      </c>
      <c r="H70" s="6" t="n">
        <v>0</v>
      </c>
      <c r="I70" s="20" t="inlineStr">
        <is>
          <t>200DB</t>
        </is>
      </c>
      <c r="J70" s="20" t="n">
        <v>5</v>
      </c>
    </row>
    <row r="71" ht="15" customHeight="1">
      <c r="A71" s="19" t="inlineStr">
        <is>
          <t>17 - Land Improvements - Ames - 15yr</t>
        </is>
      </c>
      <c r="B71" s="6" t="n">
        <v>162</v>
      </c>
      <c r="C71" s="6" t="n">
        <v>0</v>
      </c>
      <c r="D71" s="6" t="n">
        <v>0</v>
      </c>
      <c r="E71" s="6" t="n">
        <v>80.7</v>
      </c>
      <c r="F71" s="6" t="n">
        <v>9.56</v>
      </c>
      <c r="G71" s="6" t="n">
        <v>90.26000000000001</v>
      </c>
      <c r="H71" s="6" t="n">
        <v>71.73999999999999</v>
      </c>
      <c r="I71" s="20" t="inlineStr">
        <is>
          <t>150DB</t>
        </is>
      </c>
      <c r="J71" s="20" t="n">
        <v>15</v>
      </c>
    </row>
    <row r="72" ht="15" customHeight="1">
      <c r="A72" s="19" t="inlineStr">
        <is>
          <t>17 - Land Improvements - Ames - 27.5yr</t>
        </is>
      </c>
      <c r="B72" s="6" t="n">
        <v>4876</v>
      </c>
      <c r="C72" s="6" t="n">
        <v>0</v>
      </c>
      <c r="D72" s="6" t="n">
        <v>0</v>
      </c>
      <c r="E72" s="6" t="n">
        <v>0</v>
      </c>
      <c r="F72" s="6" t="n">
        <v>177.31</v>
      </c>
      <c r="G72" s="6" t="n">
        <v>1248.56</v>
      </c>
      <c r="H72" s="6" t="n">
        <v>3627.44</v>
      </c>
      <c r="I72" s="20" t="inlineStr">
        <is>
          <t>S/L</t>
        </is>
      </c>
      <c r="J72" s="20" t="n">
        <v>27.5</v>
      </c>
    </row>
    <row r="73" ht="15" customHeight="1">
      <c r="A73" s="19" t="inlineStr">
        <is>
          <t>18 - Building - Ames - 5yr</t>
        </is>
      </c>
      <c r="B73" s="6" t="n">
        <v>13650</v>
      </c>
      <c r="C73" s="6" t="n">
        <v>0</v>
      </c>
      <c r="D73" s="6" t="n">
        <v>0</v>
      </c>
      <c r="E73" s="6" t="n">
        <v>13650</v>
      </c>
      <c r="F73" s="6" t="n">
        <v>0</v>
      </c>
      <c r="G73" s="6" t="n">
        <v>13650</v>
      </c>
      <c r="H73" s="6" t="n">
        <v>0</v>
      </c>
      <c r="I73" s="20" t="inlineStr">
        <is>
          <t>200DB</t>
        </is>
      </c>
      <c r="J73" s="20" t="n">
        <v>5</v>
      </c>
    </row>
    <row r="74" ht="15" customHeight="1">
      <c r="A74" s="19" t="inlineStr">
        <is>
          <t>18 - Building - Ames - 15yr</t>
        </is>
      </c>
      <c r="B74" s="6" t="n">
        <v>2108</v>
      </c>
      <c r="C74" s="6" t="n">
        <v>0</v>
      </c>
      <c r="D74" s="6" t="n">
        <v>0</v>
      </c>
      <c r="E74" s="6" t="n">
        <v>2108</v>
      </c>
      <c r="F74" s="6" t="n">
        <v>0</v>
      </c>
      <c r="G74" s="6" t="n">
        <v>2108</v>
      </c>
      <c r="H74" s="6" t="n">
        <v>0</v>
      </c>
      <c r="I74" s="20" t="inlineStr">
        <is>
          <t>150DB</t>
        </is>
      </c>
      <c r="J74" s="20" t="n">
        <v>15</v>
      </c>
    </row>
    <row r="75" ht="15" customHeight="1">
      <c r="A75" s="19" t="inlineStr">
        <is>
          <t>18 - Building - Ames - 27.5yr</t>
        </is>
      </c>
      <c r="B75" s="6" t="n">
        <v>63391</v>
      </c>
      <c r="C75" s="6" t="n">
        <v>0</v>
      </c>
      <c r="D75" s="6" t="n">
        <v>0</v>
      </c>
      <c r="E75" s="6" t="n">
        <v>0</v>
      </c>
      <c r="F75" s="6" t="n">
        <v>2305.13</v>
      </c>
      <c r="G75" s="6" t="n">
        <v>16231.96</v>
      </c>
      <c r="H75" s="6" t="n">
        <v>47159.04</v>
      </c>
      <c r="I75" s="20" t="inlineStr">
        <is>
          <t>S/L</t>
        </is>
      </c>
      <c r="J75" s="20" t="n">
        <v>27.5</v>
      </c>
    </row>
    <row r="76" ht="15" customHeight="1">
      <c r="A76" s="19" t="inlineStr">
        <is>
          <t>19 - Equipment - Ames - 5yr</t>
        </is>
      </c>
      <c r="B76" s="6" t="n">
        <v>2800</v>
      </c>
      <c r="C76" s="6" t="n">
        <v>0</v>
      </c>
      <c r="D76" s="6" t="n">
        <v>0</v>
      </c>
      <c r="E76" s="6" t="n">
        <v>2800</v>
      </c>
      <c r="F76" s="6" t="n">
        <v>0</v>
      </c>
      <c r="G76" s="6" t="n">
        <v>2800</v>
      </c>
      <c r="H76" s="6" t="n">
        <v>0</v>
      </c>
      <c r="I76" s="20" t="inlineStr">
        <is>
          <t>200DB</t>
        </is>
      </c>
      <c r="J76" s="20" t="n">
        <v>5</v>
      </c>
    </row>
    <row r="77" ht="15" customHeight="1">
      <c r="A77" s="19" t="inlineStr">
        <is>
          <t>19 - Equipment - Ames - 15yr</t>
        </is>
      </c>
      <c r="B77" s="6" t="n">
        <v>432</v>
      </c>
      <c r="C77" s="6" t="n">
        <v>0</v>
      </c>
      <c r="D77" s="6" t="n">
        <v>0</v>
      </c>
      <c r="E77" s="6" t="n">
        <v>432</v>
      </c>
      <c r="F77" s="6" t="n">
        <v>0</v>
      </c>
      <c r="G77" s="6" t="n">
        <v>432</v>
      </c>
      <c r="H77" s="6" t="n">
        <v>0</v>
      </c>
      <c r="I77" s="20" t="inlineStr">
        <is>
          <t>150DB</t>
        </is>
      </c>
      <c r="J77" s="20" t="n">
        <v>15</v>
      </c>
    </row>
    <row r="78" ht="15" customHeight="1">
      <c r="A78" s="19" t="inlineStr">
        <is>
          <t>19 - Equipment - Ames - 27.5yr</t>
        </is>
      </c>
      <c r="B78" s="6" t="n">
        <v>13004</v>
      </c>
      <c r="C78" s="6" t="n">
        <v>0</v>
      </c>
      <c r="D78" s="6" t="n">
        <v>0</v>
      </c>
      <c r="E78" s="6" t="n">
        <v>0</v>
      </c>
      <c r="F78" s="6" t="n">
        <v>472.87</v>
      </c>
      <c r="G78" s="6" t="n">
        <v>3329.61</v>
      </c>
      <c r="H78" s="6" t="n">
        <v>9674.389999999999</v>
      </c>
      <c r="I78" s="20" t="inlineStr">
        <is>
          <t>S/L</t>
        </is>
      </c>
      <c r="J78" s="20" t="n">
        <v>27.5</v>
      </c>
    </row>
    <row r="79" ht="15" customHeight="1">
      <c r="A79" s="21" t="inlineStr">
        <is>
          <t>Grand Total</t>
        </is>
      </c>
      <c r="B79" s="8">
        <f>SUM(B70,B71,B72,B73,B74,B75,B76,B77,B78)</f>
        <v/>
      </c>
      <c r="C79" s="8">
        <f>SUM(C70,C71,C72,C73,C74,C75,C76,C77,C78)</f>
        <v/>
      </c>
      <c r="D79" s="8">
        <f>SUM(D70,D71,D72,D73,D74,D75,D76,D77,D78)</f>
        <v/>
      </c>
      <c r="E79" s="8">
        <f>SUM(E70,E71,E72,E73,E74,E75,E76,E77,E78)</f>
        <v/>
      </c>
      <c r="F79" s="8">
        <f>SUM(F70,F71,F72,F73,F74,F75,F76,F77,F78)</f>
        <v/>
      </c>
      <c r="G79" s="8">
        <f>SUM(G70,G71,G72,G73,G74,G75,G76,G77,G78)</f>
        <v/>
      </c>
      <c r="H79" s="8">
        <f>SUM(H70,H71,H72,H73,H74,H75,H76,H77,H78)</f>
        <v/>
      </c>
    </row>
    <row r="81" ht="15" customHeight="1">
      <c r="A81" s="22" t="inlineStr">
        <is>
          <t>SECTION 481(a) ADJUSTMENT</t>
        </is>
      </c>
    </row>
    <row r="82" ht="15" customHeight="1">
      <c r="A82" s="23" t="inlineStr">
        <is>
          <t>Depreciation reported previously</t>
        </is>
      </c>
      <c r="B82" s="24" t="n">
        <v>39745.12</v>
      </c>
    </row>
    <row r="83" ht="15" customHeight="1">
      <c r="A83" s="23" t="inlineStr">
        <is>
          <t>Cost Segregation Corrected Depreciation</t>
        </is>
      </c>
      <c r="B83" s="24" t="n">
        <v>40940.39</v>
      </c>
    </row>
    <row r="84" ht="15" customHeight="1">
      <c r="A84" s="22" t="inlineStr">
        <is>
          <t>Section 481(a) Adjustment</t>
        </is>
      </c>
      <c r="B84" s="25" t="n">
        <v>-1195.269999999997</v>
      </c>
    </row>
  </sheetData>
  <mergeCells count="12">
    <mergeCell ref="A81:E81"/>
    <mergeCell ref="A61:J61"/>
    <mergeCell ref="A2:E2"/>
    <mergeCell ref="A54:E54"/>
    <mergeCell ref="A7:E7"/>
    <mergeCell ref="A47:E47"/>
    <mergeCell ref="A1:E1"/>
    <mergeCell ref="A5:E5"/>
    <mergeCell ref="A22:E22"/>
    <mergeCell ref="A27:E27"/>
    <mergeCell ref="A68:J6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1208 Smith Square Dr., Hammond, LA 70403</t>
        </is>
      </c>
    </row>
    <row r="3" ht="15" customHeight="1">
      <c r="A3" s="11" t="inlineStr">
        <is>
          <t>Marrero 3 LP  |  EIN 82-2324040  |  FYE 12/31/2024  |  Partial Assets #12, #13, &amp; #14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938.3099999999999</v>
      </c>
      <c r="C8" s="6" t="n">
        <v>938.3099999999999</v>
      </c>
    </row>
    <row r="9" ht="15" customHeight="1">
      <c r="A9" s="15" t="inlineStr">
        <is>
          <t>Moldings</t>
        </is>
      </c>
      <c r="B9" s="6" t="n">
        <v>130.23</v>
      </c>
      <c r="C9" s="6" t="n">
        <v>130.23</v>
      </c>
    </row>
    <row r="10" ht="15" customHeight="1">
      <c r="A10" s="15" t="inlineStr">
        <is>
          <t>Flooring - Wood Laminate</t>
        </is>
      </c>
      <c r="B10" s="6" t="n">
        <v>1949.87</v>
      </c>
      <c r="C10" s="6" t="n">
        <v>1949.87</v>
      </c>
    </row>
    <row r="11" ht="15" customHeight="1">
      <c r="A11" s="15" t="inlineStr">
        <is>
          <t>Security System</t>
        </is>
      </c>
      <c r="B11" s="6" t="n">
        <v>539.2</v>
      </c>
      <c r="C11" s="6" t="n">
        <v>539.2</v>
      </c>
    </row>
    <row r="12" ht="15" customHeight="1">
      <c r="A12" s="15" t="inlineStr">
        <is>
          <t>Window Treatments</t>
        </is>
      </c>
      <c r="B12" s="6" t="n">
        <v>392.2</v>
      </c>
      <c r="C12" s="6" t="n">
        <v>392.2</v>
      </c>
    </row>
    <row r="13" ht="15" customHeight="1">
      <c r="A13" s="15" t="inlineStr">
        <is>
          <t>Specialty HVAC - Dryer Vents</t>
        </is>
      </c>
      <c r="B13" s="6" t="n">
        <v>33.89</v>
      </c>
      <c r="C13" s="6" t="n">
        <v>33.89</v>
      </c>
    </row>
    <row r="14" ht="15" customHeight="1">
      <c r="A14" s="15" t="inlineStr">
        <is>
          <t>Building Signage</t>
        </is>
      </c>
      <c r="B14" s="6" t="n">
        <v>22.29</v>
      </c>
      <c r="C14" s="6" t="n">
        <v>22.29</v>
      </c>
    </row>
    <row r="15" ht="15" customHeight="1">
      <c r="A15" s="15" t="inlineStr">
        <is>
          <t>Specialty Electrical - Appliances</t>
        </is>
      </c>
      <c r="B15" s="6" t="n">
        <v>578.78</v>
      </c>
      <c r="C15" s="6" t="n">
        <v>578.78</v>
      </c>
    </row>
    <row r="16" ht="15" customHeight="1">
      <c r="A16" s="15" t="inlineStr">
        <is>
          <t>Communication / Data</t>
        </is>
      </c>
      <c r="B16" s="6" t="n">
        <v>255.33</v>
      </c>
      <c r="C16" s="6" t="n">
        <v>255.33</v>
      </c>
    </row>
    <row r="17" ht="15" customHeight="1">
      <c r="A17" s="15" t="inlineStr">
        <is>
          <t>Specialty Plumbing - Kitchen Sink / Laundry</t>
        </is>
      </c>
      <c r="B17" s="6" t="n">
        <v>633.66</v>
      </c>
      <c r="C17" s="6" t="n">
        <v>633.66</v>
      </c>
    </row>
    <row r="18" ht="15" customHeight="1">
      <c r="A18" s="15" t="inlineStr">
        <is>
          <t>Security / Exterior Lighting</t>
        </is>
      </c>
      <c r="B18" s="6" t="n">
        <v>125.71</v>
      </c>
      <c r="C18" s="6" t="n">
        <v>125.71</v>
      </c>
    </row>
    <row r="19" ht="15" customHeight="1">
      <c r="A19" s="15" t="inlineStr">
        <is>
          <t>Appliances</t>
        </is>
      </c>
      <c r="B19" s="6" t="n">
        <v>634.8200000000001</v>
      </c>
      <c r="C19" s="6" t="n">
        <v>634.8200000000001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938.3099999999999</v>
      </c>
      <c r="D21" s="6" t="n">
        <v>938.3099999999999</v>
      </c>
    </row>
    <row r="22" ht="15" customHeight="1">
      <c r="A22" s="15" t="inlineStr">
        <is>
          <t>Sidewalks / Curbs</t>
        </is>
      </c>
      <c r="B22" s="6" t="n">
        <v>130.23</v>
      </c>
      <c r="D22" s="6" t="n">
        <v>130.23</v>
      </c>
    </row>
    <row r="23" ht="15" customHeight="1">
      <c r="A23" s="15" t="inlineStr">
        <is>
          <t>Exterior Equipment Concrete Pads</t>
        </is>
      </c>
      <c r="B23" s="6" t="n">
        <v>39.13</v>
      </c>
      <c r="D23" s="6" t="n">
        <v>39.13</v>
      </c>
    </row>
    <row r="24" ht="15" customHeight="1">
      <c r="A24" s="15" t="inlineStr">
        <is>
          <t>Mailboxes</t>
        </is>
      </c>
      <c r="B24" s="6" t="n">
        <v>24.26</v>
      </c>
      <c r="D24" s="6" t="n">
        <v>24.26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2834.33</v>
      </c>
      <c r="E26" s="6" t="n">
        <v>2834.33</v>
      </c>
    </row>
    <row r="27" ht="15" customHeight="1">
      <c r="A27" s="15" t="inlineStr">
        <is>
          <t>Foundations</t>
        </is>
      </c>
      <c r="B27" s="6" t="n">
        <v>5611.36</v>
      </c>
      <c r="E27" s="6" t="n">
        <v>5611.36</v>
      </c>
    </row>
    <row r="28" ht="15" customHeight="1">
      <c r="A28" s="15" t="inlineStr">
        <is>
          <t>HVAC</t>
        </is>
      </c>
      <c r="B28" s="6" t="n">
        <v>2625.61</v>
      </c>
      <c r="E28" s="6" t="n">
        <v>2625.61</v>
      </c>
    </row>
    <row r="29" ht="15" customHeight="1">
      <c r="A29" s="15" t="inlineStr">
        <is>
          <t>Electrical</t>
        </is>
      </c>
      <c r="B29" s="6" t="n">
        <v>2802.9</v>
      </c>
      <c r="E29" s="6" t="n">
        <v>2802.9</v>
      </c>
    </row>
    <row r="30" ht="15" customHeight="1">
      <c r="A30" s="15" t="inlineStr">
        <is>
          <t>Plumbing</t>
        </is>
      </c>
      <c r="B30" s="6" t="n">
        <v>2311.88</v>
      </c>
      <c r="E30" s="6" t="n">
        <v>2311.88</v>
      </c>
    </row>
    <row r="31" ht="15" customHeight="1">
      <c r="A31" s="15" t="inlineStr">
        <is>
          <t>Fire Protection &amp; Alarm</t>
        </is>
      </c>
      <c r="B31" s="6" t="n">
        <v>135.25</v>
      </c>
      <c r="E31" s="6" t="n">
        <v>135.25</v>
      </c>
    </row>
    <row r="32" ht="15" customHeight="1">
      <c r="A32" s="15" t="inlineStr">
        <is>
          <t>Exterior Façade / Building Skin</t>
        </is>
      </c>
      <c r="B32" s="6" t="n">
        <v>2244.42</v>
      </c>
      <c r="E32" s="6" t="n">
        <v>2244.42</v>
      </c>
    </row>
    <row r="33" ht="15" customHeight="1">
      <c r="A33" s="15" t="inlineStr">
        <is>
          <t>Doors &amp; Frames</t>
        </is>
      </c>
      <c r="B33" s="6" t="n">
        <v>1579.74</v>
      </c>
      <c r="E33" s="6" t="n">
        <v>1579.74</v>
      </c>
    </row>
    <row r="34" ht="15" customHeight="1">
      <c r="A34" s="15" t="inlineStr">
        <is>
          <t>Windows</t>
        </is>
      </c>
      <c r="B34" s="6" t="n">
        <v>1728.69</v>
      </c>
      <c r="E34" s="6" t="n">
        <v>1728.69</v>
      </c>
    </row>
    <row r="35" ht="15" customHeight="1">
      <c r="A35" s="15" t="inlineStr">
        <is>
          <t>Ceiling Systems</t>
        </is>
      </c>
      <c r="B35" s="6" t="n">
        <v>1362.6</v>
      </c>
      <c r="E35" s="6" t="n">
        <v>1362.6</v>
      </c>
    </row>
    <row r="36" ht="15" customHeight="1">
      <c r="A36" s="15" t="inlineStr">
        <is>
          <t>Interior Framing / Partitions</t>
        </is>
      </c>
      <c r="B36" s="6" t="n">
        <v>4921.02</v>
      </c>
      <c r="E36" s="6" t="n">
        <v>4921.02</v>
      </c>
    </row>
    <row r="37" ht="15" customHeight="1">
      <c r="A37" s="15" t="inlineStr">
        <is>
          <t>Painting</t>
        </is>
      </c>
      <c r="B37" s="6" t="n">
        <v>1576.54</v>
      </c>
      <c r="E37" s="6" t="n">
        <v>1576.54</v>
      </c>
    </row>
    <row r="38" ht="15" customHeight="1">
      <c r="A38" s="15" t="inlineStr">
        <is>
          <t>Structural Framing</t>
        </is>
      </c>
      <c r="B38" s="6" t="n">
        <v>5014.17</v>
      </c>
      <c r="E38" s="6" t="n">
        <v>5014.17</v>
      </c>
    </row>
    <row r="39" ht="15" customHeight="1">
      <c r="A39" s="15" t="inlineStr">
        <is>
          <t>Site Utilities</t>
        </is>
      </c>
      <c r="B39" s="6" t="n">
        <v>380.3</v>
      </c>
      <c r="E39" s="6" t="n">
        <v>380.3</v>
      </c>
    </row>
    <row r="40" ht="15" customHeight="1">
      <c r="A40" s="15" t="inlineStr">
        <is>
          <t>Bathroom Accessories</t>
        </is>
      </c>
      <c r="B40" s="6" t="n">
        <v>446.76</v>
      </c>
      <c r="E40" s="6" t="n">
        <v>446.76</v>
      </c>
    </row>
    <row r="41" ht="15" customHeight="1">
      <c r="A41" s="7" t="inlineStr">
        <is>
          <t>Total Building Cost</t>
        </is>
      </c>
      <c r="B41" s="8">
        <f>SUM(B8,B9,B10,B11,B12,B13,B14,B15,B16,B17,B18,B19,B21,B22,B23,B24,B26,B27,B28,B29,B30,B31,B32,B33,B34,B35,B36,B37,B38,B39,B40)</f>
        <v/>
      </c>
      <c r="C41" s="8">
        <f>SUM(C8,C9,C10,C11,C12,C13,C14,C15,C16,C17,C18,C19,C21,C22,C23,C24,C26,C27,C28,C29,C30,C31,C32,C33,C34,C35,C36,C37,C38,C39,C40)</f>
        <v/>
      </c>
      <c r="D41" s="8">
        <f>SUM(D8,D9,D10,D11,D12,D13,D14,D15,D16,D17,D18,D19,D21,D22,D23,D24,D26,D27,D28,D29,D30,D31,D32,D33,D34,D35,D36,D37,D38,D39,D40)</f>
        <v/>
      </c>
      <c r="E41" s="8">
        <f>SUM(E8,E9,E10,E11,E12,E13,E14,E15,E16,E17,E18,E19,E21,E22,E23,E24,E26,E27,E28,E29,E30,E31,E32,E33,E34,E35,E36,E37,E38,E39,E40)</f>
        <v/>
      </c>
    </row>
    <row r="42" ht="15" customHeight="1">
      <c r="A42" s="15" t="inlineStr">
        <is>
          <t>% of Building Cost</t>
        </is>
      </c>
      <c r="C42" s="16">
        <f>C41/B41</f>
        <v/>
      </c>
      <c r="D42" s="16">
        <f>D41/B41</f>
        <v/>
      </c>
      <c r="E42" s="16">
        <f>E41/B41</f>
        <v/>
      </c>
    </row>
    <row r="44" ht="15" customHeight="1">
      <c r="A44" s="12" t="inlineStr">
        <is>
          <t>ASSET ALLOCATION (Per Unit)</t>
        </is>
      </c>
    </row>
    <row r="45" ht="15" customHeight="1">
      <c r="A45" s="3" t="inlineStr">
        <is>
          <t>Asset</t>
        </is>
      </c>
      <c r="B45" s="4" t="inlineStr">
        <is>
          <t>Total</t>
        </is>
      </c>
      <c r="C45" s="4" t="inlineStr">
        <is>
          <t>5 Year</t>
        </is>
      </c>
      <c r="D45" s="4" t="inlineStr">
        <is>
          <t>15 Year</t>
        </is>
      </c>
      <c r="E45" s="4" t="inlineStr">
        <is>
          <t>27.5 Year</t>
        </is>
      </c>
    </row>
    <row r="46" ht="15" customHeight="1">
      <c r="A46" s="15" t="inlineStr">
        <is>
          <t>Asset # 13-Building - Smith Square</t>
        </is>
      </c>
      <c r="B46" s="6" t="n">
        <v>28953.09</v>
      </c>
      <c r="C46" s="6" t="n">
        <v>5312.26</v>
      </c>
      <c r="E46" s="6" t="n">
        <v>23640.83</v>
      </c>
    </row>
    <row r="47" ht="15" customHeight="1">
      <c r="A47" s="15" t="inlineStr">
        <is>
          <t>Asset # 12-Land Improvements - Smith Square</t>
        </is>
      </c>
      <c r="B47" s="6" t="n">
        <v>2228.65</v>
      </c>
      <c r="C47" s="6" t="n">
        <v>408.87</v>
      </c>
      <c r="E47" s="6" t="n">
        <v>1819.78</v>
      </c>
    </row>
    <row r="48" ht="15" customHeight="1">
      <c r="A48" s="15" t="inlineStr">
        <is>
          <t>Asset # 14-Equipment - Smith Square</t>
        </is>
      </c>
      <c r="B48" s="6" t="n">
        <v>5905.44</v>
      </c>
      <c r="C48" s="6" t="n">
        <v>1083</v>
      </c>
      <c r="E48" s="6" t="n">
        <v>4822.44</v>
      </c>
    </row>
    <row r="49" ht="15" customHeight="1">
      <c r="A49" s="7" t="inlineStr">
        <is>
          <t>Total Allocation:</t>
        </is>
      </c>
      <c r="B49" s="8">
        <f>SUM(B46,B47,B48)</f>
        <v/>
      </c>
      <c r="C49" s="8">
        <f>SUM(C46,C47,C48)</f>
        <v/>
      </c>
      <c r="D49" s="8">
        <f>SUM(D46,D47,D48)</f>
        <v/>
      </c>
      <c r="E49" s="8">
        <f>SUM(E46,E47,E48)</f>
        <v/>
      </c>
    </row>
    <row r="51" ht="15" customHeight="1">
      <c r="A51" s="12" t="inlineStr">
        <is>
          <t>24 Identical Units - Totals:</t>
        </is>
      </c>
    </row>
    <row r="52" ht="15" customHeight="1">
      <c r="A52" s="3" t="inlineStr">
        <is>
          <t>Asset</t>
        </is>
      </c>
      <c r="B52" s="4" t="inlineStr">
        <is>
          <t>Total</t>
        </is>
      </c>
      <c r="C52" s="4" t="inlineStr">
        <is>
          <t>5 Year</t>
        </is>
      </c>
      <c r="D52" s="4" t="inlineStr">
        <is>
          <t>15 Year</t>
        </is>
      </c>
      <c r="E52" s="4" t="inlineStr">
        <is>
          <t>27.5 Year</t>
        </is>
      </c>
    </row>
    <row r="53" ht="15" customHeight="1">
      <c r="A53" s="15" t="inlineStr">
        <is>
          <t>Asset # 12-Land Improvements - Smith Square</t>
        </is>
      </c>
      <c r="B53" s="6" t="n">
        <v>43832</v>
      </c>
      <c r="C53" s="6" t="n">
        <v>8155</v>
      </c>
      <c r="D53" s="6" t="n">
        <v>1280</v>
      </c>
      <c r="E53" s="6" t="n">
        <v>34397</v>
      </c>
    </row>
    <row r="54" ht="15" customHeight="1">
      <c r="A54" s="15" t="inlineStr">
        <is>
          <t>Asset # 13-Building - Smith Square</t>
        </is>
      </c>
      <c r="B54" s="6" t="n">
        <v>569814</v>
      </c>
      <c r="C54" s="6" t="n">
        <v>106017</v>
      </c>
      <c r="D54" s="6" t="n">
        <v>0</v>
      </c>
      <c r="E54" s="6" t="n">
        <v>463797</v>
      </c>
    </row>
    <row r="55" ht="15" customHeight="1">
      <c r="A55" s="15" t="inlineStr">
        <is>
          <t>Asset # 14-Equipment - Smith Square</t>
        </is>
      </c>
      <c r="B55" s="6" t="n">
        <v>116885</v>
      </c>
      <c r="C55" s="6" t="n">
        <v>21672</v>
      </c>
      <c r="D55" s="6" t="n">
        <v>0</v>
      </c>
      <c r="E55" s="6" t="n">
        <v>95213</v>
      </c>
    </row>
    <row r="56" ht="15" customHeight="1">
      <c r="A56" s="7" t="inlineStr">
        <is>
          <t>Total Allocation:</t>
        </is>
      </c>
      <c r="B56" s="8">
        <f>SUM(B53,B54,B55)</f>
        <v/>
      </c>
      <c r="C56" s="8">
        <f>SUM(C53,C54,C55)</f>
        <v/>
      </c>
      <c r="D56" s="8">
        <f>SUM(D53,D54,D55)</f>
        <v/>
      </c>
      <c r="E56" s="8">
        <f>SUM(E53,E54,E55)</f>
        <v/>
      </c>
    </row>
    <row r="58" ht="15" customHeight="1">
      <c r="A58" s="12" t="inlineStr">
        <is>
          <t>AS PREVIOUSLY FILED — 481(a) Calculation (Regular Tax)</t>
        </is>
      </c>
    </row>
    <row r="59" ht="15" customHeight="1">
      <c r="A59" s="17" t="inlineStr">
        <is>
          <t>Asset Description</t>
        </is>
      </c>
      <c r="B59" s="18" t="inlineStr">
        <is>
          <t>Tax Cost</t>
        </is>
      </c>
      <c r="C59" s="18" t="inlineStr">
        <is>
          <t>Sec 179 Exp</t>
        </is>
      </c>
      <c r="D59" s="18" t="inlineStr">
        <is>
          <t>Bonus Amt</t>
        </is>
      </c>
      <c r="E59" s="18" t="inlineStr">
        <is>
          <t>Prior Depreciation</t>
        </is>
      </c>
      <c r="F59" s="18" t="inlineStr">
        <is>
          <t>Current Depreciation</t>
        </is>
      </c>
      <c r="G59" s="18" t="inlineStr">
        <is>
          <t>End Depreciation</t>
        </is>
      </c>
      <c r="H59" s="18" t="inlineStr">
        <is>
          <t>Net Book Value</t>
        </is>
      </c>
      <c r="I59" s="18" t="inlineStr">
        <is>
          <t>Method</t>
        </is>
      </c>
      <c r="J59" s="18" t="inlineStr">
        <is>
          <t>Period</t>
        </is>
      </c>
    </row>
    <row r="60" ht="15" customHeight="1">
      <c r="A60" s="19" t="inlineStr">
        <is>
          <t>12 - Land Improvements - Smith Square</t>
        </is>
      </c>
      <c r="B60" s="6" t="n">
        <v>43832</v>
      </c>
      <c r="C60" s="6" t="n">
        <v>0</v>
      </c>
      <c r="D60" s="6" t="n">
        <v>0</v>
      </c>
      <c r="E60" s="6" t="n">
        <v>20753.56</v>
      </c>
      <c r="F60" s="6" t="n">
        <v>2588.37</v>
      </c>
      <c r="G60" s="6" t="n">
        <v>23341.93</v>
      </c>
      <c r="H60" s="6" t="n">
        <v>20490.07</v>
      </c>
      <c r="I60" s="20" t="inlineStr">
        <is>
          <t>150DB</t>
        </is>
      </c>
      <c r="J60" s="20" t="n">
        <v>15</v>
      </c>
    </row>
    <row r="61" ht="15" customHeight="1">
      <c r="A61" s="19" t="inlineStr">
        <is>
          <t>13 - Buidling - Smith Square</t>
        </is>
      </c>
      <c r="B61" s="6" t="n">
        <v>569814</v>
      </c>
      <c r="C61" s="6" t="n">
        <v>0</v>
      </c>
      <c r="D61" s="6" t="n">
        <v>0</v>
      </c>
      <c r="E61" s="6" t="n">
        <v>125185.59</v>
      </c>
      <c r="F61" s="6" t="n">
        <v>20720.33</v>
      </c>
      <c r="G61" s="6" t="n">
        <v>145905.92</v>
      </c>
      <c r="H61" s="6" t="n">
        <v>423908.08</v>
      </c>
      <c r="I61" s="20" t="inlineStr">
        <is>
          <t>S/L</t>
        </is>
      </c>
      <c r="J61" s="20" t="n">
        <v>27.5</v>
      </c>
    </row>
    <row r="62" ht="15" customHeight="1">
      <c r="A62" s="19" t="inlineStr">
        <is>
          <t>14 - Equpiment - Smith Square</t>
        </is>
      </c>
      <c r="B62" s="6" t="n">
        <v>116885</v>
      </c>
      <c r="C62" s="6" t="n">
        <v>0</v>
      </c>
      <c r="D62" s="6" t="n">
        <v>0</v>
      </c>
      <c r="E62" s="6" t="n">
        <v>116885</v>
      </c>
      <c r="F62" s="6" t="n">
        <v>0</v>
      </c>
      <c r="G62" s="6" t="n">
        <v>116885</v>
      </c>
      <c r="H62" s="6" t="n">
        <v>0</v>
      </c>
      <c r="I62" s="20" t="inlineStr">
        <is>
          <t>200DB</t>
        </is>
      </c>
      <c r="J62" s="20" t="n">
        <v>5</v>
      </c>
    </row>
    <row r="63" ht="15" customHeight="1">
      <c r="A63" s="21" t="inlineStr">
        <is>
          <t>Grand Total</t>
        </is>
      </c>
      <c r="B63" s="8">
        <f>SUM(B60,B61,B62)</f>
        <v/>
      </c>
      <c r="C63" s="8">
        <f>SUM(C60,C61,C62)</f>
        <v/>
      </c>
      <c r="D63" s="8">
        <f>SUM(D60,D61,D62)</f>
        <v/>
      </c>
      <c r="E63" s="8">
        <f>SUM(E60,E61,E62)</f>
        <v/>
      </c>
      <c r="F63" s="8">
        <f>SUM(F60,F61,F62)</f>
        <v/>
      </c>
      <c r="G63" s="8">
        <f>SUM(G60,G61,G62)</f>
        <v/>
      </c>
      <c r="H63" s="8">
        <f>SUM(H60,H61,H62)</f>
        <v/>
      </c>
    </row>
    <row r="65" ht="15" customHeight="1">
      <c r="A65" s="12" t="inlineStr">
        <is>
          <t>AFTER COST SEGREGATION CORRECTION — 481(a) Calculation (Regular Tax)</t>
        </is>
      </c>
    </row>
    <row r="66" ht="15" customHeight="1">
      <c r="A66" s="17" t="inlineStr">
        <is>
          <t>Asset Description</t>
        </is>
      </c>
      <c r="B66" s="18" t="inlineStr">
        <is>
          <t>Tax Cost</t>
        </is>
      </c>
      <c r="C66" s="18" t="inlineStr">
        <is>
          <t>Sec 179 Exp</t>
        </is>
      </c>
      <c r="D66" s="18" t="inlineStr">
        <is>
          <t>Bonus Amt</t>
        </is>
      </c>
      <c r="E66" s="18" t="inlineStr">
        <is>
          <t>Prior Depreciation</t>
        </is>
      </c>
      <c r="F66" s="18" t="inlineStr">
        <is>
          <t>Current Depreciation</t>
        </is>
      </c>
      <c r="G66" s="18" t="inlineStr">
        <is>
          <t>End Depreciation</t>
        </is>
      </c>
      <c r="H66" s="18" t="inlineStr">
        <is>
          <t>Net Book Value</t>
        </is>
      </c>
      <c r="I66" s="18" t="inlineStr">
        <is>
          <t>Method</t>
        </is>
      </c>
      <c r="J66" s="18" t="inlineStr">
        <is>
          <t>Period</t>
        </is>
      </c>
    </row>
    <row r="67" ht="15" customHeight="1">
      <c r="A67" s="19" t="inlineStr">
        <is>
          <t>12 - Land Improvements - Smith Square - 5yr</t>
        </is>
      </c>
      <c r="B67" s="6" t="n">
        <v>8155</v>
      </c>
      <c r="C67" s="6" t="n">
        <v>0</v>
      </c>
      <c r="D67" s="6" t="n">
        <v>0</v>
      </c>
      <c r="E67" s="6" t="n">
        <v>8155</v>
      </c>
      <c r="F67" s="6" t="n">
        <v>0</v>
      </c>
      <c r="G67" s="6" t="n">
        <v>8155</v>
      </c>
      <c r="H67" s="6" t="n">
        <v>0</v>
      </c>
      <c r="I67" s="20" t="inlineStr">
        <is>
          <t>200DB</t>
        </is>
      </c>
      <c r="J67" s="20" t="n">
        <v>5</v>
      </c>
    </row>
    <row r="68" ht="15" customHeight="1">
      <c r="A68" s="19" t="inlineStr">
        <is>
          <t>12 - Land Improvements - Smith Square - 15yr</t>
        </is>
      </c>
      <c r="B68" s="6" t="n">
        <v>1280</v>
      </c>
      <c r="C68" s="6" t="n">
        <v>0</v>
      </c>
      <c r="D68" s="6" t="n">
        <v>0</v>
      </c>
      <c r="E68" s="6" t="n">
        <v>1280</v>
      </c>
      <c r="F68" s="6" t="n">
        <v>0</v>
      </c>
      <c r="G68" s="6" t="n">
        <v>1280</v>
      </c>
      <c r="H68" s="6" t="n">
        <v>0</v>
      </c>
      <c r="I68" s="20" t="inlineStr">
        <is>
          <t>150DB</t>
        </is>
      </c>
      <c r="J68" s="20" t="n">
        <v>15</v>
      </c>
    </row>
    <row r="69" ht="15" customHeight="1">
      <c r="A69" s="19" t="inlineStr">
        <is>
          <t>12 - Land Improvements - Smith Square - 27.5yr</t>
        </is>
      </c>
      <c r="B69" s="6" t="n">
        <v>34397</v>
      </c>
      <c r="C69" s="6" t="n">
        <v>0</v>
      </c>
      <c r="D69" s="6" t="n">
        <v>0</v>
      </c>
      <c r="E69" s="6" t="n">
        <v>0</v>
      </c>
      <c r="F69" s="6" t="n">
        <v>1250.8</v>
      </c>
      <c r="G69" s="6" t="n">
        <v>8807.719999999999</v>
      </c>
      <c r="H69" s="6" t="n">
        <v>25589.28</v>
      </c>
      <c r="I69" s="20" t="inlineStr">
        <is>
          <t>S/L</t>
        </is>
      </c>
      <c r="J69" s="20" t="n">
        <v>27.5</v>
      </c>
    </row>
    <row r="70" ht="15" customHeight="1">
      <c r="A70" s="19" t="inlineStr">
        <is>
          <t>13 - Buidling - Smith Square - 5yr</t>
        </is>
      </c>
      <c r="B70" s="6" t="n">
        <v>106017</v>
      </c>
      <c r="C70" s="6" t="n">
        <v>0</v>
      </c>
      <c r="D70" s="6" t="n">
        <v>0</v>
      </c>
      <c r="E70" s="6" t="n">
        <v>106017</v>
      </c>
      <c r="F70" s="6" t="n">
        <v>0</v>
      </c>
      <c r="G70" s="6" t="n">
        <v>106017</v>
      </c>
      <c r="H70" s="6" t="n">
        <v>0</v>
      </c>
      <c r="I70" s="20" t="inlineStr">
        <is>
          <t>200DB</t>
        </is>
      </c>
      <c r="J70" s="20" t="n">
        <v>5</v>
      </c>
    </row>
    <row r="71" ht="15" customHeight="1">
      <c r="A71" s="19" t="inlineStr">
        <is>
          <t>13 - Buidling - Smith Square - 15yr</t>
        </is>
      </c>
      <c r="B71" s="6" t="n">
        <v>16634</v>
      </c>
      <c r="C71" s="6" t="n">
        <v>0</v>
      </c>
      <c r="D71" s="6" t="n">
        <v>0</v>
      </c>
      <c r="E71" s="6" t="n">
        <v>16634</v>
      </c>
      <c r="F71" s="6" t="n">
        <v>0</v>
      </c>
      <c r="G71" s="6" t="n">
        <v>16634</v>
      </c>
      <c r="H71" s="6" t="n">
        <v>0</v>
      </c>
      <c r="I71" s="20" t="inlineStr">
        <is>
          <t>150DB</t>
        </is>
      </c>
      <c r="J71" s="20" t="n">
        <v>15</v>
      </c>
    </row>
    <row r="72" ht="15" customHeight="1">
      <c r="A72" s="19" t="inlineStr">
        <is>
          <t>13 - Buidling - Smith Square - 27.5yr</t>
        </is>
      </c>
      <c r="B72" s="6" t="n">
        <v>447163</v>
      </c>
      <c r="C72" s="6" t="n">
        <v>0</v>
      </c>
      <c r="D72" s="6" t="n">
        <v>0</v>
      </c>
      <c r="E72" s="6" t="n">
        <v>0</v>
      </c>
      <c r="F72" s="6" t="n">
        <v>16260.47</v>
      </c>
      <c r="G72" s="6" t="n">
        <v>114500.81</v>
      </c>
      <c r="H72" s="6" t="n">
        <v>332662.19</v>
      </c>
      <c r="I72" s="20" t="inlineStr">
        <is>
          <t>S/L</t>
        </is>
      </c>
      <c r="J72" s="20" t="n">
        <v>27.5</v>
      </c>
    </row>
    <row r="73" ht="15" customHeight="1">
      <c r="A73" s="19" t="inlineStr">
        <is>
          <t>14 - Equpiment - Smith Square - 5yr</t>
        </is>
      </c>
      <c r="B73" s="6" t="n">
        <v>21747</v>
      </c>
      <c r="C73" s="6" t="n">
        <v>0</v>
      </c>
      <c r="D73" s="6" t="n">
        <v>0</v>
      </c>
      <c r="E73" s="6" t="n">
        <v>21747</v>
      </c>
      <c r="F73" s="6" t="n">
        <v>0</v>
      </c>
      <c r="G73" s="6" t="n">
        <v>21747</v>
      </c>
      <c r="H73" s="6" t="n">
        <v>0</v>
      </c>
      <c r="I73" s="20" t="inlineStr">
        <is>
          <t>200DB</t>
        </is>
      </c>
      <c r="J73" s="20" t="n">
        <v>5</v>
      </c>
    </row>
    <row r="74" ht="15" customHeight="1">
      <c r="A74" s="19" t="inlineStr">
        <is>
          <t>14 - Equpiment - Smith Square - 15yr</t>
        </is>
      </c>
      <c r="B74" s="6" t="n">
        <v>3412</v>
      </c>
      <c r="C74" s="6" t="n">
        <v>0</v>
      </c>
      <c r="D74" s="6" t="n">
        <v>0</v>
      </c>
      <c r="E74" s="6" t="n">
        <v>3412</v>
      </c>
      <c r="F74" s="6" t="n">
        <v>0</v>
      </c>
      <c r="G74" s="6" t="n">
        <v>3412</v>
      </c>
      <c r="H74" s="6" t="n">
        <v>0</v>
      </c>
      <c r="I74" s="20" t="inlineStr">
        <is>
          <t>150DB</t>
        </is>
      </c>
      <c r="J74" s="20" t="n">
        <v>15</v>
      </c>
    </row>
    <row r="75" ht="15" customHeight="1">
      <c r="A75" s="19" t="inlineStr">
        <is>
          <t>14 - Equpiment - Smith Square - 27.5yr</t>
        </is>
      </c>
      <c r="B75" s="6" t="n">
        <v>91726</v>
      </c>
      <c r="C75" s="6" t="n">
        <v>0</v>
      </c>
      <c r="D75" s="6" t="n">
        <v>0</v>
      </c>
      <c r="E75" s="6" t="n">
        <v>0</v>
      </c>
      <c r="F75" s="6" t="n">
        <v>3335.49</v>
      </c>
      <c r="G75" s="6" t="n">
        <v>23487.41</v>
      </c>
      <c r="H75" s="6" t="n">
        <v>68238.59</v>
      </c>
      <c r="I75" s="20" t="inlineStr">
        <is>
          <t>S/L</t>
        </is>
      </c>
      <c r="J75" s="20" t="n">
        <v>27.5</v>
      </c>
    </row>
    <row r="76" ht="15" customHeight="1">
      <c r="A76" s="21" t="inlineStr">
        <is>
          <t>Grand Total</t>
        </is>
      </c>
      <c r="B76" s="8">
        <f>SUM(B67,B68,B69,B70,B71,B72,B73,B74,B75)</f>
        <v/>
      </c>
      <c r="C76" s="8">
        <f>SUM(C67,C68,C69,C70,C71,C72,C73,C74,C75)</f>
        <v/>
      </c>
      <c r="D76" s="8">
        <f>SUM(D67,D68,D69,D70,D71,D72,D73,D74,D75)</f>
        <v/>
      </c>
      <c r="E76" s="8">
        <f>SUM(E67,E68,E69,E70,E71,E72,E73,E74,E75)</f>
        <v/>
      </c>
      <c r="F76" s="8">
        <f>SUM(F67,F68,F69,F70,F71,F72,F73,F74,F75)</f>
        <v/>
      </c>
      <c r="G76" s="8">
        <f>SUM(G67,G68,G69,G70,G71,G72,G73,G74,G75)</f>
        <v/>
      </c>
      <c r="H76" s="8">
        <f>SUM(H67,H68,H69,H70,H71,H72,H73,H74,H75)</f>
        <v/>
      </c>
    </row>
    <row r="78" ht="15" customHeight="1">
      <c r="A78" s="22" t="inlineStr">
        <is>
          <t>SECTION 481(a) ADJUSTMENT</t>
        </is>
      </c>
    </row>
    <row r="79" ht="15" customHeight="1">
      <c r="A79" s="23" t="inlineStr">
        <is>
          <t>Depreciation reported previously</t>
        </is>
      </c>
      <c r="B79" s="24" t="n">
        <v>286132.85</v>
      </c>
    </row>
    <row r="80" ht="15" customHeight="1">
      <c r="A80" s="23" t="inlineStr">
        <is>
          <t>Cost Segregation Corrected Depreciation</t>
        </is>
      </c>
      <c r="B80" s="24" t="n">
        <v>304040.94</v>
      </c>
    </row>
    <row r="81" ht="15" customHeight="1">
      <c r="A81" s="22" t="inlineStr">
        <is>
          <t>Section 481(a) Adjustment</t>
        </is>
      </c>
      <c r="B81" s="25" t="n">
        <v>-17908.09000000003</v>
      </c>
    </row>
  </sheetData>
  <mergeCells count="12">
    <mergeCell ref="A20:E20"/>
    <mergeCell ref="A78:E78"/>
    <mergeCell ref="A2:E2"/>
    <mergeCell ref="A58:J58"/>
    <mergeCell ref="A7:E7"/>
    <mergeCell ref="A25:E25"/>
    <mergeCell ref="A51:E51"/>
    <mergeCell ref="A1:E1"/>
    <mergeCell ref="A5:E5"/>
    <mergeCell ref="A65:J65"/>
    <mergeCell ref="A44:E44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1209 Smith Square Dr., Hammond, LA 70403</t>
        </is>
      </c>
    </row>
    <row r="3" ht="15" customHeight="1">
      <c r="A3" s="11" t="inlineStr">
        <is>
          <t>Marrero 3 LP  |  EIN 82-2324040  |  FYE 12/31/2024  |  Partial Assets #12, #13, &amp; #14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990.47</v>
      </c>
      <c r="C8" s="6" t="n">
        <v>990.47</v>
      </c>
    </row>
    <row r="9" ht="15" customHeight="1">
      <c r="A9" s="15" t="inlineStr">
        <is>
          <t>Moldings</t>
        </is>
      </c>
      <c r="B9" s="6" t="n">
        <v>702.0700000000001</v>
      </c>
      <c r="C9" s="6" t="n">
        <v>702.0700000000001</v>
      </c>
    </row>
    <row r="10" ht="15" customHeight="1">
      <c r="A10" s="15" t="inlineStr">
        <is>
          <t>Flooring - Wood Laminate</t>
        </is>
      </c>
      <c r="B10" s="6" t="n">
        <v>1541.32</v>
      </c>
      <c r="C10" s="6" t="n">
        <v>1541.32</v>
      </c>
    </row>
    <row r="11" ht="15" customHeight="1">
      <c r="A11" s="15" t="inlineStr">
        <is>
          <t>Security System</t>
        </is>
      </c>
      <c r="B11" s="6" t="n">
        <v>326.42</v>
      </c>
      <c r="C11" s="6" t="n">
        <v>326.42</v>
      </c>
    </row>
    <row r="12" ht="15" customHeight="1">
      <c r="A12" s="15" t="inlineStr">
        <is>
          <t>Window Treatments</t>
        </is>
      </c>
      <c r="B12" s="6" t="n">
        <v>191.73</v>
      </c>
      <c r="C12" s="6" t="n">
        <v>191.73</v>
      </c>
    </row>
    <row r="13" ht="15" customHeight="1">
      <c r="A13" s="15" t="inlineStr">
        <is>
          <t>Specialty HVAC - Dryer Vents</t>
        </is>
      </c>
      <c r="B13" s="6" t="n">
        <v>27.77</v>
      </c>
      <c r="C13" s="6" t="n">
        <v>27.77</v>
      </c>
    </row>
    <row r="14" ht="15" customHeight="1">
      <c r="A14" s="15" t="inlineStr">
        <is>
          <t>Building Signage</t>
        </is>
      </c>
      <c r="B14" s="6" t="n">
        <v>18.26</v>
      </c>
      <c r="C14" s="6" t="n">
        <v>18.26</v>
      </c>
    </row>
    <row r="15" ht="15" customHeight="1">
      <c r="A15" s="15" t="inlineStr">
        <is>
          <t>Specialty Electrical - Appliances</t>
        </is>
      </c>
      <c r="B15" s="6" t="n">
        <v>474.3</v>
      </c>
      <c r="C15" s="6" t="n">
        <v>474.3</v>
      </c>
    </row>
    <row r="16" ht="15" customHeight="1">
      <c r="A16" s="15" t="inlineStr">
        <is>
          <t>Communication / Data</t>
        </is>
      </c>
      <c r="B16" s="6" t="n">
        <v>201.84</v>
      </c>
      <c r="C16" s="6" t="n">
        <v>201.84</v>
      </c>
    </row>
    <row r="17" ht="15" customHeight="1">
      <c r="A17" s="15" t="inlineStr">
        <is>
          <t>Specialty Plumbing - Kitchen Sink / Laundry</t>
        </is>
      </c>
      <c r="B17" s="6" t="n">
        <v>519.3</v>
      </c>
      <c r="C17" s="6" t="n">
        <v>519.3</v>
      </c>
    </row>
    <row r="18" ht="15" customHeight="1">
      <c r="A18" s="15" t="inlineStr">
        <is>
          <t>Security / Exterior Lighting</t>
        </is>
      </c>
      <c r="B18" s="6" t="n">
        <v>103</v>
      </c>
      <c r="C18" s="6" t="n">
        <v>103</v>
      </c>
    </row>
    <row r="19" ht="15" customHeight="1">
      <c r="A19" s="15" t="inlineStr">
        <is>
          <t>Specialty Electrical - Appliances</t>
        </is>
      </c>
      <c r="B19" s="6" t="n">
        <v>46.57</v>
      </c>
      <c r="C19" s="6" t="n">
        <v>46.57</v>
      </c>
    </row>
    <row r="20" ht="15" customHeight="1">
      <c r="A20" s="15" t="inlineStr">
        <is>
          <t>Appliances</t>
        </is>
      </c>
      <c r="B20" s="6" t="n">
        <v>520.23</v>
      </c>
      <c r="C20" s="6" t="n">
        <v>520.23</v>
      </c>
    </row>
    <row r="21" ht="15" customHeight="1">
      <c r="A21" s="13" t="inlineStr">
        <is>
          <t>Site Work / Improvements</t>
        </is>
      </c>
      <c r="B21" s="14" t="n"/>
      <c r="C21" s="14" t="n"/>
      <c r="D21" s="14" t="n"/>
      <c r="E21" s="14" t="n"/>
    </row>
    <row r="22" ht="15" customHeight="1">
      <c r="A22" s="15" t="inlineStr">
        <is>
          <t>Driveway</t>
        </is>
      </c>
      <c r="B22" s="6" t="n">
        <v>685.64</v>
      </c>
      <c r="D22" s="6" t="n">
        <v>685.64</v>
      </c>
    </row>
    <row r="23" ht="15" customHeight="1">
      <c r="A23" s="15" t="inlineStr">
        <is>
          <t>Sidewalks / Curbs</t>
        </is>
      </c>
      <c r="B23" s="6" t="n">
        <v>150.96</v>
      </c>
      <c r="D23" s="6" t="n">
        <v>150.96</v>
      </c>
    </row>
    <row r="24" ht="15" customHeight="1">
      <c r="A24" s="15" t="inlineStr">
        <is>
          <t>Exterior Equipment Concrete Pads</t>
        </is>
      </c>
      <c r="B24" s="6" t="n">
        <v>32.07</v>
      </c>
      <c r="D24" s="6" t="n">
        <v>32.07</v>
      </c>
    </row>
    <row r="25" ht="15" customHeight="1">
      <c r="A25" s="15" t="inlineStr">
        <is>
          <t>Mailboxes</t>
        </is>
      </c>
      <c r="B25" s="6" t="n">
        <v>19.9</v>
      </c>
      <c r="D25" s="6" t="n">
        <v>19.9</v>
      </c>
    </row>
    <row r="26" ht="15" customHeight="1">
      <c r="A26" s="13" t="inlineStr">
        <is>
          <t>Building Structure</t>
        </is>
      </c>
      <c r="B26" s="14" t="n"/>
      <c r="C26" s="14" t="n"/>
      <c r="D26" s="14" t="n"/>
      <c r="E26" s="14" t="n"/>
    </row>
    <row r="27" ht="15" customHeight="1">
      <c r="A27" s="15" t="inlineStr">
        <is>
          <t>Roofing Systems</t>
        </is>
      </c>
      <c r="B27" s="6" t="n">
        <v>1795.53</v>
      </c>
      <c r="E27" s="6" t="n">
        <v>1795.53</v>
      </c>
    </row>
    <row r="28" ht="15" customHeight="1">
      <c r="A28" s="15" t="inlineStr">
        <is>
          <t>Foundations</t>
        </is>
      </c>
      <c r="B28" s="6" t="n">
        <v>3640.65</v>
      </c>
      <c r="E28" s="6" t="n">
        <v>3640.65</v>
      </c>
    </row>
    <row r="29" ht="15" customHeight="1">
      <c r="A29" s="15" t="inlineStr">
        <is>
          <t>HVAC</t>
        </is>
      </c>
      <c r="B29" s="6" t="n">
        <v>2074.48</v>
      </c>
      <c r="E29" s="6" t="n">
        <v>2074.48</v>
      </c>
    </row>
    <row r="30" ht="15" customHeight="1">
      <c r="A30" s="15" t="inlineStr">
        <is>
          <t>Electrical</t>
        </is>
      </c>
      <c r="B30" s="6" t="n">
        <v>1981.12</v>
      </c>
      <c r="E30" s="6" t="n">
        <v>1981.12</v>
      </c>
    </row>
    <row r="31" ht="15" customHeight="1">
      <c r="A31" s="15" t="inlineStr">
        <is>
          <t>Plumbing</t>
        </is>
      </c>
      <c r="B31" s="6" t="n">
        <v>1827.48</v>
      </c>
      <c r="E31" s="6" t="n">
        <v>1827.48</v>
      </c>
    </row>
    <row r="32" ht="15" customHeight="1">
      <c r="A32" s="15" t="inlineStr">
        <is>
          <t>Fire Protection &amp; Alarm</t>
        </is>
      </c>
      <c r="B32" s="6" t="n">
        <v>110.84</v>
      </c>
      <c r="E32" s="6" t="n">
        <v>110.84</v>
      </c>
    </row>
    <row r="33" ht="15" customHeight="1">
      <c r="A33" s="15" t="inlineStr">
        <is>
          <t>Exterior Façade / Building Skin</t>
        </is>
      </c>
      <c r="B33" s="6" t="n">
        <v>1031.81</v>
      </c>
      <c r="E33" s="6" t="n">
        <v>1031.81</v>
      </c>
    </row>
    <row r="34" ht="15" customHeight="1">
      <c r="A34" s="15" t="inlineStr">
        <is>
          <t>Doors &amp; Frames</t>
        </is>
      </c>
      <c r="B34" s="6" t="n">
        <v>953.01</v>
      </c>
      <c r="E34" s="6" t="n">
        <v>953.01</v>
      </c>
    </row>
    <row r="35" ht="15" customHeight="1">
      <c r="A35" s="15" t="inlineStr">
        <is>
          <t>Windows</t>
        </is>
      </c>
      <c r="B35" s="6" t="n">
        <v>845.03</v>
      </c>
      <c r="E35" s="6" t="n">
        <v>845.03</v>
      </c>
    </row>
    <row r="36" ht="15" customHeight="1">
      <c r="A36" s="15" t="inlineStr">
        <is>
          <t>Ceiling Systems</t>
        </is>
      </c>
      <c r="B36" s="6" t="n">
        <v>1080.49</v>
      </c>
      <c r="E36" s="6" t="n">
        <v>1080.49</v>
      </c>
    </row>
    <row r="37" ht="15" customHeight="1">
      <c r="A37" s="15" t="inlineStr">
        <is>
          <t>Interior Framing / Partitions</t>
        </is>
      </c>
      <c r="B37" s="6" t="n">
        <v>3076.64</v>
      </c>
      <c r="E37" s="6" t="n">
        <v>3076.64</v>
      </c>
    </row>
    <row r="38" ht="15" customHeight="1">
      <c r="A38" s="15" t="inlineStr">
        <is>
          <t>Painting</t>
        </is>
      </c>
      <c r="B38" s="6" t="n">
        <v>1043.32</v>
      </c>
      <c r="E38" s="6" t="n">
        <v>1043.32</v>
      </c>
    </row>
    <row r="39" ht="15" customHeight="1">
      <c r="A39" s="15" t="inlineStr">
        <is>
          <t>Structural Framing</t>
        </is>
      </c>
      <c r="B39" s="6" t="n">
        <v>3237.39</v>
      </c>
      <c r="E39" s="6" t="n">
        <v>3237.39</v>
      </c>
    </row>
    <row r="40" ht="15" customHeight="1">
      <c r="A40" s="15" t="inlineStr">
        <is>
          <t>Site Utilities</t>
        </is>
      </c>
      <c r="B40" s="6" t="n">
        <v>320.35</v>
      </c>
      <c r="E40" s="6" t="n">
        <v>320.35</v>
      </c>
    </row>
    <row r="41" ht="15" customHeight="1">
      <c r="A41" s="15" t="inlineStr">
        <is>
          <t>Bathroom Accessories</t>
        </is>
      </c>
      <c r="B41" s="6" t="n">
        <v>441.33</v>
      </c>
      <c r="E41" s="6" t="n">
        <v>441.33</v>
      </c>
    </row>
    <row r="42" ht="15" customHeight="1">
      <c r="A42" s="15" t="inlineStr">
        <is>
          <t>Cabinets / Millwork - Restrooms</t>
        </is>
      </c>
      <c r="B42" s="6" t="n">
        <v>427.48</v>
      </c>
      <c r="E42" s="6" t="n">
        <v>427.48</v>
      </c>
    </row>
    <row r="43" ht="15" customHeight="1">
      <c r="A43" s="7" t="inlineStr">
        <is>
          <t>Total Building Cost</t>
        </is>
      </c>
      <c r="B43" s="8">
        <f>SUM(B8,B9,B10,B11,B12,B13,B14,B15,B16,B17,B18,B19,B20,B22,B23,B24,B25,B27,B28,B29,B30,B31,B32,B33,B34,B35,B36,B37,B38,B39,B40,B41,B42)</f>
        <v/>
      </c>
      <c r="C43" s="8">
        <f>SUM(C8,C9,C10,C11,C12,C13,C14,C15,C16,C17,C18,C19,C20,C22,C23,C24,C25,C27,C28,C29,C30,C31,C32,C33,C34,C35,C36,C37,C38,C39,C40,C41,C42)</f>
        <v/>
      </c>
      <c r="D43" s="8">
        <f>SUM(D8,D9,D10,D11,D12,D13,D14,D15,D16,D17,D18,D19,D20,D22,D23,D24,D25,D27,D28,D29,D30,D31,D32,D33,D34,D35,D36,D37,D38,D39,D40,D41,D42)</f>
        <v/>
      </c>
      <c r="E43" s="8">
        <f>SUM(E8,E9,E10,E11,E12,E13,E14,E15,E16,E17,E18,E19,E20,E22,E23,E24,E25,E27,E28,E29,E30,E31,E32,E33,E34,E35,E36,E37,E38,E39,E40,E41,E42)</f>
        <v/>
      </c>
    </row>
    <row r="44" ht="15" customHeight="1">
      <c r="A44" s="15" t="inlineStr">
        <is>
          <t>% of Building Cost</t>
        </is>
      </c>
      <c r="C44" s="16">
        <f>C43/B43</f>
        <v/>
      </c>
      <c r="D44" s="16">
        <f>D43/B43</f>
        <v/>
      </c>
      <c r="E44" s="16">
        <f>E43/B43</f>
        <v/>
      </c>
    </row>
    <row r="46" ht="15" customHeight="1">
      <c r="A46" s="12" t="inlineStr">
        <is>
          <t>ASSET ALLOCATION (Per Unit)</t>
        </is>
      </c>
    </row>
    <row r="47" ht="15" customHeight="1">
      <c r="A47" s="3" t="inlineStr">
        <is>
          <t>Asset</t>
        </is>
      </c>
      <c r="B47" s="4" t="inlineStr">
        <is>
          <t>Total</t>
        </is>
      </c>
      <c r="C47" s="4" t="inlineStr">
        <is>
          <t>5 Year</t>
        </is>
      </c>
      <c r="D47" s="4" t="inlineStr">
        <is>
          <t>15 Year</t>
        </is>
      </c>
      <c r="E47" s="4" t="inlineStr">
        <is>
          <t>27.5 Year</t>
        </is>
      </c>
    </row>
    <row r="48" ht="15" customHeight="1">
      <c r="A48" s="15" t="inlineStr">
        <is>
          <t>Asset # 13-Building - Smith Square</t>
        </is>
      </c>
      <c r="B48" s="6" t="n">
        <v>23742.25</v>
      </c>
      <c r="C48" s="6" t="n">
        <v>4417.36</v>
      </c>
      <c r="D48" s="6" t="n">
        <v>693.08</v>
      </c>
      <c r="E48" s="6" t="n">
        <v>18631.81</v>
      </c>
    </row>
    <row r="49" ht="15" customHeight="1">
      <c r="A49" s="15" t="inlineStr">
        <is>
          <t>Asset # 12-Land Improvements - Smith Square</t>
        </is>
      </c>
      <c r="B49" s="6" t="n">
        <v>1826.33</v>
      </c>
      <c r="C49" s="6" t="n">
        <v>339.79</v>
      </c>
      <c r="D49" s="6" t="n">
        <v>142.17</v>
      </c>
      <c r="E49" s="6" t="n">
        <v>1433.22</v>
      </c>
    </row>
    <row r="50" ht="15" customHeight="1">
      <c r="A50" s="15" t="inlineStr">
        <is>
          <t>Asset # 14-Equipment - Smith Square</t>
        </is>
      </c>
      <c r="B50" s="6" t="n">
        <v>4870.22</v>
      </c>
      <c r="C50" s="6" t="n">
        <v>906.13</v>
      </c>
      <c r="D50" s="6" t="n">
        <v>53.32</v>
      </c>
      <c r="E50" s="6" t="n">
        <v>3821.92</v>
      </c>
    </row>
    <row r="51" ht="15" customHeight="1">
      <c r="A51" s="7" t="inlineStr">
        <is>
          <t>Total Allocation:</t>
        </is>
      </c>
      <c r="B51" s="8">
        <f>SUM(B48,B49,B50)</f>
        <v/>
      </c>
      <c r="C51" s="8">
        <f>SUM(C48,C49,C50)</f>
        <v/>
      </c>
      <c r="D51" s="8">
        <f>SUM(D48,D49,D50)</f>
        <v/>
      </c>
      <c r="E51" s="8">
        <f>SUM(E48,E49,E50)</f>
        <v/>
      </c>
    </row>
    <row r="53" ht="15" customHeight="1">
      <c r="A53" s="12" t="inlineStr">
        <is>
          <t>10 Identical Units - Totals:</t>
        </is>
      </c>
    </row>
    <row r="54" ht="15" customHeight="1">
      <c r="A54" s="3" t="inlineStr">
        <is>
          <t>Asset</t>
        </is>
      </c>
      <c r="B54" s="4" t="inlineStr">
        <is>
          <t>Total</t>
        </is>
      </c>
      <c r="C54" s="4" t="inlineStr">
        <is>
          <t>5 Year</t>
        </is>
      </c>
      <c r="D54" s="4" t="inlineStr">
        <is>
          <t>15 Year</t>
        </is>
      </c>
      <c r="E54" s="4" t="inlineStr">
        <is>
          <t>27.5 Year</t>
        </is>
      </c>
    </row>
    <row r="55" ht="15" customHeight="1">
      <c r="A55" s="15" t="inlineStr">
        <is>
          <t>Asset # 12-Land Improvements - Smith Square</t>
        </is>
      </c>
      <c r="B55" s="6" t="n">
        <v>8901</v>
      </c>
      <c r="C55" s="6" t="n">
        <v>1516</v>
      </c>
      <c r="D55" s="6" t="n">
        <v>269</v>
      </c>
      <c r="E55" s="6" t="n">
        <v>7116</v>
      </c>
    </row>
    <row r="56" ht="15" customHeight="1">
      <c r="A56" s="15" t="inlineStr">
        <is>
          <t>Asset # 13-Building - Smith Square</t>
        </is>
      </c>
      <c r="B56" s="6" t="n">
        <v>115712</v>
      </c>
      <c r="C56" s="6" t="n">
        <v>19712</v>
      </c>
      <c r="D56" s="6" t="n">
        <v>3496</v>
      </c>
      <c r="E56" s="6" t="n">
        <v>92504</v>
      </c>
    </row>
    <row r="57" ht="15" customHeight="1">
      <c r="A57" s="15" t="inlineStr">
        <is>
          <t>Asset # 14-Equipment - Smith Square</t>
        </is>
      </c>
      <c r="B57" s="6" t="n">
        <v>23736</v>
      </c>
      <c r="C57" s="6" t="n">
        <v>4043</v>
      </c>
      <c r="D57" s="6" t="n">
        <v>717</v>
      </c>
      <c r="E57" s="6" t="n">
        <v>18976</v>
      </c>
    </row>
    <row r="58" ht="15" customHeight="1">
      <c r="A58" s="7" t="inlineStr">
        <is>
          <t>Total Allocation:</t>
        </is>
      </c>
      <c r="B58" s="8">
        <f>SUM(B55,B56,B57)</f>
        <v/>
      </c>
      <c r="C58" s="8">
        <f>SUM(C55,C56,C57)</f>
        <v/>
      </c>
      <c r="D58" s="8">
        <f>SUM(D55,D56,D57)</f>
        <v/>
      </c>
      <c r="E58" s="8">
        <f>SUM(E55,E56,E57)</f>
        <v/>
      </c>
    </row>
    <row r="60" ht="15" customHeight="1">
      <c r="A60" s="12" t="inlineStr">
        <is>
          <t>AS PREVIOUSLY FILED — 481(a) Calculation (Regular Tax)</t>
        </is>
      </c>
    </row>
    <row r="61" ht="15" customHeight="1">
      <c r="A61" s="17" t="inlineStr">
        <is>
          <t>Asset Description</t>
        </is>
      </c>
      <c r="B61" s="18" t="inlineStr">
        <is>
          <t>Tax Cost</t>
        </is>
      </c>
      <c r="C61" s="18" t="inlineStr">
        <is>
          <t>Sec 179 Exp</t>
        </is>
      </c>
      <c r="D61" s="18" t="inlineStr">
        <is>
          <t>Bonus Amt</t>
        </is>
      </c>
      <c r="E61" s="18" t="inlineStr">
        <is>
          <t>Prior Depreciation</t>
        </is>
      </c>
      <c r="F61" s="18" t="inlineStr">
        <is>
          <t>Current Depreciation</t>
        </is>
      </c>
      <c r="G61" s="18" t="inlineStr">
        <is>
          <t>End Depreciation</t>
        </is>
      </c>
      <c r="H61" s="18" t="inlineStr">
        <is>
          <t>Net Book Value</t>
        </is>
      </c>
      <c r="I61" s="18" t="inlineStr">
        <is>
          <t>Method</t>
        </is>
      </c>
      <c r="J61" s="18" t="inlineStr">
        <is>
          <t>Period</t>
        </is>
      </c>
    </row>
    <row r="62" ht="15" customHeight="1">
      <c r="A62" s="19" t="inlineStr">
        <is>
          <t>12 - Land Improvements - Smith Square</t>
        </is>
      </c>
      <c r="B62" s="6" t="n">
        <v>8901</v>
      </c>
      <c r="C62" s="6" t="n">
        <v>0</v>
      </c>
      <c r="D62" s="6" t="n">
        <v>0</v>
      </c>
      <c r="E62" s="6" t="n">
        <v>4214.44</v>
      </c>
      <c r="F62" s="6" t="n">
        <v>525.63</v>
      </c>
      <c r="G62" s="6" t="n">
        <v>4740.07</v>
      </c>
      <c r="H62" s="6" t="n">
        <v>4160.93</v>
      </c>
      <c r="I62" s="20" t="inlineStr">
        <is>
          <t>150DB</t>
        </is>
      </c>
      <c r="J62" s="20" t="n">
        <v>15</v>
      </c>
    </row>
    <row r="63" ht="15" customHeight="1">
      <c r="A63" s="19" t="inlineStr">
        <is>
          <t>13 - Building - Smith Square</t>
        </is>
      </c>
      <c r="B63" s="6" t="n">
        <v>115712</v>
      </c>
      <c r="C63" s="6" t="n">
        <v>0</v>
      </c>
      <c r="D63" s="6" t="n">
        <v>0</v>
      </c>
      <c r="E63" s="6" t="n">
        <v>25421.41</v>
      </c>
      <c r="F63" s="6" t="n">
        <v>4207.67</v>
      </c>
      <c r="G63" s="6" t="n">
        <v>29629.08</v>
      </c>
      <c r="H63" s="6" t="n">
        <v>86082.92</v>
      </c>
      <c r="I63" s="20" t="inlineStr">
        <is>
          <t>S/L</t>
        </is>
      </c>
      <c r="J63" s="20" t="n">
        <v>27.5</v>
      </c>
    </row>
    <row r="64" ht="15" customHeight="1">
      <c r="A64" s="19" t="inlineStr">
        <is>
          <t>14 - Equipment - Smith Square</t>
        </is>
      </c>
      <c r="B64" s="6" t="n">
        <v>23736</v>
      </c>
      <c r="C64" s="6" t="n">
        <v>0</v>
      </c>
      <c r="D64" s="6" t="n">
        <v>0</v>
      </c>
      <c r="E64" s="6" t="n">
        <v>23736</v>
      </c>
      <c r="F64" s="6" t="n">
        <v>0</v>
      </c>
      <c r="G64" s="6" t="n">
        <v>23736</v>
      </c>
      <c r="H64" s="6" t="n">
        <v>0</v>
      </c>
      <c r="I64" s="20" t="inlineStr">
        <is>
          <t>200DB</t>
        </is>
      </c>
      <c r="J64" s="20" t="n">
        <v>5</v>
      </c>
    </row>
    <row r="65" ht="15" customHeight="1">
      <c r="A65" s="21" t="inlineStr">
        <is>
          <t>Grand Total</t>
        </is>
      </c>
      <c r="B65" s="8">
        <f>SUM(B62,B63,B64)</f>
        <v/>
      </c>
      <c r="C65" s="8">
        <f>SUM(C62,C63,C64)</f>
        <v/>
      </c>
      <c r="D65" s="8">
        <f>SUM(D62,D63,D64)</f>
        <v/>
      </c>
      <c r="E65" s="8">
        <f>SUM(E62,E63,E64)</f>
        <v/>
      </c>
      <c r="F65" s="8">
        <f>SUM(F62,F63,F64)</f>
        <v/>
      </c>
      <c r="G65" s="8">
        <f>SUM(G62,G63,G64)</f>
        <v/>
      </c>
      <c r="H65" s="8">
        <f>SUM(H62,H63,H64)</f>
        <v/>
      </c>
    </row>
    <row r="67" ht="15" customHeight="1">
      <c r="A67" s="12" t="inlineStr">
        <is>
          <t>AFTER COST SEGREGATION CORRECTION — 481(a) Calculation (Regular Tax)</t>
        </is>
      </c>
    </row>
    <row r="68" ht="15" customHeight="1">
      <c r="A68" s="17" t="inlineStr">
        <is>
          <t>Asset Description</t>
        </is>
      </c>
      <c r="B68" s="18" t="inlineStr">
        <is>
          <t>Tax Cost</t>
        </is>
      </c>
      <c r="C68" s="18" t="inlineStr">
        <is>
          <t>Sec 179 Exp</t>
        </is>
      </c>
      <c r="D68" s="18" t="inlineStr">
        <is>
          <t>Bonus Amt</t>
        </is>
      </c>
      <c r="E68" s="18" t="inlineStr">
        <is>
          <t>Prior Depreciation</t>
        </is>
      </c>
      <c r="F68" s="18" t="inlineStr">
        <is>
          <t>Current Depreciation</t>
        </is>
      </c>
      <c r="G68" s="18" t="inlineStr">
        <is>
          <t>End Depreciation</t>
        </is>
      </c>
      <c r="H68" s="18" t="inlineStr">
        <is>
          <t>Net Book Value</t>
        </is>
      </c>
      <c r="I68" s="18" t="inlineStr">
        <is>
          <t>Method</t>
        </is>
      </c>
      <c r="J68" s="18" t="inlineStr">
        <is>
          <t>Period</t>
        </is>
      </c>
    </row>
    <row r="69" ht="15" customHeight="1">
      <c r="A69" s="19" t="inlineStr">
        <is>
          <t>12 - Land Improvements - Smith Square - 5yr</t>
        </is>
      </c>
      <c r="B69" s="6" t="n">
        <v>1516</v>
      </c>
      <c r="C69" s="6" t="n">
        <v>0</v>
      </c>
      <c r="D69" s="6" t="n">
        <v>0</v>
      </c>
      <c r="E69" s="6" t="n">
        <v>1516</v>
      </c>
      <c r="F69" s="6" t="n">
        <v>0</v>
      </c>
      <c r="G69" s="6" t="n">
        <v>1516</v>
      </c>
      <c r="H69" s="6" t="n">
        <v>0</v>
      </c>
      <c r="I69" s="20" t="inlineStr">
        <is>
          <t>200DB</t>
        </is>
      </c>
      <c r="J69" s="20" t="n">
        <v>5</v>
      </c>
    </row>
    <row r="70" ht="15" customHeight="1">
      <c r="A70" s="19" t="inlineStr">
        <is>
          <t>12 - Land Improvements - Smith Square - 15yr</t>
        </is>
      </c>
      <c r="B70" s="6" t="n">
        <v>269</v>
      </c>
      <c r="C70" s="6" t="n">
        <v>0</v>
      </c>
      <c r="D70" s="6" t="n">
        <v>0</v>
      </c>
      <c r="E70" s="6" t="n">
        <v>269</v>
      </c>
      <c r="F70" s="6" t="n">
        <v>0</v>
      </c>
      <c r="G70" s="6" t="n">
        <v>269</v>
      </c>
      <c r="H70" s="6" t="n">
        <v>0</v>
      </c>
      <c r="I70" s="20" t="inlineStr">
        <is>
          <t>150DB</t>
        </is>
      </c>
      <c r="J70" s="20" t="n">
        <v>15</v>
      </c>
    </row>
    <row r="71" ht="15" customHeight="1">
      <c r="A71" s="19" t="inlineStr">
        <is>
          <t>12 - Land Improvements - Smith Square - 27.5yr</t>
        </is>
      </c>
      <c r="B71" s="6" t="n">
        <v>7116</v>
      </c>
      <c r="C71" s="6" t="n">
        <v>0</v>
      </c>
      <c r="D71" s="6" t="n">
        <v>0</v>
      </c>
      <c r="E71" s="6" t="n">
        <v>0</v>
      </c>
      <c r="F71" s="6" t="n">
        <v>258.76</v>
      </c>
      <c r="G71" s="6" t="n">
        <v>1822.1</v>
      </c>
      <c r="H71" s="6" t="n">
        <v>5293.9</v>
      </c>
      <c r="I71" s="20" t="inlineStr">
        <is>
          <t>S/L</t>
        </is>
      </c>
      <c r="J71" s="20" t="n">
        <v>27.5</v>
      </c>
    </row>
    <row r="72" ht="15" customHeight="1">
      <c r="A72" s="19" t="inlineStr">
        <is>
          <t>13 - Building - Smith Square - 5yr</t>
        </is>
      </c>
      <c r="B72" s="6" t="n">
        <v>19712</v>
      </c>
      <c r="C72" s="6" t="n">
        <v>0</v>
      </c>
      <c r="D72" s="6" t="n">
        <v>0</v>
      </c>
      <c r="E72" s="6" t="n">
        <v>19712</v>
      </c>
      <c r="F72" s="6" t="n">
        <v>0</v>
      </c>
      <c r="G72" s="6" t="n">
        <v>19712</v>
      </c>
      <c r="H72" s="6" t="n">
        <v>0</v>
      </c>
      <c r="I72" s="20" t="inlineStr">
        <is>
          <t>200DB</t>
        </is>
      </c>
      <c r="J72" s="20" t="n">
        <v>5</v>
      </c>
    </row>
    <row r="73" ht="15" customHeight="1">
      <c r="A73" s="19" t="inlineStr">
        <is>
          <t>13 - Building - Smith Square - 15yr</t>
        </is>
      </c>
      <c r="B73" s="6" t="n">
        <v>3496</v>
      </c>
      <c r="C73" s="6" t="n">
        <v>0</v>
      </c>
      <c r="D73" s="6" t="n">
        <v>0</v>
      </c>
      <c r="E73" s="6" t="n">
        <v>3496</v>
      </c>
      <c r="F73" s="6" t="n">
        <v>0</v>
      </c>
      <c r="G73" s="6" t="n">
        <v>3496</v>
      </c>
      <c r="H73" s="6" t="n">
        <v>0</v>
      </c>
      <c r="I73" s="20" t="inlineStr">
        <is>
          <t>150DB</t>
        </is>
      </c>
      <c r="J73" s="20" t="n">
        <v>15</v>
      </c>
    </row>
    <row r="74" ht="15" customHeight="1">
      <c r="A74" s="19" t="inlineStr">
        <is>
          <t>13 - Building - Smith Square - 27.5yr</t>
        </is>
      </c>
      <c r="B74" s="6" t="n">
        <v>92504</v>
      </c>
      <c r="C74" s="6" t="n">
        <v>0</v>
      </c>
      <c r="D74" s="6" t="n">
        <v>0</v>
      </c>
      <c r="E74" s="6" t="n">
        <v>0</v>
      </c>
      <c r="F74" s="6" t="n">
        <v>3363.78</v>
      </c>
      <c r="G74" s="6" t="n">
        <v>23686.62</v>
      </c>
      <c r="H74" s="6" t="n">
        <v>68817.38</v>
      </c>
      <c r="I74" s="20" t="inlineStr">
        <is>
          <t>S/L</t>
        </is>
      </c>
      <c r="J74" s="20" t="n">
        <v>27.5</v>
      </c>
    </row>
    <row r="75" ht="15" customHeight="1">
      <c r="A75" s="19" t="inlineStr">
        <is>
          <t>14 - Equipment - Smith Square - 5yr</t>
        </is>
      </c>
      <c r="B75" s="6" t="n">
        <v>4043</v>
      </c>
      <c r="C75" s="6" t="n">
        <v>0</v>
      </c>
      <c r="D75" s="6" t="n">
        <v>0</v>
      </c>
      <c r="E75" s="6" t="n">
        <v>4043</v>
      </c>
      <c r="F75" s="6" t="n">
        <v>0</v>
      </c>
      <c r="G75" s="6" t="n">
        <v>4043</v>
      </c>
      <c r="H75" s="6" t="n">
        <v>0</v>
      </c>
      <c r="I75" s="20" t="inlineStr">
        <is>
          <t>200DB</t>
        </is>
      </c>
      <c r="J75" s="20" t="n">
        <v>5</v>
      </c>
    </row>
    <row r="76" ht="15" customHeight="1">
      <c r="A76" s="19" t="inlineStr">
        <is>
          <t>14 - Equipment - Smith Square - 15yr</t>
        </is>
      </c>
      <c r="B76" s="6" t="n">
        <v>717</v>
      </c>
      <c r="C76" s="6" t="n">
        <v>0</v>
      </c>
      <c r="D76" s="6" t="n">
        <v>0</v>
      </c>
      <c r="E76" s="6" t="n">
        <v>717</v>
      </c>
      <c r="F76" s="6" t="n">
        <v>0</v>
      </c>
      <c r="G76" s="6" t="n">
        <v>717</v>
      </c>
      <c r="H76" s="6" t="n">
        <v>0</v>
      </c>
      <c r="I76" s="20" t="inlineStr">
        <is>
          <t>150DB</t>
        </is>
      </c>
      <c r="J76" s="20" t="n">
        <v>15</v>
      </c>
    </row>
    <row r="77" ht="15" customHeight="1">
      <c r="A77" s="19" t="inlineStr">
        <is>
          <t>14 - Equipment - Smith Square - 27.5yr</t>
        </is>
      </c>
      <c r="B77" s="6" t="n">
        <v>18976</v>
      </c>
      <c r="C77" s="6" t="n">
        <v>0</v>
      </c>
      <c r="D77" s="6" t="n">
        <v>0</v>
      </c>
      <c r="E77" s="6" t="n">
        <v>0</v>
      </c>
      <c r="F77" s="6" t="n">
        <v>690.04</v>
      </c>
      <c r="G77" s="6" t="n">
        <v>4858.79</v>
      </c>
      <c r="H77" s="6" t="n">
        <v>14117.21</v>
      </c>
      <c r="I77" s="20" t="inlineStr">
        <is>
          <t>S/L</t>
        </is>
      </c>
      <c r="J77" s="20" t="n">
        <v>27.5</v>
      </c>
    </row>
    <row r="78" ht="15" customHeight="1">
      <c r="A78" s="21" t="inlineStr">
        <is>
          <t>Grand Total</t>
        </is>
      </c>
      <c r="B78" s="8">
        <f>SUM(B69,B70,B71,B72,B73,B74,B75,B76,B77)</f>
        <v/>
      </c>
      <c r="C78" s="8">
        <f>SUM(C69,C70,C71,C72,C73,C74,C75,C76,C77)</f>
        <v/>
      </c>
      <c r="D78" s="8">
        <f>SUM(D69,D70,D71,D72,D73,D74,D75,D76,D77)</f>
        <v/>
      </c>
      <c r="E78" s="8">
        <f>SUM(E69,E70,E71,E72,E73,E74,E75,E76,E77)</f>
        <v/>
      </c>
      <c r="F78" s="8">
        <f>SUM(F69,F70,F71,F72,F73,F74,F75,F76,F77)</f>
        <v/>
      </c>
      <c r="G78" s="8">
        <f>SUM(G69,G70,G71,G72,G73,G74,G75,G76,G77)</f>
        <v/>
      </c>
      <c r="H78" s="8">
        <f>SUM(H69,H70,H71,H72,H73,H74,H75,H76,H77)</f>
        <v/>
      </c>
    </row>
    <row r="80" ht="15" customHeight="1">
      <c r="A80" s="22" t="inlineStr">
        <is>
          <t>SECTION 481(a) ADJUSTMENT</t>
        </is>
      </c>
    </row>
    <row r="81" ht="15" customHeight="1">
      <c r="A81" s="23" t="inlineStr">
        <is>
          <t>Depreciation reported previously</t>
        </is>
      </c>
      <c r="B81" s="24" t="n">
        <v>58105.15</v>
      </c>
    </row>
    <row r="82" ht="15" customHeight="1">
      <c r="A82" s="23" t="inlineStr">
        <is>
          <t>Cost Segregation Corrected Depreciation</t>
        </is>
      </c>
      <c r="B82" s="24" t="n">
        <v>60120.51</v>
      </c>
    </row>
    <row r="83" ht="15" customHeight="1">
      <c r="A83" s="22" t="inlineStr">
        <is>
          <t>Section 481(a) Adjustment</t>
        </is>
      </c>
      <c r="B83" s="25" t="n">
        <v>-2015.360000000001</v>
      </c>
    </row>
  </sheetData>
  <mergeCells count="12">
    <mergeCell ref="A21:E21"/>
    <mergeCell ref="A53:E53"/>
    <mergeCell ref="A26:E26"/>
    <mergeCell ref="A2:E2"/>
    <mergeCell ref="A7:E7"/>
    <mergeCell ref="A67:J67"/>
    <mergeCell ref="A1:E1"/>
    <mergeCell ref="A5:E5"/>
    <mergeCell ref="A46:E46"/>
    <mergeCell ref="A80:E80"/>
    <mergeCell ref="A60:J60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3112 Havenwood Dr, Harvey, LA 70058</t>
        </is>
      </c>
    </row>
    <row r="3" ht="15" customHeight="1">
      <c r="A3" s="11" t="inlineStr">
        <is>
          <t>Marrero 3 LP  |  EIN 82-2324040  |  FYE 12/31/2024  |  Partial Assets #2, #3, &amp; #4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1065.36</v>
      </c>
      <c r="C8" s="6" t="n">
        <v>1065.36</v>
      </c>
    </row>
    <row r="9" ht="15" customHeight="1">
      <c r="A9" s="15" t="inlineStr">
        <is>
          <t>Moldings</t>
        </is>
      </c>
      <c r="B9" s="6" t="n">
        <v>894.1</v>
      </c>
      <c r="C9" s="6" t="n">
        <v>894.1</v>
      </c>
    </row>
    <row r="10" ht="15" customHeight="1">
      <c r="A10" s="15" t="inlineStr">
        <is>
          <t>Flooring - Wood Laminate</t>
        </is>
      </c>
      <c r="B10" s="6" t="n">
        <v>1954.35</v>
      </c>
      <c r="C10" s="6" t="n">
        <v>1954.35</v>
      </c>
    </row>
    <row r="11" ht="15" customHeight="1">
      <c r="A11" s="15" t="inlineStr">
        <is>
          <t>Security System</t>
        </is>
      </c>
      <c r="B11" s="6" t="n">
        <v>613.8</v>
      </c>
      <c r="C11" s="6" t="n">
        <v>613.8</v>
      </c>
    </row>
    <row r="12" ht="15" customHeight="1">
      <c r="A12" s="15" t="inlineStr">
        <is>
          <t>Door &amp; Window Guards</t>
        </is>
      </c>
      <c r="B12" s="6" t="n">
        <v>136.47</v>
      </c>
      <c r="C12" s="6" t="n">
        <v>136.47</v>
      </c>
    </row>
    <row r="13" ht="15" customHeight="1">
      <c r="A13" s="15" t="inlineStr">
        <is>
          <t>Window Treatments</t>
        </is>
      </c>
      <c r="B13" s="6" t="n">
        <v>302.35</v>
      </c>
      <c r="C13" s="6" t="n">
        <v>302.35</v>
      </c>
    </row>
    <row r="14" ht="15" customHeight="1">
      <c r="A14" s="15" t="inlineStr">
        <is>
          <t>Specialty HVAC - Dryer Vents</t>
        </is>
      </c>
      <c r="B14" s="6" t="n">
        <v>30.15</v>
      </c>
      <c r="C14" s="6" t="n">
        <v>30.15</v>
      </c>
    </row>
    <row r="15" ht="15" customHeight="1">
      <c r="A15" s="15" t="inlineStr">
        <is>
          <t>Building Signage</t>
        </is>
      </c>
      <c r="B15" s="6" t="n">
        <v>19.82</v>
      </c>
      <c r="C15" s="6" t="n">
        <v>19.82</v>
      </c>
    </row>
    <row r="16" ht="15" customHeight="1">
      <c r="A16" s="15" t="inlineStr">
        <is>
          <t>Specialty Electrical - Appliances</t>
        </is>
      </c>
      <c r="B16" s="6" t="n">
        <v>514.89</v>
      </c>
      <c r="C16" s="6" t="n">
        <v>514.89</v>
      </c>
    </row>
    <row r="17" ht="15" customHeight="1">
      <c r="A17" s="15" t="inlineStr">
        <is>
          <t>Communication / Data</t>
        </is>
      </c>
      <c r="B17" s="6" t="n">
        <v>255.92</v>
      </c>
      <c r="C17" s="6" t="n">
        <v>255.92</v>
      </c>
    </row>
    <row r="18" ht="15" customHeight="1">
      <c r="A18" s="15" t="inlineStr">
        <is>
          <t>Specialty Plumbing - Kitchen Sink / Laundry</t>
        </is>
      </c>
      <c r="B18" s="6" t="n">
        <v>563.75</v>
      </c>
      <c r="C18" s="6" t="n">
        <v>563.75</v>
      </c>
    </row>
    <row r="19" ht="15" customHeight="1">
      <c r="A19" s="15" t="inlineStr">
        <is>
          <t>Security / Exterior Lighting</t>
        </is>
      </c>
      <c r="B19" s="6" t="n">
        <v>192.79</v>
      </c>
      <c r="C19" s="6" t="n">
        <v>192.79</v>
      </c>
    </row>
    <row r="20" ht="15" customHeight="1">
      <c r="A20" s="15" t="inlineStr">
        <is>
          <t>Access Control</t>
        </is>
      </c>
      <c r="B20" s="6" t="n">
        <v>50.57</v>
      </c>
      <c r="C20" s="6" t="n">
        <v>50.57</v>
      </c>
    </row>
    <row r="21" ht="15" customHeight="1">
      <c r="A21" s="15" t="inlineStr">
        <is>
          <t>Appliances</t>
        </is>
      </c>
      <c r="B21" s="6" t="n">
        <v>564.76</v>
      </c>
      <c r="C21" s="6" t="n">
        <v>564.76</v>
      </c>
    </row>
    <row r="22" ht="15" customHeight="1">
      <c r="A22" s="13" t="inlineStr">
        <is>
          <t>Site Work / Improvements</t>
        </is>
      </c>
      <c r="B22" s="14" t="n"/>
      <c r="C22" s="14" t="n"/>
      <c r="D22" s="14" t="n"/>
      <c r="E22" s="14" t="n"/>
    </row>
    <row r="23" ht="15" customHeight="1">
      <c r="A23" s="15" t="inlineStr">
        <is>
          <t>Driveway</t>
        </is>
      </c>
      <c r="B23" s="6" t="n">
        <v>679.12</v>
      </c>
      <c r="D23" s="6" t="n">
        <v>679.12</v>
      </c>
    </row>
    <row r="24" ht="15" customHeight="1">
      <c r="A24" s="15" t="inlineStr">
        <is>
          <t>Sidewalks / Curbs</t>
        </is>
      </c>
      <c r="B24" s="6" t="n">
        <v>285.36</v>
      </c>
      <c r="D24" s="6" t="n">
        <v>285.36</v>
      </c>
    </row>
    <row r="25" ht="15" customHeight="1">
      <c r="A25" s="15" t="inlineStr">
        <is>
          <t>Exterior Equipment Concrete Pads</t>
        </is>
      </c>
      <c r="B25" s="6" t="n">
        <v>34.81</v>
      </c>
      <c r="D25" s="6" t="n">
        <v>34.81</v>
      </c>
    </row>
    <row r="26" ht="15" customHeight="1">
      <c r="A26" s="15" t="inlineStr">
        <is>
          <t>Mailboxes</t>
        </is>
      </c>
      <c r="B26" s="6" t="n">
        <v>21.6</v>
      </c>
      <c r="D26" s="6" t="n">
        <v>21.6</v>
      </c>
    </row>
    <row r="27" ht="15" customHeight="1">
      <c r="A27" s="13" t="inlineStr">
        <is>
          <t>Building Structure</t>
        </is>
      </c>
      <c r="B27" s="14" t="n"/>
      <c r="C27" s="14" t="n"/>
      <c r="D27" s="14" t="n"/>
      <c r="E27" s="14" t="n"/>
    </row>
    <row r="28" ht="15" customHeight="1">
      <c r="A28" s="15" t="inlineStr">
        <is>
          <t>Roofing Systems</t>
        </is>
      </c>
      <c r="B28" s="6" t="n">
        <v>2393.31</v>
      </c>
      <c r="E28" s="6" t="n">
        <v>2393.31</v>
      </c>
    </row>
    <row r="29" ht="15" customHeight="1">
      <c r="A29" s="15" t="inlineStr">
        <is>
          <t>Foundations</t>
        </is>
      </c>
      <c r="B29" s="6" t="n">
        <v>5241.81</v>
      </c>
      <c r="E29" s="6" t="n">
        <v>5241.81</v>
      </c>
    </row>
    <row r="30" ht="15" customHeight="1">
      <c r="A30" s="15" t="inlineStr">
        <is>
          <t>HVAC</t>
        </is>
      </c>
      <c r="B30" s="6" t="n">
        <v>2635.44</v>
      </c>
      <c r="E30" s="6" t="n">
        <v>2635.44</v>
      </c>
    </row>
    <row r="31" ht="15" customHeight="1">
      <c r="A31" s="15" t="inlineStr">
        <is>
          <t>Electrical</t>
        </is>
      </c>
      <c r="B31" s="6" t="n">
        <v>2808.52</v>
      </c>
      <c r="E31" s="6" t="n">
        <v>2808.52</v>
      </c>
    </row>
    <row r="32" ht="15" customHeight="1">
      <c r="A32" s="15" t="inlineStr">
        <is>
          <t>Plumbing</t>
        </is>
      </c>
      <c r="B32" s="6" t="n">
        <v>2317.18</v>
      </c>
      <c r="E32" s="6" t="n">
        <v>2317.18</v>
      </c>
    </row>
    <row r="33" ht="15" customHeight="1">
      <c r="A33" s="15" t="inlineStr">
        <is>
          <t>Fire Protection &amp; Alarm</t>
        </is>
      </c>
      <c r="B33" s="6" t="n">
        <v>120.33</v>
      </c>
      <c r="E33" s="6" t="n">
        <v>120.33</v>
      </c>
    </row>
    <row r="34" ht="15" customHeight="1">
      <c r="A34" s="15" t="inlineStr">
        <is>
          <t>Exterior Façade / Building Skin</t>
        </is>
      </c>
      <c r="B34" s="6" t="n">
        <v>1467.77</v>
      </c>
      <c r="E34" s="6" t="n">
        <v>1467.77</v>
      </c>
    </row>
    <row r="35" ht="15" customHeight="1">
      <c r="A35" s="15" t="inlineStr">
        <is>
          <t>Doors &amp; Frames</t>
        </is>
      </c>
      <c r="B35" s="6" t="n">
        <v>1559.85</v>
      </c>
      <c r="E35" s="6" t="n">
        <v>1559.85</v>
      </c>
    </row>
    <row r="36" ht="15" customHeight="1">
      <c r="A36" s="15" t="inlineStr">
        <is>
          <t>Windows</t>
        </is>
      </c>
      <c r="B36" s="6" t="n">
        <v>1214.17</v>
      </c>
      <c r="E36" s="6" t="n">
        <v>1214.17</v>
      </c>
    </row>
    <row r="37" ht="15" customHeight="1">
      <c r="A37" s="15" t="inlineStr">
        <is>
          <t>Ceiling Systems</t>
        </is>
      </c>
      <c r="B37" s="6" t="n">
        <v>1352.65</v>
      </c>
      <c r="E37" s="6" t="n">
        <v>1352.65</v>
      </c>
    </row>
    <row r="38" ht="15" customHeight="1">
      <c r="A38" s="15" t="inlineStr">
        <is>
          <t>Interior Framing / Partitions</t>
        </is>
      </c>
      <c r="B38" s="6" t="n">
        <v>4299.13</v>
      </c>
      <c r="E38" s="6" t="n">
        <v>4299.13</v>
      </c>
    </row>
    <row r="39" ht="15" customHeight="1">
      <c r="A39" s="15" t="inlineStr">
        <is>
          <t>Painting</t>
        </is>
      </c>
      <c r="B39" s="6" t="n">
        <v>1422.08</v>
      </c>
      <c r="E39" s="6" t="n">
        <v>1422.08</v>
      </c>
    </row>
    <row r="40" ht="15" customHeight="1">
      <c r="A40" s="15" t="inlineStr">
        <is>
          <t>Gutter Systems</t>
        </is>
      </c>
      <c r="B40" s="6" t="n">
        <v>537.9</v>
      </c>
      <c r="E40" s="6" t="n">
        <v>537.9</v>
      </c>
    </row>
    <row r="41" ht="15" customHeight="1">
      <c r="A41" s="15" t="inlineStr">
        <is>
          <t>Structural Framing</t>
        </is>
      </c>
      <c r="B41" s="6" t="n">
        <v>4290.9</v>
      </c>
      <c r="E41" s="6" t="n">
        <v>4290.9</v>
      </c>
    </row>
    <row r="42" ht="15" customHeight="1">
      <c r="A42" s="15" t="inlineStr">
        <is>
          <t>Site Utilities</t>
        </is>
      </c>
      <c r="B42" s="6" t="n">
        <v>470.52</v>
      </c>
      <c r="E42" s="6" t="n">
        <v>470.52</v>
      </c>
    </row>
    <row r="43" ht="15" customHeight="1">
      <c r="A43" s="15" t="inlineStr">
        <is>
          <t>Garage Doors</t>
        </is>
      </c>
      <c r="B43" s="6" t="n">
        <v>397.47</v>
      </c>
      <c r="E43" s="6" t="n">
        <v>397.47</v>
      </c>
    </row>
    <row r="44" ht="15" customHeight="1">
      <c r="A44" s="15" t="inlineStr">
        <is>
          <t>Flooring - Sealed Concrete</t>
        </is>
      </c>
      <c r="B44" s="6" t="n">
        <v>45.13</v>
      </c>
      <c r="E44" s="6" t="n">
        <v>45.13</v>
      </c>
    </row>
    <row r="45" ht="15" customHeight="1">
      <c r="A45" s="15" t="inlineStr">
        <is>
          <t>Bathroom Accessories</t>
        </is>
      </c>
      <c r="B45" s="6" t="n">
        <v>468.02</v>
      </c>
      <c r="E45" s="6" t="n">
        <v>468.02</v>
      </c>
    </row>
    <row r="46" ht="15" customHeight="1">
      <c r="A46" s="15" t="inlineStr">
        <is>
          <t>Cabinets / Millwork - Restrooms</t>
        </is>
      </c>
      <c r="B46" s="6" t="n">
        <v>419.32</v>
      </c>
      <c r="E46" s="6" t="n">
        <v>419.32</v>
      </c>
    </row>
    <row r="47" ht="15" customHeight="1">
      <c r="A47" s="7" t="inlineStr">
        <is>
          <t>Total Building Cost</t>
        </is>
      </c>
      <c r="B47" s="8">
        <f>SUM(B8,B9,B10,B11,B12,B13,B14,B15,B16,B17,B18,B19,B20,B21,B23,B24,B25,B26,B28,B29,B30,B31,B32,B33,B34,B35,B36,B37,B38,B39,B40,B41,B42,B43,B44,B45,B46)</f>
        <v/>
      </c>
      <c r="C47" s="8">
        <f>SUM(C8,C9,C10,C11,C12,C13,C14,C15,C16,C17,C18,C19,C20,C21,C23,C24,C25,C26,C28,C29,C30,C31,C32,C33,C34,C35,C36,C37,C38,C39,C40,C41,C42,C43,C44,C45,C46)</f>
        <v/>
      </c>
      <c r="D47" s="8">
        <f>SUM(D8,D9,D10,D11,D12,D13,D14,D15,D16,D17,D18,D19,D20,D21,D23,D24,D25,D26,D28,D29,D30,D31,D32,D33,D34,D35,D36,D37,D38,D39,D40,D41,D42,D43,D44,D45,D46)</f>
        <v/>
      </c>
      <c r="E47" s="8">
        <f>SUM(E8,E9,E10,E11,E12,E13,E14,E15,E16,E17,E18,E19,E20,E21,E23,E24,E25,E26,E28,E29,E30,E31,E32,E33,E34,E35,E36,E37,E38,E39,E40,E41,E42,E43,E44,E45,E46)</f>
        <v/>
      </c>
    </row>
    <row r="48" ht="15" customHeight="1">
      <c r="A48" s="15" t="inlineStr">
        <is>
          <t>% of Building Cost</t>
        </is>
      </c>
      <c r="C48" s="16">
        <f>C47/B47</f>
        <v/>
      </c>
      <c r="D48" s="16">
        <f>D47/B47</f>
        <v/>
      </c>
      <c r="E48" s="16">
        <f>E47/B47</f>
        <v/>
      </c>
    </row>
    <row r="50" ht="15" customHeight="1">
      <c r="A50" s="12" t="inlineStr">
        <is>
          <t>ASSET ALLOCATION (Per Unit)</t>
        </is>
      </c>
    </row>
    <row r="51" ht="15" customHeight="1">
      <c r="A51" s="3" t="inlineStr">
        <is>
          <t>Asset</t>
        </is>
      </c>
      <c r="B51" s="4" t="inlineStr">
        <is>
          <t>Total</t>
        </is>
      </c>
      <c r="C51" s="4" t="inlineStr">
        <is>
          <t>5 Year</t>
        </is>
      </c>
      <c r="D51" s="4" t="inlineStr">
        <is>
          <t>15 Year</t>
        </is>
      </c>
      <c r="E51" s="4" t="inlineStr">
        <is>
          <t>27.5 Year</t>
        </is>
      </c>
    </row>
    <row r="52" ht="15" customHeight="1">
      <c r="A52" s="15" t="inlineStr">
        <is>
          <t>Asset # 3-Building - Havenwood Drive</t>
        </is>
      </c>
      <c r="B52" s="6" t="n">
        <v>32480.36</v>
      </c>
      <c r="C52" s="6" t="n">
        <v>5584.08</v>
      </c>
      <c r="D52" s="6" t="n">
        <v>796.29</v>
      </c>
      <c r="E52" s="6" t="n">
        <v>26099.99</v>
      </c>
    </row>
    <row r="53" ht="15" customHeight="1">
      <c r="A53" s="15" t="inlineStr">
        <is>
          <t>Asset # 2-Land Improvements - Havenwood Drive</t>
        </is>
      </c>
      <c r="B53" s="6" t="n">
        <v>2498.5</v>
      </c>
      <c r="C53" s="6" t="n">
        <v>429.55</v>
      </c>
      <c r="D53" s="6" t="n">
        <v>163.34</v>
      </c>
      <c r="E53" s="6" t="n">
        <v>1907.69</v>
      </c>
    </row>
    <row r="54" ht="15" customHeight="1">
      <c r="A54" s="15" t="inlineStr">
        <is>
          <t>Asset # 4-Equipment - Havenwood Drive</t>
        </is>
      </c>
      <c r="B54" s="6" t="n">
        <v>6662.61</v>
      </c>
      <c r="C54" s="6" t="n">
        <v>1145.45</v>
      </c>
      <c r="D54" s="6" t="n">
        <v>61.26</v>
      </c>
      <c r="E54" s="6" t="n">
        <v>5353.82</v>
      </c>
    </row>
    <row r="55" ht="15" customHeight="1">
      <c r="A55" s="7" t="inlineStr">
        <is>
          <t>Total Allocation:</t>
        </is>
      </c>
      <c r="B55" s="8">
        <f>SUM(B52,B53,B54)</f>
        <v/>
      </c>
      <c r="C55" s="8">
        <f>SUM(C52,C53,C54)</f>
        <v/>
      </c>
      <c r="D55" s="8">
        <f>SUM(D52,D53,D54)</f>
        <v/>
      </c>
      <c r="E55" s="8">
        <f>SUM(E52,E53,E54)</f>
        <v/>
      </c>
    </row>
    <row r="57" ht="15" customHeight="1">
      <c r="A57" s="12" t="inlineStr">
        <is>
          <t>12 Identical Units - Totals:</t>
        </is>
      </c>
    </row>
    <row r="58" ht="15" customHeight="1">
      <c r="A58" s="3" t="inlineStr">
        <is>
          <t>Asset</t>
        </is>
      </c>
      <c r="B58" s="4" t="inlineStr">
        <is>
          <t>Total</t>
        </is>
      </c>
      <c r="C58" s="4" t="inlineStr">
        <is>
          <t>5 Year</t>
        </is>
      </c>
      <c r="D58" s="4" t="inlineStr">
        <is>
          <t>15 Year</t>
        </is>
      </c>
      <c r="E58" s="4" t="inlineStr">
        <is>
          <t>27.5 Year</t>
        </is>
      </c>
    </row>
    <row r="59" ht="15" customHeight="1">
      <c r="A59" s="15" t="inlineStr">
        <is>
          <t>Asset # 2-Land Improvements - Havenwood Drive</t>
        </is>
      </c>
      <c r="B59" s="6" t="n">
        <v>47472</v>
      </c>
      <c r="C59" s="6" t="n">
        <v>8161</v>
      </c>
      <c r="D59" s="6" t="n">
        <v>1164</v>
      </c>
      <c r="E59" s="6" t="n">
        <v>38146</v>
      </c>
    </row>
    <row r="60" ht="15" customHeight="1">
      <c r="A60" s="15" t="inlineStr">
        <is>
          <t>Asset # 3-Building - Havenwood Drive</t>
        </is>
      </c>
      <c r="B60" s="6" t="n">
        <v>617127</v>
      </c>
      <c r="C60" s="6" t="n">
        <v>106098</v>
      </c>
      <c r="D60" s="6" t="n">
        <v>15130</v>
      </c>
      <c r="E60" s="6" t="n">
        <v>495900</v>
      </c>
    </row>
    <row r="61" ht="15" customHeight="1">
      <c r="A61" s="15" t="inlineStr">
        <is>
          <t>Asset # 4-Equipment - Havenwood Drive</t>
        </is>
      </c>
      <c r="B61" s="6" t="n">
        <v>126590</v>
      </c>
      <c r="C61" s="6" t="n">
        <v>21764</v>
      </c>
      <c r="D61" s="6" t="n">
        <v>3103</v>
      </c>
      <c r="E61" s="6" t="n">
        <v>101723</v>
      </c>
    </row>
    <row r="62" ht="15" customHeight="1">
      <c r="A62" s="7" t="inlineStr">
        <is>
          <t>Total Allocation:</t>
        </is>
      </c>
      <c r="B62" s="8">
        <f>SUM(B59,B60,B61)</f>
        <v/>
      </c>
      <c r="C62" s="8">
        <f>SUM(C59,C60,C61)</f>
        <v/>
      </c>
      <c r="D62" s="8">
        <f>SUM(D59,D60,D61)</f>
        <v/>
      </c>
      <c r="E62" s="8">
        <f>SUM(E59,E60,E61)</f>
        <v/>
      </c>
    </row>
    <row r="64" ht="15" customHeight="1">
      <c r="A64" s="12" t="inlineStr">
        <is>
          <t>AS PREVIOUSLY FILED — 481(a) Calculation (Regular Tax)</t>
        </is>
      </c>
    </row>
    <row r="65" ht="15" customHeight="1">
      <c r="A65" s="17" t="inlineStr">
        <is>
          <t>Asset Description</t>
        </is>
      </c>
      <c r="B65" s="18" t="inlineStr">
        <is>
          <t>Tax Cost</t>
        </is>
      </c>
      <c r="C65" s="18" t="inlineStr">
        <is>
          <t>Sec 179 Exp</t>
        </is>
      </c>
      <c r="D65" s="18" t="inlineStr">
        <is>
          <t>Bonus Amt</t>
        </is>
      </c>
      <c r="E65" s="18" t="inlineStr">
        <is>
          <t>Prior Depreciation</t>
        </is>
      </c>
      <c r="F65" s="18" t="inlineStr">
        <is>
          <t>Current Depreciation</t>
        </is>
      </c>
      <c r="G65" s="18" t="inlineStr">
        <is>
          <t>End Depreciation</t>
        </is>
      </c>
      <c r="H65" s="18" t="inlineStr">
        <is>
          <t>Net Book Value</t>
        </is>
      </c>
      <c r="I65" s="18" t="inlineStr">
        <is>
          <t>Method</t>
        </is>
      </c>
      <c r="J65" s="18" t="inlineStr">
        <is>
          <t>Period</t>
        </is>
      </c>
    </row>
    <row r="66" ht="15" customHeight="1">
      <c r="A66" s="19" t="inlineStr">
        <is>
          <t>2 - Land Improvements - Havenwood</t>
        </is>
      </c>
      <c r="B66" s="6" t="n">
        <v>47472</v>
      </c>
      <c r="C66" s="6" t="n">
        <v>0</v>
      </c>
      <c r="D66" s="6" t="n">
        <v>0</v>
      </c>
      <c r="E66" s="6" t="n">
        <v>22477.31</v>
      </c>
      <c r="F66" s="6" t="n">
        <v>2803.31</v>
      </c>
      <c r="G66" s="6" t="n">
        <v>25280.62</v>
      </c>
      <c r="H66" s="6" t="n">
        <v>22191.38</v>
      </c>
      <c r="I66" s="20" t="inlineStr">
        <is>
          <t>150DB</t>
        </is>
      </c>
      <c r="J66" s="20" t="n">
        <v>15</v>
      </c>
    </row>
    <row r="67" ht="15" customHeight="1">
      <c r="A67" s="19" t="inlineStr">
        <is>
          <t>3 - Building - Havenwood</t>
        </is>
      </c>
      <c r="B67" s="6" t="n">
        <v>617127</v>
      </c>
      <c r="C67" s="6" t="n">
        <v>0</v>
      </c>
      <c r="D67" s="6" t="n">
        <v>0</v>
      </c>
      <c r="E67" s="6" t="n">
        <v>135580.9</v>
      </c>
      <c r="F67" s="6" t="n">
        <v>22440.93</v>
      </c>
      <c r="G67" s="6" t="n">
        <v>158021.83</v>
      </c>
      <c r="H67" s="6" t="n">
        <v>459105.17</v>
      </c>
      <c r="I67" s="20" t="inlineStr">
        <is>
          <t>S/L</t>
        </is>
      </c>
      <c r="J67" s="20" t="n">
        <v>27.5</v>
      </c>
    </row>
    <row r="68" ht="15" customHeight="1">
      <c r="A68" s="19" t="inlineStr">
        <is>
          <t>4 - Equipment - Havenwood</t>
        </is>
      </c>
      <c r="B68" s="6" t="n">
        <v>126590</v>
      </c>
      <c r="C68" s="6" t="n">
        <v>0</v>
      </c>
      <c r="D68" s="6" t="n">
        <v>0</v>
      </c>
      <c r="E68" s="6" t="n">
        <v>126590</v>
      </c>
      <c r="F68" s="6" t="n">
        <v>0</v>
      </c>
      <c r="G68" s="6" t="n">
        <v>126590</v>
      </c>
      <c r="H68" s="6" t="n">
        <v>0</v>
      </c>
      <c r="I68" s="20" t="inlineStr">
        <is>
          <t>200DB</t>
        </is>
      </c>
      <c r="J68" s="20" t="n">
        <v>5</v>
      </c>
    </row>
    <row r="69" ht="15" customHeight="1">
      <c r="A69" s="21" t="inlineStr">
        <is>
          <t>Grand Total</t>
        </is>
      </c>
      <c r="B69" s="8">
        <f>SUM(B66,B67,B68)</f>
        <v/>
      </c>
      <c r="C69" s="8">
        <f>SUM(C66,C67,C68)</f>
        <v/>
      </c>
      <c r="D69" s="8">
        <f>SUM(D66,D67,D68)</f>
        <v/>
      </c>
      <c r="E69" s="8">
        <f>SUM(E66,E67,E68)</f>
        <v/>
      </c>
      <c r="F69" s="8">
        <f>SUM(F66,F67,F68)</f>
        <v/>
      </c>
      <c r="G69" s="8">
        <f>SUM(G66,G67,G68)</f>
        <v/>
      </c>
      <c r="H69" s="8">
        <f>SUM(H66,H67,H68)</f>
        <v/>
      </c>
    </row>
    <row r="71" ht="15" customHeight="1">
      <c r="A71" s="12" t="inlineStr">
        <is>
          <t>AFTER COST SEGREGATION CORRECTION — 481(a) Calculation (Regular Tax)</t>
        </is>
      </c>
    </row>
    <row r="72" ht="15" customHeight="1">
      <c r="A72" s="17" t="inlineStr">
        <is>
          <t>Asset Description</t>
        </is>
      </c>
      <c r="B72" s="18" t="inlineStr">
        <is>
          <t>Tax Cost</t>
        </is>
      </c>
      <c r="C72" s="18" t="inlineStr">
        <is>
          <t>Sec 179 Exp</t>
        </is>
      </c>
      <c r="D72" s="18" t="inlineStr">
        <is>
          <t>Bonus Amt</t>
        </is>
      </c>
      <c r="E72" s="18" t="inlineStr">
        <is>
          <t>Prior Depreciation</t>
        </is>
      </c>
      <c r="F72" s="18" t="inlineStr">
        <is>
          <t>Current Depreciation</t>
        </is>
      </c>
      <c r="G72" s="18" t="inlineStr">
        <is>
          <t>End Depreciation</t>
        </is>
      </c>
      <c r="H72" s="18" t="inlineStr">
        <is>
          <t>Net Book Value</t>
        </is>
      </c>
      <c r="I72" s="18" t="inlineStr">
        <is>
          <t>Method</t>
        </is>
      </c>
      <c r="J72" s="18" t="inlineStr">
        <is>
          <t>Period</t>
        </is>
      </c>
    </row>
    <row r="73" ht="15" customHeight="1">
      <c r="A73" s="19" t="inlineStr">
        <is>
          <t>2 - Land Improvements - Havenwood - 5yr</t>
        </is>
      </c>
      <c r="B73" s="6" t="n">
        <v>8161</v>
      </c>
      <c r="C73" s="6" t="n">
        <v>0</v>
      </c>
      <c r="D73" s="6" t="n">
        <v>0</v>
      </c>
      <c r="E73" s="6" t="n">
        <v>8161</v>
      </c>
      <c r="F73" s="6" t="n">
        <v>0</v>
      </c>
      <c r="G73" s="6" t="n">
        <v>8161</v>
      </c>
      <c r="H73" s="6" t="n">
        <v>0</v>
      </c>
      <c r="I73" s="20" t="inlineStr">
        <is>
          <t>200DB</t>
        </is>
      </c>
      <c r="J73" s="20" t="n">
        <v>5</v>
      </c>
    </row>
    <row r="74" ht="15" customHeight="1">
      <c r="A74" s="19" t="inlineStr">
        <is>
          <t>2 - Land Improvements - Havenwood - 15yr</t>
        </is>
      </c>
      <c r="B74" s="6" t="n">
        <v>1164</v>
      </c>
      <c r="C74" s="6" t="n">
        <v>0</v>
      </c>
      <c r="D74" s="6" t="n">
        <v>0</v>
      </c>
      <c r="E74" s="6" t="n">
        <v>1164</v>
      </c>
      <c r="F74" s="6" t="n">
        <v>0</v>
      </c>
      <c r="G74" s="6" t="n">
        <v>1164</v>
      </c>
      <c r="H74" s="6" t="n">
        <v>0</v>
      </c>
      <c r="I74" s="20" t="inlineStr">
        <is>
          <t>150DB</t>
        </is>
      </c>
      <c r="J74" s="20" t="n">
        <v>15</v>
      </c>
    </row>
    <row r="75" ht="15" customHeight="1">
      <c r="A75" s="19" t="inlineStr">
        <is>
          <t>2 - Land Improvements - Havenwood - 27.5yr</t>
        </is>
      </c>
      <c r="B75" s="6" t="n">
        <v>38146</v>
      </c>
      <c r="C75" s="6" t="n">
        <v>0</v>
      </c>
      <c r="D75" s="6" t="n">
        <v>0</v>
      </c>
      <c r="E75" s="6" t="n">
        <v>0</v>
      </c>
      <c r="F75" s="6" t="n">
        <v>1387.13</v>
      </c>
      <c r="G75" s="6" t="n">
        <v>9767.889999999999</v>
      </c>
      <c r="H75" s="6" t="n">
        <v>28378.11</v>
      </c>
      <c r="I75" s="20" t="inlineStr">
        <is>
          <t>S/L</t>
        </is>
      </c>
      <c r="J75" s="20" t="n">
        <v>27.5</v>
      </c>
    </row>
    <row r="76" ht="15" customHeight="1">
      <c r="A76" s="19" t="inlineStr">
        <is>
          <t>3 - Building - Havenwood - 5yr</t>
        </is>
      </c>
      <c r="B76" s="6" t="n">
        <v>106098</v>
      </c>
      <c r="C76" s="6" t="n">
        <v>0</v>
      </c>
      <c r="D76" s="6" t="n">
        <v>0</v>
      </c>
      <c r="E76" s="6" t="n">
        <v>106098</v>
      </c>
      <c r="F76" s="6" t="n">
        <v>0</v>
      </c>
      <c r="G76" s="6" t="n">
        <v>106098</v>
      </c>
      <c r="H76" s="6" t="n">
        <v>0</v>
      </c>
      <c r="I76" s="20" t="inlineStr">
        <is>
          <t>200DB</t>
        </is>
      </c>
      <c r="J76" s="20" t="n">
        <v>5</v>
      </c>
    </row>
    <row r="77" ht="15" customHeight="1">
      <c r="A77" s="19" t="inlineStr">
        <is>
          <t>3 - Building - Havenwood - 15yr</t>
        </is>
      </c>
      <c r="B77" s="6" t="n">
        <v>15130</v>
      </c>
      <c r="C77" s="6" t="n">
        <v>0</v>
      </c>
      <c r="D77" s="6" t="n">
        <v>0</v>
      </c>
      <c r="E77" s="6" t="n">
        <v>15130</v>
      </c>
      <c r="F77" s="6" t="n">
        <v>0</v>
      </c>
      <c r="G77" s="6" t="n">
        <v>15130</v>
      </c>
      <c r="H77" s="6" t="n">
        <v>0</v>
      </c>
      <c r="I77" s="20" t="inlineStr">
        <is>
          <t>150DB</t>
        </is>
      </c>
      <c r="J77" s="20" t="n">
        <v>15</v>
      </c>
    </row>
    <row r="78" ht="15" customHeight="1">
      <c r="A78" s="19" t="inlineStr">
        <is>
          <t>3 - Building - Havenwood - 27.5yr</t>
        </is>
      </c>
      <c r="B78" s="6" t="n">
        <v>495900</v>
      </c>
      <c r="C78" s="6" t="n">
        <v>0</v>
      </c>
      <c r="D78" s="6" t="n">
        <v>0</v>
      </c>
      <c r="E78" s="6" t="n">
        <v>0</v>
      </c>
      <c r="F78" s="6" t="n">
        <v>18032.73</v>
      </c>
      <c r="G78" s="6" t="n">
        <v>126980.47</v>
      </c>
      <c r="H78" s="6" t="n">
        <v>368919.53</v>
      </c>
      <c r="I78" s="20" t="inlineStr">
        <is>
          <t>S/L</t>
        </is>
      </c>
      <c r="J78" s="20" t="n">
        <v>27.5</v>
      </c>
    </row>
    <row r="79" ht="15" customHeight="1">
      <c r="A79" s="19" t="inlineStr">
        <is>
          <t>4 - Equipment - Havenwood - 5yr</t>
        </is>
      </c>
      <c r="B79" s="6" t="n">
        <v>21764</v>
      </c>
      <c r="C79" s="6" t="n">
        <v>0</v>
      </c>
      <c r="D79" s="6" t="n">
        <v>0</v>
      </c>
      <c r="E79" s="6" t="n">
        <v>21764</v>
      </c>
      <c r="F79" s="6" t="n">
        <v>0</v>
      </c>
      <c r="G79" s="6" t="n">
        <v>21764</v>
      </c>
      <c r="H79" s="6" t="n">
        <v>0</v>
      </c>
      <c r="I79" s="20" t="inlineStr">
        <is>
          <t>200DB</t>
        </is>
      </c>
      <c r="J79" s="20" t="n">
        <v>5</v>
      </c>
    </row>
    <row r="80" ht="15" customHeight="1">
      <c r="A80" s="19" t="inlineStr">
        <is>
          <t>4 - Equipment - Havenwood - 15yr</t>
        </is>
      </c>
      <c r="B80" s="6" t="n">
        <v>3103</v>
      </c>
      <c r="C80" s="6" t="n">
        <v>0</v>
      </c>
      <c r="D80" s="6" t="n">
        <v>0</v>
      </c>
      <c r="E80" s="6" t="n">
        <v>3103</v>
      </c>
      <c r="F80" s="6" t="n">
        <v>0</v>
      </c>
      <c r="G80" s="6" t="n">
        <v>3103</v>
      </c>
      <c r="H80" s="6" t="n">
        <v>0</v>
      </c>
      <c r="I80" s="20" t="inlineStr">
        <is>
          <t>150DB</t>
        </is>
      </c>
      <c r="J80" s="20" t="n">
        <v>15</v>
      </c>
    </row>
    <row r="81" ht="15" customHeight="1">
      <c r="A81" s="19" t="inlineStr">
        <is>
          <t>4 - Equipment - Havenwood - 27.5yr</t>
        </is>
      </c>
      <c r="B81" s="6" t="n">
        <v>101723</v>
      </c>
      <c r="C81" s="6" t="n">
        <v>0</v>
      </c>
      <c r="D81" s="6" t="n">
        <v>0</v>
      </c>
      <c r="E81" s="6" t="n">
        <v>0</v>
      </c>
      <c r="F81" s="6" t="n">
        <v>3699.02</v>
      </c>
      <c r="G81" s="6" t="n">
        <v>26047.27</v>
      </c>
      <c r="H81" s="6" t="n">
        <v>75675.73</v>
      </c>
      <c r="I81" s="20" t="inlineStr">
        <is>
          <t>S/L</t>
        </is>
      </c>
      <c r="J81" s="20" t="n">
        <v>27.5</v>
      </c>
    </row>
    <row r="82" ht="15" customHeight="1">
      <c r="A82" s="21" t="inlineStr">
        <is>
          <t>Grand Total</t>
        </is>
      </c>
      <c r="B82" s="8">
        <f>SUM(B73,B74,B75,B76,B77,B78,B79,B80,B81)</f>
        <v/>
      </c>
      <c r="C82" s="8">
        <f>SUM(C73,C74,C75,C76,C77,C78,C79,C80,C81)</f>
        <v/>
      </c>
      <c r="D82" s="8">
        <f>SUM(D73,D74,D75,D76,D77,D78,D79,D80,D81)</f>
        <v/>
      </c>
      <c r="E82" s="8">
        <f>SUM(E73,E74,E75,E76,E77,E78,E79,E80,E81)</f>
        <v/>
      </c>
      <c r="F82" s="8">
        <f>SUM(F73,F74,F75,F76,F77,F78,F79,F80,F81)</f>
        <v/>
      </c>
      <c r="G82" s="8">
        <f>SUM(G73,G74,G75,G76,G77,G78,G79,G80,G81)</f>
        <v/>
      </c>
      <c r="H82" s="8">
        <f>SUM(H73,H74,H75,H76,H77,H78,H79,H80,H81)</f>
        <v/>
      </c>
    </row>
    <row r="84" ht="15" customHeight="1">
      <c r="A84" s="22" t="inlineStr">
        <is>
          <t>SECTION 481(a) ADJUSTMENT</t>
        </is>
      </c>
    </row>
    <row r="85" ht="15" customHeight="1">
      <c r="A85" s="23" t="inlineStr">
        <is>
          <t>Depreciation reported previously</t>
        </is>
      </c>
      <c r="B85" s="24" t="n">
        <v>309892.45</v>
      </c>
    </row>
    <row r="86" ht="15" customHeight="1">
      <c r="A86" s="23" t="inlineStr">
        <is>
          <t>Cost Segregation Corrected Depreciation</t>
        </is>
      </c>
      <c r="B86" s="24" t="n">
        <v>318215.63</v>
      </c>
    </row>
    <row r="87" ht="15" customHeight="1">
      <c r="A87" s="22" t="inlineStr">
        <is>
          <t>Section 481(a) Adjustment</t>
        </is>
      </c>
      <c r="B87" s="25" t="n">
        <v>-8323.179999999993</v>
      </c>
    </row>
  </sheetData>
  <mergeCells count="12">
    <mergeCell ref="A50:E50"/>
    <mergeCell ref="A57:E57"/>
    <mergeCell ref="A2:E2"/>
    <mergeCell ref="A7:E7"/>
    <mergeCell ref="A1:E1"/>
    <mergeCell ref="A5:E5"/>
    <mergeCell ref="A84:E84"/>
    <mergeCell ref="A64:J64"/>
    <mergeCell ref="A22:E22"/>
    <mergeCell ref="A27:E27"/>
    <mergeCell ref="A71:J7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3117 Barbwood Dr, Harvey, LA 70058</t>
        </is>
      </c>
    </row>
    <row r="3" ht="15" customHeight="1">
      <c r="A3" s="11" t="inlineStr">
        <is>
          <t>Marrero 3 LP  |  EIN 82-2324040  |  FYE 12/31/2024  |  Partial Assets #2, #3, &amp; #4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1194.23</v>
      </c>
      <c r="C8" s="6" t="n">
        <v>1194.23</v>
      </c>
    </row>
    <row r="9" ht="15" customHeight="1">
      <c r="A9" s="15" t="inlineStr">
        <is>
          <t>Moldings</t>
        </is>
      </c>
      <c r="B9" s="6" t="n">
        <v>892.45</v>
      </c>
      <c r="C9" s="6" t="n">
        <v>892.45</v>
      </c>
    </row>
    <row r="10" ht="15" customHeight="1">
      <c r="A10" s="15" t="inlineStr">
        <is>
          <t>Flooring - Wood Laminate</t>
        </is>
      </c>
      <c r="B10" s="6" t="n">
        <v>772.85</v>
      </c>
      <c r="C10" s="6" t="n">
        <v>772.85</v>
      </c>
    </row>
    <row r="11" ht="15" customHeight="1">
      <c r="A11" s="15" t="inlineStr">
        <is>
          <t>Security System</t>
        </is>
      </c>
      <c r="B11" s="6" t="n">
        <v>479.69</v>
      </c>
      <c r="C11" s="6" t="n">
        <v>479.69</v>
      </c>
    </row>
    <row r="12" ht="15" customHeight="1">
      <c r="A12" s="15" t="inlineStr">
        <is>
          <t>Window Treatments</t>
        </is>
      </c>
      <c r="B12" s="6" t="n">
        <v>324.2</v>
      </c>
      <c r="C12" s="6" t="n">
        <v>324.2</v>
      </c>
    </row>
    <row r="13" ht="15" customHeight="1">
      <c r="A13" s="15" t="inlineStr">
        <is>
          <t>Specialty HVAC - Dryer Vents</t>
        </is>
      </c>
      <c r="B13" s="6" t="n">
        <v>30.15</v>
      </c>
      <c r="C13" s="6" t="n">
        <v>30.15</v>
      </c>
    </row>
    <row r="14" ht="15" customHeight="1">
      <c r="A14" s="15" t="inlineStr">
        <is>
          <t>Building Signage</t>
        </is>
      </c>
      <c r="B14" s="6" t="n">
        <v>19.82</v>
      </c>
      <c r="C14" s="6" t="n">
        <v>19.82</v>
      </c>
    </row>
    <row r="15" ht="15" customHeight="1">
      <c r="A15" s="15" t="inlineStr">
        <is>
          <t>Specialty Electrical - Appliances</t>
        </is>
      </c>
      <c r="B15" s="6" t="n">
        <v>514.89</v>
      </c>
      <c r="C15" s="6" t="n">
        <v>514.89</v>
      </c>
    </row>
    <row r="16" ht="15" customHeight="1">
      <c r="A16" s="15" t="inlineStr">
        <is>
          <t>Communication / Data</t>
        </is>
      </c>
      <c r="B16" s="6" t="n">
        <v>253.01</v>
      </c>
      <c r="C16" s="6" t="n">
        <v>253.01</v>
      </c>
    </row>
    <row r="17" ht="15" customHeight="1">
      <c r="A17" s="15" t="inlineStr">
        <is>
          <t>Specialty Plumbing - Kitchen Sink / Laundry</t>
        </is>
      </c>
      <c r="B17" s="6" t="n">
        <v>563.75</v>
      </c>
      <c r="C17" s="6" t="n">
        <v>563.75</v>
      </c>
    </row>
    <row r="18" ht="15" customHeight="1">
      <c r="A18" s="15" t="inlineStr">
        <is>
          <t>Security / Exterior Lighting</t>
        </is>
      </c>
      <c r="B18" s="6" t="n">
        <v>111.83</v>
      </c>
      <c r="C18" s="6" t="n">
        <v>111.83</v>
      </c>
    </row>
    <row r="19" ht="15" customHeight="1">
      <c r="A19" s="15" t="inlineStr">
        <is>
          <t>Appliances</t>
        </is>
      </c>
      <c r="B19" s="6" t="n">
        <v>564.76</v>
      </c>
      <c r="C19" s="6" t="n">
        <v>564.76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508.62</v>
      </c>
      <c r="D21" s="6" t="n">
        <v>508.62</v>
      </c>
    </row>
    <row r="22" ht="15" customHeight="1">
      <c r="A22" s="15" t="inlineStr">
        <is>
          <t>Sidewalks / Curbs</t>
        </is>
      </c>
      <c r="B22" s="6" t="n">
        <v>142.45</v>
      </c>
      <c r="D22" s="6" t="n">
        <v>142.45</v>
      </c>
    </row>
    <row r="23" ht="15" customHeight="1">
      <c r="A23" s="15" t="inlineStr">
        <is>
          <t>Exterior Equipment Concrete Pads</t>
        </is>
      </c>
      <c r="B23" s="6" t="n">
        <v>34.81</v>
      </c>
      <c r="D23" s="6" t="n">
        <v>34.81</v>
      </c>
    </row>
    <row r="24" ht="15" customHeight="1">
      <c r="A24" s="15" t="inlineStr">
        <is>
          <t>Mailboxes</t>
        </is>
      </c>
      <c r="B24" s="6" t="n">
        <v>21.6</v>
      </c>
      <c r="D24" s="6" t="n">
        <v>21.6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2544.9</v>
      </c>
      <c r="E26" s="6" t="n">
        <v>2544.9</v>
      </c>
    </row>
    <row r="27" ht="15" customHeight="1">
      <c r="A27" s="15" t="inlineStr">
        <is>
          <t>Foundations</t>
        </is>
      </c>
      <c r="B27" s="6" t="n">
        <v>5290.6</v>
      </c>
      <c r="E27" s="6" t="n">
        <v>5290.6</v>
      </c>
    </row>
    <row r="28" ht="15" customHeight="1">
      <c r="A28" s="15" t="inlineStr">
        <is>
          <t>HVAC</t>
        </is>
      </c>
      <c r="B28" s="6" t="n">
        <v>2605.13</v>
      </c>
      <c r="E28" s="6" t="n">
        <v>2605.13</v>
      </c>
    </row>
    <row r="29" ht="15" customHeight="1">
      <c r="A29" s="15" t="inlineStr">
        <is>
          <t>Electrical</t>
        </is>
      </c>
      <c r="B29" s="6" t="n">
        <v>2808.12</v>
      </c>
      <c r="E29" s="6" t="n">
        <v>2808.12</v>
      </c>
    </row>
    <row r="30" ht="15" customHeight="1">
      <c r="A30" s="15" t="inlineStr">
        <is>
          <t>Plumbing</t>
        </is>
      </c>
      <c r="B30" s="6" t="n">
        <v>2290.83</v>
      </c>
      <c r="E30" s="6" t="n">
        <v>2290.83</v>
      </c>
    </row>
    <row r="31" ht="15" customHeight="1">
      <c r="A31" s="15" t="inlineStr">
        <is>
          <t>Fire Protection &amp; Alarm</t>
        </is>
      </c>
      <c r="B31" s="6" t="n">
        <v>150.42</v>
      </c>
      <c r="E31" s="6" t="n">
        <v>150.42</v>
      </c>
    </row>
    <row r="32" ht="15" customHeight="1">
      <c r="A32" s="15" t="inlineStr">
        <is>
          <t>Exterior Façade / Building Skin</t>
        </is>
      </c>
      <c r="B32" s="6" t="n">
        <v>1919.86</v>
      </c>
      <c r="E32" s="6" t="n">
        <v>1919.86</v>
      </c>
    </row>
    <row r="33" ht="15" customHeight="1">
      <c r="A33" s="15" t="inlineStr">
        <is>
          <t>Doors &amp; Frames</t>
        </is>
      </c>
      <c r="B33" s="6" t="n">
        <v>1776.29</v>
      </c>
      <c r="E33" s="6" t="n">
        <v>1776.29</v>
      </c>
    </row>
    <row r="34" ht="15" customHeight="1">
      <c r="A34" s="15" t="inlineStr">
        <is>
          <t>Windows</t>
        </is>
      </c>
      <c r="B34" s="6" t="n">
        <v>1322.1</v>
      </c>
      <c r="E34" s="6" t="n">
        <v>1322.1</v>
      </c>
    </row>
    <row r="35" ht="15" customHeight="1">
      <c r="A35" s="15" t="inlineStr">
        <is>
          <t>Ceiling Systems</t>
        </is>
      </c>
      <c r="B35" s="6" t="n">
        <v>1338.43</v>
      </c>
      <c r="E35" s="6" t="n">
        <v>1338.43</v>
      </c>
    </row>
    <row r="36" ht="15" customHeight="1">
      <c r="A36" s="15" t="inlineStr">
        <is>
          <t>Interior Framing / Partitions</t>
        </is>
      </c>
      <c r="B36" s="6" t="n">
        <v>4310.61</v>
      </c>
      <c r="E36" s="6" t="n">
        <v>4310.61</v>
      </c>
    </row>
    <row r="37" ht="15" customHeight="1">
      <c r="A37" s="15" t="inlineStr">
        <is>
          <t>Painting</t>
        </is>
      </c>
      <c r="B37" s="6" t="n">
        <v>1420.92</v>
      </c>
      <c r="E37" s="6" t="n">
        <v>1420.92</v>
      </c>
    </row>
    <row r="38" ht="15" customHeight="1">
      <c r="A38" s="15" t="inlineStr">
        <is>
          <t>Gutter Systems</t>
        </is>
      </c>
      <c r="B38" s="6" t="n">
        <v>509.47</v>
      </c>
      <c r="E38" s="6" t="n">
        <v>509.47</v>
      </c>
    </row>
    <row r="39" ht="15" customHeight="1">
      <c r="A39" s="15" t="inlineStr">
        <is>
          <t>Structural Framing</t>
        </is>
      </c>
      <c r="B39" s="6" t="n">
        <v>4496.26</v>
      </c>
      <c r="E39" s="6" t="n">
        <v>4496.26</v>
      </c>
    </row>
    <row r="40" ht="15" customHeight="1">
      <c r="A40" s="15" t="inlineStr">
        <is>
          <t>Site Utilities</t>
        </is>
      </c>
      <c r="B40" s="6" t="n">
        <v>373.61</v>
      </c>
      <c r="E40" s="6" t="n">
        <v>373.61</v>
      </c>
    </row>
    <row r="41" ht="15" customHeight="1">
      <c r="A41" s="15" t="inlineStr">
        <is>
          <t>Garage Doors</t>
        </is>
      </c>
      <c r="B41" s="6" t="n">
        <v>397.47</v>
      </c>
      <c r="E41" s="6" t="n">
        <v>397.47</v>
      </c>
    </row>
    <row r="42" ht="15" customHeight="1">
      <c r="A42" s="15" t="inlineStr">
        <is>
          <t>Flooring - Sealed Concrete</t>
        </is>
      </c>
      <c r="B42" s="6" t="n">
        <v>52.64</v>
      </c>
      <c r="E42" s="6" t="n">
        <v>52.64</v>
      </c>
    </row>
    <row r="43" ht="15" customHeight="1">
      <c r="A43" s="15" t="inlineStr">
        <is>
          <t>Bathroom Accessories</t>
        </is>
      </c>
      <c r="B43" s="6" t="n">
        <v>468.02</v>
      </c>
      <c r="E43" s="6" t="n">
        <v>468.02</v>
      </c>
    </row>
    <row r="44" ht="15" customHeight="1">
      <c r="A44" s="15" t="inlineStr">
        <is>
          <t>Ceramic Tile Flooring</t>
        </is>
      </c>
      <c r="B44" s="6" t="n">
        <v>1629.46</v>
      </c>
      <c r="E44" s="6" t="n">
        <v>1629.46</v>
      </c>
    </row>
    <row r="45" ht="15" customHeight="1">
      <c r="A45" s="15" t="inlineStr">
        <is>
          <t>Cabinets / Millwork - Restrooms</t>
        </is>
      </c>
      <c r="B45" s="6" t="n">
        <v>362.41</v>
      </c>
      <c r="E45" s="6" t="n">
        <v>362.41</v>
      </c>
    </row>
    <row r="46" ht="15" customHeight="1">
      <c r="A46" s="7" t="inlineStr">
        <is>
          <t>Total Building Cost</t>
        </is>
      </c>
      <c r="B46" s="8">
        <f>SUM(B8,B9,B10,B11,B12,B13,B14,B15,B16,B17,B18,B19,B21,B22,B23,B24,B26,B27,B28,B29,B30,B31,B32,B33,B34,B35,B36,B37,B38,B39,B40,B41,B42,B43,B44,B45)</f>
        <v/>
      </c>
      <c r="C46" s="8">
        <f>SUM(C8,C9,C10,C11,C12,C13,C14,C15,C16,C17,C18,C19,C21,C22,C23,C24,C26,C27,C28,C29,C30,C31,C32,C33,C34,C35,C36,C37,C38,C39,C40,C41,C42,C43,C44,C45)</f>
        <v/>
      </c>
      <c r="D46" s="8">
        <f>SUM(D8,D9,D10,D11,D12,D13,D14,D15,D16,D17,D18,D19,D21,D22,D23,D24,D26,D27,D28,D29,D30,D31,D32,D33,D34,D35,D36,D37,D38,D39,D40,D41,D42,D43,D44,D45)</f>
        <v/>
      </c>
      <c r="E46" s="8">
        <f>SUM(E8,E9,E10,E11,E12,E13,E14,E15,E16,E17,E18,E19,E21,E22,E23,E24,E26,E27,E28,E29,E30,E31,E32,E33,E34,E35,E36,E37,E38,E39,E40,E41,E42,E43,E44,E45)</f>
        <v/>
      </c>
    </row>
    <row r="47" ht="15" customHeight="1">
      <c r="A47" s="15" t="inlineStr">
        <is>
          <t>% of Building Cost</t>
        </is>
      </c>
      <c r="C47" s="16">
        <f>C46/B46</f>
        <v/>
      </c>
      <c r="D47" s="16">
        <f>D46/B46</f>
        <v/>
      </c>
      <c r="E47" s="16">
        <f>E46/B46</f>
        <v/>
      </c>
    </row>
    <row r="49" ht="15" customHeight="1">
      <c r="A49" s="12" t="inlineStr">
        <is>
          <t>ASSET ALLOCATION (Per Unit)</t>
        </is>
      </c>
    </row>
    <row r="50" ht="15" customHeight="1">
      <c r="A50" s="3" t="inlineStr">
        <is>
          <t>Asset</t>
        </is>
      </c>
      <c r="B50" s="4" t="inlineStr">
        <is>
          <t>Total</t>
        </is>
      </c>
      <c r="C50" s="4" t="inlineStr">
        <is>
          <t>5 Year</t>
        </is>
      </c>
      <c r="D50" s="4" t="inlineStr">
        <is>
          <t>15 Year</t>
        </is>
      </c>
      <c r="E50" s="4" t="inlineStr">
        <is>
          <t>27.5 Year</t>
        </is>
      </c>
    </row>
    <row r="51" ht="15" customHeight="1">
      <c r="A51" s="15" t="inlineStr">
        <is>
          <t>Asset # 3-Building - Havenwood Drive</t>
        </is>
      </c>
      <c r="B51" s="6" t="n">
        <v>33147.4</v>
      </c>
      <c r="C51" s="6" t="n">
        <v>4462.87</v>
      </c>
      <c r="D51" s="6" t="n">
        <v>551.83</v>
      </c>
      <c r="E51" s="6" t="n">
        <v>28132.7</v>
      </c>
    </row>
    <row r="52" ht="15" customHeight="1">
      <c r="A52" s="15" t="inlineStr">
        <is>
          <t>Asset # 2-Land Improvements - Havenwood Drive</t>
        </is>
      </c>
      <c r="B52" s="6" t="n">
        <v>2549.82</v>
      </c>
      <c r="C52" s="6" t="n">
        <v>343.3</v>
      </c>
      <c r="D52" s="6" t="n">
        <v>113.2</v>
      </c>
      <c r="E52" s="6" t="n">
        <v>2093.32</v>
      </c>
    </row>
    <row r="53" ht="15" customHeight="1">
      <c r="A53" s="15" t="inlineStr">
        <is>
          <t>Asset # 4-Equipment - Havenwood Drive</t>
        </is>
      </c>
      <c r="B53" s="6" t="n">
        <v>6799.44</v>
      </c>
      <c r="C53" s="6" t="n">
        <v>915.46</v>
      </c>
      <c r="D53" s="6" t="n">
        <v>42.45</v>
      </c>
      <c r="E53" s="6" t="n">
        <v>5841.53</v>
      </c>
    </row>
    <row r="54" ht="15" customHeight="1">
      <c r="A54" s="7" t="inlineStr">
        <is>
          <t>Total Allocation:</t>
        </is>
      </c>
      <c r="B54" s="8">
        <f>SUM(B51,B52,B53)</f>
        <v/>
      </c>
      <c r="C54" s="8">
        <f>SUM(C51,C52,C53)</f>
        <v/>
      </c>
      <c r="D54" s="8">
        <f>SUM(D51,D52,D53)</f>
        <v/>
      </c>
      <c r="E54" s="8">
        <f>SUM(E51,E52,E53)</f>
        <v/>
      </c>
    </row>
    <row r="56" ht="15" customHeight="1">
      <c r="A56" s="12" t="inlineStr">
        <is>
          <t>4 Identical Units - Totals:</t>
        </is>
      </c>
    </row>
    <row r="57" ht="15" customHeight="1">
      <c r="A57" s="3" t="inlineStr">
        <is>
          <t>Asset</t>
        </is>
      </c>
      <c r="B57" s="4" t="inlineStr">
        <is>
          <t>Total</t>
        </is>
      </c>
      <c r="C57" s="4" t="inlineStr">
        <is>
          <t>5 Year</t>
        </is>
      </c>
      <c r="D57" s="4" t="inlineStr">
        <is>
          <t>15 Year</t>
        </is>
      </c>
      <c r="E57" s="4" t="inlineStr">
        <is>
          <t>27.5 Year</t>
        </is>
      </c>
    </row>
    <row r="58" ht="15" customHeight="1">
      <c r="A58" s="15" t="inlineStr">
        <is>
          <t>Asset # 2-Land Improvements - Havenwood Drive</t>
        </is>
      </c>
      <c r="B58" s="6" t="n">
        <v>7649</v>
      </c>
      <c r="C58" s="6" t="n">
        <v>1030</v>
      </c>
      <c r="D58" s="6" t="n">
        <v>127</v>
      </c>
      <c r="E58" s="6" t="n">
        <v>6493</v>
      </c>
    </row>
    <row r="59" ht="15" customHeight="1">
      <c r="A59" s="15" t="inlineStr">
        <is>
          <t>Asset # 3-Building - Havenwood Drive</t>
        </is>
      </c>
      <c r="B59" s="6" t="n">
        <v>99442</v>
      </c>
      <c r="C59" s="6" t="n">
        <v>13389</v>
      </c>
      <c r="D59" s="6" t="n">
        <v>1655</v>
      </c>
      <c r="E59" s="6" t="n">
        <v>84398</v>
      </c>
    </row>
    <row r="60" ht="15" customHeight="1">
      <c r="A60" s="15" t="inlineStr">
        <is>
          <t>Asset # 4-Equipment - Havenwood Drive</t>
        </is>
      </c>
      <c r="B60" s="6" t="n">
        <v>20398</v>
      </c>
      <c r="C60" s="6" t="n">
        <v>2746</v>
      </c>
      <c r="D60" s="6" t="n">
        <v>340</v>
      </c>
      <c r="E60" s="6" t="n">
        <v>17312</v>
      </c>
    </row>
    <row r="61" ht="15" customHeight="1">
      <c r="A61" s="7" t="inlineStr">
        <is>
          <t>Total Allocation:</t>
        </is>
      </c>
      <c r="B61" s="8">
        <f>SUM(B58,B59,B60)</f>
        <v/>
      </c>
      <c r="C61" s="8">
        <f>SUM(C58,C59,C60)</f>
        <v/>
      </c>
      <c r="D61" s="8">
        <f>SUM(D58,D59,D60)</f>
        <v/>
      </c>
      <c r="E61" s="8">
        <f>SUM(E58,E59,E60)</f>
        <v/>
      </c>
    </row>
    <row r="63" ht="15" customHeight="1">
      <c r="A63" s="12" t="inlineStr">
        <is>
          <t>AS PREVIOUSLY FILED — 481(a) Calculation (Regular Tax)</t>
        </is>
      </c>
    </row>
    <row r="64" ht="15" customHeight="1">
      <c r="A64" s="17" t="inlineStr">
        <is>
          <t>Asset Description</t>
        </is>
      </c>
      <c r="B64" s="18" t="inlineStr">
        <is>
          <t>Tax Cost</t>
        </is>
      </c>
      <c r="C64" s="18" t="inlineStr">
        <is>
          <t>Sec 179 Exp</t>
        </is>
      </c>
      <c r="D64" s="18" t="inlineStr">
        <is>
          <t>Bonus Amt</t>
        </is>
      </c>
      <c r="E64" s="18" t="inlineStr">
        <is>
          <t>Prior Depreciation</t>
        </is>
      </c>
      <c r="F64" s="18" t="inlineStr">
        <is>
          <t>Current Depreciation</t>
        </is>
      </c>
      <c r="G64" s="18" t="inlineStr">
        <is>
          <t>End Depreciation</t>
        </is>
      </c>
      <c r="H64" s="18" t="inlineStr">
        <is>
          <t>Net Book Value</t>
        </is>
      </c>
      <c r="I64" s="18" t="inlineStr">
        <is>
          <t>Method</t>
        </is>
      </c>
      <c r="J64" s="18" t="inlineStr">
        <is>
          <t>Period</t>
        </is>
      </c>
    </row>
    <row r="65" ht="15" customHeight="1">
      <c r="A65" s="19" t="inlineStr">
        <is>
          <t>2 - Land Improvements - Havenwood</t>
        </is>
      </c>
      <c r="B65" s="6" t="n">
        <v>7649</v>
      </c>
      <c r="C65" s="6" t="n">
        <v>0</v>
      </c>
      <c r="D65" s="6" t="n">
        <v>0</v>
      </c>
      <c r="E65" s="6" t="n">
        <v>3621.69</v>
      </c>
      <c r="F65" s="6" t="n">
        <v>451.69</v>
      </c>
      <c r="G65" s="6" t="n">
        <v>4073.38</v>
      </c>
      <c r="H65" s="6" t="n">
        <v>3575.62</v>
      </c>
      <c r="I65" s="20" t="inlineStr">
        <is>
          <t>150DB</t>
        </is>
      </c>
      <c r="J65" s="20" t="n">
        <v>15</v>
      </c>
    </row>
    <row r="66" ht="15" customHeight="1">
      <c r="A66" s="19" t="inlineStr">
        <is>
          <t>3 - Building - Havenwood</t>
        </is>
      </c>
      <c r="B66" s="6" t="n">
        <v>99442</v>
      </c>
      <c r="C66" s="6" t="n">
        <v>0</v>
      </c>
      <c r="D66" s="6" t="n">
        <v>0</v>
      </c>
      <c r="E66" s="6" t="n">
        <v>21847.1</v>
      </c>
      <c r="F66" s="6" t="n">
        <v>3616.07</v>
      </c>
      <c r="G66" s="6" t="n">
        <v>25463.17</v>
      </c>
      <c r="H66" s="6" t="n">
        <v>73978.83</v>
      </c>
      <c r="I66" s="20" t="inlineStr">
        <is>
          <t>S/L</t>
        </is>
      </c>
      <c r="J66" s="20" t="n">
        <v>27.5</v>
      </c>
    </row>
    <row r="67" ht="15" customHeight="1">
      <c r="A67" s="19" t="inlineStr">
        <is>
          <t>4 - Equipment - Havenwood</t>
        </is>
      </c>
      <c r="B67" s="6" t="n">
        <v>20398</v>
      </c>
      <c r="C67" s="6" t="n">
        <v>0</v>
      </c>
      <c r="D67" s="6" t="n">
        <v>0</v>
      </c>
      <c r="E67" s="6" t="n">
        <v>20398</v>
      </c>
      <c r="F67" s="6" t="n">
        <v>0</v>
      </c>
      <c r="G67" s="6" t="n">
        <v>20398</v>
      </c>
      <c r="H67" s="6" t="n">
        <v>0</v>
      </c>
      <c r="I67" s="20" t="inlineStr">
        <is>
          <t>200DB</t>
        </is>
      </c>
      <c r="J67" s="20" t="n">
        <v>5</v>
      </c>
    </row>
    <row r="68" ht="15" customHeight="1">
      <c r="A68" s="21" t="inlineStr">
        <is>
          <t>Grand Total</t>
        </is>
      </c>
      <c r="B68" s="8">
        <f>SUM(B65,B66,B67)</f>
        <v/>
      </c>
      <c r="C68" s="8">
        <f>SUM(C65,C66,C67)</f>
        <v/>
      </c>
      <c r="D68" s="8">
        <f>SUM(D65,D66,D67)</f>
        <v/>
      </c>
      <c r="E68" s="8">
        <f>SUM(E65,E66,E67)</f>
        <v/>
      </c>
      <c r="F68" s="8">
        <f>SUM(F65,F66,F67)</f>
        <v/>
      </c>
      <c r="G68" s="8">
        <f>SUM(G65,G66,G67)</f>
        <v/>
      </c>
      <c r="H68" s="8">
        <f>SUM(H65,H66,H67)</f>
        <v/>
      </c>
    </row>
    <row r="70" ht="15" customHeight="1">
      <c r="A70" s="12" t="inlineStr">
        <is>
          <t>AFTER COST SEGREGATION CORRECTION — 481(a) Calculation (Regular Tax)</t>
        </is>
      </c>
    </row>
    <row r="71" ht="15" customHeight="1">
      <c r="A71" s="17" t="inlineStr">
        <is>
          <t>Asset Description</t>
        </is>
      </c>
      <c r="B71" s="18" t="inlineStr">
        <is>
          <t>Tax Cost</t>
        </is>
      </c>
      <c r="C71" s="18" t="inlineStr">
        <is>
          <t>Sec 179 Exp</t>
        </is>
      </c>
      <c r="D71" s="18" t="inlineStr">
        <is>
          <t>Bonus Amt</t>
        </is>
      </c>
      <c r="E71" s="18" t="inlineStr">
        <is>
          <t>Prior Depreciation</t>
        </is>
      </c>
      <c r="F71" s="18" t="inlineStr">
        <is>
          <t>Current Depreciation</t>
        </is>
      </c>
      <c r="G71" s="18" t="inlineStr">
        <is>
          <t>End Depreciation</t>
        </is>
      </c>
      <c r="H71" s="18" t="inlineStr">
        <is>
          <t>Net Book Value</t>
        </is>
      </c>
      <c r="I71" s="18" t="inlineStr">
        <is>
          <t>Method</t>
        </is>
      </c>
      <c r="J71" s="18" t="inlineStr">
        <is>
          <t>Period</t>
        </is>
      </c>
    </row>
    <row r="72" ht="15" customHeight="1">
      <c r="A72" s="19" t="inlineStr">
        <is>
          <t>2 - Land Improvements - Havenwood - 5yr</t>
        </is>
      </c>
      <c r="B72" s="6" t="n">
        <v>1030</v>
      </c>
      <c r="C72" s="6" t="n">
        <v>0</v>
      </c>
      <c r="D72" s="6" t="n">
        <v>0</v>
      </c>
      <c r="E72" s="6" t="n">
        <v>1030</v>
      </c>
      <c r="F72" s="6" t="n">
        <v>0</v>
      </c>
      <c r="G72" s="6" t="n">
        <v>1030</v>
      </c>
      <c r="H72" s="6" t="n">
        <v>0</v>
      </c>
      <c r="I72" s="20" t="inlineStr">
        <is>
          <t>200DB</t>
        </is>
      </c>
      <c r="J72" s="20" t="n">
        <v>5</v>
      </c>
    </row>
    <row r="73" ht="15" customHeight="1">
      <c r="A73" s="19" t="inlineStr">
        <is>
          <t>2 - Land Improvements - Havenwood - 15yr</t>
        </is>
      </c>
      <c r="B73" s="6" t="n">
        <v>127</v>
      </c>
      <c r="C73" s="6" t="n">
        <v>0</v>
      </c>
      <c r="D73" s="6" t="n">
        <v>0</v>
      </c>
      <c r="E73" s="6" t="n">
        <v>63.27</v>
      </c>
      <c r="F73" s="6" t="n">
        <v>7.5</v>
      </c>
      <c r="G73" s="6" t="n">
        <v>70.77</v>
      </c>
      <c r="H73" s="6" t="n">
        <v>56.23</v>
      </c>
      <c r="I73" s="20" t="inlineStr">
        <is>
          <t>150DB</t>
        </is>
      </c>
      <c r="J73" s="20" t="n">
        <v>15</v>
      </c>
    </row>
    <row r="74" ht="15" customHeight="1">
      <c r="A74" s="19" t="inlineStr">
        <is>
          <t>2 - Land Improvements - Havenwood - 27.5yr</t>
        </is>
      </c>
      <c r="B74" s="6" t="n">
        <v>6493</v>
      </c>
      <c r="C74" s="6" t="n">
        <v>0</v>
      </c>
      <c r="D74" s="6" t="n">
        <v>0</v>
      </c>
      <c r="E74" s="6" t="n">
        <v>0</v>
      </c>
      <c r="F74" s="6" t="n">
        <v>236.11</v>
      </c>
      <c r="G74" s="6" t="n">
        <v>1662.37</v>
      </c>
      <c r="H74" s="6" t="n">
        <v>4830.63</v>
      </c>
      <c r="I74" s="20" t="inlineStr">
        <is>
          <t>S/L</t>
        </is>
      </c>
      <c r="J74" s="20" t="n">
        <v>27.5</v>
      </c>
    </row>
    <row r="75" ht="15" customHeight="1">
      <c r="A75" s="19" t="inlineStr">
        <is>
          <t>3 - Building - Havenwood - 5yr</t>
        </is>
      </c>
      <c r="B75" s="6" t="n">
        <v>13389</v>
      </c>
      <c r="C75" s="6" t="n">
        <v>0</v>
      </c>
      <c r="D75" s="6" t="n">
        <v>0</v>
      </c>
      <c r="E75" s="6" t="n">
        <v>13389</v>
      </c>
      <c r="F75" s="6" t="n">
        <v>0</v>
      </c>
      <c r="G75" s="6" t="n">
        <v>13389</v>
      </c>
      <c r="H75" s="6" t="n">
        <v>0</v>
      </c>
      <c r="I75" s="20" t="inlineStr">
        <is>
          <t>200DB</t>
        </is>
      </c>
      <c r="J75" s="20" t="n">
        <v>5</v>
      </c>
    </row>
    <row r="76" ht="15" customHeight="1">
      <c r="A76" s="19" t="inlineStr">
        <is>
          <t>3 - Building - Havenwood - 15yr</t>
        </is>
      </c>
      <c r="B76" s="6" t="n">
        <v>1655</v>
      </c>
      <c r="C76" s="6" t="n">
        <v>0</v>
      </c>
      <c r="D76" s="6" t="n">
        <v>0</v>
      </c>
      <c r="E76" s="6" t="n">
        <v>1655</v>
      </c>
      <c r="F76" s="6" t="n">
        <v>0</v>
      </c>
      <c r="G76" s="6" t="n">
        <v>1655</v>
      </c>
      <c r="H76" s="6" t="n">
        <v>0</v>
      </c>
      <c r="I76" s="20" t="inlineStr">
        <is>
          <t>150DB</t>
        </is>
      </c>
      <c r="J76" s="20" t="n">
        <v>15</v>
      </c>
    </row>
    <row r="77" ht="15" customHeight="1">
      <c r="A77" s="19" t="inlineStr">
        <is>
          <t>3 - Building - Havenwood - 27.5yr</t>
        </is>
      </c>
      <c r="B77" s="6" t="n">
        <v>84398</v>
      </c>
      <c r="C77" s="6" t="n">
        <v>0</v>
      </c>
      <c r="D77" s="6" t="n">
        <v>0</v>
      </c>
      <c r="E77" s="6" t="n">
        <v>0</v>
      </c>
      <c r="F77" s="6" t="n">
        <v>3069.02</v>
      </c>
      <c r="G77" s="6" t="n">
        <v>21611.02</v>
      </c>
      <c r="H77" s="6" t="n">
        <v>62786.98</v>
      </c>
      <c r="I77" s="20" t="inlineStr">
        <is>
          <t>S/L</t>
        </is>
      </c>
      <c r="J77" s="20" t="n">
        <v>27.5</v>
      </c>
    </row>
    <row r="78" ht="15" customHeight="1">
      <c r="A78" s="19" t="inlineStr">
        <is>
          <t>4 - Equipment - Havenwood - 5yr</t>
        </is>
      </c>
      <c r="B78" s="6" t="n">
        <v>2746</v>
      </c>
      <c r="C78" s="6" t="n">
        <v>0</v>
      </c>
      <c r="D78" s="6" t="n">
        <v>0</v>
      </c>
      <c r="E78" s="6" t="n">
        <v>2746</v>
      </c>
      <c r="F78" s="6" t="n">
        <v>0</v>
      </c>
      <c r="G78" s="6" t="n">
        <v>2746</v>
      </c>
      <c r="H78" s="6" t="n">
        <v>0</v>
      </c>
      <c r="I78" s="20" t="inlineStr">
        <is>
          <t>200DB</t>
        </is>
      </c>
      <c r="J78" s="20" t="n">
        <v>5</v>
      </c>
    </row>
    <row r="79" ht="15" customHeight="1">
      <c r="A79" s="19" t="inlineStr">
        <is>
          <t>4 - Equipment - Havenwood - 15yr</t>
        </is>
      </c>
      <c r="B79" s="6" t="n">
        <v>340</v>
      </c>
      <c r="C79" s="6" t="n">
        <v>0</v>
      </c>
      <c r="D79" s="6" t="n">
        <v>0</v>
      </c>
      <c r="E79" s="6" t="n">
        <v>340</v>
      </c>
      <c r="F79" s="6" t="n">
        <v>0</v>
      </c>
      <c r="G79" s="6" t="n">
        <v>340</v>
      </c>
      <c r="H79" s="6" t="n">
        <v>0</v>
      </c>
      <c r="I79" s="20" t="inlineStr">
        <is>
          <t>150DB</t>
        </is>
      </c>
      <c r="J79" s="20" t="n">
        <v>15</v>
      </c>
    </row>
    <row r="80" ht="15" customHeight="1">
      <c r="A80" s="19" t="inlineStr">
        <is>
          <t>4 - Equipment - Havenwood - 27.5yr</t>
        </is>
      </c>
      <c r="B80" s="6" t="n">
        <v>17312</v>
      </c>
      <c r="C80" s="6" t="n">
        <v>0</v>
      </c>
      <c r="D80" s="6" t="n">
        <v>0</v>
      </c>
      <c r="E80" s="6" t="n">
        <v>0</v>
      </c>
      <c r="F80" s="6" t="n">
        <v>629.53</v>
      </c>
      <c r="G80" s="6" t="n">
        <v>4432.94</v>
      </c>
      <c r="H80" s="6" t="n">
        <v>12879.06</v>
      </c>
      <c r="I80" s="20" t="inlineStr">
        <is>
          <t>S/L</t>
        </is>
      </c>
      <c r="J80" s="20" t="n">
        <v>27.5</v>
      </c>
    </row>
    <row r="81" ht="15" customHeight="1">
      <c r="A81" s="21" t="inlineStr">
        <is>
          <t>Grand Total</t>
        </is>
      </c>
      <c r="B81" s="8">
        <f>SUM(B72,B73,B74,B75,B76,B77,B78,B79,B80)</f>
        <v/>
      </c>
      <c r="C81" s="8">
        <f>SUM(C72,C73,C74,C75,C76,C77,C78,C79,C80)</f>
        <v/>
      </c>
      <c r="D81" s="8">
        <f>SUM(D72,D73,D74,D75,D76,D77,D78,D79,D80)</f>
        <v/>
      </c>
      <c r="E81" s="8">
        <f>SUM(E72,E73,E74,E75,E76,E77,E78,E79,E80)</f>
        <v/>
      </c>
      <c r="F81" s="8">
        <f>SUM(F72,F73,F74,F75,F76,F77,F78,F79,F80)</f>
        <v/>
      </c>
      <c r="G81" s="8">
        <f>SUM(G72,G73,G74,G75,G76,G77,G78,G79,G80)</f>
        <v/>
      </c>
      <c r="H81" s="8">
        <f>SUM(H72,H73,H74,H75,H76,H77,H78,H79,H80)</f>
        <v/>
      </c>
    </row>
    <row r="83" ht="15" customHeight="1">
      <c r="A83" s="22" t="inlineStr">
        <is>
          <t>SECTION 481(a) ADJUSTMENT</t>
        </is>
      </c>
    </row>
    <row r="84" ht="15" customHeight="1">
      <c r="A84" s="23" t="inlineStr">
        <is>
          <t>Depreciation reported previously</t>
        </is>
      </c>
      <c r="B84" s="24" t="n">
        <v>49934.55</v>
      </c>
    </row>
    <row r="85" ht="15" customHeight="1">
      <c r="A85" s="23" t="inlineStr">
        <is>
          <t>Cost Segregation Corrected Depreciation</t>
        </is>
      </c>
      <c r="B85" s="24" t="n">
        <v>46937.1</v>
      </c>
    </row>
    <row r="86" ht="15" customHeight="1">
      <c r="A86" s="22" t="inlineStr">
        <is>
          <t>Section 481(a) Adjustment</t>
        </is>
      </c>
      <c r="B86" s="25" t="n">
        <v>2997.450000000004</v>
      </c>
    </row>
  </sheetData>
  <mergeCells count="12">
    <mergeCell ref="A83:E83"/>
    <mergeCell ref="A63:J63"/>
    <mergeCell ref="A20:E20"/>
    <mergeCell ref="A2:E2"/>
    <mergeCell ref="A7:E7"/>
    <mergeCell ref="A25:E25"/>
    <mergeCell ref="A70:J70"/>
    <mergeCell ref="A49:E49"/>
    <mergeCell ref="A1:E1"/>
    <mergeCell ref="A5:E5"/>
    <mergeCell ref="A56:E56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6805 Sayres, Marrero, LA 70072</t>
        </is>
      </c>
    </row>
    <row r="3" ht="15" customHeight="1">
      <c r="A3" s="11" t="inlineStr">
        <is>
          <t>Marrero 3 LP  |  EIN 82-2324040  |  FYE 12/31/2024  |  Partial Assets #22, #23, &amp; #24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769.54</v>
      </c>
      <c r="C8" s="6" t="n">
        <v>769.54</v>
      </c>
    </row>
    <row r="9" ht="15" customHeight="1">
      <c r="A9" s="15" t="inlineStr">
        <is>
          <t>Moldings</t>
        </is>
      </c>
      <c r="B9" s="6" t="n">
        <v>1073.38</v>
      </c>
      <c r="C9" s="6" t="n">
        <v>1073.38</v>
      </c>
    </row>
    <row r="10" ht="15" customHeight="1">
      <c r="A10" s="15" t="inlineStr">
        <is>
          <t>Flooring - Wood Laminate</t>
        </is>
      </c>
      <c r="B10" s="6" t="n">
        <v>1525.14</v>
      </c>
      <c r="C10" s="6" t="n">
        <v>1525.14</v>
      </c>
    </row>
    <row r="11" ht="15" customHeight="1">
      <c r="A11" s="15" t="inlineStr">
        <is>
          <t>Security System</t>
        </is>
      </c>
      <c r="B11" s="6" t="n">
        <v>391.94</v>
      </c>
      <c r="C11" s="6" t="n">
        <v>391.94</v>
      </c>
    </row>
    <row r="12" ht="15" customHeight="1">
      <c r="A12" s="15" t="inlineStr">
        <is>
          <t>Window Treatments</t>
        </is>
      </c>
      <c r="B12" s="6" t="n">
        <v>399.45</v>
      </c>
      <c r="C12" s="6" t="n">
        <v>399.45</v>
      </c>
    </row>
    <row r="13" ht="15" customHeight="1">
      <c r="A13" s="15" t="inlineStr">
        <is>
          <t>Specialty HVAC - Dryer Vents</t>
        </is>
      </c>
      <c r="B13" s="6" t="n">
        <v>33.34</v>
      </c>
      <c r="C13" s="6" t="n">
        <v>33.34</v>
      </c>
    </row>
    <row r="14" ht="15" customHeight="1">
      <c r="A14" s="15" t="inlineStr">
        <is>
          <t>Building Signage</t>
        </is>
      </c>
      <c r="B14" s="6" t="n">
        <v>21.93</v>
      </c>
      <c r="C14" s="6" t="n">
        <v>21.93</v>
      </c>
    </row>
    <row r="15" ht="15" customHeight="1">
      <c r="A15" s="15" t="inlineStr">
        <is>
          <t>Specialty Electrical - Appliances</t>
        </is>
      </c>
      <c r="B15" s="6" t="n">
        <v>569.4</v>
      </c>
      <c r="C15" s="6" t="n">
        <v>569.4</v>
      </c>
    </row>
    <row r="16" ht="15" customHeight="1">
      <c r="A16" s="15" t="inlineStr">
        <is>
          <t>Communication / Data</t>
        </is>
      </c>
      <c r="B16" s="6" t="n">
        <v>233.79</v>
      </c>
      <c r="C16" s="6" t="n">
        <v>233.79</v>
      </c>
    </row>
    <row r="17" ht="15" customHeight="1">
      <c r="A17" s="15" t="inlineStr">
        <is>
          <t>Specialty Plumbing - Kitchen Sink / Laundry</t>
        </is>
      </c>
      <c r="B17" s="6" t="n">
        <v>623.4400000000001</v>
      </c>
      <c r="C17" s="6" t="n">
        <v>623.4400000000001</v>
      </c>
    </row>
    <row r="18" ht="15" customHeight="1">
      <c r="A18" s="15" t="inlineStr">
        <is>
          <t>Security / Exterior Lighting</t>
        </is>
      </c>
      <c r="B18" s="6" t="n">
        <v>123.66</v>
      </c>
      <c r="C18" s="6" t="n">
        <v>123.66</v>
      </c>
    </row>
    <row r="19" ht="15" customHeight="1">
      <c r="A19" s="15" t="inlineStr">
        <is>
          <t>Appliances</t>
        </is>
      </c>
      <c r="B19" s="6" t="n">
        <v>624.5599999999999</v>
      </c>
      <c r="C19" s="6" t="n">
        <v>624.5599999999999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462.21</v>
      </c>
      <c r="D21" s="6" t="n">
        <v>462.21</v>
      </c>
    </row>
    <row r="22" ht="15" customHeight="1">
      <c r="A22" s="15" t="inlineStr">
        <is>
          <t>Sidewalks / Curbs</t>
        </is>
      </c>
      <c r="B22" s="6" t="n">
        <v>179.88</v>
      </c>
      <c r="D22" s="6" t="n">
        <v>179.88</v>
      </c>
    </row>
    <row r="23" ht="15" customHeight="1">
      <c r="A23" s="15" t="inlineStr">
        <is>
          <t>Landscaping</t>
        </is>
      </c>
      <c r="B23" s="6" t="n">
        <v>16.47</v>
      </c>
      <c r="D23" s="6" t="n">
        <v>16.47</v>
      </c>
    </row>
    <row r="24" ht="15" customHeight="1">
      <c r="A24" s="15" t="inlineStr">
        <is>
          <t>Exterior Equipment Concrete Pads</t>
        </is>
      </c>
      <c r="B24" s="6" t="n">
        <v>38.5</v>
      </c>
      <c r="D24" s="6" t="n">
        <v>38.5</v>
      </c>
    </row>
    <row r="25" ht="15" customHeight="1">
      <c r="A25" s="15" t="inlineStr">
        <is>
          <t>Mailboxes</t>
        </is>
      </c>
      <c r="B25" s="6" t="n">
        <v>23.87</v>
      </c>
      <c r="D25" s="6" t="n">
        <v>23.87</v>
      </c>
    </row>
    <row r="26" ht="15" customHeight="1">
      <c r="A26" s="13" t="inlineStr">
        <is>
          <t>Building Structure</t>
        </is>
      </c>
      <c r="B26" s="14" t="n"/>
      <c r="C26" s="14" t="n"/>
      <c r="D26" s="14" t="n"/>
      <c r="E26" s="14" t="n"/>
    </row>
    <row r="27" ht="15" customHeight="1">
      <c r="A27" s="15" t="inlineStr">
        <is>
          <t>Roofing Systems</t>
        </is>
      </c>
      <c r="B27" s="6" t="n">
        <v>2692.77</v>
      </c>
      <c r="E27" s="6" t="n">
        <v>2692.77</v>
      </c>
    </row>
    <row r="28" ht="15" customHeight="1">
      <c r="A28" s="15" t="inlineStr">
        <is>
          <t>Foundations</t>
        </is>
      </c>
      <c r="B28" s="6" t="n">
        <v>4528.89</v>
      </c>
      <c r="E28" s="6" t="n">
        <v>4528.89</v>
      </c>
    </row>
    <row r="29" ht="15" customHeight="1">
      <c r="A29" s="15" t="inlineStr">
        <is>
          <t>HVAC</t>
        </is>
      </c>
      <c r="B29" s="6" t="n">
        <v>2401.76</v>
      </c>
      <c r="E29" s="6" t="n">
        <v>2401.76</v>
      </c>
    </row>
    <row r="30" ht="15" customHeight="1">
      <c r="A30" s="15" t="inlineStr">
        <is>
          <t>Electrical</t>
        </is>
      </c>
      <c r="B30" s="6" t="n">
        <v>2545.73</v>
      </c>
      <c r="E30" s="6" t="n">
        <v>2545.73</v>
      </c>
    </row>
    <row r="31" ht="15" customHeight="1">
      <c r="A31" s="15" t="inlineStr">
        <is>
          <t>Plumbing</t>
        </is>
      </c>
      <c r="B31" s="6" t="n">
        <v>2116.83</v>
      </c>
      <c r="E31" s="6" t="n">
        <v>2116.83</v>
      </c>
    </row>
    <row r="32" ht="15" customHeight="1">
      <c r="A32" s="15" t="inlineStr">
        <is>
          <t>Fire Protection &amp; Alarm</t>
        </is>
      </c>
      <c r="B32" s="6" t="n">
        <v>133.07</v>
      </c>
      <c r="E32" s="6" t="n">
        <v>133.07</v>
      </c>
    </row>
    <row r="33" ht="15" customHeight="1">
      <c r="A33" s="15" t="inlineStr">
        <is>
          <t>Exterior Façade / Building Skin</t>
        </is>
      </c>
      <c r="B33" s="6" t="n">
        <v>2525.75</v>
      </c>
      <c r="E33" s="6" t="n">
        <v>2525.75</v>
      </c>
    </row>
    <row r="34" ht="15" customHeight="1">
      <c r="A34" s="15" t="inlineStr">
        <is>
          <t>Doors &amp; Frames</t>
        </is>
      </c>
      <c r="B34" s="6" t="n">
        <v>1588.26</v>
      </c>
      <c r="E34" s="6" t="n">
        <v>1588.26</v>
      </c>
    </row>
    <row r="35" ht="15" customHeight="1">
      <c r="A35" s="15" t="inlineStr">
        <is>
          <t>Windows</t>
        </is>
      </c>
      <c r="B35" s="6" t="n">
        <v>1402.38</v>
      </c>
      <c r="E35" s="6" t="n">
        <v>1402.38</v>
      </c>
    </row>
    <row r="36" ht="15" customHeight="1">
      <c r="A36" s="15" t="inlineStr">
        <is>
          <t>Ceiling Systems</t>
        </is>
      </c>
      <c r="B36" s="6" t="n">
        <v>1255.57</v>
      </c>
      <c r="E36" s="6" t="n">
        <v>1255.57</v>
      </c>
    </row>
    <row r="37" ht="15" customHeight="1">
      <c r="A37" s="15" t="inlineStr">
        <is>
          <t>Interior Framing / Partitions</t>
        </is>
      </c>
      <c r="B37" s="6" t="n">
        <v>5166.35</v>
      </c>
      <c r="E37" s="6" t="n">
        <v>5166.35</v>
      </c>
    </row>
    <row r="38" ht="15" customHeight="1">
      <c r="A38" s="15" t="inlineStr">
        <is>
          <t>Painting</t>
        </is>
      </c>
      <c r="B38" s="6" t="n">
        <v>1609.06</v>
      </c>
      <c r="E38" s="6" t="n">
        <v>1609.06</v>
      </c>
    </row>
    <row r="39" ht="15" customHeight="1">
      <c r="A39" s="15" t="inlineStr">
        <is>
          <t>Structural Framing</t>
        </is>
      </c>
      <c r="B39" s="6" t="n">
        <v>4954.03</v>
      </c>
      <c r="E39" s="6" t="n">
        <v>4954.03</v>
      </c>
    </row>
    <row r="40" ht="15" customHeight="1">
      <c r="A40" s="15" t="inlineStr">
        <is>
          <t>Site Utilities</t>
        </is>
      </c>
      <c r="B40" s="6" t="n">
        <v>510.29</v>
      </c>
      <c r="E40" s="6" t="n">
        <v>510.29</v>
      </c>
    </row>
    <row r="41" ht="15" customHeight="1">
      <c r="A41" s="15" t="inlineStr">
        <is>
          <t>Garage Doors</t>
        </is>
      </c>
      <c r="B41" s="6" t="n">
        <v>439.55</v>
      </c>
      <c r="E41" s="6" t="n">
        <v>439.55</v>
      </c>
    </row>
    <row r="42" ht="15" customHeight="1">
      <c r="A42" s="15" t="inlineStr">
        <is>
          <t>Flooring - Sealed Concrete</t>
        </is>
      </c>
      <c r="B42" s="6" t="n">
        <v>58.21</v>
      </c>
      <c r="E42" s="6" t="n">
        <v>58.21</v>
      </c>
    </row>
    <row r="43" ht="15" customHeight="1">
      <c r="A43" s="15" t="inlineStr">
        <is>
          <t>Bathroom Accessories</t>
        </is>
      </c>
      <c r="B43" s="6" t="n">
        <v>517.5700000000001</v>
      </c>
      <c r="E43" s="6" t="n">
        <v>517.5700000000001</v>
      </c>
    </row>
    <row r="44" ht="15" customHeight="1">
      <c r="A44" s="15" t="inlineStr">
        <is>
          <t>Ceramic Tile Flooring</t>
        </is>
      </c>
      <c r="B44" s="6" t="n">
        <v>365.76</v>
      </c>
      <c r="E44" s="6" t="n">
        <v>365.76</v>
      </c>
    </row>
    <row r="45" ht="15" customHeight="1">
      <c r="A45" s="15" t="inlineStr">
        <is>
          <t>Cabinets / Millwork - Restrooms</t>
        </is>
      </c>
      <c r="B45" s="6" t="n">
        <v>304.95</v>
      </c>
      <c r="E45" s="6" t="n">
        <v>304.95</v>
      </c>
    </row>
    <row r="46" ht="15" customHeight="1">
      <c r="A46" s="7" t="inlineStr">
        <is>
          <t>Total Building Cost</t>
        </is>
      </c>
      <c r="B46" s="8">
        <f>SUM(B8,B9,B10,B11,B12,B13,B14,B15,B16,B17,B18,B19,B21,B22,B23,B24,B25,B27,B28,B29,B30,B31,B32,B33,B34,B35,B36,B37,B38,B39,B40,B41,B42,B43,B44,B45)</f>
        <v/>
      </c>
      <c r="C46" s="8">
        <f>SUM(C8,C9,C10,C11,C12,C13,C14,C15,C16,C17,C18,C19,C21,C22,C23,C24,C25,C27,C28,C29,C30,C31,C32,C33,C34,C35,C36,C37,C38,C39,C40,C41,C42,C43,C44,C45)</f>
        <v/>
      </c>
      <c r="D46" s="8">
        <f>SUM(D8,D9,D10,D11,D12,D13,D14,D15,D16,D17,D18,D19,D21,D22,D23,D24,D25,D27,D28,D29,D30,D31,D32,D33,D34,D35,D36,D37,D38,D39,D40,D41,D42,D43,D44,D45)</f>
        <v/>
      </c>
      <c r="E46" s="8">
        <f>SUM(E8,E9,E10,E11,E12,E13,E14,E15,E16,E17,E18,E19,E21,E22,E23,E24,E25,E27,E28,E29,E30,E31,E32,E33,E34,E35,E36,E37,E38,E39,E40,E41,E42,E43,E44,E45)</f>
        <v/>
      </c>
    </row>
    <row r="47" ht="15" customHeight="1">
      <c r="A47" s="15" t="inlineStr">
        <is>
          <t>% of Building Cost</t>
        </is>
      </c>
      <c r="C47" s="16">
        <f>C46/B46</f>
        <v/>
      </c>
      <c r="D47" s="16">
        <f>D46/B46</f>
        <v/>
      </c>
      <c r="E47" s="16">
        <f>E46/B46</f>
        <v/>
      </c>
    </row>
    <row r="49" ht="15" customHeight="1">
      <c r="A49" s="12" t="inlineStr">
        <is>
          <t>ASSET ALLOCATION (Per Unit)</t>
        </is>
      </c>
    </row>
    <row r="50" ht="15" customHeight="1">
      <c r="A50" s="3" t="inlineStr">
        <is>
          <t>Asset</t>
        </is>
      </c>
      <c r="B50" s="4" t="inlineStr">
        <is>
          <t>Total</t>
        </is>
      </c>
      <c r="C50" s="4" t="inlineStr">
        <is>
          <t>5 Year</t>
        </is>
      </c>
      <c r="D50" s="4" t="inlineStr">
        <is>
          <t>15 Year</t>
        </is>
      </c>
      <c r="E50" s="4" t="inlineStr">
        <is>
          <t>27.5 Year</t>
        </is>
      </c>
    </row>
    <row r="51" ht="15" customHeight="1">
      <c r="A51" s="15" t="inlineStr">
        <is>
          <t>Asset # 23-Building - Gentry</t>
        </is>
      </c>
      <c r="B51" s="6" t="n">
        <v>35350.51</v>
      </c>
      <c r="C51" s="6" t="n">
        <v>5962.73</v>
      </c>
      <c r="D51" s="6" t="n">
        <v>1277.72</v>
      </c>
      <c r="E51" s="6" t="n">
        <v>28110.06</v>
      </c>
    </row>
    <row r="52" ht="15" customHeight="1">
      <c r="A52" s="15" t="inlineStr">
        <is>
          <t>Asset # 22-Land Improvements - Gentry</t>
        </is>
      </c>
      <c r="B52" s="6" t="n">
        <v>1277.72</v>
      </c>
      <c r="D52" s="6" t="n">
        <v>1277.72</v>
      </c>
    </row>
    <row r="53" ht="15" customHeight="1">
      <c r="A53" s="15" t="inlineStr">
        <is>
          <t>Asset # 24-Equipment - Gentry</t>
        </is>
      </c>
      <c r="B53" s="6" t="n">
        <v>5962.73</v>
      </c>
      <c r="C53" s="6" t="n">
        <v>5962.73</v>
      </c>
    </row>
    <row r="54" ht="15" customHeight="1">
      <c r="A54" s="7" t="inlineStr">
        <is>
          <t>Total Allocation:</t>
        </is>
      </c>
      <c r="B54" s="8">
        <f>SUM(B51,B52,B53)</f>
        <v/>
      </c>
      <c r="C54" s="8">
        <f>SUM(C51,C52,C53)</f>
        <v/>
      </c>
      <c r="D54" s="8">
        <f>SUM(D51,D52,D53)</f>
        <v/>
      </c>
      <c r="E54" s="8">
        <f>SUM(E51,E52,E53)</f>
        <v/>
      </c>
    </row>
    <row r="56" ht="15" customHeight="1">
      <c r="A56" s="12" t="inlineStr">
        <is>
          <t>8 Identical Units - Totals:</t>
        </is>
      </c>
    </row>
    <row r="57" ht="15" customHeight="1">
      <c r="A57" s="3" t="inlineStr">
        <is>
          <t>Asset</t>
        </is>
      </c>
      <c r="B57" s="4" t="inlineStr">
        <is>
          <t>Total</t>
        </is>
      </c>
      <c r="C57" s="4" t="inlineStr">
        <is>
          <t>5 Year</t>
        </is>
      </c>
      <c r="D57" s="4" t="inlineStr">
        <is>
          <t>15 Year</t>
        </is>
      </c>
      <c r="E57" s="4" t="inlineStr">
        <is>
          <t>27.5 Year</t>
        </is>
      </c>
    </row>
    <row r="58" ht="15" customHeight="1">
      <c r="A58" s="15" t="inlineStr">
        <is>
          <t>Asset # 22-Land Improvements - Gentry</t>
        </is>
      </c>
      <c r="B58" s="6" t="n">
        <v>40887</v>
      </c>
      <c r="C58" s="6" t="n">
        <v>6134</v>
      </c>
      <c r="D58" s="6" t="n">
        <v>692</v>
      </c>
      <c r="E58" s="6" t="n">
        <v>34061</v>
      </c>
    </row>
    <row r="59" ht="15" customHeight="1">
      <c r="A59" s="15" t="inlineStr">
        <is>
          <t>Asset # 23-Building - Gentry</t>
        </is>
      </c>
      <c r="B59" s="6" t="n">
        <v>1131216</v>
      </c>
      <c r="C59" s="6" t="n">
        <v>169707</v>
      </c>
      <c r="D59" s="6" t="n">
        <v>19148</v>
      </c>
      <c r="E59" s="6" t="n">
        <v>942361</v>
      </c>
    </row>
    <row r="60" ht="15" customHeight="1">
      <c r="A60" s="15" t="inlineStr">
        <is>
          <t>Asset # 24-Equipment - Gentry</t>
        </is>
      </c>
      <c r="B60" s="6" t="n">
        <v>190807</v>
      </c>
      <c r="C60" s="6" t="n">
        <v>28625</v>
      </c>
      <c r="D60" s="6" t="n">
        <v>3230</v>
      </c>
      <c r="E60" s="6" t="n">
        <v>158953</v>
      </c>
    </row>
    <row r="61" ht="15" customHeight="1">
      <c r="A61" s="7" t="inlineStr">
        <is>
          <t>Total Allocation:</t>
        </is>
      </c>
      <c r="B61" s="8">
        <f>SUM(B58,B59,B60)</f>
        <v/>
      </c>
      <c r="C61" s="8">
        <f>SUM(C58,C59,C60)</f>
        <v/>
      </c>
      <c r="D61" s="8">
        <f>SUM(D58,D59,D60)</f>
        <v/>
      </c>
      <c r="E61" s="8">
        <f>SUM(E58,E59,E60)</f>
        <v/>
      </c>
    </row>
    <row r="63" ht="15" customHeight="1">
      <c r="A63" s="12" t="inlineStr">
        <is>
          <t>AS PREVIOUSLY FILED — 481(a) Calculation (Regular Tax)</t>
        </is>
      </c>
    </row>
    <row r="64" ht="15" customHeight="1">
      <c r="A64" s="17" t="inlineStr">
        <is>
          <t>Asset Description</t>
        </is>
      </c>
      <c r="B64" s="18" t="inlineStr">
        <is>
          <t>Tax Cost</t>
        </is>
      </c>
      <c r="C64" s="18" t="inlineStr">
        <is>
          <t>Sec 179 Exp</t>
        </is>
      </c>
      <c r="D64" s="18" t="inlineStr">
        <is>
          <t>Bonus Amt</t>
        </is>
      </c>
      <c r="E64" s="18" t="inlineStr">
        <is>
          <t>Prior Depreciation</t>
        </is>
      </c>
      <c r="F64" s="18" t="inlineStr">
        <is>
          <t>Current Depreciation</t>
        </is>
      </c>
      <c r="G64" s="18" t="inlineStr">
        <is>
          <t>End Depreciation</t>
        </is>
      </c>
      <c r="H64" s="18" t="inlineStr">
        <is>
          <t>Net Book Value</t>
        </is>
      </c>
      <c r="I64" s="18" t="inlineStr">
        <is>
          <t>Method</t>
        </is>
      </c>
      <c r="J64" s="18" t="inlineStr">
        <is>
          <t>Period</t>
        </is>
      </c>
    </row>
    <row r="65" ht="15" customHeight="1">
      <c r="A65" s="19" t="inlineStr">
        <is>
          <t>22 - Land Improvements - Gentry</t>
        </is>
      </c>
      <c r="B65" s="6" t="n">
        <v>40887</v>
      </c>
      <c r="C65" s="6" t="n">
        <v>0</v>
      </c>
      <c r="D65" s="6" t="n">
        <v>0</v>
      </c>
      <c r="E65" s="6" t="n">
        <v>40887</v>
      </c>
      <c r="F65" s="6" t="n">
        <v>0</v>
      </c>
      <c r="G65" s="6" t="n">
        <v>40887</v>
      </c>
      <c r="H65" s="6" t="n">
        <v>0</v>
      </c>
      <c r="I65" s="20" t="inlineStr">
        <is>
          <t>150DB</t>
        </is>
      </c>
      <c r="J65" s="20" t="n">
        <v>15</v>
      </c>
    </row>
    <row r="66" ht="15" customHeight="1">
      <c r="A66" s="19" t="inlineStr">
        <is>
          <t>23 - Buidling - Gentry</t>
        </is>
      </c>
      <c r="B66" s="6" t="n">
        <v>1131216</v>
      </c>
      <c r="C66" s="6" t="n">
        <v>0</v>
      </c>
      <c r="D66" s="6" t="n">
        <v>0</v>
      </c>
      <c r="E66" s="6" t="n">
        <v>245097.45</v>
      </c>
      <c r="F66" s="6" t="n">
        <v>41135.17</v>
      </c>
      <c r="G66" s="6" t="n">
        <v>286232.62</v>
      </c>
      <c r="H66" s="6" t="n">
        <v>844983.38</v>
      </c>
      <c r="I66" s="20" t="inlineStr">
        <is>
          <t>S/L</t>
        </is>
      </c>
      <c r="J66" s="20" t="n">
        <v>27.5</v>
      </c>
    </row>
    <row r="67" ht="15" customHeight="1">
      <c r="A67" s="19" t="inlineStr">
        <is>
          <t>24 - Equipment - Gentry</t>
        </is>
      </c>
      <c r="B67" s="6" t="n">
        <v>190807</v>
      </c>
      <c r="C67" s="6" t="n">
        <v>0</v>
      </c>
      <c r="D67" s="6" t="n">
        <v>0</v>
      </c>
      <c r="E67" s="6" t="n">
        <v>190807</v>
      </c>
      <c r="F67" s="6" t="n">
        <v>0</v>
      </c>
      <c r="G67" s="6" t="n">
        <v>190807</v>
      </c>
      <c r="H67" s="6" t="n">
        <v>0</v>
      </c>
      <c r="I67" s="20" t="inlineStr">
        <is>
          <t>200DB</t>
        </is>
      </c>
      <c r="J67" s="20" t="n">
        <v>5</v>
      </c>
    </row>
    <row r="68" ht="15" customHeight="1">
      <c r="A68" s="21" t="inlineStr">
        <is>
          <t>Grand Total</t>
        </is>
      </c>
      <c r="B68" s="8">
        <f>SUM(B65,B66,B67)</f>
        <v/>
      </c>
      <c r="C68" s="8">
        <f>SUM(C65,C66,C67)</f>
        <v/>
      </c>
      <c r="D68" s="8">
        <f>SUM(D65,D66,D67)</f>
        <v/>
      </c>
      <c r="E68" s="8">
        <f>SUM(E65,E66,E67)</f>
        <v/>
      </c>
      <c r="F68" s="8">
        <f>SUM(F65,F66,F67)</f>
        <v/>
      </c>
      <c r="G68" s="8">
        <f>SUM(G65,G66,G67)</f>
        <v/>
      </c>
      <c r="H68" s="8">
        <f>SUM(H65,H66,H67)</f>
        <v/>
      </c>
    </row>
    <row r="70" ht="15" customHeight="1">
      <c r="A70" s="12" t="inlineStr">
        <is>
          <t>AFTER COST SEGREGATION CORRECTION — 481(a) Calculation (Regular Tax)</t>
        </is>
      </c>
    </row>
    <row r="71" ht="15" customHeight="1">
      <c r="A71" s="17" t="inlineStr">
        <is>
          <t>Asset Description</t>
        </is>
      </c>
      <c r="B71" s="18" t="inlineStr">
        <is>
          <t>Tax Cost</t>
        </is>
      </c>
      <c r="C71" s="18" t="inlineStr">
        <is>
          <t>Sec 179 Exp</t>
        </is>
      </c>
      <c r="D71" s="18" t="inlineStr">
        <is>
          <t>Bonus Amt</t>
        </is>
      </c>
      <c r="E71" s="18" t="inlineStr">
        <is>
          <t>Prior Depreciation</t>
        </is>
      </c>
      <c r="F71" s="18" t="inlineStr">
        <is>
          <t>Current Depreciation</t>
        </is>
      </c>
      <c r="G71" s="18" t="inlineStr">
        <is>
          <t>End Depreciation</t>
        </is>
      </c>
      <c r="H71" s="18" t="inlineStr">
        <is>
          <t>Net Book Value</t>
        </is>
      </c>
      <c r="I71" s="18" t="inlineStr">
        <is>
          <t>Method</t>
        </is>
      </c>
      <c r="J71" s="18" t="inlineStr">
        <is>
          <t>Period</t>
        </is>
      </c>
    </row>
    <row r="72" ht="15" customHeight="1">
      <c r="A72" s="19" t="inlineStr">
        <is>
          <t>22 - Land Improvements - Gentry - 5yr</t>
        </is>
      </c>
      <c r="B72" s="6" t="n">
        <v>6134</v>
      </c>
      <c r="C72" s="6" t="n">
        <v>0</v>
      </c>
      <c r="D72" s="6" t="n">
        <v>0</v>
      </c>
      <c r="E72" s="6" t="n">
        <v>6134</v>
      </c>
      <c r="F72" s="6" t="n">
        <v>0</v>
      </c>
      <c r="G72" s="6" t="n">
        <v>6134</v>
      </c>
      <c r="H72" s="6" t="n">
        <v>0</v>
      </c>
      <c r="I72" s="20" t="inlineStr">
        <is>
          <t>200DB</t>
        </is>
      </c>
      <c r="J72" s="20" t="n">
        <v>5</v>
      </c>
    </row>
    <row r="73" ht="15" customHeight="1">
      <c r="A73" s="19" t="inlineStr">
        <is>
          <t>22 - Land Improvements - Gentry - 15yr</t>
        </is>
      </c>
      <c r="B73" s="6" t="n">
        <v>692</v>
      </c>
      <c r="C73" s="6" t="n">
        <v>0</v>
      </c>
      <c r="D73" s="6" t="n">
        <v>0</v>
      </c>
      <c r="E73" s="6" t="n">
        <v>692</v>
      </c>
      <c r="F73" s="6" t="n">
        <v>0</v>
      </c>
      <c r="G73" s="6" t="n">
        <v>692</v>
      </c>
      <c r="H73" s="6" t="n">
        <v>0</v>
      </c>
      <c r="I73" s="20" t="inlineStr">
        <is>
          <t>150DB</t>
        </is>
      </c>
      <c r="J73" s="20" t="n">
        <v>15</v>
      </c>
    </row>
    <row r="74" ht="15" customHeight="1">
      <c r="A74" s="19" t="inlineStr">
        <is>
          <t>22 - Land Improvements - Gentry - 27.5yr</t>
        </is>
      </c>
      <c r="B74" s="6" t="n">
        <v>34061</v>
      </c>
      <c r="C74" s="6" t="n">
        <v>0</v>
      </c>
      <c r="D74" s="6" t="n">
        <v>0</v>
      </c>
      <c r="E74" s="6" t="n">
        <v>0</v>
      </c>
      <c r="F74" s="6" t="n">
        <v>1238.58</v>
      </c>
      <c r="G74" s="6" t="n">
        <v>8618.450000000001</v>
      </c>
      <c r="H74" s="6" t="n">
        <v>25442.55</v>
      </c>
      <c r="I74" s="20" t="inlineStr">
        <is>
          <t>S/L</t>
        </is>
      </c>
      <c r="J74" s="20" t="n">
        <v>27.5</v>
      </c>
    </row>
    <row r="75" ht="15" customHeight="1">
      <c r="A75" s="19" t="inlineStr">
        <is>
          <t>23 - Building - Gentry - 5yr</t>
        </is>
      </c>
      <c r="B75" s="6" t="n">
        <v>169707</v>
      </c>
      <c r="C75" s="6" t="n">
        <v>0</v>
      </c>
      <c r="D75" s="6" t="n">
        <v>0</v>
      </c>
      <c r="E75" s="6" t="n">
        <v>169707</v>
      </c>
      <c r="F75" s="6" t="n">
        <v>0</v>
      </c>
      <c r="G75" s="6" t="n">
        <v>169707</v>
      </c>
      <c r="H75" s="6" t="n">
        <v>0</v>
      </c>
      <c r="I75" s="20" t="inlineStr">
        <is>
          <t>200DB</t>
        </is>
      </c>
      <c r="J75" s="20" t="n">
        <v>5</v>
      </c>
    </row>
    <row r="76" ht="15" customHeight="1">
      <c r="A76" s="19" t="inlineStr">
        <is>
          <t>23 - Building - Gentry - 15yr</t>
        </is>
      </c>
      <c r="B76" s="6" t="n">
        <v>19148</v>
      </c>
      <c r="C76" s="6" t="n">
        <v>0</v>
      </c>
      <c r="D76" s="6" t="n">
        <v>0</v>
      </c>
      <c r="E76" s="6" t="n">
        <v>19148</v>
      </c>
      <c r="F76" s="6" t="n">
        <v>0</v>
      </c>
      <c r="G76" s="6" t="n">
        <v>19148</v>
      </c>
      <c r="H76" s="6" t="n">
        <v>0</v>
      </c>
      <c r="I76" s="20" t="inlineStr">
        <is>
          <t>150DB</t>
        </is>
      </c>
      <c r="J76" s="20" t="n">
        <v>15</v>
      </c>
    </row>
    <row r="77" ht="15" customHeight="1">
      <c r="A77" s="19" t="inlineStr">
        <is>
          <t>23 - Building - Gentry - 27.5yr</t>
        </is>
      </c>
      <c r="B77" s="6" t="n">
        <v>942361</v>
      </c>
      <c r="C77" s="6" t="n">
        <v>0</v>
      </c>
      <c r="D77" s="6" t="n">
        <v>0</v>
      </c>
      <c r="E77" s="6" t="n">
        <v>0</v>
      </c>
      <c r="F77" s="6" t="n">
        <v>34267.67</v>
      </c>
      <c r="G77" s="6" t="n">
        <v>238445.87</v>
      </c>
      <c r="H77" s="6" t="n">
        <v>703915.13</v>
      </c>
      <c r="I77" s="20" t="inlineStr">
        <is>
          <t>S/L</t>
        </is>
      </c>
      <c r="J77" s="20" t="n">
        <v>27.5</v>
      </c>
    </row>
    <row r="78" ht="15" customHeight="1">
      <c r="A78" s="19" t="inlineStr">
        <is>
          <t>24 - Equipment - Gentry - 5yr</t>
        </is>
      </c>
      <c r="B78" s="6" t="n">
        <v>28625</v>
      </c>
      <c r="C78" s="6" t="n">
        <v>0</v>
      </c>
      <c r="D78" s="6" t="n">
        <v>0</v>
      </c>
      <c r="E78" s="6" t="n">
        <v>28625</v>
      </c>
      <c r="F78" s="6" t="n">
        <v>0</v>
      </c>
      <c r="G78" s="6" t="n">
        <v>28625</v>
      </c>
      <c r="H78" s="6" t="n">
        <v>0</v>
      </c>
      <c r="I78" s="20" t="inlineStr">
        <is>
          <t>200DB</t>
        </is>
      </c>
      <c r="J78" s="20" t="n">
        <v>5</v>
      </c>
    </row>
    <row r="79" ht="15" customHeight="1">
      <c r="A79" s="19" t="inlineStr">
        <is>
          <t>24 - Equipment - Gentry - 15yr</t>
        </is>
      </c>
      <c r="B79" s="6" t="n">
        <v>3230</v>
      </c>
      <c r="C79" s="6" t="n">
        <v>0</v>
      </c>
      <c r="D79" s="6" t="n">
        <v>0</v>
      </c>
      <c r="E79" s="6" t="n">
        <v>3230</v>
      </c>
      <c r="F79" s="6" t="n">
        <v>0</v>
      </c>
      <c r="G79" s="6" t="n">
        <v>3230</v>
      </c>
      <c r="H79" s="6" t="n">
        <v>0</v>
      </c>
      <c r="I79" s="20" t="inlineStr">
        <is>
          <t>150DB</t>
        </is>
      </c>
      <c r="J79" s="20" t="n">
        <v>15</v>
      </c>
    </row>
    <row r="80" ht="15" customHeight="1">
      <c r="A80" s="19" t="inlineStr">
        <is>
          <t>24 - Equipment - Gentry - 27.5yr</t>
        </is>
      </c>
      <c r="B80" s="6" t="n">
        <v>158953</v>
      </c>
      <c r="C80" s="6" t="n">
        <v>0</v>
      </c>
      <c r="D80" s="6" t="n">
        <v>0</v>
      </c>
      <c r="E80" s="6" t="n">
        <v>0</v>
      </c>
      <c r="F80" s="6" t="n">
        <v>5780.11</v>
      </c>
      <c r="G80" s="6" t="n">
        <v>40219.7</v>
      </c>
      <c r="H80" s="6" t="n">
        <v>118733.3</v>
      </c>
      <c r="I80" s="20" t="inlineStr">
        <is>
          <t>S/L</t>
        </is>
      </c>
      <c r="J80" s="20" t="n">
        <v>27.5</v>
      </c>
    </row>
    <row r="81" ht="15" customHeight="1">
      <c r="A81" s="21" t="inlineStr">
        <is>
          <t>Grand Total</t>
        </is>
      </c>
      <c r="B81" s="8">
        <f>SUM(B72,B73,B74,B75,B76,B77,B78,B79,B80)</f>
        <v/>
      </c>
      <c r="C81" s="8">
        <f>SUM(C72,C73,C74,C75,C76,C77,C78,C79,C80)</f>
        <v/>
      </c>
      <c r="D81" s="8">
        <f>SUM(D72,D73,D74,D75,D76,D77,D78,D79,D80)</f>
        <v/>
      </c>
      <c r="E81" s="8">
        <f>SUM(E72,E73,E74,E75,E76,E77,E78,E79,E80)</f>
        <v/>
      </c>
      <c r="F81" s="8">
        <f>SUM(F72,F73,F74,F75,F76,F77,F78,F79,F80)</f>
        <v/>
      </c>
      <c r="G81" s="8">
        <f>SUM(G72,G73,G74,G75,G76,G77,G78,G79,G80)</f>
        <v/>
      </c>
      <c r="H81" s="8">
        <f>SUM(H72,H73,H74,H75,H76,H77,H78,H79,H80)</f>
        <v/>
      </c>
    </row>
    <row r="83" ht="15" customHeight="1">
      <c r="A83" s="22" t="inlineStr">
        <is>
          <t>SECTION 481(a) ADJUSTMENT</t>
        </is>
      </c>
    </row>
    <row r="84" ht="15" customHeight="1">
      <c r="A84" s="23" t="inlineStr">
        <is>
          <t>Depreciation reported previously</t>
        </is>
      </c>
      <c r="B84" s="24" t="n">
        <v>517926.62</v>
      </c>
    </row>
    <row r="85" ht="15" customHeight="1">
      <c r="A85" s="23" t="inlineStr">
        <is>
          <t>Cost Segregation Corrected Depreciation</t>
        </is>
      </c>
      <c r="B85" s="24" t="n">
        <v>514820.02</v>
      </c>
    </row>
    <row r="86" ht="15" customHeight="1">
      <c r="A86" s="22" t="inlineStr">
        <is>
          <t>Section 481(a) Adjustment</t>
        </is>
      </c>
      <c r="B86" s="25" t="n">
        <v>3106.599999999977</v>
      </c>
    </row>
  </sheetData>
  <mergeCells count="12">
    <mergeCell ref="A83:E83"/>
    <mergeCell ref="A63:J63"/>
    <mergeCell ref="A20:E20"/>
    <mergeCell ref="A26:E26"/>
    <mergeCell ref="A2:E2"/>
    <mergeCell ref="A7:E7"/>
    <mergeCell ref="A70:J70"/>
    <mergeCell ref="A49:E49"/>
    <mergeCell ref="A1:E1"/>
    <mergeCell ref="A5:E5"/>
    <mergeCell ref="A56:E56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6800 Sayres, Marrero, LA 70072</t>
        </is>
      </c>
    </row>
    <row r="3" ht="15" customHeight="1">
      <c r="A3" s="11" t="inlineStr">
        <is>
          <t>Marrero 3 LP  |  EIN 82-2324040  |  FYE 12/31/2024  |  Partial Assets #22, #23, &amp; #24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835.76</v>
      </c>
      <c r="C8" s="6" t="n">
        <v>835.76</v>
      </c>
    </row>
    <row r="9" ht="15" customHeight="1">
      <c r="A9" s="15" t="inlineStr">
        <is>
          <t>Moldings</t>
        </is>
      </c>
      <c r="B9" s="6" t="n">
        <v>712.35</v>
      </c>
      <c r="C9" s="6" t="n">
        <v>712.35</v>
      </c>
    </row>
    <row r="10" ht="15" customHeight="1">
      <c r="A10" s="15" t="inlineStr">
        <is>
          <t>Flooring - Carpet</t>
        </is>
      </c>
      <c r="B10" s="6" t="n">
        <v>1187.54</v>
      </c>
      <c r="C10" s="6" t="n">
        <v>1187.54</v>
      </c>
    </row>
    <row r="11" ht="15" customHeight="1">
      <c r="A11" s="15" t="inlineStr">
        <is>
          <t>Flooring - Wood Laminate</t>
        </is>
      </c>
      <c r="B11" s="6" t="n">
        <v>1052.42</v>
      </c>
      <c r="C11" s="6" t="n">
        <v>1052.42</v>
      </c>
    </row>
    <row r="12" ht="15" customHeight="1">
      <c r="A12" s="15" t="inlineStr">
        <is>
          <t>Security System</t>
        </is>
      </c>
      <c r="B12" s="6" t="n">
        <v>530.5</v>
      </c>
      <c r="C12" s="6" t="n">
        <v>530.5</v>
      </c>
    </row>
    <row r="13" ht="15" customHeight="1">
      <c r="A13" s="15" t="inlineStr">
        <is>
          <t>Window Treatments</t>
        </is>
      </c>
      <c r="B13" s="6" t="n">
        <v>622.76</v>
      </c>
      <c r="C13" s="6" t="n">
        <v>622.76</v>
      </c>
    </row>
    <row r="14" ht="15" customHeight="1">
      <c r="A14" s="15" t="inlineStr">
        <is>
          <t>Specialty HVAC - Dryer Vents</t>
        </is>
      </c>
      <c r="B14" s="6" t="n">
        <v>33.34</v>
      </c>
      <c r="C14" s="6" t="n">
        <v>33.34</v>
      </c>
    </row>
    <row r="15" ht="15" customHeight="1">
      <c r="A15" s="15" t="inlineStr">
        <is>
          <t>Building Signage</t>
        </is>
      </c>
      <c r="B15" s="6" t="n">
        <v>21.93</v>
      </c>
      <c r="C15" s="6" t="n">
        <v>21.93</v>
      </c>
    </row>
    <row r="16" ht="15" customHeight="1">
      <c r="A16" s="15" t="inlineStr">
        <is>
          <t>Specialty Electrical - Appliances</t>
        </is>
      </c>
      <c r="B16" s="6" t="n">
        <v>569.4</v>
      </c>
      <c r="C16" s="6" t="n">
        <v>569.4</v>
      </c>
    </row>
    <row r="17" ht="15" customHeight="1">
      <c r="A17" s="15" t="inlineStr">
        <is>
          <t>Communication / Data</t>
        </is>
      </c>
      <c r="B17" s="6" t="n">
        <v>284.9</v>
      </c>
      <c r="C17" s="6" t="n">
        <v>284.9</v>
      </c>
    </row>
    <row r="18" ht="15" customHeight="1">
      <c r="A18" s="15" t="inlineStr">
        <is>
          <t>Specialty Plumbing - Kitchen Sink / Laundry</t>
        </is>
      </c>
      <c r="B18" s="6" t="n">
        <v>623.4400000000001</v>
      </c>
      <c r="C18" s="6" t="n">
        <v>623.4400000000001</v>
      </c>
    </row>
    <row r="19" ht="15" customHeight="1">
      <c r="A19" s="15" t="inlineStr">
        <is>
          <t>Security / Exterior Lighting</t>
        </is>
      </c>
      <c r="B19" s="6" t="n">
        <v>123.66</v>
      </c>
      <c r="C19" s="6" t="n">
        <v>123.66</v>
      </c>
    </row>
    <row r="20" ht="15" customHeight="1">
      <c r="A20" s="15" t="inlineStr">
        <is>
          <t>Appliances</t>
        </is>
      </c>
      <c r="B20" s="6" t="n">
        <v>624.5599999999999</v>
      </c>
      <c r="C20" s="6" t="n">
        <v>624.5599999999999</v>
      </c>
    </row>
    <row r="21" ht="15" customHeight="1">
      <c r="A21" s="13" t="inlineStr">
        <is>
          <t>Site Work / Improvements</t>
        </is>
      </c>
      <c r="B21" s="14" t="n"/>
      <c r="C21" s="14" t="n"/>
      <c r="D21" s="14" t="n"/>
      <c r="E21" s="14" t="n"/>
    </row>
    <row r="22" ht="15" customHeight="1">
      <c r="A22" s="15" t="inlineStr">
        <is>
          <t>Driveway</t>
        </is>
      </c>
      <c r="B22" s="6" t="n">
        <v>669.91</v>
      </c>
      <c r="D22" s="6" t="n">
        <v>669.91</v>
      </c>
    </row>
    <row r="23" ht="15" customHeight="1">
      <c r="A23" s="15" t="inlineStr">
        <is>
          <t>Sidewalks / Curbs</t>
        </is>
      </c>
      <c r="B23" s="6" t="n">
        <v>276.49</v>
      </c>
      <c r="D23" s="6" t="n">
        <v>276.49</v>
      </c>
    </row>
    <row r="24" ht="15" customHeight="1">
      <c r="A24" s="15" t="inlineStr">
        <is>
          <t>Landscaping</t>
        </is>
      </c>
      <c r="B24" s="6" t="n">
        <v>16.47</v>
      </c>
      <c r="D24" s="6" t="n">
        <v>16.47</v>
      </c>
    </row>
    <row r="25" ht="15" customHeight="1">
      <c r="A25" s="15" t="inlineStr">
        <is>
          <t>Exterior Equipment Concrete Pads</t>
        </is>
      </c>
      <c r="B25" s="6" t="n">
        <v>38.5</v>
      </c>
      <c r="D25" s="6" t="n">
        <v>38.5</v>
      </c>
    </row>
    <row r="26" ht="15" customHeight="1">
      <c r="A26" s="15" t="inlineStr">
        <is>
          <t>Mailboxes</t>
        </is>
      </c>
      <c r="B26" s="6" t="n">
        <v>23.87</v>
      </c>
      <c r="D26" s="6" t="n">
        <v>23.87</v>
      </c>
    </row>
    <row r="27" ht="15" customHeight="1">
      <c r="A27" s="13" t="inlineStr">
        <is>
          <t>Building Structure</t>
        </is>
      </c>
      <c r="B27" s="14" t="n"/>
      <c r="C27" s="14" t="n"/>
      <c r="D27" s="14" t="n"/>
      <c r="E27" s="14" t="n"/>
    </row>
    <row r="28" ht="15" customHeight="1">
      <c r="A28" s="15" t="inlineStr">
        <is>
          <t>Roofing Systems</t>
        </is>
      </c>
      <c r="B28" s="6" t="n">
        <v>1690.23</v>
      </c>
      <c r="E28" s="6" t="n">
        <v>1690.23</v>
      </c>
    </row>
    <row r="29" ht="15" customHeight="1">
      <c r="A29" s="15" t="inlineStr">
        <is>
          <t>Foundations</t>
        </is>
      </c>
      <c r="B29" s="6" t="n">
        <v>2714.92</v>
      </c>
      <c r="E29" s="6" t="n">
        <v>2714.92</v>
      </c>
    </row>
    <row r="30" ht="15" customHeight="1">
      <c r="A30" s="15" t="inlineStr">
        <is>
          <t>HVAC</t>
        </is>
      </c>
      <c r="B30" s="6" t="n">
        <v>2934.13</v>
      </c>
      <c r="E30" s="6" t="n">
        <v>2934.13</v>
      </c>
    </row>
    <row r="31" ht="15" customHeight="1">
      <c r="A31" s="15" t="inlineStr">
        <is>
          <t>Electrical</t>
        </is>
      </c>
      <c r="B31" s="6" t="n">
        <v>3148.18</v>
      </c>
      <c r="E31" s="6" t="n">
        <v>3148.18</v>
      </c>
    </row>
    <row r="32" ht="15" customHeight="1">
      <c r="A32" s="15" t="inlineStr">
        <is>
          <t>Plumbing</t>
        </is>
      </c>
      <c r="B32" s="6" t="n">
        <v>2579.61</v>
      </c>
      <c r="E32" s="6" t="n">
        <v>2579.61</v>
      </c>
    </row>
    <row r="33" ht="15" customHeight="1">
      <c r="A33" s="15" t="inlineStr">
        <is>
          <t>Fire Protection &amp; Alarm</t>
        </is>
      </c>
      <c r="B33" s="6" t="n">
        <v>199.61</v>
      </c>
      <c r="E33" s="6" t="n">
        <v>199.61</v>
      </c>
    </row>
    <row r="34" ht="15" customHeight="1">
      <c r="A34" s="15" t="inlineStr">
        <is>
          <t>Exterior Façade / Building Skin</t>
        </is>
      </c>
      <c r="B34" s="6" t="n">
        <v>2160.08</v>
      </c>
      <c r="E34" s="6" t="n">
        <v>2160.08</v>
      </c>
    </row>
    <row r="35" ht="15" customHeight="1">
      <c r="A35" s="15" t="inlineStr">
        <is>
          <t>Doors &amp; Frames</t>
        </is>
      </c>
      <c r="B35" s="6" t="n">
        <v>1998.37</v>
      </c>
      <c r="E35" s="6" t="n">
        <v>1998.37</v>
      </c>
    </row>
    <row r="36" ht="15" customHeight="1">
      <c r="A36" s="15" t="inlineStr">
        <is>
          <t>Windows</t>
        </is>
      </c>
      <c r="B36" s="6" t="n">
        <v>1909.62</v>
      </c>
      <c r="E36" s="6" t="n">
        <v>1909.62</v>
      </c>
    </row>
    <row r="37" ht="15" customHeight="1">
      <c r="A37" s="15" t="inlineStr">
        <is>
          <t>Ceiling Systems</t>
        </is>
      </c>
      <c r="B37" s="6" t="n">
        <v>1505.06</v>
      </c>
      <c r="E37" s="6" t="n">
        <v>1505.06</v>
      </c>
    </row>
    <row r="38" ht="15" customHeight="1">
      <c r="A38" s="15" t="inlineStr">
        <is>
          <t>Interior Framing / Partitions</t>
        </is>
      </c>
      <c r="B38" s="6" t="n">
        <v>5656.78</v>
      </c>
      <c r="E38" s="6" t="n">
        <v>5656.78</v>
      </c>
    </row>
    <row r="39" ht="15" customHeight="1">
      <c r="A39" s="15" t="inlineStr">
        <is>
          <t>Painting</t>
        </is>
      </c>
      <c r="B39" s="6" t="n">
        <v>1800.79</v>
      </c>
      <c r="E39" s="6" t="n">
        <v>1800.79</v>
      </c>
    </row>
    <row r="40" ht="15" customHeight="1">
      <c r="A40" s="15" t="inlineStr">
        <is>
          <t>Gutter Systems</t>
        </is>
      </c>
      <c r="B40" s="6" t="n">
        <v>563.39</v>
      </c>
      <c r="E40" s="6" t="n">
        <v>563.39</v>
      </c>
    </row>
    <row r="41" ht="15" customHeight="1">
      <c r="A41" s="15" t="inlineStr">
        <is>
          <t>Structural Framing</t>
        </is>
      </c>
      <c r="B41" s="6" t="n">
        <v>5028.83</v>
      </c>
      <c r="E41" s="6" t="n">
        <v>5028.83</v>
      </c>
    </row>
    <row r="42" ht="15" customHeight="1">
      <c r="A42" s="15" t="inlineStr">
        <is>
          <t>Site Utilities</t>
        </is>
      </c>
      <c r="B42" s="6" t="n">
        <v>476.38</v>
      </c>
      <c r="E42" s="6" t="n">
        <v>476.38</v>
      </c>
    </row>
    <row r="43" ht="15" customHeight="1">
      <c r="A43" s="15" t="inlineStr">
        <is>
          <t>Stairs / Balconies</t>
        </is>
      </c>
      <c r="B43" s="6" t="n">
        <v>845.9299999999999</v>
      </c>
      <c r="E43" s="6" t="n">
        <v>845.9299999999999</v>
      </c>
    </row>
    <row r="44" ht="15" customHeight="1">
      <c r="A44" s="15" t="inlineStr">
        <is>
          <t>Garage Doors</t>
        </is>
      </c>
      <c r="B44" s="6" t="n">
        <v>439.55</v>
      </c>
      <c r="E44" s="6" t="n">
        <v>439.55</v>
      </c>
    </row>
    <row r="45" ht="15" customHeight="1">
      <c r="A45" s="15" t="inlineStr">
        <is>
          <t>Flooring - Sealed Concrete</t>
        </is>
      </c>
      <c r="B45" s="6" t="n">
        <v>54.06</v>
      </c>
      <c r="E45" s="6" t="n">
        <v>54.06</v>
      </c>
    </row>
    <row r="46" ht="15" customHeight="1">
      <c r="A46" s="15" t="inlineStr">
        <is>
          <t>Bathroom Accessories</t>
        </is>
      </c>
      <c r="B46" s="6" t="n">
        <v>517.5700000000001</v>
      </c>
      <c r="E46" s="6" t="n">
        <v>517.5700000000001</v>
      </c>
    </row>
    <row r="47" ht="15" customHeight="1">
      <c r="A47" s="15" t="inlineStr">
        <is>
          <t>Ceramic Tile Flooring</t>
        </is>
      </c>
      <c r="B47" s="6" t="n">
        <v>81.28</v>
      </c>
      <c r="E47" s="6" t="n">
        <v>81.28</v>
      </c>
    </row>
    <row r="48" ht="15" customHeight="1">
      <c r="A48" s="15" t="inlineStr">
        <is>
          <t>Cabinets / Millwork - Restrooms</t>
        </is>
      </c>
      <c r="B48" s="6" t="n">
        <v>308.22</v>
      </c>
      <c r="E48" s="6" t="n">
        <v>308.22</v>
      </c>
    </row>
    <row r="49" ht="15" customHeight="1">
      <c r="A49" s="7" t="inlineStr">
        <is>
          <t>Total Building Cost</t>
        </is>
      </c>
      <c r="B49" s="8">
        <f>SUM(B8,B9,B10,B11,B12,B13,B14,B15,B16,B17,B18,B19,B20,B22,B23,B24,B25,B26,B28,B29,B30,B31,B32,B33,B34,B35,B36,B37,B38,B39,B40,B41,B42,B43,B44,B45,B46,B47,B48)</f>
        <v/>
      </c>
      <c r="C49" s="8">
        <f>SUM(C8,C9,C10,C11,C12,C13,C14,C15,C16,C17,C18,C19,C20,C22,C23,C24,C25,C26,C28,C29,C30,C31,C32,C33,C34,C35,C36,C37,C38,C39,C40,C41,C42,C43,C44,C45,C46,C47,C48)</f>
        <v/>
      </c>
      <c r="D49" s="8">
        <f>SUM(D8,D9,D10,D11,D12,D13,D14,D15,D16,D17,D18,D19,D20,D22,D23,D24,D25,D26,D28,D29,D30,D31,D32,D33,D34,D35,D36,D37,D38,D39,D40,D41,D42,D43,D44,D45,D46,D47,D48)</f>
        <v/>
      </c>
      <c r="E49" s="8">
        <f>SUM(E8,E9,E10,E11,E12,E13,E14,E15,E16,E17,E18,E19,E20,E22,E23,E24,E25,E26,E28,E29,E30,E31,E32,E33,E34,E35,E36,E37,E38,E39,E40,E41,E42,E43,E44,E45,E46,E47,E48)</f>
        <v/>
      </c>
    </row>
    <row r="50" ht="15" customHeight="1">
      <c r="A50" s="15" t="inlineStr">
        <is>
          <t>% of Building Cost</t>
        </is>
      </c>
      <c r="C50" s="16">
        <f>C49/B49</f>
        <v/>
      </c>
      <c r="D50" s="16">
        <f>D49/B49</f>
        <v/>
      </c>
      <c r="E50" s="16">
        <f>E49/B49</f>
        <v/>
      </c>
    </row>
    <row r="52" ht="15" customHeight="1">
      <c r="A52" s="12" t="inlineStr">
        <is>
          <t>ASSET ALLOCATION (Per Unit)</t>
        </is>
      </c>
    </row>
    <row r="53" ht="15" customHeight="1">
      <c r="A53" s="3" t="inlineStr">
        <is>
          <t>Asset</t>
        </is>
      </c>
      <c r="B53" s="4" t="inlineStr">
        <is>
          <t>Total</t>
        </is>
      </c>
      <c r="C53" s="4" t="inlineStr">
        <is>
          <t>5 Year</t>
        </is>
      </c>
      <c r="D53" s="4" t="inlineStr">
        <is>
          <t>15 Year</t>
        </is>
      </c>
      <c r="E53" s="4" t="inlineStr">
        <is>
          <t>27.5 Year</t>
        </is>
      </c>
    </row>
    <row r="54" ht="15" customHeight="1">
      <c r="A54" s="15" t="inlineStr">
        <is>
          <t>Asset # 23-Building - Gentry</t>
        </is>
      </c>
      <c r="B54" s="6" t="n">
        <v>37234.13</v>
      </c>
      <c r="C54" s="6" t="n">
        <v>6280.45</v>
      </c>
      <c r="D54" s="6" t="n">
        <v>1345.81</v>
      </c>
      <c r="E54" s="6" t="n">
        <v>29607.87</v>
      </c>
    </row>
    <row r="55" ht="15" customHeight="1">
      <c r="A55" s="15" t="inlineStr">
        <is>
          <t>Asset # 22-Land Improvements - Gentry</t>
        </is>
      </c>
      <c r="B55" s="6" t="n">
        <v>1345.81</v>
      </c>
      <c r="D55" s="6" t="n">
        <v>1345.81</v>
      </c>
    </row>
    <row r="56" ht="15" customHeight="1">
      <c r="A56" s="15" t="inlineStr">
        <is>
          <t>Asset # 24-Equipment - Gentry</t>
        </is>
      </c>
      <c r="B56" s="6" t="n">
        <v>6280.45</v>
      </c>
      <c r="C56" s="6" t="n">
        <v>6280.45</v>
      </c>
    </row>
    <row r="57" ht="15" customHeight="1">
      <c r="A57" s="7" t="inlineStr">
        <is>
          <t>Total Allocation:</t>
        </is>
      </c>
      <c r="B57" s="8">
        <f>SUM(B54,B55,B56)</f>
        <v/>
      </c>
      <c r="C57" s="8">
        <f>SUM(C54,C55,C56)</f>
        <v/>
      </c>
      <c r="D57" s="8">
        <f>SUM(D54,D55,D56)</f>
        <v/>
      </c>
      <c r="E57" s="8">
        <f>SUM(E54,E55,E56)</f>
        <v/>
      </c>
    </row>
    <row r="59" ht="15" customHeight="1">
      <c r="A59" s="12" t="inlineStr">
        <is>
          <t>6 Identical Units - Totals:</t>
        </is>
      </c>
    </row>
    <row r="60" ht="15" customHeight="1">
      <c r="A60" s="3" t="inlineStr">
        <is>
          <t>Asset</t>
        </is>
      </c>
      <c r="B60" s="4" t="inlineStr">
        <is>
          <t>Total</t>
        </is>
      </c>
      <c r="C60" s="4" t="inlineStr">
        <is>
          <t>5 Year</t>
        </is>
      </c>
      <c r="D60" s="4" t="inlineStr">
        <is>
          <t>15 Year</t>
        </is>
      </c>
      <c r="E60" s="4" t="inlineStr">
        <is>
          <t>27.5 Year</t>
        </is>
      </c>
    </row>
    <row r="61" ht="15" customHeight="1">
      <c r="A61" s="15" t="inlineStr">
        <is>
          <t>Asset # 22-Land Improvements - Gentry</t>
        </is>
      </c>
      <c r="B61" s="6" t="n">
        <v>8075</v>
      </c>
      <c r="C61" s="6" t="n">
        <v>1300</v>
      </c>
      <c r="D61" s="6" t="n">
        <v>185</v>
      </c>
      <c r="E61" s="6" t="n">
        <v>6590</v>
      </c>
    </row>
    <row r="62" ht="15" customHeight="1">
      <c r="A62" s="15" t="inlineStr">
        <is>
          <t>Asset # 23-Building - Gentry</t>
        </is>
      </c>
      <c r="B62" s="6" t="n">
        <v>223405</v>
      </c>
      <c r="C62" s="6" t="n">
        <v>35968</v>
      </c>
      <c r="D62" s="6" t="n">
        <v>5106</v>
      </c>
      <c r="E62" s="6" t="n">
        <v>182331</v>
      </c>
    </row>
    <row r="63" ht="15" customHeight="1">
      <c r="A63" s="15" t="inlineStr">
        <is>
          <t>Asset # 24-Equipment - Gentry</t>
        </is>
      </c>
      <c r="B63" s="6" t="n">
        <v>37683</v>
      </c>
      <c r="C63" s="6" t="n">
        <v>6067</v>
      </c>
      <c r="D63" s="6" t="n">
        <v>861</v>
      </c>
      <c r="E63" s="6" t="n">
        <v>30755</v>
      </c>
    </row>
    <row r="64" ht="15" customHeight="1">
      <c r="A64" s="7" t="inlineStr">
        <is>
          <t>Total Allocation:</t>
        </is>
      </c>
      <c r="B64" s="8">
        <f>SUM(B61,B62,B63)</f>
        <v/>
      </c>
      <c r="C64" s="8">
        <f>SUM(C61,C62,C63)</f>
        <v/>
      </c>
      <c r="D64" s="8">
        <f>SUM(D61,D62,D63)</f>
        <v/>
      </c>
      <c r="E64" s="8">
        <f>SUM(E61,E62,E63)</f>
        <v/>
      </c>
    </row>
    <row r="66" ht="15" customHeight="1">
      <c r="A66" s="12" t="inlineStr">
        <is>
          <t>AS PREVIOUSLY FILED — 481(a) Calculation (Regular Tax)</t>
        </is>
      </c>
    </row>
    <row r="67" ht="15" customHeight="1">
      <c r="A67" s="17" t="inlineStr">
        <is>
          <t>Asset Description</t>
        </is>
      </c>
      <c r="B67" s="18" t="inlineStr">
        <is>
          <t>Tax Cost</t>
        </is>
      </c>
      <c r="C67" s="18" t="inlineStr">
        <is>
          <t>Sec 179 Exp</t>
        </is>
      </c>
      <c r="D67" s="18" t="inlineStr">
        <is>
          <t>Bonus Amt</t>
        </is>
      </c>
      <c r="E67" s="18" t="inlineStr">
        <is>
          <t>Prior Depreciation</t>
        </is>
      </c>
      <c r="F67" s="18" t="inlineStr">
        <is>
          <t>Current Depreciation</t>
        </is>
      </c>
      <c r="G67" s="18" t="inlineStr">
        <is>
          <t>End Depreciation</t>
        </is>
      </c>
      <c r="H67" s="18" t="inlineStr">
        <is>
          <t>Net Book Value</t>
        </is>
      </c>
      <c r="I67" s="18" t="inlineStr">
        <is>
          <t>Method</t>
        </is>
      </c>
      <c r="J67" s="18" t="inlineStr">
        <is>
          <t>Period</t>
        </is>
      </c>
    </row>
    <row r="68" ht="15" customHeight="1">
      <c r="A68" s="19" t="inlineStr">
        <is>
          <t>22 - Land Improvements - Gentry</t>
        </is>
      </c>
      <c r="B68" s="6" t="n">
        <v>8075</v>
      </c>
      <c r="C68" s="6" t="n">
        <v>0</v>
      </c>
      <c r="D68" s="6" t="n">
        <v>0</v>
      </c>
      <c r="E68" s="6" t="n">
        <v>8075</v>
      </c>
      <c r="F68" s="6" t="n">
        <v>0</v>
      </c>
      <c r="G68" s="6" t="n">
        <v>8075</v>
      </c>
      <c r="H68" s="6" t="n">
        <v>0</v>
      </c>
      <c r="I68" s="20" t="inlineStr">
        <is>
          <t>150DB</t>
        </is>
      </c>
      <c r="J68" s="20" t="n">
        <v>15</v>
      </c>
    </row>
    <row r="69" ht="15" customHeight="1">
      <c r="A69" s="19" t="inlineStr">
        <is>
          <t>23 - Building - Gentry</t>
        </is>
      </c>
      <c r="B69" s="6" t="n">
        <v>223405</v>
      </c>
      <c r="C69" s="6" t="n">
        <v>0</v>
      </c>
      <c r="D69" s="6" t="n">
        <v>0</v>
      </c>
      <c r="E69" s="6" t="n">
        <v>48404.55</v>
      </c>
      <c r="F69" s="6" t="n">
        <v>8123.83</v>
      </c>
      <c r="G69" s="6" t="n">
        <v>56528.38</v>
      </c>
      <c r="H69" s="6" t="n">
        <v>166876.62</v>
      </c>
      <c r="I69" s="20" t="inlineStr">
        <is>
          <t>S/L</t>
        </is>
      </c>
      <c r="J69" s="20" t="n">
        <v>27.5</v>
      </c>
    </row>
    <row r="70" ht="15" customHeight="1">
      <c r="A70" s="19" t="inlineStr">
        <is>
          <t>24 - Equipment - Gentry</t>
        </is>
      </c>
      <c r="B70" s="6" t="n">
        <v>37682</v>
      </c>
      <c r="C70" s="6" t="n">
        <v>0</v>
      </c>
      <c r="D70" s="6" t="n">
        <v>0</v>
      </c>
      <c r="E70" s="6" t="n">
        <v>37682</v>
      </c>
      <c r="F70" s="6" t="n">
        <v>0</v>
      </c>
      <c r="G70" s="6" t="n">
        <v>37682</v>
      </c>
      <c r="H70" s="6" t="n">
        <v>1</v>
      </c>
      <c r="I70" s="20" t="inlineStr">
        <is>
          <t>200DB</t>
        </is>
      </c>
      <c r="J70" s="20" t="n">
        <v>5</v>
      </c>
    </row>
    <row r="71" ht="15" customHeight="1">
      <c r="A71" s="21" t="inlineStr">
        <is>
          <t>Grand Total</t>
        </is>
      </c>
      <c r="B71" s="8">
        <f>SUM(B68,B69,B70)</f>
        <v/>
      </c>
      <c r="C71" s="8">
        <f>SUM(C68,C69,C70)</f>
        <v/>
      </c>
      <c r="D71" s="8">
        <f>SUM(D68,D69,D70)</f>
        <v/>
      </c>
      <c r="E71" s="8">
        <f>SUM(E68,E69,E70)</f>
        <v/>
      </c>
      <c r="F71" s="8">
        <f>SUM(F68,F69,F70)</f>
        <v/>
      </c>
      <c r="G71" s="8">
        <f>SUM(G68,G69,G70)</f>
        <v/>
      </c>
      <c r="H71" s="8">
        <f>SUM(H68,H69,H70)</f>
        <v/>
      </c>
    </row>
    <row r="73" ht="15" customHeight="1">
      <c r="A73" s="12" t="inlineStr">
        <is>
          <t>AFTER COST SEGREGATION CORRECTION — 481(a) Calculation (Regular Tax)</t>
        </is>
      </c>
    </row>
    <row r="74" ht="15" customHeight="1">
      <c r="A74" s="17" t="inlineStr">
        <is>
          <t>Asset Description</t>
        </is>
      </c>
      <c r="B74" s="18" t="inlineStr">
        <is>
          <t>Tax Cost</t>
        </is>
      </c>
      <c r="C74" s="18" t="inlineStr">
        <is>
          <t>Sec 179 Exp</t>
        </is>
      </c>
      <c r="D74" s="18" t="inlineStr">
        <is>
          <t>Bonus Amt</t>
        </is>
      </c>
      <c r="E74" s="18" t="inlineStr">
        <is>
          <t>Prior Depreciation</t>
        </is>
      </c>
      <c r="F74" s="18" t="inlineStr">
        <is>
          <t>Current Depreciation</t>
        </is>
      </c>
      <c r="G74" s="18" t="inlineStr">
        <is>
          <t>End Depreciation</t>
        </is>
      </c>
      <c r="H74" s="18" t="inlineStr">
        <is>
          <t>Net Book Value</t>
        </is>
      </c>
      <c r="I74" s="18" t="inlineStr">
        <is>
          <t>Method</t>
        </is>
      </c>
      <c r="J74" s="18" t="inlineStr">
        <is>
          <t>Period</t>
        </is>
      </c>
    </row>
    <row r="75" ht="15" customHeight="1">
      <c r="A75" s="19" t="inlineStr">
        <is>
          <t>22 - Land Improvements - Gentry - 5yr</t>
        </is>
      </c>
      <c r="B75" s="6" t="n">
        <v>1300</v>
      </c>
      <c r="C75" s="6" t="n">
        <v>0</v>
      </c>
      <c r="D75" s="6" t="n">
        <v>0</v>
      </c>
      <c r="E75" s="6" t="n">
        <v>1300</v>
      </c>
      <c r="F75" s="6" t="n">
        <v>0</v>
      </c>
      <c r="G75" s="6" t="n">
        <v>1300</v>
      </c>
      <c r="H75" s="6" t="n">
        <v>0</v>
      </c>
      <c r="I75" s="20" t="inlineStr">
        <is>
          <t>200DB</t>
        </is>
      </c>
      <c r="J75" s="20" t="n">
        <v>5</v>
      </c>
    </row>
    <row r="76" ht="15" customHeight="1">
      <c r="A76" s="19" t="inlineStr">
        <is>
          <t>22 - Land Improvements - Gentry - 15yr</t>
        </is>
      </c>
      <c r="B76" s="6" t="n">
        <v>185</v>
      </c>
      <c r="C76" s="6" t="n">
        <v>0</v>
      </c>
      <c r="D76" s="6" t="n">
        <v>0</v>
      </c>
      <c r="E76" s="6" t="n">
        <v>185</v>
      </c>
      <c r="F76" s="6" t="n">
        <v>0</v>
      </c>
      <c r="G76" s="6" t="n">
        <v>185</v>
      </c>
      <c r="H76" s="6" t="n">
        <v>0</v>
      </c>
      <c r="I76" s="20" t="inlineStr">
        <is>
          <t>150DB</t>
        </is>
      </c>
      <c r="J76" s="20" t="n">
        <v>15</v>
      </c>
    </row>
    <row r="77" ht="15" customHeight="1">
      <c r="A77" s="19" t="inlineStr">
        <is>
          <t>22 - Land Improvements - Gentry - 27.5yr</t>
        </is>
      </c>
      <c r="B77" s="6" t="n">
        <v>6590</v>
      </c>
      <c r="C77" s="6" t="n">
        <v>0</v>
      </c>
      <c r="D77" s="6" t="n">
        <v>0</v>
      </c>
      <c r="E77" s="6" t="n">
        <v>0</v>
      </c>
      <c r="F77" s="6" t="n">
        <v>239.64</v>
      </c>
      <c r="G77" s="6" t="n">
        <v>1667.49</v>
      </c>
      <c r="H77" s="6" t="n">
        <v>4922.51</v>
      </c>
      <c r="I77" s="20" t="inlineStr">
        <is>
          <t>S/L</t>
        </is>
      </c>
      <c r="J77" s="20" t="n">
        <v>27.5</v>
      </c>
    </row>
    <row r="78" ht="15" customHeight="1">
      <c r="A78" s="19" t="inlineStr">
        <is>
          <t>23 - Building - Gentry - 5yr</t>
        </is>
      </c>
      <c r="B78" s="6" t="n">
        <v>35968</v>
      </c>
      <c r="C78" s="6" t="n">
        <v>0</v>
      </c>
      <c r="D78" s="6" t="n">
        <v>0</v>
      </c>
      <c r="E78" s="6" t="n">
        <v>35968</v>
      </c>
      <c r="F78" s="6" t="n">
        <v>0</v>
      </c>
      <c r="G78" s="6" t="n">
        <v>35968</v>
      </c>
      <c r="H78" s="6" t="n">
        <v>0</v>
      </c>
      <c r="I78" s="20" t="inlineStr">
        <is>
          <t>200DB</t>
        </is>
      </c>
      <c r="J78" s="20" t="n">
        <v>5</v>
      </c>
    </row>
    <row r="79" ht="15" customHeight="1">
      <c r="A79" s="19" t="inlineStr">
        <is>
          <t>23 - Building - Gentry - 15yr</t>
        </is>
      </c>
      <c r="B79" s="6" t="n">
        <v>5106</v>
      </c>
      <c r="C79" s="6" t="n">
        <v>0</v>
      </c>
      <c r="D79" s="6" t="n">
        <v>0</v>
      </c>
      <c r="E79" s="6" t="n">
        <v>5106</v>
      </c>
      <c r="F79" s="6" t="n">
        <v>0</v>
      </c>
      <c r="G79" s="6" t="n">
        <v>5106</v>
      </c>
      <c r="H79" s="6" t="n">
        <v>0</v>
      </c>
      <c r="I79" s="20" t="inlineStr">
        <is>
          <t>150DB</t>
        </is>
      </c>
      <c r="J79" s="20" t="n">
        <v>15</v>
      </c>
    </row>
    <row r="80" ht="15" customHeight="1">
      <c r="A80" s="19" t="inlineStr">
        <is>
          <t>23 - Building - Gentry - 27.5yr</t>
        </is>
      </c>
      <c r="B80" s="6" t="n">
        <v>182331</v>
      </c>
      <c r="C80" s="6" t="n">
        <v>0</v>
      </c>
      <c r="D80" s="6" t="n">
        <v>0</v>
      </c>
      <c r="E80" s="6" t="n">
        <v>0</v>
      </c>
      <c r="F80" s="6" t="n">
        <v>6630.22</v>
      </c>
      <c r="G80" s="6" t="n">
        <v>46135.28</v>
      </c>
      <c r="H80" s="6" t="n">
        <v>136195.72</v>
      </c>
      <c r="I80" s="20" t="inlineStr">
        <is>
          <t>S/L</t>
        </is>
      </c>
      <c r="J80" s="20" t="n">
        <v>27.5</v>
      </c>
    </row>
    <row r="81" ht="15" customHeight="1">
      <c r="A81" s="19" t="inlineStr">
        <is>
          <t>24 - Equipment - Gentry - 5yr</t>
        </is>
      </c>
      <c r="B81" s="6" t="n">
        <v>6067</v>
      </c>
      <c r="C81" s="6" t="n">
        <v>0</v>
      </c>
      <c r="D81" s="6" t="n">
        <v>0</v>
      </c>
      <c r="E81" s="6" t="n">
        <v>6067</v>
      </c>
      <c r="F81" s="6" t="n">
        <v>0</v>
      </c>
      <c r="G81" s="6" t="n">
        <v>6067</v>
      </c>
      <c r="H81" s="6" t="n">
        <v>0</v>
      </c>
      <c r="I81" s="20" t="inlineStr">
        <is>
          <t>200DB</t>
        </is>
      </c>
      <c r="J81" s="20" t="n">
        <v>5</v>
      </c>
    </row>
    <row r="82" ht="15" customHeight="1">
      <c r="A82" s="19" t="inlineStr">
        <is>
          <t>24 - Equipment - Gentry - 15yr</t>
        </is>
      </c>
      <c r="B82" s="6" t="n">
        <v>861</v>
      </c>
      <c r="C82" s="6" t="n">
        <v>0</v>
      </c>
      <c r="D82" s="6" t="n">
        <v>0</v>
      </c>
      <c r="E82" s="6" t="n">
        <v>861</v>
      </c>
      <c r="F82" s="6" t="n">
        <v>0</v>
      </c>
      <c r="G82" s="6" t="n">
        <v>861</v>
      </c>
      <c r="H82" s="6" t="n">
        <v>0</v>
      </c>
      <c r="I82" s="20" t="inlineStr">
        <is>
          <t>150DB</t>
        </is>
      </c>
      <c r="J82" s="20" t="n">
        <v>15</v>
      </c>
    </row>
    <row r="83" ht="15" customHeight="1">
      <c r="A83" s="19" t="inlineStr">
        <is>
          <t>24 - Equipment - Gentry - 27.5yr</t>
        </is>
      </c>
      <c r="B83" s="6" t="n">
        <v>30755</v>
      </c>
      <c r="C83" s="6" t="n">
        <v>0</v>
      </c>
      <c r="D83" s="6" t="n">
        <v>0</v>
      </c>
      <c r="E83" s="6" t="n">
        <v>0</v>
      </c>
      <c r="F83" s="6" t="n">
        <v>1118.36</v>
      </c>
      <c r="G83" s="6" t="n">
        <v>7781.93</v>
      </c>
      <c r="H83" s="6" t="n">
        <v>22973.07</v>
      </c>
      <c r="I83" s="20" t="inlineStr">
        <is>
          <t>S/L</t>
        </is>
      </c>
      <c r="J83" s="20" t="n">
        <v>27.5</v>
      </c>
    </row>
    <row r="84" ht="15" customHeight="1">
      <c r="A84" s="21" t="inlineStr">
        <is>
          <t>Grand Total</t>
        </is>
      </c>
      <c r="B84" s="8">
        <f>SUM(B75,B76,B77,B78,B79,B80,B81,B82,B83)</f>
        <v/>
      </c>
      <c r="C84" s="8">
        <f>SUM(C75,C76,C77,C78,C79,C80,C81,C82,C83)</f>
        <v/>
      </c>
      <c r="D84" s="8">
        <f>SUM(D75,D76,D77,D78,D79,D80,D81,D82,D83)</f>
        <v/>
      </c>
      <c r="E84" s="8">
        <f>SUM(E75,E76,E77,E78,E79,E80,E81,E82,E83)</f>
        <v/>
      </c>
      <c r="F84" s="8">
        <f>SUM(F75,F76,F77,F78,F79,F80,F81,F82,F83)</f>
        <v/>
      </c>
      <c r="G84" s="8">
        <f>SUM(G75,G76,G77,G78,G79,G80,G81,G82,G83)</f>
        <v/>
      </c>
      <c r="H84" s="8">
        <f>SUM(H75,H76,H77,H78,H79,H80,H81,H82,H83)</f>
        <v/>
      </c>
    </row>
    <row r="86" ht="15" customHeight="1">
      <c r="A86" s="22" t="inlineStr">
        <is>
          <t>SECTION 481(a) ADJUSTMENT</t>
        </is>
      </c>
    </row>
    <row r="87" ht="15" customHeight="1">
      <c r="A87" s="23" t="inlineStr">
        <is>
          <t>Depreciation reported previously</t>
        </is>
      </c>
      <c r="B87" s="24" t="n">
        <v>102285.38</v>
      </c>
    </row>
    <row r="88" ht="15" customHeight="1">
      <c r="A88" s="23" t="inlineStr">
        <is>
          <t>Cost Segregation Corrected Depreciation</t>
        </is>
      </c>
      <c r="B88" s="24" t="n">
        <v>105071.7</v>
      </c>
    </row>
    <row r="89" ht="15" customHeight="1">
      <c r="A89" s="22" t="inlineStr">
        <is>
          <t>Section 481(a) Adjustment</t>
        </is>
      </c>
      <c r="B89" s="25" t="n">
        <v>-2786.319999999992</v>
      </c>
    </row>
  </sheetData>
  <mergeCells count="12">
    <mergeCell ref="A21:E21"/>
    <mergeCell ref="A59:E59"/>
    <mergeCell ref="A2:E2"/>
    <mergeCell ref="A86:E86"/>
    <mergeCell ref="A52:E52"/>
    <mergeCell ref="A7:E7"/>
    <mergeCell ref="A66:J66"/>
    <mergeCell ref="A1:E1"/>
    <mergeCell ref="A5:E5"/>
    <mergeCell ref="A73:J73"/>
    <mergeCell ref="A27:E27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7112 Kayla Ct, Marrero, LA 70072</t>
        </is>
      </c>
    </row>
    <row r="3" ht="15" customHeight="1">
      <c r="A3" s="11" t="inlineStr">
        <is>
          <t>Marrero 3 LP  |  EIN 82-2324040  |  FYE 12/31/2024  |  Partial Assets #7, #8, &amp; #9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1253.18</v>
      </c>
      <c r="C8" s="6" t="n">
        <v>1253.18</v>
      </c>
    </row>
    <row r="9" ht="15" customHeight="1">
      <c r="A9" s="15" t="inlineStr">
        <is>
          <t>Moldings</t>
        </is>
      </c>
      <c r="B9" s="6" t="n">
        <v>1025.1</v>
      </c>
      <c r="C9" s="6" t="n">
        <v>1025.1</v>
      </c>
    </row>
    <row r="10" ht="15" customHeight="1">
      <c r="A10" s="15" t="inlineStr">
        <is>
          <t>Flooring - Wood Laminate</t>
        </is>
      </c>
      <c r="B10" s="6" t="n">
        <v>1949.87</v>
      </c>
      <c r="C10" s="6" t="n">
        <v>1949.87</v>
      </c>
    </row>
    <row r="11" ht="15" customHeight="1">
      <c r="A11" s="15" t="inlineStr">
        <is>
          <t>Security System</t>
        </is>
      </c>
      <c r="B11" s="6" t="n">
        <v>539.2</v>
      </c>
      <c r="C11" s="6" t="n">
        <v>539.2</v>
      </c>
    </row>
    <row r="12" ht="15" customHeight="1">
      <c r="A12" s="15" t="inlineStr">
        <is>
          <t>Window Treatments</t>
        </is>
      </c>
      <c r="B12" s="6" t="n">
        <v>392.2</v>
      </c>
      <c r="C12" s="6" t="n">
        <v>392.2</v>
      </c>
    </row>
    <row r="13" ht="15" customHeight="1">
      <c r="A13" s="15" t="inlineStr">
        <is>
          <t>Specialty HVAC - Dryer Vents</t>
        </is>
      </c>
      <c r="B13" s="6" t="n">
        <v>33.89</v>
      </c>
      <c r="C13" s="6" t="n">
        <v>33.89</v>
      </c>
    </row>
    <row r="14" ht="15" customHeight="1">
      <c r="A14" s="15" t="inlineStr">
        <is>
          <t>Building Signage</t>
        </is>
      </c>
      <c r="B14" s="6" t="n">
        <v>22.29</v>
      </c>
      <c r="C14" s="6" t="n">
        <v>22.29</v>
      </c>
    </row>
    <row r="15" ht="15" customHeight="1">
      <c r="A15" s="15" t="inlineStr">
        <is>
          <t>Specialty Electrical - Appliances</t>
        </is>
      </c>
      <c r="B15" s="6" t="n">
        <v>578.78</v>
      </c>
      <c r="C15" s="6" t="n">
        <v>578.78</v>
      </c>
    </row>
    <row r="16" ht="15" customHeight="1">
      <c r="A16" s="15" t="inlineStr">
        <is>
          <t>Communication / Data</t>
        </is>
      </c>
      <c r="B16" s="6" t="n">
        <v>255.33</v>
      </c>
      <c r="C16" s="6" t="n">
        <v>255.33</v>
      </c>
    </row>
    <row r="17" ht="15" customHeight="1">
      <c r="A17" s="15" t="inlineStr">
        <is>
          <t>Specialty Plumbing - Kitchen Sink / Laundry</t>
        </is>
      </c>
      <c r="B17" s="6" t="n">
        <v>633.66</v>
      </c>
      <c r="C17" s="6" t="n">
        <v>633.66</v>
      </c>
    </row>
    <row r="18" ht="15" customHeight="1">
      <c r="A18" s="15" t="inlineStr">
        <is>
          <t>Security / Exterior Lighting</t>
        </is>
      </c>
      <c r="B18" s="6" t="n">
        <v>125.71</v>
      </c>
      <c r="C18" s="6" t="n">
        <v>125.71</v>
      </c>
    </row>
    <row r="19" ht="15" customHeight="1">
      <c r="A19" s="15" t="inlineStr">
        <is>
          <t>Appliances</t>
        </is>
      </c>
      <c r="B19" s="6" t="n">
        <v>634.8200000000001</v>
      </c>
      <c r="C19" s="6" t="n">
        <v>634.8200000000001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440.5</v>
      </c>
      <c r="D21" s="6" t="n">
        <v>440.5</v>
      </c>
    </row>
    <row r="22" ht="15" customHeight="1">
      <c r="A22" s="15" t="inlineStr">
        <is>
          <t>Sidewalks / Curbs</t>
        </is>
      </c>
      <c r="B22" s="6" t="n">
        <v>159.55</v>
      </c>
      <c r="D22" s="6" t="n">
        <v>159.55</v>
      </c>
    </row>
    <row r="23" ht="15" customHeight="1">
      <c r="A23" s="15" t="inlineStr">
        <is>
          <t>Exterior Equipment Concrete Pads</t>
        </is>
      </c>
      <c r="B23" s="6" t="n">
        <v>39.13</v>
      </c>
      <c r="D23" s="6" t="n">
        <v>39.13</v>
      </c>
    </row>
    <row r="24" ht="15" customHeight="1">
      <c r="A24" s="15" t="inlineStr">
        <is>
          <t>Mailboxes</t>
        </is>
      </c>
      <c r="B24" s="6" t="n">
        <v>24.26</v>
      </c>
      <c r="D24" s="6" t="n">
        <v>24.26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2834.33</v>
      </c>
      <c r="E26" s="6" t="n">
        <v>2834.33</v>
      </c>
    </row>
    <row r="27" ht="15" customHeight="1">
      <c r="A27" s="15" t="inlineStr">
        <is>
          <t>Foundations</t>
        </is>
      </c>
      <c r="B27" s="6" t="n">
        <v>5611.36</v>
      </c>
      <c r="E27" s="6" t="n">
        <v>5611.36</v>
      </c>
    </row>
    <row r="28" ht="15" customHeight="1">
      <c r="A28" s="15" t="inlineStr">
        <is>
          <t>HVAC</t>
        </is>
      </c>
      <c r="B28" s="6" t="n">
        <v>2625.61</v>
      </c>
      <c r="E28" s="6" t="n">
        <v>2625.61</v>
      </c>
    </row>
    <row r="29" ht="15" customHeight="1">
      <c r="A29" s="15" t="inlineStr">
        <is>
          <t>Electrical</t>
        </is>
      </c>
      <c r="B29" s="6" t="n">
        <v>2802.9</v>
      </c>
      <c r="E29" s="6" t="n">
        <v>2802.9</v>
      </c>
    </row>
    <row r="30" ht="15" customHeight="1">
      <c r="A30" s="15" t="inlineStr">
        <is>
          <t>Plumbing</t>
        </is>
      </c>
      <c r="B30" s="6" t="n">
        <v>2311.88</v>
      </c>
      <c r="E30" s="6" t="n">
        <v>2311.88</v>
      </c>
    </row>
    <row r="31" ht="15" customHeight="1">
      <c r="A31" s="15" t="inlineStr">
        <is>
          <t>Fire Protection &amp; Alarm</t>
        </is>
      </c>
      <c r="B31" s="6" t="n">
        <v>135.25</v>
      </c>
      <c r="E31" s="6" t="n">
        <v>135.25</v>
      </c>
    </row>
    <row r="32" ht="15" customHeight="1">
      <c r="A32" s="15" t="inlineStr">
        <is>
          <t>Exterior Façade / Building Skin</t>
        </is>
      </c>
      <c r="B32" s="6" t="n">
        <v>2244.42</v>
      </c>
      <c r="E32" s="6" t="n">
        <v>2244.42</v>
      </c>
    </row>
    <row r="33" ht="15" customHeight="1">
      <c r="A33" s="15" t="inlineStr">
        <is>
          <t>Doors &amp; Frames</t>
        </is>
      </c>
      <c r="B33" s="6" t="n">
        <v>1579.74</v>
      </c>
      <c r="E33" s="6" t="n">
        <v>1579.74</v>
      </c>
    </row>
    <row r="34" ht="15" customHeight="1">
      <c r="A34" s="15" t="inlineStr">
        <is>
          <t>Windows</t>
        </is>
      </c>
      <c r="B34" s="6" t="n">
        <v>1728.69</v>
      </c>
      <c r="E34" s="6" t="n">
        <v>1728.69</v>
      </c>
    </row>
    <row r="35" ht="15" customHeight="1">
      <c r="A35" s="15" t="inlineStr">
        <is>
          <t>Ceiling Systems</t>
        </is>
      </c>
      <c r="B35" s="6" t="n">
        <v>1362.6</v>
      </c>
      <c r="E35" s="6" t="n">
        <v>1362.6</v>
      </c>
    </row>
    <row r="36" ht="15" customHeight="1">
      <c r="A36" s="15" t="inlineStr">
        <is>
          <t>Interior Framing / Partitions</t>
        </is>
      </c>
      <c r="B36" s="6" t="n">
        <v>4921.02</v>
      </c>
      <c r="E36" s="6" t="n">
        <v>4921.02</v>
      </c>
    </row>
    <row r="37" ht="15" customHeight="1">
      <c r="A37" s="15" t="inlineStr">
        <is>
          <t>Painting</t>
        </is>
      </c>
      <c r="B37" s="6" t="n">
        <v>1576.54</v>
      </c>
      <c r="E37" s="6" t="n">
        <v>1576.54</v>
      </c>
    </row>
    <row r="38" ht="15" customHeight="1">
      <c r="A38" s="15" t="inlineStr">
        <is>
          <t>Structural Framing</t>
        </is>
      </c>
      <c r="B38" s="6" t="n">
        <v>5014.17</v>
      </c>
      <c r="E38" s="6" t="n">
        <v>5014.17</v>
      </c>
    </row>
    <row r="39" ht="15" customHeight="1">
      <c r="A39" s="15" t="inlineStr">
        <is>
          <t>Site Utilities</t>
        </is>
      </c>
      <c r="B39" s="6" t="n">
        <v>380.3</v>
      </c>
      <c r="E39" s="6" t="n">
        <v>380.3</v>
      </c>
    </row>
    <row r="40" ht="15" customHeight="1">
      <c r="A40" s="15" t="inlineStr">
        <is>
          <t>Garage Doors</t>
        </is>
      </c>
      <c r="B40" s="6" t="n">
        <v>446.76</v>
      </c>
      <c r="E40" s="6" t="n">
        <v>446.76</v>
      </c>
    </row>
    <row r="41" ht="15" customHeight="1">
      <c r="A41" s="15" t="inlineStr">
        <is>
          <t>Flooring - Sealed Concrete</t>
        </is>
      </c>
      <c r="B41" s="6" t="n">
        <v>59.17</v>
      </c>
      <c r="E41" s="6" t="n">
        <v>59.17</v>
      </c>
    </row>
    <row r="42" ht="15" customHeight="1">
      <c r="A42" s="15" t="inlineStr">
        <is>
          <t>Bathroom Accessories</t>
        </is>
      </c>
      <c r="B42" s="6" t="n">
        <v>526.09</v>
      </c>
      <c r="E42" s="6" t="n">
        <v>526.09</v>
      </c>
    </row>
    <row r="43" ht="15" customHeight="1">
      <c r="A43" s="15" t="inlineStr">
        <is>
          <t>Cabinets / Millwork - Restrooms</t>
        </is>
      </c>
      <c r="B43" s="6" t="n">
        <v>311.62</v>
      </c>
      <c r="E43" s="6" t="n">
        <v>311.62</v>
      </c>
    </row>
    <row r="44" ht="15" customHeight="1">
      <c r="A44" s="7" t="inlineStr">
        <is>
          <t>Total Building Cost</t>
        </is>
      </c>
      <c r="B44" s="8">
        <f>SUM(B8,B9,B10,B11,B12,B13,B14,B15,B16,B17,B18,B19,B21,B22,B23,B24,B26,B27,B28,B29,B30,B31,B32,B33,B34,B35,B36,B37,B38,B39,B40,B41,B42,B43)</f>
        <v/>
      </c>
      <c r="C44" s="8">
        <f>SUM(C8,C9,C10,C11,C12,C13,C14,C15,C16,C17,C18,C19,C21,C22,C23,C24,C26,C27,C28,C29,C30,C31,C32,C33,C34,C35,C36,C37,C38,C39,C40,C41,C42,C43)</f>
        <v/>
      </c>
      <c r="D44" s="8">
        <f>SUM(D8,D9,D10,D11,D12,D13,D14,D15,D16,D17,D18,D19,D21,D22,D23,D24,D26,D27,D28,D29,D30,D31,D32,D33,D34,D35,D36,D37,D38,D39,D40,D41,D42,D43)</f>
        <v/>
      </c>
      <c r="E44" s="8">
        <f>SUM(E8,E9,E10,E11,E12,E13,E14,E15,E16,E17,E18,E19,E21,E22,E23,E24,E26,E27,E28,E29,E30,E31,E32,E33,E34,E35,E36,E37,E38,E39,E40,E41,E42,E43)</f>
        <v/>
      </c>
    </row>
    <row r="45" ht="15" customHeight="1">
      <c r="A45" s="15" t="inlineStr">
        <is>
          <t>% of Building Cost</t>
        </is>
      </c>
      <c r="C45" s="16">
        <f>C44/B44</f>
        <v/>
      </c>
      <c r="D45" s="16">
        <f>D44/B44</f>
        <v/>
      </c>
      <c r="E45" s="16">
        <f>E44/B44</f>
        <v/>
      </c>
    </row>
    <row r="47" ht="15" customHeight="1">
      <c r="A47" s="12" t="inlineStr">
        <is>
          <t>ASSET ALLOCATION (Per Unit)</t>
        </is>
      </c>
    </row>
    <row r="48" ht="15" customHeight="1">
      <c r="A48" s="3" t="inlineStr">
        <is>
          <t>Asset</t>
        </is>
      </c>
      <c r="B48" s="4" t="inlineStr">
        <is>
          <t>Total</t>
        </is>
      </c>
      <c r="C48" s="4" t="inlineStr">
        <is>
          <t>5 Year</t>
        </is>
      </c>
      <c r="D48" s="4" t="inlineStr">
        <is>
          <t>15 Year</t>
        </is>
      </c>
      <c r="E48" s="4" t="inlineStr">
        <is>
          <t>27.5 Year</t>
        </is>
      </c>
    </row>
    <row r="49" ht="15" customHeight="1">
      <c r="A49" s="15" t="inlineStr">
        <is>
          <t>Asset # 8-Building - Kayla Court</t>
        </is>
      </c>
      <c r="B49" s="6" t="n">
        <v>34772.36</v>
      </c>
      <c r="C49" s="6" t="n">
        <v>7132.78</v>
      </c>
      <c r="D49" s="6" t="n">
        <v>2674.78</v>
      </c>
      <c r="E49" s="6" t="n">
        <v>24964.8</v>
      </c>
    </row>
    <row r="50" ht="15" customHeight="1">
      <c r="A50" s="15" t="inlineStr">
        <is>
          <t>Asset # 7-Land Improvements - Kayla Court</t>
        </is>
      </c>
      <c r="B50" s="6" t="n">
        <v>2674.78</v>
      </c>
      <c r="D50" s="6" t="n">
        <v>2674.78</v>
      </c>
    </row>
    <row r="51" ht="15" customHeight="1">
      <c r="A51" s="15" t="inlineStr">
        <is>
          <t>Asset # 9-Equipment - Kayla Court</t>
        </is>
      </c>
      <c r="B51" s="6" t="n">
        <v>7132.78</v>
      </c>
      <c r="C51" s="6" t="n">
        <v>7132.78</v>
      </c>
    </row>
    <row r="52" ht="15" customHeight="1">
      <c r="A52" s="7" t="inlineStr">
        <is>
          <t>Total Allocation:</t>
        </is>
      </c>
      <c r="B52" s="8">
        <f>SUM(B49,B50,B51)</f>
        <v/>
      </c>
      <c r="C52" s="8">
        <f>SUM(C49,C50,C51)</f>
        <v/>
      </c>
      <c r="D52" s="8">
        <f>SUM(D49,D50,D51)</f>
        <v/>
      </c>
      <c r="E52" s="8">
        <f>SUM(E49,E50,E51)</f>
        <v/>
      </c>
    </row>
    <row r="54" ht="15" customHeight="1">
      <c r="A54" s="12" t="inlineStr">
        <is>
          <t>4 Identical Units - Totals:</t>
        </is>
      </c>
    </row>
    <row r="55" ht="15" customHeight="1">
      <c r="A55" s="3" t="inlineStr">
        <is>
          <t>Asset</t>
        </is>
      </c>
      <c r="B55" s="4" t="inlineStr">
        <is>
          <t>Total</t>
        </is>
      </c>
      <c r="C55" s="4" t="inlineStr">
        <is>
          <t>5 Year</t>
        </is>
      </c>
      <c r="D55" s="4" t="inlineStr">
        <is>
          <t>15 Year</t>
        </is>
      </c>
      <c r="E55" s="4" t="inlineStr">
        <is>
          <t>27.5 Year</t>
        </is>
      </c>
    </row>
    <row r="56" ht="15" customHeight="1">
      <c r="A56" s="15" t="inlineStr">
        <is>
          <t>Asset # 7-Land Improvements - Kayla Court</t>
        </is>
      </c>
      <c r="B56" s="6" t="n">
        <v>80243</v>
      </c>
      <c r="C56" s="6" t="n">
        <v>13399</v>
      </c>
      <c r="D56" s="6" t="n">
        <v>1194</v>
      </c>
      <c r="E56" s="6" t="n">
        <v>65650</v>
      </c>
    </row>
    <row r="57" ht="15" customHeight="1">
      <c r="A57" s="15" t="inlineStr">
        <is>
          <t>Asset # 8-Building - Kayla Court</t>
        </is>
      </c>
      <c r="B57" s="6" t="n">
        <v>1043171</v>
      </c>
      <c r="C57" s="6" t="n">
        <v>174191</v>
      </c>
      <c r="D57" s="6" t="n">
        <v>15524</v>
      </c>
      <c r="E57" s="6" t="n">
        <v>853456</v>
      </c>
    </row>
    <row r="58" ht="15" customHeight="1">
      <c r="A58" s="15" t="inlineStr">
        <is>
          <t>Asset # 9-Equipment - Kayla Court</t>
        </is>
      </c>
      <c r="B58" s="6" t="n">
        <v>213983</v>
      </c>
      <c r="C58" s="6" t="n">
        <v>35731</v>
      </c>
      <c r="D58" s="6" t="n">
        <v>3185</v>
      </c>
      <c r="E58" s="6" t="n">
        <v>175068</v>
      </c>
    </row>
    <row r="59" ht="15" customHeight="1">
      <c r="A59" s="7" t="inlineStr">
        <is>
          <t>Total Allocation:</t>
        </is>
      </c>
      <c r="B59" s="8">
        <f>SUM(B56,B57,B58)</f>
        <v/>
      </c>
      <c r="C59" s="8">
        <f>SUM(C56,C57,C58)</f>
        <v/>
      </c>
      <c r="D59" s="8">
        <f>SUM(D56,D57,D58)</f>
        <v/>
      </c>
      <c r="E59" s="8">
        <f>SUM(E56,E57,E58)</f>
        <v/>
      </c>
    </row>
    <row r="61" ht="15" customHeight="1">
      <c r="A61" s="12" t="inlineStr">
        <is>
          <t>AS PREVIOUSLY FILED — 481(a) Calculation (Regular Tax)</t>
        </is>
      </c>
    </row>
    <row r="62" ht="15" customHeight="1">
      <c r="A62" s="17" t="inlineStr">
        <is>
          <t>Asset Description</t>
        </is>
      </c>
      <c r="B62" s="18" t="inlineStr">
        <is>
          <t>Tax Cost</t>
        </is>
      </c>
      <c r="C62" s="18" t="inlineStr">
        <is>
          <t>Sec 179 Exp</t>
        </is>
      </c>
      <c r="D62" s="18" t="inlineStr">
        <is>
          <t>Bonus Amt</t>
        </is>
      </c>
      <c r="E62" s="18" t="inlineStr">
        <is>
          <t>Prior Depreciation</t>
        </is>
      </c>
      <c r="F62" s="18" t="inlineStr">
        <is>
          <t>Current Depreciation</t>
        </is>
      </c>
      <c r="G62" s="18" t="inlineStr">
        <is>
          <t>End Depreciation</t>
        </is>
      </c>
      <c r="H62" s="18" t="inlineStr">
        <is>
          <t>Net Book Value</t>
        </is>
      </c>
      <c r="I62" s="18" t="inlineStr">
        <is>
          <t>Method</t>
        </is>
      </c>
      <c r="J62" s="18" t="inlineStr">
        <is>
          <t>Period</t>
        </is>
      </c>
    </row>
    <row r="63" ht="15" customHeight="1">
      <c r="A63" s="19" t="inlineStr">
        <is>
          <t>7 - Land Improvements - Kayla</t>
        </is>
      </c>
      <c r="B63" s="6" t="n">
        <v>80244</v>
      </c>
      <c r="C63" s="6" t="n">
        <v>0</v>
      </c>
      <c r="D63" s="6" t="n">
        <v>0</v>
      </c>
      <c r="E63" s="6" t="n">
        <v>37993.4</v>
      </c>
      <c r="F63" s="6" t="n">
        <v>4738.57</v>
      </c>
      <c r="G63" s="6" t="n">
        <v>42731.97</v>
      </c>
      <c r="H63" s="6" t="n">
        <v>37512.03</v>
      </c>
      <c r="I63" s="20" t="inlineStr">
        <is>
          <t>150DB</t>
        </is>
      </c>
      <c r="J63" s="20" t="n">
        <v>15</v>
      </c>
    </row>
    <row r="64" ht="15" customHeight="1">
      <c r="A64" s="19" t="inlineStr">
        <is>
          <t>8 - Building - Kayla</t>
        </is>
      </c>
      <c r="B64" s="6" t="n">
        <v>1043171</v>
      </c>
      <c r="C64" s="6" t="n">
        <v>0</v>
      </c>
      <c r="D64" s="6" t="n">
        <v>0</v>
      </c>
      <c r="E64" s="6" t="n">
        <v>229182.26</v>
      </c>
      <c r="F64" s="6" t="n">
        <v>37933.65</v>
      </c>
      <c r="G64" s="6" t="n">
        <v>267115.91</v>
      </c>
      <c r="H64" s="6" t="n">
        <v>776055.09</v>
      </c>
      <c r="I64" s="20" t="inlineStr">
        <is>
          <t>S/L</t>
        </is>
      </c>
      <c r="J64" s="20" t="n">
        <v>27.5</v>
      </c>
    </row>
    <row r="65" ht="15" customHeight="1">
      <c r="A65" s="19" t="inlineStr">
        <is>
          <t>9 - Equipment - Kayla</t>
        </is>
      </c>
      <c r="B65" s="6" t="n">
        <v>213983</v>
      </c>
      <c r="C65" s="6" t="n">
        <v>0</v>
      </c>
      <c r="D65" s="6" t="n">
        <v>0</v>
      </c>
      <c r="E65" s="6" t="n">
        <v>213983</v>
      </c>
      <c r="F65" s="6" t="n">
        <v>0</v>
      </c>
      <c r="G65" s="6" t="n">
        <v>213983</v>
      </c>
      <c r="H65" s="6" t="n">
        <v>0</v>
      </c>
      <c r="I65" s="20" t="inlineStr">
        <is>
          <t>200DB</t>
        </is>
      </c>
      <c r="J65" s="20" t="n">
        <v>5</v>
      </c>
    </row>
    <row r="66" ht="15" customHeight="1">
      <c r="A66" s="21" t="inlineStr">
        <is>
          <t>Grand Total</t>
        </is>
      </c>
      <c r="B66" s="8">
        <f>SUM(B63,B64,B65)</f>
        <v/>
      </c>
      <c r="C66" s="8">
        <f>SUM(C63,C64,C65)</f>
        <v/>
      </c>
      <c r="D66" s="8">
        <f>SUM(D63,D64,D65)</f>
        <v/>
      </c>
      <c r="E66" s="8">
        <f>SUM(E63,E64,E65)</f>
        <v/>
      </c>
      <c r="F66" s="8">
        <f>SUM(F63,F64,F65)</f>
        <v/>
      </c>
      <c r="G66" s="8">
        <f>SUM(G63,G64,G65)</f>
        <v/>
      </c>
      <c r="H66" s="8">
        <f>SUM(H63,H64,H65)</f>
        <v/>
      </c>
    </row>
    <row r="68" ht="15" customHeight="1">
      <c r="A68" s="12" t="inlineStr">
        <is>
          <t>AFTER COST SEGREGATION CORRECTION — 481(a) Calculation (Regular Tax)</t>
        </is>
      </c>
    </row>
    <row r="69" ht="15" customHeight="1">
      <c r="A69" s="17" t="inlineStr">
        <is>
          <t>Asset Description</t>
        </is>
      </c>
      <c r="B69" s="18" t="inlineStr">
        <is>
          <t>Tax Cost</t>
        </is>
      </c>
      <c r="C69" s="18" t="inlineStr">
        <is>
          <t>Sec 179 Exp</t>
        </is>
      </c>
      <c r="D69" s="18" t="inlineStr">
        <is>
          <t>Bonus Amt</t>
        </is>
      </c>
      <c r="E69" s="18" t="inlineStr">
        <is>
          <t>Prior Depreciation</t>
        </is>
      </c>
      <c r="F69" s="18" t="inlineStr">
        <is>
          <t>Current Depreciation</t>
        </is>
      </c>
      <c r="G69" s="18" t="inlineStr">
        <is>
          <t>End Depreciation</t>
        </is>
      </c>
      <c r="H69" s="18" t="inlineStr">
        <is>
          <t>Net Book Value</t>
        </is>
      </c>
      <c r="I69" s="18" t="inlineStr">
        <is>
          <t>Method</t>
        </is>
      </c>
      <c r="J69" s="18" t="inlineStr">
        <is>
          <t>Period</t>
        </is>
      </c>
    </row>
    <row r="70" ht="15" customHeight="1">
      <c r="A70" s="19" t="inlineStr">
        <is>
          <t>7 - Land Improvements - Kayla - 5yr</t>
        </is>
      </c>
      <c r="B70" s="6" t="n">
        <v>13399</v>
      </c>
      <c r="C70" s="6" t="n">
        <v>0</v>
      </c>
      <c r="D70" s="6" t="n">
        <v>0</v>
      </c>
      <c r="E70" s="6" t="n">
        <v>13399</v>
      </c>
      <c r="F70" s="6" t="n">
        <v>0</v>
      </c>
      <c r="G70" s="6" t="n">
        <v>13399</v>
      </c>
      <c r="H70" s="6" t="n">
        <v>0</v>
      </c>
      <c r="I70" s="20" t="inlineStr">
        <is>
          <t>200DB</t>
        </is>
      </c>
      <c r="J70" s="20" t="n">
        <v>5</v>
      </c>
    </row>
    <row r="71" ht="15" customHeight="1">
      <c r="A71" s="19" t="inlineStr">
        <is>
          <t>7 - Land Improvements - Kayla - 15yr</t>
        </is>
      </c>
      <c r="B71" s="6" t="n">
        <v>1194</v>
      </c>
      <c r="C71" s="6" t="n">
        <v>0</v>
      </c>
      <c r="D71" s="6" t="n">
        <v>0</v>
      </c>
      <c r="E71" s="6" t="n">
        <v>1194</v>
      </c>
      <c r="F71" s="6" t="n">
        <v>0</v>
      </c>
      <c r="G71" s="6" t="n">
        <v>1194</v>
      </c>
      <c r="H71" s="6" t="n">
        <v>0</v>
      </c>
      <c r="I71" s="20" t="inlineStr">
        <is>
          <t>150DB</t>
        </is>
      </c>
      <c r="J71" s="20" t="n">
        <v>15</v>
      </c>
    </row>
    <row r="72" ht="15" customHeight="1">
      <c r="A72" s="19" t="inlineStr">
        <is>
          <t>7 - Land Improvements - Kayla - 27.5yr</t>
        </is>
      </c>
      <c r="B72" s="6" t="n">
        <v>65650</v>
      </c>
      <c r="C72" s="6" t="n">
        <v>0</v>
      </c>
      <c r="D72" s="6" t="n">
        <v>0</v>
      </c>
      <c r="E72" s="6" t="n">
        <v>0</v>
      </c>
      <c r="F72" s="6" t="n">
        <v>2387.27</v>
      </c>
      <c r="G72" s="6" t="n">
        <v>16810.36</v>
      </c>
      <c r="H72" s="6" t="n">
        <v>48839.64</v>
      </c>
      <c r="I72" s="20" t="inlineStr">
        <is>
          <t>S/L</t>
        </is>
      </c>
      <c r="J72" s="20" t="n">
        <v>27.5</v>
      </c>
    </row>
    <row r="73" ht="15" customHeight="1">
      <c r="A73" s="19" t="inlineStr">
        <is>
          <t>8 - Building - Kayla - 5yr</t>
        </is>
      </c>
      <c r="B73" s="6" t="n">
        <v>174191</v>
      </c>
      <c r="C73" s="6" t="n">
        <v>0</v>
      </c>
      <c r="D73" s="6" t="n">
        <v>0</v>
      </c>
      <c r="E73" s="6" t="n">
        <v>174191</v>
      </c>
      <c r="F73" s="6" t="n">
        <v>0</v>
      </c>
      <c r="G73" s="6" t="n">
        <v>174191</v>
      </c>
      <c r="H73" s="6" t="n">
        <v>0</v>
      </c>
      <c r="I73" s="20" t="inlineStr">
        <is>
          <t>200DB</t>
        </is>
      </c>
      <c r="J73" s="20" t="n">
        <v>5</v>
      </c>
    </row>
    <row r="74" ht="15" customHeight="1">
      <c r="A74" s="19" t="inlineStr">
        <is>
          <t>8 - Building - Kayla - 15yr</t>
        </is>
      </c>
      <c r="B74" s="6" t="n">
        <v>15524</v>
      </c>
      <c r="C74" s="6" t="n">
        <v>0</v>
      </c>
      <c r="D74" s="6" t="n">
        <v>0</v>
      </c>
      <c r="E74" s="6" t="n">
        <v>15524</v>
      </c>
      <c r="F74" s="6" t="n">
        <v>0</v>
      </c>
      <c r="G74" s="6" t="n">
        <v>15524</v>
      </c>
      <c r="H74" s="6" t="n">
        <v>0</v>
      </c>
      <c r="I74" s="20" t="inlineStr">
        <is>
          <t>150DB</t>
        </is>
      </c>
      <c r="J74" s="20" t="n">
        <v>15</v>
      </c>
    </row>
    <row r="75" ht="15" customHeight="1">
      <c r="A75" s="19" t="inlineStr">
        <is>
          <t>8 - Building - Kayla - 27.5yr</t>
        </is>
      </c>
      <c r="B75" s="6" t="n">
        <v>853456</v>
      </c>
      <c r="C75" s="6" t="n">
        <v>0</v>
      </c>
      <c r="D75" s="6" t="n">
        <v>0</v>
      </c>
      <c r="E75" s="6" t="n">
        <v>0</v>
      </c>
      <c r="F75" s="6" t="n">
        <v>31034.76</v>
      </c>
      <c r="G75" s="6" t="n">
        <v>218536.44</v>
      </c>
      <c r="H75" s="6" t="n">
        <v>634919.5600000001</v>
      </c>
      <c r="I75" s="20" t="inlineStr">
        <is>
          <t>S/L</t>
        </is>
      </c>
      <c r="J75" s="20" t="n">
        <v>27.5</v>
      </c>
    </row>
    <row r="76" ht="15" customHeight="1">
      <c r="A76" s="19" t="inlineStr">
        <is>
          <t>9 - Equipment - Kayla - 5yr</t>
        </is>
      </c>
      <c r="B76" s="6" t="n">
        <v>35731</v>
      </c>
      <c r="C76" s="6" t="n">
        <v>0</v>
      </c>
      <c r="D76" s="6" t="n">
        <v>0</v>
      </c>
      <c r="E76" s="6" t="n">
        <v>35731</v>
      </c>
      <c r="F76" s="6" t="n">
        <v>0</v>
      </c>
      <c r="G76" s="6" t="n">
        <v>35731</v>
      </c>
      <c r="H76" s="6" t="n">
        <v>0</v>
      </c>
      <c r="I76" s="20" t="inlineStr">
        <is>
          <t>200DB</t>
        </is>
      </c>
      <c r="J76" s="20" t="n">
        <v>5</v>
      </c>
    </row>
    <row r="77" ht="15" customHeight="1">
      <c r="A77" s="19" t="inlineStr">
        <is>
          <t>9 - Equipment - Kayla - 15yr</t>
        </is>
      </c>
      <c r="B77" s="6" t="n">
        <v>3185</v>
      </c>
      <c r="C77" s="6" t="n">
        <v>0</v>
      </c>
      <c r="D77" s="6" t="n">
        <v>0</v>
      </c>
      <c r="E77" s="6" t="n">
        <v>3185</v>
      </c>
      <c r="F77" s="6" t="n">
        <v>0</v>
      </c>
      <c r="G77" s="6" t="n">
        <v>3185</v>
      </c>
      <c r="H77" s="6" t="n">
        <v>0</v>
      </c>
      <c r="I77" s="20" t="inlineStr">
        <is>
          <t>150DB</t>
        </is>
      </c>
      <c r="J77" s="20" t="n">
        <v>15</v>
      </c>
    </row>
    <row r="78" ht="15" customHeight="1">
      <c r="A78" s="19" t="inlineStr">
        <is>
          <t>9 - Equipment - Kayla - 27.5yr</t>
        </is>
      </c>
      <c r="B78" s="6" t="n">
        <v>175068</v>
      </c>
      <c r="C78" s="6" t="n">
        <v>0</v>
      </c>
      <c r="D78" s="6" t="n">
        <v>0</v>
      </c>
      <c r="E78" s="6" t="n">
        <v>0</v>
      </c>
      <c r="F78" s="6" t="n">
        <v>6366.11</v>
      </c>
      <c r="G78" s="6" t="n">
        <v>44828.02</v>
      </c>
      <c r="H78" s="6" t="n">
        <v>130239.98</v>
      </c>
      <c r="I78" s="20" t="inlineStr">
        <is>
          <t>S/L</t>
        </is>
      </c>
      <c r="J78" s="20" t="n">
        <v>27.5</v>
      </c>
    </row>
    <row r="79" ht="15" customHeight="1">
      <c r="A79" s="21" t="inlineStr">
        <is>
          <t>Grand Total</t>
        </is>
      </c>
      <c r="B79" s="8">
        <f>SUM(B70,B71,B72,B73,B74,B75,B76,B77,B78)</f>
        <v/>
      </c>
      <c r="C79" s="8">
        <f>SUM(C70,C71,C72,C73,C74,C75,C76,C77,C78)</f>
        <v/>
      </c>
      <c r="D79" s="8">
        <f>SUM(D70,D71,D72,D73,D74,D75,D76,D77,D78)</f>
        <v/>
      </c>
      <c r="E79" s="8">
        <f>SUM(E70,E71,E72,E73,E74,E75,E76,E77,E78)</f>
        <v/>
      </c>
      <c r="F79" s="8">
        <f>SUM(F70,F71,F72,F73,F74,F75,F76,F77,F78)</f>
        <v/>
      </c>
      <c r="G79" s="8">
        <f>SUM(G70,G71,G72,G73,G74,G75,G76,G77,G78)</f>
        <v/>
      </c>
      <c r="H79" s="8">
        <f>SUM(H70,H71,H72,H73,H74,H75,H76,H77,H78)</f>
        <v/>
      </c>
    </row>
    <row r="81" ht="15" customHeight="1">
      <c r="A81" s="22" t="inlineStr">
        <is>
          <t>SECTION 481(a) ADJUSTMENT</t>
        </is>
      </c>
    </row>
    <row r="82" ht="15" customHeight="1">
      <c r="A82" s="23" t="inlineStr">
        <is>
          <t>Depreciation reported previously</t>
        </is>
      </c>
      <c r="B82" s="24" t="n">
        <v>523830.88</v>
      </c>
    </row>
    <row r="83" ht="15" customHeight="1">
      <c r="A83" s="23" t="inlineStr">
        <is>
          <t>Cost Segregation Corrected Depreciation</t>
        </is>
      </c>
      <c r="B83" s="24" t="n">
        <v>523398.82</v>
      </c>
    </row>
    <row r="84" ht="15" customHeight="1">
      <c r="A84" s="22" t="inlineStr">
        <is>
          <t>Section 481(a) Adjustment</t>
        </is>
      </c>
      <c r="B84" s="25" t="n">
        <v>432.0599999999977</v>
      </c>
    </row>
  </sheetData>
  <mergeCells count="12">
    <mergeCell ref="A20:E20"/>
    <mergeCell ref="A61:J61"/>
    <mergeCell ref="A2:E2"/>
    <mergeCell ref="A54:E54"/>
    <mergeCell ref="A81:E81"/>
    <mergeCell ref="A7:E7"/>
    <mergeCell ref="A25:E25"/>
    <mergeCell ref="A47:E47"/>
    <mergeCell ref="A1:E1"/>
    <mergeCell ref="A5:E5"/>
    <mergeCell ref="A68:J68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7141 Kayla Ct, Marrero, LA 70072</t>
        </is>
      </c>
    </row>
    <row r="3" ht="15" customHeight="1">
      <c r="A3" s="11" t="inlineStr">
        <is>
          <t>Marrero 3 LP  |  EIN 82-2324040  |  FYE 12/31/2024  |  Partial Assets #7, #8, &amp; #9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1224.05</v>
      </c>
      <c r="C8" s="6" t="n">
        <v>1224.05</v>
      </c>
    </row>
    <row r="9" ht="15" customHeight="1">
      <c r="A9" s="15" t="inlineStr">
        <is>
          <t>Moldings</t>
        </is>
      </c>
      <c r="B9" s="6" t="n">
        <v>1003.14</v>
      </c>
      <c r="C9" s="6" t="n">
        <v>1003.14</v>
      </c>
    </row>
    <row r="10" ht="15" customHeight="1">
      <c r="A10" s="15" t="inlineStr">
        <is>
          <t>Flooring - Wood Laminate</t>
        </is>
      </c>
      <c r="B10" s="6" t="n">
        <v>1894.04</v>
      </c>
      <c r="C10" s="6" t="n">
        <v>1894.04</v>
      </c>
    </row>
    <row r="11" ht="15" customHeight="1">
      <c r="A11" s="15" t="inlineStr">
        <is>
          <t>Security System</t>
        </is>
      </c>
      <c r="B11" s="6" t="n">
        <v>398.36</v>
      </c>
      <c r="C11" s="6" t="n">
        <v>398.36</v>
      </c>
    </row>
    <row r="12" ht="15" customHeight="1">
      <c r="A12" s="15" t="inlineStr">
        <is>
          <t>Window Treatments</t>
        </is>
      </c>
      <c r="B12" s="6" t="n">
        <v>254.6</v>
      </c>
      <c r="C12" s="6" t="n">
        <v>254.6</v>
      </c>
    </row>
    <row r="13" ht="15" customHeight="1">
      <c r="A13" s="15" t="inlineStr">
        <is>
          <t>Specialty HVAC - Dryer Vents</t>
        </is>
      </c>
      <c r="B13" s="6" t="n">
        <v>33.89</v>
      </c>
      <c r="C13" s="6" t="n">
        <v>33.89</v>
      </c>
    </row>
    <row r="14" ht="15" customHeight="1">
      <c r="A14" s="15" t="inlineStr">
        <is>
          <t>Building Signage</t>
        </is>
      </c>
      <c r="B14" s="6" t="n">
        <v>22.29</v>
      </c>
      <c r="C14" s="6" t="n">
        <v>22.29</v>
      </c>
    </row>
    <row r="15" ht="15" customHeight="1">
      <c r="A15" s="15" t="inlineStr">
        <is>
          <t>Specialty Electrical - Appliances</t>
        </is>
      </c>
      <c r="B15" s="6" t="n">
        <v>578.78</v>
      </c>
      <c r="C15" s="6" t="n">
        <v>578.78</v>
      </c>
    </row>
    <row r="16" ht="15" customHeight="1">
      <c r="A16" s="15" t="inlineStr">
        <is>
          <t>Communication / Data</t>
        </is>
      </c>
      <c r="B16" s="6" t="n">
        <v>248.02</v>
      </c>
      <c r="C16" s="6" t="n">
        <v>248.02</v>
      </c>
    </row>
    <row r="17" ht="15" customHeight="1">
      <c r="A17" s="15" t="inlineStr">
        <is>
          <t>Specialty Plumbing - Kitchen Sink / Laundry</t>
        </is>
      </c>
      <c r="B17" s="6" t="n">
        <v>633.66</v>
      </c>
      <c r="C17" s="6" t="n">
        <v>633.66</v>
      </c>
    </row>
    <row r="18" ht="15" customHeight="1">
      <c r="A18" s="15" t="inlineStr">
        <is>
          <t>Security / Exterior Lighting</t>
        </is>
      </c>
      <c r="B18" s="6" t="n">
        <v>125.71</v>
      </c>
      <c r="C18" s="6" t="n">
        <v>125.71</v>
      </c>
    </row>
    <row r="19" ht="15" customHeight="1">
      <c r="A19" s="15" t="inlineStr">
        <is>
          <t>Appliances</t>
        </is>
      </c>
      <c r="B19" s="6" t="n">
        <v>634.8200000000001</v>
      </c>
      <c r="C19" s="6" t="n">
        <v>634.8200000000001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506.65</v>
      </c>
      <c r="D21" s="6" t="n">
        <v>506.65</v>
      </c>
    </row>
    <row r="22" ht="15" customHeight="1">
      <c r="A22" s="15" t="inlineStr">
        <is>
          <t>Sidewalks / Curbs</t>
        </is>
      </c>
      <c r="B22" s="6" t="n">
        <v>229.17</v>
      </c>
      <c r="D22" s="6" t="n">
        <v>229.17</v>
      </c>
    </row>
    <row r="23" ht="15" customHeight="1">
      <c r="A23" s="15" t="inlineStr">
        <is>
          <t>Exterior Equipment Concrete Pads</t>
        </is>
      </c>
      <c r="B23" s="6" t="n">
        <v>39.13</v>
      </c>
      <c r="D23" s="6" t="n">
        <v>39.13</v>
      </c>
    </row>
    <row r="24" ht="15" customHeight="1">
      <c r="A24" s="15" t="inlineStr">
        <is>
          <t>Mailboxes</t>
        </is>
      </c>
      <c r="B24" s="6" t="n">
        <v>24.26</v>
      </c>
      <c r="D24" s="6" t="n">
        <v>24.26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2548.43</v>
      </c>
      <c r="E26" s="6" t="n">
        <v>2548.43</v>
      </c>
    </row>
    <row r="27" ht="15" customHeight="1">
      <c r="A27" s="15" t="inlineStr">
        <is>
          <t>Foundations</t>
        </is>
      </c>
      <c r="B27" s="6" t="n">
        <v>5484.79</v>
      </c>
      <c r="E27" s="6" t="n">
        <v>5484.79</v>
      </c>
    </row>
    <row r="28" ht="15" customHeight="1">
      <c r="A28" s="15" t="inlineStr">
        <is>
          <t>HVAC</t>
        </is>
      </c>
      <c r="B28" s="6" t="n">
        <v>2549.45</v>
      </c>
      <c r="E28" s="6" t="n">
        <v>2549.45</v>
      </c>
    </row>
    <row r="29" ht="15" customHeight="1">
      <c r="A29" s="15" t="inlineStr">
        <is>
          <t>Electrical</t>
        </is>
      </c>
      <c r="B29" s="6" t="n">
        <v>2713.95</v>
      </c>
      <c r="E29" s="6" t="n">
        <v>2713.95</v>
      </c>
    </row>
    <row r="30" ht="15" customHeight="1">
      <c r="A30" s="15" t="inlineStr">
        <is>
          <t>Plumbing</t>
        </is>
      </c>
      <c r="B30" s="6" t="n">
        <v>2245.68</v>
      </c>
      <c r="E30" s="6" t="n">
        <v>2245.68</v>
      </c>
    </row>
    <row r="31" ht="15" customHeight="1">
      <c r="A31" s="15" t="inlineStr">
        <is>
          <t>Fire Protection &amp; Alarm</t>
        </is>
      </c>
      <c r="B31" s="6" t="n">
        <v>169.07</v>
      </c>
      <c r="E31" s="6" t="n">
        <v>169.07</v>
      </c>
    </row>
    <row r="32" ht="15" customHeight="1">
      <c r="A32" s="15" t="inlineStr">
        <is>
          <t>Exterior Façade / Building Skin</t>
        </is>
      </c>
      <c r="B32" s="6" t="n">
        <v>2358.3</v>
      </c>
      <c r="E32" s="6" t="n">
        <v>2358.3</v>
      </c>
    </row>
    <row r="33" ht="15" customHeight="1">
      <c r="A33" s="15" t="inlineStr">
        <is>
          <t>Doors &amp; Frames</t>
        </is>
      </c>
      <c r="B33" s="6" t="n">
        <v>1892.23</v>
      </c>
      <c r="E33" s="6" t="n">
        <v>1892.23</v>
      </c>
    </row>
    <row r="34" ht="15" customHeight="1">
      <c r="A34" s="15" t="inlineStr">
        <is>
          <t>Windows</t>
        </is>
      </c>
      <c r="B34" s="6" t="n">
        <v>1122.14</v>
      </c>
      <c r="E34" s="6" t="n">
        <v>1122.14</v>
      </c>
    </row>
    <row r="35" ht="15" customHeight="1">
      <c r="A35" s="15" t="inlineStr">
        <is>
          <t>Ceiling Systems</t>
        </is>
      </c>
      <c r="B35" s="6" t="n">
        <v>1326.93</v>
      </c>
      <c r="E35" s="6" t="n">
        <v>1326.93</v>
      </c>
    </row>
    <row r="36" ht="15" customHeight="1">
      <c r="A36" s="15" t="inlineStr">
        <is>
          <t>Interior Framing / Partitions</t>
        </is>
      </c>
      <c r="B36" s="6" t="n">
        <v>4881.53</v>
      </c>
      <c r="E36" s="6" t="n">
        <v>4881.53</v>
      </c>
    </row>
    <row r="37" ht="15" customHeight="1">
      <c r="A37" s="15" t="inlineStr">
        <is>
          <t>Painting</t>
        </is>
      </c>
      <c r="B37" s="6" t="n">
        <v>1557.23</v>
      </c>
      <c r="E37" s="6" t="n">
        <v>1557.23</v>
      </c>
    </row>
    <row r="38" ht="15" customHeight="1">
      <c r="A38" s="15" t="inlineStr">
        <is>
          <t>Structural Framing</t>
        </is>
      </c>
      <c r="B38" s="6" t="n">
        <v>4653.25</v>
      </c>
      <c r="E38" s="6" t="n">
        <v>4653.25</v>
      </c>
    </row>
    <row r="39" ht="15" customHeight="1">
      <c r="A39" s="15" t="inlineStr">
        <is>
          <t>Site Utilities</t>
        </is>
      </c>
      <c r="B39" s="6" t="n">
        <v>419.93</v>
      </c>
      <c r="E39" s="6" t="n">
        <v>419.93</v>
      </c>
    </row>
    <row r="40" ht="15" customHeight="1">
      <c r="A40" s="15" t="inlineStr">
        <is>
          <t>Garage Doors</t>
        </is>
      </c>
      <c r="B40" s="6" t="n">
        <v>446.76</v>
      </c>
      <c r="E40" s="6" t="n">
        <v>446.76</v>
      </c>
    </row>
    <row r="41" ht="15" customHeight="1">
      <c r="A41" s="15" t="inlineStr">
        <is>
          <t>Flooring - Sealed Concrete</t>
        </is>
      </c>
      <c r="B41" s="6" t="n">
        <v>59.17</v>
      </c>
      <c r="E41" s="6" t="n">
        <v>59.17</v>
      </c>
    </row>
    <row r="42" ht="15" customHeight="1">
      <c r="A42" s="15" t="inlineStr">
        <is>
          <t>Bathroom Accessories</t>
        </is>
      </c>
      <c r="B42" s="6" t="n">
        <v>526.09</v>
      </c>
      <c r="E42" s="6" t="n">
        <v>526.09</v>
      </c>
    </row>
    <row r="43" ht="15" customHeight="1">
      <c r="A43" s="15" t="inlineStr">
        <is>
          <t>Cabinets / Millwork - Restrooms</t>
        </is>
      </c>
      <c r="B43" s="6" t="n">
        <v>314.69</v>
      </c>
      <c r="E43" s="6" t="n">
        <v>314.69</v>
      </c>
    </row>
    <row r="44" ht="15" customHeight="1">
      <c r="A44" s="7" t="inlineStr">
        <is>
          <t>Total Building Cost</t>
        </is>
      </c>
      <c r="B44" s="8">
        <f>SUM(B8,B9,B10,B11,B12,B13,B14,B15,B16,B17,B18,B19,B21,B22,B23,B24,B26,B27,B28,B29,B30,B31,B32,B33,B34,B35,B36,B37,B38,B39,B40,B41,B42,B43)</f>
        <v/>
      </c>
      <c r="C44" s="8">
        <f>SUM(C8,C9,C10,C11,C12,C13,C14,C15,C16,C17,C18,C19,C21,C22,C23,C24,C26,C27,C28,C29,C30,C31,C32,C33,C34,C35,C36,C37,C38,C39,C40,C41,C42,C43)</f>
        <v/>
      </c>
      <c r="D44" s="8">
        <f>SUM(D8,D9,D10,D11,D12,D13,D14,D15,D16,D17,D18,D19,D21,D22,D23,D24,D26,D27,D28,D29,D30,D31,D32,D33,D34,D35,D36,D37,D38,D39,D40,D41,D42,D43)</f>
        <v/>
      </c>
      <c r="E44" s="8">
        <f>SUM(E8,E9,E10,E11,E12,E13,E14,E15,E16,E17,E18,E19,E21,E22,E23,E24,E26,E27,E28,E29,E30,E31,E32,E33,E34,E35,E36,E37,E38,E39,E40,E41,E42,E43)</f>
        <v/>
      </c>
    </row>
    <row r="45" ht="15" customHeight="1">
      <c r="A45" s="15" t="inlineStr">
        <is>
          <t>% of Building Cost</t>
        </is>
      </c>
      <c r="C45" s="16">
        <f>C44/B44</f>
        <v/>
      </c>
      <c r="D45" s="16">
        <f>D44/B44</f>
        <v/>
      </c>
      <c r="E45" s="16">
        <f>E44/B44</f>
        <v/>
      </c>
    </row>
    <row r="47" ht="15" customHeight="1">
      <c r="A47" s="12" t="inlineStr">
        <is>
          <t>ASSET ALLOCATION (Per Unit)</t>
        </is>
      </c>
    </row>
    <row r="48" ht="15" customHeight="1">
      <c r="A48" s="3" t="inlineStr">
        <is>
          <t>Asset</t>
        </is>
      </c>
      <c r="B48" s="4" t="inlineStr">
        <is>
          <t>Total</t>
        </is>
      </c>
      <c r="C48" s="4" t="inlineStr">
        <is>
          <t>5 Year</t>
        </is>
      </c>
      <c r="D48" s="4" t="inlineStr">
        <is>
          <t>15 Year</t>
        </is>
      </c>
      <c r="E48" s="4" t="inlineStr">
        <is>
          <t>27.5 Year</t>
        </is>
      </c>
    </row>
    <row r="49" ht="15" customHeight="1">
      <c r="A49" s="15" t="inlineStr">
        <is>
          <t>Asset # 8-Building - Kayla Court</t>
        </is>
      </c>
      <c r="B49" s="6" t="n">
        <v>33633.76</v>
      </c>
      <c r="C49" s="6" t="n">
        <v>6899.22</v>
      </c>
      <c r="D49" s="6" t="n">
        <v>2587.21</v>
      </c>
      <c r="E49" s="6" t="n">
        <v>24147.33</v>
      </c>
    </row>
    <row r="50" ht="15" customHeight="1">
      <c r="A50" s="15" t="inlineStr">
        <is>
          <t>Asset # 7-Land Improvements - Kayla Court</t>
        </is>
      </c>
      <c r="B50" s="6" t="n">
        <v>2587.21</v>
      </c>
      <c r="D50" s="6" t="n">
        <v>2587.21</v>
      </c>
    </row>
    <row r="51" ht="15" customHeight="1">
      <c r="A51" s="15" t="inlineStr">
        <is>
          <t>Asset # 9-Equipment - Kayla Court</t>
        </is>
      </c>
      <c r="B51" s="6" t="n">
        <v>6899.22</v>
      </c>
      <c r="C51" s="6" t="n">
        <v>6899.22</v>
      </c>
    </row>
    <row r="52" ht="15" customHeight="1">
      <c r="A52" s="7" t="inlineStr">
        <is>
          <t>Total Allocation:</t>
        </is>
      </c>
      <c r="B52" s="8">
        <f>SUM(B49,B50,B51)</f>
        <v/>
      </c>
      <c r="C52" s="8">
        <f>SUM(C49,C50,C51)</f>
        <v/>
      </c>
      <c r="D52" s="8">
        <f>SUM(D49,D50,D51)</f>
        <v/>
      </c>
      <c r="E52" s="8">
        <f>SUM(E49,E50,E51)</f>
        <v/>
      </c>
    </row>
    <row r="54" ht="15" customHeight="1">
      <c r="A54" s="12" t="inlineStr">
        <is>
          <t>2 Identical Units - Totals:</t>
        </is>
      </c>
    </row>
    <row r="55" ht="15" customHeight="1">
      <c r="A55" s="3" t="inlineStr">
        <is>
          <t>Asset</t>
        </is>
      </c>
      <c r="B55" s="4" t="inlineStr">
        <is>
          <t>Total</t>
        </is>
      </c>
      <c r="C55" s="4" t="inlineStr">
        <is>
          <t>5 Year</t>
        </is>
      </c>
      <c r="D55" s="4" t="inlineStr">
        <is>
          <t>15 Year</t>
        </is>
      </c>
      <c r="E55" s="4" t="inlineStr">
        <is>
          <t>27.5 Year</t>
        </is>
      </c>
    </row>
    <row r="56" ht="15" customHeight="1">
      <c r="A56" s="15" t="inlineStr">
        <is>
          <t>Asset # 7-Land Improvements - Kayla Court</t>
        </is>
      </c>
      <c r="B56" s="6" t="n">
        <v>18110</v>
      </c>
      <c r="C56" s="6" t="n">
        <v>2962</v>
      </c>
      <c r="D56" s="6" t="n">
        <v>336</v>
      </c>
      <c r="E56" s="6" t="n">
        <v>14813</v>
      </c>
    </row>
    <row r="57" ht="15" customHeight="1">
      <c r="A57" s="15" t="inlineStr">
        <is>
          <t>Asset # 8-Building - Kayla Court</t>
        </is>
      </c>
      <c r="B57" s="6" t="n">
        <v>235436</v>
      </c>
      <c r="C57" s="6" t="n">
        <v>38500</v>
      </c>
      <c r="D57" s="6" t="n">
        <v>4364</v>
      </c>
      <c r="E57" s="6" t="n">
        <v>192572</v>
      </c>
    </row>
    <row r="58" ht="15" customHeight="1">
      <c r="A58" s="15" t="inlineStr">
        <is>
          <t>Asset # 9-Equipment - Kayla Court</t>
        </is>
      </c>
      <c r="B58" s="6" t="n">
        <v>48295</v>
      </c>
      <c r="C58" s="6" t="n">
        <v>7898</v>
      </c>
      <c r="D58" s="6" t="n">
        <v>895</v>
      </c>
      <c r="E58" s="6" t="n">
        <v>39501</v>
      </c>
    </row>
    <row r="59" ht="15" customHeight="1">
      <c r="A59" s="7" t="inlineStr">
        <is>
          <t>Total Allocation:</t>
        </is>
      </c>
      <c r="B59" s="8">
        <f>SUM(B56,B57,B58)</f>
        <v/>
      </c>
      <c r="C59" s="8">
        <f>SUM(C56,C57,C58)</f>
        <v/>
      </c>
      <c r="D59" s="8">
        <f>SUM(D56,D57,D58)</f>
        <v/>
      </c>
      <c r="E59" s="8">
        <f>SUM(E56,E57,E58)</f>
        <v/>
      </c>
    </row>
    <row r="61" ht="15" customHeight="1">
      <c r="A61" s="12" t="inlineStr">
        <is>
          <t>AS PREVIOUSLY FILED — 481(a) Calculation (Regular Tax)</t>
        </is>
      </c>
    </row>
    <row r="62" ht="15" customHeight="1">
      <c r="A62" s="17" t="inlineStr">
        <is>
          <t>Asset Description</t>
        </is>
      </c>
      <c r="B62" s="18" t="inlineStr">
        <is>
          <t>Tax Cost</t>
        </is>
      </c>
      <c r="C62" s="18" t="inlineStr">
        <is>
          <t>Sec 179 Exp</t>
        </is>
      </c>
      <c r="D62" s="18" t="inlineStr">
        <is>
          <t>Bonus Amt</t>
        </is>
      </c>
      <c r="E62" s="18" t="inlineStr">
        <is>
          <t>Prior Depreciation</t>
        </is>
      </c>
      <c r="F62" s="18" t="inlineStr">
        <is>
          <t>Current Depreciation</t>
        </is>
      </c>
      <c r="G62" s="18" t="inlineStr">
        <is>
          <t>End Depreciation</t>
        </is>
      </c>
      <c r="H62" s="18" t="inlineStr">
        <is>
          <t>Net Book Value</t>
        </is>
      </c>
      <c r="I62" s="18" t="inlineStr">
        <is>
          <t>Method</t>
        </is>
      </c>
      <c r="J62" s="18" t="inlineStr">
        <is>
          <t>Period</t>
        </is>
      </c>
    </row>
    <row r="63" ht="15" customHeight="1">
      <c r="A63" s="19" t="inlineStr">
        <is>
          <t>7 - Land Improvements - Kayla</t>
        </is>
      </c>
      <c r="B63" s="6" t="n">
        <v>18110</v>
      </c>
      <c r="C63" s="6" t="n">
        <v>0</v>
      </c>
      <c r="D63" s="6" t="n">
        <v>0</v>
      </c>
      <c r="E63" s="6" t="n">
        <v>8574.6</v>
      </c>
      <c r="F63" s="6" t="n">
        <v>1069.43</v>
      </c>
      <c r="G63" s="6" t="n">
        <v>9644.030000000001</v>
      </c>
      <c r="H63" s="6" t="n">
        <v>8465.969999999999</v>
      </c>
      <c r="I63" s="20" t="inlineStr">
        <is>
          <t>150DB</t>
        </is>
      </c>
      <c r="J63" s="20" t="n">
        <v>15</v>
      </c>
    </row>
    <row r="64" ht="15" customHeight="1">
      <c r="A64" s="19" t="inlineStr">
        <is>
          <t>8 - Building - Kayla</t>
        </is>
      </c>
      <c r="B64" s="6" t="n">
        <v>235436</v>
      </c>
      <c r="C64" s="6" t="n">
        <v>0</v>
      </c>
      <c r="D64" s="6" t="n">
        <v>0</v>
      </c>
      <c r="E64" s="6" t="n">
        <v>51724.74</v>
      </c>
      <c r="F64" s="6" t="n">
        <v>8561.35</v>
      </c>
      <c r="G64" s="6" t="n">
        <v>60286.09</v>
      </c>
      <c r="H64" s="6" t="n">
        <v>175149.91</v>
      </c>
      <c r="I64" s="20" t="inlineStr">
        <is>
          <t>S/L</t>
        </is>
      </c>
      <c r="J64" s="20" t="n">
        <v>27.5</v>
      </c>
    </row>
    <row r="65" ht="15" customHeight="1">
      <c r="A65" s="19" t="inlineStr">
        <is>
          <t>9 - Equipment - Kayla</t>
        </is>
      </c>
      <c r="B65" s="6" t="n">
        <v>48295</v>
      </c>
      <c r="C65" s="6" t="n">
        <v>0</v>
      </c>
      <c r="D65" s="6" t="n">
        <v>0</v>
      </c>
      <c r="E65" s="6" t="n">
        <v>48295</v>
      </c>
      <c r="F65" s="6" t="n">
        <v>0</v>
      </c>
      <c r="G65" s="6" t="n">
        <v>48295</v>
      </c>
      <c r="H65" s="6" t="n">
        <v>0</v>
      </c>
      <c r="I65" s="20" t="inlineStr">
        <is>
          <t>200DB</t>
        </is>
      </c>
      <c r="J65" s="20" t="n">
        <v>5</v>
      </c>
    </row>
    <row r="66" ht="15" customHeight="1">
      <c r="A66" s="21" t="inlineStr">
        <is>
          <t>Grand Total</t>
        </is>
      </c>
      <c r="B66" s="8">
        <f>SUM(B63,B64,B65)</f>
        <v/>
      </c>
      <c r="C66" s="8">
        <f>SUM(C63,C64,C65)</f>
        <v/>
      </c>
      <c r="D66" s="8">
        <f>SUM(D63,D64,D65)</f>
        <v/>
      </c>
      <c r="E66" s="8">
        <f>SUM(E63,E64,E65)</f>
        <v/>
      </c>
      <c r="F66" s="8">
        <f>SUM(F63,F64,F65)</f>
        <v/>
      </c>
      <c r="G66" s="8">
        <f>SUM(G63,G64,G65)</f>
        <v/>
      </c>
      <c r="H66" s="8">
        <f>SUM(H63,H64,H65)</f>
        <v/>
      </c>
    </row>
    <row r="68" ht="15" customHeight="1">
      <c r="A68" s="12" t="inlineStr">
        <is>
          <t>AFTER COST SEGREGATION CORRECTION — 481(a) Calculation (Regular Tax)</t>
        </is>
      </c>
    </row>
    <row r="69" ht="15" customHeight="1">
      <c r="A69" s="17" t="inlineStr">
        <is>
          <t>Asset Description</t>
        </is>
      </c>
      <c r="B69" s="18" t="inlineStr">
        <is>
          <t>Tax Cost</t>
        </is>
      </c>
      <c r="C69" s="18" t="inlineStr">
        <is>
          <t>Sec 179 Exp</t>
        </is>
      </c>
      <c r="D69" s="18" t="inlineStr">
        <is>
          <t>Bonus Amt</t>
        </is>
      </c>
      <c r="E69" s="18" t="inlineStr">
        <is>
          <t>Prior Depreciation</t>
        </is>
      </c>
      <c r="F69" s="18" t="inlineStr">
        <is>
          <t>Current Depreciation</t>
        </is>
      </c>
      <c r="G69" s="18" t="inlineStr">
        <is>
          <t>End Depreciation</t>
        </is>
      </c>
      <c r="H69" s="18" t="inlineStr">
        <is>
          <t>Net Book Value</t>
        </is>
      </c>
      <c r="I69" s="18" t="inlineStr">
        <is>
          <t>Method</t>
        </is>
      </c>
      <c r="J69" s="18" t="inlineStr">
        <is>
          <t>Period</t>
        </is>
      </c>
    </row>
    <row r="70" ht="15" customHeight="1">
      <c r="A70" s="19" t="inlineStr">
        <is>
          <t>7 - Land Improvements - Kayla - 5yr</t>
        </is>
      </c>
      <c r="B70" s="6" t="n">
        <v>2962</v>
      </c>
      <c r="C70" s="6" t="n">
        <v>0</v>
      </c>
      <c r="D70" s="6" t="n">
        <v>0</v>
      </c>
      <c r="E70" s="6" t="n">
        <v>2962</v>
      </c>
      <c r="F70" s="6" t="n">
        <v>0</v>
      </c>
      <c r="G70" s="6" t="n">
        <v>2962</v>
      </c>
      <c r="H70" s="6" t="n">
        <v>0</v>
      </c>
      <c r="I70" s="20" t="inlineStr">
        <is>
          <t>200DB</t>
        </is>
      </c>
      <c r="J70" s="20" t="n">
        <v>5</v>
      </c>
    </row>
    <row r="71" ht="15" customHeight="1">
      <c r="A71" s="19" t="inlineStr">
        <is>
          <t>7 - Land Improvements - Kayla - 15yr</t>
        </is>
      </c>
      <c r="B71" s="6" t="n">
        <v>336</v>
      </c>
      <c r="C71" s="6" t="n">
        <v>0</v>
      </c>
      <c r="D71" s="6" t="n">
        <v>0</v>
      </c>
      <c r="E71" s="6" t="n">
        <v>336</v>
      </c>
      <c r="F71" s="6" t="n">
        <v>0</v>
      </c>
      <c r="G71" s="6" t="n">
        <v>336</v>
      </c>
      <c r="H71" s="6" t="n">
        <v>0</v>
      </c>
      <c r="I71" s="20" t="inlineStr">
        <is>
          <t>150DB</t>
        </is>
      </c>
      <c r="J71" s="20" t="n">
        <v>15</v>
      </c>
    </row>
    <row r="72" ht="15" customHeight="1">
      <c r="A72" s="19" t="inlineStr">
        <is>
          <t>7 - Land Improvements - Kayla - 27.5yr</t>
        </is>
      </c>
      <c r="B72" s="6" t="n">
        <v>14813</v>
      </c>
      <c r="C72" s="6" t="n">
        <v>0</v>
      </c>
      <c r="D72" s="6" t="n">
        <v>0</v>
      </c>
      <c r="E72" s="6" t="n">
        <v>0</v>
      </c>
      <c r="F72" s="6" t="n">
        <v>538.65</v>
      </c>
      <c r="G72" s="6" t="n">
        <v>3792.99</v>
      </c>
      <c r="H72" s="6" t="n">
        <v>11020.01</v>
      </c>
      <c r="I72" s="20" t="inlineStr">
        <is>
          <t>S/L</t>
        </is>
      </c>
      <c r="J72" s="20" t="n">
        <v>27.5</v>
      </c>
    </row>
    <row r="73" ht="15" customHeight="1">
      <c r="A73" s="19" t="inlineStr">
        <is>
          <t>8 - Building - Kayla - 5yr</t>
        </is>
      </c>
      <c r="B73" s="6" t="n">
        <v>38500</v>
      </c>
      <c r="C73" s="6" t="n">
        <v>0</v>
      </c>
      <c r="D73" s="6" t="n">
        <v>0</v>
      </c>
      <c r="E73" s="6" t="n">
        <v>38500</v>
      </c>
      <c r="F73" s="6" t="n">
        <v>0</v>
      </c>
      <c r="G73" s="6" t="n">
        <v>38500</v>
      </c>
      <c r="H73" s="6" t="n">
        <v>0</v>
      </c>
      <c r="I73" s="20" t="inlineStr">
        <is>
          <t>200DB</t>
        </is>
      </c>
      <c r="J73" s="20" t="n">
        <v>5</v>
      </c>
    </row>
    <row r="74" ht="15" customHeight="1">
      <c r="A74" s="19" t="inlineStr">
        <is>
          <t>8 - Building - Kayla - 15yr</t>
        </is>
      </c>
      <c r="B74" s="6" t="n">
        <v>4364</v>
      </c>
      <c r="C74" s="6" t="n">
        <v>0</v>
      </c>
      <c r="D74" s="6" t="n">
        <v>0</v>
      </c>
      <c r="E74" s="6" t="n">
        <v>4364</v>
      </c>
      <c r="F74" s="6" t="n">
        <v>0</v>
      </c>
      <c r="G74" s="6" t="n">
        <v>4364</v>
      </c>
      <c r="H74" s="6" t="n">
        <v>0</v>
      </c>
      <c r="I74" s="20" t="inlineStr">
        <is>
          <t>150DB</t>
        </is>
      </c>
      <c r="J74" s="20" t="n">
        <v>15</v>
      </c>
    </row>
    <row r="75" ht="15" customHeight="1">
      <c r="A75" s="19" t="inlineStr">
        <is>
          <t>8 - Building - Kayla - 27.5yr</t>
        </is>
      </c>
      <c r="B75" s="6" t="n">
        <v>192572</v>
      </c>
      <c r="C75" s="6" t="n">
        <v>0</v>
      </c>
      <c r="D75" s="6" t="n">
        <v>0</v>
      </c>
      <c r="E75" s="6" t="n">
        <v>0</v>
      </c>
      <c r="F75" s="6" t="n">
        <v>7002.62</v>
      </c>
      <c r="G75" s="6" t="n">
        <v>49310.12</v>
      </c>
      <c r="H75" s="6" t="n">
        <v>143261.88</v>
      </c>
      <c r="I75" s="20" t="inlineStr">
        <is>
          <t>S/L</t>
        </is>
      </c>
      <c r="J75" s="20" t="n">
        <v>27.5</v>
      </c>
    </row>
    <row r="76" ht="15" customHeight="1">
      <c r="A76" s="19" t="inlineStr">
        <is>
          <t>9 - Equipment - Kayla - 5yr</t>
        </is>
      </c>
      <c r="B76" s="6" t="n">
        <v>7898</v>
      </c>
      <c r="C76" s="6" t="n">
        <v>0</v>
      </c>
      <c r="D76" s="6" t="n">
        <v>0</v>
      </c>
      <c r="E76" s="6" t="n">
        <v>7898</v>
      </c>
      <c r="F76" s="6" t="n">
        <v>0</v>
      </c>
      <c r="G76" s="6" t="n">
        <v>7898</v>
      </c>
      <c r="H76" s="6" t="n">
        <v>0</v>
      </c>
      <c r="I76" s="20" t="inlineStr">
        <is>
          <t>200DB</t>
        </is>
      </c>
      <c r="J76" s="20" t="n">
        <v>5</v>
      </c>
    </row>
    <row r="77" ht="15" customHeight="1">
      <c r="A77" s="19" t="inlineStr">
        <is>
          <t>9 - Equipment - Kayla - 15yr</t>
        </is>
      </c>
      <c r="B77" s="6" t="n">
        <v>895</v>
      </c>
      <c r="C77" s="6" t="n">
        <v>0</v>
      </c>
      <c r="D77" s="6" t="n">
        <v>0</v>
      </c>
      <c r="E77" s="6" t="n">
        <v>895</v>
      </c>
      <c r="F77" s="6" t="n">
        <v>0</v>
      </c>
      <c r="G77" s="6" t="n">
        <v>895</v>
      </c>
      <c r="H77" s="6" t="n">
        <v>0</v>
      </c>
      <c r="I77" s="20" t="inlineStr">
        <is>
          <t>150DB</t>
        </is>
      </c>
      <c r="J77" s="20" t="n">
        <v>15</v>
      </c>
    </row>
    <row r="78" ht="15" customHeight="1">
      <c r="A78" s="19" t="inlineStr">
        <is>
          <t>9 - Equipment - Kayla - 27.5yr</t>
        </is>
      </c>
      <c r="B78" s="6" t="n">
        <v>39501</v>
      </c>
      <c r="C78" s="6" t="n">
        <v>0</v>
      </c>
      <c r="D78" s="6" t="n">
        <v>0</v>
      </c>
      <c r="E78" s="6" t="n">
        <v>0</v>
      </c>
      <c r="F78" s="6" t="n">
        <v>1436.4</v>
      </c>
      <c r="G78" s="6" t="n">
        <v>10114.89</v>
      </c>
      <c r="H78" s="6" t="n">
        <v>29386.11</v>
      </c>
      <c r="I78" s="20" t="inlineStr">
        <is>
          <t>S/L</t>
        </is>
      </c>
      <c r="J78" s="20" t="n">
        <v>27.5</v>
      </c>
    </row>
    <row r="79" ht="15" customHeight="1">
      <c r="A79" s="21" t="inlineStr">
        <is>
          <t>Grand Total</t>
        </is>
      </c>
      <c r="B79" s="8">
        <f>SUM(B70,B71,B72,B73,B74,B75,B76,B77,B78)</f>
        <v/>
      </c>
      <c r="C79" s="8">
        <f>SUM(C70,C71,C72,C73,C74,C75,C76,C77,C78)</f>
        <v/>
      </c>
      <c r="D79" s="8">
        <f>SUM(D70,D71,D72,D73,D74,D75,D76,D77,D78)</f>
        <v/>
      </c>
      <c r="E79" s="8">
        <f>SUM(E70,E71,E72,E73,E74,E75,E76,E77,E78)</f>
        <v/>
      </c>
      <c r="F79" s="8">
        <f>SUM(F70,F71,F72,F73,F74,F75,F76,F77,F78)</f>
        <v/>
      </c>
      <c r="G79" s="8">
        <f>SUM(G70,G71,G72,G73,G74,G75,G76,G77,G78)</f>
        <v/>
      </c>
      <c r="H79" s="8">
        <f>SUM(H70,H71,H72,H73,H74,H75,H76,H77,H78)</f>
        <v/>
      </c>
    </row>
    <row r="81" ht="15" customHeight="1">
      <c r="A81" s="22" t="inlineStr">
        <is>
          <t>SECTION 481(a) ADJUSTMENT</t>
        </is>
      </c>
    </row>
    <row r="82" ht="15" customHeight="1">
      <c r="A82" s="23" t="inlineStr">
        <is>
          <t>Depreciation reported previously</t>
        </is>
      </c>
      <c r="B82" s="24" t="n">
        <v>118225.12</v>
      </c>
    </row>
    <row r="83" ht="15" customHeight="1">
      <c r="A83" s="23" t="inlineStr">
        <is>
          <t>Cost Segregation Corrected Depreciation</t>
        </is>
      </c>
      <c r="B83" s="24" t="n">
        <v>118173</v>
      </c>
    </row>
    <row r="84" ht="15" customHeight="1">
      <c r="A84" s="22" t="inlineStr">
        <is>
          <t>Section 481(a) Adjustment</t>
        </is>
      </c>
      <c r="B84" s="25" t="n">
        <v>52.11999999999534</v>
      </c>
    </row>
  </sheetData>
  <mergeCells count="12">
    <mergeCell ref="A20:E20"/>
    <mergeCell ref="A61:J61"/>
    <mergeCell ref="A2:E2"/>
    <mergeCell ref="A54:E54"/>
    <mergeCell ref="A81:E81"/>
    <mergeCell ref="A7:E7"/>
    <mergeCell ref="A25:E25"/>
    <mergeCell ref="A47:E47"/>
    <mergeCell ref="A1:E1"/>
    <mergeCell ref="A5:E5"/>
    <mergeCell ref="A68:J6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2026-07-08T17:33:01Z</dcterms:created>
  <dcterms:modified xmlns:dcterms="http://purl.org/dc/terms/" xmlns:xsi="http://www.w3.org/2001/XMLSchema-instance" xsi:type="dcterms:W3CDTF">2026-07-08T17:33:01Z</dcterms:modified>
</cp:coreProperties>
</file>