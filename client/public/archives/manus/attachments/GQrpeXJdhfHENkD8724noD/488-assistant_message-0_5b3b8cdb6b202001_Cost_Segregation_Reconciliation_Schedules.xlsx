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Grace Townhomes" sheetId="1" state="visible" r:id="rId1"/>
    <sheet xmlns:r="http://schemas.openxmlformats.org/officeDocument/2006/relationships" name="Grove Park" sheetId="2" state="visible" r:id="rId2"/>
    <sheet xmlns:r="http://schemas.openxmlformats.org/officeDocument/2006/relationships" name="Coral Village" sheetId="3" state="visible" r:id="rId3"/>
    <sheet xmlns:r="http://schemas.openxmlformats.org/officeDocument/2006/relationships" name="Marrero 3" sheetId="4" state="visible" r:id="rId4"/>
    <sheet xmlns:r="http://schemas.openxmlformats.org/officeDocument/2006/relationships" name="St. Charles Housing, LP" sheetId="5" state="visible" r:id="rId5"/>
    <sheet xmlns:r="http://schemas.openxmlformats.org/officeDocument/2006/relationships" name="Granite Ridge" sheetId="6" state="visible" r:id="rId6"/>
    <sheet xmlns:r="http://schemas.openxmlformats.org/officeDocument/2006/relationships" name="Fairfax Senior Apartments" sheetId="7" state="visible" r:id="rId7"/>
    <sheet xmlns:r="http://schemas.openxmlformats.org/officeDocument/2006/relationships" name="Silver Spring Terrace Apartment" sheetId="8" state="visible" r:id="rId8"/>
    <sheet xmlns:r="http://schemas.openxmlformats.org/officeDocument/2006/relationships" name="River Garden Estates" sheetId="9" state="visible" r:id="rId9"/>
    <sheet xmlns:r="http://schemas.openxmlformats.org/officeDocument/2006/relationships" name="INDEX" sheetId="10" state="visible" r:id="rId10"/>
    <sheet xmlns:r="http://schemas.openxmlformats.org/officeDocument/2006/relationships" name="Macedonia Apartments, LLC" sheetId="11" state="visible" r:id="rId11"/>
  </sheets>
  <definedNames/>
  <calcPr calcId="0" fullCalcOnLoad="1" iterateCount="100" iterateDelta="0.001"/>
</workbook>
</file>

<file path=xl/styles.xml><?xml version="1.0" encoding="utf-8"?>
<styleSheet xmlns="http://schemas.openxmlformats.org/spreadsheetml/2006/main">
  <numFmts count="3">
    <numFmt numFmtId="164" formatCode="_($* #,##0.00_);_($* (#,##0.00);_($* &quot;-&quot;??_);_(@_)"/>
    <numFmt numFmtId="165" formatCode="0.0%"/>
    <numFmt numFmtId="166" formatCode="#,##0.00;(#,##0.00)"/>
  </numFmts>
  <fonts count="41">
    <font>
      <name val="Calibri"/>
      <color theme="1"/>
      <sz val="11"/>
      <scheme val="minor"/>
    </font>
    <font>
      <name val="Calibri"/>
      <b val="1"/>
      <color rgb="FFFFFFFF"/>
      <sz val="16"/>
    </font>
    <font>
      <name val="Calibri"/>
      <color rgb="FFFFFFFF"/>
      <sz val="10"/>
    </font>
    <font>
      <name val="Calibri"/>
      <color rgb="FFFFFFFF"/>
      <sz val="9"/>
    </font>
    <font>
      <name val="Calibri"/>
      <b val="1"/>
      <color rgb="FFFFFFFF"/>
      <sz val="11"/>
    </font>
    <font>
      <name val="Calibri"/>
      <color auto="1"/>
      <sz val="9"/>
    </font>
    <font>
      <name val="Calibri"/>
      <b val="1"/>
      <color rgb="FFFFFFFF"/>
      <sz val="10"/>
    </font>
    <font>
      <name val="Calibri"/>
      <b val="1"/>
      <color rgb="FF000000"/>
      <sz val="9"/>
    </font>
    <font>
      <name val="Calibri"/>
      <color rgb="FF000000"/>
      <sz val="8"/>
    </font>
    <font>
      <name val="Calibri"/>
      <color rgb="FF000000"/>
      <sz val="9"/>
    </font>
    <font>
      <name val="Calibri"/>
      <b val="1"/>
      <color rgb="FFC0392B"/>
      <sz val="9"/>
    </font>
    <font>
      <name val="Calibri"/>
      <b val="1"/>
      <color auto="1"/>
      <sz val="11"/>
    </font>
    <font>
      <name val="Calibri"/>
      <b val="1"/>
      <color auto="1"/>
      <sz val="10"/>
    </font>
    <font>
      <name val="Calibri"/>
      <b val="1"/>
      <color rgb="FFC0392B"/>
      <sz val="10"/>
    </font>
    <font>
      <name val="Calibri"/>
      <color auto="1"/>
      <sz val="8"/>
    </font>
    <font>
      <name val="Calibri"/>
      <b val="1"/>
      <color rgb="FFFFFFFF"/>
      <sz val="13"/>
    </font>
    <font>
      <name val="Calibri"/>
      <b val="1"/>
      <color rgb="FFFFFFFF"/>
      <sz val="9"/>
    </font>
    <font>
      <name val="Calibri"/>
      <i val="1"/>
      <color rgb="FF555555"/>
      <sz val="8"/>
    </font>
    <font>
      <name val="Calibri"/>
      <b val="1"/>
      <color auto="1"/>
      <sz val="9"/>
    </font>
    <font>
      <name val="Calibri"/>
      <b val="1"/>
      <color rgb="FFC0392B"/>
      <sz val="14"/>
    </font>
    <font>
      <name val="Calibri"/>
      <b val="1"/>
      <color rgb="FFFFFFFF"/>
      <sz val="8"/>
    </font>
    <font>
      <name val="Calibri"/>
      <b val="1"/>
      <color auto="1"/>
      <sz val="8"/>
    </font>
    <font>
      <name val="Calibri"/>
      <i val="1"/>
      <color rgb="FF555555"/>
      <sz val="7"/>
    </font>
    <font>
      <name val="Calibri"/>
      <i val="1"/>
      <color rgb="FF8B0000"/>
      <sz val="7"/>
    </font>
    <font>
      <name val="Calibri"/>
      <i val="1"/>
      <color rgb="FF555555"/>
      <sz val="9"/>
    </font>
    <font>
      <name val="Calibri"/>
      <b val="1"/>
      <color rgb="FF1F4E79"/>
      <sz val="12"/>
    </font>
    <font>
      <name val="Calibri"/>
      <b val="1"/>
      <color rgb="FF1F4E79"/>
      <sz val="10"/>
    </font>
    <font>
      <name val="Calibri"/>
      <color auto="1"/>
      <sz val="10"/>
    </font>
    <font>
      <b val="1"/>
      <sz val="12"/>
    </font>
    <font>
      <b val="1"/>
    </font>
    <font>
      <b val="1"/>
      <sz val="9"/>
    </font>
    <font>
      <sz val="9"/>
    </font>
    <font>
      <b val="1"/>
      <i val="1"/>
      <sz val="9"/>
    </font>
    <font>
      <i val="1"/>
      <color rgb="00808080"/>
      <sz val="8"/>
    </font>
    <font>
      <i val="1"/>
      <sz val="8"/>
    </font>
    <font>
      <name val="Calibri"/>
      <b val="1"/>
      <color rgb="00FFFFFF"/>
      <sz val="13"/>
    </font>
    <font>
      <name val="Calibri"/>
      <color rgb="00FFFFFF"/>
      <sz val="10"/>
    </font>
    <font>
      <name val="Calibri"/>
      <b val="1"/>
      <color rgb="00FFFFFF"/>
      <sz val="10"/>
    </font>
    <font>
      <name val="Calibri"/>
      <color rgb="00000000"/>
      <sz val="10"/>
    </font>
    <font>
      <name val="Calibri"/>
      <b val="1"/>
      <color rgb="001F3864"/>
      <sz val="10"/>
    </font>
    <font>
      <name val="Calibri"/>
      <i val="1"/>
      <color rgb="007F0000"/>
      <sz val="9"/>
    </font>
  </fonts>
  <fills count="29">
    <fill>
      <patternFill/>
    </fill>
    <fill>
      <patternFill patternType="gray125"/>
    </fill>
    <fill>
      <patternFill patternType="solid">
        <fgColor rgb="FF1B2A4A"/>
      </patternFill>
    </fill>
    <fill>
      <patternFill patternType="solid">
        <fgColor rgb="FF2C3E6B"/>
      </patternFill>
    </fill>
    <fill>
      <patternFill patternType="solid">
        <fgColor rgb="FFFFFFFF"/>
      </patternFill>
    </fill>
    <fill>
      <patternFill patternType="solid">
        <fgColor rgb="FFF2F2F2"/>
      </patternFill>
    </fill>
    <fill>
      <patternFill patternType="solid">
        <fgColor rgb="FFF5EDD0"/>
      </patternFill>
    </fill>
    <fill>
      <patternFill patternType="solid">
        <fgColor rgb="FF8B0000"/>
      </patternFill>
    </fill>
    <fill>
      <patternFill patternType="solid">
        <fgColor rgb="FFC9A84C"/>
      </patternFill>
    </fill>
    <fill>
      <patternFill patternType="solid">
        <fgColor rgb="FF4A6FA5"/>
      </patternFill>
    </fill>
    <fill>
      <patternFill patternType="solid">
        <fgColor rgb="FFD6E4F0"/>
      </patternFill>
    </fill>
    <fill>
      <patternFill patternType="solid">
        <fgColor rgb="FF1A7A4A"/>
      </patternFill>
    </fill>
    <fill>
      <patternFill patternType="solid">
        <fgColor rgb="FFC8E6C9"/>
      </patternFill>
    </fill>
    <fill>
      <patternFill patternType="solid">
        <fgColor rgb="FF2E7D32"/>
      </patternFill>
    </fill>
    <fill>
      <patternFill patternType="solid">
        <fgColor rgb="FF1F4E79"/>
      </patternFill>
    </fill>
    <fill>
      <patternFill patternType="solid">
        <fgColor rgb="FF2E75B6"/>
      </patternFill>
    </fill>
    <fill>
      <patternFill patternType="solid">
        <fgColor rgb="FFEBF3FB"/>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1F3864"/>
      </patternFill>
    </fill>
    <fill>
      <patternFill patternType="solid">
        <fgColor rgb="002F5496"/>
      </patternFill>
    </fill>
    <fill>
      <patternFill patternType="solid">
        <fgColor rgb="00F2F2F2"/>
      </patternFill>
    </fill>
    <fill>
      <patternFill patternType="solid">
        <fgColor rgb="00BDD7EE"/>
      </patternFill>
    </fill>
    <fill>
      <patternFill patternType="solid">
        <fgColor rgb="00FFFFFF"/>
      </patternFill>
    </fill>
    <fill>
      <patternFill patternType="solid">
        <fgColor rgb="00D9E1F2"/>
        <bgColor rgb="00D9E1F2"/>
      </patternFill>
    </fill>
    <fill>
      <patternFill patternType="solid">
        <fgColor rgb="00BDD7EE"/>
        <bgColor rgb="00BDD7EE"/>
      </patternFill>
    </fill>
    <fill>
      <patternFill patternType="solid">
        <fgColor rgb="00FFF2CC"/>
        <bgColor rgb="00FFF2CC"/>
      </patternFill>
    </fill>
  </fills>
  <borders count="26">
    <border>
      <left/>
      <right/>
      <top/>
      <bottom/>
    </border>
    <border>
      <left/>
      <right/>
      <top/>
      <bottom/>
      <diagonal/>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medium">
        <color rgb="FF000000"/>
      </left>
      <right style="medium">
        <color rgb="FF000000"/>
      </right>
      <top style="medium">
        <color rgb="FF000000"/>
      </top>
      <bottom style="medium">
        <color rgb="FF000000"/>
      </bottom>
    </border>
    <border>
      <left/>
      <right/>
      <top style="medium">
        <color rgb="FF2E75B6"/>
      </top>
      <bottom style="medium">
        <color rgb="FF2E75B6"/>
      </bottom>
    </border>
    <border>
      <left/>
      <right/>
      <top/>
      <bottom style="thin">
        <color rgb="FFB8CCE4"/>
      </bottom>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style="medium">
        <color rgb="FF2E75B6"/>
      </top>
      <bottom style="medium">
        <color rgb="FF2E75B6"/>
      </bottom>
      <diagonal/>
    </border>
    <border>
      <left/>
      <right/>
      <top/>
      <bottom style="thin">
        <color rgb="FFB8CCE4"/>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border>
    <border>
      <left/>
      <right style="medium">
        <color rgb="FF000000"/>
      </right>
      <top style="medium">
        <color rgb="FF000000"/>
      </top>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style="hair">
        <color rgb="FF000000"/>
      </top>
      <bottom/>
    </border>
    <border>
      <left/>
      <right style="hair">
        <color rgb="FF000000"/>
      </right>
      <top style="hair">
        <color rgb="FF000000"/>
      </top>
      <bottom/>
    </border>
    <border>
      <left/>
      <right/>
      <top style="hair">
        <color rgb="FF000000"/>
      </top>
      <bottom style="hair">
        <color rgb="FF000000"/>
      </bottom>
    </border>
    <border>
      <left/>
      <right style="hair">
        <color rgb="FF000000"/>
      </right>
      <top style="hair">
        <color rgb="FF000000"/>
      </top>
      <bottom style="hair">
        <color rgb="FF000000"/>
      </bottom>
    </border>
    <border>
      <top style="thin"/>
      <bottom style="double"/>
    </border>
    <border>
      <left style="thin">
        <color rgb="00000000"/>
      </left>
      <right style="thin">
        <color rgb="00000000"/>
      </right>
      <top style="thin">
        <color rgb="00000000"/>
      </top>
      <bottom style="thin">
        <color rgb="00000000"/>
      </bottom>
    </border>
  </borders>
  <cellStyleXfs count="1">
    <xf numFmtId="0" fontId="0" fillId="0" borderId="1"/>
  </cellStyleXfs>
  <cellXfs count="148">
    <xf numFmtId="0" fontId="0" fillId="0" borderId="1" pivotButton="0" quotePrefix="0" xfId="0"/>
    <xf numFmtId="0" fontId="0" fillId="0" borderId="1" applyAlignment="1" pivotButton="0" quotePrefix="0" xfId="0">
      <alignment horizontal="center" vertical="center"/>
    </xf>
    <xf numFmtId="0" fontId="25" fillId="14" borderId="1" applyAlignment="1" pivotButton="0" quotePrefix="0" xfId="0">
      <alignment horizontal="center" vertical="center"/>
    </xf>
    <xf numFmtId="0" fontId="26" fillId="5" borderId="1" applyAlignment="1" pivotButton="0" quotePrefix="0" xfId="0">
      <alignment horizontal="left" vertical="center"/>
    </xf>
    <xf numFmtId="0" fontId="27" fillId="5" borderId="1" applyAlignment="1" pivotButton="0" quotePrefix="0" xfId="0">
      <alignment horizontal="left" vertical="center"/>
    </xf>
    <xf numFmtId="0" fontId="6" fillId="14" borderId="1" applyAlignment="1" pivotButton="0" quotePrefix="0" xfId="0">
      <alignment horizontal="center" vertical="center"/>
    </xf>
    <xf numFmtId="0" fontId="6" fillId="15" borderId="11" applyAlignment="1" pivotButton="0" quotePrefix="0" xfId="0">
      <alignment horizontal="center" vertical="center"/>
    </xf>
    <xf numFmtId="0" fontId="27" fillId="16" borderId="12" applyAlignment="1" pivotButton="0" quotePrefix="0" xfId="0">
      <alignment horizontal="center" vertical="center"/>
    </xf>
    <xf numFmtId="0" fontId="27" fillId="16" borderId="12" applyAlignment="1" pivotButton="0" quotePrefix="0" xfId="0">
      <alignment horizontal="left" vertical="center"/>
    </xf>
    <xf numFmtId="4" fontId="27" fillId="16" borderId="12" applyAlignment="1" pivotButton="0" quotePrefix="0" xfId="0">
      <alignment horizontal="right" vertical="center"/>
    </xf>
    <xf numFmtId="0" fontId="27" fillId="4" borderId="12" applyAlignment="1" pivotButton="0" quotePrefix="0" xfId="0">
      <alignment horizontal="center" vertical="center"/>
    </xf>
    <xf numFmtId="0" fontId="27" fillId="4" borderId="12" applyAlignment="1" pivotButton="0" quotePrefix="0" xfId="0">
      <alignment horizontal="left" vertical="center"/>
    </xf>
    <xf numFmtId="4" fontId="27" fillId="4" borderId="12" applyAlignment="1" pivotButton="0" quotePrefix="0" xfId="0">
      <alignment horizontal="right" vertical="center"/>
    </xf>
    <xf numFmtId="0" fontId="26" fillId="10" borderId="11" pivotButton="0" quotePrefix="0" xfId="0"/>
    <xf numFmtId="0" fontId="26" fillId="10" borderId="11" applyAlignment="1" pivotButton="0" quotePrefix="0" xfId="0">
      <alignment horizontal="left" vertical="center"/>
    </xf>
    <xf numFmtId="4" fontId="26" fillId="10" borderId="11" applyAlignment="1" pivotButton="0" quotePrefix="0" xfId="0">
      <alignment horizontal="right" vertical="center"/>
    </xf>
    <xf numFmtId="0" fontId="0" fillId="4" borderId="1" pivotButton="0" quotePrefix="0" xfId="0"/>
    <xf numFmtId="0" fontId="27" fillId="16" borderId="12" pivotButton="0" quotePrefix="0" xfId="0"/>
    <xf numFmtId="0" fontId="27" fillId="4" borderId="12"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left" vertical="center" wrapText="1"/>
    </xf>
    <xf numFmtId="0" fontId="6" fillId="2" borderId="13" applyAlignment="1" pivotButton="0" quotePrefix="0" xfId="0">
      <alignment horizontal="center" vertical="center"/>
    </xf>
    <xf numFmtId="0" fontId="7" fillId="4" borderId="14" applyAlignment="1" pivotButton="0" quotePrefix="0" xfId="0">
      <alignment horizontal="center" vertical="center"/>
    </xf>
    <xf numFmtId="0" fontId="7" fillId="4" borderId="14" pivotButton="0" quotePrefix="0" xfId="0"/>
    <xf numFmtId="0" fontId="8" fillId="4" borderId="14"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0" fontId="7" fillId="5" borderId="14" applyAlignment="1" pivotButton="0" quotePrefix="0" xfId="0">
      <alignment horizontal="center" vertical="center"/>
    </xf>
    <xf numFmtId="0" fontId="7" fillId="5" borderId="14" pivotButton="0" quotePrefix="0" xfId="0"/>
    <xf numFmtId="0" fontId="8" fillId="5" borderId="14" pivotButton="0" quotePrefix="0" xfId="0"/>
    <xf numFmtId="164" fontId="9" fillId="5" borderId="14" applyAlignment="1" pivotButton="0" quotePrefix="0" xfId="0">
      <alignment horizontal="right" vertical="center"/>
    </xf>
    <xf numFmtId="0" fontId="11" fillId="6" borderId="15" applyAlignment="1" pivotButton="0" quotePrefix="0" xfId="0">
      <alignment horizontal="center" vertical="center"/>
    </xf>
    <xf numFmtId="0" fontId="0" fillId="0" borderId="7" pivotButton="0" quotePrefix="0" xfId="0"/>
    <xf numFmtId="0" fontId="0" fillId="0" borderId="8"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0" fontId="6" fillId="7" borderId="1" applyAlignment="1" pivotButton="0" quotePrefix="0" xfId="0">
      <alignment horizontal="center" vertical="center"/>
    </xf>
    <xf numFmtId="0" fontId="14" fillId="0" borderId="1" applyAlignment="1" pivotButton="0" quotePrefix="0" xfId="0">
      <alignment horizontal="left" vertical="center" wrapText="1"/>
    </xf>
    <xf numFmtId="0" fontId="15" fillId="2" borderId="1" applyAlignment="1" pivotButton="0" quotePrefix="0" xfId="0">
      <alignment horizontal="center" vertical="center"/>
    </xf>
    <xf numFmtId="0" fontId="4" fillId="2" borderId="1" applyAlignment="1" pivotButton="0" quotePrefix="0" xfId="0">
      <alignment horizontal="center" vertical="center"/>
    </xf>
    <xf numFmtId="0" fontId="16" fillId="8" borderId="1" applyAlignment="1" pivotButton="0" quotePrefix="0" xfId="0">
      <alignment horizontal="center" vertical="center"/>
    </xf>
    <xf numFmtId="0" fontId="6" fillId="3" borderId="1" applyAlignment="1" pivotButton="0" quotePrefix="0" xfId="0">
      <alignment horizontal="center" vertical="center"/>
    </xf>
    <xf numFmtId="0" fontId="17" fillId="0" borderId="1" applyAlignment="1" pivotButton="0" quotePrefix="0" xfId="0">
      <alignment horizontal="left" vertical="center" wrapText="1"/>
    </xf>
    <xf numFmtId="0" fontId="16" fillId="2" borderId="13" applyAlignment="1" pivotButton="0" quotePrefix="0" xfId="0">
      <alignment horizontal="center" vertical="center"/>
    </xf>
    <xf numFmtId="0" fontId="7" fillId="0" borderId="14" applyAlignment="1" pivotButton="0" quotePrefix="0" xfId="0">
      <alignment horizontal="center" vertical="center"/>
    </xf>
    <xf numFmtId="0" fontId="9" fillId="0" borderId="14" pivotButton="0" quotePrefix="0" xfId="0"/>
    <xf numFmtId="0" fontId="9" fillId="0" borderId="14" applyAlignment="1" pivotButton="0" quotePrefix="0" xfId="0">
      <alignment horizontal="center" vertical="center"/>
    </xf>
    <xf numFmtId="164" fontId="9" fillId="0" borderId="14" applyAlignment="1" pivotButton="0" quotePrefix="0" xfId="0">
      <alignment horizontal="right" vertical="center"/>
    </xf>
    <xf numFmtId="0" fontId="0" fillId="6" borderId="15" pivotButton="0" quotePrefix="0" xfId="0"/>
    <xf numFmtId="0" fontId="12" fillId="6" borderId="15" applyAlignment="1" pivotButton="0" quotePrefix="0" xfId="0">
      <alignment horizontal="left" vertical="center"/>
    </xf>
    <xf numFmtId="0" fontId="0" fillId="5" borderId="1" pivotButton="0" quotePrefix="0" xfId="0"/>
    <xf numFmtId="0" fontId="17" fillId="5" borderId="1" applyAlignment="1" pivotButton="0" quotePrefix="0" xfId="0">
      <alignment horizontal="left" vertical="center"/>
    </xf>
    <xf numFmtId="165" fontId="17" fillId="5" borderId="1" applyAlignment="1" pivotButton="0" quotePrefix="0" xfId="0">
      <alignment horizontal="right" vertical="center"/>
    </xf>
    <xf numFmtId="0" fontId="16" fillId="9" borderId="1" applyAlignment="1" pivotButton="0" quotePrefix="0" xfId="0">
      <alignment horizontal="left" vertical="center"/>
    </xf>
    <xf numFmtId="0" fontId="10" fillId="0" borderId="14" applyAlignment="1" pivotButton="0" quotePrefix="0" xfId="0">
      <alignment horizontal="center" vertical="center"/>
    </xf>
    <xf numFmtId="164" fontId="18" fillId="0" borderId="14" applyAlignment="1" pivotButton="0" quotePrefix="0" xfId="0">
      <alignment horizontal="right" vertical="center"/>
    </xf>
    <xf numFmtId="0" fontId="18" fillId="10" borderId="15" applyAlignment="1" pivotButton="0" quotePrefix="0" xfId="0">
      <alignment horizontal="left" vertical="center"/>
    </xf>
    <xf numFmtId="164" fontId="12" fillId="10" borderId="15" applyAlignment="1" pivotButton="0" quotePrefix="0" xfId="0">
      <alignment horizontal="right" vertical="center"/>
    </xf>
    <xf numFmtId="0" fontId="16" fillId="11" borderId="1" applyAlignment="1" pivotButton="0" quotePrefix="0" xfId="0">
      <alignment horizontal="left" vertical="center"/>
    </xf>
    <xf numFmtId="0" fontId="18" fillId="12" borderId="15" applyAlignment="1" pivotButton="0" quotePrefix="0" xfId="0">
      <alignment horizontal="left" vertical="center"/>
    </xf>
    <xf numFmtId="164" fontId="12" fillId="12" borderId="15" applyAlignment="1" pivotButton="0" quotePrefix="0" xfId="0">
      <alignment horizontal="right" vertical="center"/>
    </xf>
    <xf numFmtId="0" fontId="11" fillId="6" borderId="15" applyAlignment="1" pivotButton="0" quotePrefix="0" xfId="0">
      <alignment horizontal="right" vertical="center"/>
    </xf>
    <xf numFmtId="164" fontId="19" fillId="6" borderId="15" applyAlignment="1" pivotButton="0" quotePrefix="0" xfId="0">
      <alignment horizontal="center" vertical="center"/>
    </xf>
    <xf numFmtId="0" fontId="20" fillId="2" borderId="13" applyAlignment="1" pivotButton="0" quotePrefix="0" xfId="0">
      <alignment horizontal="center" vertical="center"/>
    </xf>
    <xf numFmtId="0" fontId="20" fillId="8" borderId="13" applyAlignment="1" pivotButton="0" quotePrefix="0" xfId="0">
      <alignment horizontal="center" vertical="center"/>
    </xf>
    <xf numFmtId="0" fontId="8" fillId="0" borderId="14" pivotButton="0" quotePrefix="0" xfId="0"/>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0" fontId="18" fillId="6" borderId="15" applyAlignment="1" pivotButton="0" quotePrefix="0" xfId="0">
      <alignment horizontal="center" vertical="center"/>
    </xf>
    <xf numFmtId="164" fontId="18" fillId="6" borderId="15" applyAlignment="1" pivotButton="0" quotePrefix="0" xfId="0">
      <alignment horizontal="right" vertical="center"/>
    </xf>
    <xf numFmtId="0" fontId="22" fillId="0" borderId="1" applyAlignment="1" pivotButton="0" quotePrefix="0" xfId="0">
      <alignment horizontal="center" vertical="center"/>
    </xf>
    <xf numFmtId="0" fontId="23" fillId="0" borderId="1" applyAlignment="1" pivotButton="0" quotePrefix="0" xfId="0">
      <alignment horizontal="left" vertical="center" wrapText="1"/>
    </xf>
    <xf numFmtId="0" fontId="16" fillId="13" borderId="1" applyAlignment="1" pivotButton="0" quotePrefix="0" xfId="0">
      <alignment horizontal="center" vertical="center"/>
    </xf>
    <xf numFmtId="0" fontId="24" fillId="0" borderId="14" applyAlignment="1" pivotButton="0" quotePrefix="0" xfId="0">
      <alignment horizontal="center" vertical="center"/>
    </xf>
    <xf numFmtId="0" fontId="24" fillId="0" borderId="14" pivotButton="0" quotePrefix="0" xfId="0"/>
    <xf numFmtId="0" fontId="0" fillId="0" borderId="9" pivotButton="0" quotePrefix="0" xfId="0"/>
    <xf numFmtId="0" fontId="0" fillId="0" borderId="10" pivotButton="0" quotePrefix="0" xfId="0"/>
    <xf numFmtId="0" fontId="0" fillId="0" borderId="0" pivotButton="0" quotePrefix="0" xfId="0"/>
    <xf numFmtId="0" fontId="28" fillId="0" borderId="0" pivotButton="0" quotePrefix="0" xfId="0"/>
    <xf numFmtId="0" fontId="29" fillId="0" borderId="0" pivotButton="0" quotePrefix="0" xfId="0"/>
    <xf numFmtId="0" fontId="30" fillId="17" borderId="0" applyAlignment="1" pivotButton="0" quotePrefix="0" xfId="0">
      <alignment horizontal="center" vertical="center" wrapText="1"/>
    </xf>
    <xf numFmtId="0" fontId="30" fillId="17" borderId="0" applyAlignment="1" pivotButton="0" quotePrefix="0" xfId="0">
      <alignment horizontal="center" vertical="center"/>
    </xf>
    <xf numFmtId="0" fontId="31" fillId="0" borderId="0" pivotButton="0" quotePrefix="0" xfId="0"/>
    <xf numFmtId="4" fontId="31" fillId="0" borderId="0" applyAlignment="1" pivotButton="0" quotePrefix="0" xfId="0">
      <alignment horizontal="right"/>
    </xf>
    <xf numFmtId="4" fontId="30" fillId="0" borderId="0" applyAlignment="1" pivotButton="0" quotePrefix="0" xfId="0">
      <alignment horizontal="right"/>
    </xf>
    <xf numFmtId="4" fontId="30" fillId="0" borderId="24" applyAlignment="1" pivotButton="0" quotePrefix="0" xfId="0">
      <alignment horizontal="right"/>
    </xf>
    <xf numFmtId="0" fontId="30" fillId="0" borderId="0" applyAlignment="1" pivotButton="0" quotePrefix="0" xfId="0">
      <alignment horizontal="center"/>
    </xf>
    <xf numFmtId="0" fontId="30" fillId="0" borderId="0" pivotButton="0" quotePrefix="0" xfId="0"/>
    <xf numFmtId="0" fontId="32" fillId="0" borderId="0" pivotButton="0" quotePrefix="0" xfId="0"/>
    <xf numFmtId="0" fontId="33" fillId="0" borderId="0" pivotButton="0" quotePrefix="0" xfId="0"/>
    <xf numFmtId="164" fontId="9" fillId="4" borderId="14" applyAlignment="1" pivotButton="0" quotePrefix="0" xfId="0">
      <alignment horizontal="right" vertical="center"/>
    </xf>
    <xf numFmtId="164" fontId="10" fillId="4" borderId="14" applyAlignment="1" pivotButton="0" quotePrefix="0" xfId="0">
      <alignment horizontal="right" vertical="center"/>
    </xf>
    <xf numFmtId="164" fontId="9" fillId="5" borderId="14" applyAlignment="1" pivotButton="0" quotePrefix="0" xfId="0">
      <alignment horizontal="right" vertical="center"/>
    </xf>
    <xf numFmtId="0" fontId="0" fillId="0" borderId="18" pivotButton="0" quotePrefix="0" xfId="0"/>
    <xf numFmtId="0" fontId="0" fillId="0" borderId="19" pivotButton="0" quotePrefix="0" xfId="0"/>
    <xf numFmtId="164" fontId="12" fillId="6" borderId="15" applyAlignment="1" pivotButton="0" quotePrefix="0" xfId="0">
      <alignment horizontal="right" vertical="center"/>
    </xf>
    <xf numFmtId="164" fontId="13" fillId="6" borderId="15" applyAlignment="1" pivotButton="0" quotePrefix="0" xfId="0">
      <alignment horizontal="right" vertical="center"/>
    </xf>
    <xf numFmtId="164" fontId="9" fillId="0" borderId="14" applyAlignment="1" pivotButton="0" quotePrefix="0" xfId="0">
      <alignment horizontal="right" vertical="center"/>
    </xf>
    <xf numFmtId="165" fontId="17" fillId="5" borderId="1" applyAlignment="1" pivotButton="0" quotePrefix="0" xfId="0">
      <alignment horizontal="right" vertical="center"/>
    </xf>
    <xf numFmtId="164" fontId="18" fillId="0" borderId="14" applyAlignment="1" pivotButton="0" quotePrefix="0" xfId="0">
      <alignment horizontal="right" vertical="center"/>
    </xf>
    <xf numFmtId="164" fontId="12" fillId="10" borderId="15" applyAlignment="1" pivotButton="0" quotePrefix="0" xfId="0">
      <alignment horizontal="right" vertical="center"/>
    </xf>
    <xf numFmtId="164" fontId="12" fillId="12" borderId="15" applyAlignment="1" pivotButton="0" quotePrefix="0" xfId="0">
      <alignment horizontal="right" vertical="center"/>
    </xf>
    <xf numFmtId="164" fontId="19" fillId="6" borderId="15" applyAlignment="1" pivotButton="0" quotePrefix="0" xfId="0">
      <alignment horizontal="center" vertical="center"/>
    </xf>
    <xf numFmtId="164" fontId="8" fillId="0" borderId="14" applyAlignment="1" pivotButton="0" quotePrefix="0" xfId="0">
      <alignment horizontal="right" vertical="center"/>
    </xf>
    <xf numFmtId="164" fontId="21" fillId="6" borderId="14" applyAlignment="1" pivotButton="0" quotePrefix="0" xfId="0">
      <alignment horizontal="right" vertical="center"/>
    </xf>
    <xf numFmtId="164" fontId="18" fillId="6" borderId="15" applyAlignment="1" pivotButton="0" quotePrefix="0" xfId="0">
      <alignment horizontal="right" vertical="center"/>
    </xf>
    <xf numFmtId="0" fontId="0" fillId="0" borderId="22" pivotButton="0" quotePrefix="0" xfId="0"/>
    <xf numFmtId="0" fontId="0" fillId="0" borderId="23" pivotButton="0" quotePrefix="0" xfId="0"/>
    <xf numFmtId="0" fontId="30" fillId="17" borderId="0" applyAlignment="1" pivotButton="0" quotePrefix="0" xfId="0">
      <alignment horizontal="center" vertical="center"/>
    </xf>
    <xf numFmtId="0" fontId="30" fillId="18" borderId="0" applyAlignment="1" pivotButton="0" quotePrefix="0" xfId="0">
      <alignment horizontal="center"/>
    </xf>
    <xf numFmtId="0" fontId="0" fillId="18" borderId="0" pivotButton="0" quotePrefix="0" xfId="0"/>
    <xf numFmtId="0" fontId="30" fillId="17" borderId="0" applyAlignment="1" pivotButton="0" quotePrefix="0" xfId="0">
      <alignment horizontal="center" vertical="center"/>
    </xf>
    <xf numFmtId="0" fontId="30" fillId="17" borderId="0" applyAlignment="1" pivotButton="0" quotePrefix="0" xfId="0">
      <alignment horizontal="center" vertical="center"/>
    </xf>
    <xf numFmtId="4" fontId="31" fillId="18" borderId="0" applyAlignment="1" pivotButton="0" quotePrefix="0" xfId="0">
      <alignment horizontal="right"/>
    </xf>
    <xf numFmtId="4" fontId="30" fillId="18" borderId="0" applyAlignment="1" pivotButton="0" quotePrefix="0" xfId="0">
      <alignment horizontal="right"/>
    </xf>
    <xf numFmtId="0" fontId="30" fillId="17" borderId="0" applyAlignment="1" pivotButton="0" quotePrefix="0" xfId="0">
      <alignment horizontal="center" vertical="center"/>
    </xf>
    <xf numFmtId="0" fontId="34" fillId="19" borderId="0" pivotButton="0" quotePrefix="0" xfId="0"/>
    <xf numFmtId="0" fontId="34" fillId="20" borderId="0" pivotButton="0" quotePrefix="0" xfId="0"/>
    <xf numFmtId="0" fontId="35" fillId="21" borderId="0" applyAlignment="1" pivotButton="0" quotePrefix="0" xfId="0">
      <alignment horizontal="center" vertical="center" wrapText="1"/>
    </xf>
    <xf numFmtId="0" fontId="36" fillId="22" borderId="0" applyAlignment="1" pivotButton="0" quotePrefix="0" xfId="0">
      <alignment horizontal="center" vertical="center" wrapText="1"/>
    </xf>
    <xf numFmtId="0" fontId="37" fillId="22" borderId="0" applyAlignment="1" pivotButton="0" quotePrefix="0" xfId="0">
      <alignment horizontal="center" vertical="center" wrapText="1"/>
    </xf>
    <xf numFmtId="0" fontId="37" fillId="21" borderId="25" applyAlignment="1" pivotButton="0" quotePrefix="0" xfId="0">
      <alignment horizontal="center" vertical="center" wrapText="1"/>
    </xf>
    <xf numFmtId="0" fontId="38" fillId="23" borderId="25" applyAlignment="1" pivotButton="0" quotePrefix="0" xfId="0">
      <alignment horizontal="left" vertical="center"/>
    </xf>
    <xf numFmtId="4" fontId="39" fillId="24" borderId="25" applyAlignment="1" pivotButton="0" quotePrefix="0" xfId="0">
      <alignment horizontal="right" vertical="center"/>
    </xf>
    <xf numFmtId="0" fontId="38" fillId="25" borderId="25" applyAlignment="1" pivotButton="0" quotePrefix="0" xfId="0">
      <alignment horizontal="left" vertical="center"/>
    </xf>
    <xf numFmtId="0" fontId="38" fillId="25" borderId="25" applyAlignment="1" pivotButton="0" quotePrefix="0" xfId="0">
      <alignment horizontal="right" vertical="center"/>
    </xf>
    <xf numFmtId="0" fontId="38" fillId="23" borderId="25" applyAlignment="1" pivotButton="0" quotePrefix="0" xfId="0">
      <alignment horizontal="right" vertical="center"/>
    </xf>
    <xf numFmtId="0" fontId="37" fillId="21" borderId="25" applyAlignment="1" pivotButton="0" quotePrefix="0" xfId="0">
      <alignment horizontal="left" vertical="center"/>
    </xf>
    <xf numFmtId="4" fontId="37" fillId="21" borderId="25" applyAlignment="1" pivotButton="0" quotePrefix="0" xfId="0">
      <alignment horizontal="right" vertical="center"/>
    </xf>
    <xf numFmtId="0" fontId="0" fillId="23" borderId="25" pivotButton="0" quotePrefix="0" xfId="0"/>
    <xf numFmtId="0" fontId="0" fillId="25" borderId="25" pivotButton="0" quotePrefix="0" xfId="0"/>
    <xf numFmtId="0" fontId="40" fillId="19" borderId="0" applyAlignment="1" pivotButton="0" quotePrefix="0" xfId="0">
      <alignment horizontal="left" vertical="center" wrapText="1"/>
    </xf>
    <xf numFmtId="4" fontId="38" fillId="23" borderId="25" applyAlignment="1" pivotButton="0" quotePrefix="0" xfId="0">
      <alignment horizontal="right" vertical="center"/>
    </xf>
    <xf numFmtId="4" fontId="38" fillId="25" borderId="25" applyAlignment="1" pivotButton="0" quotePrefix="0" xfId="0">
      <alignment horizontal="right" vertical="center"/>
    </xf>
    <xf numFmtId="0" fontId="29" fillId="0" borderId="0" applyAlignment="1" pivotButton="0" quotePrefix="0" xfId="0">
      <alignment horizontal="left"/>
    </xf>
    <xf numFmtId="0" fontId="29" fillId="0" borderId="0" applyAlignment="1" pivotButton="0" quotePrefix="0" xfId="0">
      <alignment horizontal="center"/>
    </xf>
    <xf numFmtId="0" fontId="29" fillId="26" borderId="0" applyAlignment="1" pivotButton="0" quotePrefix="0" xfId="0">
      <alignment horizontal="left"/>
    </xf>
    <xf numFmtId="0" fontId="29" fillId="26" borderId="0" applyAlignment="1" pivotButton="0" quotePrefix="0" xfId="0">
      <alignment horizontal="center"/>
    </xf>
    <xf numFmtId="0" fontId="0" fillId="0" borderId="0" applyAlignment="1" pivotButton="0" quotePrefix="0" xfId="0">
      <alignment horizontal="left"/>
    </xf>
    <xf numFmtId="4" fontId="0" fillId="0" borderId="0" pivotButton="0" quotePrefix="0" xfId="0"/>
    <xf numFmtId="4" fontId="29" fillId="0" borderId="0" pivotButton="0" quotePrefix="0" xfId="0"/>
    <xf numFmtId="0" fontId="29" fillId="27" borderId="0" applyAlignment="1" pivotButton="0" quotePrefix="0" xfId="0">
      <alignment horizontal="left"/>
    </xf>
    <xf numFmtId="0" fontId="29" fillId="28" borderId="0" applyAlignment="1" pivotButton="0" quotePrefix="0" xfId="0">
      <alignment horizontal="left"/>
    </xf>
    <xf numFmtId="166" fontId="0" fillId="28" borderId="0" pivotButton="0" quotePrefix="0" xfId="0"/>
    <xf numFmtId="166" fontId="29" fillId="28"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40"/>
  <sheetViews>
    <sheetView workbookViewId="0">
      <pane xSplit="5" ySplit="10" topLeftCell="F11" activePane="bottomRight" state="frozen"/>
      <selection pane="topRight"/>
      <selection pane="bottomLeft"/>
      <selection pane="bottomRight" activeCell="A1" sqref="A1"/>
    </sheetView>
  </sheetViews>
  <sheetFormatPr baseColWidth="8" defaultRowHeight="15"/>
  <cols>
    <col width="14" customWidth="1" style="80" min="1" max="1"/>
    <col width="48" customWidth="1" style="80" min="2" max="2"/>
    <col width="6" customWidth="1" style="80" min="5" max="5"/>
    <col width="14" customWidth="1" style="80" min="6" max="6"/>
    <col width="14" customWidth="1" style="80" min="7" max="7"/>
    <col width="14" customWidth="1" style="80" min="8" max="8"/>
    <col width="14" customWidth="1" style="80" min="9" max="9"/>
    <col width="14" customWidth="1" style="80" min="10" max="10"/>
    <col width="14" customWidth="1" style="80" min="11" max="11"/>
    <col width="14" customWidth="1" style="80" min="12" max="12"/>
    <col width="14" customWidth="1" style="80" min="13" max="13"/>
    <col width="14" customWidth="1" style="80" min="14" max="14"/>
    <col width="14" customWidth="1" style="80" min="15" max="15"/>
    <col width="14" customWidth="1" style="80" min="16" max="16"/>
    <col width="14" customWidth="1" style="80" min="17" max="17"/>
    <col width="14" customWidth="1" style="80" min="18" max="18"/>
    <col width="14" customWidth="1" style="80" min="19" max="19"/>
    <col width="14" customWidth="1" style="80" min="20" max="20"/>
    <col width="14" customWidth="1" style="80" min="21" max="21"/>
    <col width="14" customWidth="1" style="80" min="22" max="22"/>
    <col width="14" customWidth="1" style="80" min="23" max="23"/>
    <col width="14" customWidth="1" style="80" min="24" max="24"/>
    <col width="14" customWidth="1" style="80" min="25" max="25"/>
    <col width="14" customWidth="1" style="80" min="26" max="26"/>
    <col width="14" customWidth="1" style="80" min="27" max="27"/>
    <col width="14" customWidth="1" style="80" min="28" max="28"/>
    <col width="14" customWidth="1" style="80" min="29" max="29"/>
    <col width="14" customWidth="1" style="80" min="30" max="30"/>
    <col width="14" customWidth="1" style="80" min="31" max="31"/>
    <col width="14" customWidth="1" style="80" min="32" max="32"/>
    <col width="14" customWidth="1" style="80" min="33" max="33"/>
    <col width="16" customWidth="1" style="80" min="35" max="35"/>
    <col width="14" customWidth="1" style="80" min="37" max="37"/>
    <col width="14" customWidth="1" style="80" min="38" max="38"/>
    <col width="14" customWidth="1" style="80" min="39" max="39"/>
    <col width="14" customWidth="1" style="80" min="40" max="40"/>
    <col width="14" customWidth="1" style="80" min="41" max="41"/>
    <col width="14" customWidth="1" style="80" min="42" max="42"/>
    <col width="14" customWidth="1" style="80" min="43" max="43"/>
    <col width="14" customWidth="1" style="80" min="44" max="44"/>
    <col width="14" customWidth="1" style="80" min="45" max="45"/>
    <col width="14" customWidth="1" style="80" min="46" max="46"/>
    <col width="14" customWidth="1" style="80" min="47" max="47"/>
    <col width="14" customWidth="1" style="80" min="48" max="48"/>
    <col width="14" customWidth="1" style="80" min="49" max="49"/>
    <col width="14" customWidth="1" style="80" min="50" max="50"/>
    <col width="14" customWidth="1" style="80" min="51" max="51"/>
    <col width="14" customWidth="1" style="80" min="52" max="52"/>
    <col width="14" customWidth="1" style="80" min="53" max="53"/>
    <col width="14" customWidth="1" style="80" min="54" max="54"/>
    <col width="14" customWidth="1" style="80" min="55" max="55"/>
    <col width="14" customWidth="1" style="80" min="56" max="56"/>
    <col width="14" customWidth="1" style="80" min="57" max="57"/>
    <col width="14" customWidth="1" style="80" min="58" max="58"/>
    <col width="14" customWidth="1" style="80" min="59" max="59"/>
    <col width="14" customWidth="1" style="80" min="60" max="60"/>
    <col width="14" customWidth="1" style="80" min="61" max="61"/>
    <col width="14" customWidth="1" style="80" min="62" max="62"/>
    <col width="14" customWidth="1" style="80" min="63" max="63"/>
    <col width="14" customWidth="1" style="80" min="64" max="64"/>
    <col width="16" customWidth="1" style="80" min="66" max="66"/>
    <col width="16" customWidth="1" style="80" min="68" max="68"/>
    <col width="16" customWidth="1" style="80" min="69" max="69"/>
    <col width="16" customWidth="1" style="80" min="70" max="70"/>
    <col width="16" customWidth="1" style="80" min="72" max="72"/>
    <col width="16" customWidth="1" style="80" min="73" max="73"/>
    <col width="16" customWidth="1" style="80" min="74" max="74"/>
    <col width="16" customWidth="1" style="80" min="76" max="76"/>
    <col width="16" customWidth="1" style="80" min="77" max="77"/>
    <col width="16" customWidth="1" style="80" min="78" max="78"/>
  </cols>
  <sheetData>
    <row r="1">
      <c r="A1" s="137" t="inlineStr">
        <is>
          <t>Grace Townhomes Housing, LLC</t>
        </is>
      </c>
    </row>
    <row r="2">
      <c r="A2" s="137" t="inlineStr">
        <is>
          <t>Summary of Cost Seg Adjustments</t>
        </is>
      </c>
    </row>
    <row r="3">
      <c r="A3" s="137" t="inlineStr">
        <is>
          <t>As of December 31, 2024</t>
        </is>
      </c>
    </row>
    <row r="9">
      <c r="AK9" s="138" t="inlineStr">
        <is>
          <t>end deprec</t>
        </is>
      </c>
      <c r="BN9" s="138" t="inlineStr">
        <is>
          <t>end deprec</t>
        </is>
      </c>
    </row>
    <row r="10">
      <c r="A10" s="139" t="inlineStr">
        <is>
          <t>Acq Date</t>
        </is>
      </c>
      <c r="F10" s="140" t="inlineStr">
        <is>
          <t>site</t>
        </is>
      </c>
      <c r="G10" s="140" t="inlineStr">
        <is>
          <t>clubhouse</t>
        </is>
      </c>
      <c r="H10" s="140" t="inlineStr">
        <is>
          <t>bldg 1</t>
        </is>
      </c>
      <c r="I10" s="140" t="inlineStr">
        <is>
          <t>bldg 2</t>
        </is>
      </c>
      <c r="J10" s="140" t="inlineStr">
        <is>
          <t>bldg 3</t>
        </is>
      </c>
      <c r="K10" s="140" t="inlineStr">
        <is>
          <t>bldg 4</t>
        </is>
      </c>
      <c r="L10" s="140" t="inlineStr">
        <is>
          <t>bldg 5</t>
        </is>
      </c>
      <c r="M10" s="140" t="inlineStr">
        <is>
          <t>bldg 6</t>
        </is>
      </c>
      <c r="N10" s="140" t="inlineStr">
        <is>
          <t>bldg 7</t>
        </is>
      </c>
      <c r="O10" s="140" t="inlineStr">
        <is>
          <t>bldg 8</t>
        </is>
      </c>
      <c r="P10" s="140" t="inlineStr">
        <is>
          <t>bldg 9</t>
        </is>
      </c>
      <c r="Q10" s="140" t="inlineStr">
        <is>
          <t>bldg 10</t>
        </is>
      </c>
      <c r="R10" s="140" t="inlineStr">
        <is>
          <t>bldg 11</t>
        </is>
      </c>
      <c r="S10" s="140" t="inlineStr">
        <is>
          <t>bldg 12</t>
        </is>
      </c>
      <c r="T10" s="140" t="inlineStr">
        <is>
          <t>bldg 13</t>
        </is>
      </c>
      <c r="U10" s="140" t="inlineStr">
        <is>
          <t>bldg 14</t>
        </is>
      </c>
      <c r="V10" s="140" t="inlineStr">
        <is>
          <t>bldg 15</t>
        </is>
      </c>
      <c r="W10" s="140" t="inlineStr">
        <is>
          <t>bldg 16</t>
        </is>
      </c>
      <c r="X10" s="140" t="inlineStr">
        <is>
          <t>bldg 17</t>
        </is>
      </c>
      <c r="Y10" s="140" t="inlineStr">
        <is>
          <t>bldg 18</t>
        </is>
      </c>
      <c r="Z10" s="140" t="inlineStr">
        <is>
          <t>bldg 19</t>
        </is>
      </c>
      <c r="AA10" s="140" t="inlineStr">
        <is>
          <t>bldg 20</t>
        </is>
      </c>
      <c r="AB10" s="140" t="inlineStr">
        <is>
          <t>bldg 21</t>
        </is>
      </c>
      <c r="AC10" s="140" t="inlineStr">
        <is>
          <t>bldg 22</t>
        </is>
      </c>
      <c r="AD10" s="140" t="inlineStr">
        <is>
          <t>bldg 23</t>
        </is>
      </c>
      <c r="AE10" s="140" t="inlineStr">
        <is>
          <t>bldg 24</t>
        </is>
      </c>
      <c r="AF10" s="140" t="inlineStr">
        <is>
          <t>bldg 25</t>
        </is>
      </c>
      <c r="AG10" s="140" t="inlineStr">
        <is>
          <t>storage</t>
        </is>
      </c>
      <c r="AI10" s="140" t="inlineStr">
        <is>
          <t>total cost</t>
        </is>
      </c>
      <c r="AK10" s="140" t="inlineStr">
        <is>
          <t>site</t>
        </is>
      </c>
      <c r="AL10" s="140" t="inlineStr">
        <is>
          <t>clubhouse</t>
        </is>
      </c>
      <c r="AM10" s="140" t="inlineStr">
        <is>
          <t>bldg 1</t>
        </is>
      </c>
      <c r="AN10" s="140" t="inlineStr">
        <is>
          <t>bldg 2</t>
        </is>
      </c>
      <c r="AO10" s="140" t="inlineStr">
        <is>
          <t>bldg 3</t>
        </is>
      </c>
      <c r="AP10" s="140" t="inlineStr">
        <is>
          <t>bldg 4</t>
        </is>
      </c>
      <c r="AQ10" s="140" t="inlineStr">
        <is>
          <t>bldg 5</t>
        </is>
      </c>
      <c r="AR10" s="140" t="inlineStr">
        <is>
          <t>bldg 6</t>
        </is>
      </c>
      <c r="AS10" s="140" t="inlineStr">
        <is>
          <t>bldg 7</t>
        </is>
      </c>
      <c r="AT10" s="140" t="inlineStr">
        <is>
          <t>bldg 8</t>
        </is>
      </c>
      <c r="AU10" s="140" t="inlineStr">
        <is>
          <t>bldg 9</t>
        </is>
      </c>
      <c r="AV10" s="140" t="inlineStr">
        <is>
          <t>bldg 10</t>
        </is>
      </c>
      <c r="AW10" s="140" t="inlineStr">
        <is>
          <t>bldg 11</t>
        </is>
      </c>
      <c r="AX10" s="140" t="inlineStr">
        <is>
          <t>bldg 12</t>
        </is>
      </c>
      <c r="AY10" s="140" t="inlineStr">
        <is>
          <t>bldg 13</t>
        </is>
      </c>
      <c r="AZ10" s="140" t="inlineStr">
        <is>
          <t>bldg 14</t>
        </is>
      </c>
      <c r="BA10" s="140" t="inlineStr">
        <is>
          <t>bldg 15</t>
        </is>
      </c>
      <c r="BB10" s="140" t="inlineStr">
        <is>
          <t>bldg 16</t>
        </is>
      </c>
      <c r="BC10" s="140" t="inlineStr">
        <is>
          <t>bldg 17</t>
        </is>
      </c>
      <c r="BD10" s="140" t="inlineStr">
        <is>
          <t>bldg 18</t>
        </is>
      </c>
      <c r="BE10" s="140" t="inlineStr">
        <is>
          <t>bldg 19</t>
        </is>
      </c>
      <c r="BF10" s="140" t="inlineStr">
        <is>
          <t>bldg 20</t>
        </is>
      </c>
      <c r="BG10" s="140" t="inlineStr">
        <is>
          <t>bldg 21</t>
        </is>
      </c>
      <c r="BH10" s="140" t="inlineStr">
        <is>
          <t>bldg 22</t>
        </is>
      </c>
      <c r="BI10" s="140" t="inlineStr">
        <is>
          <t>bldg 23</t>
        </is>
      </c>
      <c r="BJ10" s="140" t="inlineStr">
        <is>
          <t>bldg 24</t>
        </is>
      </c>
      <c r="BK10" s="140" t="inlineStr">
        <is>
          <t>bldg 25</t>
        </is>
      </c>
      <c r="BL10" s="140" t="inlineStr">
        <is>
          <t>storage</t>
        </is>
      </c>
      <c r="BN10" s="140" t="inlineStr">
        <is>
          <t>total</t>
        </is>
      </c>
    </row>
    <row r="11">
      <c r="A11" s="141" t="inlineStr">
        <is>
          <t>12/17/15</t>
        </is>
      </c>
      <c r="B11" s="137" t="inlineStr">
        <is>
          <t>1- Building - Grace Townhomes</t>
        </is>
      </c>
      <c r="E11" s="141" t="n">
        <v>1</v>
      </c>
      <c r="F11" s="142" t="n">
        <v>636512.99</v>
      </c>
      <c r="G11" s="142" t="n">
        <v>87855.35000000001</v>
      </c>
      <c r="H11" s="142" t="n">
        <v>212191.05</v>
      </c>
      <c r="I11" s="142" t="n">
        <v>212191.05</v>
      </c>
      <c r="J11" s="142" t="n">
        <v>116723.12</v>
      </c>
      <c r="K11" s="142" t="n">
        <v>91140.5</v>
      </c>
      <c r="L11" s="142" t="n">
        <v>116723.12</v>
      </c>
      <c r="M11" s="142" t="n">
        <v>116723.12</v>
      </c>
      <c r="N11" s="142" t="n">
        <v>116723.12</v>
      </c>
      <c r="O11" s="142" t="n">
        <v>116723.12</v>
      </c>
      <c r="P11" s="142" t="n">
        <v>116723.12</v>
      </c>
      <c r="Q11" s="142" t="n">
        <v>116723.12</v>
      </c>
      <c r="R11" s="142" t="n">
        <v>91140.5</v>
      </c>
      <c r="S11" s="142" t="n">
        <v>212191.05</v>
      </c>
      <c r="T11" s="142" t="n">
        <v>282065.31</v>
      </c>
      <c r="U11" s="142" t="n">
        <v>212191.05</v>
      </c>
      <c r="V11" s="142" t="n">
        <v>91140.5</v>
      </c>
      <c r="W11" s="142" t="n">
        <v>116723.12</v>
      </c>
      <c r="X11" s="142" t="n">
        <v>116723.12</v>
      </c>
      <c r="Y11" s="142" t="n">
        <v>91140.5</v>
      </c>
      <c r="Z11" s="142" t="n">
        <v>116723.12</v>
      </c>
      <c r="AA11" s="142" t="n">
        <v>91140.5</v>
      </c>
      <c r="AB11" s="142" t="n">
        <v>116723.12</v>
      </c>
      <c r="AC11" s="142" t="n">
        <v>116723.12</v>
      </c>
      <c r="AD11" s="142" t="n">
        <v>116723.12</v>
      </c>
      <c r="AE11" s="142" t="n">
        <v>116723.12</v>
      </c>
      <c r="AF11" s="142" t="n">
        <v>116723.12</v>
      </c>
      <c r="AG11" s="142" t="n">
        <v>12928.85</v>
      </c>
      <c r="AI11" s="142">
        <f>SUM(F11:AG11)</f>
        <v/>
      </c>
      <c r="BN11" s="142">
        <f>SUM(AK11:BL11)</f>
        <v/>
      </c>
    </row>
    <row r="12">
      <c r="A12" s="141" t="inlineStr">
        <is>
          <t>12/17/15</t>
        </is>
      </c>
      <c r="B12" s="137" t="inlineStr">
        <is>
          <t>5- Building - Grace Townhomes</t>
        </is>
      </c>
      <c r="E12" s="141" t="n">
        <v>5</v>
      </c>
      <c r="F12" s="142" t="n">
        <v>1159.28</v>
      </c>
      <c r="G12" s="142" t="n">
        <v>160.01</v>
      </c>
      <c r="H12" s="142" t="n">
        <v>386.45</v>
      </c>
      <c r="I12" s="142" t="n">
        <v>386.45</v>
      </c>
      <c r="J12" s="142" t="n">
        <v>212.58</v>
      </c>
      <c r="K12" s="142" t="n">
        <v>165.99</v>
      </c>
      <c r="L12" s="142" t="n">
        <v>212.58</v>
      </c>
      <c r="M12" s="142" t="n">
        <v>212.58</v>
      </c>
      <c r="N12" s="142" t="n">
        <v>212.58</v>
      </c>
      <c r="O12" s="142" t="n">
        <v>212.58</v>
      </c>
      <c r="P12" s="142" t="n">
        <v>212.58</v>
      </c>
      <c r="Q12" s="142" t="n">
        <v>212.58</v>
      </c>
      <c r="R12" s="142" t="n">
        <v>165.99</v>
      </c>
      <c r="S12" s="142" t="n">
        <v>386.45</v>
      </c>
      <c r="T12" s="142" t="n">
        <v>513.71</v>
      </c>
      <c r="U12" s="142" t="n">
        <v>386.45</v>
      </c>
      <c r="V12" s="142" t="n">
        <v>165.99</v>
      </c>
      <c r="W12" s="142" t="n">
        <v>212.58</v>
      </c>
      <c r="X12" s="142" t="n">
        <v>212.58</v>
      </c>
      <c r="Y12" s="142" t="n">
        <v>165.99</v>
      </c>
      <c r="Z12" s="142" t="n">
        <v>212.58</v>
      </c>
      <c r="AA12" s="142" t="n">
        <v>165.99</v>
      </c>
      <c r="AB12" s="142" t="n">
        <v>212.58</v>
      </c>
      <c r="AC12" s="142" t="n">
        <v>212.58</v>
      </c>
      <c r="AD12" s="142" t="n">
        <v>212.58</v>
      </c>
      <c r="AE12" s="142" t="n">
        <v>212.58</v>
      </c>
      <c r="AF12" s="142" t="n">
        <v>212.58</v>
      </c>
      <c r="AG12" s="142" t="n">
        <v>23.55</v>
      </c>
      <c r="AI12" s="142">
        <f>SUM(F12:AG12)</f>
        <v/>
      </c>
      <c r="BN12" s="142">
        <f>SUM(AK12:BL12)</f>
        <v/>
      </c>
    </row>
    <row r="13">
      <c r="A13" s="141" t="inlineStr">
        <is>
          <t>12/17/15</t>
        </is>
      </c>
      <c r="B13" s="137" t="inlineStr">
        <is>
          <t>3- Land Improvements - Grace Townhomes</t>
        </is>
      </c>
      <c r="E13" s="141" t="n">
        <v>3</v>
      </c>
      <c r="F13" s="142" t="n">
        <v>60048.41</v>
      </c>
      <c r="G13" s="142" t="n">
        <v>8288.23</v>
      </c>
      <c r="H13" s="142" t="n">
        <v>20018</v>
      </c>
      <c r="I13" s="142" t="n">
        <v>20018</v>
      </c>
      <c r="J13" s="142" t="n">
        <v>11011.6</v>
      </c>
      <c r="K13" s="142" t="n">
        <v>8598.15</v>
      </c>
      <c r="L13" s="142" t="n">
        <v>11011.6</v>
      </c>
      <c r="M13" s="142" t="n">
        <v>11011.6</v>
      </c>
      <c r="N13" s="142" t="n">
        <v>11011.6</v>
      </c>
      <c r="O13" s="142" t="n">
        <v>11011.6</v>
      </c>
      <c r="P13" s="142" t="n">
        <v>11011.6</v>
      </c>
      <c r="Q13" s="142" t="n">
        <v>11011.6</v>
      </c>
      <c r="R13" s="142" t="n">
        <v>8598.15</v>
      </c>
      <c r="S13" s="142" t="n">
        <v>20018</v>
      </c>
      <c r="T13" s="142" t="n">
        <v>26609.91</v>
      </c>
      <c r="U13" s="142" t="n">
        <v>20018</v>
      </c>
      <c r="V13" s="142" t="n">
        <v>8598.15</v>
      </c>
      <c r="W13" s="142" t="n">
        <v>11011.6</v>
      </c>
      <c r="X13" s="142" t="n">
        <v>11011.6</v>
      </c>
      <c r="Y13" s="142" t="n">
        <v>8598.15</v>
      </c>
      <c r="Z13" s="142" t="n">
        <v>11011.6</v>
      </c>
      <c r="AA13" s="142" t="n">
        <v>8598.15</v>
      </c>
      <c r="AB13" s="142" t="n">
        <v>11011.6</v>
      </c>
      <c r="AC13" s="142" t="n">
        <v>11011.6</v>
      </c>
      <c r="AD13" s="142" t="n">
        <v>11011.6</v>
      </c>
      <c r="AE13" s="142" t="n">
        <v>11011.6</v>
      </c>
      <c r="AF13" s="142" t="n">
        <v>11011.6</v>
      </c>
      <c r="AG13" s="142" t="n">
        <v>1219.7</v>
      </c>
      <c r="AI13" s="142">
        <f>SUM(F13:AG13)</f>
        <v/>
      </c>
      <c r="BN13" s="142">
        <f>SUM(AK13:BL13)</f>
        <v/>
      </c>
    </row>
    <row r="14">
      <c r="A14" s="141" t="inlineStr">
        <is>
          <t>12/17/15</t>
        </is>
      </c>
      <c r="B14" s="137" t="inlineStr">
        <is>
          <t>4- Equipment - Grace Townhomes</t>
        </is>
      </c>
      <c r="E14" s="141" t="n">
        <v>4</v>
      </c>
      <c r="F14" s="142" t="n">
        <v>108770.22</v>
      </c>
      <c r="G14" s="142" t="n">
        <v>15013.12</v>
      </c>
      <c r="H14" s="142" t="n">
        <v>36260.17</v>
      </c>
      <c r="I14" s="142" t="n">
        <v>36260.17</v>
      </c>
      <c r="J14" s="142" t="n">
        <v>19946.17</v>
      </c>
      <c r="K14" s="142" t="n">
        <v>15574.5</v>
      </c>
      <c r="L14" s="142" t="n">
        <v>19946.17</v>
      </c>
      <c r="M14" s="142" t="n">
        <v>19946.17</v>
      </c>
      <c r="N14" s="142" t="n">
        <v>19946.17</v>
      </c>
      <c r="O14" s="142" t="n">
        <v>19946.17</v>
      </c>
      <c r="P14" s="142" t="n">
        <v>19946.17</v>
      </c>
      <c r="Q14" s="142" t="n">
        <v>19946.17</v>
      </c>
      <c r="R14" s="142" t="n">
        <v>15574.5</v>
      </c>
      <c r="T14" s="142" t="n">
        <v>48200.59</v>
      </c>
      <c r="U14" s="142" t="n">
        <v>36260.17</v>
      </c>
      <c r="V14" s="142" t="n">
        <v>15574.5</v>
      </c>
      <c r="W14" s="142" t="n">
        <v>19946.17</v>
      </c>
      <c r="X14" s="142" t="n">
        <v>19946.17</v>
      </c>
      <c r="Y14" s="142" t="n">
        <v>15574.5</v>
      </c>
      <c r="Z14" s="142" t="n">
        <v>19946.17</v>
      </c>
      <c r="AA14" s="142" t="n">
        <v>15574.5</v>
      </c>
      <c r="AB14" s="142" t="n">
        <v>19946.17</v>
      </c>
      <c r="AC14" s="142" t="n">
        <v>19946.17</v>
      </c>
      <c r="AD14" s="142" t="n">
        <v>19946.17</v>
      </c>
      <c r="AE14" s="142" t="n">
        <v>19946.17</v>
      </c>
      <c r="AF14" s="142" t="n">
        <v>19946.17</v>
      </c>
      <c r="AG14" s="142" t="n">
        <v>2209.34</v>
      </c>
      <c r="AI14" s="142">
        <f>SUM(F14:AG14)</f>
        <v/>
      </c>
      <c r="BN14" s="142">
        <f>SUM(AK14:BL14)</f>
        <v/>
      </c>
    </row>
    <row r="16">
      <c r="F16" s="143">
        <f>SUM(F11:F15)</f>
        <v/>
      </c>
      <c r="G16" s="143">
        <f>SUM(G11:G15)</f>
        <v/>
      </c>
      <c r="H16" s="143">
        <f>SUM(H11:H15)</f>
        <v/>
      </c>
      <c r="I16" s="143">
        <f>SUM(I11:I15)</f>
        <v/>
      </c>
      <c r="J16" s="143">
        <f>SUM(J11:J15)</f>
        <v/>
      </c>
      <c r="K16" s="143">
        <f>SUM(K11:K15)</f>
        <v/>
      </c>
      <c r="L16" s="143">
        <f>SUM(L11:L15)</f>
        <v/>
      </c>
      <c r="M16" s="143">
        <f>SUM(M11:M15)</f>
        <v/>
      </c>
      <c r="N16" s="143">
        <f>SUM(N11:N15)</f>
        <v/>
      </c>
      <c r="O16" s="143">
        <f>SUM(O11:O15)</f>
        <v/>
      </c>
      <c r="P16" s="143">
        <f>SUM(P11:P15)</f>
        <v/>
      </c>
      <c r="Q16" s="143">
        <f>SUM(Q11:Q15)</f>
        <v/>
      </c>
      <c r="R16" s="143">
        <f>SUM(R11:R15)</f>
        <v/>
      </c>
      <c r="S16" s="143">
        <f>SUM(S11:S15)</f>
        <v/>
      </c>
      <c r="T16" s="143">
        <f>SUM(T11:T15)</f>
        <v/>
      </c>
      <c r="U16" s="143">
        <f>SUM(U11:U15)</f>
        <v/>
      </c>
      <c r="V16" s="143">
        <f>SUM(V11:V15)</f>
        <v/>
      </c>
      <c r="W16" s="143">
        <f>SUM(W11:W15)</f>
        <v/>
      </c>
      <c r="X16" s="143">
        <f>SUM(X11:X15)</f>
        <v/>
      </c>
      <c r="Y16" s="143">
        <f>SUM(Y11:Y15)</f>
        <v/>
      </c>
      <c r="Z16" s="143">
        <f>SUM(Z11:Z15)</f>
        <v/>
      </c>
      <c r="AA16" s="143">
        <f>SUM(AA11:AA15)</f>
        <v/>
      </c>
      <c r="AB16" s="143">
        <f>SUM(AB11:AB15)</f>
        <v/>
      </c>
      <c r="AC16" s="143">
        <f>SUM(AC11:AC15)</f>
        <v/>
      </c>
      <c r="AD16" s="143">
        <f>SUM(AD11:AD15)</f>
        <v/>
      </c>
      <c r="AE16" s="143">
        <f>SUM(AE11:AE15)</f>
        <v/>
      </c>
      <c r="AF16" s="143">
        <f>SUM(AF11:AF15)</f>
        <v/>
      </c>
      <c r="AG16" s="143">
        <f>SUM(AG11:AG15)</f>
        <v/>
      </c>
      <c r="AI16" s="143">
        <f>SUM(AI11:AI15)</f>
        <v/>
      </c>
      <c r="AK16" s="143">
        <f>SUM(AK11:AK15)</f>
        <v/>
      </c>
      <c r="AL16" s="143">
        <f>SUM(AL11:AL15)</f>
        <v/>
      </c>
      <c r="AM16" s="143">
        <f>SUM(AM11:AM15)</f>
        <v/>
      </c>
      <c r="AN16" s="143">
        <f>SUM(AN11:AN15)</f>
        <v/>
      </c>
      <c r="AO16" s="143">
        <f>SUM(AO11:AO15)</f>
        <v/>
      </c>
      <c r="AP16" s="143">
        <f>SUM(AP11:AP15)</f>
        <v/>
      </c>
      <c r="AQ16" s="143">
        <f>SUM(AQ11:AQ15)</f>
        <v/>
      </c>
      <c r="AR16" s="143">
        <f>SUM(AR11:AR15)</f>
        <v/>
      </c>
      <c r="AS16" s="143">
        <f>SUM(AS11:AS15)</f>
        <v/>
      </c>
      <c r="AT16" s="143">
        <f>SUM(AT11:AT15)</f>
        <v/>
      </c>
      <c r="AU16" s="143">
        <f>SUM(AU11:AU15)</f>
        <v/>
      </c>
      <c r="AV16" s="143">
        <f>SUM(AV11:AV15)</f>
        <v/>
      </c>
      <c r="AW16" s="143">
        <f>SUM(AW11:AW15)</f>
        <v/>
      </c>
      <c r="AX16" s="143">
        <f>SUM(AX11:AX15)</f>
        <v/>
      </c>
      <c r="AY16" s="143">
        <f>SUM(AY11:AY15)</f>
        <v/>
      </c>
      <c r="AZ16" s="143">
        <f>SUM(AZ11:AZ15)</f>
        <v/>
      </c>
      <c r="BA16" s="143">
        <f>SUM(BA11:BA15)</f>
        <v/>
      </c>
      <c r="BB16" s="143">
        <f>SUM(BB11:BB15)</f>
        <v/>
      </c>
      <c r="BC16" s="143">
        <f>SUM(BC11:BC15)</f>
        <v/>
      </c>
      <c r="BD16" s="143">
        <f>SUM(BD11:BD15)</f>
        <v/>
      </c>
      <c r="BE16" s="143">
        <f>SUM(BE11:BE15)</f>
        <v/>
      </c>
      <c r="BF16" s="143">
        <f>SUM(BF11:BF15)</f>
        <v/>
      </c>
      <c r="BG16" s="143">
        <f>SUM(BG11:BG15)</f>
        <v/>
      </c>
      <c r="BH16" s="143">
        <f>SUM(BH11:BH15)</f>
        <v/>
      </c>
      <c r="BI16" s="143">
        <f>SUM(BI11:BI15)</f>
        <v/>
      </c>
      <c r="BJ16" s="143">
        <f>SUM(BJ11:BJ15)</f>
        <v/>
      </c>
      <c r="BK16" s="143">
        <f>SUM(BK11:BK15)</f>
        <v/>
      </c>
      <c r="BL16" s="143">
        <f>SUM(BL11:BL15)</f>
        <v/>
      </c>
      <c r="BN16" s="143">
        <f>SUM(BN11:BN15)</f>
        <v/>
      </c>
    </row>
    <row r="17">
      <c r="BP17" s="137" t="inlineStr">
        <is>
          <t>Building</t>
        </is>
      </c>
      <c r="BT17" s="137" t="inlineStr">
        <is>
          <t>Land Improvements</t>
        </is>
      </c>
      <c r="BX17" s="137" t="inlineStr">
        <is>
          <t>Equipment</t>
        </is>
      </c>
    </row>
    <row r="18">
      <c r="B18" s="137" t="inlineStr">
        <is>
          <t>MACRS Reclassification</t>
        </is>
      </c>
      <c r="BP18" s="137" t="inlineStr">
        <is>
          <t>5 YR</t>
        </is>
      </c>
      <c r="BQ18" s="137" t="inlineStr">
        <is>
          <t>15 YR</t>
        </is>
      </c>
      <c r="BR18" s="137" t="inlineStr">
        <is>
          <t>27.5 YR</t>
        </is>
      </c>
      <c r="BT18" s="137" t="inlineStr">
        <is>
          <t>5 YR</t>
        </is>
      </c>
      <c r="BU18" s="137" t="inlineStr">
        <is>
          <t>15 YR</t>
        </is>
      </c>
      <c r="BV18" s="137" t="inlineStr">
        <is>
          <t>27.5 YR</t>
        </is>
      </c>
      <c r="BX18" s="137" t="inlineStr">
        <is>
          <t>5 YR</t>
        </is>
      </c>
      <c r="BY18" s="137" t="inlineStr">
        <is>
          <t>15 YR</t>
        </is>
      </c>
      <c r="BZ18" s="137" t="inlineStr">
        <is>
          <t>27.5 YR</t>
        </is>
      </c>
    </row>
    <row r="20">
      <c r="B20" s="141" t="inlineStr">
        <is>
          <t>1 - Building - Grace Townhomes - 5yr</t>
        </is>
      </c>
      <c r="G20" s="142" t="n">
        <v>15749.94</v>
      </c>
      <c r="H20" s="142" t="n">
        <v>41085.46</v>
      </c>
      <c r="I20" s="142" t="n">
        <v>41085.46</v>
      </c>
      <c r="J20" s="142" t="n">
        <v>24387.48</v>
      </c>
      <c r="K20" s="142" t="n">
        <v>21279.35</v>
      </c>
      <c r="L20" s="142" t="n">
        <v>24387.48</v>
      </c>
      <c r="M20" s="142" t="n">
        <v>24387.48</v>
      </c>
      <c r="N20" s="142" t="n">
        <v>24387.48</v>
      </c>
      <c r="O20" s="142" t="n">
        <v>24387.48</v>
      </c>
      <c r="P20" s="142" t="n">
        <v>24387.48</v>
      </c>
      <c r="Q20" s="142" t="n">
        <v>24387.48</v>
      </c>
      <c r="R20" s="142" t="n">
        <v>21279.35</v>
      </c>
      <c r="S20" s="142" t="n">
        <v>41085.46</v>
      </c>
      <c r="T20" s="142" t="n">
        <v>55838.26</v>
      </c>
      <c r="U20" s="142" t="n">
        <v>41085.46</v>
      </c>
      <c r="V20" s="142" t="n">
        <v>21279.35</v>
      </c>
      <c r="W20" s="142" t="n">
        <v>24387.48</v>
      </c>
      <c r="X20" s="142" t="n">
        <v>24387.48</v>
      </c>
      <c r="Y20" s="142" t="n">
        <v>21279.35</v>
      </c>
      <c r="Z20" s="142" t="n">
        <v>24387.48</v>
      </c>
      <c r="AA20" s="142" t="n">
        <v>21279.35</v>
      </c>
      <c r="AB20" s="142" t="n">
        <v>24387.48</v>
      </c>
      <c r="AC20" s="142" t="n">
        <v>24387.48</v>
      </c>
      <c r="AD20" s="142" t="n">
        <v>24387.48</v>
      </c>
      <c r="AE20" s="142" t="n">
        <v>24387.48</v>
      </c>
      <c r="AF20" s="142" t="n">
        <v>24387.48</v>
      </c>
      <c r="AG20" s="142" t="n">
        <v>368.29</v>
      </c>
      <c r="AI20" s="142">
        <f>SUM(F20:AG20)</f>
        <v/>
      </c>
      <c r="BN20" s="142">
        <f>SUM(AK20:BL20)</f>
        <v/>
      </c>
      <c r="BP20" s="142">
        <f>BN20</f>
        <v/>
      </c>
    </row>
    <row r="21">
      <c r="B21" s="141" t="inlineStr">
        <is>
          <t>1 - Building - Grace Townhomes - Site - 15yr</t>
        </is>
      </c>
      <c r="F21" s="142" t="n">
        <v>385433.18</v>
      </c>
      <c r="AI21" s="142">
        <f>SUM(F21:AG21)</f>
        <v/>
      </c>
      <c r="BN21" s="142">
        <f>SUM(AK21:BL21)</f>
        <v/>
      </c>
      <c r="BQ21" s="142">
        <f>BN21</f>
        <v/>
      </c>
    </row>
    <row r="22">
      <c r="B22" s="141" t="inlineStr">
        <is>
          <t>1 - Building - Grace Townhomes - 27.5yr</t>
        </is>
      </c>
      <c r="F22" s="142" t="n">
        <v>251079.81</v>
      </c>
      <c r="G22" s="142" t="n">
        <v>72105.41</v>
      </c>
      <c r="H22" s="142" t="n">
        <v>171105.59</v>
      </c>
      <c r="I22" s="142" t="n">
        <v>171105.59</v>
      </c>
      <c r="J22" s="142" t="n">
        <v>92335.64</v>
      </c>
      <c r="K22" s="142" t="n">
        <v>69861.14999999999</v>
      </c>
      <c r="L22" s="142" t="n">
        <v>92335.64</v>
      </c>
      <c r="M22" s="142" t="n">
        <v>92335.64</v>
      </c>
      <c r="N22" s="142" t="n">
        <v>92335.64</v>
      </c>
      <c r="O22" s="142" t="n">
        <v>92335.64</v>
      </c>
      <c r="P22" s="142" t="n">
        <v>92335.64</v>
      </c>
      <c r="Q22" s="142" t="n">
        <v>92335.64</v>
      </c>
      <c r="R22" s="142" t="n">
        <v>69861.14999999999</v>
      </c>
      <c r="S22" s="142" t="n">
        <v>171105.59</v>
      </c>
      <c r="T22" s="142" t="n">
        <v>226227.05</v>
      </c>
      <c r="U22" s="142" t="n">
        <v>171105.59</v>
      </c>
      <c r="V22" s="142" t="n">
        <v>69861.14999999999</v>
      </c>
      <c r="W22" s="142" t="n">
        <v>92335.64</v>
      </c>
      <c r="X22" s="142" t="n">
        <v>92335.64</v>
      </c>
      <c r="Y22" s="142" t="n">
        <v>69861.14999999999</v>
      </c>
      <c r="Z22" s="142" t="n">
        <v>92335.64</v>
      </c>
      <c r="AA22" s="142" t="n">
        <v>69861.14999999999</v>
      </c>
      <c r="AB22" s="142" t="n">
        <v>92335.64</v>
      </c>
      <c r="AC22" s="142" t="n">
        <v>92335.64</v>
      </c>
      <c r="AD22" s="142" t="n">
        <v>92335.64</v>
      </c>
      <c r="AE22" s="142" t="n">
        <v>92335.64</v>
      </c>
      <c r="AF22" s="142" t="n">
        <v>92335.64</v>
      </c>
      <c r="AG22" s="142" t="n">
        <v>12560.56</v>
      </c>
      <c r="AI22" s="142">
        <f>SUM(F22:AG22)</f>
        <v/>
      </c>
      <c r="BN22" s="142">
        <f>SUM(AK22:BL22)</f>
        <v/>
      </c>
      <c r="BR22" s="142">
        <f>BN22</f>
        <v/>
      </c>
    </row>
    <row r="23">
      <c r="B23" s="141" t="inlineStr">
        <is>
          <t>5 - Building - Grace Townhomes - 5yr</t>
        </is>
      </c>
      <c r="G23" s="142" t="n">
        <v>28.69</v>
      </c>
      <c r="H23" s="142" t="n">
        <v>74.83</v>
      </c>
      <c r="I23" s="142" t="n">
        <v>74.83</v>
      </c>
      <c r="J23" s="142" t="n">
        <v>44.42</v>
      </c>
      <c r="K23" s="142" t="n">
        <v>38.76</v>
      </c>
      <c r="L23" s="142" t="n">
        <v>44.42</v>
      </c>
      <c r="M23" s="142" t="n">
        <v>44.42</v>
      </c>
      <c r="N23" s="142" t="n">
        <v>44.42</v>
      </c>
      <c r="O23" s="142" t="n">
        <v>44.42</v>
      </c>
      <c r="P23" s="142" t="n">
        <v>44.42</v>
      </c>
      <c r="Q23" s="142" t="n">
        <v>44.42</v>
      </c>
      <c r="R23" s="142" t="n">
        <v>38.76</v>
      </c>
      <c r="S23" s="142" t="n">
        <v>74.83</v>
      </c>
      <c r="T23" s="142" t="n">
        <v>101.7</v>
      </c>
      <c r="U23" s="142" t="n">
        <v>74.83</v>
      </c>
      <c r="V23" s="142" t="n">
        <v>38.76</v>
      </c>
      <c r="W23" s="142" t="n">
        <v>44.42</v>
      </c>
      <c r="X23" s="142" t="n">
        <v>44.42</v>
      </c>
      <c r="Y23" s="142" t="n">
        <v>38.76</v>
      </c>
      <c r="Z23" s="142" t="n">
        <v>44.42</v>
      </c>
      <c r="AA23" s="142" t="n">
        <v>38.76</v>
      </c>
      <c r="AB23" s="142" t="n">
        <v>44.42</v>
      </c>
      <c r="AC23" s="142" t="n">
        <v>44.42</v>
      </c>
      <c r="AD23" s="142" t="n">
        <v>44.42</v>
      </c>
      <c r="AE23" s="142" t="n">
        <v>44.42</v>
      </c>
      <c r="AF23" s="142" t="n">
        <v>44.42</v>
      </c>
      <c r="AG23" s="142" t="n">
        <v>0.67</v>
      </c>
      <c r="AI23" s="142">
        <f>SUM(F23:AG23)</f>
        <v/>
      </c>
      <c r="BN23" s="142">
        <f>SUM(AK23:BL23)</f>
        <v/>
      </c>
      <c r="BP23" s="142">
        <f>BN23</f>
        <v/>
      </c>
    </row>
    <row r="24">
      <c r="B24" s="141" t="inlineStr">
        <is>
          <t>5 - Building - Grace Townhomes - Site - 15yr</t>
        </is>
      </c>
      <c r="F24" s="142" t="n">
        <v>701.99</v>
      </c>
      <c r="AI24" s="142">
        <f>SUM(F24:AG24)</f>
        <v/>
      </c>
      <c r="BN24" s="142">
        <f>SUM(AK24:BL24)</f>
        <v/>
      </c>
      <c r="BQ24" s="142">
        <f>BN24</f>
        <v/>
      </c>
    </row>
    <row r="25">
      <c r="B25" s="141" t="inlineStr">
        <is>
          <t>5 - Building - Grace Townhomes - 27.5yr</t>
        </is>
      </c>
      <c r="F25" s="142" t="n">
        <v>457.29</v>
      </c>
      <c r="G25" s="142" t="n">
        <v>131.32</v>
      </c>
      <c r="H25" s="142" t="n">
        <v>311.62</v>
      </c>
      <c r="I25" s="142" t="n">
        <v>311.62</v>
      </c>
      <c r="J25" s="142" t="n">
        <v>168.16</v>
      </c>
      <c r="K25" s="142" t="n">
        <v>127.23</v>
      </c>
      <c r="L25" s="142" t="n">
        <v>168.16</v>
      </c>
      <c r="M25" s="142" t="n">
        <v>168.16</v>
      </c>
      <c r="N25" s="142" t="n">
        <v>168.16</v>
      </c>
      <c r="O25" s="142" t="n">
        <v>168.16</v>
      </c>
      <c r="P25" s="142" t="n">
        <v>168.16</v>
      </c>
      <c r="Q25" s="142" t="n">
        <v>168.16</v>
      </c>
      <c r="R25" s="142" t="n">
        <v>127.23</v>
      </c>
      <c r="S25" s="142" t="n">
        <v>311.62</v>
      </c>
      <c r="T25" s="142" t="n">
        <v>412.01</v>
      </c>
      <c r="U25" s="142" t="n">
        <v>311.62</v>
      </c>
      <c r="V25" s="142" t="n">
        <v>127.23</v>
      </c>
      <c r="W25" s="142" t="n">
        <v>168.16</v>
      </c>
      <c r="X25" s="142" t="n">
        <v>168.16</v>
      </c>
      <c r="Y25" s="142" t="n">
        <v>127.23</v>
      </c>
      <c r="Z25" s="142" t="n">
        <v>168.16</v>
      </c>
      <c r="AA25" s="142" t="n">
        <v>127.23</v>
      </c>
      <c r="AB25" s="142" t="n">
        <v>168.16</v>
      </c>
      <c r="AC25" s="142" t="n">
        <v>168.16</v>
      </c>
      <c r="AD25" s="142" t="n">
        <v>168.16</v>
      </c>
      <c r="AE25" s="142" t="n">
        <v>168.16</v>
      </c>
      <c r="AF25" s="142" t="n">
        <v>168.16</v>
      </c>
      <c r="AG25" s="142" t="n">
        <v>22.88</v>
      </c>
      <c r="AI25" s="142">
        <f>SUM(F25:AG25)</f>
        <v/>
      </c>
      <c r="BN25" s="142">
        <f>SUM(AK25:BL25)</f>
        <v/>
      </c>
      <c r="BR25" s="142">
        <f>BN25</f>
        <v/>
      </c>
    </row>
    <row r="26">
      <c r="B26" s="141" t="inlineStr">
        <is>
          <t>3 - Land Improvements - Grace Townhomes - 5yr</t>
        </is>
      </c>
      <c r="G26" s="142" t="n">
        <v>1485.84</v>
      </c>
      <c r="H26" s="142" t="n">
        <v>3875.98</v>
      </c>
      <c r="I26" s="142" t="n">
        <v>3875.98</v>
      </c>
      <c r="J26" s="142" t="n">
        <v>2300.7</v>
      </c>
      <c r="K26" s="142" t="n">
        <v>2007.48</v>
      </c>
      <c r="L26" s="142" t="n">
        <v>2300.7</v>
      </c>
      <c r="M26" s="142" t="n">
        <v>2300.7</v>
      </c>
      <c r="N26" s="142" t="n">
        <v>2300.7</v>
      </c>
      <c r="O26" s="142" t="n">
        <v>2300.7</v>
      </c>
      <c r="P26" s="142" t="n">
        <v>2300.7</v>
      </c>
      <c r="Q26" s="142" t="n">
        <v>2300.7</v>
      </c>
      <c r="R26" s="142" t="n">
        <v>2007.48</v>
      </c>
      <c r="S26" s="142" t="n">
        <v>3875.98</v>
      </c>
      <c r="T26" s="142" t="n">
        <v>5267.76</v>
      </c>
      <c r="U26" s="142" t="n">
        <v>3875.98</v>
      </c>
      <c r="V26" s="142" t="n">
        <v>2007.48</v>
      </c>
      <c r="W26" s="142" t="n">
        <v>2300.7</v>
      </c>
      <c r="X26" s="142" t="n">
        <v>2300.7</v>
      </c>
      <c r="Y26" s="142" t="n">
        <v>2007.48</v>
      </c>
      <c r="Z26" s="142" t="n">
        <v>2300.7</v>
      </c>
      <c r="AA26" s="142" t="n">
        <v>2007.48</v>
      </c>
      <c r="AB26" s="142" t="n">
        <v>2300.7</v>
      </c>
      <c r="AC26" s="142" t="n">
        <v>2300.7</v>
      </c>
      <c r="AD26" s="142" t="n">
        <v>2300.7</v>
      </c>
      <c r="AE26" s="142" t="n">
        <v>2300.7</v>
      </c>
      <c r="AF26" s="142" t="n">
        <v>2300.7</v>
      </c>
      <c r="AG26" s="142" t="n">
        <v>34.74</v>
      </c>
      <c r="AI26" s="142">
        <f>SUM(F26:AG26)</f>
        <v/>
      </c>
      <c r="BN26" s="142">
        <f>SUM(AK26:BL26)</f>
        <v/>
      </c>
      <c r="BT26" s="142">
        <f>BN26</f>
        <v/>
      </c>
    </row>
    <row r="27">
      <c r="B27" s="141" t="inlineStr">
        <is>
          <t>3 - Land Improvements - Grace Townhomes - Site - 15yr</t>
        </is>
      </c>
      <c r="F27" s="142" t="n">
        <v>36361.63</v>
      </c>
      <c r="AI27" s="142">
        <f>SUM(F27:AG27)</f>
        <v/>
      </c>
      <c r="BN27" s="142">
        <f>SUM(AK27:BL27)</f>
        <v/>
      </c>
      <c r="BU27" s="142">
        <f>BN27</f>
        <v/>
      </c>
    </row>
    <row r="28">
      <c r="B28" s="141" t="inlineStr">
        <is>
          <t>3 - Land Improvements - Grace Townhomes - 27.5yr</t>
        </is>
      </c>
      <c r="F28" s="142" t="n">
        <v>23686.78</v>
      </c>
      <c r="G28" s="142" t="n">
        <v>6802.39</v>
      </c>
      <c r="H28" s="142" t="n">
        <v>16142.02</v>
      </c>
      <c r="I28" s="142" t="n">
        <v>16142.02</v>
      </c>
      <c r="J28" s="142" t="n">
        <v>8710.9</v>
      </c>
      <c r="K28" s="142" t="n">
        <v>6590.67</v>
      </c>
      <c r="L28" s="142" t="n">
        <v>8710.9</v>
      </c>
      <c r="M28" s="142" t="n">
        <v>8710.9</v>
      </c>
      <c r="N28" s="142" t="n">
        <v>8710.9</v>
      </c>
      <c r="O28" s="142" t="n">
        <v>8710.9</v>
      </c>
      <c r="P28" s="142" t="n">
        <v>8710.9</v>
      </c>
      <c r="Q28" s="142" t="n">
        <v>8710.9</v>
      </c>
      <c r="R28" s="142" t="n">
        <v>6590.67</v>
      </c>
      <c r="S28" s="142" t="n">
        <v>16142.02</v>
      </c>
      <c r="T28" s="142" t="n">
        <v>21342.15</v>
      </c>
      <c r="U28" s="142" t="n">
        <v>16142.02</v>
      </c>
      <c r="V28" s="142" t="n">
        <v>6590.67</v>
      </c>
      <c r="W28" s="142" t="n">
        <v>8710.9</v>
      </c>
      <c r="X28" s="142" t="n">
        <v>8710.9</v>
      </c>
      <c r="Y28" s="142" t="n">
        <v>6590.67</v>
      </c>
      <c r="Z28" s="142" t="n">
        <v>8710.9</v>
      </c>
      <c r="AA28" s="142" t="n">
        <v>6590.67</v>
      </c>
      <c r="AB28" s="142" t="n">
        <v>8710.9</v>
      </c>
      <c r="AC28" s="142" t="n">
        <v>8710.9</v>
      </c>
      <c r="AD28" s="142" t="n">
        <v>8710.9</v>
      </c>
      <c r="AE28" s="142" t="n">
        <v>8710.9</v>
      </c>
      <c r="AF28" s="142" t="n">
        <v>8710.9</v>
      </c>
      <c r="AG28" s="142" t="n">
        <v>1184.96</v>
      </c>
      <c r="AI28" s="142">
        <f>SUM(F28:AG28)</f>
        <v/>
      </c>
      <c r="BN28" s="142">
        <f>SUM(AK28:BL28)</f>
        <v/>
      </c>
      <c r="BV28" s="142">
        <f>BN28</f>
        <v/>
      </c>
    </row>
    <row r="29">
      <c r="B29" s="141" t="inlineStr">
        <is>
          <t>4 - Equipment - Grace Townhomes - 5yr</t>
        </is>
      </c>
      <c r="G29" s="142" t="n">
        <v>2691.42</v>
      </c>
      <c r="H29" s="142" t="n">
        <v>7020.87</v>
      </c>
      <c r="I29" s="142" t="n">
        <v>7020.87</v>
      </c>
      <c r="J29" s="142" t="n">
        <v>4167.44</v>
      </c>
      <c r="K29" s="142" t="n">
        <v>3636.31</v>
      </c>
      <c r="L29" s="142" t="n">
        <v>4167.44</v>
      </c>
      <c r="M29" s="142" t="n">
        <v>4167.44</v>
      </c>
      <c r="N29" s="142" t="n">
        <v>4167.44</v>
      </c>
      <c r="O29" s="142" t="n">
        <v>4167.44</v>
      </c>
      <c r="P29" s="142" t="n">
        <v>4167.44</v>
      </c>
      <c r="Q29" s="142" t="n">
        <v>4167.44</v>
      </c>
      <c r="R29" s="142" t="n">
        <v>3636.31</v>
      </c>
      <c r="T29" s="142" t="n">
        <v>9541.879999999999</v>
      </c>
      <c r="U29" s="142" t="n">
        <v>7020.87</v>
      </c>
      <c r="V29" s="142" t="n">
        <v>3636.31</v>
      </c>
      <c r="W29" s="142" t="n">
        <v>4167.44</v>
      </c>
      <c r="X29" s="142" t="n">
        <v>4167.44</v>
      </c>
      <c r="Y29" s="142" t="n">
        <v>3636.31</v>
      </c>
      <c r="Z29" s="142" t="n">
        <v>4167.44</v>
      </c>
      <c r="AA29" s="142" t="n">
        <v>3636.31</v>
      </c>
      <c r="AB29" s="142" t="n">
        <v>4167.44</v>
      </c>
      <c r="AC29" s="142" t="n">
        <v>4167.44</v>
      </c>
      <c r="AD29" s="142" t="n">
        <v>4167.44</v>
      </c>
      <c r="AE29" s="142" t="n">
        <v>4167.44</v>
      </c>
      <c r="AF29" s="142" t="n">
        <v>4167.44</v>
      </c>
      <c r="AG29" s="142" t="n">
        <v>62.94</v>
      </c>
      <c r="AI29" s="142">
        <f>SUM(F29:AG29)</f>
        <v/>
      </c>
      <c r="BN29" s="142">
        <f>SUM(AK29:BL29)</f>
        <v/>
      </c>
      <c r="BX29" s="142">
        <f>BN29</f>
        <v/>
      </c>
    </row>
    <row r="30">
      <c r="B30" s="141" t="inlineStr">
        <is>
          <t>4 - Equipment - Grace Townhomes - Site - 15yr</t>
        </is>
      </c>
      <c r="F30" s="142" t="n">
        <v>65864.56</v>
      </c>
      <c r="AI30" s="142">
        <f>SUM(F30:AG30)</f>
        <v/>
      </c>
      <c r="BN30" s="142">
        <f>SUM(AK30:BL30)</f>
        <v/>
      </c>
      <c r="BY30" s="142">
        <f>BN30</f>
        <v/>
      </c>
    </row>
    <row r="31">
      <c r="B31" s="141" t="inlineStr">
        <is>
          <t>4 - Equipment - Grace Townhomes - 27.5yr</t>
        </is>
      </c>
      <c r="F31" s="142" t="n">
        <v>42905.66</v>
      </c>
      <c r="G31" s="142" t="n">
        <v>12321.7</v>
      </c>
      <c r="H31" s="142" t="n">
        <v>29239.3</v>
      </c>
      <c r="I31" s="142" t="n">
        <v>29239.3</v>
      </c>
      <c r="J31" s="142" t="n">
        <v>15778.73</v>
      </c>
      <c r="K31" s="142" t="n">
        <v>11938.19</v>
      </c>
      <c r="L31" s="142" t="n">
        <v>15778.73</v>
      </c>
      <c r="M31" s="142" t="n">
        <v>15778.73</v>
      </c>
      <c r="N31" s="142" t="n">
        <v>15778.73</v>
      </c>
      <c r="O31" s="142" t="n">
        <v>15778.73</v>
      </c>
      <c r="P31" s="142" t="n">
        <v>15778.73</v>
      </c>
      <c r="Q31" s="142" t="n">
        <v>15778.73</v>
      </c>
      <c r="R31" s="142" t="n">
        <v>11938.19</v>
      </c>
      <c r="T31" s="142" t="n">
        <v>38658.71</v>
      </c>
      <c r="U31" s="142" t="n">
        <v>29239.3</v>
      </c>
      <c r="V31" s="142" t="n">
        <v>11938.19</v>
      </c>
      <c r="W31" s="142" t="n">
        <v>15778.73</v>
      </c>
      <c r="X31" s="142" t="n">
        <v>15778.73</v>
      </c>
      <c r="Y31" s="142" t="n">
        <v>11938.19</v>
      </c>
      <c r="Z31" s="142" t="n">
        <v>15778.73</v>
      </c>
      <c r="AA31" s="142" t="n">
        <v>11938.19</v>
      </c>
      <c r="AB31" s="142" t="n">
        <v>15778.73</v>
      </c>
      <c r="AC31" s="142" t="n">
        <v>15778.73</v>
      </c>
      <c r="AD31" s="142" t="n">
        <v>15778.73</v>
      </c>
      <c r="AE31" s="142" t="n">
        <v>15778.73</v>
      </c>
      <c r="AF31" s="142" t="n">
        <v>15778.73</v>
      </c>
      <c r="AG31" s="142" t="n">
        <v>2146.4</v>
      </c>
      <c r="AI31" s="142">
        <f>SUM(F31:AG31)</f>
        <v/>
      </c>
      <c r="BN31" s="142">
        <f>SUM(AK31:BL31)</f>
        <v/>
      </c>
      <c r="BZ31" s="142">
        <f>BN31</f>
        <v/>
      </c>
    </row>
    <row r="33">
      <c r="B33" s="144" t="inlineStr">
        <is>
          <t>Total MACRS Reclassification</t>
        </is>
      </c>
      <c r="F33" s="143">
        <f>SUM(F20:F31)</f>
        <v/>
      </c>
      <c r="G33" s="143">
        <f>SUM(G20:G31)</f>
        <v/>
      </c>
      <c r="H33" s="143">
        <f>SUM(H20:H31)</f>
        <v/>
      </c>
      <c r="I33" s="143">
        <f>SUM(I20:I31)</f>
        <v/>
      </c>
      <c r="J33" s="143">
        <f>SUM(J20:J31)</f>
        <v/>
      </c>
      <c r="K33" s="143">
        <f>SUM(K20:K31)</f>
        <v/>
      </c>
      <c r="L33" s="143">
        <f>SUM(L20:L31)</f>
        <v/>
      </c>
      <c r="M33" s="143">
        <f>SUM(M20:M31)</f>
        <v/>
      </c>
      <c r="N33" s="143">
        <f>SUM(N20:N31)</f>
        <v/>
      </c>
      <c r="O33" s="143">
        <f>SUM(O20:O31)</f>
        <v/>
      </c>
      <c r="P33" s="143">
        <f>SUM(P20:P31)</f>
        <v/>
      </c>
      <c r="Q33" s="143">
        <f>SUM(Q20:Q31)</f>
        <v/>
      </c>
      <c r="R33" s="143">
        <f>SUM(R20:R31)</f>
        <v/>
      </c>
      <c r="S33" s="143">
        <f>SUM(S20:S31)</f>
        <v/>
      </c>
      <c r="T33" s="143">
        <f>SUM(T20:T31)</f>
        <v/>
      </c>
      <c r="U33" s="143">
        <f>SUM(U20:U31)</f>
        <v/>
      </c>
      <c r="V33" s="143">
        <f>SUM(V20:V31)</f>
        <v/>
      </c>
      <c r="W33" s="143">
        <f>SUM(W20:W31)</f>
        <v/>
      </c>
      <c r="X33" s="143">
        <f>SUM(X20:X31)</f>
        <v/>
      </c>
      <c r="Y33" s="143">
        <f>SUM(Y20:Y31)</f>
        <v/>
      </c>
      <c r="Z33" s="143">
        <f>SUM(Z20:Z31)</f>
        <v/>
      </c>
      <c r="AA33" s="143">
        <f>SUM(AA20:AA31)</f>
        <v/>
      </c>
      <c r="AB33" s="143">
        <f>SUM(AB20:AB31)</f>
        <v/>
      </c>
      <c r="AC33" s="143">
        <f>SUM(AC20:AC31)</f>
        <v/>
      </c>
      <c r="AD33" s="143">
        <f>SUM(AD20:AD31)</f>
        <v/>
      </c>
      <c r="AE33" s="143">
        <f>SUM(AE20:AE31)</f>
        <v/>
      </c>
      <c r="AF33" s="143">
        <f>SUM(AF20:AF31)</f>
        <v/>
      </c>
      <c r="AG33" s="143">
        <f>SUM(AG20:AG31)</f>
        <v/>
      </c>
      <c r="AI33" s="143">
        <f>SUM(AI20:AI31)</f>
        <v/>
      </c>
      <c r="AK33" s="143">
        <f>SUM(AK20:AK31)</f>
        <v/>
      </c>
      <c r="AL33" s="143">
        <f>SUM(AL20:AL31)</f>
        <v/>
      </c>
      <c r="AM33" s="143">
        <f>SUM(AM20:AM31)</f>
        <v/>
      </c>
      <c r="AN33" s="143">
        <f>SUM(AN20:AN31)</f>
        <v/>
      </c>
      <c r="AO33" s="143">
        <f>SUM(AO20:AO31)</f>
        <v/>
      </c>
      <c r="AP33" s="143">
        <f>SUM(AP20:AP31)</f>
        <v/>
      </c>
      <c r="AQ33" s="143">
        <f>SUM(AQ20:AQ31)</f>
        <v/>
      </c>
      <c r="AR33" s="143">
        <f>SUM(AR20:AR31)</f>
        <v/>
      </c>
      <c r="AS33" s="143">
        <f>SUM(AS20:AS31)</f>
        <v/>
      </c>
      <c r="AT33" s="143">
        <f>SUM(AT20:AT31)</f>
        <v/>
      </c>
      <c r="AU33" s="143">
        <f>SUM(AU20:AU31)</f>
        <v/>
      </c>
      <c r="AV33" s="143">
        <f>SUM(AV20:AV31)</f>
        <v/>
      </c>
      <c r="AW33" s="143">
        <f>SUM(AW20:AW31)</f>
        <v/>
      </c>
      <c r="AX33" s="143">
        <f>SUM(AX20:AX31)</f>
        <v/>
      </c>
      <c r="AY33" s="143">
        <f>SUM(AY20:AY31)</f>
        <v/>
      </c>
      <c r="AZ33" s="143">
        <f>SUM(AZ20:AZ31)</f>
        <v/>
      </c>
      <c r="BA33" s="143">
        <f>SUM(BA20:BA31)</f>
        <v/>
      </c>
      <c r="BB33" s="143">
        <f>SUM(BB20:BB31)</f>
        <v/>
      </c>
      <c r="BC33" s="143">
        <f>SUM(BC20:BC31)</f>
        <v/>
      </c>
      <c r="BD33" s="143">
        <f>SUM(BD20:BD31)</f>
        <v/>
      </c>
      <c r="BE33" s="143">
        <f>SUM(BE20:BE31)</f>
        <v/>
      </c>
      <c r="BF33" s="143">
        <f>SUM(BF20:BF31)</f>
        <v/>
      </c>
      <c r="BG33" s="143">
        <f>SUM(BG20:BG31)</f>
        <v/>
      </c>
      <c r="BH33" s="143">
        <f>SUM(BH20:BH31)</f>
        <v/>
      </c>
      <c r="BI33" s="143">
        <f>SUM(BI20:BI31)</f>
        <v/>
      </c>
      <c r="BJ33" s="143">
        <f>SUM(BJ20:BJ31)</f>
        <v/>
      </c>
      <c r="BK33" s="143">
        <f>SUM(BK20:BK31)</f>
        <v/>
      </c>
      <c r="BL33" s="143">
        <f>SUM(BL20:BL31)</f>
        <v/>
      </c>
      <c r="BN33" s="143">
        <f>SUM(BN20:BN31)</f>
        <v/>
      </c>
      <c r="BP33" s="143">
        <f>SUM(BP20:BP31)</f>
        <v/>
      </c>
      <c r="BQ33" s="143">
        <f>SUM(BQ20:BQ31)</f>
        <v/>
      </c>
      <c r="BR33" s="143">
        <f>SUM(BR20:BR31)</f>
        <v/>
      </c>
      <c r="BT33" s="143">
        <f>SUM(BT20:BT31)</f>
        <v/>
      </c>
      <c r="BU33" s="143">
        <f>SUM(BU20:BU31)</f>
        <v/>
      </c>
      <c r="BV33" s="143">
        <f>SUM(BV20:BV31)</f>
        <v/>
      </c>
      <c r="BX33" s="143">
        <f>SUM(BX20:BX31)</f>
        <v/>
      </c>
      <c r="BY33" s="143">
        <f>SUM(BY20:BY31)</f>
        <v/>
      </c>
      <c r="BZ33" s="143">
        <f>SUM(BZ20:BZ31)</f>
        <v/>
      </c>
    </row>
    <row r="35">
      <c r="B35" s="137" t="inlineStr">
        <is>
          <t>Difference (should be zero)</t>
        </is>
      </c>
      <c r="F35" s="142">
        <f>+F16-F33</f>
        <v/>
      </c>
      <c r="G35" s="142">
        <f>+G16-G33</f>
        <v/>
      </c>
      <c r="H35" s="142">
        <f>+H16-H33</f>
        <v/>
      </c>
      <c r="I35" s="142">
        <f>+I16-I33</f>
        <v/>
      </c>
      <c r="J35" s="142">
        <f>+J16-J33</f>
        <v/>
      </c>
      <c r="K35" s="142">
        <f>+K16-K33</f>
        <v/>
      </c>
      <c r="L35" s="142">
        <f>+L16-L33</f>
        <v/>
      </c>
      <c r="M35" s="142">
        <f>+M16-M33</f>
        <v/>
      </c>
      <c r="N35" s="142">
        <f>+N16-N33</f>
        <v/>
      </c>
      <c r="O35" s="142">
        <f>+O16-O33</f>
        <v/>
      </c>
      <c r="P35" s="142">
        <f>+P16-P33</f>
        <v/>
      </c>
      <c r="Q35" s="142">
        <f>+Q16-Q33</f>
        <v/>
      </c>
      <c r="R35" s="142">
        <f>+R16-R33</f>
        <v/>
      </c>
      <c r="S35" s="142">
        <f>+S16-S33</f>
        <v/>
      </c>
      <c r="T35" s="142">
        <f>+T16-T33</f>
        <v/>
      </c>
      <c r="U35" s="142">
        <f>+U16-U33</f>
        <v/>
      </c>
      <c r="V35" s="142">
        <f>+V16-V33</f>
        <v/>
      </c>
      <c r="W35" s="142">
        <f>+W16-W33</f>
        <v/>
      </c>
      <c r="X35" s="142">
        <f>+X16-X33</f>
        <v/>
      </c>
      <c r="Y35" s="142">
        <f>+Y16-Y33</f>
        <v/>
      </c>
      <c r="Z35" s="142">
        <f>+Z16-Z33</f>
        <v/>
      </c>
      <c r="AA35" s="142">
        <f>+AA16-AA33</f>
        <v/>
      </c>
      <c r="AB35" s="142">
        <f>+AB16-AB33</f>
        <v/>
      </c>
      <c r="AC35" s="142">
        <f>+AC16-AC33</f>
        <v/>
      </c>
      <c r="AD35" s="142">
        <f>+AD16-AD33</f>
        <v/>
      </c>
      <c r="AE35" s="142">
        <f>+AE16-AE33</f>
        <v/>
      </c>
      <c r="AF35" s="142">
        <f>+AF16-AF33</f>
        <v/>
      </c>
      <c r="AG35" s="142">
        <f>+AG16-AG33</f>
        <v/>
      </c>
      <c r="AI35" s="142">
        <f>+AI16-AI33</f>
        <v/>
      </c>
      <c r="AK35" s="142">
        <f>+AK16-AK33</f>
        <v/>
      </c>
      <c r="AL35" s="142">
        <f>+AL16-AL33</f>
        <v/>
      </c>
      <c r="AM35" s="142">
        <f>+AM16-AM33</f>
        <v/>
      </c>
      <c r="AN35" s="142">
        <f>+AN16-AN33</f>
        <v/>
      </c>
      <c r="AO35" s="142">
        <f>+AO16-AO33</f>
        <v/>
      </c>
      <c r="AP35" s="142">
        <f>+AP16-AP33</f>
        <v/>
      </c>
      <c r="AQ35" s="142">
        <f>+AQ16-AQ33</f>
        <v/>
      </c>
      <c r="AR35" s="142">
        <f>+AR16-AR33</f>
        <v/>
      </c>
      <c r="AS35" s="142">
        <f>+AS16-AS33</f>
        <v/>
      </c>
      <c r="AT35" s="142">
        <f>+AT16-AT33</f>
        <v/>
      </c>
      <c r="AU35" s="142">
        <f>+AU16-AU33</f>
        <v/>
      </c>
      <c r="AV35" s="142">
        <f>+AV16-AV33</f>
        <v/>
      </c>
      <c r="AW35" s="142">
        <f>+AW16-AW33</f>
        <v/>
      </c>
      <c r="AX35" s="142">
        <f>+AX16-AX33</f>
        <v/>
      </c>
      <c r="AY35" s="142">
        <f>+AY16-AY33</f>
        <v/>
      </c>
      <c r="AZ35" s="142">
        <f>+AZ16-AZ33</f>
        <v/>
      </c>
      <c r="BA35" s="142">
        <f>+BA16-BA33</f>
        <v/>
      </c>
      <c r="BB35" s="142">
        <f>+BB16-BB33</f>
        <v/>
      </c>
      <c r="BC35" s="142">
        <f>+BC16-BC33</f>
        <v/>
      </c>
      <c r="BD35" s="142">
        <f>+BD16-BD33</f>
        <v/>
      </c>
      <c r="BE35" s="142">
        <f>+BE16-BE33</f>
        <v/>
      </c>
      <c r="BF35" s="142">
        <f>+BF16-BF33</f>
        <v/>
      </c>
      <c r="BG35" s="142">
        <f>+BG16-BG33</f>
        <v/>
      </c>
      <c r="BH35" s="142">
        <f>+BH16-BH33</f>
        <v/>
      </c>
      <c r="BI35" s="142">
        <f>+BI16-BI33</f>
        <v/>
      </c>
      <c r="BJ35" s="142">
        <f>+BJ16-BJ33</f>
        <v/>
      </c>
      <c r="BK35" s="142">
        <f>+BK16-BK33</f>
        <v/>
      </c>
      <c r="BL35" s="142">
        <f>+BL16-BL33</f>
        <v/>
      </c>
      <c r="BN35" s="142">
        <f>+BN16-BN33</f>
        <v/>
      </c>
    </row>
    <row r="37">
      <c r="B37" s="137" t="inlineStr">
        <is>
          <t>End Depreciation Reconciliation</t>
        </is>
      </c>
    </row>
    <row r="38">
      <c r="B38" s="141" t="inlineStr">
        <is>
          <t>Before Cost Segregation (As Previously Filed)</t>
        </is>
      </c>
      <c r="F38" s="142" t="n">
        <v>353546.9</v>
      </c>
      <c r="G38" s="142" t="n">
        <v>48793.35</v>
      </c>
      <c r="H38" s="142" t="n">
        <v>117847.47</v>
      </c>
      <c r="I38" s="142" t="n">
        <v>117847.47</v>
      </c>
      <c r="J38" s="142" t="n">
        <v>64826.13</v>
      </c>
      <c r="K38" s="142" t="n">
        <v>50617.97</v>
      </c>
      <c r="L38" s="142" t="n">
        <v>64826.13</v>
      </c>
      <c r="M38" s="142" t="n">
        <v>64826.13</v>
      </c>
      <c r="N38" s="142" t="n">
        <v>64826.13</v>
      </c>
      <c r="O38" s="142" t="n">
        <v>64826.13</v>
      </c>
      <c r="P38" s="142" t="n">
        <v>64826.13</v>
      </c>
      <c r="Q38" s="142" t="n">
        <v>64826.13</v>
      </c>
      <c r="R38" s="142" t="n">
        <v>50617.97</v>
      </c>
      <c r="S38" s="142" t="n">
        <v>117847.47</v>
      </c>
      <c r="T38" s="142" t="n">
        <v>156654.5</v>
      </c>
      <c r="U38" s="142" t="n">
        <v>117847.47</v>
      </c>
      <c r="V38" s="142" t="n">
        <v>50617.97</v>
      </c>
      <c r="W38" s="142" t="n">
        <v>64826.13</v>
      </c>
      <c r="X38" s="142" t="n">
        <v>64826.13</v>
      </c>
      <c r="Y38" s="142" t="n">
        <v>50617.97</v>
      </c>
      <c r="Z38" s="142" t="n">
        <v>64826.13</v>
      </c>
      <c r="AA38" s="142" t="n">
        <v>50617.97</v>
      </c>
      <c r="AB38" s="142" t="n">
        <v>64826.13</v>
      </c>
      <c r="AC38" s="142" t="n">
        <v>64826.13</v>
      </c>
      <c r="AD38" s="142" t="n">
        <v>64826.13</v>
      </c>
      <c r="AE38" s="142" t="n">
        <v>64826.13</v>
      </c>
      <c r="AF38" s="142" t="n">
        <v>64826.13</v>
      </c>
      <c r="AG38" s="142" t="n">
        <v>7180.48</v>
      </c>
      <c r="AI38" s="143">
        <f>SUM(F38:AG38)</f>
        <v/>
      </c>
    </row>
    <row r="39">
      <c r="B39" s="141" t="inlineStr">
        <is>
          <t>After Cost Segregation (Corrected)</t>
        </is>
      </c>
      <c r="F39" s="142" t="n">
        <v>433789.43</v>
      </c>
      <c r="G39" s="142" t="n">
        <v>49993.81</v>
      </c>
      <c r="H39" s="142" t="n">
        <v>123336.9</v>
      </c>
      <c r="I39" s="142" t="n">
        <v>123336.9</v>
      </c>
      <c r="J39" s="142" t="n">
        <v>69365.5</v>
      </c>
      <c r="K39" s="142" t="n">
        <v>56065.03</v>
      </c>
      <c r="L39" s="142" t="n">
        <v>69365.5</v>
      </c>
      <c r="M39" s="142" t="n">
        <v>69365.5</v>
      </c>
      <c r="N39" s="142" t="n">
        <v>69365.5</v>
      </c>
      <c r="O39" s="142" t="n">
        <v>69365.5</v>
      </c>
      <c r="P39" s="142" t="n">
        <v>69365.5</v>
      </c>
      <c r="Q39" s="142" t="n">
        <v>69365.5</v>
      </c>
      <c r="R39" s="142" t="n">
        <v>56065.03</v>
      </c>
      <c r="S39" s="142" t="n">
        <v>123336.9</v>
      </c>
      <c r="T39" s="142" t="n">
        <v>164992.09</v>
      </c>
      <c r="U39" s="142" t="n">
        <v>123336.9</v>
      </c>
      <c r="V39" s="142" t="n">
        <v>56065.03</v>
      </c>
      <c r="W39" s="142" t="n">
        <v>69365.5</v>
      </c>
      <c r="X39" s="142" t="n">
        <v>69365.5</v>
      </c>
      <c r="Y39" s="142" t="n">
        <v>56065.03</v>
      </c>
      <c r="Z39" s="142" t="n">
        <v>69365.5</v>
      </c>
      <c r="AA39" s="142" t="n">
        <v>56065.03</v>
      </c>
      <c r="AB39" s="142" t="n">
        <v>69365.5</v>
      </c>
      <c r="AC39" s="142" t="n">
        <v>69365.5</v>
      </c>
      <c r="AD39" s="142" t="n">
        <v>69365.5</v>
      </c>
      <c r="AE39" s="142" t="n">
        <v>69365.5</v>
      </c>
      <c r="AF39" s="142" t="n">
        <v>69365.5</v>
      </c>
      <c r="AG39" s="142" t="n">
        <v>5699.17</v>
      </c>
      <c r="AI39" s="143">
        <f>SUM(F39:AG39)</f>
        <v/>
      </c>
    </row>
    <row r="40">
      <c r="B40" s="145" t="inlineStr">
        <is>
          <t>Section 481(a) Adjustment</t>
        </is>
      </c>
      <c r="F40" s="146" t="n">
        <v>-80242.53</v>
      </c>
      <c r="G40" s="146" t="n">
        <v>-1200.46</v>
      </c>
      <c r="H40" s="146" t="n">
        <v>-5489.43</v>
      </c>
      <c r="I40" s="146" t="n">
        <v>-5489.43</v>
      </c>
      <c r="J40" s="146" t="n">
        <v>-4539.37</v>
      </c>
      <c r="K40" s="146" t="n">
        <v>-5447.06</v>
      </c>
      <c r="L40" s="146" t="n">
        <v>-4539.37</v>
      </c>
      <c r="M40" s="146" t="n">
        <v>-4539.37</v>
      </c>
      <c r="N40" s="146" t="n">
        <v>-4539.37</v>
      </c>
      <c r="O40" s="146" t="n">
        <v>-4539.37</v>
      </c>
      <c r="P40" s="146" t="n">
        <v>-4539.37</v>
      </c>
      <c r="Q40" s="146" t="n">
        <v>-4539.37</v>
      </c>
      <c r="R40" s="146" t="n">
        <v>-5447.06</v>
      </c>
      <c r="S40" s="146" t="n">
        <v>-5489.43</v>
      </c>
      <c r="T40" s="146" t="n">
        <v>-8337.59</v>
      </c>
      <c r="U40" s="146" t="n">
        <v>-5489.43</v>
      </c>
      <c r="V40" s="146" t="n">
        <v>-5447.06</v>
      </c>
      <c r="W40" s="146" t="n">
        <v>-4539.37</v>
      </c>
      <c r="X40" s="146" t="n">
        <v>-4539.37</v>
      </c>
      <c r="Y40" s="146" t="n">
        <v>-5447.06</v>
      </c>
      <c r="Z40" s="146" t="n">
        <v>-4539.37</v>
      </c>
      <c r="AA40" s="146" t="n">
        <v>-5447.06</v>
      </c>
      <c r="AB40" s="146" t="n">
        <v>-4539.37</v>
      </c>
      <c r="AC40" s="146" t="n">
        <v>-4539.37</v>
      </c>
      <c r="AD40" s="146" t="n">
        <v>-4539.37</v>
      </c>
      <c r="AE40" s="146" t="n">
        <v>-4539.37</v>
      </c>
      <c r="AF40" s="146" t="n">
        <v>-4539.37</v>
      </c>
      <c r="AG40" s="146" t="n">
        <v>1481.31</v>
      </c>
      <c r="AI40" s="147">
        <f>SUM(F40:AG40)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0"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4" customWidth="1" style="80" min="11" max="11"/>
  </cols>
  <sheetData>
    <row r="1">
      <c r="A1" s="81" t="inlineStr">
        <is>
          <t>Grove Park Housing, LP</t>
        </is>
      </c>
    </row>
    <row r="2">
      <c r="A2" s="82" t="inlineStr">
        <is>
          <t>85-1924921</t>
        </is>
      </c>
      <c r="B2" s="82" t="inlineStr">
        <is>
          <t>FYE: 12/31/2024</t>
        </is>
      </c>
    </row>
    <row r="4" ht="30" customHeight="1" s="80">
      <c r="A4" s="83" t="inlineStr">
        <is>
          <t>Acq Date</t>
        </is>
      </c>
      <c r="B4" s="118" t="inlineStr"/>
      <c r="C4" s="83" t="inlineStr">
        <is>
          <t>apt site</t>
        </is>
      </c>
      <c r="D4" s="83" t="inlineStr">
        <is>
          <t>apt office</t>
        </is>
      </c>
      <c r="E4" s="83" t="inlineStr">
        <is>
          <t>bldg 1</t>
        </is>
      </c>
      <c r="F4" s="83" t="inlineStr">
        <is>
          <t>bldg 2</t>
        </is>
      </c>
      <c r="G4" s="83" t="inlineStr">
        <is>
          <t>bldg 3</t>
        </is>
      </c>
      <c r="H4" s="83" t="inlineStr">
        <is>
          <t>bldg 4</t>
        </is>
      </c>
      <c r="I4" s="83" t="inlineStr">
        <is>
          <t>bldg 5</t>
        </is>
      </c>
      <c r="J4" s="83" t="inlineStr">
        <is>
          <t>apt impr</t>
        </is>
      </c>
      <c r="K4" s="83" t="inlineStr">
        <is>
          <t>total cost</t>
        </is>
      </c>
    </row>
    <row r="5" ht="15" customHeight="1" s="80">
      <c r="A5" s="85" t="inlineStr">
        <is>
          <t>10/30/2020</t>
        </is>
      </c>
      <c r="B5" s="85" t="inlineStr">
        <is>
          <t>2 - Land Imp - Peter St - Site</t>
        </is>
      </c>
      <c r="C5" s="86" t="n">
        <v>27390.6</v>
      </c>
      <c r="D5" s="86" t="n">
        <v>17779.38</v>
      </c>
      <c r="E5" s="86" t="n">
        <v>39470.87</v>
      </c>
      <c r="F5" s="86" t="n">
        <v>36341.07</v>
      </c>
      <c r="G5" s="86" t="n">
        <v>39460.94</v>
      </c>
      <c r="H5" s="86" t="n">
        <v>40404.35</v>
      </c>
      <c r="I5" s="86" t="n">
        <v>41152.79</v>
      </c>
      <c r="K5" s="87" t="n">
        <v>242000</v>
      </c>
    </row>
    <row r="6" ht="15" customHeight="1" s="80">
      <c r="A6" s="85" t="inlineStr">
        <is>
          <t>10/30/2020</t>
        </is>
      </c>
      <c r="B6" s="85" t="inlineStr">
        <is>
          <t>3 - Building - Peter St - Site</t>
        </is>
      </c>
      <c r="C6" s="86" t="n">
        <v>267346.37</v>
      </c>
      <c r="D6" s="86" t="n">
        <v>173535.93</v>
      </c>
      <c r="E6" s="86" t="n">
        <v>385256.09</v>
      </c>
      <c r="F6" s="86" t="n">
        <v>354707.57</v>
      </c>
      <c r="G6" s="86" t="n">
        <v>385159.17</v>
      </c>
      <c r="H6" s="86" t="n">
        <v>394367.34</v>
      </c>
      <c r="I6" s="86" t="n">
        <v>401672.53</v>
      </c>
      <c r="K6" s="87" t="n">
        <v>2362045</v>
      </c>
    </row>
    <row r="7" ht="15" customHeight="1" s="80">
      <c r="A7" s="85" t="inlineStr">
        <is>
          <t>10/30/2020</t>
        </is>
      </c>
      <c r="B7" s="85" t="inlineStr">
        <is>
          <t>4 - Equipment - Peter St - Site</t>
        </is>
      </c>
      <c r="C7" s="86" t="n">
        <v>20373.17</v>
      </c>
      <c r="D7" s="86" t="n">
        <v>13224.33</v>
      </c>
      <c r="E7" s="86" t="n">
        <v>29358.5</v>
      </c>
      <c r="F7" s="86" t="n">
        <v>27030.55</v>
      </c>
      <c r="G7" s="86" t="n">
        <v>29351.11</v>
      </c>
      <c r="H7" s="86" t="n">
        <v>30052.82</v>
      </c>
      <c r="I7" s="86" t="n">
        <v>30609.52</v>
      </c>
      <c r="K7" s="87" t="n">
        <v>180000</v>
      </c>
    </row>
    <row r="8" ht="15" customHeight="1" s="80">
      <c r="A8" s="85" t="inlineStr">
        <is>
          <t>7/1/2021</t>
        </is>
      </c>
      <c r="B8" s="85" t="inlineStr">
        <is>
          <t>8 - Building Improvement - Peter St</t>
        </is>
      </c>
      <c r="J8" s="86" t="n">
        <v>86347</v>
      </c>
      <c r="K8" s="87" t="n">
        <v>86347</v>
      </c>
    </row>
    <row r="10">
      <c r="C10" s="88" t="n">
        <v>315110.14</v>
      </c>
      <c r="D10" s="88" t="n">
        <v>204539.64</v>
      </c>
      <c r="E10" s="88" t="n">
        <v>454085.46</v>
      </c>
      <c r="F10" s="88" t="n">
        <v>418079.19</v>
      </c>
      <c r="G10" s="88" t="n">
        <v>453971.22</v>
      </c>
      <c r="H10" s="88" t="n">
        <v>464824.51</v>
      </c>
      <c r="I10" s="88" t="n">
        <v>473434.84</v>
      </c>
      <c r="J10" s="88" t="n">
        <v>86347</v>
      </c>
      <c r="K10" s="88" t="n">
        <v>2870392</v>
      </c>
    </row>
    <row r="13" ht="30" customHeight="1" s="80">
      <c r="A13" s="83" t="inlineStr">
        <is>
          <t>Acq Date</t>
        </is>
      </c>
      <c r="B13" s="118" t="inlineStr"/>
      <c r="C13" s="83" t="inlineStr">
        <is>
          <t>apt site</t>
        </is>
      </c>
      <c r="D13" s="83" t="inlineStr">
        <is>
          <t>apt office</t>
        </is>
      </c>
      <c r="E13" s="83" t="inlineStr">
        <is>
          <t>bldg 1</t>
        </is>
      </c>
      <c r="F13" s="83" t="inlineStr">
        <is>
          <t>bldg 2</t>
        </is>
      </c>
      <c r="G13" s="83" t="inlineStr">
        <is>
          <t>bldg 3</t>
        </is>
      </c>
      <c r="H13" s="83" t="inlineStr">
        <is>
          <t>bldg 4</t>
        </is>
      </c>
      <c r="I13" s="83" t="inlineStr">
        <is>
          <t>bldg 5</t>
        </is>
      </c>
      <c r="J13" s="83" t="inlineStr">
        <is>
          <t>apt impr</t>
        </is>
      </c>
      <c r="K13" s="83" t="inlineStr">
        <is>
          <t>total cost</t>
        </is>
      </c>
    </row>
    <row r="14" ht="15" customHeight="1" s="80">
      <c r="A14" s="85" t="inlineStr">
        <is>
          <t>10/30/2020</t>
        </is>
      </c>
      <c r="B14" s="85" t="inlineStr">
        <is>
          <t>2 - Land Imp - Peter St - Office - 5yr</t>
        </is>
      </c>
      <c r="D14" s="86" t="n">
        <v>2803.75</v>
      </c>
      <c r="K14" s="87" t="n">
        <v>2803.75</v>
      </c>
    </row>
    <row r="15" ht="15" customHeight="1" s="80">
      <c r="A15" s="85" t="inlineStr">
        <is>
          <t>10/30/2020</t>
        </is>
      </c>
      <c r="B15" s="85" t="inlineStr">
        <is>
          <t>2 - Land Imp - Peter St - Site - 15yr</t>
        </is>
      </c>
      <c r="C15" s="86" t="n">
        <v>18977.49</v>
      </c>
      <c r="K15" s="87" t="n">
        <v>18977.49</v>
      </c>
    </row>
    <row r="16" ht="15" customHeight="1" s="80">
      <c r="A16" s="85" t="inlineStr">
        <is>
          <t>10/30/2020</t>
        </is>
      </c>
      <c r="B16" s="85" t="inlineStr">
        <is>
          <t>2 - Land Imp - Peter St - Site - 27.5yr</t>
        </is>
      </c>
      <c r="C16" s="86" t="n">
        <v>8413.110000000001</v>
      </c>
      <c r="K16" s="87" t="n">
        <v>8413.110000000001</v>
      </c>
    </row>
    <row r="17" ht="15" customHeight="1" s="80">
      <c r="A17" s="85" t="inlineStr">
        <is>
          <t>10/30/2020</t>
        </is>
      </c>
      <c r="B17" s="85" t="inlineStr">
        <is>
          <t>2 - Land Imp - Peter St - Office - 27.5yr</t>
        </is>
      </c>
      <c r="D17" s="86" t="n">
        <v>14975.63</v>
      </c>
      <c r="K17" s="87" t="n">
        <v>14975.63</v>
      </c>
    </row>
    <row r="18" ht="15" customHeight="1" s="80">
      <c r="A18" s="85" t="inlineStr">
        <is>
          <t>10/30/2020</t>
        </is>
      </c>
      <c r="B18" s="85" t="inlineStr">
        <is>
          <t>2 - Land Imp - Peter St - 1 - 5yr</t>
        </is>
      </c>
      <c r="E18" s="86" t="n">
        <v>8187.59</v>
      </c>
      <c r="K18" s="87" t="n">
        <v>8187.59</v>
      </c>
    </row>
    <row r="19" ht="15" customHeight="1" s="80">
      <c r="A19" s="85" t="inlineStr">
        <is>
          <t>10/30/2020</t>
        </is>
      </c>
      <c r="B19" s="85" t="inlineStr">
        <is>
          <t>2 - Land Imp - Peter St - 1 - 27.5yr</t>
        </is>
      </c>
      <c r="E19" s="86" t="n">
        <v>31283.28</v>
      </c>
      <c r="K19" s="87" t="n">
        <v>31283.28</v>
      </c>
    </row>
    <row r="20" ht="15" customHeight="1" s="80">
      <c r="A20" s="85" t="inlineStr">
        <is>
          <t>10/30/2020</t>
        </is>
      </c>
      <c r="B20" s="85" t="inlineStr">
        <is>
          <t>2 - Land Imp - Peter St - 2 - 5yr</t>
        </is>
      </c>
      <c r="F20" s="86" t="n">
        <v>7790.52</v>
      </c>
      <c r="K20" s="87" t="n">
        <v>7790.52</v>
      </c>
    </row>
    <row r="21" ht="15" customHeight="1" s="80">
      <c r="A21" s="85" t="inlineStr">
        <is>
          <t>10/30/2020</t>
        </is>
      </c>
      <c r="B21" s="85" t="inlineStr">
        <is>
          <t>2 - Land Imp - Peter St - 2 - 27.5yr</t>
        </is>
      </c>
      <c r="F21" s="86" t="n">
        <v>28550.55</v>
      </c>
      <c r="K21" s="87" t="n">
        <v>28550.55</v>
      </c>
    </row>
    <row r="22" ht="15" customHeight="1" s="80">
      <c r="A22" s="85" t="inlineStr">
        <is>
          <t>10/30/2020</t>
        </is>
      </c>
      <c r="B22" s="85" t="inlineStr">
        <is>
          <t>2 - Land Imp - Peter St - 3 - 5yr</t>
        </is>
      </c>
      <c r="G22" s="86" t="n">
        <v>8072.77</v>
      </c>
      <c r="K22" s="87" t="n">
        <v>8072.77</v>
      </c>
    </row>
    <row r="23" ht="15" customHeight="1" s="80">
      <c r="A23" s="85" t="inlineStr">
        <is>
          <t>10/30/2020</t>
        </is>
      </c>
      <c r="B23" s="85" t="inlineStr">
        <is>
          <t>2 - Land Imp - Peter St - 3 - 27.5yr</t>
        </is>
      </c>
      <c r="G23" s="86" t="n">
        <v>31388.17</v>
      </c>
      <c r="K23" s="87" t="n">
        <v>31388.17</v>
      </c>
    </row>
    <row r="24" ht="15" customHeight="1" s="80">
      <c r="A24" s="85" t="inlineStr">
        <is>
          <t>10/30/2020</t>
        </is>
      </c>
      <c r="B24" s="85" t="inlineStr">
        <is>
          <t>2 - Land Imp - Peter St - 4 - 5yr</t>
        </is>
      </c>
      <c r="H24" s="86" t="n">
        <v>8405.66</v>
      </c>
      <c r="K24" s="87" t="n">
        <v>8405.66</v>
      </c>
    </row>
    <row r="25" ht="15" customHeight="1" s="80">
      <c r="A25" s="85" t="inlineStr">
        <is>
          <t>10/30/2020</t>
        </is>
      </c>
      <c r="B25" s="85" t="inlineStr">
        <is>
          <t>2 - Land Imp - Peter St - 4 - 27.5yr</t>
        </is>
      </c>
      <c r="H25" s="86" t="n">
        <v>31998.69</v>
      </c>
      <c r="K25" s="87" t="n">
        <v>31998.69</v>
      </c>
    </row>
    <row r="26" ht="15" customHeight="1" s="80">
      <c r="A26" s="85" t="inlineStr">
        <is>
          <t>10/30/2020</t>
        </is>
      </c>
      <c r="B26" s="85" t="inlineStr">
        <is>
          <t>2 - Land Imp - Peter St - 5 - 5yr</t>
        </is>
      </c>
      <c r="I26" s="86" t="n">
        <v>8405.66</v>
      </c>
      <c r="K26" s="87" t="n">
        <v>8405.66</v>
      </c>
    </row>
    <row r="27" ht="15" customHeight="1" s="80">
      <c r="A27" s="85" t="inlineStr">
        <is>
          <t>10/30/2020</t>
        </is>
      </c>
      <c r="B27" s="85" t="inlineStr">
        <is>
          <t>2 - Land Imp - Peter St - 5 - 27.5yr</t>
        </is>
      </c>
      <c r="I27" s="86" t="n">
        <v>32747.13</v>
      </c>
      <c r="K27" s="87" t="n">
        <v>32747.13</v>
      </c>
    </row>
    <row r="28" ht="15" customHeight="1" s="80">
      <c r="A28" s="85" t="inlineStr">
        <is>
          <t>10/30/2020</t>
        </is>
      </c>
      <c r="B28" s="85" t="inlineStr">
        <is>
          <t>3 - Building - Peter St - Office - 5yr</t>
        </is>
      </c>
      <c r="D28" s="86" t="n">
        <v>27366.04</v>
      </c>
      <c r="K28" s="87" t="n">
        <v>27366.04</v>
      </c>
    </row>
    <row r="29" ht="15" customHeight="1" s="80">
      <c r="A29" s="85" t="inlineStr">
        <is>
          <t>10/30/2020</t>
        </is>
      </c>
      <c r="B29" s="85" t="inlineStr">
        <is>
          <t>3 - Building - Peter St - Site - 15yr</t>
        </is>
      </c>
      <c r="C29" s="86" t="n">
        <v>185230.12</v>
      </c>
      <c r="K29" s="87" t="n">
        <v>185230.12</v>
      </c>
    </row>
    <row r="30" ht="15" customHeight="1" s="80">
      <c r="A30" s="85" t="inlineStr">
        <is>
          <t>10/30/2020</t>
        </is>
      </c>
      <c r="B30" s="85" t="inlineStr">
        <is>
          <t>3 - Building - Peter St - Site - 27.5yr</t>
        </is>
      </c>
      <c r="C30" s="86" t="n">
        <v>82116.25</v>
      </c>
      <c r="K30" s="87" t="n">
        <v>82116.25</v>
      </c>
    </row>
    <row r="31" ht="15" customHeight="1" s="80">
      <c r="A31" s="85" t="inlineStr">
        <is>
          <t>10/30/2020</t>
        </is>
      </c>
      <c r="B31" s="85" t="inlineStr">
        <is>
          <t>3 - Building - Peter St - Office - 27.5yr</t>
        </is>
      </c>
      <c r="D31" s="86" t="n">
        <v>146169.89</v>
      </c>
      <c r="K31" s="87" t="n">
        <v>146169.89</v>
      </c>
    </row>
    <row r="32" ht="15" customHeight="1" s="80">
      <c r="A32" s="85" t="inlineStr">
        <is>
          <t>10/30/2020</t>
        </is>
      </c>
      <c r="B32" s="85" t="inlineStr">
        <is>
          <t>3 - Building - Peter St - 1 - 5yr</t>
        </is>
      </c>
      <c r="E32" s="86" t="n">
        <v>79915.16</v>
      </c>
      <c r="K32" s="87" t="n">
        <v>79915.16</v>
      </c>
    </row>
    <row r="33" ht="15" customHeight="1" s="80">
      <c r="A33" s="85" t="inlineStr">
        <is>
          <t>10/30/2020</t>
        </is>
      </c>
      <c r="B33" s="85" t="inlineStr">
        <is>
          <t>3 - Building - Peter St - 1 - 27.5yr</t>
        </is>
      </c>
      <c r="E33" s="86" t="n">
        <v>305340.93</v>
      </c>
      <c r="K33" s="87" t="n">
        <v>305340.93</v>
      </c>
    </row>
    <row r="34" ht="15" customHeight="1" s="80">
      <c r="A34" s="85" t="inlineStr">
        <is>
          <t>10/30/2020</t>
        </is>
      </c>
      <c r="B34" s="85" t="inlineStr">
        <is>
          <t>3 - Building - Peter St - 2 - 5yr</t>
        </is>
      </c>
      <c r="F34" s="86" t="n">
        <v>76039.50999999999</v>
      </c>
      <c r="K34" s="87" t="n">
        <v>76039.50999999999</v>
      </c>
    </row>
    <row r="35" ht="15" customHeight="1" s="80">
      <c r="A35" s="85" t="inlineStr">
        <is>
          <t>10/30/2020</t>
        </is>
      </c>
      <c r="B35" s="85" t="inlineStr">
        <is>
          <t>3 - Building - Peter St - 2 - 27.5yr</t>
        </is>
      </c>
      <c r="F35" s="86" t="n">
        <v>278668.06</v>
      </c>
      <c r="K35" s="87" t="n">
        <v>278668.06</v>
      </c>
    </row>
    <row r="36" ht="15" customHeight="1" s="80">
      <c r="A36" s="85" t="inlineStr">
        <is>
          <t>10/30/2020</t>
        </is>
      </c>
      <c r="B36" s="85" t="inlineStr">
        <is>
          <t>3 - Building - Peter St - 3 - 5yr</t>
        </is>
      </c>
      <c r="G36" s="86" t="n">
        <v>78794.38</v>
      </c>
      <c r="K36" s="87" t="n">
        <v>78794.38</v>
      </c>
    </row>
    <row r="37" ht="15" customHeight="1" s="80">
      <c r="A37" s="85" t="inlineStr">
        <is>
          <t>10/30/2020</t>
        </is>
      </c>
      <c r="B37" s="85" t="inlineStr">
        <is>
          <t>3 - Building - Peter St - 3 - 27.5yr</t>
        </is>
      </c>
      <c r="G37" s="86" t="n">
        <v>306364.79</v>
      </c>
      <c r="K37" s="87" t="n">
        <v>306364.79</v>
      </c>
    </row>
    <row r="38" ht="15" customHeight="1" s="80">
      <c r="A38" s="85" t="inlineStr">
        <is>
          <t>10/30/2020</t>
        </is>
      </c>
      <c r="B38" s="85" t="inlineStr">
        <is>
          <t>3 - Building - Peter St - 4 - 5yr</t>
        </is>
      </c>
      <c r="H38" s="86" t="n">
        <v>82043.63</v>
      </c>
      <c r="K38" s="87" t="n">
        <v>82043.63</v>
      </c>
    </row>
    <row r="39" ht="15" customHeight="1" s="80">
      <c r="A39" s="85" t="inlineStr">
        <is>
          <t>10/30/2020</t>
        </is>
      </c>
      <c r="B39" s="85" t="inlineStr">
        <is>
          <t>3 - Building - Peter St - 4 - 27.5yr</t>
        </is>
      </c>
      <c r="H39" s="86" t="n">
        <v>312323.71</v>
      </c>
      <c r="K39" s="87" t="n">
        <v>312323.71</v>
      </c>
    </row>
    <row r="40" ht="15" customHeight="1" s="80">
      <c r="A40" s="85" t="inlineStr">
        <is>
          <t>10/30/2020</t>
        </is>
      </c>
      <c r="B40" s="85" t="inlineStr">
        <is>
          <t>3 - Building - Peter St - 5 - 5yr</t>
        </is>
      </c>
      <c r="I40" s="86" t="n">
        <v>82043.63</v>
      </c>
      <c r="K40" s="87" t="n">
        <v>82043.63</v>
      </c>
    </row>
    <row r="41" ht="15" customHeight="1" s="80">
      <c r="A41" s="85" t="inlineStr">
        <is>
          <t>10/30/2020</t>
        </is>
      </c>
      <c r="B41" s="85" t="inlineStr">
        <is>
          <t>3 - Building - Peter St - 5 - 27.5yr</t>
        </is>
      </c>
      <c r="I41" s="86" t="n">
        <v>319628.9</v>
      </c>
      <c r="K41" s="87" t="n">
        <v>319628.9</v>
      </c>
    </row>
    <row r="42" ht="15" customHeight="1" s="80">
      <c r="A42" s="85" t="inlineStr">
        <is>
          <t>10/30/2020</t>
        </is>
      </c>
      <c r="B42" s="85" t="inlineStr">
        <is>
          <t>4 - Equipment - Peter St - Office - 5yr</t>
        </is>
      </c>
      <c r="D42" s="86" t="n">
        <v>2085.43</v>
      </c>
      <c r="K42" s="87" t="n">
        <v>2085.43</v>
      </c>
    </row>
    <row r="43" ht="15" customHeight="1" s="80">
      <c r="A43" s="85" t="inlineStr">
        <is>
          <t>10/30/2020</t>
        </is>
      </c>
      <c r="B43" s="85" t="inlineStr">
        <is>
          <t>4 - Equipment - Peter St - Site - 15yr</t>
        </is>
      </c>
      <c r="C43" s="86" t="n">
        <v>14115.49</v>
      </c>
      <c r="K43" s="87" t="n">
        <v>14115.49</v>
      </c>
    </row>
    <row r="44" ht="15" customHeight="1" s="80">
      <c r="A44" s="85" t="inlineStr">
        <is>
          <t>10/30/2020</t>
        </is>
      </c>
      <c r="B44" s="85" t="inlineStr">
        <is>
          <t>4 - Equipment - Peter St - Site - 27.5yr</t>
        </is>
      </c>
      <c r="C44" s="86" t="n">
        <v>6257.68</v>
      </c>
      <c r="K44" s="87" t="n">
        <v>6257.68</v>
      </c>
    </row>
    <row r="45" ht="15" customHeight="1" s="80">
      <c r="A45" s="85" t="inlineStr">
        <is>
          <t>10/30/2020</t>
        </is>
      </c>
      <c r="B45" s="85" t="inlineStr">
        <is>
          <t>4 - Equipment - Peter St - Office - 27.5yr</t>
        </is>
      </c>
      <c r="D45" s="86" t="n">
        <v>11138.9</v>
      </c>
      <c r="K45" s="87" t="n">
        <v>11138.9</v>
      </c>
    </row>
    <row r="46" ht="15" customHeight="1" s="80">
      <c r="A46" s="85" t="inlineStr">
        <is>
          <t>10/30/2020</t>
        </is>
      </c>
      <c r="B46" s="85" t="inlineStr">
        <is>
          <t>4 - Equipment - Peter St - 1 - 5yr</t>
        </is>
      </c>
      <c r="E46" s="86" t="n">
        <v>6089.95</v>
      </c>
      <c r="K46" s="87" t="n">
        <v>6089.95</v>
      </c>
    </row>
    <row r="47" ht="15" customHeight="1" s="80">
      <c r="A47" s="85" t="inlineStr">
        <is>
          <t>10/30/2020</t>
        </is>
      </c>
      <c r="B47" s="85" t="inlineStr">
        <is>
          <t>4 - Equipment - Peter St - 1 - 27.5yr</t>
        </is>
      </c>
      <c r="E47" s="86" t="n">
        <v>23268.55</v>
      </c>
      <c r="K47" s="87" t="n">
        <v>23268.55</v>
      </c>
    </row>
    <row r="48" ht="15" customHeight="1" s="80">
      <c r="A48" s="85" t="inlineStr">
        <is>
          <t>10/30/2020</t>
        </is>
      </c>
      <c r="B48" s="85" t="inlineStr">
        <is>
          <t>4 - Equipment - Peter St - 2 - 5yr</t>
        </is>
      </c>
      <c r="F48" s="86" t="n">
        <v>5794.61</v>
      </c>
      <c r="K48" s="87" t="n">
        <v>5794.61</v>
      </c>
    </row>
    <row r="49" ht="15" customHeight="1" s="80">
      <c r="A49" s="85" t="inlineStr">
        <is>
          <t>10/30/2020</t>
        </is>
      </c>
      <c r="B49" s="85" t="inlineStr">
        <is>
          <t>4 - Equipment - Peter St - 2 - 27.5yr</t>
        </is>
      </c>
      <c r="F49" s="86" t="n">
        <v>21235.94</v>
      </c>
      <c r="K49" s="87" t="n">
        <v>21235.94</v>
      </c>
    </row>
    <row r="50" ht="15" customHeight="1" s="80">
      <c r="A50" s="85" t="inlineStr">
        <is>
          <t>10/30/2020</t>
        </is>
      </c>
      <c r="B50" s="85" t="inlineStr">
        <is>
          <t>4 - Equipment - Peter St - 3 - 5yr</t>
        </is>
      </c>
      <c r="G50" s="86" t="n">
        <v>6004.53</v>
      </c>
      <c r="K50" s="87" t="n">
        <v>6004.53</v>
      </c>
    </row>
    <row r="51" ht="15" customHeight="1" s="80">
      <c r="A51" s="85" t="inlineStr">
        <is>
          <t>10/30/2020</t>
        </is>
      </c>
      <c r="B51" s="85" t="inlineStr">
        <is>
          <t>4 - Equipment - Peter St - 3 - 27.5yr</t>
        </is>
      </c>
      <c r="G51" s="86" t="n">
        <v>23346.58</v>
      </c>
      <c r="K51" s="87" t="n">
        <v>23346.58</v>
      </c>
    </row>
    <row r="52" ht="15" customHeight="1" s="80">
      <c r="A52" s="85" t="inlineStr">
        <is>
          <t>10/30/2020</t>
        </is>
      </c>
      <c r="B52" s="85" t="inlineStr">
        <is>
          <t>4 - Equipment - Peter St - 4 - 5yr</t>
        </is>
      </c>
      <c r="H52" s="86" t="n">
        <v>6252.15</v>
      </c>
      <c r="K52" s="87" t="n">
        <v>6252.15</v>
      </c>
    </row>
    <row r="53" ht="15" customHeight="1" s="80">
      <c r="A53" s="85" t="inlineStr">
        <is>
          <t>10/30/2020</t>
        </is>
      </c>
      <c r="B53" s="85" t="inlineStr">
        <is>
          <t>4 - Equipment - Peter St - 4 - 27.5yr</t>
        </is>
      </c>
      <c r="H53" s="86" t="n">
        <v>23800.67</v>
      </c>
      <c r="K53" s="87" t="n">
        <v>23800.67</v>
      </c>
    </row>
    <row r="54" ht="15" customHeight="1" s="80">
      <c r="A54" s="85" t="inlineStr">
        <is>
          <t>10/30/2020</t>
        </is>
      </c>
      <c r="B54" s="85" t="inlineStr">
        <is>
          <t>4 - Equipment - Peter St - 5 - 5yr</t>
        </is>
      </c>
      <c r="I54" s="86" t="n">
        <v>6252.15</v>
      </c>
      <c r="K54" s="87" t="n">
        <v>6252.15</v>
      </c>
    </row>
    <row r="55" ht="15" customHeight="1" s="80">
      <c r="A55" s="85" t="inlineStr">
        <is>
          <t>10/30/2020</t>
        </is>
      </c>
      <c r="B55" s="85" t="inlineStr">
        <is>
          <t>4 - Equipment - Peter St - 5 - 27.5yr</t>
        </is>
      </c>
      <c r="I55" s="86" t="n">
        <v>24357.37</v>
      </c>
      <c r="K55" s="87" t="n">
        <v>24357.37</v>
      </c>
    </row>
    <row r="56" ht="15" customHeight="1" s="80">
      <c r="A56" s="85" t="inlineStr">
        <is>
          <t>7/1/2021</t>
        </is>
      </c>
      <c r="B56" s="85" t="inlineStr">
        <is>
          <t>8 - Building Improvement - Peter St - 5yr</t>
        </is>
      </c>
      <c r="J56" s="86" t="n">
        <v>23596</v>
      </c>
      <c r="K56" s="87" t="n">
        <v>23596</v>
      </c>
    </row>
    <row r="57" ht="15" customHeight="1" s="80">
      <c r="A57" s="85" t="inlineStr">
        <is>
          <t>7/1/2021</t>
        </is>
      </c>
      <c r="B57" s="85" t="inlineStr">
        <is>
          <t>8 - Building Improvement - Peter St - 27.5yr</t>
        </is>
      </c>
      <c r="J57" s="86" t="n">
        <v>62751</v>
      </c>
      <c r="K57" s="87" t="n">
        <v>62751</v>
      </c>
    </row>
    <row r="59">
      <c r="C59" s="88" t="n">
        <v>315110.14</v>
      </c>
      <c r="D59" s="88" t="n">
        <v>204539.64</v>
      </c>
      <c r="E59" s="88" t="n">
        <v>454085.46</v>
      </c>
      <c r="F59" s="88" t="n">
        <v>418079.19</v>
      </c>
      <c r="G59" s="88" t="n">
        <v>453971.22</v>
      </c>
      <c r="H59" s="88" t="n">
        <v>464824.51</v>
      </c>
      <c r="I59" s="88" t="n">
        <v>473434.84</v>
      </c>
      <c r="J59" s="88" t="n">
        <v>86347</v>
      </c>
      <c r="K59" s="88" t="n">
        <v>2870392</v>
      </c>
    </row>
    <row r="62" ht="20" customHeight="1" s="80">
      <c r="C62" s="89" t="inlineStr">
        <is>
          <t>end deprec</t>
        </is>
      </c>
    </row>
    <row r="63" ht="15" customHeight="1" s="80">
      <c r="A63" s="85" t="inlineStr">
        <is>
          <t>10/30/2020</t>
        </is>
      </c>
      <c r="B63" s="85" t="inlineStr">
        <is>
          <t>2 - Land Imp - Peter St - Site</t>
        </is>
      </c>
      <c r="C63" s="86" t="n">
        <v>27390.6</v>
      </c>
      <c r="D63" s="86" t="n">
        <v>17779.38</v>
      </c>
      <c r="E63" s="86" t="n">
        <v>39470.87</v>
      </c>
      <c r="F63" s="86" t="n">
        <v>36341.07</v>
      </c>
      <c r="G63" s="86" t="n">
        <v>39460.94</v>
      </c>
      <c r="H63" s="86" t="n">
        <v>40404.35</v>
      </c>
      <c r="I63" s="86" t="n">
        <v>41152.79</v>
      </c>
      <c r="K63" s="87" t="n">
        <v>242000</v>
      </c>
    </row>
    <row r="64" ht="15" customHeight="1" s="80">
      <c r="A64" s="85" t="inlineStr">
        <is>
          <t>10/30/2020</t>
        </is>
      </c>
      <c r="B64" s="85" t="inlineStr">
        <is>
          <t>3 - Building - Peter St - Site</t>
        </is>
      </c>
      <c r="C64" s="86" t="n">
        <v>267346.37</v>
      </c>
      <c r="D64" s="86" t="n">
        <v>173535.93</v>
      </c>
      <c r="E64" s="86" t="n">
        <v>385256.09</v>
      </c>
      <c r="F64" s="86" t="n">
        <v>354707.57</v>
      </c>
      <c r="G64" s="86" t="n">
        <v>385159.17</v>
      </c>
      <c r="H64" s="86" t="n">
        <v>394367.34</v>
      </c>
      <c r="I64" s="86" t="n">
        <v>401672.53</v>
      </c>
      <c r="K64" s="87" t="n">
        <v>2362045</v>
      </c>
    </row>
    <row r="65" ht="15" customHeight="1" s="80">
      <c r="A65" s="85" t="inlineStr">
        <is>
          <t>10/30/2020</t>
        </is>
      </c>
      <c r="B65" s="85" t="inlineStr">
        <is>
          <t>4 - Equipment - Peter St - Site</t>
        </is>
      </c>
      <c r="C65" s="86" t="n">
        <v>20373.17</v>
      </c>
      <c r="D65" s="86" t="n">
        <v>13224.33</v>
      </c>
      <c r="E65" s="86" t="n">
        <v>29358.5</v>
      </c>
      <c r="F65" s="86" t="n">
        <v>27030.55</v>
      </c>
      <c r="G65" s="86" t="n">
        <v>29351.11</v>
      </c>
      <c r="H65" s="86" t="n">
        <v>30052.82</v>
      </c>
      <c r="I65" s="86" t="n">
        <v>30609.52</v>
      </c>
      <c r="K65" s="87" t="n">
        <v>180000</v>
      </c>
    </row>
    <row r="66" ht="15" customHeight="1" s="80">
      <c r="A66" s="85" t="inlineStr">
        <is>
          <t>7/1/2021</t>
        </is>
      </c>
      <c r="B66" s="85" t="inlineStr">
        <is>
          <t>8 - Building Improvement - Peter St</t>
        </is>
      </c>
      <c r="J66" s="86" t="n">
        <v>86347</v>
      </c>
      <c r="K66" s="87" t="n">
        <v>86347</v>
      </c>
    </row>
    <row r="68">
      <c r="C68" s="88" t="n">
        <v>88679.32000000001</v>
      </c>
      <c r="D68" s="88" t="n">
        <v>57562.21</v>
      </c>
      <c r="E68" s="88" t="n">
        <v>127790.21</v>
      </c>
      <c r="F68" s="88" t="n">
        <v>117657.22</v>
      </c>
      <c r="G68" s="88" t="n">
        <v>127758.05</v>
      </c>
      <c r="H68" s="88" t="n">
        <v>130812.43</v>
      </c>
      <c r="I68" s="88" t="n">
        <v>133235.56</v>
      </c>
      <c r="J68" s="88" t="n">
        <v>27287</v>
      </c>
      <c r="K68" s="88" t="n">
        <v>810782</v>
      </c>
    </row>
    <row r="70" ht="15" customHeight="1" s="80">
      <c r="A70" s="85" t="inlineStr">
        <is>
          <t>10/30/2020</t>
        </is>
      </c>
      <c r="B70" s="85" t="inlineStr">
        <is>
          <t>2 - Land Imp - Peter St - Office -</t>
        </is>
      </c>
      <c r="D70" s="86" t="n">
        <v>2803.75</v>
      </c>
      <c r="K70" s="87" t="n">
        <v>2803.75</v>
      </c>
    </row>
    <row r="71" ht="15" customHeight="1" s="80">
      <c r="A71" s="85" t="inlineStr">
        <is>
          <t>10/30/2020</t>
        </is>
      </c>
      <c r="B71" s="85" t="inlineStr">
        <is>
          <t>2 - Land Imp - Peter St - Site - 1</t>
        </is>
      </c>
      <c r="C71" s="86" t="n">
        <v>18977.49</v>
      </c>
      <c r="K71" s="87" t="n">
        <v>18977.49</v>
      </c>
    </row>
    <row r="72" ht="15" customHeight="1" s="80">
      <c r="A72" s="85" t="inlineStr">
        <is>
          <t>10/30/2020</t>
        </is>
      </c>
      <c r="B72" s="85" t="inlineStr">
        <is>
          <t>2 - Land Imp - Peter St - Site -</t>
        </is>
      </c>
      <c r="C72" s="86" t="n">
        <v>1287.46</v>
      </c>
      <c r="K72" s="87" t="n">
        <v>1287.46</v>
      </c>
    </row>
    <row r="73" ht="15" customHeight="1" s="80">
      <c r="A73" s="85" t="inlineStr">
        <is>
          <t>10/30/2020</t>
        </is>
      </c>
      <c r="B73" s="85" t="inlineStr">
        <is>
          <t>2 - Land Imp - Peter St - 1 -</t>
        </is>
      </c>
      <c r="E73" s="86" t="n">
        <v>8187.59</v>
      </c>
      <c r="K73" s="87" t="n">
        <v>8187.59</v>
      </c>
    </row>
    <row r="74" ht="15" customHeight="1" s="80">
      <c r="A74" s="85" t="inlineStr">
        <is>
          <t>10/30/2020</t>
        </is>
      </c>
      <c r="B74" s="85" t="inlineStr">
        <is>
          <t>2 - Land Imp - Peter St - 1 -</t>
        </is>
      </c>
      <c r="E74" s="86" t="n">
        <v>4787.27</v>
      </c>
      <c r="K74" s="87" t="n">
        <v>4787.27</v>
      </c>
    </row>
    <row r="75" ht="15" customHeight="1" s="80">
      <c r="A75" s="85" t="inlineStr">
        <is>
          <t>10/30/2020</t>
        </is>
      </c>
      <c r="B75" s="85" t="inlineStr">
        <is>
          <t>2 - Land Imp - Peter St - 2 -</t>
        </is>
      </c>
      <c r="F75" s="86" t="n">
        <v>7790.52</v>
      </c>
      <c r="K75" s="87" t="n">
        <v>7790.52</v>
      </c>
    </row>
    <row r="76" ht="15" customHeight="1" s="80">
      <c r="A76" s="85" t="inlineStr">
        <is>
          <t>10/30/2020</t>
        </is>
      </c>
      <c r="B76" s="85" t="inlineStr">
        <is>
          <t>2 - Land Imp - Peter St - 2 -</t>
        </is>
      </c>
      <c r="F76" s="86" t="n">
        <v>4369.09</v>
      </c>
      <c r="K76" s="87" t="n">
        <v>4369.09</v>
      </c>
    </row>
    <row r="77" ht="15" customHeight="1" s="80">
      <c r="A77" s="85" t="inlineStr">
        <is>
          <t>10/30/2020</t>
        </is>
      </c>
      <c r="B77" s="85" t="inlineStr">
        <is>
          <t>2 - Land Imp - Peter St - 3 -</t>
        </is>
      </c>
      <c r="G77" s="86" t="n">
        <v>8072.77</v>
      </c>
      <c r="K77" s="87" t="n">
        <v>8072.77</v>
      </c>
    </row>
    <row r="78" ht="15" customHeight="1" s="80">
      <c r="A78" s="85" t="inlineStr">
        <is>
          <t>10/30/2020</t>
        </is>
      </c>
      <c r="B78" s="85" t="inlineStr">
        <is>
          <t>2 - Land Imp - Peter St - 3 -</t>
        </is>
      </c>
      <c r="G78" s="86" t="n">
        <v>4803.35</v>
      </c>
      <c r="K78" s="87" t="n">
        <v>4803.35</v>
      </c>
    </row>
    <row r="79" ht="15" customHeight="1" s="80">
      <c r="A79" s="85" t="inlineStr">
        <is>
          <t>10/30/2020</t>
        </is>
      </c>
      <c r="B79" s="85" t="inlineStr">
        <is>
          <t>2 - Land Imp - Peter St - 4 -</t>
        </is>
      </c>
      <c r="H79" s="86" t="n">
        <v>8405.66</v>
      </c>
      <c r="K79" s="87" t="n">
        <v>8405.66</v>
      </c>
    </row>
    <row r="80" ht="15" customHeight="1" s="80">
      <c r="A80" s="85" t="inlineStr">
        <is>
          <t>10/30/2020</t>
        </is>
      </c>
      <c r="B80" s="85" t="inlineStr">
        <is>
          <t>2 - Land Imp - Peter St - 4 -</t>
        </is>
      </c>
      <c r="H80" s="86" t="n">
        <v>4896.77</v>
      </c>
      <c r="K80" s="87" t="n">
        <v>4896.77</v>
      </c>
    </row>
    <row r="81" ht="15" customHeight="1" s="80">
      <c r="A81" s="85" t="inlineStr">
        <is>
          <t>10/30/2020</t>
        </is>
      </c>
      <c r="B81" s="85" t="inlineStr">
        <is>
          <t>2 - Land Imp - Peter St - 5 -</t>
        </is>
      </c>
      <c r="I81" s="86" t="n">
        <v>8405.66</v>
      </c>
      <c r="K81" s="87" t="n">
        <v>8405.66</v>
      </c>
    </row>
    <row r="82" ht="15" customHeight="1" s="80">
      <c r="A82" s="85" t="inlineStr">
        <is>
          <t>10/30/2020</t>
        </is>
      </c>
      <c r="B82" s="85" t="inlineStr">
        <is>
          <t>2 - Land Imp - Peter St - 5 -</t>
        </is>
      </c>
      <c r="I82" s="86" t="n">
        <v>5011.28</v>
      </c>
      <c r="K82" s="87" t="n">
        <v>5011.28</v>
      </c>
    </row>
    <row r="83" ht="15" customHeight="1" s="80">
      <c r="A83" s="85" t="inlineStr">
        <is>
          <t>10/30/2020</t>
        </is>
      </c>
      <c r="B83" s="85" t="inlineStr">
        <is>
          <t>3 - Building - Peter St - Office -</t>
        </is>
      </c>
      <c r="D83" s="86" t="n">
        <v>27366.04</v>
      </c>
      <c r="K83" s="87" t="n">
        <v>27366.04</v>
      </c>
    </row>
    <row r="84" ht="15" customHeight="1" s="80">
      <c r="A84" s="85" t="inlineStr">
        <is>
          <t>10/30/2020</t>
        </is>
      </c>
      <c r="B84" s="85" t="inlineStr">
        <is>
          <t>3 - Building - Peter St - Site - 1</t>
        </is>
      </c>
      <c r="C84" s="86" t="n">
        <v>185230.12</v>
      </c>
      <c r="K84" s="87" t="n">
        <v>185230.12</v>
      </c>
    </row>
    <row r="85" ht="15" customHeight="1" s="80">
      <c r="A85" s="85" t="inlineStr">
        <is>
          <t>10/30/2020</t>
        </is>
      </c>
      <c r="B85" s="85" t="inlineStr">
        <is>
          <t>3 - Building - Peter St - Site -</t>
        </is>
      </c>
      <c r="C85" s="86" t="n">
        <v>12566.29</v>
      </c>
      <c r="K85" s="87" t="n">
        <v>12566.29</v>
      </c>
    </row>
    <row r="86" ht="15" customHeight="1" s="80">
      <c r="A86" s="85" t="inlineStr">
        <is>
          <t>10/30/2020</t>
        </is>
      </c>
      <c r="B86" s="85" t="inlineStr">
        <is>
          <t>3 - Building - Peter St - 1 -</t>
        </is>
      </c>
      <c r="E86" s="86" t="n">
        <v>79915.16</v>
      </c>
      <c r="K86" s="87" t="n">
        <v>79915.16</v>
      </c>
    </row>
    <row r="87" ht="15" customHeight="1" s="80">
      <c r="A87" s="85" t="inlineStr">
        <is>
          <t>10/30/2020</t>
        </is>
      </c>
      <c r="B87" s="85" t="inlineStr">
        <is>
          <t>3 - Building - Peter St - 1 -</t>
        </is>
      </c>
      <c r="E87" s="86" t="n">
        <v>46726.43</v>
      </c>
      <c r="K87" s="87" t="n">
        <v>46726.43</v>
      </c>
    </row>
    <row r="88" ht="15" customHeight="1" s="80">
      <c r="A88" s="85" t="inlineStr">
        <is>
          <t>10/30/2020</t>
        </is>
      </c>
      <c r="B88" s="85" t="inlineStr">
        <is>
          <t>3 - Building - Peter St - 2 -</t>
        </is>
      </c>
      <c r="F88" s="86" t="n">
        <v>76039.50999999999</v>
      </c>
      <c r="K88" s="87" t="n">
        <v>76039.50999999999</v>
      </c>
    </row>
    <row r="89" ht="15" customHeight="1" s="80">
      <c r="A89" s="85" t="inlineStr">
        <is>
          <t>10/30/2020</t>
        </is>
      </c>
      <c r="B89" s="85" t="inlineStr">
        <is>
          <t>3 - Building - Peter St - 2 -</t>
        </is>
      </c>
      <c r="F89" s="86" t="n">
        <v>42644.64</v>
      </c>
      <c r="K89" s="87" t="n">
        <v>42644.64</v>
      </c>
    </row>
    <row r="90" ht="15" customHeight="1" s="80">
      <c r="A90" s="85" t="inlineStr">
        <is>
          <t>10/30/2020</t>
        </is>
      </c>
      <c r="B90" s="85" t="inlineStr">
        <is>
          <t>3 - Building - Peter St - 3 -</t>
        </is>
      </c>
      <c r="G90" s="86" t="n">
        <v>78794.38</v>
      </c>
      <c r="K90" s="87" t="n">
        <v>78794.38</v>
      </c>
    </row>
    <row r="91" ht="15" customHeight="1" s="80">
      <c r="A91" s="85" t="inlineStr">
        <is>
          <t>10/30/2020</t>
        </is>
      </c>
      <c r="B91" s="85" t="inlineStr">
        <is>
          <t>3 - Building - Peter St - 3 -</t>
        </is>
      </c>
      <c r="G91" s="86" t="n">
        <v>46883.11</v>
      </c>
      <c r="K91" s="87" t="n">
        <v>46883.11</v>
      </c>
    </row>
    <row r="92" ht="15" customHeight="1" s="80">
      <c r="A92" s="85" t="inlineStr">
        <is>
          <t>10/30/2020</t>
        </is>
      </c>
      <c r="B92" s="85" t="inlineStr">
        <is>
          <t>3 - Building - Peter St - 4 -</t>
        </is>
      </c>
      <c r="H92" s="86" t="n">
        <v>82043.63</v>
      </c>
      <c r="K92" s="87" t="n">
        <v>82043.63</v>
      </c>
    </row>
    <row r="93" ht="15" customHeight="1" s="80">
      <c r="A93" s="85" t="inlineStr">
        <is>
          <t>10/30/2020</t>
        </is>
      </c>
      <c r="B93" s="85" t="inlineStr">
        <is>
          <t>3 - Building - Peter St - 4 -</t>
        </is>
      </c>
      <c r="H93" s="86" t="n">
        <v>47795.01</v>
      </c>
      <c r="K93" s="87" t="n">
        <v>47795.01</v>
      </c>
    </row>
    <row r="94" ht="15" customHeight="1" s="80">
      <c r="A94" s="85" t="inlineStr">
        <is>
          <t>10/30/2020</t>
        </is>
      </c>
      <c r="B94" s="85" t="inlineStr">
        <is>
          <t>3 - Building - Peter St - 5 -</t>
        </is>
      </c>
      <c r="I94" s="86" t="n">
        <v>82043.63</v>
      </c>
      <c r="K94" s="87" t="n">
        <v>82043.63</v>
      </c>
    </row>
    <row r="95" ht="15" customHeight="1" s="80">
      <c r="A95" s="85" t="inlineStr">
        <is>
          <t>10/30/2020</t>
        </is>
      </c>
      <c r="B95" s="85" t="inlineStr">
        <is>
          <t>3 - Building - Peter St - 5 -</t>
        </is>
      </c>
      <c r="I95" s="86" t="n">
        <v>48912.91</v>
      </c>
      <c r="K95" s="87" t="n">
        <v>48912.91</v>
      </c>
    </row>
    <row r="96" ht="15" customHeight="1" s="80">
      <c r="A96" s="85" t="inlineStr">
        <is>
          <t>10/30/2020</t>
        </is>
      </c>
      <c r="B96" s="85" t="inlineStr">
        <is>
          <t>4 - Equipment - Peter St - Office -</t>
        </is>
      </c>
      <c r="D96" s="86" t="n">
        <v>2085.43</v>
      </c>
      <c r="K96" s="87" t="n">
        <v>2085.43</v>
      </c>
    </row>
    <row r="97" ht="15" customHeight="1" s="80">
      <c r="A97" s="85" t="inlineStr">
        <is>
          <t>10/30/2020</t>
        </is>
      </c>
      <c r="B97" s="85" t="inlineStr">
        <is>
          <t>4 - Equipment - Peter St - Site - 1</t>
        </is>
      </c>
      <c r="C97" s="86" t="n">
        <v>14115.49</v>
      </c>
      <c r="K97" s="87" t="n">
        <v>14115.49</v>
      </c>
    </row>
    <row r="98" ht="15" customHeight="1" s="80">
      <c r="A98" s="85" t="inlineStr">
        <is>
          <t>10/30/2020</t>
        </is>
      </c>
      <c r="B98" s="85" t="inlineStr">
        <is>
          <t>4 - Equipment - Peter St - Site -</t>
        </is>
      </c>
      <c r="C98" s="86" t="n">
        <v>957.61</v>
      </c>
      <c r="K98" s="87" t="n">
        <v>957.61</v>
      </c>
    </row>
    <row r="99" ht="15" customHeight="1" s="80">
      <c r="A99" s="85" t="inlineStr">
        <is>
          <t>10/30/2020</t>
        </is>
      </c>
      <c r="B99" s="85" t="inlineStr">
        <is>
          <t>4 - Equipment - Peter St - 1 -</t>
        </is>
      </c>
      <c r="E99" s="86" t="n">
        <v>6089.95</v>
      </c>
      <c r="K99" s="87" t="n">
        <v>6089.95</v>
      </c>
    </row>
    <row r="100" ht="15" customHeight="1" s="80">
      <c r="A100" s="85" t="inlineStr">
        <is>
          <t>10/30/2020</t>
        </is>
      </c>
      <c r="B100" s="85" t="inlineStr">
        <is>
          <t>4 - Equipment - Peter St - 1 -</t>
        </is>
      </c>
      <c r="E100" s="86" t="n">
        <v>3560.8</v>
      </c>
      <c r="K100" s="87" t="n">
        <v>3560.8</v>
      </c>
    </row>
    <row r="101" ht="15" customHeight="1" s="80">
      <c r="A101" s="85" t="inlineStr">
        <is>
          <t>10/30/2020</t>
        </is>
      </c>
      <c r="B101" s="85" t="inlineStr">
        <is>
          <t>4 - Equipment - Peter St - 2 -</t>
        </is>
      </c>
      <c r="F101" s="86" t="n">
        <v>5794.61</v>
      </c>
      <c r="K101" s="87" t="n">
        <v>5794.61</v>
      </c>
    </row>
    <row r="102" ht="15" customHeight="1" s="80">
      <c r="A102" s="85" t="inlineStr">
        <is>
          <t>10/30/2020</t>
        </is>
      </c>
      <c r="B102" s="85" t="inlineStr">
        <is>
          <t>4 - Equipment - Peter St - 2 -</t>
        </is>
      </c>
      <c r="F102" s="86" t="n">
        <v>3249.76</v>
      </c>
      <c r="K102" s="87" t="n">
        <v>3249.76</v>
      </c>
    </row>
    <row r="103" ht="15" customHeight="1" s="80">
      <c r="A103" s="85" t="inlineStr">
        <is>
          <t>10/30/2020</t>
        </is>
      </c>
      <c r="B103" s="85" t="inlineStr">
        <is>
          <t>4 - Equipment - Peter St - 3 -</t>
        </is>
      </c>
      <c r="G103" s="86" t="n">
        <v>6004.53</v>
      </c>
      <c r="K103" s="87" t="n">
        <v>6004.53</v>
      </c>
    </row>
    <row r="104" ht="15" customHeight="1" s="80">
      <c r="A104" s="85" t="inlineStr">
        <is>
          <t>10/30/2020</t>
        </is>
      </c>
      <c r="B104" s="85" t="inlineStr">
        <is>
          <t>4 - Equipment - Peter St - 3 -</t>
        </is>
      </c>
      <c r="G104" s="86" t="n">
        <v>3572.75</v>
      </c>
      <c r="K104" s="87" t="n">
        <v>3572.75</v>
      </c>
    </row>
    <row r="105" ht="15" customHeight="1" s="80">
      <c r="A105" s="85" t="inlineStr">
        <is>
          <t>10/30/2020</t>
        </is>
      </c>
      <c r="B105" s="85" t="inlineStr">
        <is>
          <t>4 - Equipment - Peter St - 4 -</t>
        </is>
      </c>
      <c r="H105" s="86" t="n">
        <v>6252.15</v>
      </c>
      <c r="K105" s="87" t="n">
        <v>6252.15</v>
      </c>
    </row>
    <row r="106" ht="15" customHeight="1" s="80">
      <c r="A106" s="85" t="inlineStr">
        <is>
          <t>10/30/2020</t>
        </is>
      </c>
      <c r="B106" s="85" t="inlineStr">
        <is>
          <t>4 - Equipment - Peter St - 4 -</t>
        </is>
      </c>
      <c r="H106" s="86" t="n">
        <v>3642.23</v>
      </c>
      <c r="K106" s="87" t="n">
        <v>3642.23</v>
      </c>
    </row>
    <row r="107" ht="15" customHeight="1" s="80">
      <c r="A107" s="85" t="inlineStr">
        <is>
          <t>10/30/2020</t>
        </is>
      </c>
      <c r="B107" s="85" t="inlineStr">
        <is>
          <t>4 - Equipment - Peter St - 5 -</t>
        </is>
      </c>
      <c r="I107" s="86" t="n">
        <v>6252.15</v>
      </c>
      <c r="K107" s="87" t="n">
        <v>6252.15</v>
      </c>
    </row>
    <row r="108" ht="15" customHeight="1" s="80">
      <c r="A108" s="85" t="inlineStr">
        <is>
          <t>10/30/2020</t>
        </is>
      </c>
      <c r="B108" s="85" t="inlineStr">
        <is>
          <t>4 - Equipment - Peter St - 5 -</t>
        </is>
      </c>
      <c r="I108" s="86" t="n">
        <v>3727.41</v>
      </c>
      <c r="K108" s="87" t="n">
        <v>3727.41</v>
      </c>
    </row>
    <row r="109" ht="15" customHeight="1" s="80">
      <c r="A109" s="85" t="inlineStr">
        <is>
          <t>7/1/2021</t>
        </is>
      </c>
      <c r="B109" s="85" t="inlineStr">
        <is>
          <t>8 - Building Improvement - Peter St -</t>
        </is>
      </c>
      <c r="J109" s="86" t="n">
        <v>23596</v>
      </c>
      <c r="K109" s="87" t="n">
        <v>23596</v>
      </c>
    </row>
    <row r="110" ht="15" customHeight="1" s="80">
      <c r="A110" s="85" t="inlineStr">
        <is>
          <t>7/1/2021</t>
        </is>
      </c>
      <c r="B110" s="85" t="inlineStr">
        <is>
          <t>8 - Building Improvement - Peter St -</t>
        </is>
      </c>
      <c r="J110" s="86" t="n">
        <v>7891.4</v>
      </c>
      <c r="K110" s="87" t="n">
        <v>7891.4</v>
      </c>
    </row>
    <row r="112">
      <c r="C112" s="88" t="n">
        <v>233134.46</v>
      </c>
      <c r="D112" s="88" t="n">
        <v>58619.97</v>
      </c>
      <c r="E112" s="88" t="n">
        <v>149267.2</v>
      </c>
      <c r="F112" s="88" t="n">
        <v>139888.13</v>
      </c>
      <c r="G112" s="88" t="n">
        <v>148130.89</v>
      </c>
      <c r="H112" s="88" t="n">
        <v>153035.45</v>
      </c>
      <c r="I112" s="88" t="n">
        <v>154353.04</v>
      </c>
      <c r="J112" s="88" t="n">
        <v>31487.4</v>
      </c>
      <c r="K112" s="88" t="n">
        <v>1067916.54</v>
      </c>
    </row>
    <row r="114">
      <c r="B114" s="90" t="inlineStr">
        <is>
          <t>Section 481(a) Adjustment</t>
        </is>
      </c>
      <c r="C114" s="88" t="n">
        <v>144455.14</v>
      </c>
      <c r="D114" s="88" t="n">
        <v>1057.760000000002</v>
      </c>
      <c r="E114" s="88" t="n">
        <v>21476.99000000001</v>
      </c>
      <c r="F114" s="88" t="n">
        <v>22230.91</v>
      </c>
      <c r="G114" s="88" t="n">
        <v>20372.84000000001</v>
      </c>
      <c r="H114" s="88" t="n">
        <v>22223.02000000002</v>
      </c>
      <c r="I114" s="88" t="n">
        <v>21117.48000000001</v>
      </c>
      <c r="J114" s="88" t="n">
        <v>4200.400000000001</v>
      </c>
      <c r="K114" s="88" t="n">
        <v>257134.54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s>
  <sheetData>
    <row r="1">
      <c r="A1" s="81" t="inlineStr">
        <is>
          <t>Coral Village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Office</t>
        </is>
      </c>
      <c r="E4" s="83" t="inlineStr">
        <is>
          <t>Building 1</t>
        </is>
      </c>
      <c r="F4" s="83" t="inlineStr">
        <is>
          <t>Building 2</t>
        </is>
      </c>
      <c r="G4" s="83" t="inlineStr">
        <is>
          <t>Building 3</t>
        </is>
      </c>
      <c r="H4" s="83" t="inlineStr">
        <is>
          <t>Building 4</t>
        </is>
      </c>
      <c r="I4" s="83" t="inlineStr">
        <is>
          <t>Building 5</t>
        </is>
      </c>
      <c r="J4" s="83" t="inlineStr">
        <is>
          <t>Building 6</t>
        </is>
      </c>
      <c r="K4" s="83" t="inlineStr">
        <is>
          <t>Building 7</t>
        </is>
      </c>
      <c r="L4" s="83" t="inlineStr">
        <is>
          <t>Building 8</t>
        </is>
      </c>
      <c r="M4" s="83" t="inlineStr">
        <is>
          <t>Building 9</t>
        </is>
      </c>
      <c r="N4" s="83" t="inlineStr">
        <is>
          <t>total cost</t>
        </is>
      </c>
    </row>
    <row r="5" ht="15" customHeight="1" s="80">
      <c r="A5" s="85" t="inlineStr">
        <is>
          <t>03/24/2026</t>
        </is>
      </c>
      <c r="B5" s="85" t="inlineStr">
        <is>
          <t>2 - Building - Coral Village</t>
        </is>
      </c>
      <c r="C5" s="86" t="n">
        <v>531007.0699999999</v>
      </c>
      <c r="D5" s="86" t="n">
        <v>119699.06</v>
      </c>
      <c r="E5" s="86" t="n">
        <v>383408.73</v>
      </c>
      <c r="F5" s="86" t="n">
        <v>302676.39</v>
      </c>
      <c r="G5" s="86" t="n">
        <v>383408.73</v>
      </c>
      <c r="H5" s="86" t="n">
        <v>302676.39</v>
      </c>
      <c r="I5" s="86" t="n">
        <v>383408.73</v>
      </c>
      <c r="J5" s="86" t="n">
        <v>302676.39</v>
      </c>
      <c r="K5" s="86" t="n">
        <v>383408.73</v>
      </c>
      <c r="L5" s="86" t="n">
        <v>302676.39</v>
      </c>
      <c r="M5" s="86" t="n">
        <v>302676.39</v>
      </c>
      <c r="N5" s="87" t="n">
        <v>3697723</v>
      </c>
    </row>
    <row r="6" ht="15" customHeight="1" s="80">
      <c r="A6" s="85" t="inlineStr">
        <is>
          <t>03/24/2026</t>
        </is>
      </c>
      <c r="B6" s="85" t="inlineStr">
        <is>
          <t>3 - Land Improvements - Coral Village</t>
        </is>
      </c>
      <c r="C6" s="86" t="n">
        <v>57862.97</v>
      </c>
      <c r="D6" s="86" t="n">
        <v>13043.42</v>
      </c>
      <c r="E6" s="86" t="n">
        <v>41779.44</v>
      </c>
      <c r="F6" s="86" t="n">
        <v>32982.17</v>
      </c>
      <c r="G6" s="86" t="n">
        <v>41779.44</v>
      </c>
      <c r="H6" s="86" t="n">
        <v>32982.17</v>
      </c>
      <c r="I6" s="86" t="n">
        <v>41779.44</v>
      </c>
      <c r="J6" s="86" t="n">
        <v>32982.17</v>
      </c>
      <c r="K6" s="86" t="n">
        <v>41779.44</v>
      </c>
      <c r="L6" s="86" t="n">
        <v>32982.17</v>
      </c>
      <c r="M6" s="86" t="n">
        <v>32982.17</v>
      </c>
      <c r="N6" s="87" t="n">
        <v>402934.9999999999</v>
      </c>
    </row>
    <row r="7" ht="15" customHeight="1" s="80">
      <c r="A7" s="85" t="inlineStr">
        <is>
          <t>03/24/2026</t>
        </is>
      </c>
      <c r="B7" s="85" t="inlineStr">
        <is>
          <t>4 - Equipment - Coral Village</t>
        </is>
      </c>
      <c r="C7" s="86" t="n">
        <v>108493.26</v>
      </c>
      <c r="D7" s="86" t="n">
        <v>24456.43</v>
      </c>
      <c r="E7" s="86" t="n">
        <v>78336.53999999999</v>
      </c>
      <c r="F7" s="86" t="n">
        <v>61841.63</v>
      </c>
      <c r="G7" s="86" t="n">
        <v>78336.53999999999</v>
      </c>
      <c r="H7" s="86" t="n">
        <v>61841.63</v>
      </c>
      <c r="I7" s="86" t="n">
        <v>78336.53999999999</v>
      </c>
      <c r="J7" s="86" t="n">
        <v>61841.63</v>
      </c>
      <c r="K7" s="86" t="n">
        <v>78336.53999999999</v>
      </c>
      <c r="L7" s="86" t="n">
        <v>61841.63</v>
      </c>
      <c r="M7" s="86" t="n">
        <v>61841.63</v>
      </c>
      <c r="N7" s="87" t="n">
        <v>755504</v>
      </c>
    </row>
    <row r="9">
      <c r="C9" s="88" t="n">
        <v>697363.2999999999</v>
      </c>
      <c r="D9" s="88" t="n">
        <v>157198.91</v>
      </c>
      <c r="E9" s="88" t="n">
        <v>503524.71</v>
      </c>
      <c r="F9" s="88" t="n">
        <v>397500.19</v>
      </c>
      <c r="G9" s="88" t="n">
        <v>503524.71</v>
      </c>
      <c r="H9" s="88" t="n">
        <v>397500.19</v>
      </c>
      <c r="I9" s="88" t="n">
        <v>503524.71</v>
      </c>
      <c r="J9" s="88" t="n">
        <v>397500.19</v>
      </c>
      <c r="K9" s="88" t="n">
        <v>503524.71</v>
      </c>
      <c r="L9" s="88" t="n">
        <v>397500.19</v>
      </c>
      <c r="M9" s="88" t="n">
        <v>397500.19</v>
      </c>
      <c r="N9" s="88" t="n">
        <v>4856162</v>
      </c>
    </row>
    <row r="12" ht="30" customHeight="1" s="80">
      <c r="A12" s="83" t="inlineStr">
        <is>
          <t>Acq Date</t>
        </is>
      </c>
      <c r="B12" s="83" t="inlineStr"/>
      <c r="C12" s="83" t="inlineStr">
        <is>
          <t>Site</t>
        </is>
      </c>
      <c r="D12" s="83" t="inlineStr">
        <is>
          <t>Office</t>
        </is>
      </c>
      <c r="E12" s="83" t="inlineStr">
        <is>
          <t>Building 1</t>
        </is>
      </c>
      <c r="F12" s="83" t="inlineStr">
        <is>
          <t>Building 2</t>
        </is>
      </c>
      <c r="G12" s="83" t="inlineStr">
        <is>
          <t>Building 3</t>
        </is>
      </c>
      <c r="H12" s="83" t="inlineStr">
        <is>
          <t>Building 4</t>
        </is>
      </c>
      <c r="I12" s="83" t="inlineStr">
        <is>
          <t>Building 5</t>
        </is>
      </c>
      <c r="J12" s="83" t="inlineStr">
        <is>
          <t>Building 6</t>
        </is>
      </c>
      <c r="K12" s="83" t="inlineStr">
        <is>
          <t>Building 7</t>
        </is>
      </c>
      <c r="L12" s="83" t="inlineStr">
        <is>
          <t>Building 8</t>
        </is>
      </c>
      <c r="M12" s="83" t="inlineStr">
        <is>
          <t>Building 9</t>
        </is>
      </c>
      <c r="N12" s="83" t="inlineStr">
        <is>
          <t>total cost</t>
        </is>
      </c>
    </row>
    <row r="13" ht="15" customHeight="1" s="80">
      <c r="A13" s="85" t="inlineStr">
        <is>
          <t>03/24/2026</t>
        </is>
      </c>
      <c r="B13" s="85" t="inlineStr">
        <is>
          <t>2 - Building - Coral Village - Site - 7yr</t>
        </is>
      </c>
      <c r="C13" s="86" t="n">
        <v>1284.15</v>
      </c>
      <c r="N13" s="87" t="n">
        <v>1284.15</v>
      </c>
    </row>
    <row r="14" ht="15" customHeight="1" s="80">
      <c r="A14" s="85" t="inlineStr">
        <is>
          <t>03/24/2026</t>
        </is>
      </c>
      <c r="B14" s="85" t="inlineStr">
        <is>
          <t>2 - Building - Coral Village - Site - 27.5yr</t>
        </is>
      </c>
      <c r="C14" s="86" t="n">
        <v>238751.37</v>
      </c>
      <c r="N14" s="87" t="n">
        <v>238751.37</v>
      </c>
    </row>
    <row r="15" ht="15" customHeight="1" s="80">
      <c r="A15" s="85" t="inlineStr">
        <is>
          <t>03/24/2026</t>
        </is>
      </c>
      <c r="B15" s="85" t="inlineStr">
        <is>
          <t>2 - Building - Coral Village - Office - 15yr</t>
        </is>
      </c>
      <c r="D15" s="86" t="n">
        <v>18498.54</v>
      </c>
      <c r="N15" s="87" t="n">
        <v>18498.54</v>
      </c>
    </row>
    <row r="16" ht="15" customHeight="1" s="80">
      <c r="A16" s="85" t="inlineStr">
        <is>
          <t>03/24/2026</t>
        </is>
      </c>
      <c r="B16" s="85" t="inlineStr">
        <is>
          <t>2 - Building - Coral Village - Office - 27.5yr</t>
        </is>
      </c>
      <c r="D16" s="86" t="n">
        <v>101200.52</v>
      </c>
      <c r="N16" s="87" t="n">
        <v>101200.52</v>
      </c>
    </row>
    <row r="17" ht="15" customHeight="1" s="80">
      <c r="A17" s="85" t="inlineStr">
        <is>
          <t>03/24/2026</t>
        </is>
      </c>
      <c r="B17" s="85" t="inlineStr">
        <is>
          <t>2 - Building - Coral Village - Bldg 1 - 15yr</t>
        </is>
      </c>
      <c r="E17" s="86" t="n">
        <v>95762.44</v>
      </c>
      <c r="N17" s="87" t="n">
        <v>95762.44</v>
      </c>
    </row>
    <row r="18" ht="15" customHeight="1" s="80">
      <c r="A18" s="85" t="inlineStr">
        <is>
          <t>03/24/2026</t>
        </is>
      </c>
      <c r="B18" s="85" t="inlineStr">
        <is>
          <t>2 - Building - Coral Village - Bldg 1 - 27.5yr</t>
        </is>
      </c>
      <c r="E18" s="86" t="n">
        <v>287646.29</v>
      </c>
      <c r="N18" s="87" t="n">
        <v>287646.29</v>
      </c>
    </row>
    <row r="19" ht="15" customHeight="1" s="80">
      <c r="A19" s="85" t="inlineStr">
        <is>
          <t>03/24/2026</t>
        </is>
      </c>
      <c r="B19" s="85" t="inlineStr">
        <is>
          <t>2 - Building - Coral Village - Bldg 2 - 15yr</t>
        </is>
      </c>
      <c r="F19" s="86" t="n">
        <v>83590.83</v>
      </c>
      <c r="N19" s="87" t="n">
        <v>83590.83</v>
      </c>
    </row>
    <row r="20" ht="15" customHeight="1" s="80">
      <c r="A20" s="85" t="inlineStr">
        <is>
          <t>03/24/2026</t>
        </is>
      </c>
      <c r="B20" s="85" t="inlineStr">
        <is>
          <t>2 - Building - Coral Village - Bldg 2 - 27.5yr</t>
        </is>
      </c>
      <c r="F20" s="86" t="n">
        <v>219085.56</v>
      </c>
      <c r="N20" s="87" t="n">
        <v>219085.56</v>
      </c>
    </row>
    <row r="21" ht="15" customHeight="1" s="80">
      <c r="A21" s="85" t="inlineStr">
        <is>
          <t>03/24/2026</t>
        </is>
      </c>
      <c r="B21" s="85" t="inlineStr">
        <is>
          <t>2 - Building - Coral Village - Bldg 3 - 15yr</t>
        </is>
      </c>
      <c r="G21" s="86" t="n">
        <v>95762.44</v>
      </c>
      <c r="N21" s="87" t="n">
        <v>95762.44</v>
      </c>
    </row>
    <row r="22" ht="15" customHeight="1" s="80">
      <c r="A22" s="85" t="inlineStr">
        <is>
          <t>03/24/2026</t>
        </is>
      </c>
      <c r="B22" s="85" t="inlineStr">
        <is>
          <t>2 - Building - Coral Village - Bldg 3 - 27.5yr</t>
        </is>
      </c>
      <c r="G22" s="86" t="n">
        <v>287646.29</v>
      </c>
      <c r="N22" s="87" t="n">
        <v>287646.29</v>
      </c>
    </row>
    <row r="23" ht="15" customHeight="1" s="80">
      <c r="A23" s="85" t="inlineStr">
        <is>
          <t>03/24/2026</t>
        </is>
      </c>
      <c r="B23" s="85" t="inlineStr">
        <is>
          <t>2 - Building - Coral Village - Bldg 4 - 15yr</t>
        </is>
      </c>
      <c r="H23" s="86" t="n">
        <v>83590.83</v>
      </c>
      <c r="N23" s="87" t="n">
        <v>83590.83</v>
      </c>
    </row>
    <row r="24" ht="15" customHeight="1" s="80">
      <c r="A24" s="85" t="inlineStr">
        <is>
          <t>03/24/2026</t>
        </is>
      </c>
      <c r="B24" s="85" t="inlineStr">
        <is>
          <t>2 - Building - Coral Village - Bldg 4 - 27.5yr</t>
        </is>
      </c>
      <c r="H24" s="86" t="n">
        <v>219085.56</v>
      </c>
      <c r="N24" s="87" t="n">
        <v>219085.56</v>
      </c>
    </row>
    <row r="25" ht="15" customHeight="1" s="80">
      <c r="A25" s="85" t="inlineStr">
        <is>
          <t>03/24/2026</t>
        </is>
      </c>
      <c r="B25" s="85" t="inlineStr">
        <is>
          <t>2 - Building - Coral Village - Bldg 5 - 15yr</t>
        </is>
      </c>
      <c r="I25" s="86" t="n">
        <v>95762.44</v>
      </c>
      <c r="N25" s="87" t="n">
        <v>95762.44</v>
      </c>
    </row>
    <row r="26" ht="15" customHeight="1" s="80">
      <c r="A26" s="85" t="inlineStr">
        <is>
          <t>03/24/2026</t>
        </is>
      </c>
      <c r="B26" s="85" t="inlineStr">
        <is>
          <t>2 - Building - Coral Village - Bldg 5 - 27.5yr</t>
        </is>
      </c>
      <c r="I26" s="86" t="n">
        <v>287646.29</v>
      </c>
      <c r="N26" s="87" t="n">
        <v>287646.29</v>
      </c>
    </row>
    <row r="27" ht="15" customHeight="1" s="80">
      <c r="A27" s="85" t="inlineStr">
        <is>
          <t>03/24/2026</t>
        </is>
      </c>
      <c r="B27" s="85" t="inlineStr">
        <is>
          <t>2 - Building - Coral Village - Bldg 6 - 15yr</t>
        </is>
      </c>
      <c r="J27" s="86" t="n">
        <v>83590.83</v>
      </c>
      <c r="N27" s="87" t="n">
        <v>83590.83</v>
      </c>
    </row>
    <row r="28" ht="15" customHeight="1" s="80">
      <c r="A28" s="85" t="inlineStr">
        <is>
          <t>03/24/2026</t>
        </is>
      </c>
      <c r="B28" s="85" t="inlineStr">
        <is>
          <t>2 - Building - Coral Village - Bldg 6 - 27.5yr</t>
        </is>
      </c>
      <c r="J28" s="86" t="n">
        <v>219085.56</v>
      </c>
      <c r="N28" s="87" t="n">
        <v>219085.56</v>
      </c>
    </row>
    <row r="29" ht="15" customHeight="1" s="80">
      <c r="A29" s="85" t="inlineStr">
        <is>
          <t>03/24/2026</t>
        </is>
      </c>
      <c r="B29" s="85" t="inlineStr">
        <is>
          <t>2 - Building - Coral Village - Bldg 7 - 15yr</t>
        </is>
      </c>
      <c r="K29" s="86" t="n">
        <v>95762.44</v>
      </c>
      <c r="N29" s="87" t="n">
        <v>95762.44</v>
      </c>
    </row>
    <row r="30" ht="15" customHeight="1" s="80">
      <c r="A30" s="85" t="inlineStr">
        <is>
          <t>03/24/2026</t>
        </is>
      </c>
      <c r="B30" s="85" t="inlineStr">
        <is>
          <t>2 - Building - Coral Village - Bldg 7 - 27.5yr</t>
        </is>
      </c>
      <c r="K30" s="86" t="n">
        <v>287646.29</v>
      </c>
      <c r="N30" s="87" t="n">
        <v>287646.29</v>
      </c>
    </row>
    <row r="31" ht="15" customHeight="1" s="80">
      <c r="A31" s="85" t="inlineStr">
        <is>
          <t>03/24/2026</t>
        </is>
      </c>
      <c r="B31" s="85" t="inlineStr">
        <is>
          <t>2 - Building - Coral Village - Bldg 8 - 15yr</t>
        </is>
      </c>
      <c r="L31" s="86" t="n">
        <v>83590.83</v>
      </c>
      <c r="N31" s="87" t="n">
        <v>83590.83</v>
      </c>
    </row>
    <row r="32" ht="15" customHeight="1" s="80">
      <c r="A32" s="85" t="inlineStr">
        <is>
          <t>03/24/2026</t>
        </is>
      </c>
      <c r="B32" s="85" t="inlineStr">
        <is>
          <t>2 - Building - Coral Village - Bldg 8 - 27.5yr</t>
        </is>
      </c>
      <c r="L32" s="86" t="n">
        <v>219085.56</v>
      </c>
      <c r="N32" s="87" t="n">
        <v>219085.56</v>
      </c>
    </row>
    <row r="33" ht="15" customHeight="1" s="80">
      <c r="A33" s="85" t="inlineStr">
        <is>
          <t>03/24/2026</t>
        </is>
      </c>
      <c r="B33" s="85" t="inlineStr">
        <is>
          <t>2 - Building - Coral Village - Bldg 9 - 15yr</t>
        </is>
      </c>
      <c r="M33" s="86" t="n">
        <v>83590.83</v>
      </c>
      <c r="N33" s="87" t="n">
        <v>83590.83</v>
      </c>
    </row>
    <row r="34" ht="15" customHeight="1" s="80">
      <c r="A34" s="85" t="inlineStr">
        <is>
          <t>03/24/2026</t>
        </is>
      </c>
      <c r="B34" s="85" t="inlineStr">
        <is>
          <t>2 - Building - Coral Village - Bldg 9 - 27.5yr</t>
        </is>
      </c>
      <c r="M34" s="86" t="n">
        <v>219085.56</v>
      </c>
      <c r="N34" s="87" t="n">
        <v>219085.56</v>
      </c>
    </row>
    <row r="35" ht="15" customHeight="1" s="80">
      <c r="A35" s="85" t="inlineStr">
        <is>
          <t>03/24/2026</t>
        </is>
      </c>
      <c r="B35" s="85" t="inlineStr">
        <is>
          <t>3 - Land Improvements - Coral Village - Site - 7yr</t>
        </is>
      </c>
      <c r="C35" s="86" t="n">
        <v>139.93</v>
      </c>
      <c r="N35" s="87" t="n">
        <v>139.93</v>
      </c>
    </row>
    <row r="36" ht="15" customHeight="1" s="80">
      <c r="A36" s="85" t="inlineStr">
        <is>
          <t>03/24/2026</t>
        </is>
      </c>
      <c r="B36" s="85" t="inlineStr">
        <is>
          <t>3 - Land Improvements - Coral Village - Site - 27.5yr</t>
        </is>
      </c>
      <c r="C36" s="86" t="n">
        <v>26016.35</v>
      </c>
      <c r="N36" s="87" t="n">
        <v>26016.35</v>
      </c>
    </row>
    <row r="37" ht="15" customHeight="1" s="80">
      <c r="A37" s="85" t="inlineStr">
        <is>
          <t>03/24/2026</t>
        </is>
      </c>
      <c r="B37" s="85" t="inlineStr">
        <is>
          <t>3 - Land Improvements - Coral Village - Office - 15yr</t>
        </is>
      </c>
      <c r="D37" s="86" t="n">
        <v>2015.76</v>
      </c>
      <c r="N37" s="87" t="n">
        <v>2015.76</v>
      </c>
    </row>
    <row r="38" ht="15" customHeight="1" s="80">
      <c r="A38" s="85" t="inlineStr">
        <is>
          <t>03/24/2026</t>
        </is>
      </c>
      <c r="B38" s="85" t="inlineStr">
        <is>
          <t>3 - Land Improvements - Coral Village - Office - 27.5yr</t>
        </is>
      </c>
      <c r="D38" s="86" t="n">
        <v>11027.66</v>
      </c>
      <c r="N38" s="87" t="n">
        <v>11027.66</v>
      </c>
    </row>
    <row r="39" ht="15" customHeight="1" s="80">
      <c r="A39" s="85" t="inlineStr">
        <is>
          <t>03/24/2026</t>
        </is>
      </c>
      <c r="B39" s="85" t="inlineStr">
        <is>
          <t>3 - Land Improvements - Coral Village - Bldg 1 - 15yr</t>
        </is>
      </c>
      <c r="E39" s="86" t="n">
        <v>10435.08</v>
      </c>
      <c r="N39" s="87" t="n">
        <v>10435.08</v>
      </c>
    </row>
    <row r="40" ht="15" customHeight="1" s="80">
      <c r="A40" s="85" t="inlineStr">
        <is>
          <t>03/24/2026</t>
        </is>
      </c>
      <c r="B40" s="85" t="inlineStr">
        <is>
          <t>3 - Land Improvements - Coral Village - Bldg 1 - 27.5yr</t>
        </is>
      </c>
      <c r="E40" s="86" t="n">
        <v>31344.36</v>
      </c>
      <c r="N40" s="87" t="n">
        <v>31344.36</v>
      </c>
    </row>
    <row r="41" ht="15" customHeight="1" s="80">
      <c r="A41" s="85" t="inlineStr">
        <is>
          <t>03/24/2026</t>
        </is>
      </c>
      <c r="B41" s="85" t="inlineStr">
        <is>
          <t>3 - Land Improvements - Coral Village - Bldg 2 - 15yr</t>
        </is>
      </c>
      <c r="F41" s="86" t="n">
        <v>9108.76</v>
      </c>
      <c r="N41" s="87" t="n">
        <v>9108.76</v>
      </c>
    </row>
    <row r="42" ht="15" customHeight="1" s="80">
      <c r="A42" s="85" t="inlineStr">
        <is>
          <t>03/24/2026</t>
        </is>
      </c>
      <c r="B42" s="85" t="inlineStr">
        <is>
          <t>3 - Land Improvements - Coral Village - Bldg 2 - 27.5yr</t>
        </is>
      </c>
      <c r="F42" s="86" t="n">
        <v>23873.41</v>
      </c>
      <c r="N42" s="87" t="n">
        <v>23873.41</v>
      </c>
    </row>
    <row r="43" ht="15" customHeight="1" s="80">
      <c r="A43" s="85" t="inlineStr">
        <is>
          <t>03/24/2026</t>
        </is>
      </c>
      <c r="B43" s="85" t="inlineStr">
        <is>
          <t>3 - Land Improvements - Coral Village - Bldg 3 - 15yr</t>
        </is>
      </c>
      <c r="G43" s="86" t="n">
        <v>10435.08</v>
      </c>
      <c r="N43" s="87" t="n">
        <v>10435.08</v>
      </c>
    </row>
    <row r="44" ht="15" customHeight="1" s="80">
      <c r="A44" s="85" t="inlineStr">
        <is>
          <t>03/24/2026</t>
        </is>
      </c>
      <c r="B44" s="85" t="inlineStr">
        <is>
          <t>3 - Land Improvements - Coral Village - Bldg 3 - 27.5yr</t>
        </is>
      </c>
      <c r="G44" s="86" t="n">
        <v>31344.36</v>
      </c>
      <c r="N44" s="87" t="n">
        <v>31344.36</v>
      </c>
    </row>
    <row r="45" ht="15" customHeight="1" s="80">
      <c r="A45" s="85" t="inlineStr">
        <is>
          <t>03/24/2026</t>
        </is>
      </c>
      <c r="B45" s="85" t="inlineStr">
        <is>
          <t>3 - Land Improvements - Coral Village - Bldg 4 - 15yr</t>
        </is>
      </c>
      <c r="H45" s="86" t="n">
        <v>9108.76</v>
      </c>
      <c r="N45" s="87" t="n">
        <v>9108.76</v>
      </c>
    </row>
    <row r="46" ht="15" customHeight="1" s="80">
      <c r="A46" s="85" t="inlineStr">
        <is>
          <t>03/24/2026</t>
        </is>
      </c>
      <c r="B46" s="85" t="inlineStr">
        <is>
          <t>3 - Land Improvements - Coral Village - Bldg 4 - 27.5yr</t>
        </is>
      </c>
      <c r="H46" s="86" t="n">
        <v>23873.41</v>
      </c>
      <c r="N46" s="87" t="n">
        <v>23873.41</v>
      </c>
    </row>
    <row r="47" ht="15" customHeight="1" s="80">
      <c r="A47" s="85" t="inlineStr">
        <is>
          <t>03/24/2026</t>
        </is>
      </c>
      <c r="B47" s="85" t="inlineStr">
        <is>
          <t>3 - Land Improvements - Coral Village - Bldg 5 - 15yr</t>
        </is>
      </c>
      <c r="I47" s="86" t="n">
        <v>10435.08</v>
      </c>
      <c r="N47" s="87" t="n">
        <v>10435.08</v>
      </c>
    </row>
    <row r="48" ht="15" customHeight="1" s="80">
      <c r="A48" s="85" t="inlineStr">
        <is>
          <t>03/24/2026</t>
        </is>
      </c>
      <c r="B48" s="85" t="inlineStr">
        <is>
          <t>3 - Land Improvements - Coral Village - Bldg 5 - 27.5yr</t>
        </is>
      </c>
      <c r="I48" s="86" t="n">
        <v>31344.36</v>
      </c>
      <c r="N48" s="87" t="n">
        <v>31344.36</v>
      </c>
    </row>
    <row r="49" ht="15" customHeight="1" s="80">
      <c r="A49" s="85" t="inlineStr">
        <is>
          <t>03/24/2026</t>
        </is>
      </c>
      <c r="B49" s="85" t="inlineStr">
        <is>
          <t>3 - Land Improvements - Coral Village - Bldg 6 - 15yr</t>
        </is>
      </c>
      <c r="J49" s="86" t="n">
        <v>9108.76</v>
      </c>
      <c r="N49" s="87" t="n">
        <v>9108.76</v>
      </c>
    </row>
    <row r="50" ht="15" customHeight="1" s="80">
      <c r="A50" s="85" t="inlineStr">
        <is>
          <t>03/24/2026</t>
        </is>
      </c>
      <c r="B50" s="85" t="inlineStr">
        <is>
          <t>3 - Land Improvements - Coral Village - Bldg 6 - 27.5yr</t>
        </is>
      </c>
      <c r="J50" s="86" t="n">
        <v>23873.41</v>
      </c>
      <c r="N50" s="87" t="n">
        <v>23873.41</v>
      </c>
    </row>
    <row r="51" ht="15" customHeight="1" s="80">
      <c r="A51" s="85" t="inlineStr">
        <is>
          <t>03/24/2026</t>
        </is>
      </c>
      <c r="B51" s="85" t="inlineStr">
        <is>
          <t>3 - Land Improvements - Coral Village - Bldg 7 - 15yr</t>
        </is>
      </c>
      <c r="K51" s="86" t="n">
        <v>10435.08</v>
      </c>
      <c r="N51" s="87" t="n">
        <v>10435.08</v>
      </c>
    </row>
    <row r="52" ht="15" customHeight="1" s="80">
      <c r="A52" s="85" t="inlineStr">
        <is>
          <t>03/24/2026</t>
        </is>
      </c>
      <c r="B52" s="85" t="inlineStr">
        <is>
          <t>3 - Land Improvements - Coral Village - Bldg 7 - 27.5yr</t>
        </is>
      </c>
      <c r="K52" s="86" t="n">
        <v>31344.36</v>
      </c>
      <c r="N52" s="87" t="n">
        <v>31344.36</v>
      </c>
    </row>
    <row r="53" ht="15" customHeight="1" s="80">
      <c r="A53" s="85" t="inlineStr">
        <is>
          <t>03/24/2026</t>
        </is>
      </c>
      <c r="B53" s="85" t="inlineStr">
        <is>
          <t>3 - Land Improvements - Coral Village - Bldg 8 - 15yr</t>
        </is>
      </c>
      <c r="L53" s="86" t="n">
        <v>9108.76</v>
      </c>
      <c r="N53" s="87" t="n">
        <v>9108.76</v>
      </c>
    </row>
    <row r="54" ht="15" customHeight="1" s="80">
      <c r="A54" s="85" t="inlineStr">
        <is>
          <t>03/24/2026</t>
        </is>
      </c>
      <c r="B54" s="85" t="inlineStr">
        <is>
          <t>3 - Land Improvements - Coral Village - Bldg 8 - 27.5yr</t>
        </is>
      </c>
      <c r="L54" s="86" t="n">
        <v>23873.41</v>
      </c>
      <c r="N54" s="87" t="n">
        <v>23873.41</v>
      </c>
    </row>
    <row r="55" ht="15" customHeight="1" s="80">
      <c r="A55" s="85" t="inlineStr">
        <is>
          <t>03/24/2026</t>
        </is>
      </c>
      <c r="B55" s="85" t="inlineStr">
        <is>
          <t>3 - Land Improvements - Coral Village - Bldg 9 - 15yr</t>
        </is>
      </c>
      <c r="M55" s="86" t="n">
        <v>9108.76</v>
      </c>
      <c r="N55" s="87" t="n">
        <v>9108.76</v>
      </c>
    </row>
    <row r="56" ht="15" customHeight="1" s="80">
      <c r="A56" s="85" t="inlineStr">
        <is>
          <t>03/24/2026</t>
        </is>
      </c>
      <c r="B56" s="85" t="inlineStr">
        <is>
          <t>3 - Land Improvements - Coral Village - Bldg 9 - 27.5yr</t>
        </is>
      </c>
      <c r="M56" s="86" t="n">
        <v>23873.41</v>
      </c>
      <c r="N56" s="87" t="n">
        <v>23873.41</v>
      </c>
    </row>
    <row r="57" ht="15" customHeight="1" s="80">
      <c r="A57" s="85" t="inlineStr">
        <is>
          <t>03/24/2026</t>
        </is>
      </c>
      <c r="B57" s="85" t="inlineStr">
        <is>
          <t>4 - Equipment - Coral Village - Site - 7yr</t>
        </is>
      </c>
      <c r="C57" s="86" t="n">
        <v>262.37</v>
      </c>
      <c r="N57" s="87" t="n">
        <v>262.37</v>
      </c>
    </row>
    <row r="58" ht="15" customHeight="1" s="80">
      <c r="A58" s="85" t="inlineStr">
        <is>
          <t>03/24/2026</t>
        </is>
      </c>
      <c r="B58" s="85" t="inlineStr">
        <is>
          <t>4 - Equipment - Coral Village - Site - 27.5yr</t>
        </is>
      </c>
      <c r="C58" s="86" t="n">
        <v>48780.73</v>
      </c>
      <c r="N58" s="87" t="n">
        <v>48780.73</v>
      </c>
    </row>
    <row r="59" ht="15" customHeight="1" s="80">
      <c r="A59" s="85" t="inlineStr">
        <is>
          <t>03/24/2026</t>
        </is>
      </c>
      <c r="B59" s="85" t="inlineStr">
        <is>
          <t>4 - Equipment - Coral Village - Office - 15yr</t>
        </is>
      </c>
      <c r="D59" s="86" t="n">
        <v>3779.55</v>
      </c>
      <c r="N59" s="87" t="n">
        <v>3779.55</v>
      </c>
    </row>
    <row r="60" ht="15" customHeight="1" s="80">
      <c r="A60" s="85" t="inlineStr">
        <is>
          <t>03/24/2026</t>
        </is>
      </c>
      <c r="B60" s="85" t="inlineStr">
        <is>
          <t>4 - Equipment - Coral Village - Office - 27.5yr</t>
        </is>
      </c>
      <c r="D60" s="86" t="n">
        <v>20676.88</v>
      </c>
      <c r="N60" s="87" t="n">
        <v>20676.88</v>
      </c>
    </row>
    <row r="61" ht="15" customHeight="1" s="80">
      <c r="A61" s="85" t="inlineStr">
        <is>
          <t>03/24/2026</t>
        </is>
      </c>
      <c r="B61" s="85" t="inlineStr">
        <is>
          <t>4 - Equipment - Coral Village - Bldg 1 - 15yr</t>
        </is>
      </c>
      <c r="E61" s="86" t="n">
        <v>19565.8</v>
      </c>
      <c r="N61" s="87" t="n">
        <v>19565.8</v>
      </c>
    </row>
    <row r="62" ht="15" customHeight="1" s="80">
      <c r="A62" s="85" t="inlineStr">
        <is>
          <t>03/24/2026</t>
        </is>
      </c>
      <c r="B62" s="85" t="inlineStr">
        <is>
          <t>4 - Equipment - Coral Village - Bldg 1 - 27.5yr</t>
        </is>
      </c>
      <c r="E62" s="86" t="n">
        <v>58770.74</v>
      </c>
      <c r="N62" s="87" t="n">
        <v>58770.74</v>
      </c>
    </row>
    <row r="63" ht="15" customHeight="1" s="80">
      <c r="A63" s="85" t="inlineStr">
        <is>
          <t>03/24/2026</t>
        </is>
      </c>
      <c r="B63" s="85" t="inlineStr">
        <is>
          <t>4 - Equipment - Coral Village - Bldg 2 - 15yr</t>
        </is>
      </c>
      <c r="F63" s="86" t="n">
        <v>17078.94</v>
      </c>
      <c r="N63" s="87" t="n">
        <v>17078.94</v>
      </c>
    </row>
    <row r="64" ht="15" customHeight="1" s="80">
      <c r="A64" s="85" t="inlineStr">
        <is>
          <t>03/24/2026</t>
        </is>
      </c>
      <c r="B64" s="85" t="inlineStr">
        <is>
          <t>4 - Equipment - Coral Village - Bldg 2 - 27.5yr</t>
        </is>
      </c>
      <c r="F64" s="86" t="n">
        <v>44762.69</v>
      </c>
      <c r="N64" s="87" t="n">
        <v>44762.69</v>
      </c>
    </row>
    <row r="65" ht="15" customHeight="1" s="80">
      <c r="A65" s="85" t="inlineStr">
        <is>
          <t>03/24/2026</t>
        </is>
      </c>
      <c r="B65" s="85" t="inlineStr">
        <is>
          <t>4 - Equipment - Coral Village - Bldg 3 - 15yr</t>
        </is>
      </c>
      <c r="G65" s="86" t="n">
        <v>19565.8</v>
      </c>
      <c r="N65" s="87" t="n">
        <v>19565.8</v>
      </c>
    </row>
    <row r="66" ht="15" customHeight="1" s="80">
      <c r="A66" s="85" t="inlineStr">
        <is>
          <t>03/24/2026</t>
        </is>
      </c>
      <c r="B66" s="85" t="inlineStr">
        <is>
          <t>4 - Equipment - Coral Village - Bldg 3 - 27.5yr</t>
        </is>
      </c>
      <c r="G66" s="86" t="n">
        <v>58770.74</v>
      </c>
      <c r="N66" s="87" t="n">
        <v>58770.74</v>
      </c>
    </row>
    <row r="67" ht="15" customHeight="1" s="80">
      <c r="A67" s="85" t="inlineStr">
        <is>
          <t>03/24/2026</t>
        </is>
      </c>
      <c r="B67" s="85" t="inlineStr">
        <is>
          <t>4 - Equipment - Coral Village - Bldg 4 - 15yr</t>
        </is>
      </c>
      <c r="H67" s="86" t="n">
        <v>17078.94</v>
      </c>
      <c r="N67" s="87" t="n">
        <v>17078.94</v>
      </c>
    </row>
    <row r="68" ht="15" customHeight="1" s="80">
      <c r="A68" s="85" t="inlineStr">
        <is>
          <t>03/24/2026</t>
        </is>
      </c>
      <c r="B68" s="85" t="inlineStr">
        <is>
          <t>4 - Equipment - Coral Village - Bldg 4 - 27.5yr</t>
        </is>
      </c>
      <c r="H68" s="86" t="n">
        <v>44762.69</v>
      </c>
      <c r="N68" s="87" t="n">
        <v>44762.69</v>
      </c>
    </row>
    <row r="69" ht="15" customHeight="1" s="80">
      <c r="A69" s="85" t="inlineStr">
        <is>
          <t>03/24/2026</t>
        </is>
      </c>
      <c r="B69" s="85" t="inlineStr">
        <is>
          <t>4 - Equipment - Coral Village - Bldg 5 - 15yr</t>
        </is>
      </c>
      <c r="I69" s="86" t="n">
        <v>19565.8</v>
      </c>
      <c r="N69" s="87" t="n">
        <v>19565.8</v>
      </c>
    </row>
    <row r="70" ht="15" customHeight="1" s="80">
      <c r="A70" s="85" t="inlineStr">
        <is>
          <t>03/24/2026</t>
        </is>
      </c>
      <c r="B70" s="85" t="inlineStr">
        <is>
          <t>4 - Equipment - Coral Village - Bldg 5 - 27.5yr</t>
        </is>
      </c>
      <c r="I70" s="86" t="n">
        <v>58770.74</v>
      </c>
      <c r="N70" s="87" t="n">
        <v>58770.74</v>
      </c>
    </row>
    <row r="71" ht="15" customHeight="1" s="80">
      <c r="A71" s="85" t="inlineStr">
        <is>
          <t>03/24/2026</t>
        </is>
      </c>
      <c r="B71" s="85" t="inlineStr">
        <is>
          <t>4 - Equipment - Coral Village - Bldg 6 - 15yr</t>
        </is>
      </c>
      <c r="J71" s="86" t="n">
        <v>17078.94</v>
      </c>
      <c r="N71" s="87" t="n">
        <v>17078.94</v>
      </c>
    </row>
    <row r="72" ht="15" customHeight="1" s="80">
      <c r="A72" s="85" t="inlineStr">
        <is>
          <t>03/24/2026</t>
        </is>
      </c>
      <c r="B72" s="85" t="inlineStr">
        <is>
          <t>4 - Equipment - Coral Village - Bldg 6 - 27.5yr</t>
        </is>
      </c>
      <c r="J72" s="86" t="n">
        <v>44762.69</v>
      </c>
      <c r="N72" s="87" t="n">
        <v>44762.69</v>
      </c>
    </row>
    <row r="73" ht="15" customHeight="1" s="80">
      <c r="A73" s="85" t="inlineStr">
        <is>
          <t>03/24/2026</t>
        </is>
      </c>
      <c r="B73" s="85" t="inlineStr">
        <is>
          <t>4 - Equipment - Coral Village - Bldg 7 - 15yr</t>
        </is>
      </c>
      <c r="K73" s="86" t="n">
        <v>19565.8</v>
      </c>
      <c r="N73" s="87" t="n">
        <v>19565.8</v>
      </c>
    </row>
    <row r="74" ht="15" customHeight="1" s="80">
      <c r="A74" s="85" t="inlineStr">
        <is>
          <t>03/24/2026</t>
        </is>
      </c>
      <c r="B74" s="85" t="inlineStr">
        <is>
          <t>4 - Equipment - Coral Village - Bldg 7 - 27.5yr</t>
        </is>
      </c>
      <c r="K74" s="86" t="n">
        <v>58770.74</v>
      </c>
      <c r="N74" s="87" t="n">
        <v>58770.74</v>
      </c>
    </row>
    <row r="75" ht="15" customHeight="1" s="80">
      <c r="A75" s="85" t="inlineStr">
        <is>
          <t>03/24/2026</t>
        </is>
      </c>
      <c r="B75" s="85" t="inlineStr">
        <is>
          <t>4 - Equipment - Coral Village - Bldg 8 - 15yr</t>
        </is>
      </c>
      <c r="L75" s="86" t="n">
        <v>17078.94</v>
      </c>
      <c r="N75" s="87" t="n">
        <v>17078.94</v>
      </c>
    </row>
    <row r="76" ht="15" customHeight="1" s="80">
      <c r="A76" s="85" t="inlineStr">
        <is>
          <t>03/24/2026</t>
        </is>
      </c>
      <c r="B76" s="85" t="inlineStr">
        <is>
          <t>4 - Equipment - Coral Village - Bldg 8 - 27.5yr</t>
        </is>
      </c>
      <c r="L76" s="86" t="n">
        <v>44762.69</v>
      </c>
      <c r="N76" s="87" t="n">
        <v>44762.69</v>
      </c>
    </row>
    <row r="77" ht="15" customHeight="1" s="80">
      <c r="A77" s="85" t="inlineStr">
        <is>
          <t>03/24/2026</t>
        </is>
      </c>
      <c r="B77" s="85" t="inlineStr">
        <is>
          <t>4 - Equipment - Coral Village - Bldg 9 - 15yr</t>
        </is>
      </c>
      <c r="M77" s="86" t="n">
        <v>17078.94</v>
      </c>
      <c r="N77" s="87" t="n">
        <v>17078.94</v>
      </c>
    </row>
    <row r="78" ht="15" customHeight="1" s="80">
      <c r="A78" s="85" t="inlineStr">
        <is>
          <t>03/24/2026</t>
        </is>
      </c>
      <c r="B78" s="85" t="inlineStr">
        <is>
          <t>4 - Equipment - Coral Village - Bldg 9 - 27.5yr</t>
        </is>
      </c>
      <c r="M78" s="86" t="n">
        <v>44762.69</v>
      </c>
      <c r="N78" s="87" t="n">
        <v>44762.69</v>
      </c>
    </row>
    <row r="80">
      <c r="C80" s="88" t="n">
        <v>697363.2999999999</v>
      </c>
      <c r="D80" s="88" t="n">
        <v>157198.91</v>
      </c>
      <c r="E80" s="88" t="n">
        <v>503524.71</v>
      </c>
      <c r="F80" s="88" t="n">
        <v>397500.19</v>
      </c>
      <c r="G80" s="88" t="n">
        <v>503524.71</v>
      </c>
      <c r="H80" s="88" t="n">
        <v>397500.19</v>
      </c>
      <c r="I80" s="88" t="n">
        <v>503524.71</v>
      </c>
      <c r="J80" s="88" t="n">
        <v>397500.19</v>
      </c>
      <c r="K80" s="88" t="n">
        <v>503524.71</v>
      </c>
      <c r="L80" s="88" t="n">
        <v>397500.19</v>
      </c>
      <c r="M80" s="88" t="n">
        <v>397500.19</v>
      </c>
      <c r="N80" s="88" t="n">
        <v>4856162</v>
      </c>
    </row>
    <row r="83">
      <c r="C83" s="89" t="inlineStr">
        <is>
          <t>end deprec</t>
        </is>
      </c>
    </row>
    <row r="84">
      <c r="B84" s="119" t="inlineStr">
        <is>
          <t>NOTE: New study — no prior depreciation history. No Form 3115 filed. "Before" reflects $0 accumulated depreciation under old method; "After" reflects projected first-year cost seg depreciation.</t>
        </is>
      </c>
    </row>
    <row r="85" ht="15" customHeight="1" s="80">
      <c r="A85" s="85" t="inlineStr">
        <is>
          <t>03/24/2026</t>
        </is>
      </c>
      <c r="B85" s="85" t="inlineStr">
        <is>
          <t>2 - Building - Coral Village</t>
        </is>
      </c>
      <c r="C85" s="86" t="n">
        <v>531007.0699999999</v>
      </c>
      <c r="D85" s="86" t="n">
        <v>119699.06</v>
      </c>
      <c r="E85" s="86" t="n">
        <v>383408.73</v>
      </c>
      <c r="F85" s="86" t="n">
        <v>302676.39</v>
      </c>
      <c r="G85" s="86" t="n">
        <v>383408.73</v>
      </c>
      <c r="H85" s="86" t="n">
        <v>302676.39</v>
      </c>
      <c r="I85" s="86" t="n">
        <v>383408.73</v>
      </c>
      <c r="J85" s="86" t="n">
        <v>302676.39</v>
      </c>
      <c r="K85" s="86" t="n">
        <v>383408.73</v>
      </c>
      <c r="L85" s="86" t="n">
        <v>302676.39</v>
      </c>
      <c r="M85" s="86" t="n">
        <v>302676.39</v>
      </c>
      <c r="N85" s="87" t="n">
        <v>3697723</v>
      </c>
    </row>
    <row r="86" ht="15" customHeight="1" s="80">
      <c r="A86" s="85" t="inlineStr">
        <is>
          <t>03/24/2026</t>
        </is>
      </c>
      <c r="B86" s="85" t="inlineStr">
        <is>
          <t>3 - Land Improvements - Coral Village</t>
        </is>
      </c>
      <c r="C86" s="86" t="n">
        <v>57862.97</v>
      </c>
      <c r="D86" s="86" t="n">
        <v>13043.42</v>
      </c>
      <c r="E86" s="86" t="n">
        <v>41779.44</v>
      </c>
      <c r="F86" s="86" t="n">
        <v>32982.17</v>
      </c>
      <c r="G86" s="86" t="n">
        <v>41779.44</v>
      </c>
      <c r="H86" s="86" t="n">
        <v>32982.17</v>
      </c>
      <c r="I86" s="86" t="n">
        <v>41779.44</v>
      </c>
      <c r="J86" s="86" t="n">
        <v>32982.17</v>
      </c>
      <c r="K86" s="86" t="n">
        <v>41779.44</v>
      </c>
      <c r="L86" s="86" t="n">
        <v>32982.17</v>
      </c>
      <c r="M86" s="86" t="n">
        <v>32982.17</v>
      </c>
      <c r="N86" s="87" t="n">
        <v>402934.9999999999</v>
      </c>
    </row>
    <row r="87" ht="15" customHeight="1" s="80">
      <c r="A87" s="85" t="inlineStr">
        <is>
          <t>03/24/2026</t>
        </is>
      </c>
      <c r="B87" s="85" t="inlineStr">
        <is>
          <t>4 - Equipment - Coral Village</t>
        </is>
      </c>
      <c r="C87" s="86" t="n">
        <v>108493.26</v>
      </c>
      <c r="D87" s="86" t="n">
        <v>24456.43</v>
      </c>
      <c r="E87" s="86" t="n">
        <v>78336.53999999999</v>
      </c>
      <c r="F87" s="86" t="n">
        <v>61841.63</v>
      </c>
      <c r="G87" s="86" t="n">
        <v>78336.53999999999</v>
      </c>
      <c r="H87" s="86" t="n">
        <v>61841.63</v>
      </c>
      <c r="I87" s="86" t="n">
        <v>78336.53999999999</v>
      </c>
      <c r="J87" s="86" t="n">
        <v>61841.63</v>
      </c>
      <c r="K87" s="86" t="n">
        <v>78336.53999999999</v>
      </c>
      <c r="L87" s="86" t="n">
        <v>61841.63</v>
      </c>
      <c r="M87" s="86" t="n">
        <v>61841.63</v>
      </c>
      <c r="N87" s="87" t="n">
        <v>755504</v>
      </c>
    </row>
    <row r="89">
      <c r="C89" s="88" t="n">
        <v>0</v>
      </c>
      <c r="D89" s="88" t="n">
        <v>0</v>
      </c>
      <c r="E89" s="88" t="n">
        <v>0</v>
      </c>
      <c r="F89" s="88" t="n">
        <v>0</v>
      </c>
      <c r="G89" s="88" t="n">
        <v>0</v>
      </c>
      <c r="H89" s="88" t="n">
        <v>0</v>
      </c>
      <c r="I89" s="88" t="n">
        <v>0</v>
      </c>
      <c r="J89" s="88" t="n">
        <v>0</v>
      </c>
      <c r="K89" s="88" t="n">
        <v>0</v>
      </c>
      <c r="L89" s="88" t="n">
        <v>0</v>
      </c>
      <c r="M89" s="88" t="n">
        <v>0</v>
      </c>
      <c r="N89" s="88" t="n">
        <v>0</v>
      </c>
    </row>
    <row r="91" ht="15" customHeight="1" s="80">
      <c r="A91" s="85" t="inlineStr">
        <is>
          <t>03/24/2026</t>
        </is>
      </c>
      <c r="B91" s="85" t="inlineStr">
        <is>
          <t>2 - Building - Coral Village - Site -</t>
        </is>
      </c>
      <c r="C91" s="86" t="n">
        <v>1284.15</v>
      </c>
      <c r="N91" s="87" t="n">
        <v>1284.15</v>
      </c>
    </row>
    <row r="92" ht="15" customHeight="1" s="80">
      <c r="A92" s="85" t="inlineStr">
        <is>
          <t>03/24/2026</t>
        </is>
      </c>
      <c r="B92" s="85" t="inlineStr">
        <is>
          <t>2 - Building - Coral Village - Site -</t>
        </is>
      </c>
      <c r="C92" s="86" t="n">
        <v>238751.37</v>
      </c>
      <c r="N92" s="87" t="n">
        <v>238751.37</v>
      </c>
    </row>
    <row r="93" ht="15" customHeight="1" s="80">
      <c r="A93" s="85" t="inlineStr">
        <is>
          <t>03/24/2026</t>
        </is>
      </c>
      <c r="B93" s="85" t="inlineStr">
        <is>
          <t>2 - Building - Coral Village - Office -</t>
        </is>
      </c>
      <c r="D93" s="86" t="n">
        <v>18498.54</v>
      </c>
      <c r="N93" s="87" t="n">
        <v>18498.54</v>
      </c>
    </row>
    <row r="94" ht="15" customHeight="1" s="80">
      <c r="A94" s="85" t="inlineStr">
        <is>
          <t>03/24/2026</t>
        </is>
      </c>
      <c r="B94" s="85" t="inlineStr">
        <is>
          <t>2 - Building - Coral Village - Office -</t>
        </is>
      </c>
      <c r="D94" s="86" t="n">
        <v>101200.52</v>
      </c>
      <c r="N94" s="87" t="n">
        <v>101200.52</v>
      </c>
    </row>
    <row r="95" ht="15" customHeight="1" s="80">
      <c r="A95" s="85" t="inlineStr">
        <is>
          <t>03/24/2026</t>
        </is>
      </c>
      <c r="B95" s="85" t="inlineStr">
        <is>
          <t>2 - Building - Coral Village - Bldg 1 -</t>
        </is>
      </c>
      <c r="E95" s="86" t="n">
        <v>95762.44</v>
      </c>
      <c r="N95" s="87" t="n">
        <v>95762.44</v>
      </c>
    </row>
    <row r="96" ht="15" customHeight="1" s="80">
      <c r="A96" s="85" t="inlineStr">
        <is>
          <t>03/24/2026</t>
        </is>
      </c>
      <c r="B96" s="85" t="inlineStr">
        <is>
          <t>2 - Building - Coral Village - Bldg 1 -</t>
        </is>
      </c>
      <c r="E96" s="86" t="n">
        <v>287646.29</v>
      </c>
      <c r="N96" s="87" t="n">
        <v>287646.29</v>
      </c>
    </row>
    <row r="97" ht="15" customHeight="1" s="80">
      <c r="A97" s="85" t="inlineStr">
        <is>
          <t>03/24/2026</t>
        </is>
      </c>
      <c r="B97" s="85" t="inlineStr">
        <is>
          <t>2 - Building - Coral Village - Bldg 2 -</t>
        </is>
      </c>
      <c r="F97" s="86" t="n">
        <v>83590.83</v>
      </c>
      <c r="N97" s="87" t="n">
        <v>83590.83</v>
      </c>
    </row>
    <row r="98" ht="15" customHeight="1" s="80">
      <c r="A98" s="85" t="inlineStr">
        <is>
          <t>03/24/2026</t>
        </is>
      </c>
      <c r="B98" s="85" t="inlineStr">
        <is>
          <t>2 - Building - Coral Village - Bldg 2 -</t>
        </is>
      </c>
      <c r="F98" s="86" t="n">
        <v>219085.56</v>
      </c>
      <c r="N98" s="87" t="n">
        <v>219085.56</v>
      </c>
    </row>
    <row r="99" ht="15" customHeight="1" s="80">
      <c r="A99" s="85" t="inlineStr">
        <is>
          <t>03/24/2026</t>
        </is>
      </c>
      <c r="B99" s="85" t="inlineStr">
        <is>
          <t>2 - Building - Coral Village - Bldg 3 -</t>
        </is>
      </c>
      <c r="G99" s="86" t="n">
        <v>95762.44</v>
      </c>
      <c r="N99" s="87" t="n">
        <v>95762.44</v>
      </c>
    </row>
    <row r="100" ht="15" customHeight="1" s="80">
      <c r="A100" s="85" t="inlineStr">
        <is>
          <t>03/24/2026</t>
        </is>
      </c>
      <c r="B100" s="85" t="inlineStr">
        <is>
          <t>2 - Building - Coral Village - Bldg 3 -</t>
        </is>
      </c>
      <c r="G100" s="86" t="n">
        <v>287646.29</v>
      </c>
      <c r="N100" s="87" t="n">
        <v>287646.29</v>
      </c>
    </row>
    <row r="101" ht="15" customHeight="1" s="80">
      <c r="A101" s="85" t="inlineStr">
        <is>
          <t>03/24/2026</t>
        </is>
      </c>
      <c r="B101" s="85" t="inlineStr">
        <is>
          <t>2 - Building - Coral Village - Bldg 4 -</t>
        </is>
      </c>
      <c r="H101" s="86" t="n">
        <v>83590.83</v>
      </c>
      <c r="N101" s="87" t="n">
        <v>83590.83</v>
      </c>
    </row>
    <row r="102" ht="15" customHeight="1" s="80">
      <c r="A102" s="85" t="inlineStr">
        <is>
          <t>03/24/2026</t>
        </is>
      </c>
      <c r="B102" s="85" t="inlineStr">
        <is>
          <t>2 - Building - Coral Village - Bldg 4 -</t>
        </is>
      </c>
      <c r="H102" s="86" t="n">
        <v>219085.56</v>
      </c>
      <c r="N102" s="87" t="n">
        <v>219085.56</v>
      </c>
    </row>
    <row r="103" ht="15" customHeight="1" s="80">
      <c r="A103" s="85" t="inlineStr">
        <is>
          <t>03/24/2026</t>
        </is>
      </c>
      <c r="B103" s="85" t="inlineStr">
        <is>
          <t>2 - Building - Coral Village - Bldg 5 -</t>
        </is>
      </c>
      <c r="I103" s="86" t="n">
        <v>95762.44</v>
      </c>
      <c r="N103" s="87" t="n">
        <v>95762.44</v>
      </c>
    </row>
    <row r="104" ht="15" customHeight="1" s="80">
      <c r="A104" s="85" t="inlineStr">
        <is>
          <t>03/24/2026</t>
        </is>
      </c>
      <c r="B104" s="85" t="inlineStr">
        <is>
          <t>2 - Building - Coral Village - Bldg 5 -</t>
        </is>
      </c>
      <c r="I104" s="86" t="n">
        <v>287646.29</v>
      </c>
      <c r="N104" s="87" t="n">
        <v>287646.29</v>
      </c>
    </row>
    <row r="105" ht="15" customHeight="1" s="80">
      <c r="A105" s="85" t="inlineStr">
        <is>
          <t>03/24/2026</t>
        </is>
      </c>
      <c r="B105" s="85" t="inlineStr">
        <is>
          <t>2 - Building - Coral Village - Bldg 6 -</t>
        </is>
      </c>
      <c r="J105" s="86" t="n">
        <v>83590.83</v>
      </c>
      <c r="N105" s="87" t="n">
        <v>83590.83</v>
      </c>
    </row>
    <row r="106" ht="15" customHeight="1" s="80">
      <c r="A106" s="85" t="inlineStr">
        <is>
          <t>03/24/2026</t>
        </is>
      </c>
      <c r="B106" s="85" t="inlineStr">
        <is>
          <t>2 - Building - Coral Village - Bldg 6 -</t>
        </is>
      </c>
      <c r="J106" s="86" t="n">
        <v>219085.56</v>
      </c>
      <c r="N106" s="87" t="n">
        <v>219085.56</v>
      </c>
    </row>
    <row r="107" ht="15" customHeight="1" s="80">
      <c r="A107" s="85" t="inlineStr">
        <is>
          <t>03/24/2026</t>
        </is>
      </c>
      <c r="B107" s="85" t="inlineStr">
        <is>
          <t>2 - Building - Coral Village - Bldg 7 -</t>
        </is>
      </c>
      <c r="K107" s="86" t="n">
        <v>95762.44</v>
      </c>
      <c r="N107" s="87" t="n">
        <v>95762.44</v>
      </c>
    </row>
    <row r="108" ht="15" customHeight="1" s="80">
      <c r="A108" s="85" t="inlineStr">
        <is>
          <t>03/24/2026</t>
        </is>
      </c>
      <c r="B108" s="85" t="inlineStr">
        <is>
          <t>2 - Building - Coral Village - Bldg 7 -</t>
        </is>
      </c>
      <c r="K108" s="86" t="n">
        <v>287646.29</v>
      </c>
      <c r="N108" s="87" t="n">
        <v>287646.29</v>
      </c>
    </row>
    <row r="109" ht="15" customHeight="1" s="80">
      <c r="A109" s="85" t="inlineStr">
        <is>
          <t>03/24/2026</t>
        </is>
      </c>
      <c r="B109" s="85" t="inlineStr">
        <is>
          <t>2 - Building - Coral Village - Bldg 8 -</t>
        </is>
      </c>
      <c r="L109" s="86" t="n">
        <v>83590.83</v>
      </c>
      <c r="N109" s="87" t="n">
        <v>83590.83</v>
      </c>
    </row>
    <row r="110" ht="15" customHeight="1" s="80">
      <c r="A110" s="85" t="inlineStr">
        <is>
          <t>03/24/2026</t>
        </is>
      </c>
      <c r="B110" s="85" t="inlineStr">
        <is>
          <t>2 - Building - Coral Village - Bldg 8 -</t>
        </is>
      </c>
      <c r="L110" s="86" t="n">
        <v>219085.56</v>
      </c>
      <c r="N110" s="87" t="n">
        <v>219085.56</v>
      </c>
    </row>
    <row r="111" ht="15" customHeight="1" s="80">
      <c r="A111" s="85" t="inlineStr">
        <is>
          <t>03/24/2026</t>
        </is>
      </c>
      <c r="B111" s="85" t="inlineStr">
        <is>
          <t>2 - Building - Coral Village - Bldg 9 -</t>
        </is>
      </c>
      <c r="M111" s="86" t="n">
        <v>83590.83</v>
      </c>
      <c r="N111" s="87" t="n">
        <v>83590.83</v>
      </c>
    </row>
    <row r="112" ht="15" customHeight="1" s="80">
      <c r="A112" s="85" t="inlineStr">
        <is>
          <t>03/24/2026</t>
        </is>
      </c>
      <c r="B112" s="85" t="inlineStr">
        <is>
          <t>2 - Building - Coral Village - Bldg 9 -</t>
        </is>
      </c>
      <c r="M112" s="86" t="n">
        <v>219085.56</v>
      </c>
      <c r="N112" s="87" t="n">
        <v>219085.56</v>
      </c>
    </row>
    <row r="113" ht="15" customHeight="1" s="80">
      <c r="A113" s="85" t="inlineStr">
        <is>
          <t>03/24/2026</t>
        </is>
      </c>
      <c r="B113" s="85" t="inlineStr">
        <is>
          <t>3 - Land Improvements - Coral Village - Site -</t>
        </is>
      </c>
      <c r="C113" s="86" t="n">
        <v>139.93</v>
      </c>
      <c r="N113" s="87" t="n">
        <v>139.93</v>
      </c>
    </row>
    <row r="114" ht="15" customHeight="1" s="80">
      <c r="A114" s="85" t="inlineStr">
        <is>
          <t>03/24/2026</t>
        </is>
      </c>
      <c r="B114" s="85" t="inlineStr">
        <is>
          <t>3 - Land Improvements - Coral Village - Site -</t>
        </is>
      </c>
      <c r="C114" s="86" t="n">
        <v>26016.35</v>
      </c>
      <c r="N114" s="87" t="n">
        <v>26016.35</v>
      </c>
    </row>
    <row r="115" ht="15" customHeight="1" s="80">
      <c r="A115" s="85" t="inlineStr">
        <is>
          <t>03/24/2026</t>
        </is>
      </c>
      <c r="B115" s="85" t="inlineStr">
        <is>
          <t>3 - Land Improvements - Coral Village - Office -</t>
        </is>
      </c>
      <c r="D115" s="86" t="n">
        <v>2015.76</v>
      </c>
      <c r="N115" s="87" t="n">
        <v>2015.76</v>
      </c>
    </row>
    <row r="116" ht="15" customHeight="1" s="80">
      <c r="A116" s="85" t="inlineStr">
        <is>
          <t>03/24/2026</t>
        </is>
      </c>
      <c r="B116" s="85" t="inlineStr">
        <is>
          <t>3 - Land Improvements - Coral Village - Office -</t>
        </is>
      </c>
      <c r="D116" s="86" t="n">
        <v>11027.66</v>
      </c>
      <c r="N116" s="87" t="n">
        <v>11027.66</v>
      </c>
    </row>
    <row r="117" ht="15" customHeight="1" s="80">
      <c r="A117" s="85" t="inlineStr">
        <is>
          <t>03/24/2026</t>
        </is>
      </c>
      <c r="B117" s="85" t="inlineStr">
        <is>
          <t>3 - Land Improvements - Coral Village - Bldg 1 -</t>
        </is>
      </c>
      <c r="E117" s="86" t="n">
        <v>10435.08</v>
      </c>
      <c r="N117" s="87" t="n">
        <v>10435.08</v>
      </c>
    </row>
    <row r="118" ht="15" customHeight="1" s="80">
      <c r="A118" s="85" t="inlineStr">
        <is>
          <t>03/24/2026</t>
        </is>
      </c>
      <c r="B118" s="85" t="inlineStr">
        <is>
          <t>3 - Land Improvements - Coral Village - Bldg 1 -</t>
        </is>
      </c>
      <c r="E118" s="86" t="n">
        <v>31344.36</v>
      </c>
      <c r="N118" s="87" t="n">
        <v>31344.36</v>
      </c>
    </row>
    <row r="119" ht="15" customHeight="1" s="80">
      <c r="A119" s="85" t="inlineStr">
        <is>
          <t>03/24/2026</t>
        </is>
      </c>
      <c r="B119" s="85" t="inlineStr">
        <is>
          <t>3 - Land Improvements - Coral Village - Bldg 2 -</t>
        </is>
      </c>
      <c r="F119" s="86" t="n">
        <v>9108.76</v>
      </c>
      <c r="N119" s="87" t="n">
        <v>9108.76</v>
      </c>
    </row>
    <row r="120" ht="15" customHeight="1" s="80">
      <c r="A120" s="85" t="inlineStr">
        <is>
          <t>03/24/2026</t>
        </is>
      </c>
      <c r="B120" s="85" t="inlineStr">
        <is>
          <t>3 - Land Improvements - Coral Village - Bldg 2 -</t>
        </is>
      </c>
      <c r="F120" s="86" t="n">
        <v>23873.41</v>
      </c>
      <c r="N120" s="87" t="n">
        <v>23873.41</v>
      </c>
    </row>
    <row r="121" ht="15" customHeight="1" s="80">
      <c r="A121" s="85" t="inlineStr">
        <is>
          <t>03/24/2026</t>
        </is>
      </c>
      <c r="B121" s="85" t="inlineStr">
        <is>
          <t>3 - Land Improvements - Coral Village - Bldg 3 -</t>
        </is>
      </c>
      <c r="G121" s="86" t="n">
        <v>10435.08</v>
      </c>
      <c r="N121" s="87" t="n">
        <v>10435.08</v>
      </c>
    </row>
    <row r="122" ht="15" customHeight="1" s="80">
      <c r="A122" s="85" t="inlineStr">
        <is>
          <t>03/24/2026</t>
        </is>
      </c>
      <c r="B122" s="85" t="inlineStr">
        <is>
          <t>3 - Land Improvements - Coral Village - Bldg 3 -</t>
        </is>
      </c>
      <c r="G122" s="86" t="n">
        <v>31344.36</v>
      </c>
      <c r="N122" s="87" t="n">
        <v>31344.36</v>
      </c>
    </row>
    <row r="123" ht="15" customHeight="1" s="80">
      <c r="A123" s="85" t="inlineStr">
        <is>
          <t>03/24/2026</t>
        </is>
      </c>
      <c r="B123" s="85" t="inlineStr">
        <is>
          <t>3 - Land Improvements - Coral Village - Bldg 4 -</t>
        </is>
      </c>
      <c r="H123" s="86" t="n">
        <v>9108.76</v>
      </c>
      <c r="N123" s="87" t="n">
        <v>9108.76</v>
      </c>
    </row>
    <row r="124" ht="15" customHeight="1" s="80">
      <c r="A124" s="85" t="inlineStr">
        <is>
          <t>03/24/2026</t>
        </is>
      </c>
      <c r="B124" s="85" t="inlineStr">
        <is>
          <t>3 - Land Improvements - Coral Village - Bldg 4 -</t>
        </is>
      </c>
      <c r="H124" s="86" t="n">
        <v>23873.41</v>
      </c>
      <c r="N124" s="87" t="n">
        <v>23873.41</v>
      </c>
    </row>
    <row r="125" ht="15" customHeight="1" s="80">
      <c r="A125" s="85" t="inlineStr">
        <is>
          <t>03/24/2026</t>
        </is>
      </c>
      <c r="B125" s="85" t="inlineStr">
        <is>
          <t>3 - Land Improvements - Coral Village - Bldg 5 -</t>
        </is>
      </c>
      <c r="I125" s="86" t="n">
        <v>10435.08</v>
      </c>
      <c r="N125" s="87" t="n">
        <v>10435.08</v>
      </c>
    </row>
    <row r="126" ht="15" customHeight="1" s="80">
      <c r="A126" s="85" t="inlineStr">
        <is>
          <t>03/24/2026</t>
        </is>
      </c>
      <c r="B126" s="85" t="inlineStr">
        <is>
          <t>3 - Land Improvements - Coral Village - Bldg 5 -</t>
        </is>
      </c>
      <c r="I126" s="86" t="n">
        <v>31344.36</v>
      </c>
      <c r="N126" s="87" t="n">
        <v>31344.36</v>
      </c>
    </row>
    <row r="127" ht="15" customHeight="1" s="80">
      <c r="A127" s="85" t="inlineStr">
        <is>
          <t>03/24/2026</t>
        </is>
      </c>
      <c r="B127" s="85" t="inlineStr">
        <is>
          <t>3 - Land Improvements - Coral Village - Bldg 6 -</t>
        </is>
      </c>
      <c r="J127" s="86" t="n">
        <v>9108.76</v>
      </c>
      <c r="N127" s="87" t="n">
        <v>9108.76</v>
      </c>
    </row>
    <row r="128" ht="15" customHeight="1" s="80">
      <c r="A128" s="85" t="inlineStr">
        <is>
          <t>03/24/2026</t>
        </is>
      </c>
      <c r="B128" s="85" t="inlineStr">
        <is>
          <t>3 - Land Improvements - Coral Village - Bldg 6 -</t>
        </is>
      </c>
      <c r="J128" s="86" t="n">
        <v>23873.41</v>
      </c>
      <c r="N128" s="87" t="n">
        <v>23873.41</v>
      </c>
    </row>
    <row r="129" ht="15" customHeight="1" s="80">
      <c r="A129" s="85" t="inlineStr">
        <is>
          <t>03/24/2026</t>
        </is>
      </c>
      <c r="B129" s="85" t="inlineStr">
        <is>
          <t>3 - Land Improvements - Coral Village - Bldg 7 -</t>
        </is>
      </c>
      <c r="K129" s="86" t="n">
        <v>10435.08</v>
      </c>
      <c r="N129" s="87" t="n">
        <v>10435.08</v>
      </c>
    </row>
    <row r="130" ht="15" customHeight="1" s="80">
      <c r="A130" s="85" t="inlineStr">
        <is>
          <t>03/24/2026</t>
        </is>
      </c>
      <c r="B130" s="85" t="inlineStr">
        <is>
          <t>3 - Land Improvements - Coral Village - Bldg 7 -</t>
        </is>
      </c>
      <c r="K130" s="86" t="n">
        <v>31344.36</v>
      </c>
      <c r="N130" s="87" t="n">
        <v>31344.36</v>
      </c>
    </row>
    <row r="131" ht="15" customHeight="1" s="80">
      <c r="A131" s="85" t="inlineStr">
        <is>
          <t>03/24/2026</t>
        </is>
      </c>
      <c r="B131" s="85" t="inlineStr">
        <is>
          <t>3 - Land Improvements - Coral Village - Bldg 8 -</t>
        </is>
      </c>
      <c r="L131" s="86" t="n">
        <v>9108.76</v>
      </c>
      <c r="N131" s="87" t="n">
        <v>9108.76</v>
      </c>
    </row>
    <row r="132" ht="15" customHeight="1" s="80">
      <c r="A132" s="85" t="inlineStr">
        <is>
          <t>03/24/2026</t>
        </is>
      </c>
      <c r="B132" s="85" t="inlineStr">
        <is>
          <t>3 - Land Improvements - Coral Village - Bldg 8 -</t>
        </is>
      </c>
      <c r="L132" s="86" t="n">
        <v>23873.41</v>
      </c>
      <c r="N132" s="87" t="n">
        <v>23873.41</v>
      </c>
    </row>
    <row r="133" ht="15" customHeight="1" s="80">
      <c r="A133" s="85" t="inlineStr">
        <is>
          <t>03/24/2026</t>
        </is>
      </c>
      <c r="B133" s="85" t="inlineStr">
        <is>
          <t>3 - Land Improvements - Coral Village - Bldg 9 -</t>
        </is>
      </c>
      <c r="M133" s="86" t="n">
        <v>9108.76</v>
      </c>
      <c r="N133" s="87" t="n">
        <v>9108.76</v>
      </c>
    </row>
    <row r="134" ht="15" customHeight="1" s="80">
      <c r="A134" s="85" t="inlineStr">
        <is>
          <t>03/24/2026</t>
        </is>
      </c>
      <c r="B134" s="85" t="inlineStr">
        <is>
          <t>3 - Land Improvements - Coral Village - Bldg 9 -</t>
        </is>
      </c>
      <c r="M134" s="86" t="n">
        <v>23873.41</v>
      </c>
      <c r="N134" s="87" t="n">
        <v>23873.41</v>
      </c>
    </row>
    <row r="135" ht="15" customHeight="1" s="80">
      <c r="A135" s="85" t="inlineStr">
        <is>
          <t>03/24/2026</t>
        </is>
      </c>
      <c r="B135" s="85" t="inlineStr">
        <is>
          <t>4 - Equipment - Coral Village - Site -</t>
        </is>
      </c>
      <c r="C135" s="86" t="n">
        <v>262.37</v>
      </c>
      <c r="N135" s="87" t="n">
        <v>262.37</v>
      </c>
    </row>
    <row r="136" ht="15" customHeight="1" s="80">
      <c r="A136" s="85" t="inlineStr">
        <is>
          <t>03/24/2026</t>
        </is>
      </c>
      <c r="B136" s="85" t="inlineStr">
        <is>
          <t>4 - Equipment - Coral Village - Site -</t>
        </is>
      </c>
      <c r="C136" s="86" t="n">
        <v>48780.73</v>
      </c>
      <c r="N136" s="87" t="n">
        <v>48780.73</v>
      </c>
    </row>
    <row r="137" ht="15" customHeight="1" s="80">
      <c r="A137" s="85" t="inlineStr">
        <is>
          <t>03/24/2026</t>
        </is>
      </c>
      <c r="B137" s="85" t="inlineStr">
        <is>
          <t>4 - Equipment - Coral Village - Office -</t>
        </is>
      </c>
      <c r="D137" s="86" t="n">
        <v>3779.55</v>
      </c>
      <c r="N137" s="87" t="n">
        <v>3779.55</v>
      </c>
    </row>
    <row r="138" ht="15" customHeight="1" s="80">
      <c r="A138" s="85" t="inlineStr">
        <is>
          <t>03/24/2026</t>
        </is>
      </c>
      <c r="B138" s="85" t="inlineStr">
        <is>
          <t>4 - Equipment - Coral Village - Office -</t>
        </is>
      </c>
      <c r="D138" s="86" t="n">
        <v>20676.88</v>
      </c>
      <c r="N138" s="87" t="n">
        <v>20676.88</v>
      </c>
    </row>
    <row r="139" ht="15" customHeight="1" s="80">
      <c r="A139" s="85" t="inlineStr">
        <is>
          <t>03/24/2026</t>
        </is>
      </c>
      <c r="B139" s="85" t="inlineStr">
        <is>
          <t>4 - Equipment - Coral Village - Bldg 1 -</t>
        </is>
      </c>
      <c r="E139" s="86" t="n">
        <v>19565.8</v>
      </c>
      <c r="N139" s="87" t="n">
        <v>19565.8</v>
      </c>
    </row>
    <row r="140" ht="15" customHeight="1" s="80">
      <c r="A140" s="85" t="inlineStr">
        <is>
          <t>03/24/2026</t>
        </is>
      </c>
      <c r="B140" s="85" t="inlineStr">
        <is>
          <t>4 - Equipment - Coral Village - Bldg 1 -</t>
        </is>
      </c>
      <c r="E140" s="86" t="n">
        <v>58770.74</v>
      </c>
      <c r="N140" s="87" t="n">
        <v>58770.74</v>
      </c>
    </row>
    <row r="141" ht="15" customHeight="1" s="80">
      <c r="A141" s="85" t="inlineStr">
        <is>
          <t>03/24/2026</t>
        </is>
      </c>
      <c r="B141" s="85" t="inlineStr">
        <is>
          <t>4 - Equipment - Coral Village - Bldg 2 -</t>
        </is>
      </c>
      <c r="F141" s="86" t="n">
        <v>17078.94</v>
      </c>
      <c r="N141" s="87" t="n">
        <v>17078.94</v>
      </c>
    </row>
    <row r="142" ht="15" customHeight="1" s="80">
      <c r="A142" s="85" t="inlineStr">
        <is>
          <t>03/24/2026</t>
        </is>
      </c>
      <c r="B142" s="85" t="inlineStr">
        <is>
          <t>4 - Equipment - Coral Village - Bldg 2 -</t>
        </is>
      </c>
      <c r="F142" s="86" t="n">
        <v>44762.69</v>
      </c>
      <c r="N142" s="87" t="n">
        <v>44762.69</v>
      </c>
    </row>
    <row r="143" ht="15" customHeight="1" s="80">
      <c r="A143" s="85" t="inlineStr">
        <is>
          <t>03/24/2026</t>
        </is>
      </c>
      <c r="B143" s="85" t="inlineStr">
        <is>
          <t>4 - Equipment - Coral Village - Bldg 3 -</t>
        </is>
      </c>
      <c r="G143" s="86" t="n">
        <v>19565.8</v>
      </c>
      <c r="N143" s="87" t="n">
        <v>19565.8</v>
      </c>
    </row>
    <row r="144" ht="15" customHeight="1" s="80">
      <c r="A144" s="85" t="inlineStr">
        <is>
          <t>03/24/2026</t>
        </is>
      </c>
      <c r="B144" s="85" t="inlineStr">
        <is>
          <t>4 - Equipment - Coral Village - Bldg 3 -</t>
        </is>
      </c>
      <c r="G144" s="86" t="n">
        <v>58770.74</v>
      </c>
      <c r="N144" s="87" t="n">
        <v>58770.74</v>
      </c>
    </row>
    <row r="145" ht="15" customHeight="1" s="80">
      <c r="A145" s="85" t="inlineStr">
        <is>
          <t>03/24/2026</t>
        </is>
      </c>
      <c r="B145" s="85" t="inlineStr">
        <is>
          <t>4 - Equipment - Coral Village - Bldg 4 -</t>
        </is>
      </c>
      <c r="H145" s="86" t="n">
        <v>17078.94</v>
      </c>
      <c r="N145" s="87" t="n">
        <v>17078.94</v>
      </c>
    </row>
    <row r="146" ht="15" customHeight="1" s="80">
      <c r="A146" s="85" t="inlineStr">
        <is>
          <t>03/24/2026</t>
        </is>
      </c>
      <c r="B146" s="85" t="inlineStr">
        <is>
          <t>4 - Equipment - Coral Village - Bldg 4 -</t>
        </is>
      </c>
      <c r="H146" s="86" t="n">
        <v>44762.69</v>
      </c>
      <c r="N146" s="87" t="n">
        <v>44762.69</v>
      </c>
    </row>
    <row r="147" ht="15" customHeight="1" s="80">
      <c r="A147" s="85" t="inlineStr">
        <is>
          <t>03/24/2026</t>
        </is>
      </c>
      <c r="B147" s="85" t="inlineStr">
        <is>
          <t>4 - Equipment - Coral Village - Bldg 5 -</t>
        </is>
      </c>
      <c r="I147" s="86" t="n">
        <v>19565.8</v>
      </c>
      <c r="N147" s="87" t="n">
        <v>19565.8</v>
      </c>
    </row>
    <row r="148" ht="15" customHeight="1" s="80">
      <c r="A148" s="85" t="inlineStr">
        <is>
          <t>03/24/2026</t>
        </is>
      </c>
      <c r="B148" s="85" t="inlineStr">
        <is>
          <t>4 - Equipment - Coral Village - Bldg 5 -</t>
        </is>
      </c>
      <c r="I148" s="86" t="n">
        <v>58770.74</v>
      </c>
      <c r="N148" s="87" t="n">
        <v>58770.74</v>
      </c>
    </row>
    <row r="149" ht="15" customHeight="1" s="80">
      <c r="A149" s="85" t="inlineStr">
        <is>
          <t>03/24/2026</t>
        </is>
      </c>
      <c r="B149" s="85" t="inlineStr">
        <is>
          <t>4 - Equipment - Coral Village - Bldg 6 -</t>
        </is>
      </c>
      <c r="J149" s="86" t="n">
        <v>17078.94</v>
      </c>
      <c r="N149" s="87" t="n">
        <v>17078.94</v>
      </c>
    </row>
    <row r="150" ht="15" customHeight="1" s="80">
      <c r="A150" s="85" t="inlineStr">
        <is>
          <t>03/24/2026</t>
        </is>
      </c>
      <c r="B150" s="85" t="inlineStr">
        <is>
          <t>4 - Equipment - Coral Village - Bldg 6 -</t>
        </is>
      </c>
      <c r="J150" s="86" t="n">
        <v>44762.69</v>
      </c>
      <c r="N150" s="87" t="n">
        <v>44762.69</v>
      </c>
    </row>
    <row r="151" ht="15" customHeight="1" s="80">
      <c r="A151" s="85" t="inlineStr">
        <is>
          <t>03/24/2026</t>
        </is>
      </c>
      <c r="B151" s="85" t="inlineStr">
        <is>
          <t>4 - Equipment - Coral Village - Bldg 7 -</t>
        </is>
      </c>
      <c r="K151" s="86" t="n">
        <v>19565.8</v>
      </c>
      <c r="N151" s="87" t="n">
        <v>19565.8</v>
      </c>
    </row>
    <row r="152" ht="15" customHeight="1" s="80">
      <c r="A152" s="85" t="inlineStr">
        <is>
          <t>03/24/2026</t>
        </is>
      </c>
      <c r="B152" s="85" t="inlineStr">
        <is>
          <t>4 - Equipment - Coral Village - Bldg 7 -</t>
        </is>
      </c>
      <c r="K152" s="86" t="n">
        <v>58770.74</v>
      </c>
      <c r="N152" s="87" t="n">
        <v>58770.74</v>
      </c>
    </row>
    <row r="153" ht="15" customHeight="1" s="80">
      <c r="A153" s="85" t="inlineStr">
        <is>
          <t>03/24/2026</t>
        </is>
      </c>
      <c r="B153" s="85" t="inlineStr">
        <is>
          <t>4 - Equipment - Coral Village - Bldg 8 -</t>
        </is>
      </c>
      <c r="L153" s="86" t="n">
        <v>17078.94</v>
      </c>
      <c r="N153" s="87" t="n">
        <v>17078.94</v>
      </c>
    </row>
    <row r="154" ht="15" customHeight="1" s="80">
      <c r="A154" s="85" t="inlineStr">
        <is>
          <t>03/24/2026</t>
        </is>
      </c>
      <c r="B154" s="85" t="inlineStr">
        <is>
          <t>4 - Equipment - Coral Village - Bldg 8 -</t>
        </is>
      </c>
      <c r="L154" s="86" t="n">
        <v>44762.69</v>
      </c>
      <c r="N154" s="87" t="n">
        <v>44762.69</v>
      </c>
    </row>
    <row r="155" ht="15" customHeight="1" s="80">
      <c r="A155" s="85" t="inlineStr">
        <is>
          <t>03/24/2026</t>
        </is>
      </c>
      <c r="B155" s="85" t="inlineStr">
        <is>
          <t>4 - Equipment - Coral Village - Bldg 9 -</t>
        </is>
      </c>
      <c r="M155" s="86" t="n">
        <v>17078.94</v>
      </c>
      <c r="N155" s="87" t="n">
        <v>17078.94</v>
      </c>
    </row>
    <row r="156" ht="15" customHeight="1" s="80">
      <c r="A156" s="85" t="inlineStr">
        <is>
          <t>03/24/2026</t>
        </is>
      </c>
      <c r="B156" s="85" t="inlineStr">
        <is>
          <t>4 - Equipment - Coral Village - Bldg 9 -</t>
        </is>
      </c>
      <c r="M156" s="86" t="n">
        <v>44762.69</v>
      </c>
      <c r="N156" s="87" t="n">
        <v>44762.69</v>
      </c>
    </row>
    <row r="158">
      <c r="C158" s="88" t="n">
        <v>697363.2999999999</v>
      </c>
      <c r="D158" s="88" t="n">
        <v>157198.91</v>
      </c>
      <c r="E158" s="88" t="n">
        <v>503524.71</v>
      </c>
      <c r="F158" s="88" t="n">
        <v>397500.19</v>
      </c>
      <c r="G158" s="88" t="n">
        <v>503524.71</v>
      </c>
      <c r="H158" s="88" t="n">
        <v>397500.19</v>
      </c>
      <c r="I158" s="88" t="n">
        <v>503524.71</v>
      </c>
      <c r="J158" s="88" t="n">
        <v>397500.19</v>
      </c>
      <c r="K158" s="88" t="n">
        <v>503524.71</v>
      </c>
      <c r="L158" s="88" t="n">
        <v>397500.19</v>
      </c>
      <c r="M158" s="88" t="n">
        <v>397500.19</v>
      </c>
      <c r="N158" s="88" t="n">
        <v>4856162</v>
      </c>
    </row>
    <row r="160">
      <c r="B160" s="90" t="inlineStr">
        <is>
          <t>Projected First-Year Benefit (vs. straight-line 27.5yr)</t>
        </is>
      </c>
      <c r="C160" s="88" t="n">
        <v>697363.2999999999</v>
      </c>
      <c r="D160" s="88" t="n">
        <v>157198.91</v>
      </c>
      <c r="E160" s="88" t="n">
        <v>503524.71</v>
      </c>
      <c r="F160" s="88" t="n">
        <v>397500.19</v>
      </c>
      <c r="G160" s="88" t="n">
        <v>503524.71</v>
      </c>
      <c r="H160" s="88" t="n">
        <v>397500.19</v>
      </c>
      <c r="I160" s="88" t="n">
        <v>503524.71</v>
      </c>
      <c r="J160" s="88" t="n">
        <v>397500.19</v>
      </c>
      <c r="K160" s="88" t="n">
        <v>503524.71</v>
      </c>
      <c r="L160" s="88" t="n">
        <v>397500.19</v>
      </c>
      <c r="M160" s="88" t="n">
        <v>397500.19</v>
      </c>
      <c r="N160" s="88" t="n">
        <v>4856162</v>
      </c>
    </row>
  </sheetData>
  <mergeCells count="1">
    <mergeCell ref="B84:N8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s>
  <sheetData>
    <row r="1">
      <c r="A1" s="81" t="inlineStr">
        <is>
          <t>Marrero 3</t>
        </is>
      </c>
    </row>
    <row r="2">
      <c r="B2" s="82" t="inlineStr">
        <is>
          <t>FYE: 12/31/2024</t>
        </is>
      </c>
    </row>
    <row r="3">
      <c r="A3" s="119" t="inlineStr">
        <is>
          <t>New Study — No Prior Depreciation / No Form 3115 Filed</t>
        </is>
      </c>
    </row>
    <row r="4" ht="30" customHeight="1" s="80">
      <c r="A4" s="83" t="inlineStr">
        <is>
          <t>Acq Date</t>
        </is>
      </c>
      <c r="B4" s="83" t="inlineStr"/>
      <c r="C4" s="83" t="inlineStr">
        <is>
          <t>Partial Assets #17, #18, &amp; #19</t>
        </is>
      </c>
      <c r="D4" s="83" t="inlineStr">
        <is>
          <t>Partial Assets #2, #3, &amp; #4</t>
        </is>
      </c>
      <c r="E4" s="83" t="inlineStr">
        <is>
          <t>Partial Assets #22, #23, &amp; #24</t>
        </is>
      </c>
      <c r="F4" s="83" t="inlineStr">
        <is>
          <t>Partial Assets #7, #8, &amp; #9</t>
        </is>
      </c>
      <c r="G4" s="83" t="inlineStr">
        <is>
          <t>Partial Assets #12, #13, &amp; #14</t>
        </is>
      </c>
      <c r="H4" s="83" t="inlineStr">
        <is>
          <t>total cost</t>
        </is>
      </c>
    </row>
    <row r="5" ht="15" customHeight="1" s="80">
      <c r="A5" s="85" t="inlineStr">
        <is>
          <t>03/25/2026</t>
        </is>
      </c>
      <c r="B5" s="85" t="inlineStr">
        <is>
          <t>2 - Land Improvements - Havenwood Drive</t>
        </is>
      </c>
      <c r="D5" s="86" t="n">
        <v>2498.5</v>
      </c>
      <c r="H5" s="87" t="n">
        <v>2498.5</v>
      </c>
    </row>
    <row r="6" ht="15" customHeight="1" s="80">
      <c r="A6" s="85" t="inlineStr">
        <is>
          <t>03/25/2026</t>
        </is>
      </c>
      <c r="B6" s="85" t="inlineStr">
        <is>
          <t>3 - Building - Havenwood Drive</t>
        </is>
      </c>
      <c r="D6" s="86" t="n">
        <v>32480.36</v>
      </c>
      <c r="H6" s="87" t="n">
        <v>32480.36</v>
      </c>
    </row>
    <row r="7" ht="15" customHeight="1" s="80">
      <c r="A7" s="85" t="inlineStr">
        <is>
          <t>03/25/2026</t>
        </is>
      </c>
      <c r="B7" s="85" t="inlineStr">
        <is>
          <t>4 - Equipment - Havenwood Drive</t>
        </is>
      </c>
      <c r="D7" s="86" t="n">
        <v>6662.61</v>
      </c>
      <c r="H7" s="87" t="n">
        <v>6662.61</v>
      </c>
    </row>
    <row r="8" ht="15" customHeight="1" s="80">
      <c r="A8" s="85" t="inlineStr">
        <is>
          <t>03/25/2026</t>
        </is>
      </c>
      <c r="B8" s="85" t="inlineStr">
        <is>
          <t>7 - Land Improvements - Kayla Court</t>
        </is>
      </c>
      <c r="F8" s="86" t="n">
        <v>2674.78</v>
      </c>
      <c r="H8" s="87" t="n">
        <v>2674.78</v>
      </c>
    </row>
    <row r="9" ht="15" customHeight="1" s="80">
      <c r="A9" s="85" t="inlineStr">
        <is>
          <t>03/25/2026</t>
        </is>
      </c>
      <c r="B9" s="85" t="inlineStr">
        <is>
          <t>8 - Building - Kayla Court</t>
        </is>
      </c>
      <c r="F9" s="86" t="n">
        <v>34772.36</v>
      </c>
      <c r="H9" s="87" t="n">
        <v>34772.36</v>
      </c>
    </row>
    <row r="10" ht="15" customHeight="1" s="80">
      <c r="A10" s="85" t="inlineStr">
        <is>
          <t>03/25/2026</t>
        </is>
      </c>
      <c r="B10" s="85" t="inlineStr">
        <is>
          <t>9 - Equipment - Kayla Court</t>
        </is>
      </c>
      <c r="F10" s="86" t="n">
        <v>7132.78</v>
      </c>
      <c r="H10" s="87" t="n">
        <v>7132.78</v>
      </c>
    </row>
    <row r="11" ht="15" customHeight="1" s="80">
      <c r="A11" s="85" t="inlineStr">
        <is>
          <t>03/25/2026</t>
        </is>
      </c>
      <c r="B11" s="85" t="inlineStr">
        <is>
          <t>12 - Land Improvements - Smith Square</t>
        </is>
      </c>
      <c r="G11" s="86" t="n">
        <v>1826.33</v>
      </c>
      <c r="H11" s="87" t="n">
        <v>1826.33</v>
      </c>
    </row>
    <row r="12" ht="15" customHeight="1" s="80">
      <c r="A12" s="85" t="inlineStr">
        <is>
          <t>03/25/2026</t>
        </is>
      </c>
      <c r="B12" s="85" t="inlineStr">
        <is>
          <t>13 - Building - Smith Square</t>
        </is>
      </c>
      <c r="G12" s="86" t="n">
        <v>23742.25</v>
      </c>
      <c r="H12" s="87" t="n">
        <v>23742.25</v>
      </c>
    </row>
    <row r="13" ht="15" customHeight="1" s="80">
      <c r="A13" s="85" t="inlineStr">
        <is>
          <t>03/25/2026</t>
        </is>
      </c>
      <c r="B13" s="85" t="inlineStr">
        <is>
          <t>14 - Equipment - Smith Square</t>
        </is>
      </c>
      <c r="G13" s="86" t="n">
        <v>4870.22</v>
      </c>
      <c r="H13" s="87" t="n">
        <v>4870.22</v>
      </c>
    </row>
    <row r="14" ht="15" customHeight="1" s="80">
      <c r="A14" s="85" t="inlineStr">
        <is>
          <t>03/25/2026</t>
        </is>
      </c>
      <c r="B14" s="85" t="inlineStr">
        <is>
          <t>17 - Land Improvements - Ames</t>
        </is>
      </c>
      <c r="C14" s="86" t="n">
        <v>2631.67</v>
      </c>
      <c r="H14" s="87" t="n">
        <v>2631.67</v>
      </c>
    </row>
    <row r="15" ht="15" customHeight="1" s="80">
      <c r="A15" s="85" t="inlineStr">
        <is>
          <t>03/25/2026</t>
        </is>
      </c>
      <c r="B15" s="85" t="inlineStr">
        <is>
          <t>18 - Building - Ames</t>
        </is>
      </c>
      <c r="C15" s="86" t="n">
        <v>34211.54</v>
      </c>
      <c r="H15" s="87" t="n">
        <v>34211.54</v>
      </c>
    </row>
    <row r="16" ht="15" customHeight="1" s="80">
      <c r="A16" s="85" t="inlineStr">
        <is>
          <t>03/25/2026</t>
        </is>
      </c>
      <c r="B16" s="85" t="inlineStr">
        <is>
          <t>19 - Equipment - Ames</t>
        </is>
      </c>
      <c r="C16" s="86" t="n">
        <v>7017.75</v>
      </c>
      <c r="H16" s="87" t="n">
        <v>7017.75</v>
      </c>
    </row>
    <row r="17" ht="15" customHeight="1" s="80">
      <c r="A17" s="85" t="inlineStr">
        <is>
          <t>03/25/2026</t>
        </is>
      </c>
      <c r="B17" s="85" t="inlineStr">
        <is>
          <t>22 - Land Improvements - Gentry</t>
        </is>
      </c>
      <c r="E17" s="86" t="n">
        <v>1277.72</v>
      </c>
      <c r="H17" s="87" t="n">
        <v>1277.72</v>
      </c>
    </row>
    <row r="18" ht="15" customHeight="1" s="80">
      <c r="A18" s="85" t="inlineStr">
        <is>
          <t>03/25/2026</t>
        </is>
      </c>
      <c r="B18" s="85" t="inlineStr">
        <is>
          <t>23 - Building - Gentry</t>
        </is>
      </c>
      <c r="E18" s="86" t="n">
        <v>35350.51</v>
      </c>
      <c r="H18" s="87" t="n">
        <v>35350.51</v>
      </c>
    </row>
    <row r="19" ht="15" customHeight="1" s="80">
      <c r="A19" s="85" t="inlineStr">
        <is>
          <t>03/25/2026</t>
        </is>
      </c>
      <c r="B19" s="85" t="inlineStr">
        <is>
          <t>24 - Equipment - Gentry</t>
        </is>
      </c>
      <c r="E19" s="86" t="n">
        <v>5962.73</v>
      </c>
      <c r="H19" s="87" t="n">
        <v>5962.73</v>
      </c>
    </row>
    <row r="21">
      <c r="C21" s="88" t="n">
        <v>43860.96</v>
      </c>
      <c r="D21" s="88" t="n">
        <v>41641.47</v>
      </c>
      <c r="E21" s="88" t="n">
        <v>42590.96</v>
      </c>
      <c r="F21" s="88" t="n">
        <v>44579.92</v>
      </c>
      <c r="G21" s="88" t="n">
        <v>30438.8</v>
      </c>
      <c r="H21" s="88" t="n">
        <v>203112.11</v>
      </c>
    </row>
    <row r="24" ht="30" customHeight="1" s="80">
      <c r="A24" s="83" t="inlineStr">
        <is>
          <t>Acq Date</t>
        </is>
      </c>
      <c r="B24" s="83" t="inlineStr"/>
      <c r="C24" s="83" t="inlineStr">
        <is>
          <t>Partial Assets #17, #18, &amp; #19</t>
        </is>
      </c>
      <c r="D24" s="83" t="inlineStr">
        <is>
          <t>Partial Assets #2, #3, &amp; #4</t>
        </is>
      </c>
      <c r="E24" s="83" t="inlineStr">
        <is>
          <t>Partial Assets #22, #23, &amp; #24</t>
        </is>
      </c>
      <c r="F24" s="83" t="inlineStr">
        <is>
          <t>Partial Assets #7, #8, &amp; #9</t>
        </is>
      </c>
      <c r="G24" s="83" t="inlineStr">
        <is>
          <t>Partial Assets #12, #13, &amp; #14</t>
        </is>
      </c>
      <c r="H24" s="83" t="inlineStr">
        <is>
          <t>total cost</t>
        </is>
      </c>
    </row>
    <row r="25" ht="15" customHeight="1" s="80">
      <c r="A25" s="85" t="inlineStr">
        <is>
          <t>03/25/2026</t>
        </is>
      </c>
      <c r="B25" s="85" t="inlineStr">
        <is>
          <t>2 - Land Improvements - Havenwood Drive - Partial Assets #2, #3, &amp; #4 - 15yr</t>
        </is>
      </c>
      <c r="D25" s="86" t="n">
        <v>429.55</v>
      </c>
      <c r="H25" s="87" t="n">
        <v>429.55</v>
      </c>
    </row>
    <row r="26" ht="15" customHeight="1" s="80">
      <c r="A26" s="85" t="inlineStr">
        <is>
          <t>03/25/2026</t>
        </is>
      </c>
      <c r="B26" s="85" t="inlineStr">
        <is>
          <t>2 - Land Improvements - Havenwood Drive - Partial Assets #2, #3, &amp; #4 - 27.5yr</t>
        </is>
      </c>
      <c r="D26" s="86" t="n">
        <v>61.26</v>
      </c>
      <c r="H26" s="87" t="n">
        <v>61.26</v>
      </c>
    </row>
    <row r="27" ht="15" customHeight="1" s="80">
      <c r="A27" s="85" t="inlineStr">
        <is>
          <t>03/25/2026</t>
        </is>
      </c>
      <c r="B27" s="85" t="inlineStr">
        <is>
          <t>3 - Building - Havenwood Drive - Partial Assets #2, #3, &amp; #4 - 15yr</t>
        </is>
      </c>
      <c r="D27" s="86" t="n">
        <v>5584.08</v>
      </c>
      <c r="H27" s="87" t="n">
        <v>5584.08</v>
      </c>
    </row>
    <row r="28" ht="15" customHeight="1" s="80">
      <c r="A28" s="85" t="inlineStr">
        <is>
          <t>03/25/2026</t>
        </is>
      </c>
      <c r="B28" s="85" t="inlineStr">
        <is>
          <t>3 - Building - Havenwood Drive - Partial Assets #2, #3, &amp; #4 - 27.5yr</t>
        </is>
      </c>
      <c r="D28" s="86" t="n">
        <v>796.29</v>
      </c>
      <c r="H28" s="87" t="n">
        <v>796.29</v>
      </c>
    </row>
    <row r="29" ht="15" customHeight="1" s="80">
      <c r="A29" s="85" t="inlineStr">
        <is>
          <t>03/25/2026</t>
        </is>
      </c>
      <c r="B29" s="85" t="inlineStr">
        <is>
          <t>4 - Equipment - Havenwood Drive - Partial Assets #2, #3, &amp; #4 - 15yr</t>
        </is>
      </c>
      <c r="D29" s="86" t="n">
        <v>1145.45</v>
      </c>
      <c r="H29" s="87" t="n">
        <v>1145.45</v>
      </c>
    </row>
    <row r="30" ht="15" customHeight="1" s="80">
      <c r="A30" s="85" t="inlineStr">
        <is>
          <t>03/25/2026</t>
        </is>
      </c>
      <c r="B30" s="85" t="inlineStr">
        <is>
          <t>4 - Equipment - Havenwood Drive - Partial Assets #2, #3, &amp; #4 - 27.5yr</t>
        </is>
      </c>
      <c r="D30" s="86" t="n">
        <v>163.34</v>
      </c>
      <c r="H30" s="87" t="n">
        <v>163.34</v>
      </c>
    </row>
    <row r="31" ht="15" customHeight="1" s="80">
      <c r="A31" s="85" t="inlineStr">
        <is>
          <t>03/25/2026</t>
        </is>
      </c>
      <c r="B31" s="85" t="inlineStr">
        <is>
          <t>7 - Land Improvements - Kayla Court - Partial Assets #7, #8, &amp; #9 - 15yr</t>
        </is>
      </c>
      <c r="F31" s="86" t="n">
        <v>446.64</v>
      </c>
      <c r="H31" s="87" t="n">
        <v>446.64</v>
      </c>
    </row>
    <row r="32" ht="15" customHeight="1" s="80">
      <c r="A32" s="85" t="inlineStr">
        <is>
          <t>03/25/2026</t>
        </is>
      </c>
      <c r="B32" s="85" t="inlineStr">
        <is>
          <t>7 - Land Improvements - Kayla Court - Partial Assets #7, #8, &amp; #9 - 27.5yr</t>
        </is>
      </c>
      <c r="F32" s="86" t="n">
        <v>39.81</v>
      </c>
      <c r="H32" s="87" t="n">
        <v>39.81</v>
      </c>
    </row>
    <row r="33" ht="15" customHeight="1" s="80">
      <c r="A33" s="85" t="inlineStr">
        <is>
          <t>03/25/2026</t>
        </is>
      </c>
      <c r="B33" s="85" t="inlineStr">
        <is>
          <t>8 - Building - Kayla Court - Partial Assets #7, #8, &amp; #9 - 15yr</t>
        </is>
      </c>
      <c r="F33" s="86" t="n">
        <v>5806.35</v>
      </c>
      <c r="H33" s="87" t="n">
        <v>5806.35</v>
      </c>
    </row>
    <row r="34" ht="15" customHeight="1" s="80">
      <c r="A34" s="85" t="inlineStr">
        <is>
          <t>03/25/2026</t>
        </is>
      </c>
      <c r="B34" s="85" t="inlineStr">
        <is>
          <t>8 - Building - Kayla Court - Partial Assets #7, #8, &amp; #9 - 27.5yr</t>
        </is>
      </c>
      <c r="F34" s="86" t="n">
        <v>517.48</v>
      </c>
      <c r="H34" s="87" t="n">
        <v>517.48</v>
      </c>
    </row>
    <row r="35" ht="15" customHeight="1" s="80">
      <c r="A35" s="85" t="inlineStr">
        <is>
          <t>03/25/2026</t>
        </is>
      </c>
      <c r="B35" s="85" t="inlineStr">
        <is>
          <t>9 - Equipment - Kayla Court - Partial Assets #7, #8, &amp; #9 - 15yr</t>
        </is>
      </c>
      <c r="F35" s="86" t="n">
        <v>1191.04</v>
      </c>
      <c r="H35" s="87" t="n">
        <v>1191.04</v>
      </c>
    </row>
    <row r="36" ht="15" customHeight="1" s="80">
      <c r="A36" s="85" t="inlineStr">
        <is>
          <t>03/25/2026</t>
        </is>
      </c>
      <c r="B36" s="85" t="inlineStr">
        <is>
          <t>9 - Equipment - Kayla Court - Partial Assets #7, #8, &amp; #9 - 27.5yr</t>
        </is>
      </c>
      <c r="F36" s="86" t="n">
        <v>106.15</v>
      </c>
      <c r="H36" s="87" t="n">
        <v>106.15</v>
      </c>
    </row>
    <row r="37" ht="15" customHeight="1" s="80">
      <c r="A37" s="85" t="inlineStr">
        <is>
          <t>03/25/2026</t>
        </is>
      </c>
      <c r="B37" s="85" t="inlineStr">
        <is>
          <t>12 - Land Improvements - Smith Square - Partial Assets #12, #13, &amp; #14 - 15yr</t>
        </is>
      </c>
      <c r="G37" s="86" t="n">
        <v>339.79</v>
      </c>
      <c r="H37" s="87" t="n">
        <v>339.79</v>
      </c>
    </row>
    <row r="38" ht="15" customHeight="1" s="80">
      <c r="A38" s="85" t="inlineStr">
        <is>
          <t>03/25/2026</t>
        </is>
      </c>
      <c r="B38" s="85" t="inlineStr">
        <is>
          <t>12 - Land Improvements - Smith Square - Partial Assets #12, #13, &amp; #14 - 27.5yr</t>
        </is>
      </c>
      <c r="G38" s="86" t="n">
        <v>53.32</v>
      </c>
      <c r="H38" s="87" t="n">
        <v>53.32</v>
      </c>
    </row>
    <row r="39" ht="15" customHeight="1" s="80">
      <c r="A39" s="85" t="inlineStr">
        <is>
          <t>03/25/2026</t>
        </is>
      </c>
      <c r="B39" s="85" t="inlineStr">
        <is>
          <t>13 - Building - Smith Square - Partial Assets #12, #13, &amp; #14 - 15yr</t>
        </is>
      </c>
      <c r="G39" s="86" t="n">
        <v>4417.36</v>
      </c>
      <c r="H39" s="87" t="n">
        <v>4417.36</v>
      </c>
    </row>
    <row r="40" ht="15" customHeight="1" s="80">
      <c r="A40" s="85" t="inlineStr">
        <is>
          <t>03/25/2026</t>
        </is>
      </c>
      <c r="B40" s="85" t="inlineStr">
        <is>
          <t>13 - Building - Smith Square - Partial Assets #12, #13, &amp; #14 - 27.5yr</t>
        </is>
      </c>
      <c r="G40" s="86" t="n">
        <v>693.08</v>
      </c>
      <c r="H40" s="87" t="n">
        <v>693.08</v>
      </c>
    </row>
    <row r="41" ht="15" customHeight="1" s="80">
      <c r="A41" s="85" t="inlineStr">
        <is>
          <t>03/25/2026</t>
        </is>
      </c>
      <c r="B41" s="85" t="inlineStr">
        <is>
          <t>14 - Equipment - Smith Square - Partial Assets #12, #13, &amp; #14 - 15yr</t>
        </is>
      </c>
      <c r="G41" s="86" t="n">
        <v>906.13</v>
      </c>
      <c r="H41" s="87" t="n">
        <v>906.13</v>
      </c>
    </row>
    <row r="42" ht="15" customHeight="1" s="80">
      <c r="A42" s="85" t="inlineStr">
        <is>
          <t>03/25/2026</t>
        </is>
      </c>
      <c r="B42" s="85" t="inlineStr">
        <is>
          <t>14 - Equipment - Smith Square - Partial Assets #12, #13, &amp; #14 - 27.5yr</t>
        </is>
      </c>
      <c r="G42" s="86" t="n">
        <v>142.17</v>
      </c>
      <c r="H42" s="87" t="n">
        <v>142.17</v>
      </c>
    </row>
    <row r="43" ht="15" customHeight="1" s="80">
      <c r="A43" s="85" t="inlineStr">
        <is>
          <t>03/25/2026</t>
        </is>
      </c>
      <c r="B43" s="85" t="inlineStr">
        <is>
          <t>17 - Land Improvements - Ames - Partial Assets #17, #18, &amp; #19 - 15yr</t>
        </is>
      </c>
      <c r="C43" s="86" t="n">
        <v>482.57</v>
      </c>
      <c r="H43" s="87" t="n">
        <v>482.57</v>
      </c>
    </row>
    <row r="44" ht="15" customHeight="1" s="80">
      <c r="A44" s="85" t="inlineStr">
        <is>
          <t>03/25/2026</t>
        </is>
      </c>
      <c r="B44" s="85" t="inlineStr">
        <is>
          <t>17 - Land Improvements - Ames - Partial Assets #17, #18, &amp; #19 - 27.5yr</t>
        </is>
      </c>
      <c r="C44" s="86" t="n">
        <v>43.98</v>
      </c>
      <c r="H44" s="87" t="n">
        <v>43.98</v>
      </c>
    </row>
    <row r="45" ht="15" customHeight="1" s="80">
      <c r="A45" s="85" t="inlineStr">
        <is>
          <t>03/25/2026</t>
        </is>
      </c>
      <c r="B45" s="85" t="inlineStr">
        <is>
          <t>18 - Building - Ames - Partial Assets #17, #18, &amp; #19 - 15yr</t>
        </is>
      </c>
      <c r="C45" s="86" t="n">
        <v>6273.36</v>
      </c>
      <c r="H45" s="87" t="n">
        <v>6273.36</v>
      </c>
    </row>
    <row r="46" ht="15" customHeight="1" s="80">
      <c r="A46" s="85" t="inlineStr">
        <is>
          <t>03/25/2026</t>
        </is>
      </c>
      <c r="B46" s="85" t="inlineStr">
        <is>
          <t>18 - Building - Ames - Partial Assets #17, #18, &amp; #19 - 27.5yr</t>
        </is>
      </c>
      <c r="C46" s="86" t="n">
        <v>571.72</v>
      </c>
      <c r="H46" s="87" t="n">
        <v>571.72</v>
      </c>
    </row>
    <row r="47" ht="15" customHeight="1" s="80">
      <c r="A47" s="85" t="inlineStr">
        <is>
          <t>03/25/2026</t>
        </is>
      </c>
      <c r="B47" s="85" t="inlineStr">
        <is>
          <t>19 - Equipment - Ames - Partial Assets #17, #18, &amp; #19 - 15yr</t>
        </is>
      </c>
      <c r="C47" s="86" t="n">
        <v>1286.84</v>
      </c>
      <c r="H47" s="87" t="n">
        <v>1286.84</v>
      </c>
    </row>
    <row r="48" ht="15" customHeight="1" s="80">
      <c r="A48" s="85" t="inlineStr">
        <is>
          <t>03/25/2026</t>
        </is>
      </c>
      <c r="B48" s="85" t="inlineStr">
        <is>
          <t>19 - Equipment - Ames - Partial Assets #17, #18, &amp; #19 - 27.5yr</t>
        </is>
      </c>
      <c r="C48" s="86" t="n">
        <v>117.28</v>
      </c>
      <c r="H48" s="87" t="n">
        <v>117.28</v>
      </c>
    </row>
    <row r="49" ht="15" customHeight="1" s="80">
      <c r="A49" s="85" t="inlineStr">
        <is>
          <t>03/25/2026</t>
        </is>
      </c>
      <c r="B49" s="85" t="inlineStr">
        <is>
          <t>22 - Land Improvements - Gentry - Partial Assets #22, #23, &amp; #24 - 15yr</t>
        </is>
      </c>
      <c r="E49" s="86" t="n">
        <v>191.68</v>
      </c>
      <c r="H49" s="87" t="n">
        <v>191.68</v>
      </c>
    </row>
    <row r="50" ht="15" customHeight="1" s="80">
      <c r="A50" s="85" t="inlineStr">
        <is>
          <t>03/25/2026</t>
        </is>
      </c>
      <c r="B50" s="85" t="inlineStr">
        <is>
          <t>22 - Land Improvements - Gentry - Partial Assets #22, #23, &amp; #24 - 27.5yr</t>
        </is>
      </c>
      <c r="E50" s="86" t="n">
        <v>21.63</v>
      </c>
      <c r="H50" s="87" t="n">
        <v>21.63</v>
      </c>
    </row>
    <row r="51" ht="15" customHeight="1" s="80">
      <c r="A51" s="85" t="inlineStr">
        <is>
          <t>03/25/2026</t>
        </is>
      </c>
      <c r="B51" s="85" t="inlineStr">
        <is>
          <t>23 - Building - Gentry - Partial Assets #22, #23, &amp; #24 - 15yr</t>
        </is>
      </c>
      <c r="E51" s="86" t="n">
        <v>5303.35</v>
      </c>
      <c r="H51" s="87" t="n">
        <v>5303.35</v>
      </c>
    </row>
    <row r="52" ht="15" customHeight="1" s="80">
      <c r="A52" s="85" t="inlineStr">
        <is>
          <t>03/25/2026</t>
        </is>
      </c>
      <c r="B52" s="85" t="inlineStr">
        <is>
          <t>23 - Building - Gentry - Partial Assets #22, #23, &amp; #24 - 27.5yr</t>
        </is>
      </c>
      <c r="E52" s="86" t="n">
        <v>598.37</v>
      </c>
      <c r="H52" s="87" t="n">
        <v>598.37</v>
      </c>
    </row>
    <row r="53" ht="15" customHeight="1" s="80">
      <c r="A53" s="85" t="inlineStr">
        <is>
          <t>03/25/2026</t>
        </is>
      </c>
      <c r="B53" s="85" t="inlineStr">
        <is>
          <t>24 - Equipment - Gentry - Partial Assets #22, #23, &amp; #24 - 15yr</t>
        </is>
      </c>
      <c r="E53" s="86" t="n">
        <v>894.54</v>
      </c>
      <c r="H53" s="87" t="n">
        <v>894.54</v>
      </c>
    </row>
    <row r="54" ht="15" customHeight="1" s="80">
      <c r="A54" s="85" t="inlineStr">
        <is>
          <t>03/25/2026</t>
        </is>
      </c>
      <c r="B54" s="85" t="inlineStr">
        <is>
          <t>24 - Equipment - Gentry - Partial Assets #22, #23, &amp; #24 - 27.5yr</t>
        </is>
      </c>
      <c r="E54" s="86" t="n">
        <v>100.93</v>
      </c>
      <c r="H54" s="87" t="n">
        <v>100.93</v>
      </c>
    </row>
    <row r="56">
      <c r="C56" s="88" t="n">
        <v>43860.96</v>
      </c>
      <c r="D56" s="88" t="n">
        <v>41641.47</v>
      </c>
      <c r="E56" s="88" t="n">
        <v>42590.96</v>
      </c>
      <c r="F56" s="88" t="n">
        <v>44579.92</v>
      </c>
      <c r="G56" s="88" t="n">
        <v>30438.8</v>
      </c>
      <c r="H56" s="88" t="n">
        <v>203112.11</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03/25/2026</t>
        </is>
      </c>
      <c r="B61" s="85" t="inlineStr">
        <is>
          <t>2 - Land Improvements - Havenwood Drive</t>
        </is>
      </c>
      <c r="D61" s="86" t="n">
        <v>2498.5</v>
      </c>
      <c r="H61" s="87" t="n">
        <v>2498.5</v>
      </c>
    </row>
    <row r="62" ht="15" customHeight="1" s="80">
      <c r="A62" s="85" t="inlineStr">
        <is>
          <t>03/25/2026</t>
        </is>
      </c>
      <c r="B62" s="85" t="inlineStr">
        <is>
          <t>3 - Building - Havenwood Drive</t>
        </is>
      </c>
      <c r="D62" s="86" t="n">
        <v>32480.36</v>
      </c>
      <c r="H62" s="87" t="n">
        <v>32480.36</v>
      </c>
    </row>
    <row r="63" ht="15" customHeight="1" s="80">
      <c r="A63" s="85" t="inlineStr">
        <is>
          <t>03/25/2026</t>
        </is>
      </c>
      <c r="B63" s="85" t="inlineStr">
        <is>
          <t>4 - Equipment - Havenwood Drive</t>
        </is>
      </c>
      <c r="D63" s="86" t="n">
        <v>6662.61</v>
      </c>
      <c r="H63" s="87" t="n">
        <v>6662.61</v>
      </c>
    </row>
    <row r="64" ht="15" customHeight="1" s="80">
      <c r="A64" s="85" t="inlineStr">
        <is>
          <t>03/25/2026</t>
        </is>
      </c>
      <c r="B64" s="85" t="inlineStr">
        <is>
          <t>7 - Land Improvements - Kayla Court</t>
        </is>
      </c>
      <c r="F64" s="86" t="n">
        <v>2674.78</v>
      </c>
      <c r="H64" s="87" t="n">
        <v>2674.78</v>
      </c>
    </row>
    <row r="65" ht="15" customHeight="1" s="80">
      <c r="A65" s="85" t="inlineStr">
        <is>
          <t>03/25/2026</t>
        </is>
      </c>
      <c r="B65" s="85" t="inlineStr">
        <is>
          <t>8 - Building - Kayla Court</t>
        </is>
      </c>
      <c r="F65" s="86" t="n">
        <v>34772.36</v>
      </c>
      <c r="H65" s="87" t="n">
        <v>34772.36</v>
      </c>
    </row>
    <row r="66" ht="15" customHeight="1" s="80">
      <c r="A66" s="85" t="inlineStr">
        <is>
          <t>03/25/2026</t>
        </is>
      </c>
      <c r="B66" s="85" t="inlineStr">
        <is>
          <t>9 - Equipment - Kayla Court</t>
        </is>
      </c>
      <c r="F66" s="86" t="n">
        <v>7132.78</v>
      </c>
      <c r="H66" s="87" t="n">
        <v>7132.78</v>
      </c>
    </row>
    <row r="67" ht="15" customHeight="1" s="80">
      <c r="A67" s="85" t="inlineStr">
        <is>
          <t>03/25/2026</t>
        </is>
      </c>
      <c r="B67" s="85" t="inlineStr">
        <is>
          <t>12 - Land Improvements - Smith Square</t>
        </is>
      </c>
      <c r="G67" s="86" t="n">
        <v>1826.33</v>
      </c>
      <c r="H67" s="87" t="n">
        <v>1826.33</v>
      </c>
    </row>
    <row r="68" ht="15" customHeight="1" s="80">
      <c r="A68" s="85" t="inlineStr">
        <is>
          <t>03/25/2026</t>
        </is>
      </c>
      <c r="B68" s="85" t="inlineStr">
        <is>
          <t>13 - Building - Smith Square</t>
        </is>
      </c>
      <c r="G68" s="86" t="n">
        <v>23742.25</v>
      </c>
      <c r="H68" s="87" t="n">
        <v>23742.25</v>
      </c>
    </row>
    <row r="69" ht="15" customHeight="1" s="80">
      <c r="A69" s="85" t="inlineStr">
        <is>
          <t>03/25/2026</t>
        </is>
      </c>
      <c r="B69" s="85" t="inlineStr">
        <is>
          <t>14 - Equipment - Smith Square</t>
        </is>
      </c>
      <c r="G69" s="86" t="n">
        <v>4870.22</v>
      </c>
      <c r="H69" s="87" t="n">
        <v>4870.22</v>
      </c>
    </row>
    <row r="70" ht="15" customHeight="1" s="80">
      <c r="A70" s="85" t="inlineStr">
        <is>
          <t>03/25/2026</t>
        </is>
      </c>
      <c r="B70" s="85" t="inlineStr">
        <is>
          <t>17 - Land Improvements - Ames</t>
        </is>
      </c>
      <c r="C70" s="86" t="n">
        <v>2631.67</v>
      </c>
      <c r="H70" s="87" t="n">
        <v>2631.67</v>
      </c>
    </row>
    <row r="71" ht="15" customHeight="1" s="80">
      <c r="A71" s="85" t="inlineStr">
        <is>
          <t>03/25/2026</t>
        </is>
      </c>
      <c r="B71" s="85" t="inlineStr">
        <is>
          <t>18 - Building - Ames</t>
        </is>
      </c>
      <c r="C71" s="86" t="n">
        <v>34211.54</v>
      </c>
      <c r="H71" s="87" t="n">
        <v>34211.54</v>
      </c>
    </row>
    <row r="72" ht="15" customHeight="1" s="80">
      <c r="A72" s="85" t="inlineStr">
        <is>
          <t>03/25/2026</t>
        </is>
      </c>
      <c r="B72" s="85" t="inlineStr">
        <is>
          <t>19 - Equipment - Ames</t>
        </is>
      </c>
      <c r="C72" s="86" t="n">
        <v>7017.75</v>
      </c>
      <c r="H72" s="87" t="n">
        <v>7017.75</v>
      </c>
    </row>
    <row r="73" ht="15" customHeight="1" s="80">
      <c r="A73" s="85" t="inlineStr">
        <is>
          <t>03/25/2026</t>
        </is>
      </c>
      <c r="B73" s="85" t="inlineStr">
        <is>
          <t>22 - Land Improvements - Gentry</t>
        </is>
      </c>
      <c r="E73" s="86" t="n">
        <v>1277.72</v>
      </c>
      <c r="H73" s="87" t="n">
        <v>1277.72</v>
      </c>
    </row>
    <row r="74" ht="15" customHeight="1" s="80">
      <c r="A74" s="85" t="inlineStr">
        <is>
          <t>03/25/2026</t>
        </is>
      </c>
      <c r="B74" s="85" t="inlineStr">
        <is>
          <t>23 - Building - Gentry</t>
        </is>
      </c>
      <c r="E74" s="86" t="n">
        <v>35350.51</v>
      </c>
      <c r="H74" s="87" t="n">
        <v>35350.51</v>
      </c>
    </row>
    <row r="75" ht="15" customHeight="1" s="80">
      <c r="A75" s="85" t="inlineStr">
        <is>
          <t>03/25/2026</t>
        </is>
      </c>
      <c r="B75" s="85" t="inlineStr">
        <is>
          <t>24 - Equipment - Gentry</t>
        </is>
      </c>
      <c r="E75" s="86" t="n">
        <v>5962.73</v>
      </c>
      <c r="H75" s="87" t="n">
        <v>5962.73</v>
      </c>
    </row>
    <row r="77">
      <c r="C77" s="88" t="n">
        <v>0</v>
      </c>
      <c r="D77" s="88" t="n">
        <v>0</v>
      </c>
      <c r="E77" s="88" t="n">
        <v>0</v>
      </c>
      <c r="F77" s="88" t="n">
        <v>0</v>
      </c>
      <c r="G77" s="88" t="n">
        <v>0</v>
      </c>
      <c r="H77" s="88" t="n">
        <v>0</v>
      </c>
    </row>
    <row r="79" ht="15" customHeight="1" s="80">
      <c r="A79" s="85" t="inlineStr">
        <is>
          <t>03/25/2026</t>
        </is>
      </c>
      <c r="B79" s="85" t="inlineStr">
        <is>
          <t>2 - Land Improvements - Havenwood Drive - Partial Assets #2, #3, &amp; #4 -</t>
        </is>
      </c>
      <c r="D79" s="86" t="n">
        <v>429.55</v>
      </c>
      <c r="H79" s="87" t="n">
        <v>429.55</v>
      </c>
    </row>
    <row r="80" ht="15" customHeight="1" s="80">
      <c r="A80" s="85" t="inlineStr">
        <is>
          <t>03/25/2026</t>
        </is>
      </c>
      <c r="B80" s="85" t="inlineStr">
        <is>
          <t>2 - Land Improvements - Havenwood Drive - Partial Assets #2, #3, &amp; #4 -</t>
        </is>
      </c>
      <c r="D80" s="86" t="n">
        <v>61.26</v>
      </c>
      <c r="H80" s="87" t="n">
        <v>61.26</v>
      </c>
    </row>
    <row r="81" ht="15" customHeight="1" s="80">
      <c r="A81" s="85" t="inlineStr">
        <is>
          <t>03/25/2026</t>
        </is>
      </c>
      <c r="B81" s="85" t="inlineStr">
        <is>
          <t>3 - Building - Havenwood Drive - Partial Assets #2, #3, &amp; #4 -</t>
        </is>
      </c>
      <c r="D81" s="86" t="n">
        <v>5584.08</v>
      </c>
      <c r="H81" s="87" t="n">
        <v>5584.08</v>
      </c>
    </row>
    <row r="82" ht="15" customHeight="1" s="80">
      <c r="A82" s="85" t="inlineStr">
        <is>
          <t>03/25/2026</t>
        </is>
      </c>
      <c r="B82" s="85" t="inlineStr">
        <is>
          <t>3 - Building - Havenwood Drive - Partial Assets #2, #3, &amp; #4 -</t>
        </is>
      </c>
      <c r="D82" s="86" t="n">
        <v>796.29</v>
      </c>
      <c r="H82" s="87" t="n">
        <v>796.29</v>
      </c>
    </row>
    <row r="83" ht="15" customHeight="1" s="80">
      <c r="A83" s="85" t="inlineStr">
        <is>
          <t>03/25/2026</t>
        </is>
      </c>
      <c r="B83" s="85" t="inlineStr">
        <is>
          <t>4 - Equipment - Havenwood Drive - Partial Assets #2, #3, &amp; #4 -</t>
        </is>
      </c>
      <c r="D83" s="86" t="n">
        <v>1145.45</v>
      </c>
      <c r="H83" s="87" t="n">
        <v>1145.45</v>
      </c>
    </row>
    <row r="84" ht="15" customHeight="1" s="80">
      <c r="A84" s="85" t="inlineStr">
        <is>
          <t>03/25/2026</t>
        </is>
      </c>
      <c r="B84" s="85" t="inlineStr">
        <is>
          <t>4 - Equipment - Havenwood Drive - Partial Assets #2, #3, &amp; #4 -</t>
        </is>
      </c>
      <c r="D84" s="86" t="n">
        <v>163.34</v>
      </c>
      <c r="H84" s="87" t="n">
        <v>163.34</v>
      </c>
    </row>
    <row r="85" ht="15" customHeight="1" s="80">
      <c r="A85" s="85" t="inlineStr">
        <is>
          <t>03/25/2026</t>
        </is>
      </c>
      <c r="B85" s="85" t="inlineStr">
        <is>
          <t>7 - Land Improvements - Kayla Court - Partial Assets #7, #8, &amp; #9 -</t>
        </is>
      </c>
      <c r="F85" s="86" t="n">
        <v>446.64</v>
      </c>
      <c r="H85" s="87" t="n">
        <v>446.64</v>
      </c>
    </row>
    <row r="86" ht="15" customHeight="1" s="80">
      <c r="A86" s="85" t="inlineStr">
        <is>
          <t>03/25/2026</t>
        </is>
      </c>
      <c r="B86" s="85" t="inlineStr">
        <is>
          <t>7 - Land Improvements - Kayla Court - Partial Assets #7, #8, &amp; #9 -</t>
        </is>
      </c>
      <c r="F86" s="86" t="n">
        <v>39.81</v>
      </c>
      <c r="H86" s="87" t="n">
        <v>39.81</v>
      </c>
    </row>
    <row r="87" ht="15" customHeight="1" s="80">
      <c r="A87" s="85" t="inlineStr">
        <is>
          <t>03/25/2026</t>
        </is>
      </c>
      <c r="B87" s="85" t="inlineStr">
        <is>
          <t>8 - Building - Kayla Court - Partial Assets #7, #8, &amp; #9 -</t>
        </is>
      </c>
      <c r="F87" s="86" t="n">
        <v>5806.35</v>
      </c>
      <c r="H87" s="87" t="n">
        <v>5806.35</v>
      </c>
    </row>
    <row r="88" ht="15" customHeight="1" s="80">
      <c r="A88" s="85" t="inlineStr">
        <is>
          <t>03/25/2026</t>
        </is>
      </c>
      <c r="B88" s="85" t="inlineStr">
        <is>
          <t>8 - Building - Kayla Court - Partial Assets #7, #8, &amp; #9 -</t>
        </is>
      </c>
      <c r="F88" s="86" t="n">
        <v>517.48</v>
      </c>
      <c r="H88" s="87" t="n">
        <v>517.48</v>
      </c>
    </row>
    <row r="89" ht="15" customHeight="1" s="80">
      <c r="A89" s="85" t="inlineStr">
        <is>
          <t>03/25/2026</t>
        </is>
      </c>
      <c r="B89" s="85" t="inlineStr">
        <is>
          <t>9 - Equipment - Kayla Court - Partial Assets #7, #8, &amp; #9 -</t>
        </is>
      </c>
      <c r="F89" s="86" t="n">
        <v>1191.04</v>
      </c>
      <c r="H89" s="87" t="n">
        <v>1191.04</v>
      </c>
    </row>
    <row r="90" ht="15" customHeight="1" s="80">
      <c r="A90" s="85" t="inlineStr">
        <is>
          <t>03/25/2026</t>
        </is>
      </c>
      <c r="B90" s="85" t="inlineStr">
        <is>
          <t>9 - Equipment - Kayla Court - Partial Assets #7, #8, &amp; #9 -</t>
        </is>
      </c>
      <c r="F90" s="86" t="n">
        <v>106.15</v>
      </c>
      <c r="H90" s="87" t="n">
        <v>106.15</v>
      </c>
    </row>
    <row r="91" ht="15" customHeight="1" s="80">
      <c r="A91" s="85" t="inlineStr">
        <is>
          <t>03/25/2026</t>
        </is>
      </c>
      <c r="B91" s="85" t="inlineStr">
        <is>
          <t>12 - Land Improvements - Smith Square - Partial Assets #12, #13, &amp; #14 -</t>
        </is>
      </c>
      <c r="G91" s="86" t="n">
        <v>339.79</v>
      </c>
      <c r="H91" s="87" t="n">
        <v>339.79</v>
      </c>
    </row>
    <row r="92" ht="15" customHeight="1" s="80">
      <c r="A92" s="85" t="inlineStr">
        <is>
          <t>03/25/2026</t>
        </is>
      </c>
      <c r="B92" s="85" t="inlineStr">
        <is>
          <t>12 - Land Improvements - Smith Square - Partial Assets #12, #13, &amp; #14 -</t>
        </is>
      </c>
      <c r="G92" s="86" t="n">
        <v>53.32</v>
      </c>
      <c r="H92" s="87" t="n">
        <v>53.32</v>
      </c>
    </row>
    <row r="93" ht="15" customHeight="1" s="80">
      <c r="A93" s="85" t="inlineStr">
        <is>
          <t>03/25/2026</t>
        </is>
      </c>
      <c r="B93" s="85" t="inlineStr">
        <is>
          <t>13 - Building - Smith Square - Partial Assets #12, #13, &amp; #14 -</t>
        </is>
      </c>
      <c r="G93" s="86" t="n">
        <v>4417.36</v>
      </c>
      <c r="H93" s="87" t="n">
        <v>4417.36</v>
      </c>
    </row>
    <row r="94" ht="15" customHeight="1" s="80">
      <c r="A94" s="85" t="inlineStr">
        <is>
          <t>03/25/2026</t>
        </is>
      </c>
      <c r="B94" s="85" t="inlineStr">
        <is>
          <t>13 - Building - Smith Square - Partial Assets #12, #13, &amp; #14 -</t>
        </is>
      </c>
      <c r="G94" s="86" t="n">
        <v>693.08</v>
      </c>
      <c r="H94" s="87" t="n">
        <v>693.08</v>
      </c>
    </row>
    <row r="95" ht="15" customHeight="1" s="80">
      <c r="A95" s="85" t="inlineStr">
        <is>
          <t>03/25/2026</t>
        </is>
      </c>
      <c r="B95" s="85" t="inlineStr">
        <is>
          <t>14 - Equipment - Smith Square - Partial Assets #12, #13, &amp; #14 -</t>
        </is>
      </c>
      <c r="G95" s="86" t="n">
        <v>906.13</v>
      </c>
      <c r="H95" s="87" t="n">
        <v>906.13</v>
      </c>
    </row>
    <row r="96" ht="15" customHeight="1" s="80">
      <c r="A96" s="85" t="inlineStr">
        <is>
          <t>03/25/2026</t>
        </is>
      </c>
      <c r="B96" s="85" t="inlineStr">
        <is>
          <t>14 - Equipment - Smith Square - Partial Assets #12, #13, &amp; #14 -</t>
        </is>
      </c>
      <c r="G96" s="86" t="n">
        <v>142.17</v>
      </c>
      <c r="H96" s="87" t="n">
        <v>142.17</v>
      </c>
    </row>
    <row r="97" ht="15" customHeight="1" s="80">
      <c r="A97" s="85" t="inlineStr">
        <is>
          <t>03/25/2026</t>
        </is>
      </c>
      <c r="B97" s="85" t="inlineStr">
        <is>
          <t>17 - Land Improvements - Ames - Partial Assets #17, #18, &amp; #19 -</t>
        </is>
      </c>
      <c r="C97" s="86" t="n">
        <v>482.57</v>
      </c>
      <c r="H97" s="87" t="n">
        <v>482.57</v>
      </c>
    </row>
    <row r="98" ht="15" customHeight="1" s="80">
      <c r="A98" s="85" t="inlineStr">
        <is>
          <t>03/25/2026</t>
        </is>
      </c>
      <c r="B98" s="85" t="inlineStr">
        <is>
          <t>17 - Land Improvements - Ames - Partial Assets #17, #18, &amp; #19 -</t>
        </is>
      </c>
      <c r="C98" s="86" t="n">
        <v>43.98</v>
      </c>
      <c r="H98" s="87" t="n">
        <v>43.98</v>
      </c>
    </row>
    <row r="99" ht="15" customHeight="1" s="80">
      <c r="A99" s="85" t="inlineStr">
        <is>
          <t>03/25/2026</t>
        </is>
      </c>
      <c r="B99" s="85" t="inlineStr">
        <is>
          <t>18 - Building - Ames - Partial Assets #17, #18, &amp; #19 -</t>
        </is>
      </c>
      <c r="C99" s="86" t="n">
        <v>6273.36</v>
      </c>
      <c r="H99" s="87" t="n">
        <v>6273.36</v>
      </c>
    </row>
    <row r="100" ht="15" customHeight="1" s="80">
      <c r="A100" s="85" t="inlineStr">
        <is>
          <t>03/25/2026</t>
        </is>
      </c>
      <c r="B100" s="85" t="inlineStr">
        <is>
          <t>18 - Building - Ames - Partial Assets #17, #18, &amp; #19 -</t>
        </is>
      </c>
      <c r="C100" s="86" t="n">
        <v>571.72</v>
      </c>
      <c r="H100" s="87" t="n">
        <v>571.72</v>
      </c>
    </row>
    <row r="101" ht="15" customHeight="1" s="80">
      <c r="A101" s="85" t="inlineStr">
        <is>
          <t>03/25/2026</t>
        </is>
      </c>
      <c r="B101" s="85" t="inlineStr">
        <is>
          <t>19 - Equipment - Ames - Partial Assets #17, #18, &amp; #19 -</t>
        </is>
      </c>
      <c r="C101" s="86" t="n">
        <v>1286.84</v>
      </c>
      <c r="H101" s="87" t="n">
        <v>1286.84</v>
      </c>
    </row>
    <row r="102" ht="15" customHeight="1" s="80">
      <c r="A102" s="85" t="inlineStr">
        <is>
          <t>03/25/2026</t>
        </is>
      </c>
      <c r="B102" s="85" t="inlineStr">
        <is>
          <t>19 - Equipment - Ames - Partial Assets #17, #18, &amp; #19 -</t>
        </is>
      </c>
      <c r="C102" s="86" t="n">
        <v>117.28</v>
      </c>
      <c r="H102" s="87" t="n">
        <v>117.28</v>
      </c>
    </row>
    <row r="103" ht="15" customHeight="1" s="80">
      <c r="A103" s="85" t="inlineStr">
        <is>
          <t>03/25/2026</t>
        </is>
      </c>
      <c r="B103" s="85" t="inlineStr">
        <is>
          <t>22 - Land Improvements - Gentry - Partial Assets #22, #23, &amp; #24 -</t>
        </is>
      </c>
      <c r="E103" s="86" t="n">
        <v>191.68</v>
      </c>
      <c r="H103" s="87" t="n">
        <v>191.68</v>
      </c>
    </row>
    <row r="104" ht="15" customHeight="1" s="80">
      <c r="A104" s="85" t="inlineStr">
        <is>
          <t>03/25/2026</t>
        </is>
      </c>
      <c r="B104" s="85" t="inlineStr">
        <is>
          <t>22 - Land Improvements - Gentry - Partial Assets #22, #23, &amp; #24 -</t>
        </is>
      </c>
      <c r="E104" s="86" t="n">
        <v>21.63</v>
      </c>
      <c r="H104" s="87" t="n">
        <v>21.63</v>
      </c>
    </row>
    <row r="105" ht="15" customHeight="1" s="80">
      <c r="A105" s="85" t="inlineStr">
        <is>
          <t>03/25/2026</t>
        </is>
      </c>
      <c r="B105" s="85" t="inlineStr">
        <is>
          <t>23 - Building - Gentry - Partial Assets #22, #23, &amp; #24 -</t>
        </is>
      </c>
      <c r="E105" s="86" t="n">
        <v>5303.35</v>
      </c>
      <c r="H105" s="87" t="n">
        <v>5303.35</v>
      </c>
    </row>
    <row r="106" ht="15" customHeight="1" s="80">
      <c r="A106" s="85" t="inlineStr">
        <is>
          <t>03/25/2026</t>
        </is>
      </c>
      <c r="B106" s="85" t="inlineStr">
        <is>
          <t>23 - Building - Gentry - Partial Assets #22, #23, &amp; #24 -</t>
        </is>
      </c>
      <c r="E106" s="86" t="n">
        <v>598.37</v>
      </c>
      <c r="H106" s="87" t="n">
        <v>598.37</v>
      </c>
    </row>
    <row r="107" ht="15" customHeight="1" s="80">
      <c r="A107" s="85" t="inlineStr">
        <is>
          <t>03/25/2026</t>
        </is>
      </c>
      <c r="B107" s="85" t="inlineStr">
        <is>
          <t>24 - Equipment - Gentry - Partial Assets #22, #23, &amp; #24 -</t>
        </is>
      </c>
      <c r="E107" s="86" t="n">
        <v>894.54</v>
      </c>
      <c r="H107" s="87" t="n">
        <v>894.54</v>
      </c>
    </row>
    <row r="108" ht="15" customHeight="1" s="80">
      <c r="A108" s="85" t="inlineStr">
        <is>
          <t>03/25/2026</t>
        </is>
      </c>
      <c r="B108" s="85" t="inlineStr">
        <is>
          <t>24 - Equipment - Gentry - Partial Assets #22, #23, &amp; #24 -</t>
        </is>
      </c>
      <c r="E108" s="86" t="n">
        <v>100.93</v>
      </c>
      <c r="H108" s="87" t="n">
        <v>100.93</v>
      </c>
    </row>
    <row r="110">
      <c r="C110" s="88" t="n">
        <v>43860.96</v>
      </c>
      <c r="D110" s="88" t="n">
        <v>41641.47</v>
      </c>
      <c r="E110" s="88" t="n">
        <v>42590.96</v>
      </c>
      <c r="F110" s="88" t="n">
        <v>44579.92</v>
      </c>
      <c r="G110" s="88" t="n">
        <v>30438.8</v>
      </c>
      <c r="H110" s="88" t="n">
        <v>203112.11</v>
      </c>
    </row>
    <row r="112">
      <c r="B112" s="90" t="inlineStr">
        <is>
          <t>Projected First-Year Benefit (vs. straight-line 27.5yr)</t>
        </is>
      </c>
      <c r="C112" s="88" t="n">
        <v>43860.96</v>
      </c>
      <c r="D112" s="88" t="n">
        <v>41641.47</v>
      </c>
      <c r="E112" s="88" t="n">
        <v>42590.96</v>
      </c>
      <c r="F112" s="88" t="n">
        <v>44579.92</v>
      </c>
      <c r="G112" s="88" t="n">
        <v>30438.8</v>
      </c>
      <c r="H112" s="88" t="n">
        <v>203112.11</v>
      </c>
    </row>
  </sheetData>
  <mergeCells count="1">
    <mergeCell ref="B60:H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4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s>
  <sheetData>
    <row r="1">
      <c r="A1" s="81" t="inlineStr">
        <is>
          <t>St. Charles Housing, LP</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Office</t>
        </is>
      </c>
      <c r="U4" s="83" t="inlineStr">
        <is>
          <t>total cost</t>
        </is>
      </c>
    </row>
    <row r="5" ht="15" customHeight="1" s="80">
      <c r="A5" s="85" t="inlineStr">
        <is>
          <t>04/09/2026</t>
        </is>
      </c>
      <c r="B5" s="85" t="inlineStr">
        <is>
          <t>2 - Land Improvements - St. Charles</t>
        </is>
      </c>
      <c r="C5" s="86" t="n">
        <v>15876.41</v>
      </c>
      <c r="D5" s="86" t="n">
        <v>8787.77</v>
      </c>
      <c r="E5" s="86" t="n">
        <v>8789.84</v>
      </c>
      <c r="F5" s="86" t="n">
        <v>8790.129999999999</v>
      </c>
      <c r="G5" s="86" t="n">
        <v>8749.57</v>
      </c>
      <c r="H5" s="86" t="n">
        <v>9844.620000000001</v>
      </c>
      <c r="I5" s="86" t="n">
        <v>8795.969999999999</v>
      </c>
      <c r="J5" s="86" t="n">
        <v>9891.01</v>
      </c>
      <c r="K5" s="86" t="n">
        <v>8795.969999999999</v>
      </c>
      <c r="L5" s="86" t="n">
        <v>3916.46</v>
      </c>
      <c r="M5" s="86" t="n">
        <v>9885.18</v>
      </c>
      <c r="N5" s="86" t="n">
        <v>8795.969999999999</v>
      </c>
      <c r="O5" s="86" t="n">
        <v>9891.01</v>
      </c>
      <c r="P5" s="86" t="n">
        <v>8795.969999999999</v>
      </c>
      <c r="Q5" s="86" t="n">
        <v>9885.18</v>
      </c>
      <c r="R5" s="86" t="n">
        <v>8749.57</v>
      </c>
      <c r="S5" s="86" t="n">
        <v>8795.969999999999</v>
      </c>
      <c r="T5" s="86" t="n">
        <v>2963.4</v>
      </c>
      <c r="U5" s="87" t="n">
        <v>160000</v>
      </c>
    </row>
    <row r="6" ht="15" customHeight="1" s="80">
      <c r="A6" s="85" t="inlineStr">
        <is>
          <t>04/09/2026</t>
        </is>
      </c>
      <c r="B6" s="85" t="inlineStr">
        <is>
          <t>10 - Building (Post Casualty Loss) - St. Charles</t>
        </is>
      </c>
      <c r="C6" s="86" t="n">
        <v>116091.65</v>
      </c>
      <c r="D6" s="86" t="n">
        <v>64257.99</v>
      </c>
      <c r="E6" s="86" t="n">
        <v>64273.15</v>
      </c>
      <c r="F6" s="86" t="n">
        <v>64275.31</v>
      </c>
      <c r="G6" s="86" t="n">
        <v>63978.69</v>
      </c>
      <c r="H6" s="86" t="n">
        <v>71985.95</v>
      </c>
      <c r="I6" s="86" t="n">
        <v>64317.98</v>
      </c>
      <c r="J6" s="86" t="n">
        <v>72325.23</v>
      </c>
      <c r="K6" s="86" t="n">
        <v>64317.98</v>
      </c>
      <c r="L6" s="86" t="n">
        <v>28637.97</v>
      </c>
      <c r="M6" s="86" t="n">
        <v>72282.57000000001</v>
      </c>
      <c r="N6" s="86" t="n">
        <v>64317.98</v>
      </c>
      <c r="O6" s="86" t="n">
        <v>72325.23</v>
      </c>
      <c r="P6" s="86" t="n">
        <v>64317.98</v>
      </c>
      <c r="Q6" s="86" t="n">
        <v>72282.57000000001</v>
      </c>
      <c r="R6" s="86" t="n">
        <v>63978.69</v>
      </c>
      <c r="S6" s="86" t="n">
        <v>64317.98</v>
      </c>
      <c r="T6" s="86" t="n">
        <v>21669.1</v>
      </c>
      <c r="U6" s="87" t="n">
        <v>1169954</v>
      </c>
    </row>
    <row r="7" ht="15" customHeight="1" s="80">
      <c r="A7" s="85" t="inlineStr">
        <is>
          <t>04/09/2026</t>
        </is>
      </c>
      <c r="B7" s="85" t="inlineStr">
        <is>
          <t>12 - New Building (16 Units) - St. Charles</t>
        </is>
      </c>
      <c r="C7" s="86" t="n">
        <v>62263.6</v>
      </c>
      <c r="D7" s="86" t="n">
        <v>34463.6</v>
      </c>
      <c r="E7" s="86" t="n">
        <v>34471.7</v>
      </c>
      <c r="F7" s="86" t="n">
        <v>34472.86</v>
      </c>
      <c r="G7" s="86" t="n">
        <v>34313.78</v>
      </c>
      <c r="H7" s="86" t="n">
        <v>38608.32</v>
      </c>
      <c r="I7" s="86" t="n">
        <v>34495.74</v>
      </c>
      <c r="J7" s="86" t="n">
        <v>38790.29</v>
      </c>
      <c r="K7" s="86" t="n">
        <v>34495.74</v>
      </c>
      <c r="L7" s="86" t="n">
        <v>15359.44</v>
      </c>
      <c r="M7" s="86" t="n">
        <v>38767.41</v>
      </c>
      <c r="N7" s="86" t="n">
        <v>34495.74</v>
      </c>
      <c r="O7" s="86" t="n">
        <v>38790.29</v>
      </c>
      <c r="P7" s="86" t="n">
        <v>34495.74</v>
      </c>
      <c r="Q7" s="86" t="n">
        <v>38767.41</v>
      </c>
      <c r="R7" s="86" t="n">
        <v>34313.78</v>
      </c>
      <c r="S7" s="86" t="n">
        <v>34495.74</v>
      </c>
      <c r="T7" s="86" t="n">
        <v>11621.82</v>
      </c>
      <c r="U7" s="87" t="n">
        <v>627482.9999999999</v>
      </c>
    </row>
    <row r="8" ht="15" customHeight="1" s="80">
      <c r="A8" s="85" t="inlineStr">
        <is>
          <t>04/09/2026</t>
        </is>
      </c>
      <c r="B8" s="85" t="inlineStr">
        <is>
          <t>13 - New Equipment (16 Units) - St. Charles</t>
        </is>
      </c>
      <c r="C8" s="86" t="n">
        <v>13667.6</v>
      </c>
      <c r="D8" s="86" t="n">
        <v>7565.17</v>
      </c>
      <c r="E8" s="86" t="n">
        <v>7566.95</v>
      </c>
      <c r="F8" s="86" t="n">
        <v>7567.2</v>
      </c>
      <c r="G8" s="86" t="n">
        <v>7532.28</v>
      </c>
      <c r="H8" s="86" t="n">
        <v>8474.99</v>
      </c>
      <c r="I8" s="86" t="n">
        <v>7572.23</v>
      </c>
      <c r="J8" s="86" t="n">
        <v>8514.93</v>
      </c>
      <c r="K8" s="86" t="n">
        <v>7572.23</v>
      </c>
      <c r="L8" s="86" t="n">
        <v>3371.57</v>
      </c>
      <c r="M8" s="86" t="n">
        <v>8509.91</v>
      </c>
      <c r="N8" s="86" t="n">
        <v>7572.23</v>
      </c>
      <c r="O8" s="86" t="n">
        <v>8514.93</v>
      </c>
      <c r="P8" s="86" t="n">
        <v>7572.23</v>
      </c>
      <c r="Q8" s="86" t="n">
        <v>8509.91</v>
      </c>
      <c r="R8" s="86" t="n">
        <v>7532.28</v>
      </c>
      <c r="S8" s="86" t="n">
        <v>7572.23</v>
      </c>
      <c r="T8" s="86" t="n">
        <v>2551.13</v>
      </c>
      <c r="U8" s="87" t="n">
        <v>137740</v>
      </c>
    </row>
    <row r="9" ht="15" customHeight="1" s="80">
      <c r="A9" s="85" t="inlineStr">
        <is>
          <t>04/09/2026</t>
        </is>
      </c>
      <c r="B9" s="85" t="inlineStr">
        <is>
          <t>14 - New Buildings (105 Units) - St. Charles</t>
        </is>
      </c>
      <c r="C9" s="86" t="n">
        <v>417320.48</v>
      </c>
      <c r="D9" s="86" t="n">
        <v>230991.49</v>
      </c>
      <c r="E9" s="86" t="n">
        <v>231045.9</v>
      </c>
      <c r="F9" s="86" t="n">
        <v>231053.67</v>
      </c>
      <c r="G9" s="86" t="n">
        <v>229987.39</v>
      </c>
      <c r="H9" s="86" t="n">
        <v>258771.48</v>
      </c>
      <c r="I9" s="86" t="n">
        <v>231207.03</v>
      </c>
      <c r="J9" s="86" t="n">
        <v>259991.11</v>
      </c>
      <c r="K9" s="86" t="n">
        <v>231207.03</v>
      </c>
      <c r="L9" s="86" t="n">
        <v>102946.35</v>
      </c>
      <c r="M9" s="86" t="n">
        <v>259837.74</v>
      </c>
      <c r="N9" s="86" t="n">
        <v>231207.03</v>
      </c>
      <c r="O9" s="86" t="n">
        <v>259991.11</v>
      </c>
      <c r="P9" s="86" t="n">
        <v>231207.03</v>
      </c>
      <c r="Q9" s="86" t="n">
        <v>259837.74</v>
      </c>
      <c r="R9" s="86" t="n">
        <v>229987.39</v>
      </c>
      <c r="S9" s="86" t="n">
        <v>231207.03</v>
      </c>
      <c r="T9" s="86" t="n">
        <v>77895</v>
      </c>
      <c r="U9" s="87" t="n">
        <v>4205691.999999999</v>
      </c>
    </row>
    <row r="10" ht="15" customHeight="1" s="80">
      <c r="A10" s="85" t="inlineStr">
        <is>
          <t>04/09/2026</t>
        </is>
      </c>
      <c r="B10" s="85" t="inlineStr">
        <is>
          <t>15 - New Equipment (105 Units) - St. Charles</t>
        </is>
      </c>
      <c r="C10" s="86" t="n">
        <v>91606.97</v>
      </c>
      <c r="D10" s="86" t="n">
        <v>50705.47</v>
      </c>
      <c r="E10" s="86" t="n">
        <v>50717.41</v>
      </c>
      <c r="F10" s="86" t="n">
        <v>50719.12</v>
      </c>
      <c r="G10" s="86" t="n">
        <v>50485.05</v>
      </c>
      <c r="H10" s="86" t="n">
        <v>56803.51</v>
      </c>
      <c r="I10" s="86" t="n">
        <v>50752.78</v>
      </c>
      <c r="J10" s="86" t="n">
        <v>57071.24</v>
      </c>
      <c r="K10" s="86" t="n">
        <v>50752.78</v>
      </c>
      <c r="L10" s="86" t="n">
        <v>22597.99</v>
      </c>
      <c r="M10" s="86" t="n">
        <v>57037.57</v>
      </c>
      <c r="N10" s="86" t="n">
        <v>50752.78</v>
      </c>
      <c r="O10" s="86" t="n">
        <v>57071.24</v>
      </c>
      <c r="P10" s="86" t="n">
        <v>50752.78</v>
      </c>
      <c r="Q10" s="86" t="n">
        <v>57037.57</v>
      </c>
      <c r="R10" s="86" t="n">
        <v>50485.05</v>
      </c>
      <c r="S10" s="86" t="n">
        <v>50752.78</v>
      </c>
      <c r="T10" s="86" t="n">
        <v>17098.91</v>
      </c>
      <c r="U10" s="87" t="n">
        <v>923201.0000000001</v>
      </c>
    </row>
    <row r="11" ht="15" customHeight="1" s="80">
      <c r="A11" s="85" t="inlineStr">
        <is>
          <t>04/09/2026</t>
        </is>
      </c>
      <c r="B11" s="85" t="inlineStr">
        <is>
          <t>111 - Building Imp (Post Casualty Loss) - St. Charles</t>
        </is>
      </c>
      <c r="C11" s="86" t="n">
        <v>2917.69</v>
      </c>
      <c r="D11" s="86" t="n">
        <v>1614.97</v>
      </c>
      <c r="E11" s="86" t="n">
        <v>1615.35</v>
      </c>
      <c r="F11" s="86" t="n">
        <v>1615.41</v>
      </c>
      <c r="G11" s="86" t="n">
        <v>1607.95</v>
      </c>
      <c r="H11" s="86" t="n">
        <v>1809.19</v>
      </c>
      <c r="I11" s="86" t="n">
        <v>1616.48</v>
      </c>
      <c r="J11" s="86" t="n">
        <v>1817.72</v>
      </c>
      <c r="K11" s="86" t="n">
        <v>1616.48</v>
      </c>
      <c r="L11" s="86" t="n">
        <v>719.75</v>
      </c>
      <c r="M11" s="86" t="n">
        <v>1816.65</v>
      </c>
      <c r="N11" s="86" t="n">
        <v>1616.48</v>
      </c>
      <c r="O11" s="86" t="n">
        <v>1817.72</v>
      </c>
      <c r="P11" s="86" t="n">
        <v>1616.48</v>
      </c>
      <c r="Q11" s="86" t="n">
        <v>1816.65</v>
      </c>
      <c r="R11" s="86" t="n">
        <v>1607.95</v>
      </c>
      <c r="S11" s="86" t="n">
        <v>1616.48</v>
      </c>
      <c r="T11" s="86" t="n">
        <v>544.6</v>
      </c>
      <c r="U11" s="87" t="n">
        <v>29404</v>
      </c>
    </row>
    <row r="13">
      <c r="C13" s="88" t="n">
        <v>719744.4</v>
      </c>
      <c r="D13" s="88" t="n">
        <v>398386.46</v>
      </c>
      <c r="E13" s="88" t="n">
        <v>398480.3</v>
      </c>
      <c r="F13" s="88" t="n">
        <v>398493.7</v>
      </c>
      <c r="G13" s="88" t="n">
        <v>396654.71</v>
      </c>
      <c r="H13" s="88" t="n">
        <v>446298.06</v>
      </c>
      <c r="I13" s="88" t="n">
        <v>398758.21</v>
      </c>
      <c r="J13" s="88" t="n">
        <v>448401.53</v>
      </c>
      <c r="K13" s="88" t="n">
        <v>398758.21</v>
      </c>
      <c r="L13" s="88" t="n">
        <v>177549.53</v>
      </c>
      <c r="M13" s="88" t="n">
        <v>448137.03</v>
      </c>
      <c r="N13" s="88" t="n">
        <v>398758.21</v>
      </c>
      <c r="O13" s="88" t="n">
        <v>448401.53</v>
      </c>
      <c r="P13" s="88" t="n">
        <v>398758.21</v>
      </c>
      <c r="Q13" s="88" t="n">
        <v>448137.03</v>
      </c>
      <c r="R13" s="88" t="n">
        <v>396654.71</v>
      </c>
      <c r="S13" s="88" t="n">
        <v>398758.21</v>
      </c>
      <c r="T13" s="88" t="n">
        <v>134343.96</v>
      </c>
      <c r="U13" s="88" t="n">
        <v>7253474</v>
      </c>
    </row>
    <row r="16" ht="30" customHeight="1" s="80">
      <c r="A16" s="83" t="inlineStr">
        <is>
          <t>Acq Date</t>
        </is>
      </c>
      <c r="B16" s="83" t="inlineStr"/>
      <c r="C16" s="83" t="inlineStr">
        <is>
          <t>Site</t>
        </is>
      </c>
      <c r="D16" s="83" t="inlineStr">
        <is>
          <t>Building 1</t>
        </is>
      </c>
      <c r="E16" s="83" t="inlineStr">
        <is>
          <t>Building 2</t>
        </is>
      </c>
      <c r="F16" s="83" t="inlineStr">
        <is>
          <t>Building 3</t>
        </is>
      </c>
      <c r="G16" s="83" t="inlineStr">
        <is>
          <t>Building 4</t>
        </is>
      </c>
      <c r="H16" s="83" t="inlineStr">
        <is>
          <t>Building 5</t>
        </is>
      </c>
      <c r="I16" s="83" t="inlineStr">
        <is>
          <t>Building 6</t>
        </is>
      </c>
      <c r="J16" s="83" t="inlineStr">
        <is>
          <t>Building 7</t>
        </is>
      </c>
      <c r="K16" s="83" t="inlineStr">
        <is>
          <t>Building 8</t>
        </is>
      </c>
      <c r="L16" s="83" t="inlineStr">
        <is>
          <t>Building 9</t>
        </is>
      </c>
      <c r="M16" s="83" t="inlineStr">
        <is>
          <t>Building 10</t>
        </is>
      </c>
      <c r="N16" s="83" t="inlineStr">
        <is>
          <t>Building 11</t>
        </is>
      </c>
      <c r="O16" s="83" t="inlineStr">
        <is>
          <t>Building 12</t>
        </is>
      </c>
      <c r="P16" s="83" t="inlineStr">
        <is>
          <t>Building 13</t>
        </is>
      </c>
      <c r="Q16" s="83" t="inlineStr">
        <is>
          <t>Building 14</t>
        </is>
      </c>
      <c r="R16" s="83" t="inlineStr">
        <is>
          <t>Building 15</t>
        </is>
      </c>
      <c r="S16" s="83" t="inlineStr">
        <is>
          <t>Building 16</t>
        </is>
      </c>
      <c r="T16" s="83" t="inlineStr">
        <is>
          <t>Office</t>
        </is>
      </c>
      <c r="U16" s="83" t="inlineStr">
        <is>
          <t>total cost</t>
        </is>
      </c>
    </row>
    <row r="17" ht="15" customHeight="1" s="80">
      <c r="A17" s="85" t="inlineStr">
        <is>
          <t>04/09/2026</t>
        </is>
      </c>
      <c r="B17" s="85" t="inlineStr">
        <is>
          <t>2 - Land Improvements - St. Charles - Site - 15yr</t>
        </is>
      </c>
      <c r="C17" s="86" t="n">
        <v>8901.790000000001</v>
      </c>
      <c r="U17" s="87" t="n">
        <v>8901.790000000001</v>
      </c>
    </row>
    <row r="18" ht="15" customHeight="1" s="80">
      <c r="A18" s="85" t="inlineStr">
        <is>
          <t>04/09/2026</t>
        </is>
      </c>
      <c r="B18" s="85" t="inlineStr">
        <is>
          <t>2 - Land Improvements - St. Charles - Site - 27.5yr</t>
        </is>
      </c>
      <c r="C18" s="86" t="n">
        <v>6974.62</v>
      </c>
      <c r="U18" s="87" t="n">
        <v>6974.62</v>
      </c>
    </row>
    <row r="19" ht="15" customHeight="1" s="80">
      <c r="A19" s="85" t="inlineStr">
        <is>
          <t>04/09/2026</t>
        </is>
      </c>
      <c r="B19" s="85" t="inlineStr">
        <is>
          <t>2 - Land Improvements - St. Charles - Bldg 1 - 15yr</t>
        </is>
      </c>
      <c r="D19" s="86" t="n">
        <v>2306.46</v>
      </c>
      <c r="U19" s="87" t="n">
        <v>2306.46</v>
      </c>
    </row>
    <row r="20" ht="15" customHeight="1" s="80">
      <c r="A20" s="85" t="inlineStr">
        <is>
          <t>04/09/2026</t>
        </is>
      </c>
      <c r="B20" s="85" t="inlineStr">
        <is>
          <t>2 - Land Improvements - St. Charles - Bldg 1 - 27.5yr</t>
        </is>
      </c>
      <c r="D20" s="86" t="n">
        <v>6481.31</v>
      </c>
      <c r="U20" s="87" t="n">
        <v>6481.31</v>
      </c>
    </row>
    <row r="21" ht="15" customHeight="1" s="80">
      <c r="A21" s="85" t="inlineStr">
        <is>
          <t>04/09/2026</t>
        </is>
      </c>
      <c r="B21" s="85" t="inlineStr">
        <is>
          <t>2 - Land Improvements - St. Charles - Bldg 2 - 15yr</t>
        </is>
      </c>
      <c r="E21" s="86" t="n">
        <v>2308.53</v>
      </c>
      <c r="U21" s="87" t="n">
        <v>2308.53</v>
      </c>
    </row>
    <row r="22" ht="15" customHeight="1" s="80">
      <c r="A22" s="85" t="inlineStr">
        <is>
          <t>04/09/2026</t>
        </is>
      </c>
      <c r="B22" s="85" t="inlineStr">
        <is>
          <t>2 - Land Improvements - St. Charles - Bldg 2 - 27.5yr</t>
        </is>
      </c>
      <c r="E22" s="86" t="n">
        <v>6481.31</v>
      </c>
      <c r="U22" s="87" t="n">
        <v>6481.31</v>
      </c>
    </row>
    <row r="23" ht="15" customHeight="1" s="80">
      <c r="A23" s="85" t="inlineStr">
        <is>
          <t>04/09/2026</t>
        </is>
      </c>
      <c r="B23" s="85" t="inlineStr">
        <is>
          <t>2 - Land Improvements - St. Charles - Bldg 3 - 15yr</t>
        </is>
      </c>
      <c r="F23" s="86" t="n">
        <v>2308.82</v>
      </c>
      <c r="U23" s="87" t="n">
        <v>2308.82</v>
      </c>
    </row>
    <row r="24" ht="15" customHeight="1" s="80">
      <c r="A24" s="85" t="inlineStr">
        <is>
          <t>04/09/2026</t>
        </is>
      </c>
      <c r="B24" s="85" t="inlineStr">
        <is>
          <t>2 - Land Improvements - St. Charles - Bldg 3 - 27.5yr</t>
        </is>
      </c>
      <c r="F24" s="86" t="n">
        <v>6481.31</v>
      </c>
      <c r="U24" s="87" t="n">
        <v>6481.31</v>
      </c>
    </row>
    <row r="25" ht="15" customHeight="1" s="80">
      <c r="A25" s="85" t="inlineStr">
        <is>
          <t>04/09/2026</t>
        </is>
      </c>
      <c r="B25" s="85" t="inlineStr">
        <is>
          <t>2 - Land Improvements - St. Charles - Bldg 4 - 15yr</t>
        </is>
      </c>
      <c r="G25" s="86" t="n">
        <v>2308.82</v>
      </c>
      <c r="U25" s="87" t="n">
        <v>2308.82</v>
      </c>
    </row>
    <row r="26" ht="15" customHeight="1" s="80">
      <c r="A26" s="85" t="inlineStr">
        <is>
          <t>04/09/2026</t>
        </is>
      </c>
      <c r="B26" s="85" t="inlineStr">
        <is>
          <t>2 - Land Improvements - St. Charles - Bldg 4 - 27.5yr</t>
        </is>
      </c>
      <c r="G26" s="86" t="n">
        <v>6440.75</v>
      </c>
      <c r="U26" s="87" t="n">
        <v>6440.75</v>
      </c>
    </row>
    <row r="27" ht="15" customHeight="1" s="80">
      <c r="A27" s="85" t="inlineStr">
        <is>
          <t>04/09/2026</t>
        </is>
      </c>
      <c r="B27" s="85" t="inlineStr">
        <is>
          <t>2 - Land Improvements - St. Charles - Bldg 5 - 15yr</t>
        </is>
      </c>
      <c r="H27" s="86" t="n">
        <v>2467.41</v>
      </c>
      <c r="U27" s="87" t="n">
        <v>2467.41</v>
      </c>
    </row>
    <row r="28" ht="15" customHeight="1" s="80">
      <c r="A28" s="85" t="inlineStr">
        <is>
          <t>04/09/2026</t>
        </is>
      </c>
      <c r="B28" s="85" t="inlineStr">
        <is>
          <t>2 - Land Improvements - St. Charles - Bldg 5 - 27.5yr</t>
        </is>
      </c>
      <c r="H28" s="86" t="n">
        <v>7377.21</v>
      </c>
      <c r="U28" s="87" t="n">
        <v>7377.21</v>
      </c>
    </row>
    <row r="29" ht="15" customHeight="1" s="80">
      <c r="A29" s="85" t="inlineStr">
        <is>
          <t>04/09/2026</t>
        </is>
      </c>
      <c r="B29" s="85" t="inlineStr">
        <is>
          <t>2 - Land Improvements - St. Charles - Bldg 6 - 15yr</t>
        </is>
      </c>
      <c r="I29" s="86" t="n">
        <v>2308.83</v>
      </c>
      <c r="U29" s="87" t="n">
        <v>2308.83</v>
      </c>
    </row>
    <row r="30" ht="15" customHeight="1" s="80">
      <c r="A30" s="85" t="inlineStr">
        <is>
          <t>04/09/2026</t>
        </is>
      </c>
      <c r="B30" s="85" t="inlineStr">
        <is>
          <t>2 - Land Improvements - St. Charles - Bldg 6 - 27.5yr</t>
        </is>
      </c>
      <c r="I30" s="86" t="n">
        <v>6487.14</v>
      </c>
      <c r="U30" s="87" t="n">
        <v>6487.14</v>
      </c>
    </row>
    <row r="31" ht="15" customHeight="1" s="80">
      <c r="A31" s="85" t="inlineStr">
        <is>
          <t>04/09/2026</t>
        </is>
      </c>
      <c r="B31" s="85" t="inlineStr">
        <is>
          <t>2 - Land Improvements - St. Charles - Bldg 7 - 15yr</t>
        </is>
      </c>
      <c r="J31" s="86" t="n">
        <v>2467.41</v>
      </c>
      <c r="U31" s="87" t="n">
        <v>2467.41</v>
      </c>
    </row>
    <row r="32" ht="15" customHeight="1" s="80">
      <c r="A32" s="85" t="inlineStr">
        <is>
          <t>04/09/2026</t>
        </is>
      </c>
      <c r="B32" s="85" t="inlineStr">
        <is>
          <t>2 - Land Improvements - St. Charles - Bldg 7 - 27.5yr</t>
        </is>
      </c>
      <c r="J32" s="86" t="n">
        <v>7423.6</v>
      </c>
      <c r="U32" s="87" t="n">
        <v>7423.6</v>
      </c>
    </row>
    <row r="33" ht="15" customHeight="1" s="80">
      <c r="A33" s="85" t="inlineStr">
        <is>
          <t>04/09/2026</t>
        </is>
      </c>
      <c r="B33" s="85" t="inlineStr">
        <is>
          <t>2 - Land Improvements - St. Charles - Bldg 8 - 15yr</t>
        </is>
      </c>
      <c r="K33" s="86" t="n">
        <v>2308.83</v>
      </c>
      <c r="U33" s="87" t="n">
        <v>2308.83</v>
      </c>
    </row>
    <row r="34" ht="15" customHeight="1" s="80">
      <c r="A34" s="85" t="inlineStr">
        <is>
          <t>04/09/2026</t>
        </is>
      </c>
      <c r="B34" s="85" t="inlineStr">
        <is>
          <t>2 - Land Improvements - St. Charles - Bldg 8 - 27.5yr</t>
        </is>
      </c>
      <c r="K34" s="86" t="n">
        <v>6487.14</v>
      </c>
      <c r="U34" s="87" t="n">
        <v>6487.14</v>
      </c>
    </row>
    <row r="35" ht="15" customHeight="1" s="80">
      <c r="A35" s="85" t="inlineStr">
        <is>
          <t>04/09/2026</t>
        </is>
      </c>
      <c r="B35" s="85" t="inlineStr">
        <is>
          <t>2 - Land Improvements - St. Charles - Bldg 9 - 15yr</t>
        </is>
      </c>
      <c r="L35" s="86" t="n">
        <v>1121.59</v>
      </c>
      <c r="U35" s="87" t="n">
        <v>1121.59</v>
      </c>
    </row>
    <row r="36" ht="15" customHeight="1" s="80">
      <c r="A36" s="85" t="inlineStr">
        <is>
          <t>04/09/2026</t>
        </is>
      </c>
      <c r="B36" s="85" t="inlineStr">
        <is>
          <t>2 - Land Improvements - St. Charles - Bldg 9 - 27.5yr</t>
        </is>
      </c>
      <c r="L36" s="86" t="n">
        <v>2794.87</v>
      </c>
      <c r="U36" s="87" t="n">
        <v>2794.87</v>
      </c>
    </row>
    <row r="37" ht="15" customHeight="1" s="80">
      <c r="A37" s="85" t="inlineStr">
        <is>
          <t>04/09/2026</t>
        </is>
      </c>
      <c r="B37" s="85" t="inlineStr">
        <is>
          <t>2 - Land Improvements - St. Charles - Bldg 10 - 15yr</t>
        </is>
      </c>
      <c r="M37" s="86" t="n">
        <v>2467.41</v>
      </c>
      <c r="U37" s="87" t="n">
        <v>2467.41</v>
      </c>
    </row>
    <row r="38" ht="15" customHeight="1" s="80">
      <c r="A38" s="85" t="inlineStr">
        <is>
          <t>04/09/2026</t>
        </is>
      </c>
      <c r="B38" s="85" t="inlineStr">
        <is>
          <t>2 - Land Improvements - St. Charles - Bldg 10 - 27.5yr</t>
        </is>
      </c>
      <c r="M38" s="86" t="n">
        <v>7417.77</v>
      </c>
      <c r="U38" s="87" t="n">
        <v>7417.77</v>
      </c>
    </row>
    <row r="39" ht="15" customHeight="1" s="80">
      <c r="A39" s="85" t="inlineStr">
        <is>
          <t>04/09/2026</t>
        </is>
      </c>
      <c r="B39" s="85" t="inlineStr">
        <is>
          <t>2 - Land Improvements - St. Charles - Bldg 11 - 15yr</t>
        </is>
      </c>
      <c r="N39" s="86" t="n">
        <v>2308.83</v>
      </c>
      <c r="U39" s="87" t="n">
        <v>2308.83</v>
      </c>
    </row>
    <row r="40" ht="15" customHeight="1" s="80">
      <c r="A40" s="85" t="inlineStr">
        <is>
          <t>04/09/2026</t>
        </is>
      </c>
      <c r="B40" s="85" t="inlineStr">
        <is>
          <t>2 - Land Improvements - St. Charles - Bldg 11 - 27.5yr</t>
        </is>
      </c>
      <c r="N40" s="86" t="n">
        <v>6487.14</v>
      </c>
      <c r="U40" s="87" t="n">
        <v>6487.14</v>
      </c>
    </row>
    <row r="41" ht="15" customHeight="1" s="80">
      <c r="A41" s="85" t="inlineStr">
        <is>
          <t>04/09/2026</t>
        </is>
      </c>
      <c r="B41" s="85" t="inlineStr">
        <is>
          <t>2 - Land Improvements - St. Charles - Bldg 12 - 15yr</t>
        </is>
      </c>
      <c r="O41" s="86" t="n">
        <v>2467.41</v>
      </c>
      <c r="U41" s="87" t="n">
        <v>2467.41</v>
      </c>
    </row>
    <row r="42" ht="15" customHeight="1" s="80">
      <c r="A42" s="85" t="inlineStr">
        <is>
          <t>04/09/2026</t>
        </is>
      </c>
      <c r="B42" s="85" t="inlineStr">
        <is>
          <t>2 - Land Improvements - St. Charles - Bldg 12 - 27.5yr</t>
        </is>
      </c>
      <c r="O42" s="86" t="n">
        <v>7423.6</v>
      </c>
      <c r="U42" s="87" t="n">
        <v>7423.6</v>
      </c>
    </row>
    <row r="43" ht="15" customHeight="1" s="80">
      <c r="A43" s="85" t="inlineStr">
        <is>
          <t>04/09/2026</t>
        </is>
      </c>
      <c r="B43" s="85" t="inlineStr">
        <is>
          <t>2 - Land Improvements - St. Charles - Bldg 13 - 15yr</t>
        </is>
      </c>
      <c r="P43" s="86" t="n">
        <v>2308.83</v>
      </c>
      <c r="U43" s="87" t="n">
        <v>2308.83</v>
      </c>
    </row>
    <row r="44" ht="15" customHeight="1" s="80">
      <c r="A44" s="85" t="inlineStr">
        <is>
          <t>04/09/2026</t>
        </is>
      </c>
      <c r="B44" s="85" t="inlineStr">
        <is>
          <t>2 - Land Improvements - St. Charles - Bldg 13 - 27.5yr</t>
        </is>
      </c>
      <c r="P44" s="86" t="n">
        <v>6487.14</v>
      </c>
      <c r="U44" s="87" t="n">
        <v>6487.14</v>
      </c>
    </row>
    <row r="45" ht="15" customHeight="1" s="80">
      <c r="A45" s="85" t="inlineStr">
        <is>
          <t>04/09/2026</t>
        </is>
      </c>
      <c r="B45" s="85" t="inlineStr">
        <is>
          <t>2 - Land Improvements - St. Charles - Bldg 14 - 15yr</t>
        </is>
      </c>
      <c r="Q45" s="86" t="n">
        <v>2467.41</v>
      </c>
      <c r="U45" s="87" t="n">
        <v>2467.41</v>
      </c>
    </row>
    <row r="46" ht="15" customHeight="1" s="80">
      <c r="A46" s="85" t="inlineStr">
        <is>
          <t>04/09/2026</t>
        </is>
      </c>
      <c r="B46" s="85" t="inlineStr">
        <is>
          <t>2 - Land Improvements - St. Charles - Bldg 14 - 27.5yr</t>
        </is>
      </c>
      <c r="Q46" s="86" t="n">
        <v>7417.77</v>
      </c>
      <c r="U46" s="87" t="n">
        <v>7417.77</v>
      </c>
    </row>
    <row r="47" ht="15" customHeight="1" s="80">
      <c r="A47" s="85" t="inlineStr">
        <is>
          <t>04/09/2026</t>
        </is>
      </c>
      <c r="B47" s="85" t="inlineStr">
        <is>
          <t>2 - Land Improvements - St. Charles - Bldg 15 - 15yr</t>
        </is>
      </c>
      <c r="R47" s="86" t="n">
        <v>2308.82</v>
      </c>
      <c r="U47" s="87" t="n">
        <v>2308.82</v>
      </c>
    </row>
    <row r="48" ht="15" customHeight="1" s="80">
      <c r="A48" s="85" t="inlineStr">
        <is>
          <t>04/09/2026</t>
        </is>
      </c>
      <c r="B48" s="85" t="inlineStr">
        <is>
          <t>2 - Land Improvements - St. Charles - Bldg 15 - 27.5yr</t>
        </is>
      </c>
      <c r="R48" s="86" t="n">
        <v>6440.75</v>
      </c>
      <c r="U48" s="87" t="n">
        <v>6440.75</v>
      </c>
    </row>
    <row r="49" ht="15" customHeight="1" s="80">
      <c r="A49" s="85" t="inlineStr">
        <is>
          <t>04/09/2026</t>
        </is>
      </c>
      <c r="B49" s="85" t="inlineStr">
        <is>
          <t>2 - Land Improvements - St. Charles - Bldg 16 - 15yr</t>
        </is>
      </c>
      <c r="S49" s="86" t="n">
        <v>2308.83</v>
      </c>
      <c r="U49" s="87" t="n">
        <v>2308.83</v>
      </c>
    </row>
    <row r="50" ht="15" customHeight="1" s="80">
      <c r="A50" s="85" t="inlineStr">
        <is>
          <t>04/09/2026</t>
        </is>
      </c>
      <c r="B50" s="85" t="inlineStr">
        <is>
          <t>2 - Land Improvements - St. Charles - Bldg 16 - 27.5yr</t>
        </is>
      </c>
      <c r="S50" s="86" t="n">
        <v>6487.14</v>
      </c>
      <c r="U50" s="87" t="n">
        <v>6487.14</v>
      </c>
    </row>
    <row r="51" ht="15" customHeight="1" s="80">
      <c r="A51" s="85" t="inlineStr">
        <is>
          <t>04/09/2026</t>
        </is>
      </c>
      <c r="B51" s="85" t="inlineStr">
        <is>
          <t>2 - Land Improvements - St. Charles - Office - 15yr</t>
        </is>
      </c>
      <c r="T51" s="86" t="n">
        <v>270.66</v>
      </c>
      <c r="U51" s="87" t="n">
        <v>270.66</v>
      </c>
    </row>
    <row r="52" ht="15" customHeight="1" s="80">
      <c r="A52" s="85" t="inlineStr">
        <is>
          <t>04/09/2026</t>
        </is>
      </c>
      <c r="B52" s="85" t="inlineStr">
        <is>
          <t>2 - Land Improvements - St. Charles - Office - 27.5yr</t>
        </is>
      </c>
      <c r="T52" s="86" t="n">
        <v>2692.74</v>
      </c>
      <c r="U52" s="87" t="n">
        <v>2692.74</v>
      </c>
    </row>
    <row r="53" ht="15" customHeight="1" s="80">
      <c r="A53" s="85" t="inlineStr">
        <is>
          <t>04/09/2026</t>
        </is>
      </c>
      <c r="B53" s="85" t="inlineStr">
        <is>
          <t>10 - Building (Post Casualty Loss) - St. Charles - Site - 15yr</t>
        </is>
      </c>
      <c r="C53" s="86" t="n">
        <v>65091.76</v>
      </c>
      <c r="U53" s="87" t="n">
        <v>65091.76</v>
      </c>
    </row>
    <row r="54" ht="15" customHeight="1" s="80">
      <c r="A54" s="85" t="inlineStr">
        <is>
          <t>04/09/2026</t>
        </is>
      </c>
      <c r="B54" s="85" t="inlineStr">
        <is>
          <t>10 - Building (Post Casualty Loss) - St. Charles - Site - 27.5yr</t>
        </is>
      </c>
      <c r="C54" s="86" t="n">
        <v>50999.89</v>
      </c>
      <c r="U54" s="87" t="n">
        <v>50999.89</v>
      </c>
    </row>
    <row r="55" ht="15" customHeight="1" s="80">
      <c r="A55" s="85" t="inlineStr">
        <is>
          <t>04/09/2026</t>
        </is>
      </c>
      <c r="B55" s="85" t="inlineStr">
        <is>
          <t>10 - Building (Post Casualty Loss) - St. Charles - Bldg 1 - 15yr</t>
        </is>
      </c>
      <c r="D55" s="86" t="n">
        <v>16865.31</v>
      </c>
      <c r="U55" s="87" t="n">
        <v>16865.31</v>
      </c>
    </row>
    <row r="56" ht="15" customHeight="1" s="80">
      <c r="A56" s="85" t="inlineStr">
        <is>
          <t>04/09/2026</t>
        </is>
      </c>
      <c r="B56" s="85" t="inlineStr">
        <is>
          <t>10 - Building (Post Casualty Loss) - St. Charles - Bldg 1 - 27.5yr</t>
        </is>
      </c>
      <c r="D56" s="86" t="n">
        <v>47392.68</v>
      </c>
      <c r="U56" s="87" t="n">
        <v>47392.68</v>
      </c>
    </row>
    <row r="57" ht="15" customHeight="1" s="80">
      <c r="A57" s="85" t="inlineStr">
        <is>
          <t>04/09/2026</t>
        </is>
      </c>
      <c r="B57" s="85" t="inlineStr">
        <is>
          <t>10 - Building (Post Casualty Loss) - St. Charles - Bldg 2 - 15yr</t>
        </is>
      </c>
      <c r="E57" s="86" t="n">
        <v>16880.45</v>
      </c>
      <c r="U57" s="87" t="n">
        <v>16880.45</v>
      </c>
    </row>
    <row r="58" ht="15" customHeight="1" s="80">
      <c r="A58" s="85" t="inlineStr">
        <is>
          <t>04/09/2026</t>
        </is>
      </c>
      <c r="B58" s="85" t="inlineStr">
        <is>
          <t>10 - Building (Post Casualty Loss) - St. Charles - Bldg 2 - 27.5yr</t>
        </is>
      </c>
      <c r="E58" s="86" t="n">
        <v>47392.7</v>
      </c>
      <c r="U58" s="87" t="n">
        <v>47392.7</v>
      </c>
    </row>
    <row r="59" ht="15" customHeight="1" s="80">
      <c r="A59" s="85" t="inlineStr">
        <is>
          <t>04/09/2026</t>
        </is>
      </c>
      <c r="B59" s="85" t="inlineStr">
        <is>
          <t>10 - Building (Post Casualty Loss) - St. Charles - Bldg 3 - 15yr</t>
        </is>
      </c>
      <c r="F59" s="86" t="n">
        <v>16882.61</v>
      </c>
      <c r="U59" s="87" t="n">
        <v>16882.61</v>
      </c>
    </row>
    <row r="60" ht="15" customHeight="1" s="80">
      <c r="A60" s="85" t="inlineStr">
        <is>
          <t>04/09/2026</t>
        </is>
      </c>
      <c r="B60" s="85" t="inlineStr">
        <is>
          <t>10 - Building (Post Casualty Loss) - St. Charles - Bldg 3 - 27.5yr</t>
        </is>
      </c>
      <c r="F60" s="86" t="n">
        <v>47392.7</v>
      </c>
      <c r="U60" s="87" t="n">
        <v>47392.7</v>
      </c>
    </row>
    <row r="61" ht="15" customHeight="1" s="80">
      <c r="A61" s="85" t="inlineStr">
        <is>
          <t>04/09/2026</t>
        </is>
      </c>
      <c r="B61" s="85" t="inlineStr">
        <is>
          <t>10 - Building (Post Casualty Loss) - St. Charles - Bldg 4 - 15yr</t>
        </is>
      </c>
      <c r="G61" s="86" t="n">
        <v>16882.61</v>
      </c>
      <c r="U61" s="87" t="n">
        <v>16882.61</v>
      </c>
    </row>
    <row r="62" ht="15" customHeight="1" s="80">
      <c r="A62" s="85" t="inlineStr">
        <is>
          <t>04/09/2026</t>
        </is>
      </c>
      <c r="B62" s="85" t="inlineStr">
        <is>
          <t>10 - Building (Post Casualty Loss) - St. Charles - Bldg 4 - 27.5yr</t>
        </is>
      </c>
      <c r="G62" s="86" t="n">
        <v>47096.08</v>
      </c>
      <c r="U62" s="87" t="n">
        <v>47096.08</v>
      </c>
    </row>
    <row r="63" ht="15" customHeight="1" s="80">
      <c r="A63" s="85" t="inlineStr">
        <is>
          <t>04/09/2026</t>
        </is>
      </c>
      <c r="B63" s="85" t="inlineStr">
        <is>
          <t>10 - Building (Post Casualty Loss) - St. Charles - Bldg 5 - 15yr</t>
        </is>
      </c>
      <c r="H63" s="86" t="n">
        <v>18042.22</v>
      </c>
      <c r="U63" s="87" t="n">
        <v>18042.22</v>
      </c>
    </row>
    <row r="64" ht="15" customHeight="1" s="80">
      <c r="A64" s="85" t="inlineStr">
        <is>
          <t>04/09/2026</t>
        </is>
      </c>
      <c r="B64" s="85" t="inlineStr">
        <is>
          <t>10 - Building (Post Casualty Loss) - St. Charles - Bldg 5 - 27.5yr</t>
        </is>
      </c>
      <c r="H64" s="86" t="n">
        <v>53943.73</v>
      </c>
      <c r="U64" s="87" t="n">
        <v>53943.73</v>
      </c>
    </row>
    <row r="65" ht="15" customHeight="1" s="80">
      <c r="A65" s="85" t="inlineStr">
        <is>
          <t>04/09/2026</t>
        </is>
      </c>
      <c r="B65" s="85" t="inlineStr">
        <is>
          <t>10 - Building (Post Casualty Loss) - St. Charles - Bldg 6 - 15yr</t>
        </is>
      </c>
      <c r="I65" s="86" t="n">
        <v>16882.61</v>
      </c>
      <c r="U65" s="87" t="n">
        <v>16882.61</v>
      </c>
    </row>
    <row r="66" ht="15" customHeight="1" s="80">
      <c r="A66" s="85" t="inlineStr">
        <is>
          <t>04/09/2026</t>
        </is>
      </c>
      <c r="B66" s="85" t="inlineStr">
        <is>
          <t>10 - Building (Post Casualty Loss) - St. Charles - Bldg 6 - 27.5yr</t>
        </is>
      </c>
      <c r="I66" s="86" t="n">
        <v>47435.37</v>
      </c>
      <c r="U66" s="87" t="n">
        <v>47435.37</v>
      </c>
    </row>
    <row r="67" ht="15" customHeight="1" s="80">
      <c r="A67" s="85" t="inlineStr">
        <is>
          <t>04/09/2026</t>
        </is>
      </c>
      <c r="B67" s="85" t="inlineStr">
        <is>
          <t>10 - Building (Post Casualty Loss) - St. Charles - Bldg 7 - 15yr</t>
        </is>
      </c>
      <c r="J67" s="86" t="n">
        <v>18042.22</v>
      </c>
      <c r="U67" s="87" t="n">
        <v>18042.22</v>
      </c>
    </row>
    <row r="68" ht="15" customHeight="1" s="80">
      <c r="A68" s="85" t="inlineStr">
        <is>
          <t>04/09/2026</t>
        </is>
      </c>
      <c r="B68" s="85" t="inlineStr">
        <is>
          <t>10 - Building (Post Casualty Loss) - St. Charles - Bldg 7 - 27.5yr</t>
        </is>
      </c>
      <c r="J68" s="86" t="n">
        <v>54283.01</v>
      </c>
      <c r="U68" s="87" t="n">
        <v>54283.01</v>
      </c>
    </row>
    <row r="69" ht="15" customHeight="1" s="80">
      <c r="A69" s="85" t="inlineStr">
        <is>
          <t>04/09/2026</t>
        </is>
      </c>
      <c r="B69" s="85" t="inlineStr">
        <is>
          <t>10 - Building (Post Casualty Loss) - St. Charles - Bldg 8 - 15yr</t>
        </is>
      </c>
      <c r="K69" s="86" t="n">
        <v>16882.61</v>
      </c>
      <c r="U69" s="87" t="n">
        <v>16882.61</v>
      </c>
    </row>
    <row r="70" ht="15" customHeight="1" s="80">
      <c r="A70" s="85" t="inlineStr">
        <is>
          <t>04/09/2026</t>
        </is>
      </c>
      <c r="B70" s="85" t="inlineStr">
        <is>
          <t>10 - Building (Post Casualty Loss) - St. Charles - Bldg 8 - 27.5yr</t>
        </is>
      </c>
      <c r="K70" s="86" t="n">
        <v>47435.37</v>
      </c>
      <c r="U70" s="87" t="n">
        <v>47435.37</v>
      </c>
    </row>
    <row r="71" ht="15" customHeight="1" s="80">
      <c r="A71" s="85" t="inlineStr">
        <is>
          <t>04/09/2026</t>
        </is>
      </c>
      <c r="B71" s="85" t="inlineStr">
        <is>
          <t>10 - Building (Post Casualty Loss) - St. Charles - Bldg 9 - 15yr</t>
        </is>
      </c>
      <c r="L71" s="86" t="n">
        <v>8201.309999999999</v>
      </c>
      <c r="U71" s="87" t="n">
        <v>8201.309999999999</v>
      </c>
    </row>
    <row r="72" ht="15" customHeight="1" s="80">
      <c r="A72" s="85" t="inlineStr">
        <is>
          <t>04/09/2026</t>
        </is>
      </c>
      <c r="B72" s="85" t="inlineStr">
        <is>
          <t>10 - Building (Post Casualty Loss) - St. Charles - Bldg 9 - 27.5yr</t>
        </is>
      </c>
      <c r="L72" s="86" t="n">
        <v>20436.66</v>
      </c>
      <c r="U72" s="87" t="n">
        <v>20436.66</v>
      </c>
    </row>
    <row r="73" ht="15" customHeight="1" s="80">
      <c r="A73" s="85" t="inlineStr">
        <is>
          <t>04/09/2026</t>
        </is>
      </c>
      <c r="B73" s="85" t="inlineStr">
        <is>
          <t>10 - Building (Post Casualty Loss) - St. Charles - Bldg 10 - 15yr</t>
        </is>
      </c>
      <c r="M73" s="86" t="n">
        <v>18042.22</v>
      </c>
      <c r="U73" s="87" t="n">
        <v>18042.22</v>
      </c>
    </row>
    <row r="74" ht="15" customHeight="1" s="80">
      <c r="A74" s="85" t="inlineStr">
        <is>
          <t>04/09/2026</t>
        </is>
      </c>
      <c r="B74" s="85" t="inlineStr">
        <is>
          <t>10 - Building (Post Casualty Loss) - St. Charles - Bldg 10 - 27.5yr</t>
        </is>
      </c>
      <c r="M74" s="86" t="n">
        <v>54240.35</v>
      </c>
      <c r="U74" s="87" t="n">
        <v>54240.35</v>
      </c>
    </row>
    <row r="75" ht="15" customHeight="1" s="80">
      <c r="A75" s="85" t="inlineStr">
        <is>
          <t>04/09/2026</t>
        </is>
      </c>
      <c r="B75" s="85" t="inlineStr">
        <is>
          <t>10 - Building (Post Casualty Loss) - St. Charles - Bldg 11 - 15yr</t>
        </is>
      </c>
      <c r="N75" s="86" t="n">
        <v>16882.61</v>
      </c>
      <c r="U75" s="87" t="n">
        <v>16882.61</v>
      </c>
    </row>
    <row r="76" ht="15" customHeight="1" s="80">
      <c r="A76" s="85" t="inlineStr">
        <is>
          <t>04/09/2026</t>
        </is>
      </c>
      <c r="B76" s="85" t="inlineStr">
        <is>
          <t>10 - Building (Post Casualty Loss) - St. Charles - Bldg 11 - 27.5yr</t>
        </is>
      </c>
      <c r="N76" s="86" t="n">
        <v>47435.37</v>
      </c>
      <c r="U76" s="87" t="n">
        <v>47435.37</v>
      </c>
    </row>
    <row r="77" ht="15" customHeight="1" s="80">
      <c r="A77" s="85" t="inlineStr">
        <is>
          <t>04/09/2026</t>
        </is>
      </c>
      <c r="B77" s="85" t="inlineStr">
        <is>
          <t>10 - Building (Post Casualty Loss) - St. Charles - Bldg 12 - 15yr</t>
        </is>
      </c>
      <c r="O77" s="86" t="n">
        <v>18042.22</v>
      </c>
      <c r="U77" s="87" t="n">
        <v>18042.22</v>
      </c>
    </row>
    <row r="78" ht="15" customHeight="1" s="80">
      <c r="A78" s="85" t="inlineStr">
        <is>
          <t>04/09/2026</t>
        </is>
      </c>
      <c r="B78" s="85" t="inlineStr">
        <is>
          <t>10 - Building (Post Casualty Loss) - St. Charles - Bldg 12 - 27.5yr</t>
        </is>
      </c>
      <c r="O78" s="86" t="n">
        <v>54283.01</v>
      </c>
      <c r="U78" s="87" t="n">
        <v>54283.01</v>
      </c>
    </row>
    <row r="79" ht="15" customHeight="1" s="80">
      <c r="A79" s="85" t="inlineStr">
        <is>
          <t>04/09/2026</t>
        </is>
      </c>
      <c r="B79" s="85" t="inlineStr">
        <is>
          <t>10 - Building (Post Casualty Loss) - St. Charles - Bldg 13 - 15yr</t>
        </is>
      </c>
      <c r="P79" s="86" t="n">
        <v>16882.61</v>
      </c>
      <c r="U79" s="87" t="n">
        <v>16882.61</v>
      </c>
    </row>
    <row r="80" ht="15" customHeight="1" s="80">
      <c r="A80" s="85" t="inlineStr">
        <is>
          <t>04/09/2026</t>
        </is>
      </c>
      <c r="B80" s="85" t="inlineStr">
        <is>
          <t>10 - Building (Post Casualty Loss) - St. Charles - Bldg 13 - 27.5yr</t>
        </is>
      </c>
      <c r="P80" s="86" t="n">
        <v>47435.37</v>
      </c>
      <c r="U80" s="87" t="n">
        <v>47435.37</v>
      </c>
    </row>
    <row r="81" ht="15" customHeight="1" s="80">
      <c r="A81" s="85" t="inlineStr">
        <is>
          <t>04/09/2026</t>
        </is>
      </c>
      <c r="B81" s="85" t="inlineStr">
        <is>
          <t>10 - Building (Post Casualty Loss) - St. Charles - Bldg 14 - 15yr</t>
        </is>
      </c>
      <c r="Q81" s="86" t="n">
        <v>18042.22</v>
      </c>
      <c r="U81" s="87" t="n">
        <v>18042.22</v>
      </c>
    </row>
    <row r="82" ht="15" customHeight="1" s="80">
      <c r="A82" s="85" t="inlineStr">
        <is>
          <t>04/09/2026</t>
        </is>
      </c>
      <c r="B82" s="85" t="inlineStr">
        <is>
          <t>10 - Building (Post Casualty Loss) - St. Charles - Bldg 14 - 27.5yr</t>
        </is>
      </c>
      <c r="Q82" s="86" t="n">
        <v>54240.35</v>
      </c>
      <c r="U82" s="87" t="n">
        <v>54240.35</v>
      </c>
    </row>
    <row r="83" ht="15" customHeight="1" s="80">
      <c r="A83" s="85" t="inlineStr">
        <is>
          <t>04/09/2026</t>
        </is>
      </c>
      <c r="B83" s="85" t="inlineStr">
        <is>
          <t>10 - Building (Post Casualty Loss) - St. Charles - Bldg 15 - 15yr</t>
        </is>
      </c>
      <c r="R83" s="86" t="n">
        <v>16882.61</v>
      </c>
      <c r="U83" s="87" t="n">
        <v>16882.61</v>
      </c>
    </row>
    <row r="84" ht="15" customHeight="1" s="80">
      <c r="A84" s="85" t="inlineStr">
        <is>
          <t>04/09/2026</t>
        </is>
      </c>
      <c r="B84" s="85" t="inlineStr">
        <is>
          <t>10 - Building (Post Casualty Loss) - St. Charles - Bldg 15 - 27.5yr</t>
        </is>
      </c>
      <c r="R84" s="86" t="n">
        <v>47096.08</v>
      </c>
      <c r="U84" s="87" t="n">
        <v>47096.08</v>
      </c>
    </row>
    <row r="85" ht="15" customHeight="1" s="80">
      <c r="A85" s="85" t="inlineStr">
        <is>
          <t>04/09/2026</t>
        </is>
      </c>
      <c r="B85" s="85" t="inlineStr">
        <is>
          <t>10 - Building (Post Casualty Loss) - St. Charles - Bldg 16 - 15yr</t>
        </is>
      </c>
      <c r="S85" s="86" t="n">
        <v>16882.61</v>
      </c>
      <c r="U85" s="87" t="n">
        <v>16882.61</v>
      </c>
    </row>
    <row r="86" ht="15" customHeight="1" s="80">
      <c r="A86" s="85" t="inlineStr">
        <is>
          <t>04/09/2026</t>
        </is>
      </c>
      <c r="B86" s="85" t="inlineStr">
        <is>
          <t>10 - Building (Post Casualty Loss) - St. Charles - Bldg 16 - 27.5yr</t>
        </is>
      </c>
      <c r="S86" s="86" t="n">
        <v>47435.37</v>
      </c>
      <c r="U86" s="87" t="n">
        <v>47435.37</v>
      </c>
    </row>
    <row r="87" ht="15" customHeight="1" s="80">
      <c r="A87" s="85" t="inlineStr">
        <is>
          <t>04/09/2026</t>
        </is>
      </c>
      <c r="B87" s="85" t="inlineStr">
        <is>
          <t>10 - Building (Post Casualty Loss) - St. Charles - Office - 15yr</t>
        </is>
      </c>
      <c r="T87" s="86" t="n">
        <v>1979.11</v>
      </c>
      <c r="U87" s="87" t="n">
        <v>1979.11</v>
      </c>
    </row>
    <row r="88" ht="15" customHeight="1" s="80">
      <c r="A88" s="85" t="inlineStr">
        <is>
          <t>04/09/2026</t>
        </is>
      </c>
      <c r="B88" s="85" t="inlineStr">
        <is>
          <t>10 - Building (Post Casualty Loss) - St. Charles - Office - 27.5yr</t>
        </is>
      </c>
      <c r="T88" s="86" t="n">
        <v>19689.99</v>
      </c>
      <c r="U88" s="87" t="n">
        <v>19689.99</v>
      </c>
    </row>
    <row r="89" ht="15" customHeight="1" s="80">
      <c r="A89" s="85" t="inlineStr">
        <is>
          <t>04/09/2026</t>
        </is>
      </c>
      <c r="B89" s="85" t="inlineStr">
        <is>
          <t>12 - New Building (16 Units) - St. Charles - Site - 15yr</t>
        </is>
      </c>
      <c r="C89" s="86" t="n">
        <v>34910.75</v>
      </c>
      <c r="U89" s="87" t="n">
        <v>34910.75</v>
      </c>
    </row>
    <row r="90" ht="15" customHeight="1" s="80">
      <c r="A90" s="85" t="inlineStr">
        <is>
          <t>04/09/2026</t>
        </is>
      </c>
      <c r="B90" s="85" t="inlineStr">
        <is>
          <t>12 - New Building (16 Units) - St. Charles - Site - 27.5yr</t>
        </is>
      </c>
      <c r="C90" s="86" t="n">
        <v>27352.85</v>
      </c>
      <c r="U90" s="87" t="n">
        <v>27352.85</v>
      </c>
    </row>
    <row r="91" ht="15" customHeight="1" s="80">
      <c r="A91" s="85" t="inlineStr">
        <is>
          <t>04/09/2026</t>
        </is>
      </c>
      <c r="B91" s="85" t="inlineStr">
        <is>
          <t>12 - New Building (16 Units) - St. Charles - Bldg 1 - 15yr</t>
        </is>
      </c>
      <c r="D91" s="86" t="n">
        <v>9045.4</v>
      </c>
      <c r="U91" s="87" t="n">
        <v>9045.4</v>
      </c>
    </row>
    <row r="92" ht="15" customHeight="1" s="80">
      <c r="A92" s="85" t="inlineStr">
        <is>
          <t>04/09/2026</t>
        </is>
      </c>
      <c r="B92" s="85" t="inlineStr">
        <is>
          <t>12 - New Building (16 Units) - St. Charles - Bldg 1 - 27.5yr</t>
        </is>
      </c>
      <c r="D92" s="86" t="n">
        <v>25418.2</v>
      </c>
      <c r="U92" s="87" t="n">
        <v>25418.2</v>
      </c>
    </row>
    <row r="93" ht="15" customHeight="1" s="80">
      <c r="A93" s="85" t="inlineStr">
        <is>
          <t>04/09/2026</t>
        </is>
      </c>
      <c r="B93" s="85" t="inlineStr">
        <is>
          <t>12 - New Building (16 Units) - St. Charles - Bldg 2 - 15yr</t>
        </is>
      </c>
      <c r="E93" s="86" t="n">
        <v>9053.51</v>
      </c>
      <c r="U93" s="87" t="n">
        <v>9053.51</v>
      </c>
    </row>
    <row r="94" ht="15" customHeight="1" s="80">
      <c r="A94" s="85" t="inlineStr">
        <is>
          <t>04/09/2026</t>
        </is>
      </c>
      <c r="B94" s="85" t="inlineStr">
        <is>
          <t>12 - New Building (16 Units) - St. Charles - Bldg 2 - 27.5yr</t>
        </is>
      </c>
      <c r="E94" s="86" t="n">
        <v>25418.19</v>
      </c>
      <c r="U94" s="87" t="n">
        <v>25418.19</v>
      </c>
    </row>
    <row r="95" ht="15" customHeight="1" s="80">
      <c r="A95" s="85" t="inlineStr">
        <is>
          <t>04/09/2026</t>
        </is>
      </c>
      <c r="B95" s="85" t="inlineStr">
        <is>
          <t>12 - New Building (16 Units) - St. Charles - Bldg 3 - 15yr</t>
        </is>
      </c>
      <c r="F95" s="86" t="n">
        <v>9054.67</v>
      </c>
      <c r="U95" s="87" t="n">
        <v>9054.67</v>
      </c>
    </row>
    <row r="96" ht="15" customHeight="1" s="80">
      <c r="A96" s="85" t="inlineStr">
        <is>
          <t>04/09/2026</t>
        </is>
      </c>
      <c r="B96" s="85" t="inlineStr">
        <is>
          <t>12 - New Building (16 Units) - St. Charles - Bldg 3 - 27.5yr</t>
        </is>
      </c>
      <c r="F96" s="86" t="n">
        <v>25418.19</v>
      </c>
      <c r="U96" s="87" t="n">
        <v>25418.19</v>
      </c>
    </row>
    <row r="97" ht="15" customHeight="1" s="80">
      <c r="A97" s="85" t="inlineStr">
        <is>
          <t>04/09/2026</t>
        </is>
      </c>
      <c r="B97" s="85" t="inlineStr">
        <is>
          <t>12 - New Building (16 Units) - St. Charles - Bldg 4 - 15yr</t>
        </is>
      </c>
      <c r="G97" s="86" t="n">
        <v>9054.67</v>
      </c>
      <c r="U97" s="87" t="n">
        <v>9054.67</v>
      </c>
    </row>
    <row r="98" ht="15" customHeight="1" s="80">
      <c r="A98" s="85" t="inlineStr">
        <is>
          <t>04/09/2026</t>
        </is>
      </c>
      <c r="B98" s="85" t="inlineStr">
        <is>
          <t>12 - New Building (16 Units) - St. Charles - Bldg 4 - 27.5yr</t>
        </is>
      </c>
      <c r="G98" s="86" t="n">
        <v>25259.11</v>
      </c>
      <c r="U98" s="87" t="n">
        <v>25259.11</v>
      </c>
    </row>
    <row r="99" ht="15" customHeight="1" s="80">
      <c r="A99" s="85" t="inlineStr">
        <is>
          <t>04/09/2026</t>
        </is>
      </c>
      <c r="B99" s="85" t="inlineStr">
        <is>
          <t>12 - New Building (16 Units) - St. Charles - Bldg 5 - 15yr</t>
        </is>
      </c>
      <c r="H99" s="86" t="n">
        <v>9676.610000000001</v>
      </c>
      <c r="U99" s="87" t="n">
        <v>9676.610000000001</v>
      </c>
    </row>
    <row r="100" ht="15" customHeight="1" s="80">
      <c r="A100" s="85" t="inlineStr">
        <is>
          <t>04/09/2026</t>
        </is>
      </c>
      <c r="B100" s="85" t="inlineStr">
        <is>
          <t>12 - New Building (16 Units) - St. Charles - Bldg 5 - 27.5yr</t>
        </is>
      </c>
      <c r="H100" s="86" t="n">
        <v>28931.71</v>
      </c>
      <c r="U100" s="87" t="n">
        <v>28931.71</v>
      </c>
    </row>
    <row r="101" ht="15" customHeight="1" s="80">
      <c r="A101" s="85" t="inlineStr">
        <is>
          <t>04/09/2026</t>
        </is>
      </c>
      <c r="B101" s="85" t="inlineStr">
        <is>
          <t>12 - New Building (16 Units) - St. Charles - Bldg 6 - 15yr</t>
        </is>
      </c>
      <c r="I101" s="86" t="n">
        <v>9054.67</v>
      </c>
      <c r="U101" s="87" t="n">
        <v>9054.67</v>
      </c>
    </row>
    <row r="102" ht="15" customHeight="1" s="80">
      <c r="A102" s="85" t="inlineStr">
        <is>
          <t>04/09/2026</t>
        </is>
      </c>
      <c r="B102" s="85" t="inlineStr">
        <is>
          <t>12 - New Building (16 Units) - St. Charles - Bldg 6 - 27.5yr</t>
        </is>
      </c>
      <c r="I102" s="86" t="n">
        <v>25441.07</v>
      </c>
      <c r="U102" s="87" t="n">
        <v>25441.07</v>
      </c>
    </row>
    <row r="103" ht="15" customHeight="1" s="80">
      <c r="A103" s="85" t="inlineStr">
        <is>
          <t>04/09/2026</t>
        </is>
      </c>
      <c r="B103" s="85" t="inlineStr">
        <is>
          <t>12 - New Building (16 Units) - St. Charles - Bldg 7 - 15yr</t>
        </is>
      </c>
      <c r="J103" s="86" t="n">
        <v>9676.610000000001</v>
      </c>
      <c r="U103" s="87" t="n">
        <v>9676.610000000001</v>
      </c>
    </row>
    <row r="104" ht="15" customHeight="1" s="80">
      <c r="A104" s="85" t="inlineStr">
        <is>
          <t>04/09/2026</t>
        </is>
      </c>
      <c r="B104" s="85" t="inlineStr">
        <is>
          <t>12 - New Building (16 Units) - St. Charles - Bldg 7 - 27.5yr</t>
        </is>
      </c>
      <c r="J104" s="86" t="n">
        <v>29113.68</v>
      </c>
      <c r="U104" s="87" t="n">
        <v>29113.68</v>
      </c>
    </row>
    <row r="105" ht="15" customHeight="1" s="80">
      <c r="A105" s="85" t="inlineStr">
        <is>
          <t>04/09/2026</t>
        </is>
      </c>
      <c r="B105" s="85" t="inlineStr">
        <is>
          <t>12 - New Building (16 Units) - St. Charles - Bldg 8 - 15yr</t>
        </is>
      </c>
      <c r="K105" s="86" t="n">
        <v>9054.67</v>
      </c>
      <c r="U105" s="87" t="n">
        <v>9054.67</v>
      </c>
    </row>
    <row r="106" ht="15" customHeight="1" s="80">
      <c r="A106" s="85" t="inlineStr">
        <is>
          <t>04/09/2026</t>
        </is>
      </c>
      <c r="B106" s="85" t="inlineStr">
        <is>
          <t>12 - New Building (16 Units) - St. Charles - Bldg 8 - 27.5yr</t>
        </is>
      </c>
      <c r="K106" s="86" t="n">
        <v>25441.07</v>
      </c>
      <c r="U106" s="87" t="n">
        <v>25441.07</v>
      </c>
    </row>
    <row r="107" ht="15" customHeight="1" s="80">
      <c r="A107" s="85" t="inlineStr">
        <is>
          <t>04/09/2026</t>
        </is>
      </c>
      <c r="B107" s="85" t="inlineStr">
        <is>
          <t>12 - New Building (16 Units) - St. Charles - Bldg 9 - 15yr</t>
        </is>
      </c>
      <c r="L107" s="86" t="n">
        <v>4398.62</v>
      </c>
      <c r="U107" s="87" t="n">
        <v>4398.62</v>
      </c>
    </row>
    <row r="108" ht="15" customHeight="1" s="80">
      <c r="A108" s="85" t="inlineStr">
        <is>
          <t>04/09/2026</t>
        </is>
      </c>
      <c r="B108" s="85" t="inlineStr">
        <is>
          <t>12 - New Building (16 Units) - St. Charles - Bldg 9 - 27.5yr</t>
        </is>
      </c>
      <c r="L108" s="86" t="n">
        <v>10960.82</v>
      </c>
      <c r="U108" s="87" t="n">
        <v>10960.82</v>
      </c>
    </row>
    <row r="109" ht="15" customHeight="1" s="80">
      <c r="A109" s="85" t="inlineStr">
        <is>
          <t>04/09/2026</t>
        </is>
      </c>
      <c r="B109" s="85" t="inlineStr">
        <is>
          <t>12 - New Building (16 Units) - St. Charles - Bldg 10 - 15yr</t>
        </is>
      </c>
      <c r="M109" s="86" t="n">
        <v>9676.610000000001</v>
      </c>
      <c r="U109" s="87" t="n">
        <v>9676.610000000001</v>
      </c>
    </row>
    <row r="110" ht="15" customHeight="1" s="80">
      <c r="A110" s="85" t="inlineStr">
        <is>
          <t>04/09/2026</t>
        </is>
      </c>
      <c r="B110" s="85" t="inlineStr">
        <is>
          <t>12 - New Building (16 Units) - St. Charles - Bldg 10 - 27.5yr</t>
        </is>
      </c>
      <c r="M110" s="86" t="n">
        <v>29090.8</v>
      </c>
      <c r="U110" s="87" t="n">
        <v>29090.8</v>
      </c>
    </row>
    <row r="111" ht="15" customHeight="1" s="80">
      <c r="A111" s="85" t="inlineStr">
        <is>
          <t>04/09/2026</t>
        </is>
      </c>
      <c r="B111" s="85" t="inlineStr">
        <is>
          <t>12 - New Building (16 Units) - St. Charles - Bldg 11 - 15yr</t>
        </is>
      </c>
      <c r="N111" s="86" t="n">
        <v>9054.67</v>
      </c>
      <c r="U111" s="87" t="n">
        <v>9054.67</v>
      </c>
    </row>
    <row r="112" ht="15" customHeight="1" s="80">
      <c r="A112" s="85" t="inlineStr">
        <is>
          <t>04/09/2026</t>
        </is>
      </c>
      <c r="B112" s="85" t="inlineStr">
        <is>
          <t>12 - New Building (16 Units) - St. Charles - Bldg 11 - 27.5yr</t>
        </is>
      </c>
      <c r="N112" s="86" t="n">
        <v>25441.07</v>
      </c>
      <c r="U112" s="87" t="n">
        <v>25441.07</v>
      </c>
    </row>
    <row r="113" ht="15" customHeight="1" s="80">
      <c r="A113" s="85" t="inlineStr">
        <is>
          <t>04/09/2026</t>
        </is>
      </c>
      <c r="B113" s="85" t="inlineStr">
        <is>
          <t>12 - New Building (16 Units) - St. Charles - Bldg 12 - 15yr</t>
        </is>
      </c>
      <c r="O113" s="86" t="n">
        <v>9676.610000000001</v>
      </c>
      <c r="U113" s="87" t="n">
        <v>9676.610000000001</v>
      </c>
    </row>
    <row r="114" ht="15" customHeight="1" s="80">
      <c r="A114" s="85" t="inlineStr">
        <is>
          <t>04/09/2026</t>
        </is>
      </c>
      <c r="B114" s="85" t="inlineStr">
        <is>
          <t>12 - New Building (16 Units) - St. Charles - Bldg 12 - 27.5yr</t>
        </is>
      </c>
      <c r="O114" s="86" t="n">
        <v>29113.68</v>
      </c>
      <c r="U114" s="87" t="n">
        <v>29113.68</v>
      </c>
    </row>
    <row r="115" ht="15" customHeight="1" s="80">
      <c r="A115" s="85" t="inlineStr">
        <is>
          <t>04/09/2026</t>
        </is>
      </c>
      <c r="B115" s="85" t="inlineStr">
        <is>
          <t>12 - New Building (16 Units) - St. Charles - Bldg 13 - 15yr</t>
        </is>
      </c>
      <c r="P115" s="86" t="n">
        <v>9054.67</v>
      </c>
      <c r="U115" s="87" t="n">
        <v>9054.67</v>
      </c>
    </row>
    <row r="116" ht="15" customHeight="1" s="80">
      <c r="A116" s="85" t="inlineStr">
        <is>
          <t>04/09/2026</t>
        </is>
      </c>
      <c r="B116" s="85" t="inlineStr">
        <is>
          <t>12 - New Building (16 Units) - St. Charles - Bldg 13 - 27.5yr</t>
        </is>
      </c>
      <c r="P116" s="86" t="n">
        <v>25441.07</v>
      </c>
      <c r="U116" s="87" t="n">
        <v>25441.07</v>
      </c>
    </row>
    <row r="117" ht="15" customHeight="1" s="80">
      <c r="A117" s="85" t="inlineStr">
        <is>
          <t>04/09/2026</t>
        </is>
      </c>
      <c r="B117" s="85" t="inlineStr">
        <is>
          <t>12 - New Building (16 Units) - St. Charles - Bldg 14 - 15yr</t>
        </is>
      </c>
      <c r="Q117" s="86" t="n">
        <v>9676.610000000001</v>
      </c>
      <c r="U117" s="87" t="n">
        <v>9676.610000000001</v>
      </c>
    </row>
    <row r="118" ht="15" customHeight="1" s="80">
      <c r="A118" s="85" t="inlineStr">
        <is>
          <t>04/09/2026</t>
        </is>
      </c>
      <c r="B118" s="85" t="inlineStr">
        <is>
          <t>12 - New Building (16 Units) - St. Charles - Bldg 14 - 27.5yr</t>
        </is>
      </c>
      <c r="Q118" s="86" t="n">
        <v>29090.8</v>
      </c>
      <c r="U118" s="87" t="n">
        <v>29090.8</v>
      </c>
    </row>
    <row r="119" ht="15" customHeight="1" s="80">
      <c r="A119" s="85" t="inlineStr">
        <is>
          <t>04/09/2026</t>
        </is>
      </c>
      <c r="B119" s="85" t="inlineStr">
        <is>
          <t>12 - New Building (16 Units) - St. Charles - Bldg 15 - 15yr</t>
        </is>
      </c>
      <c r="R119" s="86" t="n">
        <v>9054.67</v>
      </c>
      <c r="U119" s="87" t="n">
        <v>9054.67</v>
      </c>
    </row>
    <row r="120" ht="15" customHeight="1" s="80">
      <c r="A120" s="85" t="inlineStr">
        <is>
          <t>04/09/2026</t>
        </is>
      </c>
      <c r="B120" s="85" t="inlineStr">
        <is>
          <t>12 - New Building (16 Units) - St. Charles - Bldg 15 - 27.5yr</t>
        </is>
      </c>
      <c r="R120" s="86" t="n">
        <v>25259.11</v>
      </c>
      <c r="U120" s="87" t="n">
        <v>25259.11</v>
      </c>
    </row>
    <row r="121" ht="15" customHeight="1" s="80">
      <c r="A121" s="85" t="inlineStr">
        <is>
          <t>04/09/2026</t>
        </is>
      </c>
      <c r="B121" s="85" t="inlineStr">
        <is>
          <t>12 - New Building (16 Units) - St. Charles - Bldg 16 - 15yr</t>
        </is>
      </c>
      <c r="S121" s="86" t="n">
        <v>9054.67</v>
      </c>
      <c r="U121" s="87" t="n">
        <v>9054.67</v>
      </c>
    </row>
    <row r="122" ht="15" customHeight="1" s="80">
      <c r="A122" s="85" t="inlineStr">
        <is>
          <t>04/09/2026</t>
        </is>
      </c>
      <c r="B122" s="85" t="inlineStr">
        <is>
          <t>12 - New Building (16 Units) - St. Charles - Bldg 16 - 27.5yr</t>
        </is>
      </c>
      <c r="S122" s="86" t="n">
        <v>25441.07</v>
      </c>
      <c r="U122" s="87" t="n">
        <v>25441.07</v>
      </c>
    </row>
    <row r="123" ht="15" customHeight="1" s="80">
      <c r="A123" s="85" t="inlineStr">
        <is>
          <t>04/09/2026</t>
        </is>
      </c>
      <c r="B123" s="85" t="inlineStr">
        <is>
          <t>12 - New Building (16 Units) - St. Charles - Office - 15yr</t>
        </is>
      </c>
      <c r="T123" s="86" t="n">
        <v>1061.46</v>
      </c>
      <c r="U123" s="87" t="n">
        <v>1061.46</v>
      </c>
    </row>
    <row r="124" ht="15" customHeight="1" s="80">
      <c r="A124" s="85" t="inlineStr">
        <is>
          <t>04/09/2026</t>
        </is>
      </c>
      <c r="B124" s="85" t="inlineStr">
        <is>
          <t>12 - New Building (16 Units) - St. Charles - Office - 27.5yr</t>
        </is>
      </c>
      <c r="T124" s="86" t="n">
        <v>10560.36</v>
      </c>
      <c r="U124" s="87" t="n">
        <v>10560.36</v>
      </c>
    </row>
    <row r="125" ht="15" customHeight="1" s="80">
      <c r="A125" s="85" t="inlineStr">
        <is>
          <t>04/09/2026</t>
        </is>
      </c>
      <c r="B125" s="85" t="inlineStr">
        <is>
          <t>13 - New Equipment (16 Units) - St. Charles - Site - 15yr</t>
        </is>
      </c>
      <c r="C125" s="86" t="n">
        <v>7663.33</v>
      </c>
      <c r="U125" s="87" t="n">
        <v>7663.33</v>
      </c>
    </row>
    <row r="126" ht="15" customHeight="1" s="80">
      <c r="A126" s="85" t="inlineStr">
        <is>
          <t>04/09/2026</t>
        </is>
      </c>
      <c r="B126" s="85" t="inlineStr">
        <is>
          <t>13 - New Equipment (16 Units) - St. Charles - Site - 27.5yr</t>
        </is>
      </c>
      <c r="C126" s="86" t="n">
        <v>6004.27</v>
      </c>
      <c r="U126" s="87" t="n">
        <v>6004.27</v>
      </c>
    </row>
    <row r="127" ht="15" customHeight="1" s="80">
      <c r="A127" s="85" t="inlineStr">
        <is>
          <t>04/09/2026</t>
        </is>
      </c>
      <c r="B127" s="85" t="inlineStr">
        <is>
          <t>13 - New Equipment (16 Units) - St. Charles - Bldg 1 - 15yr</t>
        </is>
      </c>
      <c r="D127" s="86" t="n">
        <v>1985.57</v>
      </c>
      <c r="U127" s="87" t="n">
        <v>1985.57</v>
      </c>
    </row>
    <row r="128" ht="15" customHeight="1" s="80">
      <c r="A128" s="85" t="inlineStr">
        <is>
          <t>04/09/2026</t>
        </is>
      </c>
      <c r="B128" s="85" t="inlineStr">
        <is>
          <t>13 - New Equipment (16 Units) - St. Charles - Bldg 1 - 27.5yr</t>
        </is>
      </c>
      <c r="D128" s="86" t="n">
        <v>5579.6</v>
      </c>
      <c r="U128" s="87" t="n">
        <v>5579.6</v>
      </c>
    </row>
    <row r="129" ht="15" customHeight="1" s="80">
      <c r="A129" s="85" t="inlineStr">
        <is>
          <t>04/09/2026</t>
        </is>
      </c>
      <c r="B129" s="85" t="inlineStr">
        <is>
          <t>13 - New Equipment (16 Units) - St. Charles - Bldg 2 - 15yr</t>
        </is>
      </c>
      <c r="E129" s="86" t="n">
        <v>1987.35</v>
      </c>
      <c r="U129" s="87" t="n">
        <v>1987.35</v>
      </c>
    </row>
    <row r="130" ht="15" customHeight="1" s="80">
      <c r="A130" s="85" t="inlineStr">
        <is>
          <t>04/09/2026</t>
        </is>
      </c>
      <c r="B130" s="85" t="inlineStr">
        <is>
          <t>13 - New Equipment (16 Units) - St. Charles - Bldg 2 - 27.5yr</t>
        </is>
      </c>
      <c r="E130" s="86" t="n">
        <v>5579.6</v>
      </c>
      <c r="U130" s="87" t="n">
        <v>5579.6</v>
      </c>
    </row>
    <row r="131" ht="15" customHeight="1" s="80">
      <c r="A131" s="85" t="inlineStr">
        <is>
          <t>04/09/2026</t>
        </is>
      </c>
      <c r="B131" s="85" t="inlineStr">
        <is>
          <t>13 - New Equipment (16 Units) - St. Charles - Bldg 3 - 15yr</t>
        </is>
      </c>
      <c r="F131" s="86" t="n">
        <v>1987.61</v>
      </c>
      <c r="U131" s="87" t="n">
        <v>1987.61</v>
      </c>
    </row>
    <row r="132" ht="15" customHeight="1" s="80">
      <c r="A132" s="85" t="inlineStr">
        <is>
          <t>04/09/2026</t>
        </is>
      </c>
      <c r="B132" s="85" t="inlineStr">
        <is>
          <t>13 - New Equipment (16 Units) - St. Charles - Bldg 3 - 27.5yr</t>
        </is>
      </c>
      <c r="F132" s="86" t="n">
        <v>5579.59</v>
      </c>
      <c r="U132" s="87" t="n">
        <v>5579.59</v>
      </c>
    </row>
    <row r="133" ht="15" customHeight="1" s="80">
      <c r="A133" s="85" t="inlineStr">
        <is>
          <t>04/09/2026</t>
        </is>
      </c>
      <c r="B133" s="85" t="inlineStr">
        <is>
          <t>13 - New Equipment (16 Units) - St. Charles - Bldg 4 - 15yr</t>
        </is>
      </c>
      <c r="G133" s="86" t="n">
        <v>1987.61</v>
      </c>
      <c r="U133" s="87" t="n">
        <v>1987.61</v>
      </c>
    </row>
    <row r="134" ht="15" customHeight="1" s="80">
      <c r="A134" s="85" t="inlineStr">
        <is>
          <t>04/09/2026</t>
        </is>
      </c>
      <c r="B134" s="85" t="inlineStr">
        <is>
          <t>13 - New Equipment (16 Units) - St. Charles - Bldg 4 - 27.5yr</t>
        </is>
      </c>
      <c r="G134" s="86" t="n">
        <v>5544.67</v>
      </c>
      <c r="U134" s="87" t="n">
        <v>5544.67</v>
      </c>
    </row>
    <row r="135" ht="15" customHeight="1" s="80">
      <c r="A135" s="85" t="inlineStr">
        <is>
          <t>04/09/2026</t>
        </is>
      </c>
      <c r="B135" s="85" t="inlineStr">
        <is>
          <t>13 - New Equipment (16 Units) - St. Charles - Bldg 5 - 15yr</t>
        </is>
      </c>
      <c r="H135" s="86" t="n">
        <v>2124.13</v>
      </c>
      <c r="U135" s="87" t="n">
        <v>2124.13</v>
      </c>
    </row>
    <row r="136" ht="15" customHeight="1" s="80">
      <c r="A136" s="85" t="inlineStr">
        <is>
          <t>04/09/2026</t>
        </is>
      </c>
      <c r="B136" s="85" t="inlineStr">
        <is>
          <t>13 - New Equipment (16 Units) - St. Charles - Bldg 5 - 27.5yr</t>
        </is>
      </c>
      <c r="H136" s="86" t="n">
        <v>6350.86</v>
      </c>
      <c r="U136" s="87" t="n">
        <v>6350.86</v>
      </c>
    </row>
    <row r="137" ht="15" customHeight="1" s="80">
      <c r="A137" s="85" t="inlineStr">
        <is>
          <t>04/09/2026</t>
        </is>
      </c>
      <c r="B137" s="85" t="inlineStr">
        <is>
          <t>13 - New Equipment (16 Units) - St. Charles - Bldg 6 - 15yr</t>
        </is>
      </c>
      <c r="I137" s="86" t="n">
        <v>1987.61</v>
      </c>
      <c r="U137" s="87" t="n">
        <v>1987.61</v>
      </c>
    </row>
    <row r="138" ht="15" customHeight="1" s="80">
      <c r="A138" s="85" t="inlineStr">
        <is>
          <t>04/09/2026</t>
        </is>
      </c>
      <c r="B138" s="85" t="inlineStr">
        <is>
          <t>13 - New Equipment (16 Units) - St. Charles - Bldg 6 - 27.5yr</t>
        </is>
      </c>
      <c r="I138" s="86" t="n">
        <v>5584.62</v>
      </c>
      <c r="U138" s="87" t="n">
        <v>5584.62</v>
      </c>
    </row>
    <row r="139" ht="15" customHeight="1" s="80">
      <c r="A139" s="85" t="inlineStr">
        <is>
          <t>04/09/2026</t>
        </is>
      </c>
      <c r="B139" s="85" t="inlineStr">
        <is>
          <t>13 - New Equipment (16 Units) - St. Charles - Bldg 7 - 15yr</t>
        </is>
      </c>
      <c r="J139" s="86" t="n">
        <v>2124.13</v>
      </c>
      <c r="U139" s="87" t="n">
        <v>2124.13</v>
      </c>
    </row>
    <row r="140" ht="15" customHeight="1" s="80">
      <c r="A140" s="85" t="inlineStr">
        <is>
          <t>04/09/2026</t>
        </is>
      </c>
      <c r="B140" s="85" t="inlineStr">
        <is>
          <t>13 - New Equipment (16 Units) - St. Charles - Bldg 7 - 27.5yr</t>
        </is>
      </c>
      <c r="J140" s="86" t="n">
        <v>6390.8</v>
      </c>
      <c r="U140" s="87" t="n">
        <v>6390.8</v>
      </c>
    </row>
    <row r="141" ht="15" customHeight="1" s="80">
      <c r="A141" s="85" t="inlineStr">
        <is>
          <t>04/09/2026</t>
        </is>
      </c>
      <c r="B141" s="85" t="inlineStr">
        <is>
          <t>13 - New Equipment (16 Units) - St. Charles - Bldg 8 - 15yr</t>
        </is>
      </c>
      <c r="K141" s="86" t="n">
        <v>1987.61</v>
      </c>
      <c r="U141" s="87" t="n">
        <v>1987.61</v>
      </c>
    </row>
    <row r="142" ht="15" customHeight="1" s="80">
      <c r="A142" s="85" t="inlineStr">
        <is>
          <t>04/09/2026</t>
        </is>
      </c>
      <c r="B142" s="85" t="inlineStr">
        <is>
          <t>13 - New Equipment (16 Units) - St. Charles - Bldg 8 - 27.5yr</t>
        </is>
      </c>
      <c r="K142" s="86" t="n">
        <v>5584.62</v>
      </c>
      <c r="U142" s="87" t="n">
        <v>5584.62</v>
      </c>
    </row>
    <row r="143" ht="15" customHeight="1" s="80">
      <c r="A143" s="85" t="inlineStr">
        <is>
          <t>04/09/2026</t>
        </is>
      </c>
      <c r="B143" s="85" t="inlineStr">
        <is>
          <t>13 - New Equipment (16 Units) - St. Charles - Bldg 9 - 15yr</t>
        </is>
      </c>
      <c r="L143" s="86" t="n">
        <v>965.55</v>
      </c>
      <c r="U143" s="87" t="n">
        <v>965.55</v>
      </c>
    </row>
    <row r="144" ht="15" customHeight="1" s="80">
      <c r="A144" s="85" t="inlineStr">
        <is>
          <t>04/09/2026</t>
        </is>
      </c>
      <c r="B144" s="85" t="inlineStr">
        <is>
          <t>13 - New Equipment (16 Units) - St. Charles - Bldg 9 - 27.5yr</t>
        </is>
      </c>
      <c r="L144" s="86" t="n">
        <v>2406.02</v>
      </c>
      <c r="U144" s="87" t="n">
        <v>2406.02</v>
      </c>
    </row>
    <row r="145" ht="15" customHeight="1" s="80">
      <c r="A145" s="85" t="inlineStr">
        <is>
          <t>04/09/2026</t>
        </is>
      </c>
      <c r="B145" s="85" t="inlineStr">
        <is>
          <t>13 - New Equipment (16 Units) - St. Charles - Bldg 10 - 15yr</t>
        </is>
      </c>
      <c r="M145" s="86" t="n">
        <v>2124.13</v>
      </c>
      <c r="U145" s="87" t="n">
        <v>2124.13</v>
      </c>
    </row>
    <row r="146" ht="15" customHeight="1" s="80">
      <c r="A146" s="85" t="inlineStr">
        <is>
          <t>04/09/2026</t>
        </is>
      </c>
      <c r="B146" s="85" t="inlineStr">
        <is>
          <t>13 - New Equipment (16 Units) - St. Charles - Bldg 10 - 27.5yr</t>
        </is>
      </c>
      <c r="M146" s="86" t="n">
        <v>6385.78</v>
      </c>
      <c r="U146" s="87" t="n">
        <v>6385.78</v>
      </c>
    </row>
    <row r="147" ht="15" customHeight="1" s="80">
      <c r="A147" s="85" t="inlineStr">
        <is>
          <t>04/09/2026</t>
        </is>
      </c>
      <c r="B147" s="85" t="inlineStr">
        <is>
          <t>13 - New Equipment (16 Units) - St. Charles - Bldg 11 - 15yr</t>
        </is>
      </c>
      <c r="N147" s="86" t="n">
        <v>1987.61</v>
      </c>
      <c r="U147" s="87" t="n">
        <v>1987.61</v>
      </c>
    </row>
    <row r="148" ht="15" customHeight="1" s="80">
      <c r="A148" s="85" t="inlineStr">
        <is>
          <t>04/09/2026</t>
        </is>
      </c>
      <c r="B148" s="85" t="inlineStr">
        <is>
          <t>13 - New Equipment (16 Units) - St. Charles - Bldg 11 - 27.5yr</t>
        </is>
      </c>
      <c r="N148" s="86" t="n">
        <v>5584.62</v>
      </c>
      <c r="U148" s="87" t="n">
        <v>5584.62</v>
      </c>
    </row>
    <row r="149" ht="15" customHeight="1" s="80">
      <c r="A149" s="85" t="inlineStr">
        <is>
          <t>04/09/2026</t>
        </is>
      </c>
      <c r="B149" s="85" t="inlineStr">
        <is>
          <t>13 - New Equipment (16 Units) - St. Charles - Bldg 12 - 15yr</t>
        </is>
      </c>
      <c r="O149" s="86" t="n">
        <v>2124.13</v>
      </c>
      <c r="U149" s="87" t="n">
        <v>2124.13</v>
      </c>
    </row>
    <row r="150" ht="15" customHeight="1" s="80">
      <c r="A150" s="85" t="inlineStr">
        <is>
          <t>04/09/2026</t>
        </is>
      </c>
      <c r="B150" s="85" t="inlineStr">
        <is>
          <t>13 - New Equipment (16 Units) - St. Charles - Bldg 12 - 27.5yr</t>
        </is>
      </c>
      <c r="O150" s="86" t="n">
        <v>6390.8</v>
      </c>
      <c r="U150" s="87" t="n">
        <v>6390.8</v>
      </c>
    </row>
    <row r="151" ht="15" customHeight="1" s="80">
      <c r="A151" s="85" t="inlineStr">
        <is>
          <t>04/09/2026</t>
        </is>
      </c>
      <c r="B151" s="85" t="inlineStr">
        <is>
          <t>13 - New Equipment (16 Units) - St. Charles - Bldg 13 - 15yr</t>
        </is>
      </c>
      <c r="P151" s="86" t="n">
        <v>1987.61</v>
      </c>
      <c r="U151" s="87" t="n">
        <v>1987.61</v>
      </c>
    </row>
    <row r="152" ht="15" customHeight="1" s="80">
      <c r="A152" s="85" t="inlineStr">
        <is>
          <t>04/09/2026</t>
        </is>
      </c>
      <c r="B152" s="85" t="inlineStr">
        <is>
          <t>13 - New Equipment (16 Units) - St. Charles - Bldg 13 - 27.5yr</t>
        </is>
      </c>
      <c r="P152" s="86" t="n">
        <v>5584.62</v>
      </c>
      <c r="U152" s="87" t="n">
        <v>5584.62</v>
      </c>
    </row>
    <row r="153" ht="15" customHeight="1" s="80">
      <c r="A153" s="85" t="inlineStr">
        <is>
          <t>04/09/2026</t>
        </is>
      </c>
      <c r="B153" s="85" t="inlineStr">
        <is>
          <t>13 - New Equipment (16 Units) - St. Charles - Bldg 14 - 15yr</t>
        </is>
      </c>
      <c r="Q153" s="86" t="n">
        <v>2124.13</v>
      </c>
      <c r="U153" s="87" t="n">
        <v>2124.13</v>
      </c>
    </row>
    <row r="154" ht="15" customHeight="1" s="80">
      <c r="A154" s="85" t="inlineStr">
        <is>
          <t>04/09/2026</t>
        </is>
      </c>
      <c r="B154" s="85" t="inlineStr">
        <is>
          <t>13 - New Equipment (16 Units) - St. Charles - Bldg 14 - 27.5yr</t>
        </is>
      </c>
      <c r="Q154" s="86" t="n">
        <v>6385.78</v>
      </c>
      <c r="U154" s="87" t="n">
        <v>6385.78</v>
      </c>
    </row>
    <row r="155" ht="15" customHeight="1" s="80">
      <c r="A155" s="85" t="inlineStr">
        <is>
          <t>04/09/2026</t>
        </is>
      </c>
      <c r="B155" s="85" t="inlineStr">
        <is>
          <t>13 - New Equipment (16 Units) - St. Charles - Bldg 15 - 15yr</t>
        </is>
      </c>
      <c r="R155" s="86" t="n">
        <v>1987.61</v>
      </c>
      <c r="U155" s="87" t="n">
        <v>1987.61</v>
      </c>
    </row>
    <row r="156" ht="15" customHeight="1" s="80">
      <c r="A156" s="85" t="inlineStr">
        <is>
          <t>04/09/2026</t>
        </is>
      </c>
      <c r="B156" s="85" t="inlineStr">
        <is>
          <t>13 - New Equipment (16 Units) - St. Charles - Bldg 15 - 27.5yr</t>
        </is>
      </c>
      <c r="R156" s="86" t="n">
        <v>5544.67</v>
      </c>
      <c r="U156" s="87" t="n">
        <v>5544.67</v>
      </c>
    </row>
    <row r="157" ht="15" customHeight="1" s="80">
      <c r="A157" s="85" t="inlineStr">
        <is>
          <t>04/09/2026</t>
        </is>
      </c>
      <c r="B157" s="85" t="inlineStr">
        <is>
          <t>13 - New Equipment (16 Units) - St. Charles - Bldg 16 - 15yr</t>
        </is>
      </c>
      <c r="S157" s="86" t="n">
        <v>1987.61</v>
      </c>
      <c r="U157" s="87" t="n">
        <v>1987.61</v>
      </c>
    </row>
    <row r="158" ht="15" customHeight="1" s="80">
      <c r="A158" s="85" t="inlineStr">
        <is>
          <t>04/09/2026</t>
        </is>
      </c>
      <c r="B158" s="85" t="inlineStr">
        <is>
          <t>13 - New Equipment (16 Units) - St. Charles - Bldg 16 - 27.5yr</t>
        </is>
      </c>
      <c r="S158" s="86" t="n">
        <v>5584.62</v>
      </c>
      <c r="U158" s="87" t="n">
        <v>5584.62</v>
      </c>
    </row>
    <row r="159" ht="15" customHeight="1" s="80">
      <c r="A159" s="85" t="inlineStr">
        <is>
          <t>04/09/2026</t>
        </is>
      </c>
      <c r="B159" s="85" t="inlineStr">
        <is>
          <t>13 - New Equipment (16 Units) - St. Charles - Office - 15yr</t>
        </is>
      </c>
      <c r="T159" s="86" t="n">
        <v>233</v>
      </c>
      <c r="U159" s="87" t="n">
        <v>233</v>
      </c>
    </row>
    <row r="160" ht="15" customHeight="1" s="80">
      <c r="A160" s="85" t="inlineStr">
        <is>
          <t>04/09/2026</t>
        </is>
      </c>
      <c r="B160" s="85" t="inlineStr">
        <is>
          <t>13 - New Equipment (16 Units) - St. Charles - Office - 27.5yr</t>
        </is>
      </c>
      <c r="T160" s="86" t="n">
        <v>2318.13</v>
      </c>
      <c r="U160" s="87" t="n">
        <v>2318.13</v>
      </c>
    </row>
    <row r="161" ht="15" customHeight="1" s="80">
      <c r="A161" s="85" t="inlineStr">
        <is>
          <t>04/09/2026</t>
        </is>
      </c>
      <c r="B161" s="85" t="inlineStr">
        <is>
          <t>14 - New Buildings (105 Units) - St. Charles - Site - 15yr</t>
        </is>
      </c>
      <c r="C161" s="86" t="n">
        <v>233988.6</v>
      </c>
      <c r="U161" s="87" t="n">
        <v>233988.6</v>
      </c>
    </row>
    <row r="162" ht="15" customHeight="1" s="80">
      <c r="A162" s="85" t="inlineStr">
        <is>
          <t>04/09/2026</t>
        </is>
      </c>
      <c r="B162" s="85" t="inlineStr">
        <is>
          <t>14 - New Buildings (105 Units) - St. Charles - Site - 27.5yr</t>
        </is>
      </c>
      <c r="C162" s="86" t="n">
        <v>183331.88</v>
      </c>
      <c r="U162" s="87" t="n">
        <v>183331.88</v>
      </c>
    </row>
    <row r="163" ht="15" customHeight="1" s="80">
      <c r="A163" s="85" t="inlineStr">
        <is>
          <t>04/09/2026</t>
        </is>
      </c>
      <c r="B163" s="85" t="inlineStr">
        <is>
          <t>14 - New Buildings (105 Units) - St. Charles - Bldg 1 - 15yr</t>
        </is>
      </c>
      <c r="D163" s="86" t="n">
        <v>60626.59</v>
      </c>
      <c r="U163" s="87" t="n">
        <v>60626.59</v>
      </c>
    </row>
    <row r="164" ht="15" customHeight="1" s="80">
      <c r="A164" s="85" t="inlineStr">
        <is>
          <t>04/09/2026</t>
        </is>
      </c>
      <c r="B164" s="85" t="inlineStr">
        <is>
          <t>14 - New Buildings (105 Units) - St. Charles - Bldg 1 - 27.5yr</t>
        </is>
      </c>
      <c r="D164" s="86" t="n">
        <v>170364.9</v>
      </c>
      <c r="U164" s="87" t="n">
        <v>170364.9</v>
      </c>
    </row>
    <row r="165" ht="15" customHeight="1" s="80">
      <c r="A165" s="85" t="inlineStr">
        <is>
          <t>04/09/2026</t>
        </is>
      </c>
      <c r="B165" s="85" t="inlineStr">
        <is>
          <t>14 - New Buildings (105 Units) - St. Charles - Bldg 2 - 15yr</t>
        </is>
      </c>
      <c r="E165" s="86" t="n">
        <v>60681</v>
      </c>
      <c r="U165" s="87" t="n">
        <v>60681</v>
      </c>
    </row>
    <row r="166" ht="15" customHeight="1" s="80">
      <c r="A166" s="85" t="inlineStr">
        <is>
          <t>04/09/2026</t>
        </is>
      </c>
      <c r="B166" s="85" t="inlineStr">
        <is>
          <t>14 - New Buildings (105 Units) - St. Charles - Bldg 2 - 27.5yr</t>
        </is>
      </c>
      <c r="E166" s="86" t="n">
        <v>170364.9</v>
      </c>
      <c r="U166" s="87" t="n">
        <v>170364.9</v>
      </c>
    </row>
    <row r="167" ht="15" customHeight="1" s="80">
      <c r="A167" s="85" t="inlineStr">
        <is>
          <t>04/09/2026</t>
        </is>
      </c>
      <c r="B167" s="85" t="inlineStr">
        <is>
          <t>14 - New Buildings (105 Units) - St. Charles - Bldg 3 - 15yr</t>
        </is>
      </c>
      <c r="F167" s="86" t="n">
        <v>60688.77</v>
      </c>
      <c r="U167" s="87" t="n">
        <v>60688.77</v>
      </c>
    </row>
    <row r="168" ht="15" customHeight="1" s="80">
      <c r="A168" s="85" t="inlineStr">
        <is>
          <t>04/09/2026</t>
        </is>
      </c>
      <c r="B168" s="85" t="inlineStr">
        <is>
          <t>14 - New Buildings (105 Units) - St. Charles - Bldg 3 - 27.5yr</t>
        </is>
      </c>
      <c r="F168" s="86" t="n">
        <v>170364.9</v>
      </c>
      <c r="U168" s="87" t="n">
        <v>170364.9</v>
      </c>
    </row>
    <row r="169" ht="15" customHeight="1" s="80">
      <c r="A169" s="85" t="inlineStr">
        <is>
          <t>04/09/2026</t>
        </is>
      </c>
      <c r="B169" s="85" t="inlineStr">
        <is>
          <t>14 - New Buildings (105 Units) - St. Charles - Bldg 4 - 15yr</t>
        </is>
      </c>
      <c r="G169" s="86" t="n">
        <v>60688.77</v>
      </c>
      <c r="U169" s="87" t="n">
        <v>60688.77</v>
      </c>
    </row>
    <row r="170" ht="15" customHeight="1" s="80">
      <c r="A170" s="85" t="inlineStr">
        <is>
          <t>04/09/2026</t>
        </is>
      </c>
      <c r="B170" s="85" t="inlineStr">
        <is>
          <t>14 - New Buildings (105 Units) - St. Charles - Bldg 4 - 27.5yr</t>
        </is>
      </c>
      <c r="G170" s="86" t="n">
        <v>169298.62</v>
      </c>
      <c r="U170" s="87" t="n">
        <v>169298.62</v>
      </c>
    </row>
    <row r="171" ht="15" customHeight="1" s="80">
      <c r="A171" s="85" t="inlineStr">
        <is>
          <t>04/09/2026</t>
        </is>
      </c>
      <c r="B171" s="85" t="inlineStr">
        <is>
          <t>14 - New Buildings (105 Units) - St. Charles - Bldg 5 - 15yr</t>
        </is>
      </c>
      <c r="H171" s="86" t="n">
        <v>64857.26</v>
      </c>
      <c r="U171" s="87" t="n">
        <v>64857.26</v>
      </c>
    </row>
    <row r="172" ht="15" customHeight="1" s="80">
      <c r="A172" s="85" t="inlineStr">
        <is>
          <t>04/09/2026</t>
        </is>
      </c>
      <c r="B172" s="85" t="inlineStr">
        <is>
          <t>14 - New Buildings (105 Units) - St. Charles - Bldg 5 - 27.5yr</t>
        </is>
      </c>
      <c r="H172" s="86" t="n">
        <v>193914.22</v>
      </c>
      <c r="U172" s="87" t="n">
        <v>193914.22</v>
      </c>
    </row>
    <row r="173" ht="15" customHeight="1" s="80">
      <c r="A173" s="85" t="inlineStr">
        <is>
          <t>04/09/2026</t>
        </is>
      </c>
      <c r="B173" s="85" t="inlineStr">
        <is>
          <t>14 - New Buildings (105 Units) - St. Charles - Bldg 6 - 15yr</t>
        </is>
      </c>
      <c r="I173" s="86" t="n">
        <v>60688.77</v>
      </c>
      <c r="U173" s="87" t="n">
        <v>60688.77</v>
      </c>
    </row>
    <row r="174" ht="15" customHeight="1" s="80">
      <c r="A174" s="85" t="inlineStr">
        <is>
          <t>04/09/2026</t>
        </is>
      </c>
      <c r="B174" s="85" t="inlineStr">
        <is>
          <t>14 - New Buildings (105 Units) - St. Charles - Bldg 6 - 27.5yr</t>
        </is>
      </c>
      <c r="I174" s="86" t="n">
        <v>170518.26</v>
      </c>
      <c r="U174" s="87" t="n">
        <v>170518.26</v>
      </c>
    </row>
    <row r="175" ht="15" customHeight="1" s="80">
      <c r="A175" s="85" t="inlineStr">
        <is>
          <t>04/09/2026</t>
        </is>
      </c>
      <c r="B175" s="85" t="inlineStr">
        <is>
          <t>14 - New Buildings (105 Units) - St. Charles - Bldg 7 - 15yr</t>
        </is>
      </c>
      <c r="J175" s="86" t="n">
        <v>64857.26</v>
      </c>
      <c r="U175" s="87" t="n">
        <v>64857.26</v>
      </c>
    </row>
    <row r="176" ht="15" customHeight="1" s="80">
      <c r="A176" s="85" t="inlineStr">
        <is>
          <t>04/09/2026</t>
        </is>
      </c>
      <c r="B176" s="85" t="inlineStr">
        <is>
          <t>14 - New Buildings (105 Units) - St. Charles - Bldg 7 - 27.5yr</t>
        </is>
      </c>
      <c r="J176" s="86" t="n">
        <v>195133.85</v>
      </c>
      <c r="U176" s="87" t="n">
        <v>195133.85</v>
      </c>
    </row>
    <row r="177" ht="15" customHeight="1" s="80">
      <c r="A177" s="85" t="inlineStr">
        <is>
          <t>04/09/2026</t>
        </is>
      </c>
      <c r="B177" s="85" t="inlineStr">
        <is>
          <t>14 - New Buildings (105 Units) - St. Charles - Bldg 8 - 15yr</t>
        </is>
      </c>
      <c r="K177" s="86" t="n">
        <v>60688.77</v>
      </c>
      <c r="U177" s="87" t="n">
        <v>60688.77</v>
      </c>
    </row>
    <row r="178" ht="15" customHeight="1" s="80">
      <c r="A178" s="85" t="inlineStr">
        <is>
          <t>04/09/2026</t>
        </is>
      </c>
      <c r="B178" s="85" t="inlineStr">
        <is>
          <t>14 - New Buildings (105 Units) - St. Charles - Bldg 8 - 27.5yr</t>
        </is>
      </c>
      <c r="K178" s="86" t="n">
        <v>170518.26</v>
      </c>
      <c r="U178" s="87" t="n">
        <v>170518.26</v>
      </c>
    </row>
    <row r="179" ht="15" customHeight="1" s="80">
      <c r="A179" s="85" t="inlineStr">
        <is>
          <t>04/09/2026</t>
        </is>
      </c>
      <c r="B179" s="85" t="inlineStr">
        <is>
          <t>14 - New Buildings (105 Units) - St. Charles - Bldg 9 - 15yr</t>
        </is>
      </c>
      <c r="L179" s="86" t="n">
        <v>29481.65</v>
      </c>
      <c r="U179" s="87" t="n">
        <v>29481.65</v>
      </c>
    </row>
    <row r="180" ht="15" customHeight="1" s="80">
      <c r="A180" s="85" t="inlineStr">
        <is>
          <t>04/09/2026</t>
        </is>
      </c>
      <c r="B180" s="85" t="inlineStr">
        <is>
          <t>14 - New Buildings (105 Units) - St. Charles - Bldg 9 - 27.5yr</t>
        </is>
      </c>
      <c r="L180" s="86" t="n">
        <v>73464.7</v>
      </c>
      <c r="U180" s="87" t="n">
        <v>73464.7</v>
      </c>
    </row>
    <row r="181" ht="15" customHeight="1" s="80">
      <c r="A181" s="85" t="inlineStr">
        <is>
          <t>04/09/2026</t>
        </is>
      </c>
      <c r="B181" s="85" t="inlineStr">
        <is>
          <t>14 - New Buildings (105 Units) - St. Charles - Bldg 10 - 15yr</t>
        </is>
      </c>
      <c r="M181" s="86" t="n">
        <v>64857.26</v>
      </c>
      <c r="U181" s="87" t="n">
        <v>64857.26</v>
      </c>
    </row>
    <row r="182" ht="15" customHeight="1" s="80">
      <c r="A182" s="85" t="inlineStr">
        <is>
          <t>04/09/2026</t>
        </is>
      </c>
      <c r="B182" s="85" t="inlineStr">
        <is>
          <t>14 - New Buildings (105 Units) - St. Charles - Bldg 10 - 27.5yr</t>
        </is>
      </c>
      <c r="M182" s="86" t="n">
        <v>194980.48</v>
      </c>
      <c r="U182" s="87" t="n">
        <v>194980.48</v>
      </c>
    </row>
    <row r="183" ht="15" customHeight="1" s="80">
      <c r="A183" s="85" t="inlineStr">
        <is>
          <t>04/09/2026</t>
        </is>
      </c>
      <c r="B183" s="85" t="inlineStr">
        <is>
          <t>14 - New Buildings (105 Units) - St. Charles - Bldg 11 - 15yr</t>
        </is>
      </c>
      <c r="N183" s="86" t="n">
        <v>60688.77</v>
      </c>
      <c r="U183" s="87" t="n">
        <v>60688.77</v>
      </c>
    </row>
    <row r="184" ht="15" customHeight="1" s="80">
      <c r="A184" s="85" t="inlineStr">
        <is>
          <t>04/09/2026</t>
        </is>
      </c>
      <c r="B184" s="85" t="inlineStr">
        <is>
          <t>14 - New Buildings (105 Units) - St. Charles - Bldg 11 - 27.5yr</t>
        </is>
      </c>
      <c r="N184" s="86" t="n">
        <v>170518.26</v>
      </c>
      <c r="U184" s="87" t="n">
        <v>170518.26</v>
      </c>
    </row>
    <row r="185" ht="15" customHeight="1" s="80">
      <c r="A185" s="85" t="inlineStr">
        <is>
          <t>04/09/2026</t>
        </is>
      </c>
      <c r="B185" s="85" t="inlineStr">
        <is>
          <t>14 - New Buildings (105 Units) - St. Charles - Bldg 12 - 15yr</t>
        </is>
      </c>
      <c r="O185" s="86" t="n">
        <v>64857.26</v>
      </c>
      <c r="U185" s="87" t="n">
        <v>64857.26</v>
      </c>
    </row>
    <row r="186" ht="15" customHeight="1" s="80">
      <c r="A186" s="85" t="inlineStr">
        <is>
          <t>04/09/2026</t>
        </is>
      </c>
      <c r="B186" s="85" t="inlineStr">
        <is>
          <t>14 - New Buildings (105 Units) - St. Charles - Bldg 12 - 27.5yr</t>
        </is>
      </c>
      <c r="O186" s="86" t="n">
        <v>195133.85</v>
      </c>
      <c r="U186" s="87" t="n">
        <v>195133.85</v>
      </c>
    </row>
    <row r="187" ht="15" customHeight="1" s="80">
      <c r="A187" s="85" t="inlineStr">
        <is>
          <t>04/09/2026</t>
        </is>
      </c>
      <c r="B187" s="85" t="inlineStr">
        <is>
          <t>14 - New Buildings (105 Units) - St. Charles - Bldg 13 - 15yr</t>
        </is>
      </c>
      <c r="P187" s="86" t="n">
        <v>60688.77</v>
      </c>
      <c r="U187" s="87" t="n">
        <v>60688.77</v>
      </c>
    </row>
    <row r="188" ht="15" customHeight="1" s="80">
      <c r="A188" s="85" t="inlineStr">
        <is>
          <t>04/09/2026</t>
        </is>
      </c>
      <c r="B188" s="85" t="inlineStr">
        <is>
          <t>14 - New Buildings (105 Units) - St. Charles - Bldg 13 - 27.5yr</t>
        </is>
      </c>
      <c r="P188" s="86" t="n">
        <v>170518.26</v>
      </c>
      <c r="U188" s="87" t="n">
        <v>170518.26</v>
      </c>
    </row>
    <row r="189" ht="15" customHeight="1" s="80">
      <c r="A189" s="85" t="inlineStr">
        <is>
          <t>04/09/2026</t>
        </is>
      </c>
      <c r="B189" s="85" t="inlineStr">
        <is>
          <t>14 - New Buildings (105 Units) - St. Charles - Bldg 14 - 15yr</t>
        </is>
      </c>
      <c r="Q189" s="86" t="n">
        <v>64857.26</v>
      </c>
      <c r="U189" s="87" t="n">
        <v>64857.26</v>
      </c>
    </row>
    <row r="190" ht="15" customHeight="1" s="80">
      <c r="A190" s="85" t="inlineStr">
        <is>
          <t>04/09/2026</t>
        </is>
      </c>
      <c r="B190" s="85" t="inlineStr">
        <is>
          <t>14 - New Buildings (105 Units) - St. Charles - Bldg 14 - 27.5yr</t>
        </is>
      </c>
      <c r="Q190" s="86" t="n">
        <v>194980.48</v>
      </c>
      <c r="U190" s="87" t="n">
        <v>194980.48</v>
      </c>
    </row>
    <row r="191" ht="15" customHeight="1" s="80">
      <c r="A191" s="85" t="inlineStr">
        <is>
          <t>04/09/2026</t>
        </is>
      </c>
      <c r="B191" s="85" t="inlineStr">
        <is>
          <t>14 - New Buildings (105 Units) - St. Charles - Bldg 15 - 15yr</t>
        </is>
      </c>
      <c r="R191" s="86" t="n">
        <v>60688.77</v>
      </c>
      <c r="U191" s="87" t="n">
        <v>60688.77</v>
      </c>
    </row>
    <row r="192" ht="15" customHeight="1" s="80">
      <c r="A192" s="85" t="inlineStr">
        <is>
          <t>04/09/2026</t>
        </is>
      </c>
      <c r="B192" s="85" t="inlineStr">
        <is>
          <t>14 - New Buildings (105 Units) - St. Charles - Bldg 15 - 27.5yr</t>
        </is>
      </c>
      <c r="R192" s="86" t="n">
        <v>169298.62</v>
      </c>
      <c r="U192" s="87" t="n">
        <v>169298.62</v>
      </c>
    </row>
    <row r="193" ht="15" customHeight="1" s="80">
      <c r="A193" s="85" t="inlineStr">
        <is>
          <t>04/09/2026</t>
        </is>
      </c>
      <c r="B193" s="85" t="inlineStr">
        <is>
          <t>14 - New Buildings (105 Units) - St. Charles - Bldg 16 - 15yr</t>
        </is>
      </c>
      <c r="S193" s="86" t="n">
        <v>60688.77</v>
      </c>
      <c r="U193" s="87" t="n">
        <v>60688.77</v>
      </c>
    </row>
    <row r="194" ht="15" customHeight="1" s="80">
      <c r="A194" s="85" t="inlineStr">
        <is>
          <t>04/09/2026</t>
        </is>
      </c>
      <c r="B194" s="85" t="inlineStr">
        <is>
          <t>14 - New Buildings (105 Units) - St. Charles - Bldg 16 - 27.5yr</t>
        </is>
      </c>
      <c r="S194" s="86" t="n">
        <v>170518.26</v>
      </c>
      <c r="U194" s="87" t="n">
        <v>170518.26</v>
      </c>
    </row>
    <row r="195" ht="15" customHeight="1" s="80">
      <c r="A195" s="85" t="inlineStr">
        <is>
          <t>04/09/2026</t>
        </is>
      </c>
      <c r="B195" s="85" t="inlineStr">
        <is>
          <t>14 - New Buildings (105 Units) - St. Charles - Office - 15yr</t>
        </is>
      </c>
      <c r="T195" s="86" t="n">
        <v>7114.4</v>
      </c>
      <c r="U195" s="87" t="n">
        <v>7114.4</v>
      </c>
    </row>
    <row r="196" ht="15" customHeight="1" s="80">
      <c r="A196" s="85" t="inlineStr">
        <is>
          <t>04/09/2026</t>
        </is>
      </c>
      <c r="B196" s="85" t="inlineStr">
        <is>
          <t>14 - New Buildings (105 Units) - St. Charles - Office - 27.5yr</t>
        </is>
      </c>
      <c r="T196" s="86" t="n">
        <v>70780.60000000001</v>
      </c>
      <c r="U196" s="87" t="n">
        <v>70780.60000000001</v>
      </c>
    </row>
    <row r="197" ht="15" customHeight="1" s="80">
      <c r="A197" s="85" t="inlineStr">
        <is>
          <t>04/09/2026</t>
        </is>
      </c>
      <c r="B197" s="85" t="inlineStr">
        <is>
          <t>15 - New Equipment (105 Units) - St. Charles - Site - 15yr</t>
        </is>
      </c>
      <c r="C197" s="86" t="n">
        <v>51363.37</v>
      </c>
      <c r="U197" s="87" t="n">
        <v>51363.37</v>
      </c>
    </row>
    <row r="198" ht="15" customHeight="1" s="80">
      <c r="A198" s="85" t="inlineStr">
        <is>
          <t>04/09/2026</t>
        </is>
      </c>
      <c r="B198" s="85" t="inlineStr">
        <is>
          <t>15 - New Equipment (105 Units) - St. Charles - Site - 27.5yr</t>
        </is>
      </c>
      <c r="C198" s="86" t="n">
        <v>40243.6</v>
      </c>
      <c r="U198" s="87" t="n">
        <v>40243.6</v>
      </c>
    </row>
    <row r="199" ht="15" customHeight="1" s="80">
      <c r="A199" s="85" t="inlineStr">
        <is>
          <t>04/09/2026</t>
        </is>
      </c>
      <c r="B199" s="85" t="inlineStr">
        <is>
          <t>15 - New Equipment (105 Units) - St. Charles - Bldg 1 - 15yr</t>
        </is>
      </c>
      <c r="D199" s="86" t="n">
        <v>13308.28</v>
      </c>
      <c r="U199" s="87" t="n">
        <v>13308.28</v>
      </c>
    </row>
    <row r="200" ht="15" customHeight="1" s="80">
      <c r="A200" s="85" t="inlineStr">
        <is>
          <t>04/09/2026</t>
        </is>
      </c>
      <c r="B200" s="85" t="inlineStr">
        <is>
          <t>15 - New Equipment (105 Units) - St. Charles - Bldg 1 - 27.5yr</t>
        </is>
      </c>
      <c r="D200" s="86" t="n">
        <v>37397.19</v>
      </c>
      <c r="U200" s="87" t="n">
        <v>37397.19</v>
      </c>
    </row>
    <row r="201" ht="15" customHeight="1" s="80">
      <c r="A201" s="85" t="inlineStr">
        <is>
          <t>04/09/2026</t>
        </is>
      </c>
      <c r="B201" s="85" t="inlineStr">
        <is>
          <t>15 - New Equipment (105 Units) - St. Charles - Bldg 2 - 15yr</t>
        </is>
      </c>
      <c r="E201" s="86" t="n">
        <v>13320.23</v>
      </c>
      <c r="U201" s="87" t="n">
        <v>13320.23</v>
      </c>
    </row>
    <row r="202" ht="15" customHeight="1" s="80">
      <c r="A202" s="85" t="inlineStr">
        <is>
          <t>04/09/2026</t>
        </is>
      </c>
      <c r="B202" s="85" t="inlineStr">
        <is>
          <t>15 - New Equipment (105 Units) - St. Charles - Bldg 2 - 27.5yr</t>
        </is>
      </c>
      <c r="E202" s="86" t="n">
        <v>37397.18</v>
      </c>
      <c r="U202" s="87" t="n">
        <v>37397.18</v>
      </c>
    </row>
    <row r="203" ht="15" customHeight="1" s="80">
      <c r="A203" s="85" t="inlineStr">
        <is>
          <t>04/09/2026</t>
        </is>
      </c>
      <c r="B203" s="85" t="inlineStr">
        <is>
          <t>15 - New Equipment (105 Units) - St. Charles - Bldg 3 - 15yr</t>
        </is>
      </c>
      <c r="F203" s="86" t="n">
        <v>13321.93</v>
      </c>
      <c r="U203" s="87" t="n">
        <v>13321.93</v>
      </c>
    </row>
    <row r="204" ht="15" customHeight="1" s="80">
      <c r="A204" s="85" t="inlineStr">
        <is>
          <t>04/09/2026</t>
        </is>
      </c>
      <c r="B204" s="85" t="inlineStr">
        <is>
          <t>15 - New Equipment (105 Units) - St. Charles - Bldg 3 - 27.5yr</t>
        </is>
      </c>
      <c r="F204" s="86" t="n">
        <v>37397.19</v>
      </c>
      <c r="U204" s="87" t="n">
        <v>37397.19</v>
      </c>
    </row>
    <row r="205" ht="15" customHeight="1" s="80">
      <c r="A205" s="85" t="inlineStr">
        <is>
          <t>04/09/2026</t>
        </is>
      </c>
      <c r="B205" s="85" t="inlineStr">
        <is>
          <t>15 - New Equipment (105 Units) - St. Charles - Bldg 4 - 15yr</t>
        </is>
      </c>
      <c r="G205" s="86" t="n">
        <v>13321.94</v>
      </c>
      <c r="U205" s="87" t="n">
        <v>13321.94</v>
      </c>
    </row>
    <row r="206" ht="15" customHeight="1" s="80">
      <c r="A206" s="85" t="inlineStr">
        <is>
          <t>04/09/2026</t>
        </is>
      </c>
      <c r="B206" s="85" t="inlineStr">
        <is>
          <t>15 - New Equipment (105 Units) - St. Charles - Bldg 4 - 27.5yr</t>
        </is>
      </c>
      <c r="G206" s="86" t="n">
        <v>37163.11</v>
      </c>
      <c r="U206" s="87" t="n">
        <v>37163.11</v>
      </c>
    </row>
    <row r="207" ht="15" customHeight="1" s="80">
      <c r="A207" s="85" t="inlineStr">
        <is>
          <t>04/09/2026</t>
        </is>
      </c>
      <c r="B207" s="85" t="inlineStr">
        <is>
          <t>15 - New Equipment (105 Units) - St. Charles - Bldg 5 - 15yr</t>
        </is>
      </c>
      <c r="H207" s="86" t="n">
        <v>14236.95</v>
      </c>
      <c r="U207" s="87" t="n">
        <v>14236.95</v>
      </c>
    </row>
    <row r="208" ht="15" customHeight="1" s="80">
      <c r="A208" s="85" t="inlineStr">
        <is>
          <t>04/09/2026</t>
        </is>
      </c>
      <c r="B208" s="85" t="inlineStr">
        <is>
          <t>15 - New Equipment (105 Units) - St. Charles - Bldg 5 - 27.5yr</t>
        </is>
      </c>
      <c r="H208" s="86" t="n">
        <v>42566.56</v>
      </c>
      <c r="U208" s="87" t="n">
        <v>42566.56</v>
      </c>
    </row>
    <row r="209" ht="15" customHeight="1" s="80">
      <c r="A209" s="85" t="inlineStr">
        <is>
          <t>04/09/2026</t>
        </is>
      </c>
      <c r="B209" s="85" t="inlineStr">
        <is>
          <t>15 - New Equipment (105 Units) - St. Charles - Bldg 6 - 15yr</t>
        </is>
      </c>
      <c r="I209" s="86" t="n">
        <v>13321.94</v>
      </c>
      <c r="U209" s="87" t="n">
        <v>13321.94</v>
      </c>
    </row>
    <row r="210" ht="15" customHeight="1" s="80">
      <c r="A210" s="85" t="inlineStr">
        <is>
          <t>04/09/2026</t>
        </is>
      </c>
      <c r="B210" s="85" t="inlineStr">
        <is>
          <t>15 - New Equipment (105 Units) - St. Charles - Bldg 6 - 27.5yr</t>
        </is>
      </c>
      <c r="I210" s="86" t="n">
        <v>37430.84</v>
      </c>
      <c r="U210" s="87" t="n">
        <v>37430.84</v>
      </c>
    </row>
    <row r="211" ht="15" customHeight="1" s="80">
      <c r="A211" s="85" t="inlineStr">
        <is>
          <t>04/09/2026</t>
        </is>
      </c>
      <c r="B211" s="85" t="inlineStr">
        <is>
          <t>15 - New Equipment (105 Units) - St. Charles - Bldg 7 - 15yr</t>
        </is>
      </c>
      <c r="J211" s="86" t="n">
        <v>14236.95</v>
      </c>
      <c r="U211" s="87" t="n">
        <v>14236.95</v>
      </c>
    </row>
    <row r="212" ht="15" customHeight="1" s="80">
      <c r="A212" s="85" t="inlineStr">
        <is>
          <t>04/09/2026</t>
        </is>
      </c>
      <c r="B212" s="85" t="inlineStr">
        <is>
          <t>15 - New Equipment (105 Units) - St. Charles - Bldg 7 - 27.5yr</t>
        </is>
      </c>
      <c r="J212" s="86" t="n">
        <v>42834.29</v>
      </c>
      <c r="U212" s="87" t="n">
        <v>42834.29</v>
      </c>
    </row>
    <row r="213" ht="15" customHeight="1" s="80">
      <c r="A213" s="85" t="inlineStr">
        <is>
          <t>04/09/2026</t>
        </is>
      </c>
      <c r="B213" s="85" t="inlineStr">
        <is>
          <t>15 - New Equipment (105 Units) - St. Charles - Bldg 8 - 15yr</t>
        </is>
      </c>
      <c r="K213" s="86" t="n">
        <v>13321.94</v>
      </c>
      <c r="U213" s="87" t="n">
        <v>13321.94</v>
      </c>
    </row>
    <row r="214" ht="15" customHeight="1" s="80">
      <c r="A214" s="85" t="inlineStr">
        <is>
          <t>04/09/2026</t>
        </is>
      </c>
      <c r="B214" s="85" t="inlineStr">
        <is>
          <t>15 - New Equipment (105 Units) - St. Charles - Bldg 8 - 27.5yr</t>
        </is>
      </c>
      <c r="K214" s="86" t="n">
        <v>37430.84</v>
      </c>
      <c r="U214" s="87" t="n">
        <v>37430.84</v>
      </c>
    </row>
    <row r="215" ht="15" customHeight="1" s="80">
      <c r="A215" s="85" t="inlineStr">
        <is>
          <t>04/09/2026</t>
        </is>
      </c>
      <c r="B215" s="85" t="inlineStr">
        <is>
          <t>15 - New Equipment (105 Units) - St. Charles - Bldg 9 - 15yr</t>
        </is>
      </c>
      <c r="L215" s="86" t="n">
        <v>6471.57</v>
      </c>
      <c r="U215" s="87" t="n">
        <v>6471.57</v>
      </c>
    </row>
    <row r="216" ht="15" customHeight="1" s="80">
      <c r="A216" s="85" t="inlineStr">
        <is>
          <t>04/09/2026</t>
        </is>
      </c>
      <c r="B216" s="85" t="inlineStr">
        <is>
          <t>15 - New Equipment (105 Units) - St. Charles - Bldg 9 - 27.5yr</t>
        </is>
      </c>
      <c r="L216" s="86" t="n">
        <v>16126.42</v>
      </c>
      <c r="U216" s="87" t="n">
        <v>16126.42</v>
      </c>
    </row>
    <row r="217" ht="15" customHeight="1" s="80">
      <c r="A217" s="85" t="inlineStr">
        <is>
          <t>04/09/2026</t>
        </is>
      </c>
      <c r="B217" s="85" t="inlineStr">
        <is>
          <t>15 - New Equipment (105 Units) - St. Charles - Bldg 10 - 15yr</t>
        </is>
      </c>
      <c r="M217" s="86" t="n">
        <v>14236.95</v>
      </c>
      <c r="U217" s="87" t="n">
        <v>14236.95</v>
      </c>
    </row>
    <row r="218" ht="15" customHeight="1" s="80">
      <c r="A218" s="85" t="inlineStr">
        <is>
          <t>04/09/2026</t>
        </is>
      </c>
      <c r="B218" s="85" t="inlineStr">
        <is>
          <t>15 - New Equipment (105 Units) - St. Charles - Bldg 10 - 27.5yr</t>
        </is>
      </c>
      <c r="M218" s="86" t="n">
        <v>42800.62</v>
      </c>
      <c r="U218" s="87" t="n">
        <v>42800.62</v>
      </c>
    </row>
    <row r="219" ht="15" customHeight="1" s="80">
      <c r="A219" s="85" t="inlineStr">
        <is>
          <t>04/09/2026</t>
        </is>
      </c>
      <c r="B219" s="85" t="inlineStr">
        <is>
          <t>15 - New Equipment (105 Units) - St. Charles - Bldg 11 - 15yr</t>
        </is>
      </c>
      <c r="N219" s="86" t="n">
        <v>13321.94</v>
      </c>
      <c r="U219" s="87" t="n">
        <v>13321.94</v>
      </c>
    </row>
    <row r="220" ht="15" customHeight="1" s="80">
      <c r="A220" s="85" t="inlineStr">
        <is>
          <t>04/09/2026</t>
        </is>
      </c>
      <c r="B220" s="85" t="inlineStr">
        <is>
          <t>15 - New Equipment (105 Units) - St. Charles - Bldg 11 - 27.5yr</t>
        </is>
      </c>
      <c r="N220" s="86" t="n">
        <v>37430.84</v>
      </c>
      <c r="U220" s="87" t="n">
        <v>37430.84</v>
      </c>
    </row>
    <row r="221" ht="15" customHeight="1" s="80">
      <c r="A221" s="85" t="inlineStr">
        <is>
          <t>04/09/2026</t>
        </is>
      </c>
      <c r="B221" s="85" t="inlineStr">
        <is>
          <t>15 - New Equipment (105 Units) - St. Charles - Bldg 12 - 15yr</t>
        </is>
      </c>
      <c r="O221" s="86" t="n">
        <v>14236.95</v>
      </c>
      <c r="U221" s="87" t="n">
        <v>14236.95</v>
      </c>
    </row>
    <row r="222" ht="15" customHeight="1" s="80">
      <c r="A222" s="85" t="inlineStr">
        <is>
          <t>04/09/2026</t>
        </is>
      </c>
      <c r="B222" s="85" t="inlineStr">
        <is>
          <t>15 - New Equipment (105 Units) - St. Charles - Bldg 12 - 27.5yr</t>
        </is>
      </c>
      <c r="O222" s="86" t="n">
        <v>42834.29</v>
      </c>
      <c r="U222" s="87" t="n">
        <v>42834.29</v>
      </c>
    </row>
    <row r="223" ht="15" customHeight="1" s="80">
      <c r="A223" s="85" t="inlineStr">
        <is>
          <t>04/09/2026</t>
        </is>
      </c>
      <c r="B223" s="85" t="inlineStr">
        <is>
          <t>15 - New Equipment (105 Units) - St. Charles - Bldg 13 - 15yr</t>
        </is>
      </c>
      <c r="P223" s="86" t="n">
        <v>13321.94</v>
      </c>
      <c r="U223" s="87" t="n">
        <v>13321.94</v>
      </c>
    </row>
    <row r="224" ht="15" customHeight="1" s="80">
      <c r="A224" s="85" t="inlineStr">
        <is>
          <t>04/09/2026</t>
        </is>
      </c>
      <c r="B224" s="85" t="inlineStr">
        <is>
          <t>15 - New Equipment (105 Units) - St. Charles - Bldg 13 - 27.5yr</t>
        </is>
      </c>
      <c r="P224" s="86" t="n">
        <v>37430.84</v>
      </c>
      <c r="U224" s="87" t="n">
        <v>37430.84</v>
      </c>
    </row>
    <row r="225" ht="15" customHeight="1" s="80">
      <c r="A225" s="85" t="inlineStr">
        <is>
          <t>04/09/2026</t>
        </is>
      </c>
      <c r="B225" s="85" t="inlineStr">
        <is>
          <t>15 - New Equipment (105 Units) - St. Charles - Bldg 14 - 15yr</t>
        </is>
      </c>
      <c r="Q225" s="86" t="n">
        <v>14236.95</v>
      </c>
      <c r="U225" s="87" t="n">
        <v>14236.95</v>
      </c>
    </row>
    <row r="226" ht="15" customHeight="1" s="80">
      <c r="A226" s="85" t="inlineStr">
        <is>
          <t>04/09/2026</t>
        </is>
      </c>
      <c r="B226" s="85" t="inlineStr">
        <is>
          <t>15 - New Equipment (105 Units) - St. Charles - Bldg 14 - 27.5yr</t>
        </is>
      </c>
      <c r="Q226" s="86" t="n">
        <v>42800.62</v>
      </c>
      <c r="U226" s="87" t="n">
        <v>42800.62</v>
      </c>
    </row>
    <row r="227" ht="15" customHeight="1" s="80">
      <c r="A227" s="85" t="inlineStr">
        <is>
          <t>04/09/2026</t>
        </is>
      </c>
      <c r="B227" s="85" t="inlineStr">
        <is>
          <t>15 - New Equipment (105 Units) - St. Charles - Bldg 15 - 15yr</t>
        </is>
      </c>
      <c r="R227" s="86" t="n">
        <v>13321.94</v>
      </c>
      <c r="U227" s="87" t="n">
        <v>13321.94</v>
      </c>
    </row>
    <row r="228" ht="15" customHeight="1" s="80">
      <c r="A228" s="85" t="inlineStr">
        <is>
          <t>04/09/2026</t>
        </is>
      </c>
      <c r="B228" s="85" t="inlineStr">
        <is>
          <t>15 - New Equipment (105 Units) - St. Charles - Bldg 15 - 27.5yr</t>
        </is>
      </c>
      <c r="R228" s="86" t="n">
        <v>37163.11</v>
      </c>
      <c r="U228" s="87" t="n">
        <v>37163.11</v>
      </c>
    </row>
    <row r="229" ht="15" customHeight="1" s="80">
      <c r="A229" s="85" t="inlineStr">
        <is>
          <t>04/09/2026</t>
        </is>
      </c>
      <c r="B229" s="85" t="inlineStr">
        <is>
          <t>15 - New Equipment (105 Units) - St. Charles - Bldg 16 - 15yr</t>
        </is>
      </c>
      <c r="S229" s="86" t="n">
        <v>13321.94</v>
      </c>
      <c r="U229" s="87" t="n">
        <v>13321.94</v>
      </c>
    </row>
    <row r="230" ht="15" customHeight="1" s="80">
      <c r="A230" s="85" t="inlineStr">
        <is>
          <t>04/09/2026</t>
        </is>
      </c>
      <c r="B230" s="85" t="inlineStr">
        <is>
          <t>15 - New Equipment (105 Units) - St. Charles - Bldg 16 - 27.5yr</t>
        </is>
      </c>
      <c r="S230" s="86" t="n">
        <v>37430.84</v>
      </c>
      <c r="U230" s="87" t="n">
        <v>37430.84</v>
      </c>
    </row>
    <row r="231" ht="15" customHeight="1" s="80">
      <c r="A231" s="85" t="inlineStr">
        <is>
          <t>04/09/2026</t>
        </is>
      </c>
      <c r="B231" s="85" t="inlineStr">
        <is>
          <t>15 - New Equipment (105 Units) - St. Charles - Office - 15yr</t>
        </is>
      </c>
      <c r="T231" s="86" t="n">
        <v>1561.69</v>
      </c>
      <c r="U231" s="87" t="n">
        <v>1561.69</v>
      </c>
    </row>
    <row r="232" ht="15" customHeight="1" s="80">
      <c r="A232" s="85" t="inlineStr">
        <is>
          <t>04/09/2026</t>
        </is>
      </c>
      <c r="B232" s="85" t="inlineStr">
        <is>
          <t>15 - New Equipment (105 Units) - St. Charles - Office - 27.5yr</t>
        </is>
      </c>
      <c r="T232" s="86" t="n">
        <v>15537.22</v>
      </c>
      <c r="U232" s="87" t="n">
        <v>15537.22</v>
      </c>
    </row>
    <row r="233" ht="15" customHeight="1" s="80">
      <c r="A233" s="85" t="inlineStr">
        <is>
          <t>04/09/2026</t>
        </is>
      </c>
      <c r="B233" s="85" t="inlineStr">
        <is>
          <t>111 - Building Imp (Post Casualty Loss) - St. Charles - Site - 15yr</t>
        </is>
      </c>
      <c r="C233" s="86" t="n">
        <v>1635.93</v>
      </c>
      <c r="U233" s="87" t="n">
        <v>1635.93</v>
      </c>
    </row>
    <row r="234" ht="15" customHeight="1" s="80">
      <c r="A234" s="85" t="inlineStr">
        <is>
          <t>04/09/2026</t>
        </is>
      </c>
      <c r="B234" s="85" t="inlineStr">
        <is>
          <t>111 - Building Imp (Post Casualty Loss) - St. Charles - Site - 27.5yr</t>
        </is>
      </c>
      <c r="C234" s="86" t="n">
        <v>1281.76</v>
      </c>
      <c r="U234" s="87" t="n">
        <v>1281.76</v>
      </c>
    </row>
    <row r="235" ht="15" customHeight="1" s="80">
      <c r="A235" s="85" t="inlineStr">
        <is>
          <t>04/09/2026</t>
        </is>
      </c>
      <c r="B235" s="85" t="inlineStr">
        <is>
          <t>111 - Building Imp (Post Casualty Loss) - St. Charles - Bldg 1 - 15yr</t>
        </is>
      </c>
      <c r="D235" s="86" t="n">
        <v>423.87</v>
      </c>
      <c r="U235" s="87" t="n">
        <v>423.87</v>
      </c>
    </row>
    <row r="236" ht="15" customHeight="1" s="80">
      <c r="A236" s="85" t="inlineStr">
        <is>
          <t>04/09/2026</t>
        </is>
      </c>
      <c r="B236" s="85" t="inlineStr">
        <is>
          <t>111 - Building Imp (Post Casualty Loss) - St. Charles - Bldg 1 - 27.5yr</t>
        </is>
      </c>
      <c r="D236" s="86" t="n">
        <v>1191.1</v>
      </c>
      <c r="U236" s="87" t="n">
        <v>1191.1</v>
      </c>
    </row>
    <row r="237" ht="15" customHeight="1" s="80">
      <c r="A237" s="85" t="inlineStr">
        <is>
          <t>04/09/2026</t>
        </is>
      </c>
      <c r="B237" s="85" t="inlineStr">
        <is>
          <t>111 - Building Imp (Post Casualty Loss) - St. Charles - Bldg 2 - 15yr</t>
        </is>
      </c>
      <c r="E237" s="86" t="n">
        <v>424.25</v>
      </c>
      <c r="U237" s="87" t="n">
        <v>424.25</v>
      </c>
    </row>
    <row r="238" ht="15" customHeight="1" s="80">
      <c r="A238" s="85" t="inlineStr">
        <is>
          <t>04/09/2026</t>
        </is>
      </c>
      <c r="B238" s="85" t="inlineStr">
        <is>
          <t>111 - Building Imp (Post Casualty Loss) - St. Charles - Bldg 2 - 27.5yr</t>
        </is>
      </c>
      <c r="E238" s="86" t="n">
        <v>1191.1</v>
      </c>
      <c r="U238" s="87" t="n">
        <v>1191.1</v>
      </c>
    </row>
    <row r="239" ht="15" customHeight="1" s="80">
      <c r="A239" s="85" t="inlineStr">
        <is>
          <t>04/09/2026</t>
        </is>
      </c>
      <c r="B239" s="85" t="inlineStr">
        <is>
          <t>111 - Building Imp (Post Casualty Loss) - St. Charles - Bldg 3 - 15yr</t>
        </is>
      </c>
      <c r="F239" s="86" t="n">
        <v>424.31</v>
      </c>
      <c r="U239" s="87" t="n">
        <v>424.31</v>
      </c>
    </row>
    <row r="240" ht="15" customHeight="1" s="80">
      <c r="A240" s="85" t="inlineStr">
        <is>
          <t>04/09/2026</t>
        </is>
      </c>
      <c r="B240" s="85" t="inlineStr">
        <is>
          <t>111 - Building Imp (Post Casualty Loss) - St. Charles - Bldg 3 - 27.5yr</t>
        </is>
      </c>
      <c r="F240" s="86" t="n">
        <v>1191.1</v>
      </c>
      <c r="U240" s="87" t="n">
        <v>1191.1</v>
      </c>
    </row>
    <row r="241" ht="15" customHeight="1" s="80">
      <c r="A241" s="85" t="inlineStr">
        <is>
          <t>04/09/2026</t>
        </is>
      </c>
      <c r="B241" s="85" t="inlineStr">
        <is>
          <t>111 - Building Imp (Post Casualty Loss) - St. Charles - Bldg 4 - 15yr</t>
        </is>
      </c>
      <c r="G241" s="86" t="n">
        <v>424.3</v>
      </c>
      <c r="U241" s="87" t="n">
        <v>424.3</v>
      </c>
    </row>
    <row r="242" ht="15" customHeight="1" s="80">
      <c r="A242" s="85" t="inlineStr">
        <is>
          <t>04/09/2026</t>
        </is>
      </c>
      <c r="B242" s="85" t="inlineStr">
        <is>
          <t>111 - Building Imp (Post Casualty Loss) - St. Charles - Bldg 4 - 27.5yr</t>
        </is>
      </c>
      <c r="G242" s="86" t="n">
        <v>1183.65</v>
      </c>
      <c r="U242" s="87" t="n">
        <v>1183.65</v>
      </c>
    </row>
    <row r="243" ht="15" customHeight="1" s="80">
      <c r="A243" s="85" t="inlineStr">
        <is>
          <t>04/09/2026</t>
        </is>
      </c>
      <c r="B243" s="85" t="inlineStr">
        <is>
          <t>111 - Building Imp (Post Casualty Loss) - St. Charles - Bldg 5 - 15yr</t>
        </is>
      </c>
      <c r="H243" s="86" t="n">
        <v>453.45</v>
      </c>
      <c r="U243" s="87" t="n">
        <v>453.45</v>
      </c>
    </row>
    <row r="244" ht="15" customHeight="1" s="80">
      <c r="A244" s="85" t="inlineStr">
        <is>
          <t>04/09/2026</t>
        </is>
      </c>
      <c r="B244" s="85" t="inlineStr">
        <is>
          <t>111 - Building Imp (Post Casualty Loss) - St. Charles - Bldg 5 - 27.5yr</t>
        </is>
      </c>
      <c r="H244" s="86" t="n">
        <v>1355.74</v>
      </c>
      <c r="U244" s="87" t="n">
        <v>1355.74</v>
      </c>
    </row>
    <row r="245" ht="15" customHeight="1" s="80">
      <c r="A245" s="85" t="inlineStr">
        <is>
          <t>04/09/2026</t>
        </is>
      </c>
      <c r="B245" s="85" t="inlineStr">
        <is>
          <t>111 - Building Imp (Post Casualty Loss) - St. Charles - Bldg 6 - 15yr</t>
        </is>
      </c>
      <c r="I245" s="86" t="n">
        <v>424.3</v>
      </c>
      <c r="U245" s="87" t="n">
        <v>424.3</v>
      </c>
    </row>
    <row r="246" ht="15" customHeight="1" s="80">
      <c r="A246" s="85" t="inlineStr">
        <is>
          <t>04/09/2026</t>
        </is>
      </c>
      <c r="B246" s="85" t="inlineStr">
        <is>
          <t>111 - Building Imp (Post Casualty Loss) - St. Charles - Bldg 6 - 27.5yr</t>
        </is>
      </c>
      <c r="I246" s="86" t="n">
        <v>1192.18</v>
      </c>
      <c r="U246" s="87" t="n">
        <v>1192.18</v>
      </c>
    </row>
    <row r="247" ht="15" customHeight="1" s="80">
      <c r="A247" s="85" t="inlineStr">
        <is>
          <t>04/09/2026</t>
        </is>
      </c>
      <c r="B247" s="85" t="inlineStr">
        <is>
          <t>111 - Building Imp (Post Casualty Loss) - St. Charles - Bldg 7 - 15yr</t>
        </is>
      </c>
      <c r="J247" s="86" t="n">
        <v>453.45</v>
      </c>
      <c r="U247" s="87" t="n">
        <v>453.45</v>
      </c>
    </row>
    <row r="248" ht="15" customHeight="1" s="80">
      <c r="A248" s="85" t="inlineStr">
        <is>
          <t>04/09/2026</t>
        </is>
      </c>
      <c r="B248" s="85" t="inlineStr">
        <is>
          <t>111 - Building Imp (Post Casualty Loss) - St. Charles - Bldg 7 - 27.5yr</t>
        </is>
      </c>
      <c r="J248" s="86" t="n">
        <v>1364.27</v>
      </c>
      <c r="U248" s="87" t="n">
        <v>1364.27</v>
      </c>
    </row>
    <row r="249" ht="15" customHeight="1" s="80">
      <c r="A249" s="85" t="inlineStr">
        <is>
          <t>04/09/2026</t>
        </is>
      </c>
      <c r="B249" s="85" t="inlineStr">
        <is>
          <t>111 - Building Imp (Post Casualty Loss) - St. Charles - Bldg 8 - 15yr</t>
        </is>
      </c>
      <c r="K249" s="86" t="n">
        <v>424.3</v>
      </c>
      <c r="U249" s="87" t="n">
        <v>424.3</v>
      </c>
    </row>
    <row r="250" ht="15" customHeight="1" s="80">
      <c r="A250" s="85" t="inlineStr">
        <is>
          <t>04/09/2026</t>
        </is>
      </c>
      <c r="B250" s="85" t="inlineStr">
        <is>
          <t>111 - Building Imp (Post Casualty Loss) - St. Charles - Bldg 8 - 27.5yr</t>
        </is>
      </c>
      <c r="K250" s="86" t="n">
        <v>1192.18</v>
      </c>
      <c r="U250" s="87" t="n">
        <v>1192.18</v>
      </c>
    </row>
    <row r="251" ht="15" customHeight="1" s="80">
      <c r="A251" s="85" t="inlineStr">
        <is>
          <t>04/09/2026</t>
        </is>
      </c>
      <c r="B251" s="85" t="inlineStr">
        <is>
          <t>111 - Building Imp (Post Casualty Loss) - St. Charles - Bldg 9 - 15yr</t>
        </is>
      </c>
      <c r="L251" s="86" t="n">
        <v>206.12</v>
      </c>
      <c r="U251" s="87" t="n">
        <v>206.12</v>
      </c>
    </row>
    <row r="252" ht="15" customHeight="1" s="80">
      <c r="A252" s="85" t="inlineStr">
        <is>
          <t>04/09/2026</t>
        </is>
      </c>
      <c r="B252" s="85" t="inlineStr">
        <is>
          <t>111 - Building Imp (Post Casualty Loss) - St. Charles - Bldg 9 - 27.5yr</t>
        </is>
      </c>
      <c r="L252" s="86" t="n">
        <v>513.63</v>
      </c>
      <c r="U252" s="87" t="n">
        <v>513.63</v>
      </c>
    </row>
    <row r="253" ht="15" customHeight="1" s="80">
      <c r="A253" s="85" t="inlineStr">
        <is>
          <t>04/09/2026</t>
        </is>
      </c>
      <c r="B253" s="85" t="inlineStr">
        <is>
          <t>111 - Building Imp (Post Casualty Loss) - St. Charles - Bldg 10 - 15yr</t>
        </is>
      </c>
      <c r="M253" s="86" t="n">
        <v>453.45</v>
      </c>
      <c r="U253" s="87" t="n">
        <v>453.45</v>
      </c>
    </row>
    <row r="254" ht="15" customHeight="1" s="80">
      <c r="A254" s="85" t="inlineStr">
        <is>
          <t>04/09/2026</t>
        </is>
      </c>
      <c r="B254" s="85" t="inlineStr">
        <is>
          <t>111 - Building Imp (Post Casualty Loss) - St. Charles - Bldg 10 - 27.5yr</t>
        </is>
      </c>
      <c r="M254" s="86" t="n">
        <v>1363.2</v>
      </c>
      <c r="U254" s="87" t="n">
        <v>1363.2</v>
      </c>
    </row>
    <row r="255" ht="15" customHeight="1" s="80">
      <c r="A255" s="85" t="inlineStr">
        <is>
          <t>04/09/2026</t>
        </is>
      </c>
      <c r="B255" s="85" t="inlineStr">
        <is>
          <t>111 - Building Imp (Post Casualty Loss) - St. Charles - Bldg 11 - 15yr</t>
        </is>
      </c>
      <c r="N255" s="86" t="n">
        <v>424.3</v>
      </c>
      <c r="U255" s="87" t="n">
        <v>424.3</v>
      </c>
    </row>
    <row r="256" ht="15" customHeight="1" s="80">
      <c r="A256" s="85" t="inlineStr">
        <is>
          <t>04/09/2026</t>
        </is>
      </c>
      <c r="B256" s="85" t="inlineStr">
        <is>
          <t>111 - Building Imp (Post Casualty Loss) - St. Charles - Bldg 11 - 27.5yr</t>
        </is>
      </c>
      <c r="N256" s="86" t="n">
        <v>1192.18</v>
      </c>
      <c r="U256" s="87" t="n">
        <v>1192.18</v>
      </c>
    </row>
    <row r="257" ht="15" customHeight="1" s="80">
      <c r="A257" s="85" t="inlineStr">
        <is>
          <t>04/09/2026</t>
        </is>
      </c>
      <c r="B257" s="85" t="inlineStr">
        <is>
          <t>111 - Building Imp (Post Casualty Loss) - St. Charles - Bldg 12 - 15yr</t>
        </is>
      </c>
      <c r="O257" s="86" t="n">
        <v>453.45</v>
      </c>
      <c r="U257" s="87" t="n">
        <v>453.45</v>
      </c>
    </row>
    <row r="258" ht="15" customHeight="1" s="80">
      <c r="A258" s="85" t="inlineStr">
        <is>
          <t>04/09/2026</t>
        </is>
      </c>
      <c r="B258" s="85" t="inlineStr">
        <is>
          <t>111 - Building Imp (Post Casualty Loss) - St. Charles - Bldg 12 - 27.5yr</t>
        </is>
      </c>
      <c r="O258" s="86" t="n">
        <v>1364.27</v>
      </c>
      <c r="U258" s="87" t="n">
        <v>1364.27</v>
      </c>
    </row>
    <row r="259" ht="15" customHeight="1" s="80">
      <c r="A259" s="85" t="inlineStr">
        <is>
          <t>04/09/2026</t>
        </is>
      </c>
      <c r="B259" s="85" t="inlineStr">
        <is>
          <t>111 - Building Imp (Post Casualty Loss) - St. Charles - Bldg 13 - 15yr</t>
        </is>
      </c>
      <c r="P259" s="86" t="n">
        <v>424.3</v>
      </c>
      <c r="U259" s="87" t="n">
        <v>424.3</v>
      </c>
    </row>
    <row r="260" ht="15" customHeight="1" s="80">
      <c r="A260" s="85" t="inlineStr">
        <is>
          <t>04/09/2026</t>
        </is>
      </c>
      <c r="B260" s="85" t="inlineStr">
        <is>
          <t>111 - Building Imp (Post Casualty Loss) - St. Charles - Bldg 13 - 27.5yr</t>
        </is>
      </c>
      <c r="P260" s="86" t="n">
        <v>1192.18</v>
      </c>
      <c r="U260" s="87" t="n">
        <v>1192.18</v>
      </c>
    </row>
    <row r="261" ht="15" customHeight="1" s="80">
      <c r="A261" s="85" t="inlineStr">
        <is>
          <t>04/09/2026</t>
        </is>
      </c>
      <c r="B261" s="85" t="inlineStr">
        <is>
          <t>111 - Building Imp (Post Casualty Loss) - St. Charles - Bldg 14 - 15yr</t>
        </is>
      </c>
      <c r="Q261" s="86" t="n">
        <v>453.45</v>
      </c>
      <c r="U261" s="87" t="n">
        <v>453.45</v>
      </c>
    </row>
    <row r="262" ht="15" customHeight="1" s="80">
      <c r="A262" s="85" t="inlineStr">
        <is>
          <t>04/09/2026</t>
        </is>
      </c>
      <c r="B262" s="85" t="inlineStr">
        <is>
          <t>111 - Building Imp (Post Casualty Loss) - St. Charles - Bldg 14 - 27.5yr</t>
        </is>
      </c>
      <c r="Q262" s="86" t="n">
        <v>1363.2</v>
      </c>
      <c r="U262" s="87" t="n">
        <v>1363.2</v>
      </c>
    </row>
    <row r="263" ht="15" customHeight="1" s="80">
      <c r="A263" s="85" t="inlineStr">
        <is>
          <t>04/09/2026</t>
        </is>
      </c>
      <c r="B263" s="85" t="inlineStr">
        <is>
          <t>111 - Building Imp (Post Casualty Loss) - St. Charles - Bldg 15 - 15yr</t>
        </is>
      </c>
      <c r="R263" s="86" t="n">
        <v>424.3</v>
      </c>
      <c r="U263" s="87" t="n">
        <v>424.3</v>
      </c>
    </row>
    <row r="264" ht="15" customHeight="1" s="80">
      <c r="A264" s="85" t="inlineStr">
        <is>
          <t>04/09/2026</t>
        </is>
      </c>
      <c r="B264" s="85" t="inlineStr">
        <is>
          <t>111 - Building Imp (Post Casualty Loss) - St. Charles - Bldg 15 - 27.5yr</t>
        </is>
      </c>
      <c r="R264" s="86" t="n">
        <v>1183.65</v>
      </c>
      <c r="U264" s="87" t="n">
        <v>1183.65</v>
      </c>
    </row>
    <row r="265" ht="15" customHeight="1" s="80">
      <c r="A265" s="85" t="inlineStr">
        <is>
          <t>04/09/2026</t>
        </is>
      </c>
      <c r="B265" s="85" t="inlineStr">
        <is>
          <t>111 - Building Imp (Post Casualty Loss) - St. Charles - Bldg 16 - 15yr</t>
        </is>
      </c>
      <c r="S265" s="86" t="n">
        <v>424.3</v>
      </c>
      <c r="U265" s="87" t="n">
        <v>424.3</v>
      </c>
    </row>
    <row r="266" ht="15" customHeight="1" s="80">
      <c r="A266" s="85" t="inlineStr">
        <is>
          <t>04/09/2026</t>
        </is>
      </c>
      <c r="B266" s="85" t="inlineStr">
        <is>
          <t>111 - Building Imp (Post Casualty Loss) - St. Charles - Bldg 16 - 27.5yr</t>
        </is>
      </c>
      <c r="S266" s="86" t="n">
        <v>1192.18</v>
      </c>
      <c r="U266" s="87" t="n">
        <v>1192.18</v>
      </c>
    </row>
    <row r="267" ht="15" customHeight="1" s="80">
      <c r="A267" s="85" t="inlineStr">
        <is>
          <t>04/09/2026</t>
        </is>
      </c>
      <c r="B267" s="85" t="inlineStr">
        <is>
          <t>111 - Building Imp (Post Casualty Loss) - St. Charles - Office - 15yr</t>
        </is>
      </c>
      <c r="T267" s="86" t="n">
        <v>49.74</v>
      </c>
      <c r="U267" s="87" t="n">
        <v>49.74</v>
      </c>
    </row>
    <row r="268" ht="15" customHeight="1" s="80">
      <c r="A268" s="85" t="inlineStr">
        <is>
          <t>04/09/2026</t>
        </is>
      </c>
      <c r="B268" s="85" t="inlineStr">
        <is>
          <t>111 - Building Imp (Post Casualty Loss) - St. Charles - Office - 27.5yr</t>
        </is>
      </c>
      <c r="T268" s="86" t="n">
        <v>494.86</v>
      </c>
      <c r="U268" s="87" t="n">
        <v>494.86</v>
      </c>
    </row>
    <row r="270">
      <c r="C270" s="88" t="n">
        <v>719744.4</v>
      </c>
      <c r="D270" s="88" t="n">
        <v>398386.46</v>
      </c>
      <c r="E270" s="88" t="n">
        <v>398480.3</v>
      </c>
      <c r="F270" s="88" t="n">
        <v>398493.7</v>
      </c>
      <c r="G270" s="88" t="n">
        <v>396654.71</v>
      </c>
      <c r="H270" s="88" t="n">
        <v>446298.06</v>
      </c>
      <c r="I270" s="88" t="n">
        <v>398758.21</v>
      </c>
      <c r="J270" s="88" t="n">
        <v>448401.53</v>
      </c>
      <c r="K270" s="88" t="n">
        <v>398758.21</v>
      </c>
      <c r="L270" s="88" t="n">
        <v>177549.53</v>
      </c>
      <c r="M270" s="88" t="n">
        <v>448137.03</v>
      </c>
      <c r="N270" s="88" t="n">
        <v>398758.21</v>
      </c>
      <c r="O270" s="88" t="n">
        <v>448401.53</v>
      </c>
      <c r="P270" s="88" t="n">
        <v>398758.21</v>
      </c>
      <c r="Q270" s="88" t="n">
        <v>448137.03</v>
      </c>
      <c r="R270" s="88" t="n">
        <v>396654.71</v>
      </c>
      <c r="S270" s="88" t="n">
        <v>398758.21</v>
      </c>
      <c r="T270" s="88" t="n">
        <v>134343.96</v>
      </c>
      <c r="U270" s="88" t="n">
        <v>7253474</v>
      </c>
    </row>
    <row r="273">
      <c r="C273" s="89" t="inlineStr">
        <is>
          <t>end deprec</t>
        </is>
      </c>
    </row>
    <row r="274">
      <c r="B274" s="120" t="inlineStr">
        <is>
          <t>NOTE: ADS Election (IRC §163(j)) applies. Accelerated depreciation is limited. No Form 3115 filed for this property.</t>
        </is>
      </c>
    </row>
    <row r="275" ht="15" customHeight="1" s="80">
      <c r="A275" s="85" t="inlineStr">
        <is>
          <t>04/09/2026</t>
        </is>
      </c>
      <c r="B275" s="85" t="inlineStr">
        <is>
          <t>2 - Land Improvements - St. Charles</t>
        </is>
      </c>
      <c r="C275" s="86" t="n">
        <v>15876.41</v>
      </c>
      <c r="D275" s="86" t="n">
        <v>8787.77</v>
      </c>
      <c r="E275" s="86" t="n">
        <v>8789.84</v>
      </c>
      <c r="F275" s="86" t="n">
        <v>8790.129999999999</v>
      </c>
      <c r="G275" s="86" t="n">
        <v>8749.57</v>
      </c>
      <c r="H275" s="86" t="n">
        <v>9844.620000000001</v>
      </c>
      <c r="I275" s="86" t="n">
        <v>8795.969999999999</v>
      </c>
      <c r="J275" s="86" t="n">
        <v>9891.01</v>
      </c>
      <c r="K275" s="86" t="n">
        <v>8795.969999999999</v>
      </c>
      <c r="L275" s="86" t="n">
        <v>3916.46</v>
      </c>
      <c r="M275" s="86" t="n">
        <v>9885.18</v>
      </c>
      <c r="N275" s="86" t="n">
        <v>8795.969999999999</v>
      </c>
      <c r="O275" s="86" t="n">
        <v>9891.01</v>
      </c>
      <c r="P275" s="86" t="n">
        <v>8795.969999999999</v>
      </c>
      <c r="Q275" s="86" t="n">
        <v>9885.18</v>
      </c>
      <c r="R275" s="86" t="n">
        <v>8749.57</v>
      </c>
      <c r="S275" s="86" t="n">
        <v>8795.969999999999</v>
      </c>
      <c r="T275" s="86" t="n">
        <v>2963.4</v>
      </c>
      <c r="U275" s="87" t="n">
        <v>160000</v>
      </c>
    </row>
    <row r="276" ht="15" customHeight="1" s="80">
      <c r="A276" s="85" t="inlineStr">
        <is>
          <t>04/09/2026</t>
        </is>
      </c>
      <c r="B276" s="85" t="inlineStr">
        <is>
          <t>10 - Building (Post Casualty Loss) - St. Charles</t>
        </is>
      </c>
      <c r="C276" s="86" t="n">
        <v>116091.65</v>
      </c>
      <c r="D276" s="86" t="n">
        <v>64257.99</v>
      </c>
      <c r="E276" s="86" t="n">
        <v>64273.15</v>
      </c>
      <c r="F276" s="86" t="n">
        <v>64275.31</v>
      </c>
      <c r="G276" s="86" t="n">
        <v>63978.69</v>
      </c>
      <c r="H276" s="86" t="n">
        <v>71985.95</v>
      </c>
      <c r="I276" s="86" t="n">
        <v>64317.98</v>
      </c>
      <c r="J276" s="86" t="n">
        <v>72325.23</v>
      </c>
      <c r="K276" s="86" t="n">
        <v>64317.98</v>
      </c>
      <c r="L276" s="86" t="n">
        <v>28637.97</v>
      </c>
      <c r="M276" s="86" t="n">
        <v>72282.57000000001</v>
      </c>
      <c r="N276" s="86" t="n">
        <v>64317.98</v>
      </c>
      <c r="O276" s="86" t="n">
        <v>72325.23</v>
      </c>
      <c r="P276" s="86" t="n">
        <v>64317.98</v>
      </c>
      <c r="Q276" s="86" t="n">
        <v>72282.57000000001</v>
      </c>
      <c r="R276" s="86" t="n">
        <v>63978.69</v>
      </c>
      <c r="S276" s="86" t="n">
        <v>64317.98</v>
      </c>
      <c r="T276" s="86" t="n">
        <v>21669.1</v>
      </c>
      <c r="U276" s="87" t="n">
        <v>1169954</v>
      </c>
    </row>
    <row r="277" ht="15" customHeight="1" s="80">
      <c r="A277" s="85" t="inlineStr">
        <is>
          <t>04/09/2026</t>
        </is>
      </c>
      <c r="B277" s="85" t="inlineStr">
        <is>
          <t>12 - New Building (16 Units) - St. Charles</t>
        </is>
      </c>
      <c r="C277" s="86" t="n">
        <v>62263.6</v>
      </c>
      <c r="D277" s="86" t="n">
        <v>34463.6</v>
      </c>
      <c r="E277" s="86" t="n">
        <v>34471.7</v>
      </c>
      <c r="F277" s="86" t="n">
        <v>34472.86</v>
      </c>
      <c r="G277" s="86" t="n">
        <v>34313.78</v>
      </c>
      <c r="H277" s="86" t="n">
        <v>38608.32</v>
      </c>
      <c r="I277" s="86" t="n">
        <v>34495.74</v>
      </c>
      <c r="J277" s="86" t="n">
        <v>38790.29</v>
      </c>
      <c r="K277" s="86" t="n">
        <v>34495.74</v>
      </c>
      <c r="L277" s="86" t="n">
        <v>15359.44</v>
      </c>
      <c r="M277" s="86" t="n">
        <v>38767.41</v>
      </c>
      <c r="N277" s="86" t="n">
        <v>34495.74</v>
      </c>
      <c r="O277" s="86" t="n">
        <v>38790.29</v>
      </c>
      <c r="P277" s="86" t="n">
        <v>34495.74</v>
      </c>
      <c r="Q277" s="86" t="n">
        <v>38767.41</v>
      </c>
      <c r="R277" s="86" t="n">
        <v>34313.78</v>
      </c>
      <c r="S277" s="86" t="n">
        <v>34495.74</v>
      </c>
      <c r="T277" s="86" t="n">
        <v>11621.82</v>
      </c>
      <c r="U277" s="87" t="n">
        <v>627482.9999999999</v>
      </c>
    </row>
    <row r="278" ht="15" customHeight="1" s="80">
      <c r="A278" s="85" t="inlineStr">
        <is>
          <t>04/09/2026</t>
        </is>
      </c>
      <c r="B278" s="85" t="inlineStr">
        <is>
          <t>13 - New Equipment (16 Units) - St. Charles</t>
        </is>
      </c>
      <c r="C278" s="86" t="n">
        <v>13667.6</v>
      </c>
      <c r="D278" s="86" t="n">
        <v>7565.17</v>
      </c>
      <c r="E278" s="86" t="n">
        <v>7566.95</v>
      </c>
      <c r="F278" s="86" t="n">
        <v>7567.2</v>
      </c>
      <c r="G278" s="86" t="n">
        <v>7532.28</v>
      </c>
      <c r="H278" s="86" t="n">
        <v>8474.99</v>
      </c>
      <c r="I278" s="86" t="n">
        <v>7572.23</v>
      </c>
      <c r="J278" s="86" t="n">
        <v>8514.93</v>
      </c>
      <c r="K278" s="86" t="n">
        <v>7572.23</v>
      </c>
      <c r="L278" s="86" t="n">
        <v>3371.57</v>
      </c>
      <c r="M278" s="86" t="n">
        <v>8509.91</v>
      </c>
      <c r="N278" s="86" t="n">
        <v>7572.23</v>
      </c>
      <c r="O278" s="86" t="n">
        <v>8514.93</v>
      </c>
      <c r="P278" s="86" t="n">
        <v>7572.23</v>
      </c>
      <c r="Q278" s="86" t="n">
        <v>8509.91</v>
      </c>
      <c r="R278" s="86" t="n">
        <v>7532.28</v>
      </c>
      <c r="S278" s="86" t="n">
        <v>7572.23</v>
      </c>
      <c r="T278" s="86" t="n">
        <v>2551.13</v>
      </c>
      <c r="U278" s="87" t="n">
        <v>137740</v>
      </c>
    </row>
    <row r="279" ht="15" customHeight="1" s="80">
      <c r="A279" s="85" t="inlineStr">
        <is>
          <t>04/09/2026</t>
        </is>
      </c>
      <c r="B279" s="85" t="inlineStr">
        <is>
          <t>14 - New Buildings (105 Units) - St. Charles</t>
        </is>
      </c>
      <c r="C279" s="86" t="n">
        <v>417320.48</v>
      </c>
      <c r="D279" s="86" t="n">
        <v>230991.49</v>
      </c>
      <c r="E279" s="86" t="n">
        <v>231045.9</v>
      </c>
      <c r="F279" s="86" t="n">
        <v>231053.67</v>
      </c>
      <c r="G279" s="86" t="n">
        <v>229987.39</v>
      </c>
      <c r="H279" s="86" t="n">
        <v>258771.48</v>
      </c>
      <c r="I279" s="86" t="n">
        <v>231207.03</v>
      </c>
      <c r="J279" s="86" t="n">
        <v>259991.11</v>
      </c>
      <c r="K279" s="86" t="n">
        <v>231207.03</v>
      </c>
      <c r="L279" s="86" t="n">
        <v>102946.35</v>
      </c>
      <c r="M279" s="86" t="n">
        <v>259837.74</v>
      </c>
      <c r="N279" s="86" t="n">
        <v>231207.03</v>
      </c>
      <c r="O279" s="86" t="n">
        <v>259991.11</v>
      </c>
      <c r="P279" s="86" t="n">
        <v>231207.03</v>
      </c>
      <c r="Q279" s="86" t="n">
        <v>259837.74</v>
      </c>
      <c r="R279" s="86" t="n">
        <v>229987.39</v>
      </c>
      <c r="S279" s="86" t="n">
        <v>231207.03</v>
      </c>
      <c r="T279" s="86" t="n">
        <v>77895</v>
      </c>
      <c r="U279" s="87" t="n">
        <v>4205691.999999999</v>
      </c>
    </row>
    <row r="280" ht="15" customHeight="1" s="80">
      <c r="A280" s="85" t="inlineStr">
        <is>
          <t>04/09/2026</t>
        </is>
      </c>
      <c r="B280" s="85" t="inlineStr">
        <is>
          <t>15 - New Equipment (105 Units) - St. Charles</t>
        </is>
      </c>
      <c r="C280" s="86" t="n">
        <v>91606.97</v>
      </c>
      <c r="D280" s="86" t="n">
        <v>50705.47</v>
      </c>
      <c r="E280" s="86" t="n">
        <v>50717.41</v>
      </c>
      <c r="F280" s="86" t="n">
        <v>50719.12</v>
      </c>
      <c r="G280" s="86" t="n">
        <v>50485.05</v>
      </c>
      <c r="H280" s="86" t="n">
        <v>56803.51</v>
      </c>
      <c r="I280" s="86" t="n">
        <v>50752.78</v>
      </c>
      <c r="J280" s="86" t="n">
        <v>57071.24</v>
      </c>
      <c r="K280" s="86" t="n">
        <v>50752.78</v>
      </c>
      <c r="L280" s="86" t="n">
        <v>22597.99</v>
      </c>
      <c r="M280" s="86" t="n">
        <v>57037.57</v>
      </c>
      <c r="N280" s="86" t="n">
        <v>50752.78</v>
      </c>
      <c r="O280" s="86" t="n">
        <v>57071.24</v>
      </c>
      <c r="P280" s="86" t="n">
        <v>50752.78</v>
      </c>
      <c r="Q280" s="86" t="n">
        <v>57037.57</v>
      </c>
      <c r="R280" s="86" t="n">
        <v>50485.05</v>
      </c>
      <c r="S280" s="86" t="n">
        <v>50752.78</v>
      </c>
      <c r="T280" s="86" t="n">
        <v>17098.91</v>
      </c>
      <c r="U280" s="87" t="n">
        <v>923201.0000000001</v>
      </c>
    </row>
    <row r="281" ht="15" customHeight="1" s="80">
      <c r="A281" s="85" t="inlineStr">
        <is>
          <t>04/09/2026</t>
        </is>
      </c>
      <c r="B281" s="85" t="inlineStr">
        <is>
          <t>111 - Building Imp (Post Casualty Loss) - St. Charles</t>
        </is>
      </c>
      <c r="C281" s="86" t="n">
        <v>2917.69</v>
      </c>
      <c r="D281" s="86" t="n">
        <v>1614.97</v>
      </c>
      <c r="E281" s="86" t="n">
        <v>1615.35</v>
      </c>
      <c r="F281" s="86" t="n">
        <v>1615.41</v>
      </c>
      <c r="G281" s="86" t="n">
        <v>1607.95</v>
      </c>
      <c r="H281" s="86" t="n">
        <v>1809.19</v>
      </c>
      <c r="I281" s="86" t="n">
        <v>1616.48</v>
      </c>
      <c r="J281" s="86" t="n">
        <v>1817.72</v>
      </c>
      <c r="K281" s="86" t="n">
        <v>1616.48</v>
      </c>
      <c r="L281" s="86" t="n">
        <v>719.75</v>
      </c>
      <c r="M281" s="86" t="n">
        <v>1816.65</v>
      </c>
      <c r="N281" s="86" t="n">
        <v>1616.48</v>
      </c>
      <c r="O281" s="86" t="n">
        <v>1817.72</v>
      </c>
      <c r="P281" s="86" t="n">
        <v>1616.48</v>
      </c>
      <c r="Q281" s="86" t="n">
        <v>1816.65</v>
      </c>
      <c r="R281" s="86" t="n">
        <v>1607.95</v>
      </c>
      <c r="S281" s="86" t="n">
        <v>1616.48</v>
      </c>
      <c r="T281" s="86" t="n">
        <v>544.6</v>
      </c>
      <c r="U281" s="87" t="n">
        <v>29404</v>
      </c>
    </row>
    <row r="283">
      <c r="C283" s="88" t="n">
        <v>0</v>
      </c>
      <c r="D283" s="88" t="n">
        <v>0</v>
      </c>
      <c r="E283" s="88" t="n">
        <v>0</v>
      </c>
      <c r="F283" s="88" t="n">
        <v>0</v>
      </c>
      <c r="G283" s="88" t="n">
        <v>0</v>
      </c>
      <c r="H283" s="88" t="n">
        <v>0</v>
      </c>
      <c r="I283" s="88" t="n">
        <v>0</v>
      </c>
      <c r="J283" s="88" t="n">
        <v>0</v>
      </c>
      <c r="K283" s="88" t="n">
        <v>0</v>
      </c>
      <c r="L283" s="88" t="n">
        <v>0</v>
      </c>
      <c r="M283" s="88" t="n">
        <v>0</v>
      </c>
      <c r="N283" s="88" t="n">
        <v>0</v>
      </c>
      <c r="O283" s="88" t="n">
        <v>0</v>
      </c>
      <c r="P283" s="88" t="n">
        <v>0</v>
      </c>
      <c r="Q283" s="88" t="n">
        <v>0</v>
      </c>
      <c r="R283" s="88" t="n">
        <v>0</v>
      </c>
      <c r="S283" s="88" t="n">
        <v>0</v>
      </c>
      <c r="T283" s="88" t="n">
        <v>0</v>
      </c>
      <c r="U283" s="88" t="n">
        <v>0</v>
      </c>
    </row>
    <row r="285" ht="15" customHeight="1" s="80">
      <c r="A285" s="85" t="inlineStr">
        <is>
          <t>04/09/2026</t>
        </is>
      </c>
      <c r="B285" s="85" t="inlineStr">
        <is>
          <t>2 - Land Improvements - St. Charles - Site -</t>
        </is>
      </c>
      <c r="C285" s="86" t="n">
        <v>8901.790000000001</v>
      </c>
      <c r="U285" s="87" t="n">
        <v>8901.790000000001</v>
      </c>
    </row>
    <row r="286" ht="15" customHeight="1" s="80">
      <c r="A286" s="85" t="inlineStr">
        <is>
          <t>04/09/2026</t>
        </is>
      </c>
      <c r="B286" s="85" t="inlineStr">
        <is>
          <t>2 - Land Improvements - St. Charles - Site -</t>
        </is>
      </c>
      <c r="C286" s="86" t="n">
        <v>6974.62</v>
      </c>
      <c r="U286" s="87" t="n">
        <v>6974.62</v>
      </c>
    </row>
    <row r="287" ht="15" customHeight="1" s="80">
      <c r="A287" s="85" t="inlineStr">
        <is>
          <t>04/09/2026</t>
        </is>
      </c>
      <c r="B287" s="85" t="inlineStr">
        <is>
          <t>2 - Land Improvements - St. Charles - Bldg 1 -</t>
        </is>
      </c>
      <c r="D287" s="86" t="n">
        <v>2306.46</v>
      </c>
      <c r="U287" s="87" t="n">
        <v>2306.46</v>
      </c>
    </row>
    <row r="288" ht="15" customHeight="1" s="80">
      <c r="A288" s="85" t="inlineStr">
        <is>
          <t>04/09/2026</t>
        </is>
      </c>
      <c r="B288" s="85" t="inlineStr">
        <is>
          <t>2 - Land Improvements - St. Charles - Bldg 1 -</t>
        </is>
      </c>
      <c r="D288" s="86" t="n">
        <v>6481.31</v>
      </c>
      <c r="U288" s="87" t="n">
        <v>6481.31</v>
      </c>
    </row>
    <row r="289" ht="15" customHeight="1" s="80">
      <c r="A289" s="85" t="inlineStr">
        <is>
          <t>04/09/2026</t>
        </is>
      </c>
      <c r="B289" s="85" t="inlineStr">
        <is>
          <t>2 - Land Improvements - St. Charles - Bldg 2 -</t>
        </is>
      </c>
      <c r="E289" s="86" t="n">
        <v>2308.53</v>
      </c>
      <c r="U289" s="87" t="n">
        <v>2308.53</v>
      </c>
    </row>
    <row r="290" ht="15" customHeight="1" s="80">
      <c r="A290" s="85" t="inlineStr">
        <is>
          <t>04/09/2026</t>
        </is>
      </c>
      <c r="B290" s="85" t="inlineStr">
        <is>
          <t>2 - Land Improvements - St. Charles - Bldg 2 -</t>
        </is>
      </c>
      <c r="E290" s="86" t="n">
        <v>6481.31</v>
      </c>
      <c r="U290" s="87" t="n">
        <v>6481.31</v>
      </c>
    </row>
    <row r="291" ht="15" customHeight="1" s="80">
      <c r="A291" s="85" t="inlineStr">
        <is>
          <t>04/09/2026</t>
        </is>
      </c>
      <c r="B291" s="85" t="inlineStr">
        <is>
          <t>2 - Land Improvements - St. Charles - Bldg 3 -</t>
        </is>
      </c>
      <c r="F291" s="86" t="n">
        <v>2308.82</v>
      </c>
      <c r="U291" s="87" t="n">
        <v>2308.82</v>
      </c>
    </row>
    <row r="292" ht="15" customHeight="1" s="80">
      <c r="A292" s="85" t="inlineStr">
        <is>
          <t>04/09/2026</t>
        </is>
      </c>
      <c r="B292" s="85" t="inlineStr">
        <is>
          <t>2 - Land Improvements - St. Charles - Bldg 3 -</t>
        </is>
      </c>
      <c r="F292" s="86" t="n">
        <v>6481.31</v>
      </c>
      <c r="U292" s="87" t="n">
        <v>6481.31</v>
      </c>
    </row>
    <row r="293" ht="15" customHeight="1" s="80">
      <c r="A293" s="85" t="inlineStr">
        <is>
          <t>04/09/2026</t>
        </is>
      </c>
      <c r="B293" s="85" t="inlineStr">
        <is>
          <t>2 - Land Improvements - St. Charles - Bldg 4 -</t>
        </is>
      </c>
      <c r="G293" s="86" t="n">
        <v>2308.82</v>
      </c>
      <c r="U293" s="87" t="n">
        <v>2308.82</v>
      </c>
    </row>
    <row r="294" ht="15" customHeight="1" s="80">
      <c r="A294" s="85" t="inlineStr">
        <is>
          <t>04/09/2026</t>
        </is>
      </c>
      <c r="B294" s="85" t="inlineStr">
        <is>
          <t>2 - Land Improvements - St. Charles - Bldg 4 -</t>
        </is>
      </c>
      <c r="G294" s="86" t="n">
        <v>6440.75</v>
      </c>
      <c r="U294" s="87" t="n">
        <v>6440.75</v>
      </c>
    </row>
    <row r="295" ht="15" customHeight="1" s="80">
      <c r="A295" s="85" t="inlineStr">
        <is>
          <t>04/09/2026</t>
        </is>
      </c>
      <c r="B295" s="85" t="inlineStr">
        <is>
          <t>2 - Land Improvements - St. Charles - Bldg 5 -</t>
        </is>
      </c>
      <c r="H295" s="86" t="n">
        <v>2467.41</v>
      </c>
      <c r="U295" s="87" t="n">
        <v>2467.41</v>
      </c>
    </row>
    <row r="296" ht="15" customHeight="1" s="80">
      <c r="A296" s="85" t="inlineStr">
        <is>
          <t>04/09/2026</t>
        </is>
      </c>
      <c r="B296" s="85" t="inlineStr">
        <is>
          <t>2 - Land Improvements - St. Charles - Bldg 5 -</t>
        </is>
      </c>
      <c r="H296" s="86" t="n">
        <v>7377.21</v>
      </c>
      <c r="U296" s="87" t="n">
        <v>7377.21</v>
      </c>
    </row>
    <row r="297" ht="15" customHeight="1" s="80">
      <c r="A297" s="85" t="inlineStr">
        <is>
          <t>04/09/2026</t>
        </is>
      </c>
      <c r="B297" s="85" t="inlineStr">
        <is>
          <t>2 - Land Improvements - St. Charles - Bldg 6 -</t>
        </is>
      </c>
      <c r="I297" s="86" t="n">
        <v>2308.83</v>
      </c>
      <c r="U297" s="87" t="n">
        <v>2308.83</v>
      </c>
    </row>
    <row r="298" ht="15" customHeight="1" s="80">
      <c r="A298" s="85" t="inlineStr">
        <is>
          <t>04/09/2026</t>
        </is>
      </c>
      <c r="B298" s="85" t="inlineStr">
        <is>
          <t>2 - Land Improvements - St. Charles - Bldg 6 -</t>
        </is>
      </c>
      <c r="I298" s="86" t="n">
        <v>6487.14</v>
      </c>
      <c r="U298" s="87" t="n">
        <v>6487.14</v>
      </c>
    </row>
    <row r="299" ht="15" customHeight="1" s="80">
      <c r="A299" s="85" t="inlineStr">
        <is>
          <t>04/09/2026</t>
        </is>
      </c>
      <c r="B299" s="85" t="inlineStr">
        <is>
          <t>2 - Land Improvements - St. Charles - Bldg 7 -</t>
        </is>
      </c>
      <c r="J299" s="86" t="n">
        <v>2467.41</v>
      </c>
      <c r="U299" s="87" t="n">
        <v>2467.41</v>
      </c>
    </row>
    <row r="300" ht="15" customHeight="1" s="80">
      <c r="A300" s="85" t="inlineStr">
        <is>
          <t>04/09/2026</t>
        </is>
      </c>
      <c r="B300" s="85" t="inlineStr">
        <is>
          <t>2 - Land Improvements - St. Charles - Bldg 7 -</t>
        </is>
      </c>
      <c r="J300" s="86" t="n">
        <v>7423.6</v>
      </c>
      <c r="U300" s="87" t="n">
        <v>7423.6</v>
      </c>
    </row>
    <row r="301" ht="15" customHeight="1" s="80">
      <c r="A301" s="85" t="inlineStr">
        <is>
          <t>04/09/2026</t>
        </is>
      </c>
      <c r="B301" s="85" t="inlineStr">
        <is>
          <t>2 - Land Improvements - St. Charles - Bldg 8 -</t>
        </is>
      </c>
      <c r="K301" s="86" t="n">
        <v>2308.83</v>
      </c>
      <c r="U301" s="87" t="n">
        <v>2308.83</v>
      </c>
    </row>
    <row r="302" ht="15" customHeight="1" s="80">
      <c r="A302" s="85" t="inlineStr">
        <is>
          <t>04/09/2026</t>
        </is>
      </c>
      <c r="B302" s="85" t="inlineStr">
        <is>
          <t>2 - Land Improvements - St. Charles - Bldg 8 -</t>
        </is>
      </c>
      <c r="K302" s="86" t="n">
        <v>6487.14</v>
      </c>
      <c r="U302" s="87" t="n">
        <v>6487.14</v>
      </c>
    </row>
    <row r="303" ht="15" customHeight="1" s="80">
      <c r="A303" s="85" t="inlineStr">
        <is>
          <t>04/09/2026</t>
        </is>
      </c>
      <c r="B303" s="85" t="inlineStr">
        <is>
          <t>2 - Land Improvements - St. Charles - Bldg 9 -</t>
        </is>
      </c>
      <c r="L303" s="86" t="n">
        <v>1121.59</v>
      </c>
      <c r="U303" s="87" t="n">
        <v>1121.59</v>
      </c>
    </row>
    <row r="304" ht="15" customHeight="1" s="80">
      <c r="A304" s="85" t="inlineStr">
        <is>
          <t>04/09/2026</t>
        </is>
      </c>
      <c r="B304" s="85" t="inlineStr">
        <is>
          <t>2 - Land Improvements - St. Charles - Bldg 9 -</t>
        </is>
      </c>
      <c r="L304" s="86" t="n">
        <v>2794.87</v>
      </c>
      <c r="U304" s="87" t="n">
        <v>2794.87</v>
      </c>
    </row>
    <row r="305" ht="15" customHeight="1" s="80">
      <c r="A305" s="85" t="inlineStr">
        <is>
          <t>04/09/2026</t>
        </is>
      </c>
      <c r="B305" s="85" t="inlineStr">
        <is>
          <t>2 - Land Improvements - St. Charles - Bldg 10 -</t>
        </is>
      </c>
      <c r="M305" s="86" t="n">
        <v>2467.41</v>
      </c>
      <c r="U305" s="87" t="n">
        <v>2467.41</v>
      </c>
    </row>
    <row r="306" ht="15" customHeight="1" s="80">
      <c r="A306" s="85" t="inlineStr">
        <is>
          <t>04/09/2026</t>
        </is>
      </c>
      <c r="B306" s="85" t="inlineStr">
        <is>
          <t>2 - Land Improvements - St. Charles - Bldg 10 -</t>
        </is>
      </c>
      <c r="M306" s="86" t="n">
        <v>7417.77</v>
      </c>
      <c r="U306" s="87" t="n">
        <v>7417.77</v>
      </c>
    </row>
    <row r="307" ht="15" customHeight="1" s="80">
      <c r="A307" s="85" t="inlineStr">
        <is>
          <t>04/09/2026</t>
        </is>
      </c>
      <c r="B307" s="85" t="inlineStr">
        <is>
          <t>2 - Land Improvements - St. Charles - Bldg 11 -</t>
        </is>
      </c>
      <c r="N307" s="86" t="n">
        <v>2308.83</v>
      </c>
      <c r="U307" s="87" t="n">
        <v>2308.83</v>
      </c>
    </row>
    <row r="308" ht="15" customHeight="1" s="80">
      <c r="A308" s="85" t="inlineStr">
        <is>
          <t>04/09/2026</t>
        </is>
      </c>
      <c r="B308" s="85" t="inlineStr">
        <is>
          <t>2 - Land Improvements - St. Charles - Bldg 11 -</t>
        </is>
      </c>
      <c r="N308" s="86" t="n">
        <v>6487.14</v>
      </c>
      <c r="U308" s="87" t="n">
        <v>6487.14</v>
      </c>
    </row>
    <row r="309" ht="15" customHeight="1" s="80">
      <c r="A309" s="85" t="inlineStr">
        <is>
          <t>04/09/2026</t>
        </is>
      </c>
      <c r="B309" s="85" t="inlineStr">
        <is>
          <t>2 - Land Improvements - St. Charles - Bldg 12 -</t>
        </is>
      </c>
      <c r="O309" s="86" t="n">
        <v>2467.41</v>
      </c>
      <c r="U309" s="87" t="n">
        <v>2467.41</v>
      </c>
    </row>
    <row r="310" ht="15" customHeight="1" s="80">
      <c r="A310" s="85" t="inlineStr">
        <is>
          <t>04/09/2026</t>
        </is>
      </c>
      <c r="B310" s="85" t="inlineStr">
        <is>
          <t>2 - Land Improvements - St. Charles - Bldg 12 -</t>
        </is>
      </c>
      <c r="O310" s="86" t="n">
        <v>7423.6</v>
      </c>
      <c r="U310" s="87" t="n">
        <v>7423.6</v>
      </c>
    </row>
    <row r="311" ht="15" customHeight="1" s="80">
      <c r="A311" s="85" t="inlineStr">
        <is>
          <t>04/09/2026</t>
        </is>
      </c>
      <c r="B311" s="85" t="inlineStr">
        <is>
          <t>2 - Land Improvements - St. Charles - Bldg 13 -</t>
        </is>
      </c>
      <c r="P311" s="86" t="n">
        <v>2308.83</v>
      </c>
      <c r="U311" s="87" t="n">
        <v>2308.83</v>
      </c>
    </row>
    <row r="312" ht="15" customHeight="1" s="80">
      <c r="A312" s="85" t="inlineStr">
        <is>
          <t>04/09/2026</t>
        </is>
      </c>
      <c r="B312" s="85" t="inlineStr">
        <is>
          <t>2 - Land Improvements - St. Charles - Bldg 13 -</t>
        </is>
      </c>
      <c r="P312" s="86" t="n">
        <v>6487.14</v>
      </c>
      <c r="U312" s="87" t="n">
        <v>6487.14</v>
      </c>
    </row>
    <row r="313" ht="15" customHeight="1" s="80">
      <c r="A313" s="85" t="inlineStr">
        <is>
          <t>04/09/2026</t>
        </is>
      </c>
      <c r="B313" s="85" t="inlineStr">
        <is>
          <t>2 - Land Improvements - St. Charles - Bldg 14 -</t>
        </is>
      </c>
      <c r="Q313" s="86" t="n">
        <v>2467.41</v>
      </c>
      <c r="U313" s="87" t="n">
        <v>2467.41</v>
      </c>
    </row>
    <row r="314" ht="15" customHeight="1" s="80">
      <c r="A314" s="85" t="inlineStr">
        <is>
          <t>04/09/2026</t>
        </is>
      </c>
      <c r="B314" s="85" t="inlineStr">
        <is>
          <t>2 - Land Improvements - St. Charles - Bldg 14 -</t>
        </is>
      </c>
      <c r="Q314" s="86" t="n">
        <v>7417.77</v>
      </c>
      <c r="U314" s="87" t="n">
        <v>7417.77</v>
      </c>
    </row>
    <row r="315" ht="15" customHeight="1" s="80">
      <c r="A315" s="85" t="inlineStr">
        <is>
          <t>04/09/2026</t>
        </is>
      </c>
      <c r="B315" s="85" t="inlineStr">
        <is>
          <t>2 - Land Improvements - St. Charles - Bldg 15 -</t>
        </is>
      </c>
      <c r="R315" s="86" t="n">
        <v>2308.82</v>
      </c>
      <c r="U315" s="87" t="n">
        <v>2308.82</v>
      </c>
    </row>
    <row r="316" ht="15" customHeight="1" s="80">
      <c r="A316" s="85" t="inlineStr">
        <is>
          <t>04/09/2026</t>
        </is>
      </c>
      <c r="B316" s="85" t="inlineStr">
        <is>
          <t>2 - Land Improvements - St. Charles - Bldg 15 -</t>
        </is>
      </c>
      <c r="R316" s="86" t="n">
        <v>6440.75</v>
      </c>
      <c r="U316" s="87" t="n">
        <v>6440.75</v>
      </c>
    </row>
    <row r="317" ht="15" customHeight="1" s="80">
      <c r="A317" s="85" t="inlineStr">
        <is>
          <t>04/09/2026</t>
        </is>
      </c>
      <c r="B317" s="85" t="inlineStr">
        <is>
          <t>2 - Land Improvements - St. Charles - Bldg 16 -</t>
        </is>
      </c>
      <c r="S317" s="86" t="n">
        <v>2308.83</v>
      </c>
      <c r="U317" s="87" t="n">
        <v>2308.83</v>
      </c>
    </row>
    <row r="318" ht="15" customHeight="1" s="80">
      <c r="A318" s="85" t="inlineStr">
        <is>
          <t>04/09/2026</t>
        </is>
      </c>
      <c r="B318" s="85" t="inlineStr">
        <is>
          <t>2 - Land Improvements - St. Charles - Bldg 16 -</t>
        </is>
      </c>
      <c r="S318" s="86" t="n">
        <v>6487.14</v>
      </c>
      <c r="U318" s="87" t="n">
        <v>6487.14</v>
      </c>
    </row>
    <row r="319" ht="15" customHeight="1" s="80">
      <c r="A319" s="85" t="inlineStr">
        <is>
          <t>04/09/2026</t>
        </is>
      </c>
      <c r="B319" s="85" t="inlineStr">
        <is>
          <t>2 - Land Improvements - St. Charles - Office -</t>
        </is>
      </c>
      <c r="T319" s="86" t="n">
        <v>270.66</v>
      </c>
      <c r="U319" s="87" t="n">
        <v>270.66</v>
      </c>
    </row>
    <row r="320" ht="15" customHeight="1" s="80">
      <c r="A320" s="85" t="inlineStr">
        <is>
          <t>04/09/2026</t>
        </is>
      </c>
      <c r="B320" s="85" t="inlineStr">
        <is>
          <t>2 - Land Improvements - St. Charles - Office -</t>
        </is>
      </c>
      <c r="T320" s="86" t="n">
        <v>2692.74</v>
      </c>
      <c r="U320" s="87" t="n">
        <v>2692.74</v>
      </c>
    </row>
    <row r="321" ht="15" customHeight="1" s="80">
      <c r="A321" s="85" t="inlineStr">
        <is>
          <t>04/09/2026</t>
        </is>
      </c>
      <c r="B321" s="85" t="inlineStr">
        <is>
          <t>10 - Building (Post Casualty Loss) - St. Charles - Site -</t>
        </is>
      </c>
      <c r="C321" s="86" t="n">
        <v>65091.76</v>
      </c>
      <c r="U321" s="87" t="n">
        <v>65091.76</v>
      </c>
    </row>
    <row r="322" ht="15" customHeight="1" s="80">
      <c r="A322" s="85" t="inlineStr">
        <is>
          <t>04/09/2026</t>
        </is>
      </c>
      <c r="B322" s="85" t="inlineStr">
        <is>
          <t>10 - Building (Post Casualty Loss) - St. Charles - Site -</t>
        </is>
      </c>
      <c r="C322" s="86" t="n">
        <v>50999.89</v>
      </c>
      <c r="U322" s="87" t="n">
        <v>50999.89</v>
      </c>
    </row>
    <row r="323" ht="15" customHeight="1" s="80">
      <c r="A323" s="85" t="inlineStr">
        <is>
          <t>04/09/2026</t>
        </is>
      </c>
      <c r="B323" s="85" t="inlineStr">
        <is>
          <t>10 - Building (Post Casualty Loss) - St. Charles - Bldg 1 -</t>
        </is>
      </c>
      <c r="D323" s="86" t="n">
        <v>16865.31</v>
      </c>
      <c r="U323" s="87" t="n">
        <v>16865.31</v>
      </c>
    </row>
    <row r="324" ht="15" customHeight="1" s="80">
      <c r="A324" s="85" t="inlineStr">
        <is>
          <t>04/09/2026</t>
        </is>
      </c>
      <c r="B324" s="85" t="inlineStr">
        <is>
          <t>10 - Building (Post Casualty Loss) - St. Charles - Bldg 1 -</t>
        </is>
      </c>
      <c r="D324" s="86" t="n">
        <v>47392.68</v>
      </c>
      <c r="U324" s="87" t="n">
        <v>47392.68</v>
      </c>
    </row>
    <row r="325" ht="15" customHeight="1" s="80">
      <c r="A325" s="85" t="inlineStr">
        <is>
          <t>04/09/2026</t>
        </is>
      </c>
      <c r="B325" s="85" t="inlineStr">
        <is>
          <t>10 - Building (Post Casualty Loss) - St. Charles - Bldg 2 -</t>
        </is>
      </c>
      <c r="E325" s="86" t="n">
        <v>16880.45</v>
      </c>
      <c r="U325" s="87" t="n">
        <v>16880.45</v>
      </c>
    </row>
    <row r="326" ht="15" customHeight="1" s="80">
      <c r="A326" s="85" t="inlineStr">
        <is>
          <t>04/09/2026</t>
        </is>
      </c>
      <c r="B326" s="85" t="inlineStr">
        <is>
          <t>10 - Building (Post Casualty Loss) - St. Charles - Bldg 2 -</t>
        </is>
      </c>
      <c r="E326" s="86" t="n">
        <v>47392.7</v>
      </c>
      <c r="U326" s="87" t="n">
        <v>47392.7</v>
      </c>
    </row>
    <row r="327" ht="15" customHeight="1" s="80">
      <c r="A327" s="85" t="inlineStr">
        <is>
          <t>04/09/2026</t>
        </is>
      </c>
      <c r="B327" s="85" t="inlineStr">
        <is>
          <t>10 - Building (Post Casualty Loss) - St. Charles - Bldg 3 -</t>
        </is>
      </c>
      <c r="F327" s="86" t="n">
        <v>16882.61</v>
      </c>
      <c r="U327" s="87" t="n">
        <v>16882.61</v>
      </c>
    </row>
    <row r="328" ht="15" customHeight="1" s="80">
      <c r="A328" s="85" t="inlineStr">
        <is>
          <t>04/09/2026</t>
        </is>
      </c>
      <c r="B328" s="85" t="inlineStr">
        <is>
          <t>10 - Building (Post Casualty Loss) - St. Charles - Bldg 3 -</t>
        </is>
      </c>
      <c r="F328" s="86" t="n">
        <v>47392.7</v>
      </c>
      <c r="U328" s="87" t="n">
        <v>47392.7</v>
      </c>
    </row>
    <row r="329" ht="15" customHeight="1" s="80">
      <c r="A329" s="85" t="inlineStr">
        <is>
          <t>04/09/2026</t>
        </is>
      </c>
      <c r="B329" s="85" t="inlineStr">
        <is>
          <t>10 - Building (Post Casualty Loss) - St. Charles - Bldg 4 -</t>
        </is>
      </c>
      <c r="G329" s="86" t="n">
        <v>16882.61</v>
      </c>
      <c r="U329" s="87" t="n">
        <v>16882.61</v>
      </c>
    </row>
    <row r="330" ht="15" customHeight="1" s="80">
      <c r="A330" s="85" t="inlineStr">
        <is>
          <t>04/09/2026</t>
        </is>
      </c>
      <c r="B330" s="85" t="inlineStr">
        <is>
          <t>10 - Building (Post Casualty Loss) - St. Charles - Bldg 4 -</t>
        </is>
      </c>
      <c r="G330" s="86" t="n">
        <v>47096.08</v>
      </c>
      <c r="U330" s="87" t="n">
        <v>47096.08</v>
      </c>
    </row>
    <row r="331" ht="15" customHeight="1" s="80">
      <c r="A331" s="85" t="inlineStr">
        <is>
          <t>04/09/2026</t>
        </is>
      </c>
      <c r="B331" s="85" t="inlineStr">
        <is>
          <t>10 - Building (Post Casualty Loss) - St. Charles - Bldg 5 -</t>
        </is>
      </c>
      <c r="H331" s="86" t="n">
        <v>18042.22</v>
      </c>
      <c r="U331" s="87" t="n">
        <v>18042.22</v>
      </c>
    </row>
    <row r="332" ht="15" customHeight="1" s="80">
      <c r="A332" s="85" t="inlineStr">
        <is>
          <t>04/09/2026</t>
        </is>
      </c>
      <c r="B332" s="85" t="inlineStr">
        <is>
          <t>10 - Building (Post Casualty Loss) - St. Charles - Bldg 5 -</t>
        </is>
      </c>
      <c r="H332" s="86" t="n">
        <v>53943.73</v>
      </c>
      <c r="U332" s="87" t="n">
        <v>53943.73</v>
      </c>
    </row>
    <row r="333" ht="15" customHeight="1" s="80">
      <c r="A333" s="85" t="inlineStr">
        <is>
          <t>04/09/2026</t>
        </is>
      </c>
      <c r="B333" s="85" t="inlineStr">
        <is>
          <t>10 - Building (Post Casualty Loss) - St. Charles - Bldg 6 -</t>
        </is>
      </c>
      <c r="I333" s="86" t="n">
        <v>16882.61</v>
      </c>
      <c r="U333" s="87" t="n">
        <v>16882.61</v>
      </c>
    </row>
    <row r="334" ht="15" customHeight="1" s="80">
      <c r="A334" s="85" t="inlineStr">
        <is>
          <t>04/09/2026</t>
        </is>
      </c>
      <c r="B334" s="85" t="inlineStr">
        <is>
          <t>10 - Building (Post Casualty Loss) - St. Charles - Bldg 6 -</t>
        </is>
      </c>
      <c r="I334" s="86" t="n">
        <v>47435.37</v>
      </c>
      <c r="U334" s="87" t="n">
        <v>47435.37</v>
      </c>
    </row>
    <row r="335" ht="15" customHeight="1" s="80">
      <c r="A335" s="85" t="inlineStr">
        <is>
          <t>04/09/2026</t>
        </is>
      </c>
      <c r="B335" s="85" t="inlineStr">
        <is>
          <t>10 - Building (Post Casualty Loss) - St. Charles - Bldg 7 -</t>
        </is>
      </c>
      <c r="J335" s="86" t="n">
        <v>18042.22</v>
      </c>
      <c r="U335" s="87" t="n">
        <v>18042.22</v>
      </c>
    </row>
    <row r="336" ht="15" customHeight="1" s="80">
      <c r="A336" s="85" t="inlineStr">
        <is>
          <t>04/09/2026</t>
        </is>
      </c>
      <c r="B336" s="85" t="inlineStr">
        <is>
          <t>10 - Building (Post Casualty Loss) - St. Charles - Bldg 7 -</t>
        </is>
      </c>
      <c r="J336" s="86" t="n">
        <v>54283.01</v>
      </c>
      <c r="U336" s="87" t="n">
        <v>54283.01</v>
      </c>
    </row>
    <row r="337" ht="15" customHeight="1" s="80">
      <c r="A337" s="85" t="inlineStr">
        <is>
          <t>04/09/2026</t>
        </is>
      </c>
      <c r="B337" s="85" t="inlineStr">
        <is>
          <t>10 - Building (Post Casualty Loss) - St. Charles - Bldg 8 -</t>
        </is>
      </c>
      <c r="K337" s="86" t="n">
        <v>16882.61</v>
      </c>
      <c r="U337" s="87" t="n">
        <v>16882.61</v>
      </c>
    </row>
    <row r="338" ht="15" customHeight="1" s="80">
      <c r="A338" s="85" t="inlineStr">
        <is>
          <t>04/09/2026</t>
        </is>
      </c>
      <c r="B338" s="85" t="inlineStr">
        <is>
          <t>10 - Building (Post Casualty Loss) - St. Charles - Bldg 8 -</t>
        </is>
      </c>
      <c r="K338" s="86" t="n">
        <v>47435.37</v>
      </c>
      <c r="U338" s="87" t="n">
        <v>47435.37</v>
      </c>
    </row>
    <row r="339" ht="15" customHeight="1" s="80">
      <c r="A339" s="85" t="inlineStr">
        <is>
          <t>04/09/2026</t>
        </is>
      </c>
      <c r="B339" s="85" t="inlineStr">
        <is>
          <t>10 - Building (Post Casualty Loss) - St. Charles - Bldg 9 -</t>
        </is>
      </c>
      <c r="L339" s="86" t="n">
        <v>8201.309999999999</v>
      </c>
      <c r="U339" s="87" t="n">
        <v>8201.309999999999</v>
      </c>
    </row>
    <row r="340" ht="15" customHeight="1" s="80">
      <c r="A340" s="85" t="inlineStr">
        <is>
          <t>04/09/2026</t>
        </is>
      </c>
      <c r="B340" s="85" t="inlineStr">
        <is>
          <t>10 - Building (Post Casualty Loss) - St. Charles - Bldg 9 -</t>
        </is>
      </c>
      <c r="L340" s="86" t="n">
        <v>20436.66</v>
      </c>
      <c r="U340" s="87" t="n">
        <v>20436.66</v>
      </c>
    </row>
    <row r="341" ht="15" customHeight="1" s="80">
      <c r="A341" s="85" t="inlineStr">
        <is>
          <t>04/09/2026</t>
        </is>
      </c>
      <c r="B341" s="85" t="inlineStr">
        <is>
          <t>10 - Building (Post Casualty Loss) - St. Charles - Bldg 10 -</t>
        </is>
      </c>
      <c r="M341" s="86" t="n">
        <v>18042.22</v>
      </c>
      <c r="U341" s="87" t="n">
        <v>18042.22</v>
      </c>
    </row>
    <row r="342" ht="15" customHeight="1" s="80">
      <c r="A342" s="85" t="inlineStr">
        <is>
          <t>04/09/2026</t>
        </is>
      </c>
      <c r="B342" s="85" t="inlineStr">
        <is>
          <t>10 - Building (Post Casualty Loss) - St. Charles - Bldg 10 -</t>
        </is>
      </c>
      <c r="M342" s="86" t="n">
        <v>54240.35</v>
      </c>
      <c r="U342" s="87" t="n">
        <v>54240.35</v>
      </c>
    </row>
    <row r="343" ht="15" customHeight="1" s="80">
      <c r="A343" s="85" t="inlineStr">
        <is>
          <t>04/09/2026</t>
        </is>
      </c>
      <c r="B343" s="85" t="inlineStr">
        <is>
          <t>10 - Building (Post Casualty Loss) - St. Charles - Bldg 11 -</t>
        </is>
      </c>
      <c r="N343" s="86" t="n">
        <v>16882.61</v>
      </c>
      <c r="U343" s="87" t="n">
        <v>16882.61</v>
      </c>
    </row>
    <row r="344" ht="15" customHeight="1" s="80">
      <c r="A344" s="85" t="inlineStr">
        <is>
          <t>04/09/2026</t>
        </is>
      </c>
      <c r="B344" s="85" t="inlineStr">
        <is>
          <t>10 - Building (Post Casualty Loss) - St. Charles - Bldg 11 -</t>
        </is>
      </c>
      <c r="N344" s="86" t="n">
        <v>47435.37</v>
      </c>
      <c r="U344" s="87" t="n">
        <v>47435.37</v>
      </c>
    </row>
    <row r="345" ht="15" customHeight="1" s="80">
      <c r="A345" s="85" t="inlineStr">
        <is>
          <t>04/09/2026</t>
        </is>
      </c>
      <c r="B345" s="85" t="inlineStr">
        <is>
          <t>10 - Building (Post Casualty Loss) - St. Charles - Bldg 12 -</t>
        </is>
      </c>
      <c r="O345" s="86" t="n">
        <v>18042.22</v>
      </c>
      <c r="U345" s="87" t="n">
        <v>18042.22</v>
      </c>
    </row>
    <row r="346" ht="15" customHeight="1" s="80">
      <c r="A346" s="85" t="inlineStr">
        <is>
          <t>04/09/2026</t>
        </is>
      </c>
      <c r="B346" s="85" t="inlineStr">
        <is>
          <t>10 - Building (Post Casualty Loss) - St. Charles - Bldg 12 -</t>
        </is>
      </c>
      <c r="O346" s="86" t="n">
        <v>54283.01</v>
      </c>
      <c r="U346" s="87" t="n">
        <v>54283.01</v>
      </c>
    </row>
    <row r="347" ht="15" customHeight="1" s="80">
      <c r="A347" s="85" t="inlineStr">
        <is>
          <t>04/09/2026</t>
        </is>
      </c>
      <c r="B347" s="85" t="inlineStr">
        <is>
          <t>10 - Building (Post Casualty Loss) - St. Charles - Bldg 13 -</t>
        </is>
      </c>
      <c r="P347" s="86" t="n">
        <v>16882.61</v>
      </c>
      <c r="U347" s="87" t="n">
        <v>16882.61</v>
      </c>
    </row>
    <row r="348" ht="15" customHeight="1" s="80">
      <c r="A348" s="85" t="inlineStr">
        <is>
          <t>04/09/2026</t>
        </is>
      </c>
      <c r="B348" s="85" t="inlineStr">
        <is>
          <t>10 - Building (Post Casualty Loss) - St. Charles - Bldg 13 -</t>
        </is>
      </c>
      <c r="P348" s="86" t="n">
        <v>47435.37</v>
      </c>
      <c r="U348" s="87" t="n">
        <v>47435.37</v>
      </c>
    </row>
    <row r="349" ht="15" customHeight="1" s="80">
      <c r="A349" s="85" t="inlineStr">
        <is>
          <t>04/09/2026</t>
        </is>
      </c>
      <c r="B349" s="85" t="inlineStr">
        <is>
          <t>10 - Building (Post Casualty Loss) - St. Charles - Bldg 14 -</t>
        </is>
      </c>
      <c r="Q349" s="86" t="n">
        <v>18042.22</v>
      </c>
      <c r="U349" s="87" t="n">
        <v>18042.22</v>
      </c>
    </row>
    <row r="350" ht="15" customHeight="1" s="80">
      <c r="A350" s="85" t="inlineStr">
        <is>
          <t>04/09/2026</t>
        </is>
      </c>
      <c r="B350" s="85" t="inlineStr">
        <is>
          <t>10 - Building (Post Casualty Loss) - St. Charles - Bldg 14 -</t>
        </is>
      </c>
      <c r="Q350" s="86" t="n">
        <v>54240.35</v>
      </c>
      <c r="U350" s="87" t="n">
        <v>54240.35</v>
      </c>
    </row>
    <row r="351" ht="15" customHeight="1" s="80">
      <c r="A351" s="85" t="inlineStr">
        <is>
          <t>04/09/2026</t>
        </is>
      </c>
      <c r="B351" s="85" t="inlineStr">
        <is>
          <t>10 - Building (Post Casualty Loss) - St. Charles - Bldg 15 -</t>
        </is>
      </c>
      <c r="R351" s="86" t="n">
        <v>16882.61</v>
      </c>
      <c r="U351" s="87" t="n">
        <v>16882.61</v>
      </c>
    </row>
    <row r="352" ht="15" customHeight="1" s="80">
      <c r="A352" s="85" t="inlineStr">
        <is>
          <t>04/09/2026</t>
        </is>
      </c>
      <c r="B352" s="85" t="inlineStr">
        <is>
          <t>10 - Building (Post Casualty Loss) - St. Charles - Bldg 15 -</t>
        </is>
      </c>
      <c r="R352" s="86" t="n">
        <v>47096.08</v>
      </c>
      <c r="U352" s="87" t="n">
        <v>47096.08</v>
      </c>
    </row>
    <row r="353" ht="15" customHeight="1" s="80">
      <c r="A353" s="85" t="inlineStr">
        <is>
          <t>04/09/2026</t>
        </is>
      </c>
      <c r="B353" s="85" t="inlineStr">
        <is>
          <t>10 - Building (Post Casualty Loss) - St. Charles - Bldg 16 -</t>
        </is>
      </c>
      <c r="S353" s="86" t="n">
        <v>16882.61</v>
      </c>
      <c r="U353" s="87" t="n">
        <v>16882.61</v>
      </c>
    </row>
    <row r="354" ht="15" customHeight="1" s="80">
      <c r="A354" s="85" t="inlineStr">
        <is>
          <t>04/09/2026</t>
        </is>
      </c>
      <c r="B354" s="85" t="inlineStr">
        <is>
          <t>10 - Building (Post Casualty Loss) - St. Charles - Bldg 16 -</t>
        </is>
      </c>
      <c r="S354" s="86" t="n">
        <v>47435.37</v>
      </c>
      <c r="U354" s="87" t="n">
        <v>47435.37</v>
      </c>
    </row>
    <row r="355" ht="15" customHeight="1" s="80">
      <c r="A355" s="85" t="inlineStr">
        <is>
          <t>04/09/2026</t>
        </is>
      </c>
      <c r="B355" s="85" t="inlineStr">
        <is>
          <t>10 - Building (Post Casualty Loss) - St. Charles - Office -</t>
        </is>
      </c>
      <c r="T355" s="86" t="n">
        <v>1979.11</v>
      </c>
      <c r="U355" s="87" t="n">
        <v>1979.11</v>
      </c>
    </row>
    <row r="356" ht="15" customHeight="1" s="80">
      <c r="A356" s="85" t="inlineStr">
        <is>
          <t>04/09/2026</t>
        </is>
      </c>
      <c r="B356" s="85" t="inlineStr">
        <is>
          <t>10 - Building (Post Casualty Loss) - St. Charles - Office -</t>
        </is>
      </c>
      <c r="T356" s="86" t="n">
        <v>19689.99</v>
      </c>
      <c r="U356" s="87" t="n">
        <v>19689.99</v>
      </c>
    </row>
    <row r="357" ht="15" customHeight="1" s="80">
      <c r="A357" s="85" t="inlineStr">
        <is>
          <t>04/09/2026</t>
        </is>
      </c>
      <c r="B357" s="85" t="inlineStr">
        <is>
          <t>12 - New Building (16 Units) - St. Charles - Site -</t>
        </is>
      </c>
      <c r="C357" s="86" t="n">
        <v>34910.75</v>
      </c>
      <c r="U357" s="87" t="n">
        <v>34910.75</v>
      </c>
    </row>
    <row r="358" ht="15" customHeight="1" s="80">
      <c r="A358" s="85" t="inlineStr">
        <is>
          <t>04/09/2026</t>
        </is>
      </c>
      <c r="B358" s="85" t="inlineStr">
        <is>
          <t>12 - New Building (16 Units) - St. Charles - Site -</t>
        </is>
      </c>
      <c r="C358" s="86" t="n">
        <v>27352.85</v>
      </c>
      <c r="U358" s="87" t="n">
        <v>27352.85</v>
      </c>
    </row>
    <row r="359" ht="15" customHeight="1" s="80">
      <c r="A359" s="85" t="inlineStr">
        <is>
          <t>04/09/2026</t>
        </is>
      </c>
      <c r="B359" s="85" t="inlineStr">
        <is>
          <t>12 - New Building (16 Units) - St. Charles - Bldg 1 -</t>
        </is>
      </c>
      <c r="D359" s="86" t="n">
        <v>9045.4</v>
      </c>
      <c r="U359" s="87" t="n">
        <v>9045.4</v>
      </c>
    </row>
    <row r="360" ht="15" customHeight="1" s="80">
      <c r="A360" s="85" t="inlineStr">
        <is>
          <t>04/09/2026</t>
        </is>
      </c>
      <c r="B360" s="85" t="inlineStr">
        <is>
          <t>12 - New Building (16 Units) - St. Charles - Bldg 1 -</t>
        </is>
      </c>
      <c r="D360" s="86" t="n">
        <v>25418.2</v>
      </c>
      <c r="U360" s="87" t="n">
        <v>25418.2</v>
      </c>
    </row>
    <row r="361" ht="15" customHeight="1" s="80">
      <c r="A361" s="85" t="inlineStr">
        <is>
          <t>04/09/2026</t>
        </is>
      </c>
      <c r="B361" s="85" t="inlineStr">
        <is>
          <t>12 - New Building (16 Units) - St. Charles - Bldg 2 -</t>
        </is>
      </c>
      <c r="E361" s="86" t="n">
        <v>9053.51</v>
      </c>
      <c r="U361" s="87" t="n">
        <v>9053.51</v>
      </c>
    </row>
    <row r="362" ht="15" customHeight="1" s="80">
      <c r="A362" s="85" t="inlineStr">
        <is>
          <t>04/09/2026</t>
        </is>
      </c>
      <c r="B362" s="85" t="inlineStr">
        <is>
          <t>12 - New Building (16 Units) - St. Charles - Bldg 2 -</t>
        </is>
      </c>
      <c r="E362" s="86" t="n">
        <v>25418.19</v>
      </c>
      <c r="U362" s="87" t="n">
        <v>25418.19</v>
      </c>
    </row>
    <row r="363" ht="15" customHeight="1" s="80">
      <c r="A363" s="85" t="inlineStr">
        <is>
          <t>04/09/2026</t>
        </is>
      </c>
      <c r="B363" s="85" t="inlineStr">
        <is>
          <t>12 - New Building (16 Units) - St. Charles - Bldg 3 -</t>
        </is>
      </c>
      <c r="F363" s="86" t="n">
        <v>9054.67</v>
      </c>
      <c r="U363" s="87" t="n">
        <v>9054.67</v>
      </c>
    </row>
    <row r="364" ht="15" customHeight="1" s="80">
      <c r="A364" s="85" t="inlineStr">
        <is>
          <t>04/09/2026</t>
        </is>
      </c>
      <c r="B364" s="85" t="inlineStr">
        <is>
          <t>12 - New Building (16 Units) - St. Charles - Bldg 3 -</t>
        </is>
      </c>
      <c r="F364" s="86" t="n">
        <v>25418.19</v>
      </c>
      <c r="U364" s="87" t="n">
        <v>25418.19</v>
      </c>
    </row>
    <row r="365" ht="15" customHeight="1" s="80">
      <c r="A365" s="85" t="inlineStr">
        <is>
          <t>04/09/2026</t>
        </is>
      </c>
      <c r="B365" s="85" t="inlineStr">
        <is>
          <t>12 - New Building (16 Units) - St. Charles - Bldg 4 -</t>
        </is>
      </c>
      <c r="G365" s="86" t="n">
        <v>9054.67</v>
      </c>
      <c r="U365" s="87" t="n">
        <v>9054.67</v>
      </c>
    </row>
    <row r="366" ht="15" customHeight="1" s="80">
      <c r="A366" s="85" t="inlineStr">
        <is>
          <t>04/09/2026</t>
        </is>
      </c>
      <c r="B366" s="85" t="inlineStr">
        <is>
          <t>12 - New Building (16 Units) - St. Charles - Bldg 4 -</t>
        </is>
      </c>
      <c r="G366" s="86" t="n">
        <v>25259.11</v>
      </c>
      <c r="U366" s="87" t="n">
        <v>25259.11</v>
      </c>
    </row>
    <row r="367" ht="15" customHeight="1" s="80">
      <c r="A367" s="85" t="inlineStr">
        <is>
          <t>04/09/2026</t>
        </is>
      </c>
      <c r="B367" s="85" t="inlineStr">
        <is>
          <t>12 - New Building (16 Units) - St. Charles - Bldg 5 -</t>
        </is>
      </c>
      <c r="H367" s="86" t="n">
        <v>9676.610000000001</v>
      </c>
      <c r="U367" s="87" t="n">
        <v>9676.610000000001</v>
      </c>
    </row>
    <row r="368" ht="15" customHeight="1" s="80">
      <c r="A368" s="85" t="inlineStr">
        <is>
          <t>04/09/2026</t>
        </is>
      </c>
      <c r="B368" s="85" t="inlineStr">
        <is>
          <t>12 - New Building (16 Units) - St. Charles - Bldg 5 -</t>
        </is>
      </c>
      <c r="H368" s="86" t="n">
        <v>28931.71</v>
      </c>
      <c r="U368" s="87" t="n">
        <v>28931.71</v>
      </c>
    </row>
    <row r="369" ht="15" customHeight="1" s="80">
      <c r="A369" s="85" t="inlineStr">
        <is>
          <t>04/09/2026</t>
        </is>
      </c>
      <c r="B369" s="85" t="inlineStr">
        <is>
          <t>12 - New Building (16 Units) - St. Charles - Bldg 6 -</t>
        </is>
      </c>
      <c r="I369" s="86" t="n">
        <v>9054.67</v>
      </c>
      <c r="U369" s="87" t="n">
        <v>9054.67</v>
      </c>
    </row>
    <row r="370" ht="15" customHeight="1" s="80">
      <c r="A370" s="85" t="inlineStr">
        <is>
          <t>04/09/2026</t>
        </is>
      </c>
      <c r="B370" s="85" t="inlineStr">
        <is>
          <t>12 - New Building (16 Units) - St. Charles - Bldg 6 -</t>
        </is>
      </c>
      <c r="I370" s="86" t="n">
        <v>25441.07</v>
      </c>
      <c r="U370" s="87" t="n">
        <v>25441.07</v>
      </c>
    </row>
    <row r="371" ht="15" customHeight="1" s="80">
      <c r="A371" s="85" t="inlineStr">
        <is>
          <t>04/09/2026</t>
        </is>
      </c>
      <c r="B371" s="85" t="inlineStr">
        <is>
          <t>12 - New Building (16 Units) - St. Charles - Bldg 7 -</t>
        </is>
      </c>
      <c r="J371" s="86" t="n">
        <v>9676.610000000001</v>
      </c>
      <c r="U371" s="87" t="n">
        <v>9676.610000000001</v>
      </c>
    </row>
    <row r="372" ht="15" customHeight="1" s="80">
      <c r="A372" s="85" t="inlineStr">
        <is>
          <t>04/09/2026</t>
        </is>
      </c>
      <c r="B372" s="85" t="inlineStr">
        <is>
          <t>12 - New Building (16 Units) - St. Charles - Bldg 7 -</t>
        </is>
      </c>
      <c r="J372" s="86" t="n">
        <v>29113.68</v>
      </c>
      <c r="U372" s="87" t="n">
        <v>29113.68</v>
      </c>
    </row>
    <row r="373" ht="15" customHeight="1" s="80">
      <c r="A373" s="85" t="inlineStr">
        <is>
          <t>04/09/2026</t>
        </is>
      </c>
      <c r="B373" s="85" t="inlineStr">
        <is>
          <t>12 - New Building (16 Units) - St. Charles - Bldg 8 -</t>
        </is>
      </c>
      <c r="K373" s="86" t="n">
        <v>9054.67</v>
      </c>
      <c r="U373" s="87" t="n">
        <v>9054.67</v>
      </c>
    </row>
    <row r="374" ht="15" customHeight="1" s="80">
      <c r="A374" s="85" t="inlineStr">
        <is>
          <t>04/09/2026</t>
        </is>
      </c>
      <c r="B374" s="85" t="inlineStr">
        <is>
          <t>12 - New Building (16 Units) - St. Charles - Bldg 8 -</t>
        </is>
      </c>
      <c r="K374" s="86" t="n">
        <v>25441.07</v>
      </c>
      <c r="U374" s="87" t="n">
        <v>25441.07</v>
      </c>
    </row>
    <row r="375" ht="15" customHeight="1" s="80">
      <c r="A375" s="85" t="inlineStr">
        <is>
          <t>04/09/2026</t>
        </is>
      </c>
      <c r="B375" s="85" t="inlineStr">
        <is>
          <t>12 - New Building (16 Units) - St. Charles - Bldg 9 -</t>
        </is>
      </c>
      <c r="L375" s="86" t="n">
        <v>4398.62</v>
      </c>
      <c r="U375" s="87" t="n">
        <v>4398.62</v>
      </c>
    </row>
    <row r="376" ht="15" customHeight="1" s="80">
      <c r="A376" s="85" t="inlineStr">
        <is>
          <t>04/09/2026</t>
        </is>
      </c>
      <c r="B376" s="85" t="inlineStr">
        <is>
          <t>12 - New Building (16 Units) - St. Charles - Bldg 9 -</t>
        </is>
      </c>
      <c r="L376" s="86" t="n">
        <v>10960.82</v>
      </c>
      <c r="U376" s="87" t="n">
        <v>10960.82</v>
      </c>
    </row>
    <row r="377" ht="15" customHeight="1" s="80">
      <c r="A377" s="85" t="inlineStr">
        <is>
          <t>04/09/2026</t>
        </is>
      </c>
      <c r="B377" s="85" t="inlineStr">
        <is>
          <t>12 - New Building (16 Units) - St. Charles - Bldg 10 -</t>
        </is>
      </c>
      <c r="M377" s="86" t="n">
        <v>9676.610000000001</v>
      </c>
      <c r="U377" s="87" t="n">
        <v>9676.610000000001</v>
      </c>
    </row>
    <row r="378" ht="15" customHeight="1" s="80">
      <c r="A378" s="85" t="inlineStr">
        <is>
          <t>04/09/2026</t>
        </is>
      </c>
      <c r="B378" s="85" t="inlineStr">
        <is>
          <t>12 - New Building (16 Units) - St. Charles - Bldg 10 -</t>
        </is>
      </c>
      <c r="M378" s="86" t="n">
        <v>29090.8</v>
      </c>
      <c r="U378" s="87" t="n">
        <v>29090.8</v>
      </c>
    </row>
    <row r="379" ht="15" customHeight="1" s="80">
      <c r="A379" s="85" t="inlineStr">
        <is>
          <t>04/09/2026</t>
        </is>
      </c>
      <c r="B379" s="85" t="inlineStr">
        <is>
          <t>12 - New Building (16 Units) - St. Charles - Bldg 11 -</t>
        </is>
      </c>
      <c r="N379" s="86" t="n">
        <v>9054.67</v>
      </c>
      <c r="U379" s="87" t="n">
        <v>9054.67</v>
      </c>
    </row>
    <row r="380" ht="15" customHeight="1" s="80">
      <c r="A380" s="85" t="inlineStr">
        <is>
          <t>04/09/2026</t>
        </is>
      </c>
      <c r="B380" s="85" t="inlineStr">
        <is>
          <t>12 - New Building (16 Units) - St. Charles - Bldg 11 -</t>
        </is>
      </c>
      <c r="N380" s="86" t="n">
        <v>25441.07</v>
      </c>
      <c r="U380" s="87" t="n">
        <v>25441.07</v>
      </c>
    </row>
    <row r="381" ht="15" customHeight="1" s="80">
      <c r="A381" s="85" t="inlineStr">
        <is>
          <t>04/09/2026</t>
        </is>
      </c>
      <c r="B381" s="85" t="inlineStr">
        <is>
          <t>12 - New Building (16 Units) - St. Charles - Bldg 12 -</t>
        </is>
      </c>
      <c r="O381" s="86" t="n">
        <v>9676.610000000001</v>
      </c>
      <c r="U381" s="87" t="n">
        <v>9676.610000000001</v>
      </c>
    </row>
    <row r="382" ht="15" customHeight="1" s="80">
      <c r="A382" s="85" t="inlineStr">
        <is>
          <t>04/09/2026</t>
        </is>
      </c>
      <c r="B382" s="85" t="inlineStr">
        <is>
          <t>12 - New Building (16 Units) - St. Charles - Bldg 12 -</t>
        </is>
      </c>
      <c r="O382" s="86" t="n">
        <v>29113.68</v>
      </c>
      <c r="U382" s="87" t="n">
        <v>29113.68</v>
      </c>
    </row>
    <row r="383" ht="15" customHeight="1" s="80">
      <c r="A383" s="85" t="inlineStr">
        <is>
          <t>04/09/2026</t>
        </is>
      </c>
      <c r="B383" s="85" t="inlineStr">
        <is>
          <t>12 - New Building (16 Units) - St. Charles - Bldg 13 -</t>
        </is>
      </c>
      <c r="P383" s="86" t="n">
        <v>9054.67</v>
      </c>
      <c r="U383" s="87" t="n">
        <v>9054.67</v>
      </c>
    </row>
    <row r="384" ht="15" customHeight="1" s="80">
      <c r="A384" s="85" t="inlineStr">
        <is>
          <t>04/09/2026</t>
        </is>
      </c>
      <c r="B384" s="85" t="inlineStr">
        <is>
          <t>12 - New Building (16 Units) - St. Charles - Bldg 13 -</t>
        </is>
      </c>
      <c r="P384" s="86" t="n">
        <v>25441.07</v>
      </c>
      <c r="U384" s="87" t="n">
        <v>25441.07</v>
      </c>
    </row>
    <row r="385" ht="15" customHeight="1" s="80">
      <c r="A385" s="85" t="inlineStr">
        <is>
          <t>04/09/2026</t>
        </is>
      </c>
      <c r="B385" s="85" t="inlineStr">
        <is>
          <t>12 - New Building (16 Units) - St. Charles - Bldg 14 -</t>
        </is>
      </c>
      <c r="Q385" s="86" t="n">
        <v>9676.610000000001</v>
      </c>
      <c r="U385" s="87" t="n">
        <v>9676.610000000001</v>
      </c>
    </row>
    <row r="386" ht="15" customHeight="1" s="80">
      <c r="A386" s="85" t="inlineStr">
        <is>
          <t>04/09/2026</t>
        </is>
      </c>
      <c r="B386" s="85" t="inlineStr">
        <is>
          <t>12 - New Building (16 Units) - St. Charles - Bldg 14 -</t>
        </is>
      </c>
      <c r="Q386" s="86" t="n">
        <v>29090.8</v>
      </c>
      <c r="U386" s="87" t="n">
        <v>29090.8</v>
      </c>
    </row>
    <row r="387" ht="15" customHeight="1" s="80">
      <c r="A387" s="85" t="inlineStr">
        <is>
          <t>04/09/2026</t>
        </is>
      </c>
      <c r="B387" s="85" t="inlineStr">
        <is>
          <t>12 - New Building (16 Units) - St. Charles - Bldg 15 -</t>
        </is>
      </c>
      <c r="R387" s="86" t="n">
        <v>9054.67</v>
      </c>
      <c r="U387" s="87" t="n">
        <v>9054.67</v>
      </c>
    </row>
    <row r="388" ht="15" customHeight="1" s="80">
      <c r="A388" s="85" t="inlineStr">
        <is>
          <t>04/09/2026</t>
        </is>
      </c>
      <c r="B388" s="85" t="inlineStr">
        <is>
          <t>12 - New Building (16 Units) - St. Charles - Bldg 15 -</t>
        </is>
      </c>
      <c r="R388" s="86" t="n">
        <v>25259.11</v>
      </c>
      <c r="U388" s="87" t="n">
        <v>25259.11</v>
      </c>
    </row>
    <row r="389" ht="15" customHeight="1" s="80">
      <c r="A389" s="85" t="inlineStr">
        <is>
          <t>04/09/2026</t>
        </is>
      </c>
      <c r="B389" s="85" t="inlineStr">
        <is>
          <t>12 - New Building (16 Units) - St. Charles - Bldg 16 -</t>
        </is>
      </c>
      <c r="S389" s="86" t="n">
        <v>9054.67</v>
      </c>
      <c r="U389" s="87" t="n">
        <v>9054.67</v>
      </c>
    </row>
    <row r="390" ht="15" customHeight="1" s="80">
      <c r="A390" s="85" t="inlineStr">
        <is>
          <t>04/09/2026</t>
        </is>
      </c>
      <c r="B390" s="85" t="inlineStr">
        <is>
          <t>12 - New Building (16 Units) - St. Charles - Bldg 16 -</t>
        </is>
      </c>
      <c r="S390" s="86" t="n">
        <v>25441.07</v>
      </c>
      <c r="U390" s="87" t="n">
        <v>25441.07</v>
      </c>
    </row>
    <row r="391" ht="15" customHeight="1" s="80">
      <c r="A391" s="85" t="inlineStr">
        <is>
          <t>04/09/2026</t>
        </is>
      </c>
      <c r="B391" s="85" t="inlineStr">
        <is>
          <t>12 - New Building (16 Units) - St. Charles - Office -</t>
        </is>
      </c>
      <c r="T391" s="86" t="n">
        <v>1061.46</v>
      </c>
      <c r="U391" s="87" t="n">
        <v>1061.46</v>
      </c>
    </row>
    <row r="392" ht="15" customHeight="1" s="80">
      <c r="A392" s="85" t="inlineStr">
        <is>
          <t>04/09/2026</t>
        </is>
      </c>
      <c r="B392" s="85" t="inlineStr">
        <is>
          <t>12 - New Building (16 Units) - St. Charles - Office -</t>
        </is>
      </c>
      <c r="T392" s="86" t="n">
        <v>10560.36</v>
      </c>
      <c r="U392" s="87" t="n">
        <v>10560.36</v>
      </c>
    </row>
    <row r="393" ht="15" customHeight="1" s="80">
      <c r="A393" s="85" t="inlineStr">
        <is>
          <t>04/09/2026</t>
        </is>
      </c>
      <c r="B393" s="85" t="inlineStr">
        <is>
          <t>13 - New Equipment (16 Units) - St. Charles - Site -</t>
        </is>
      </c>
      <c r="C393" s="86" t="n">
        <v>7663.33</v>
      </c>
      <c r="U393" s="87" t="n">
        <v>7663.33</v>
      </c>
    </row>
    <row r="394" ht="15" customHeight="1" s="80">
      <c r="A394" s="85" t="inlineStr">
        <is>
          <t>04/09/2026</t>
        </is>
      </c>
      <c r="B394" s="85" t="inlineStr">
        <is>
          <t>13 - New Equipment (16 Units) - St. Charles - Site -</t>
        </is>
      </c>
      <c r="C394" s="86" t="n">
        <v>6004.27</v>
      </c>
      <c r="U394" s="87" t="n">
        <v>6004.27</v>
      </c>
    </row>
    <row r="395" ht="15" customHeight="1" s="80">
      <c r="A395" s="85" t="inlineStr">
        <is>
          <t>04/09/2026</t>
        </is>
      </c>
      <c r="B395" s="85" t="inlineStr">
        <is>
          <t>13 - New Equipment (16 Units) - St. Charles - Bldg 1 -</t>
        </is>
      </c>
      <c r="D395" s="86" t="n">
        <v>1985.57</v>
      </c>
      <c r="U395" s="87" t="n">
        <v>1985.57</v>
      </c>
    </row>
    <row r="396" ht="15" customHeight="1" s="80">
      <c r="A396" s="85" t="inlineStr">
        <is>
          <t>04/09/2026</t>
        </is>
      </c>
      <c r="B396" s="85" t="inlineStr">
        <is>
          <t>13 - New Equipment (16 Units) - St. Charles - Bldg 1 -</t>
        </is>
      </c>
      <c r="D396" s="86" t="n">
        <v>5579.6</v>
      </c>
      <c r="U396" s="87" t="n">
        <v>5579.6</v>
      </c>
    </row>
    <row r="397" ht="15" customHeight="1" s="80">
      <c r="A397" s="85" t="inlineStr">
        <is>
          <t>04/09/2026</t>
        </is>
      </c>
      <c r="B397" s="85" t="inlineStr">
        <is>
          <t>13 - New Equipment (16 Units) - St. Charles - Bldg 2 -</t>
        </is>
      </c>
      <c r="E397" s="86" t="n">
        <v>1987.35</v>
      </c>
      <c r="U397" s="87" t="n">
        <v>1987.35</v>
      </c>
    </row>
    <row r="398" ht="15" customHeight="1" s="80">
      <c r="A398" s="85" t="inlineStr">
        <is>
          <t>04/09/2026</t>
        </is>
      </c>
      <c r="B398" s="85" t="inlineStr">
        <is>
          <t>13 - New Equipment (16 Units) - St. Charles - Bldg 2 -</t>
        </is>
      </c>
      <c r="E398" s="86" t="n">
        <v>5579.6</v>
      </c>
      <c r="U398" s="87" t="n">
        <v>5579.6</v>
      </c>
    </row>
    <row r="399" ht="15" customHeight="1" s="80">
      <c r="A399" s="85" t="inlineStr">
        <is>
          <t>04/09/2026</t>
        </is>
      </c>
      <c r="B399" s="85" t="inlineStr">
        <is>
          <t>13 - New Equipment (16 Units) - St. Charles - Bldg 3 -</t>
        </is>
      </c>
      <c r="F399" s="86" t="n">
        <v>1987.61</v>
      </c>
      <c r="U399" s="87" t="n">
        <v>1987.61</v>
      </c>
    </row>
    <row r="400" ht="15" customHeight="1" s="80">
      <c r="A400" s="85" t="inlineStr">
        <is>
          <t>04/09/2026</t>
        </is>
      </c>
      <c r="B400" s="85" t="inlineStr">
        <is>
          <t>13 - New Equipment (16 Units) - St. Charles - Bldg 3 -</t>
        </is>
      </c>
      <c r="F400" s="86" t="n">
        <v>5579.59</v>
      </c>
      <c r="U400" s="87" t="n">
        <v>5579.59</v>
      </c>
    </row>
    <row r="401" ht="15" customHeight="1" s="80">
      <c r="A401" s="85" t="inlineStr">
        <is>
          <t>04/09/2026</t>
        </is>
      </c>
      <c r="B401" s="85" t="inlineStr">
        <is>
          <t>13 - New Equipment (16 Units) - St. Charles - Bldg 4 -</t>
        </is>
      </c>
      <c r="G401" s="86" t="n">
        <v>1987.61</v>
      </c>
      <c r="U401" s="87" t="n">
        <v>1987.61</v>
      </c>
    </row>
    <row r="402" ht="15" customHeight="1" s="80">
      <c r="A402" s="85" t="inlineStr">
        <is>
          <t>04/09/2026</t>
        </is>
      </c>
      <c r="B402" s="85" t="inlineStr">
        <is>
          <t>13 - New Equipment (16 Units) - St. Charles - Bldg 4 -</t>
        </is>
      </c>
      <c r="G402" s="86" t="n">
        <v>5544.67</v>
      </c>
      <c r="U402" s="87" t="n">
        <v>5544.67</v>
      </c>
    </row>
    <row r="403" ht="15" customHeight="1" s="80">
      <c r="A403" s="85" t="inlineStr">
        <is>
          <t>04/09/2026</t>
        </is>
      </c>
      <c r="B403" s="85" t="inlineStr">
        <is>
          <t>13 - New Equipment (16 Units) - St. Charles - Bldg 5 -</t>
        </is>
      </c>
      <c r="H403" s="86" t="n">
        <v>2124.13</v>
      </c>
      <c r="U403" s="87" t="n">
        <v>2124.13</v>
      </c>
    </row>
    <row r="404" ht="15" customHeight="1" s="80">
      <c r="A404" s="85" t="inlineStr">
        <is>
          <t>04/09/2026</t>
        </is>
      </c>
      <c r="B404" s="85" t="inlineStr">
        <is>
          <t>13 - New Equipment (16 Units) - St. Charles - Bldg 5 -</t>
        </is>
      </c>
      <c r="H404" s="86" t="n">
        <v>6350.86</v>
      </c>
      <c r="U404" s="87" t="n">
        <v>6350.86</v>
      </c>
    </row>
    <row r="405" ht="15" customHeight="1" s="80">
      <c r="A405" s="85" t="inlineStr">
        <is>
          <t>04/09/2026</t>
        </is>
      </c>
      <c r="B405" s="85" t="inlineStr">
        <is>
          <t>13 - New Equipment (16 Units) - St. Charles - Bldg 6 -</t>
        </is>
      </c>
      <c r="I405" s="86" t="n">
        <v>1987.61</v>
      </c>
      <c r="U405" s="87" t="n">
        <v>1987.61</v>
      </c>
    </row>
    <row r="406" ht="15" customHeight="1" s="80">
      <c r="A406" s="85" t="inlineStr">
        <is>
          <t>04/09/2026</t>
        </is>
      </c>
      <c r="B406" s="85" t="inlineStr">
        <is>
          <t>13 - New Equipment (16 Units) - St. Charles - Bldg 6 -</t>
        </is>
      </c>
      <c r="I406" s="86" t="n">
        <v>5584.62</v>
      </c>
      <c r="U406" s="87" t="n">
        <v>5584.62</v>
      </c>
    </row>
    <row r="407" ht="15" customHeight="1" s="80">
      <c r="A407" s="85" t="inlineStr">
        <is>
          <t>04/09/2026</t>
        </is>
      </c>
      <c r="B407" s="85" t="inlineStr">
        <is>
          <t>13 - New Equipment (16 Units) - St. Charles - Bldg 7 -</t>
        </is>
      </c>
      <c r="J407" s="86" t="n">
        <v>2124.13</v>
      </c>
      <c r="U407" s="87" t="n">
        <v>2124.13</v>
      </c>
    </row>
    <row r="408" ht="15" customHeight="1" s="80">
      <c r="A408" s="85" t="inlineStr">
        <is>
          <t>04/09/2026</t>
        </is>
      </c>
      <c r="B408" s="85" t="inlineStr">
        <is>
          <t>13 - New Equipment (16 Units) - St. Charles - Bldg 7 -</t>
        </is>
      </c>
      <c r="J408" s="86" t="n">
        <v>6390.8</v>
      </c>
      <c r="U408" s="87" t="n">
        <v>6390.8</v>
      </c>
    </row>
    <row r="409" ht="15" customHeight="1" s="80">
      <c r="A409" s="85" t="inlineStr">
        <is>
          <t>04/09/2026</t>
        </is>
      </c>
      <c r="B409" s="85" t="inlineStr">
        <is>
          <t>13 - New Equipment (16 Units) - St. Charles - Bldg 8 -</t>
        </is>
      </c>
      <c r="K409" s="86" t="n">
        <v>1987.61</v>
      </c>
      <c r="U409" s="87" t="n">
        <v>1987.61</v>
      </c>
    </row>
    <row r="410" ht="15" customHeight="1" s="80">
      <c r="A410" s="85" t="inlineStr">
        <is>
          <t>04/09/2026</t>
        </is>
      </c>
      <c r="B410" s="85" t="inlineStr">
        <is>
          <t>13 - New Equipment (16 Units) - St. Charles - Bldg 8 -</t>
        </is>
      </c>
      <c r="K410" s="86" t="n">
        <v>5584.62</v>
      </c>
      <c r="U410" s="87" t="n">
        <v>5584.62</v>
      </c>
    </row>
    <row r="411" ht="15" customHeight="1" s="80">
      <c r="A411" s="85" t="inlineStr">
        <is>
          <t>04/09/2026</t>
        </is>
      </c>
      <c r="B411" s="85" t="inlineStr">
        <is>
          <t>13 - New Equipment (16 Units) - St. Charles - Bldg 9 -</t>
        </is>
      </c>
      <c r="L411" s="86" t="n">
        <v>965.55</v>
      </c>
      <c r="U411" s="87" t="n">
        <v>965.55</v>
      </c>
    </row>
    <row r="412" ht="15" customHeight="1" s="80">
      <c r="A412" s="85" t="inlineStr">
        <is>
          <t>04/09/2026</t>
        </is>
      </c>
      <c r="B412" s="85" t="inlineStr">
        <is>
          <t>13 - New Equipment (16 Units) - St. Charles - Bldg 9 -</t>
        </is>
      </c>
      <c r="L412" s="86" t="n">
        <v>2406.02</v>
      </c>
      <c r="U412" s="87" t="n">
        <v>2406.02</v>
      </c>
    </row>
    <row r="413" ht="15" customHeight="1" s="80">
      <c r="A413" s="85" t="inlineStr">
        <is>
          <t>04/09/2026</t>
        </is>
      </c>
      <c r="B413" s="85" t="inlineStr">
        <is>
          <t>13 - New Equipment (16 Units) - St. Charles - Bldg 10 -</t>
        </is>
      </c>
      <c r="M413" s="86" t="n">
        <v>2124.13</v>
      </c>
      <c r="U413" s="87" t="n">
        <v>2124.13</v>
      </c>
    </row>
    <row r="414" ht="15" customHeight="1" s="80">
      <c r="A414" s="85" t="inlineStr">
        <is>
          <t>04/09/2026</t>
        </is>
      </c>
      <c r="B414" s="85" t="inlineStr">
        <is>
          <t>13 - New Equipment (16 Units) - St. Charles - Bldg 10 -</t>
        </is>
      </c>
      <c r="M414" s="86" t="n">
        <v>6385.78</v>
      </c>
      <c r="U414" s="87" t="n">
        <v>6385.78</v>
      </c>
    </row>
    <row r="415" ht="15" customHeight="1" s="80">
      <c r="A415" s="85" t="inlineStr">
        <is>
          <t>04/09/2026</t>
        </is>
      </c>
      <c r="B415" s="85" t="inlineStr">
        <is>
          <t>13 - New Equipment (16 Units) - St. Charles - Bldg 11 -</t>
        </is>
      </c>
      <c r="N415" s="86" t="n">
        <v>1987.61</v>
      </c>
      <c r="U415" s="87" t="n">
        <v>1987.61</v>
      </c>
    </row>
    <row r="416" ht="15" customHeight="1" s="80">
      <c r="A416" s="85" t="inlineStr">
        <is>
          <t>04/09/2026</t>
        </is>
      </c>
      <c r="B416" s="85" t="inlineStr">
        <is>
          <t>13 - New Equipment (16 Units) - St. Charles - Bldg 11 -</t>
        </is>
      </c>
      <c r="N416" s="86" t="n">
        <v>5584.62</v>
      </c>
      <c r="U416" s="87" t="n">
        <v>5584.62</v>
      </c>
    </row>
    <row r="417" ht="15" customHeight="1" s="80">
      <c r="A417" s="85" t="inlineStr">
        <is>
          <t>04/09/2026</t>
        </is>
      </c>
      <c r="B417" s="85" t="inlineStr">
        <is>
          <t>13 - New Equipment (16 Units) - St. Charles - Bldg 12 -</t>
        </is>
      </c>
      <c r="O417" s="86" t="n">
        <v>2124.13</v>
      </c>
      <c r="U417" s="87" t="n">
        <v>2124.13</v>
      </c>
    </row>
    <row r="418" ht="15" customHeight="1" s="80">
      <c r="A418" s="85" t="inlineStr">
        <is>
          <t>04/09/2026</t>
        </is>
      </c>
      <c r="B418" s="85" t="inlineStr">
        <is>
          <t>13 - New Equipment (16 Units) - St. Charles - Bldg 12 -</t>
        </is>
      </c>
      <c r="O418" s="86" t="n">
        <v>6390.8</v>
      </c>
      <c r="U418" s="87" t="n">
        <v>6390.8</v>
      </c>
    </row>
    <row r="419" ht="15" customHeight="1" s="80">
      <c r="A419" s="85" t="inlineStr">
        <is>
          <t>04/09/2026</t>
        </is>
      </c>
      <c r="B419" s="85" t="inlineStr">
        <is>
          <t>13 - New Equipment (16 Units) - St. Charles - Bldg 13 -</t>
        </is>
      </c>
      <c r="P419" s="86" t="n">
        <v>1987.61</v>
      </c>
      <c r="U419" s="87" t="n">
        <v>1987.61</v>
      </c>
    </row>
    <row r="420" ht="15" customHeight="1" s="80">
      <c r="A420" s="85" t="inlineStr">
        <is>
          <t>04/09/2026</t>
        </is>
      </c>
      <c r="B420" s="85" t="inlineStr">
        <is>
          <t>13 - New Equipment (16 Units) - St. Charles - Bldg 13 -</t>
        </is>
      </c>
      <c r="P420" s="86" t="n">
        <v>5584.62</v>
      </c>
      <c r="U420" s="87" t="n">
        <v>5584.62</v>
      </c>
    </row>
    <row r="421" ht="15" customHeight="1" s="80">
      <c r="A421" s="85" t="inlineStr">
        <is>
          <t>04/09/2026</t>
        </is>
      </c>
      <c r="B421" s="85" t="inlineStr">
        <is>
          <t>13 - New Equipment (16 Units) - St. Charles - Bldg 14 -</t>
        </is>
      </c>
      <c r="Q421" s="86" t="n">
        <v>2124.13</v>
      </c>
      <c r="U421" s="87" t="n">
        <v>2124.13</v>
      </c>
    </row>
    <row r="422" ht="15" customHeight="1" s="80">
      <c r="A422" s="85" t="inlineStr">
        <is>
          <t>04/09/2026</t>
        </is>
      </c>
      <c r="B422" s="85" t="inlineStr">
        <is>
          <t>13 - New Equipment (16 Units) - St. Charles - Bldg 14 -</t>
        </is>
      </c>
      <c r="Q422" s="86" t="n">
        <v>6385.78</v>
      </c>
      <c r="U422" s="87" t="n">
        <v>6385.78</v>
      </c>
    </row>
    <row r="423" ht="15" customHeight="1" s="80">
      <c r="A423" s="85" t="inlineStr">
        <is>
          <t>04/09/2026</t>
        </is>
      </c>
      <c r="B423" s="85" t="inlineStr">
        <is>
          <t>13 - New Equipment (16 Units) - St. Charles - Bldg 15 -</t>
        </is>
      </c>
      <c r="R423" s="86" t="n">
        <v>1987.61</v>
      </c>
      <c r="U423" s="87" t="n">
        <v>1987.61</v>
      </c>
    </row>
    <row r="424" ht="15" customHeight="1" s="80">
      <c r="A424" s="85" t="inlineStr">
        <is>
          <t>04/09/2026</t>
        </is>
      </c>
      <c r="B424" s="85" t="inlineStr">
        <is>
          <t>13 - New Equipment (16 Units) - St. Charles - Bldg 15 -</t>
        </is>
      </c>
      <c r="R424" s="86" t="n">
        <v>5544.67</v>
      </c>
      <c r="U424" s="87" t="n">
        <v>5544.67</v>
      </c>
    </row>
    <row r="425" ht="15" customHeight="1" s="80">
      <c r="A425" s="85" t="inlineStr">
        <is>
          <t>04/09/2026</t>
        </is>
      </c>
      <c r="B425" s="85" t="inlineStr">
        <is>
          <t>13 - New Equipment (16 Units) - St. Charles - Bldg 16 -</t>
        </is>
      </c>
      <c r="S425" s="86" t="n">
        <v>1987.61</v>
      </c>
      <c r="U425" s="87" t="n">
        <v>1987.61</v>
      </c>
    </row>
    <row r="426" ht="15" customHeight="1" s="80">
      <c r="A426" s="85" t="inlineStr">
        <is>
          <t>04/09/2026</t>
        </is>
      </c>
      <c r="B426" s="85" t="inlineStr">
        <is>
          <t>13 - New Equipment (16 Units) - St. Charles - Bldg 16 -</t>
        </is>
      </c>
      <c r="S426" s="86" t="n">
        <v>5584.62</v>
      </c>
      <c r="U426" s="87" t="n">
        <v>5584.62</v>
      </c>
    </row>
    <row r="427" ht="15" customHeight="1" s="80">
      <c r="A427" s="85" t="inlineStr">
        <is>
          <t>04/09/2026</t>
        </is>
      </c>
      <c r="B427" s="85" t="inlineStr">
        <is>
          <t>13 - New Equipment (16 Units) - St. Charles - Office -</t>
        </is>
      </c>
      <c r="T427" s="86" t="n">
        <v>233</v>
      </c>
      <c r="U427" s="87" t="n">
        <v>233</v>
      </c>
    </row>
    <row r="428" ht="15" customHeight="1" s="80">
      <c r="A428" s="85" t="inlineStr">
        <is>
          <t>04/09/2026</t>
        </is>
      </c>
      <c r="B428" s="85" t="inlineStr">
        <is>
          <t>13 - New Equipment (16 Units) - St. Charles - Office -</t>
        </is>
      </c>
      <c r="T428" s="86" t="n">
        <v>2318.13</v>
      </c>
      <c r="U428" s="87" t="n">
        <v>2318.13</v>
      </c>
    </row>
    <row r="429" ht="15" customHeight="1" s="80">
      <c r="A429" s="85" t="inlineStr">
        <is>
          <t>04/09/2026</t>
        </is>
      </c>
      <c r="B429" s="85" t="inlineStr">
        <is>
          <t>14 - New Buildings (105 Units) - St. Charles - Site -</t>
        </is>
      </c>
      <c r="C429" s="86" t="n">
        <v>233988.6</v>
      </c>
      <c r="U429" s="87" t="n">
        <v>233988.6</v>
      </c>
    </row>
    <row r="430" ht="15" customHeight="1" s="80">
      <c r="A430" s="85" t="inlineStr">
        <is>
          <t>04/09/2026</t>
        </is>
      </c>
      <c r="B430" s="85" t="inlineStr">
        <is>
          <t>14 - New Buildings (105 Units) - St. Charles - Site -</t>
        </is>
      </c>
      <c r="C430" s="86" t="n">
        <v>183331.88</v>
      </c>
      <c r="U430" s="87" t="n">
        <v>183331.88</v>
      </c>
    </row>
    <row r="431" ht="15" customHeight="1" s="80">
      <c r="A431" s="85" t="inlineStr">
        <is>
          <t>04/09/2026</t>
        </is>
      </c>
      <c r="B431" s="85" t="inlineStr">
        <is>
          <t>14 - New Buildings (105 Units) - St. Charles - Bldg 1 -</t>
        </is>
      </c>
      <c r="D431" s="86" t="n">
        <v>60626.59</v>
      </c>
      <c r="U431" s="87" t="n">
        <v>60626.59</v>
      </c>
    </row>
    <row r="432" ht="15" customHeight="1" s="80">
      <c r="A432" s="85" t="inlineStr">
        <is>
          <t>04/09/2026</t>
        </is>
      </c>
      <c r="B432" s="85" t="inlineStr">
        <is>
          <t>14 - New Buildings (105 Units) - St. Charles - Bldg 1 -</t>
        </is>
      </c>
      <c r="D432" s="86" t="n">
        <v>170364.9</v>
      </c>
      <c r="U432" s="87" t="n">
        <v>170364.9</v>
      </c>
    </row>
    <row r="433" ht="15" customHeight="1" s="80">
      <c r="A433" s="85" t="inlineStr">
        <is>
          <t>04/09/2026</t>
        </is>
      </c>
      <c r="B433" s="85" t="inlineStr">
        <is>
          <t>14 - New Buildings (105 Units) - St. Charles - Bldg 2 -</t>
        </is>
      </c>
      <c r="E433" s="86" t="n">
        <v>60681</v>
      </c>
      <c r="U433" s="87" t="n">
        <v>60681</v>
      </c>
    </row>
    <row r="434" ht="15" customHeight="1" s="80">
      <c r="A434" s="85" t="inlineStr">
        <is>
          <t>04/09/2026</t>
        </is>
      </c>
      <c r="B434" s="85" t="inlineStr">
        <is>
          <t>14 - New Buildings (105 Units) - St. Charles - Bldg 2 -</t>
        </is>
      </c>
      <c r="E434" s="86" t="n">
        <v>170364.9</v>
      </c>
      <c r="U434" s="87" t="n">
        <v>170364.9</v>
      </c>
    </row>
    <row r="435" ht="15" customHeight="1" s="80">
      <c r="A435" s="85" t="inlineStr">
        <is>
          <t>04/09/2026</t>
        </is>
      </c>
      <c r="B435" s="85" t="inlineStr">
        <is>
          <t>14 - New Buildings (105 Units) - St. Charles - Bldg 3 -</t>
        </is>
      </c>
      <c r="F435" s="86" t="n">
        <v>60688.77</v>
      </c>
      <c r="U435" s="87" t="n">
        <v>60688.77</v>
      </c>
    </row>
    <row r="436" ht="15" customHeight="1" s="80">
      <c r="A436" s="85" t="inlineStr">
        <is>
          <t>04/09/2026</t>
        </is>
      </c>
      <c r="B436" s="85" t="inlineStr">
        <is>
          <t>14 - New Buildings (105 Units) - St. Charles - Bldg 3 -</t>
        </is>
      </c>
      <c r="F436" s="86" t="n">
        <v>170364.9</v>
      </c>
      <c r="U436" s="87" t="n">
        <v>170364.9</v>
      </c>
    </row>
    <row r="437" ht="15" customHeight="1" s="80">
      <c r="A437" s="85" t="inlineStr">
        <is>
          <t>04/09/2026</t>
        </is>
      </c>
      <c r="B437" s="85" t="inlineStr">
        <is>
          <t>14 - New Buildings (105 Units) - St. Charles - Bldg 4 -</t>
        </is>
      </c>
      <c r="G437" s="86" t="n">
        <v>60688.77</v>
      </c>
      <c r="U437" s="87" t="n">
        <v>60688.77</v>
      </c>
    </row>
    <row r="438" ht="15" customHeight="1" s="80">
      <c r="A438" s="85" t="inlineStr">
        <is>
          <t>04/09/2026</t>
        </is>
      </c>
      <c r="B438" s="85" t="inlineStr">
        <is>
          <t>14 - New Buildings (105 Units) - St. Charles - Bldg 4 -</t>
        </is>
      </c>
      <c r="G438" s="86" t="n">
        <v>169298.62</v>
      </c>
      <c r="U438" s="87" t="n">
        <v>169298.62</v>
      </c>
    </row>
    <row r="439" ht="15" customHeight="1" s="80">
      <c r="A439" s="85" t="inlineStr">
        <is>
          <t>04/09/2026</t>
        </is>
      </c>
      <c r="B439" s="85" t="inlineStr">
        <is>
          <t>14 - New Buildings (105 Units) - St. Charles - Bldg 5 -</t>
        </is>
      </c>
      <c r="H439" s="86" t="n">
        <v>64857.26</v>
      </c>
      <c r="U439" s="87" t="n">
        <v>64857.26</v>
      </c>
    </row>
    <row r="440" ht="15" customHeight="1" s="80">
      <c r="A440" s="85" t="inlineStr">
        <is>
          <t>04/09/2026</t>
        </is>
      </c>
      <c r="B440" s="85" t="inlineStr">
        <is>
          <t>14 - New Buildings (105 Units) - St. Charles - Bldg 5 -</t>
        </is>
      </c>
      <c r="H440" s="86" t="n">
        <v>193914.22</v>
      </c>
      <c r="U440" s="87" t="n">
        <v>193914.22</v>
      </c>
    </row>
    <row r="441" ht="15" customHeight="1" s="80">
      <c r="A441" s="85" t="inlineStr">
        <is>
          <t>04/09/2026</t>
        </is>
      </c>
      <c r="B441" s="85" t="inlineStr">
        <is>
          <t>14 - New Buildings (105 Units) - St. Charles - Bldg 6 -</t>
        </is>
      </c>
      <c r="I441" s="86" t="n">
        <v>60688.77</v>
      </c>
      <c r="U441" s="87" t="n">
        <v>60688.77</v>
      </c>
    </row>
    <row r="442" ht="15" customHeight="1" s="80">
      <c r="A442" s="85" t="inlineStr">
        <is>
          <t>04/09/2026</t>
        </is>
      </c>
      <c r="B442" s="85" t="inlineStr">
        <is>
          <t>14 - New Buildings (105 Units) - St. Charles - Bldg 6 -</t>
        </is>
      </c>
      <c r="I442" s="86" t="n">
        <v>170518.26</v>
      </c>
      <c r="U442" s="87" t="n">
        <v>170518.26</v>
      </c>
    </row>
    <row r="443" ht="15" customHeight="1" s="80">
      <c r="A443" s="85" t="inlineStr">
        <is>
          <t>04/09/2026</t>
        </is>
      </c>
      <c r="B443" s="85" t="inlineStr">
        <is>
          <t>14 - New Buildings (105 Units) - St. Charles - Bldg 7 -</t>
        </is>
      </c>
      <c r="J443" s="86" t="n">
        <v>64857.26</v>
      </c>
      <c r="U443" s="87" t="n">
        <v>64857.26</v>
      </c>
    </row>
    <row r="444" ht="15" customHeight="1" s="80">
      <c r="A444" s="85" t="inlineStr">
        <is>
          <t>04/09/2026</t>
        </is>
      </c>
      <c r="B444" s="85" t="inlineStr">
        <is>
          <t>14 - New Buildings (105 Units) - St. Charles - Bldg 7 -</t>
        </is>
      </c>
      <c r="J444" s="86" t="n">
        <v>195133.85</v>
      </c>
      <c r="U444" s="87" t="n">
        <v>195133.85</v>
      </c>
    </row>
    <row r="445" ht="15" customHeight="1" s="80">
      <c r="A445" s="85" t="inlineStr">
        <is>
          <t>04/09/2026</t>
        </is>
      </c>
      <c r="B445" s="85" t="inlineStr">
        <is>
          <t>14 - New Buildings (105 Units) - St. Charles - Bldg 8 -</t>
        </is>
      </c>
      <c r="K445" s="86" t="n">
        <v>60688.77</v>
      </c>
      <c r="U445" s="87" t="n">
        <v>60688.77</v>
      </c>
    </row>
    <row r="446" ht="15" customHeight="1" s="80">
      <c r="A446" s="85" t="inlineStr">
        <is>
          <t>04/09/2026</t>
        </is>
      </c>
      <c r="B446" s="85" t="inlineStr">
        <is>
          <t>14 - New Buildings (105 Units) - St. Charles - Bldg 8 -</t>
        </is>
      </c>
      <c r="K446" s="86" t="n">
        <v>170518.26</v>
      </c>
      <c r="U446" s="87" t="n">
        <v>170518.26</v>
      </c>
    </row>
    <row r="447" ht="15" customHeight="1" s="80">
      <c r="A447" s="85" t="inlineStr">
        <is>
          <t>04/09/2026</t>
        </is>
      </c>
      <c r="B447" s="85" t="inlineStr">
        <is>
          <t>14 - New Buildings (105 Units) - St. Charles - Bldg 9 -</t>
        </is>
      </c>
      <c r="L447" s="86" t="n">
        <v>29481.65</v>
      </c>
      <c r="U447" s="87" t="n">
        <v>29481.65</v>
      </c>
    </row>
    <row r="448" ht="15" customHeight="1" s="80">
      <c r="A448" s="85" t="inlineStr">
        <is>
          <t>04/09/2026</t>
        </is>
      </c>
      <c r="B448" s="85" t="inlineStr">
        <is>
          <t>14 - New Buildings (105 Units) - St. Charles - Bldg 9 -</t>
        </is>
      </c>
      <c r="L448" s="86" t="n">
        <v>73464.7</v>
      </c>
      <c r="U448" s="87" t="n">
        <v>73464.7</v>
      </c>
    </row>
    <row r="449" ht="15" customHeight="1" s="80">
      <c r="A449" s="85" t="inlineStr">
        <is>
          <t>04/09/2026</t>
        </is>
      </c>
      <c r="B449" s="85" t="inlineStr">
        <is>
          <t>14 - New Buildings (105 Units) - St. Charles - Bldg 10 -</t>
        </is>
      </c>
      <c r="M449" s="86" t="n">
        <v>64857.26</v>
      </c>
      <c r="U449" s="87" t="n">
        <v>64857.26</v>
      </c>
    </row>
    <row r="450" ht="15" customHeight="1" s="80">
      <c r="A450" s="85" t="inlineStr">
        <is>
          <t>04/09/2026</t>
        </is>
      </c>
      <c r="B450" s="85" t="inlineStr">
        <is>
          <t>14 - New Buildings (105 Units) - St. Charles - Bldg 10 -</t>
        </is>
      </c>
      <c r="M450" s="86" t="n">
        <v>194980.48</v>
      </c>
      <c r="U450" s="87" t="n">
        <v>194980.48</v>
      </c>
    </row>
    <row r="451" ht="15" customHeight="1" s="80">
      <c r="A451" s="85" t="inlineStr">
        <is>
          <t>04/09/2026</t>
        </is>
      </c>
      <c r="B451" s="85" t="inlineStr">
        <is>
          <t>14 - New Buildings (105 Units) - St. Charles - Bldg 11 -</t>
        </is>
      </c>
      <c r="N451" s="86" t="n">
        <v>60688.77</v>
      </c>
      <c r="U451" s="87" t="n">
        <v>60688.77</v>
      </c>
    </row>
    <row r="452" ht="15" customHeight="1" s="80">
      <c r="A452" s="85" t="inlineStr">
        <is>
          <t>04/09/2026</t>
        </is>
      </c>
      <c r="B452" s="85" t="inlineStr">
        <is>
          <t>14 - New Buildings (105 Units) - St. Charles - Bldg 11 -</t>
        </is>
      </c>
      <c r="N452" s="86" t="n">
        <v>170518.26</v>
      </c>
      <c r="U452" s="87" t="n">
        <v>170518.26</v>
      </c>
    </row>
    <row r="453" ht="15" customHeight="1" s="80">
      <c r="A453" s="85" t="inlineStr">
        <is>
          <t>04/09/2026</t>
        </is>
      </c>
      <c r="B453" s="85" t="inlineStr">
        <is>
          <t>14 - New Buildings (105 Units) - St. Charles - Bldg 12 -</t>
        </is>
      </c>
      <c r="O453" s="86" t="n">
        <v>64857.26</v>
      </c>
      <c r="U453" s="87" t="n">
        <v>64857.26</v>
      </c>
    </row>
    <row r="454" ht="15" customHeight="1" s="80">
      <c r="A454" s="85" t="inlineStr">
        <is>
          <t>04/09/2026</t>
        </is>
      </c>
      <c r="B454" s="85" t="inlineStr">
        <is>
          <t>14 - New Buildings (105 Units) - St. Charles - Bldg 12 -</t>
        </is>
      </c>
      <c r="O454" s="86" t="n">
        <v>195133.85</v>
      </c>
      <c r="U454" s="87" t="n">
        <v>195133.85</v>
      </c>
    </row>
    <row r="455" ht="15" customHeight="1" s="80">
      <c r="A455" s="85" t="inlineStr">
        <is>
          <t>04/09/2026</t>
        </is>
      </c>
      <c r="B455" s="85" t="inlineStr">
        <is>
          <t>14 - New Buildings (105 Units) - St. Charles - Bldg 13 -</t>
        </is>
      </c>
      <c r="P455" s="86" t="n">
        <v>60688.77</v>
      </c>
      <c r="U455" s="87" t="n">
        <v>60688.77</v>
      </c>
    </row>
    <row r="456" ht="15" customHeight="1" s="80">
      <c r="A456" s="85" t="inlineStr">
        <is>
          <t>04/09/2026</t>
        </is>
      </c>
      <c r="B456" s="85" t="inlineStr">
        <is>
          <t>14 - New Buildings (105 Units) - St. Charles - Bldg 13 -</t>
        </is>
      </c>
      <c r="P456" s="86" t="n">
        <v>170518.26</v>
      </c>
      <c r="U456" s="87" t="n">
        <v>170518.26</v>
      </c>
    </row>
    <row r="457" ht="15" customHeight="1" s="80">
      <c r="A457" s="85" t="inlineStr">
        <is>
          <t>04/09/2026</t>
        </is>
      </c>
      <c r="B457" s="85" t="inlineStr">
        <is>
          <t>14 - New Buildings (105 Units) - St. Charles - Bldg 14 -</t>
        </is>
      </c>
      <c r="Q457" s="86" t="n">
        <v>64857.26</v>
      </c>
      <c r="U457" s="87" t="n">
        <v>64857.26</v>
      </c>
    </row>
    <row r="458" ht="15" customHeight="1" s="80">
      <c r="A458" s="85" t="inlineStr">
        <is>
          <t>04/09/2026</t>
        </is>
      </c>
      <c r="B458" s="85" t="inlineStr">
        <is>
          <t>14 - New Buildings (105 Units) - St. Charles - Bldg 14 -</t>
        </is>
      </c>
      <c r="Q458" s="86" t="n">
        <v>194980.48</v>
      </c>
      <c r="U458" s="87" t="n">
        <v>194980.48</v>
      </c>
    </row>
    <row r="459" ht="15" customHeight="1" s="80">
      <c r="A459" s="85" t="inlineStr">
        <is>
          <t>04/09/2026</t>
        </is>
      </c>
      <c r="B459" s="85" t="inlineStr">
        <is>
          <t>14 - New Buildings (105 Units) - St. Charles - Bldg 15 -</t>
        </is>
      </c>
      <c r="R459" s="86" t="n">
        <v>60688.77</v>
      </c>
      <c r="U459" s="87" t="n">
        <v>60688.77</v>
      </c>
    </row>
    <row r="460" ht="15" customHeight="1" s="80">
      <c r="A460" s="85" t="inlineStr">
        <is>
          <t>04/09/2026</t>
        </is>
      </c>
      <c r="B460" s="85" t="inlineStr">
        <is>
          <t>14 - New Buildings (105 Units) - St. Charles - Bldg 15 -</t>
        </is>
      </c>
      <c r="R460" s="86" t="n">
        <v>169298.62</v>
      </c>
      <c r="U460" s="87" t="n">
        <v>169298.62</v>
      </c>
    </row>
    <row r="461" ht="15" customHeight="1" s="80">
      <c r="A461" s="85" t="inlineStr">
        <is>
          <t>04/09/2026</t>
        </is>
      </c>
      <c r="B461" s="85" t="inlineStr">
        <is>
          <t>14 - New Buildings (105 Units) - St. Charles - Bldg 16 -</t>
        </is>
      </c>
      <c r="S461" s="86" t="n">
        <v>60688.77</v>
      </c>
      <c r="U461" s="87" t="n">
        <v>60688.77</v>
      </c>
    </row>
    <row r="462" ht="15" customHeight="1" s="80">
      <c r="A462" s="85" t="inlineStr">
        <is>
          <t>04/09/2026</t>
        </is>
      </c>
      <c r="B462" s="85" t="inlineStr">
        <is>
          <t>14 - New Buildings (105 Units) - St. Charles - Bldg 16 -</t>
        </is>
      </c>
      <c r="S462" s="86" t="n">
        <v>170518.26</v>
      </c>
      <c r="U462" s="87" t="n">
        <v>170518.26</v>
      </c>
    </row>
    <row r="463" ht="15" customHeight="1" s="80">
      <c r="A463" s="85" t="inlineStr">
        <is>
          <t>04/09/2026</t>
        </is>
      </c>
      <c r="B463" s="85" t="inlineStr">
        <is>
          <t>14 - New Buildings (105 Units) - St. Charles - Office -</t>
        </is>
      </c>
      <c r="T463" s="86" t="n">
        <v>7114.4</v>
      </c>
      <c r="U463" s="87" t="n">
        <v>7114.4</v>
      </c>
    </row>
    <row r="464" ht="15" customHeight="1" s="80">
      <c r="A464" s="85" t="inlineStr">
        <is>
          <t>04/09/2026</t>
        </is>
      </c>
      <c r="B464" s="85" t="inlineStr">
        <is>
          <t>14 - New Buildings (105 Units) - St. Charles - Office -</t>
        </is>
      </c>
      <c r="T464" s="86" t="n">
        <v>70780.60000000001</v>
      </c>
      <c r="U464" s="87" t="n">
        <v>70780.60000000001</v>
      </c>
    </row>
    <row r="465" ht="15" customHeight="1" s="80">
      <c r="A465" s="85" t="inlineStr">
        <is>
          <t>04/09/2026</t>
        </is>
      </c>
      <c r="B465" s="85" t="inlineStr">
        <is>
          <t>15 - New Equipment (105 Units) - St. Charles - Site -</t>
        </is>
      </c>
      <c r="C465" s="86" t="n">
        <v>51363.37</v>
      </c>
      <c r="U465" s="87" t="n">
        <v>51363.37</v>
      </c>
    </row>
    <row r="466" ht="15" customHeight="1" s="80">
      <c r="A466" s="85" t="inlineStr">
        <is>
          <t>04/09/2026</t>
        </is>
      </c>
      <c r="B466" s="85" t="inlineStr">
        <is>
          <t>15 - New Equipment (105 Units) - St. Charles - Site -</t>
        </is>
      </c>
      <c r="C466" s="86" t="n">
        <v>40243.6</v>
      </c>
      <c r="U466" s="87" t="n">
        <v>40243.6</v>
      </c>
    </row>
    <row r="467" ht="15" customHeight="1" s="80">
      <c r="A467" s="85" t="inlineStr">
        <is>
          <t>04/09/2026</t>
        </is>
      </c>
      <c r="B467" s="85" t="inlineStr">
        <is>
          <t>15 - New Equipment (105 Units) - St. Charles - Bldg 1 -</t>
        </is>
      </c>
      <c r="D467" s="86" t="n">
        <v>13308.28</v>
      </c>
      <c r="U467" s="87" t="n">
        <v>13308.28</v>
      </c>
    </row>
    <row r="468" ht="15" customHeight="1" s="80">
      <c r="A468" s="85" t="inlineStr">
        <is>
          <t>04/09/2026</t>
        </is>
      </c>
      <c r="B468" s="85" t="inlineStr">
        <is>
          <t>15 - New Equipment (105 Units) - St. Charles - Bldg 1 -</t>
        </is>
      </c>
      <c r="D468" s="86" t="n">
        <v>37397.19</v>
      </c>
      <c r="U468" s="87" t="n">
        <v>37397.19</v>
      </c>
    </row>
    <row r="469" ht="15" customHeight="1" s="80">
      <c r="A469" s="85" t="inlineStr">
        <is>
          <t>04/09/2026</t>
        </is>
      </c>
      <c r="B469" s="85" t="inlineStr">
        <is>
          <t>15 - New Equipment (105 Units) - St. Charles - Bldg 2 -</t>
        </is>
      </c>
      <c r="E469" s="86" t="n">
        <v>13320.23</v>
      </c>
      <c r="U469" s="87" t="n">
        <v>13320.23</v>
      </c>
    </row>
    <row r="470" ht="15" customHeight="1" s="80">
      <c r="A470" s="85" t="inlineStr">
        <is>
          <t>04/09/2026</t>
        </is>
      </c>
      <c r="B470" s="85" t="inlineStr">
        <is>
          <t>15 - New Equipment (105 Units) - St. Charles - Bldg 2 -</t>
        </is>
      </c>
      <c r="E470" s="86" t="n">
        <v>37397.18</v>
      </c>
      <c r="U470" s="87" t="n">
        <v>37397.18</v>
      </c>
    </row>
    <row r="471" ht="15" customHeight="1" s="80">
      <c r="A471" s="85" t="inlineStr">
        <is>
          <t>04/09/2026</t>
        </is>
      </c>
      <c r="B471" s="85" t="inlineStr">
        <is>
          <t>15 - New Equipment (105 Units) - St. Charles - Bldg 3 -</t>
        </is>
      </c>
      <c r="F471" s="86" t="n">
        <v>13321.93</v>
      </c>
      <c r="U471" s="87" t="n">
        <v>13321.93</v>
      </c>
    </row>
    <row r="472" ht="15" customHeight="1" s="80">
      <c r="A472" s="85" t="inlineStr">
        <is>
          <t>04/09/2026</t>
        </is>
      </c>
      <c r="B472" s="85" t="inlineStr">
        <is>
          <t>15 - New Equipment (105 Units) - St. Charles - Bldg 3 -</t>
        </is>
      </c>
      <c r="F472" s="86" t="n">
        <v>37397.19</v>
      </c>
      <c r="U472" s="87" t="n">
        <v>37397.19</v>
      </c>
    </row>
    <row r="473" ht="15" customHeight="1" s="80">
      <c r="A473" s="85" t="inlineStr">
        <is>
          <t>04/09/2026</t>
        </is>
      </c>
      <c r="B473" s="85" t="inlineStr">
        <is>
          <t>15 - New Equipment (105 Units) - St. Charles - Bldg 4 -</t>
        </is>
      </c>
      <c r="G473" s="86" t="n">
        <v>13321.94</v>
      </c>
      <c r="U473" s="87" t="n">
        <v>13321.94</v>
      </c>
    </row>
    <row r="474" ht="15" customHeight="1" s="80">
      <c r="A474" s="85" t="inlineStr">
        <is>
          <t>04/09/2026</t>
        </is>
      </c>
      <c r="B474" s="85" t="inlineStr">
        <is>
          <t>15 - New Equipment (105 Units) - St. Charles - Bldg 4 -</t>
        </is>
      </c>
      <c r="G474" s="86" t="n">
        <v>37163.11</v>
      </c>
      <c r="U474" s="87" t="n">
        <v>37163.11</v>
      </c>
    </row>
    <row r="475" ht="15" customHeight="1" s="80">
      <c r="A475" s="85" t="inlineStr">
        <is>
          <t>04/09/2026</t>
        </is>
      </c>
      <c r="B475" s="85" t="inlineStr">
        <is>
          <t>15 - New Equipment (105 Units) - St. Charles - Bldg 5 -</t>
        </is>
      </c>
      <c r="H475" s="86" t="n">
        <v>14236.95</v>
      </c>
      <c r="U475" s="87" t="n">
        <v>14236.95</v>
      </c>
    </row>
    <row r="476" ht="15" customHeight="1" s="80">
      <c r="A476" s="85" t="inlineStr">
        <is>
          <t>04/09/2026</t>
        </is>
      </c>
      <c r="B476" s="85" t="inlineStr">
        <is>
          <t>15 - New Equipment (105 Units) - St. Charles - Bldg 5 -</t>
        </is>
      </c>
      <c r="H476" s="86" t="n">
        <v>42566.56</v>
      </c>
      <c r="U476" s="87" t="n">
        <v>42566.56</v>
      </c>
    </row>
    <row r="477" ht="15" customHeight="1" s="80">
      <c r="A477" s="85" t="inlineStr">
        <is>
          <t>04/09/2026</t>
        </is>
      </c>
      <c r="B477" s="85" t="inlineStr">
        <is>
          <t>15 - New Equipment (105 Units) - St. Charles - Bldg 6 -</t>
        </is>
      </c>
      <c r="I477" s="86" t="n">
        <v>13321.94</v>
      </c>
      <c r="U477" s="87" t="n">
        <v>13321.94</v>
      </c>
    </row>
    <row r="478" ht="15" customHeight="1" s="80">
      <c r="A478" s="85" t="inlineStr">
        <is>
          <t>04/09/2026</t>
        </is>
      </c>
      <c r="B478" s="85" t="inlineStr">
        <is>
          <t>15 - New Equipment (105 Units) - St. Charles - Bldg 6 -</t>
        </is>
      </c>
      <c r="I478" s="86" t="n">
        <v>37430.84</v>
      </c>
      <c r="U478" s="87" t="n">
        <v>37430.84</v>
      </c>
    </row>
    <row r="479" ht="15" customHeight="1" s="80">
      <c r="A479" s="85" t="inlineStr">
        <is>
          <t>04/09/2026</t>
        </is>
      </c>
      <c r="B479" s="85" t="inlineStr">
        <is>
          <t>15 - New Equipment (105 Units) - St. Charles - Bldg 7 -</t>
        </is>
      </c>
      <c r="J479" s="86" t="n">
        <v>14236.95</v>
      </c>
      <c r="U479" s="87" t="n">
        <v>14236.95</v>
      </c>
    </row>
    <row r="480" ht="15" customHeight="1" s="80">
      <c r="A480" s="85" t="inlineStr">
        <is>
          <t>04/09/2026</t>
        </is>
      </c>
      <c r="B480" s="85" t="inlineStr">
        <is>
          <t>15 - New Equipment (105 Units) - St. Charles - Bldg 7 -</t>
        </is>
      </c>
      <c r="J480" s="86" t="n">
        <v>42834.29</v>
      </c>
      <c r="U480" s="87" t="n">
        <v>42834.29</v>
      </c>
    </row>
    <row r="481" ht="15" customHeight="1" s="80">
      <c r="A481" s="85" t="inlineStr">
        <is>
          <t>04/09/2026</t>
        </is>
      </c>
      <c r="B481" s="85" t="inlineStr">
        <is>
          <t>15 - New Equipment (105 Units) - St. Charles - Bldg 8 -</t>
        </is>
      </c>
      <c r="K481" s="86" t="n">
        <v>13321.94</v>
      </c>
      <c r="U481" s="87" t="n">
        <v>13321.94</v>
      </c>
    </row>
    <row r="482" ht="15" customHeight="1" s="80">
      <c r="A482" s="85" t="inlineStr">
        <is>
          <t>04/09/2026</t>
        </is>
      </c>
      <c r="B482" s="85" t="inlineStr">
        <is>
          <t>15 - New Equipment (105 Units) - St. Charles - Bldg 8 -</t>
        </is>
      </c>
      <c r="K482" s="86" t="n">
        <v>37430.84</v>
      </c>
      <c r="U482" s="87" t="n">
        <v>37430.84</v>
      </c>
    </row>
    <row r="483" ht="15" customHeight="1" s="80">
      <c r="A483" s="85" t="inlineStr">
        <is>
          <t>04/09/2026</t>
        </is>
      </c>
      <c r="B483" s="85" t="inlineStr">
        <is>
          <t>15 - New Equipment (105 Units) - St. Charles - Bldg 9 -</t>
        </is>
      </c>
      <c r="L483" s="86" t="n">
        <v>6471.57</v>
      </c>
      <c r="U483" s="87" t="n">
        <v>6471.57</v>
      </c>
    </row>
    <row r="484" ht="15" customHeight="1" s="80">
      <c r="A484" s="85" t="inlineStr">
        <is>
          <t>04/09/2026</t>
        </is>
      </c>
      <c r="B484" s="85" t="inlineStr">
        <is>
          <t>15 - New Equipment (105 Units) - St. Charles - Bldg 9 -</t>
        </is>
      </c>
      <c r="L484" s="86" t="n">
        <v>16126.42</v>
      </c>
      <c r="U484" s="87" t="n">
        <v>16126.42</v>
      </c>
    </row>
    <row r="485" ht="15" customHeight="1" s="80">
      <c r="A485" s="85" t="inlineStr">
        <is>
          <t>04/09/2026</t>
        </is>
      </c>
      <c r="B485" s="85" t="inlineStr">
        <is>
          <t>15 - New Equipment (105 Units) - St. Charles - Bldg 10 -</t>
        </is>
      </c>
      <c r="M485" s="86" t="n">
        <v>14236.95</v>
      </c>
      <c r="U485" s="87" t="n">
        <v>14236.95</v>
      </c>
    </row>
    <row r="486" ht="15" customHeight="1" s="80">
      <c r="A486" s="85" t="inlineStr">
        <is>
          <t>04/09/2026</t>
        </is>
      </c>
      <c r="B486" s="85" t="inlineStr">
        <is>
          <t>15 - New Equipment (105 Units) - St. Charles - Bldg 10 -</t>
        </is>
      </c>
      <c r="M486" s="86" t="n">
        <v>42800.62</v>
      </c>
      <c r="U486" s="87" t="n">
        <v>42800.62</v>
      </c>
    </row>
    <row r="487" ht="15" customHeight="1" s="80">
      <c r="A487" s="85" t="inlineStr">
        <is>
          <t>04/09/2026</t>
        </is>
      </c>
      <c r="B487" s="85" t="inlineStr">
        <is>
          <t>15 - New Equipment (105 Units) - St. Charles - Bldg 11 -</t>
        </is>
      </c>
      <c r="N487" s="86" t="n">
        <v>13321.94</v>
      </c>
      <c r="U487" s="87" t="n">
        <v>13321.94</v>
      </c>
    </row>
    <row r="488" ht="15" customHeight="1" s="80">
      <c r="A488" s="85" t="inlineStr">
        <is>
          <t>04/09/2026</t>
        </is>
      </c>
      <c r="B488" s="85" t="inlineStr">
        <is>
          <t>15 - New Equipment (105 Units) - St. Charles - Bldg 11 -</t>
        </is>
      </c>
      <c r="N488" s="86" t="n">
        <v>37430.84</v>
      </c>
      <c r="U488" s="87" t="n">
        <v>37430.84</v>
      </c>
    </row>
    <row r="489" ht="15" customHeight="1" s="80">
      <c r="A489" s="85" t="inlineStr">
        <is>
          <t>04/09/2026</t>
        </is>
      </c>
      <c r="B489" s="85" t="inlineStr">
        <is>
          <t>15 - New Equipment (105 Units) - St. Charles - Bldg 12 -</t>
        </is>
      </c>
      <c r="O489" s="86" t="n">
        <v>14236.95</v>
      </c>
      <c r="U489" s="87" t="n">
        <v>14236.95</v>
      </c>
    </row>
    <row r="490" ht="15" customHeight="1" s="80">
      <c r="A490" s="85" t="inlineStr">
        <is>
          <t>04/09/2026</t>
        </is>
      </c>
      <c r="B490" s="85" t="inlineStr">
        <is>
          <t>15 - New Equipment (105 Units) - St. Charles - Bldg 12 -</t>
        </is>
      </c>
      <c r="O490" s="86" t="n">
        <v>42834.29</v>
      </c>
      <c r="U490" s="87" t="n">
        <v>42834.29</v>
      </c>
    </row>
    <row r="491" ht="15" customHeight="1" s="80">
      <c r="A491" s="85" t="inlineStr">
        <is>
          <t>04/09/2026</t>
        </is>
      </c>
      <c r="B491" s="85" t="inlineStr">
        <is>
          <t>15 - New Equipment (105 Units) - St. Charles - Bldg 13 -</t>
        </is>
      </c>
      <c r="P491" s="86" t="n">
        <v>13321.94</v>
      </c>
      <c r="U491" s="87" t="n">
        <v>13321.94</v>
      </c>
    </row>
    <row r="492" ht="15" customHeight="1" s="80">
      <c r="A492" s="85" t="inlineStr">
        <is>
          <t>04/09/2026</t>
        </is>
      </c>
      <c r="B492" s="85" t="inlineStr">
        <is>
          <t>15 - New Equipment (105 Units) - St. Charles - Bldg 13 -</t>
        </is>
      </c>
      <c r="P492" s="86" t="n">
        <v>37430.84</v>
      </c>
      <c r="U492" s="87" t="n">
        <v>37430.84</v>
      </c>
    </row>
    <row r="493" ht="15" customHeight="1" s="80">
      <c r="A493" s="85" t="inlineStr">
        <is>
          <t>04/09/2026</t>
        </is>
      </c>
      <c r="B493" s="85" t="inlineStr">
        <is>
          <t>15 - New Equipment (105 Units) - St. Charles - Bldg 14 -</t>
        </is>
      </c>
      <c r="Q493" s="86" t="n">
        <v>14236.95</v>
      </c>
      <c r="U493" s="87" t="n">
        <v>14236.95</v>
      </c>
    </row>
    <row r="494" ht="15" customHeight="1" s="80">
      <c r="A494" s="85" t="inlineStr">
        <is>
          <t>04/09/2026</t>
        </is>
      </c>
      <c r="B494" s="85" t="inlineStr">
        <is>
          <t>15 - New Equipment (105 Units) - St. Charles - Bldg 14 -</t>
        </is>
      </c>
      <c r="Q494" s="86" t="n">
        <v>42800.62</v>
      </c>
      <c r="U494" s="87" t="n">
        <v>42800.62</v>
      </c>
    </row>
    <row r="495" ht="15" customHeight="1" s="80">
      <c r="A495" s="85" t="inlineStr">
        <is>
          <t>04/09/2026</t>
        </is>
      </c>
      <c r="B495" s="85" t="inlineStr">
        <is>
          <t>15 - New Equipment (105 Units) - St. Charles - Bldg 15 -</t>
        </is>
      </c>
      <c r="R495" s="86" t="n">
        <v>13321.94</v>
      </c>
      <c r="U495" s="87" t="n">
        <v>13321.94</v>
      </c>
    </row>
    <row r="496" ht="15" customHeight="1" s="80">
      <c r="A496" s="85" t="inlineStr">
        <is>
          <t>04/09/2026</t>
        </is>
      </c>
      <c r="B496" s="85" t="inlineStr">
        <is>
          <t>15 - New Equipment (105 Units) - St. Charles - Bldg 15 -</t>
        </is>
      </c>
      <c r="R496" s="86" t="n">
        <v>37163.11</v>
      </c>
      <c r="U496" s="87" t="n">
        <v>37163.11</v>
      </c>
    </row>
    <row r="497" ht="15" customHeight="1" s="80">
      <c r="A497" s="85" t="inlineStr">
        <is>
          <t>04/09/2026</t>
        </is>
      </c>
      <c r="B497" s="85" t="inlineStr">
        <is>
          <t>15 - New Equipment (105 Units) - St. Charles - Bldg 16 -</t>
        </is>
      </c>
      <c r="S497" s="86" t="n">
        <v>13321.94</v>
      </c>
      <c r="U497" s="87" t="n">
        <v>13321.94</v>
      </c>
    </row>
    <row r="498" ht="15" customHeight="1" s="80">
      <c r="A498" s="85" t="inlineStr">
        <is>
          <t>04/09/2026</t>
        </is>
      </c>
      <c r="B498" s="85" t="inlineStr">
        <is>
          <t>15 - New Equipment (105 Units) - St. Charles - Bldg 16 -</t>
        </is>
      </c>
      <c r="S498" s="86" t="n">
        <v>37430.84</v>
      </c>
      <c r="U498" s="87" t="n">
        <v>37430.84</v>
      </c>
    </row>
    <row r="499" ht="15" customHeight="1" s="80">
      <c r="A499" s="85" t="inlineStr">
        <is>
          <t>04/09/2026</t>
        </is>
      </c>
      <c r="B499" s="85" t="inlineStr">
        <is>
          <t>15 - New Equipment (105 Units) - St. Charles - Office -</t>
        </is>
      </c>
      <c r="T499" s="86" t="n">
        <v>1561.69</v>
      </c>
      <c r="U499" s="87" t="n">
        <v>1561.69</v>
      </c>
    </row>
    <row r="500" ht="15" customHeight="1" s="80">
      <c r="A500" s="85" t="inlineStr">
        <is>
          <t>04/09/2026</t>
        </is>
      </c>
      <c r="B500" s="85" t="inlineStr">
        <is>
          <t>15 - New Equipment (105 Units) - St. Charles - Office -</t>
        </is>
      </c>
      <c r="T500" s="86" t="n">
        <v>15537.22</v>
      </c>
      <c r="U500" s="87" t="n">
        <v>15537.22</v>
      </c>
    </row>
    <row r="501" ht="15" customHeight="1" s="80">
      <c r="A501" s="85" t="inlineStr">
        <is>
          <t>04/09/2026</t>
        </is>
      </c>
      <c r="B501" s="85" t="inlineStr">
        <is>
          <t>111 - Building Imp (Post Casualty Loss) - St. Charles - Site -</t>
        </is>
      </c>
      <c r="C501" s="86" t="n">
        <v>1635.93</v>
      </c>
      <c r="U501" s="87" t="n">
        <v>1635.93</v>
      </c>
    </row>
    <row r="502" ht="15" customHeight="1" s="80">
      <c r="A502" s="85" t="inlineStr">
        <is>
          <t>04/09/2026</t>
        </is>
      </c>
      <c r="B502" s="85" t="inlineStr">
        <is>
          <t>111 - Building Imp (Post Casualty Loss) - St. Charles - Site -</t>
        </is>
      </c>
      <c r="C502" s="86" t="n">
        <v>1281.76</v>
      </c>
      <c r="U502" s="87" t="n">
        <v>1281.76</v>
      </c>
    </row>
    <row r="503" ht="15" customHeight="1" s="80">
      <c r="A503" s="85" t="inlineStr">
        <is>
          <t>04/09/2026</t>
        </is>
      </c>
      <c r="B503" s="85" t="inlineStr">
        <is>
          <t>111 - Building Imp (Post Casualty Loss) - St. Charles - Bldg 1 -</t>
        </is>
      </c>
      <c r="D503" s="86" t="n">
        <v>423.87</v>
      </c>
      <c r="U503" s="87" t="n">
        <v>423.87</v>
      </c>
    </row>
    <row r="504" ht="15" customHeight="1" s="80">
      <c r="A504" s="85" t="inlineStr">
        <is>
          <t>04/09/2026</t>
        </is>
      </c>
      <c r="B504" s="85" t="inlineStr">
        <is>
          <t>111 - Building Imp (Post Casualty Loss) - St. Charles - Bldg 1 -</t>
        </is>
      </c>
      <c r="D504" s="86" t="n">
        <v>1191.1</v>
      </c>
      <c r="U504" s="87" t="n">
        <v>1191.1</v>
      </c>
    </row>
    <row r="505" ht="15" customHeight="1" s="80">
      <c r="A505" s="85" t="inlineStr">
        <is>
          <t>04/09/2026</t>
        </is>
      </c>
      <c r="B505" s="85" t="inlineStr">
        <is>
          <t>111 - Building Imp (Post Casualty Loss) - St. Charles - Bldg 2 -</t>
        </is>
      </c>
      <c r="E505" s="86" t="n">
        <v>424.25</v>
      </c>
      <c r="U505" s="87" t="n">
        <v>424.25</v>
      </c>
    </row>
    <row r="506" ht="15" customHeight="1" s="80">
      <c r="A506" s="85" t="inlineStr">
        <is>
          <t>04/09/2026</t>
        </is>
      </c>
      <c r="B506" s="85" t="inlineStr">
        <is>
          <t>111 - Building Imp (Post Casualty Loss) - St. Charles - Bldg 2 -</t>
        </is>
      </c>
      <c r="E506" s="86" t="n">
        <v>1191.1</v>
      </c>
      <c r="U506" s="87" t="n">
        <v>1191.1</v>
      </c>
    </row>
    <row r="507" ht="15" customHeight="1" s="80">
      <c r="A507" s="85" t="inlineStr">
        <is>
          <t>04/09/2026</t>
        </is>
      </c>
      <c r="B507" s="85" t="inlineStr">
        <is>
          <t>111 - Building Imp (Post Casualty Loss) - St. Charles - Bldg 3 -</t>
        </is>
      </c>
      <c r="F507" s="86" t="n">
        <v>424.31</v>
      </c>
      <c r="U507" s="87" t="n">
        <v>424.31</v>
      </c>
    </row>
    <row r="508" ht="15" customHeight="1" s="80">
      <c r="A508" s="85" t="inlineStr">
        <is>
          <t>04/09/2026</t>
        </is>
      </c>
      <c r="B508" s="85" t="inlineStr">
        <is>
          <t>111 - Building Imp (Post Casualty Loss) - St. Charles - Bldg 3 -</t>
        </is>
      </c>
      <c r="F508" s="86" t="n">
        <v>1191.1</v>
      </c>
      <c r="U508" s="87" t="n">
        <v>1191.1</v>
      </c>
    </row>
    <row r="509" ht="15" customHeight="1" s="80">
      <c r="A509" s="85" t="inlineStr">
        <is>
          <t>04/09/2026</t>
        </is>
      </c>
      <c r="B509" s="85" t="inlineStr">
        <is>
          <t>111 - Building Imp (Post Casualty Loss) - St. Charles - Bldg 4 -</t>
        </is>
      </c>
      <c r="G509" s="86" t="n">
        <v>424.3</v>
      </c>
      <c r="U509" s="87" t="n">
        <v>424.3</v>
      </c>
    </row>
    <row r="510" ht="15" customHeight="1" s="80">
      <c r="A510" s="85" t="inlineStr">
        <is>
          <t>04/09/2026</t>
        </is>
      </c>
      <c r="B510" s="85" t="inlineStr">
        <is>
          <t>111 - Building Imp (Post Casualty Loss) - St. Charles - Bldg 4 -</t>
        </is>
      </c>
      <c r="G510" s="86" t="n">
        <v>1183.65</v>
      </c>
      <c r="U510" s="87" t="n">
        <v>1183.65</v>
      </c>
    </row>
    <row r="511" ht="15" customHeight="1" s="80">
      <c r="A511" s="85" t="inlineStr">
        <is>
          <t>04/09/2026</t>
        </is>
      </c>
      <c r="B511" s="85" t="inlineStr">
        <is>
          <t>111 - Building Imp (Post Casualty Loss) - St. Charles - Bldg 5 -</t>
        </is>
      </c>
      <c r="H511" s="86" t="n">
        <v>453.45</v>
      </c>
      <c r="U511" s="87" t="n">
        <v>453.45</v>
      </c>
    </row>
    <row r="512" ht="15" customHeight="1" s="80">
      <c r="A512" s="85" t="inlineStr">
        <is>
          <t>04/09/2026</t>
        </is>
      </c>
      <c r="B512" s="85" t="inlineStr">
        <is>
          <t>111 - Building Imp (Post Casualty Loss) - St. Charles - Bldg 5 -</t>
        </is>
      </c>
      <c r="H512" s="86" t="n">
        <v>1355.74</v>
      </c>
      <c r="U512" s="87" t="n">
        <v>1355.74</v>
      </c>
    </row>
    <row r="513" ht="15" customHeight="1" s="80">
      <c r="A513" s="85" t="inlineStr">
        <is>
          <t>04/09/2026</t>
        </is>
      </c>
      <c r="B513" s="85" t="inlineStr">
        <is>
          <t>111 - Building Imp (Post Casualty Loss) - St. Charles - Bldg 6 -</t>
        </is>
      </c>
      <c r="I513" s="86" t="n">
        <v>424.3</v>
      </c>
      <c r="U513" s="87" t="n">
        <v>424.3</v>
      </c>
    </row>
    <row r="514" ht="15" customHeight="1" s="80">
      <c r="A514" s="85" t="inlineStr">
        <is>
          <t>04/09/2026</t>
        </is>
      </c>
      <c r="B514" s="85" t="inlineStr">
        <is>
          <t>111 - Building Imp (Post Casualty Loss) - St. Charles - Bldg 6 -</t>
        </is>
      </c>
      <c r="I514" s="86" t="n">
        <v>1192.18</v>
      </c>
      <c r="U514" s="87" t="n">
        <v>1192.18</v>
      </c>
    </row>
    <row r="515" ht="15" customHeight="1" s="80">
      <c r="A515" s="85" t="inlineStr">
        <is>
          <t>04/09/2026</t>
        </is>
      </c>
      <c r="B515" s="85" t="inlineStr">
        <is>
          <t>111 - Building Imp (Post Casualty Loss) - St. Charles - Bldg 7 -</t>
        </is>
      </c>
      <c r="J515" s="86" t="n">
        <v>453.45</v>
      </c>
      <c r="U515" s="87" t="n">
        <v>453.45</v>
      </c>
    </row>
    <row r="516" ht="15" customHeight="1" s="80">
      <c r="A516" s="85" t="inlineStr">
        <is>
          <t>04/09/2026</t>
        </is>
      </c>
      <c r="B516" s="85" t="inlineStr">
        <is>
          <t>111 - Building Imp (Post Casualty Loss) - St. Charles - Bldg 7 -</t>
        </is>
      </c>
      <c r="J516" s="86" t="n">
        <v>1364.27</v>
      </c>
      <c r="U516" s="87" t="n">
        <v>1364.27</v>
      </c>
    </row>
    <row r="517" ht="15" customHeight="1" s="80">
      <c r="A517" s="85" t="inlineStr">
        <is>
          <t>04/09/2026</t>
        </is>
      </c>
      <c r="B517" s="85" t="inlineStr">
        <is>
          <t>111 - Building Imp (Post Casualty Loss) - St. Charles - Bldg 8 -</t>
        </is>
      </c>
      <c r="K517" s="86" t="n">
        <v>424.3</v>
      </c>
      <c r="U517" s="87" t="n">
        <v>424.3</v>
      </c>
    </row>
    <row r="518" ht="15" customHeight="1" s="80">
      <c r="A518" s="85" t="inlineStr">
        <is>
          <t>04/09/2026</t>
        </is>
      </c>
      <c r="B518" s="85" t="inlineStr">
        <is>
          <t>111 - Building Imp (Post Casualty Loss) - St. Charles - Bldg 8 -</t>
        </is>
      </c>
      <c r="K518" s="86" t="n">
        <v>1192.18</v>
      </c>
      <c r="U518" s="87" t="n">
        <v>1192.18</v>
      </c>
    </row>
    <row r="519" ht="15" customHeight="1" s="80">
      <c r="A519" s="85" t="inlineStr">
        <is>
          <t>04/09/2026</t>
        </is>
      </c>
      <c r="B519" s="85" t="inlineStr">
        <is>
          <t>111 - Building Imp (Post Casualty Loss) - St. Charles - Bldg 9 -</t>
        </is>
      </c>
      <c r="L519" s="86" t="n">
        <v>206.12</v>
      </c>
      <c r="U519" s="87" t="n">
        <v>206.12</v>
      </c>
    </row>
    <row r="520" ht="15" customHeight="1" s="80">
      <c r="A520" s="85" t="inlineStr">
        <is>
          <t>04/09/2026</t>
        </is>
      </c>
      <c r="B520" s="85" t="inlineStr">
        <is>
          <t>111 - Building Imp (Post Casualty Loss) - St. Charles - Bldg 9 -</t>
        </is>
      </c>
      <c r="L520" s="86" t="n">
        <v>513.63</v>
      </c>
      <c r="U520" s="87" t="n">
        <v>513.63</v>
      </c>
    </row>
    <row r="521" ht="15" customHeight="1" s="80">
      <c r="A521" s="85" t="inlineStr">
        <is>
          <t>04/09/2026</t>
        </is>
      </c>
      <c r="B521" s="85" t="inlineStr">
        <is>
          <t>111 - Building Imp (Post Casualty Loss) - St. Charles - Bldg 10 -</t>
        </is>
      </c>
      <c r="M521" s="86" t="n">
        <v>453.45</v>
      </c>
      <c r="U521" s="87" t="n">
        <v>453.45</v>
      </c>
    </row>
    <row r="522" ht="15" customHeight="1" s="80">
      <c r="A522" s="85" t="inlineStr">
        <is>
          <t>04/09/2026</t>
        </is>
      </c>
      <c r="B522" s="85" t="inlineStr">
        <is>
          <t>111 - Building Imp (Post Casualty Loss) - St. Charles - Bldg 10 -</t>
        </is>
      </c>
      <c r="M522" s="86" t="n">
        <v>1363.2</v>
      </c>
      <c r="U522" s="87" t="n">
        <v>1363.2</v>
      </c>
    </row>
    <row r="523" ht="15" customHeight="1" s="80">
      <c r="A523" s="85" t="inlineStr">
        <is>
          <t>04/09/2026</t>
        </is>
      </c>
      <c r="B523" s="85" t="inlineStr">
        <is>
          <t>111 - Building Imp (Post Casualty Loss) - St. Charles - Bldg 11 -</t>
        </is>
      </c>
      <c r="N523" s="86" t="n">
        <v>424.3</v>
      </c>
      <c r="U523" s="87" t="n">
        <v>424.3</v>
      </c>
    </row>
    <row r="524" ht="15" customHeight="1" s="80">
      <c r="A524" s="85" t="inlineStr">
        <is>
          <t>04/09/2026</t>
        </is>
      </c>
      <c r="B524" s="85" t="inlineStr">
        <is>
          <t>111 - Building Imp (Post Casualty Loss) - St. Charles - Bldg 11 -</t>
        </is>
      </c>
      <c r="N524" s="86" t="n">
        <v>1192.18</v>
      </c>
      <c r="U524" s="87" t="n">
        <v>1192.18</v>
      </c>
    </row>
    <row r="525" ht="15" customHeight="1" s="80">
      <c r="A525" s="85" t="inlineStr">
        <is>
          <t>04/09/2026</t>
        </is>
      </c>
      <c r="B525" s="85" t="inlineStr">
        <is>
          <t>111 - Building Imp (Post Casualty Loss) - St. Charles - Bldg 12 -</t>
        </is>
      </c>
      <c r="O525" s="86" t="n">
        <v>453.45</v>
      </c>
      <c r="U525" s="87" t="n">
        <v>453.45</v>
      </c>
    </row>
    <row r="526" ht="15" customHeight="1" s="80">
      <c r="A526" s="85" t="inlineStr">
        <is>
          <t>04/09/2026</t>
        </is>
      </c>
      <c r="B526" s="85" t="inlineStr">
        <is>
          <t>111 - Building Imp (Post Casualty Loss) - St. Charles - Bldg 12 -</t>
        </is>
      </c>
      <c r="O526" s="86" t="n">
        <v>1364.27</v>
      </c>
      <c r="U526" s="87" t="n">
        <v>1364.27</v>
      </c>
    </row>
    <row r="527" ht="15" customHeight="1" s="80">
      <c r="A527" s="85" t="inlineStr">
        <is>
          <t>04/09/2026</t>
        </is>
      </c>
      <c r="B527" s="85" t="inlineStr">
        <is>
          <t>111 - Building Imp (Post Casualty Loss) - St. Charles - Bldg 13 -</t>
        </is>
      </c>
      <c r="P527" s="86" t="n">
        <v>424.3</v>
      </c>
      <c r="U527" s="87" t="n">
        <v>424.3</v>
      </c>
    </row>
    <row r="528" ht="15" customHeight="1" s="80">
      <c r="A528" s="85" t="inlineStr">
        <is>
          <t>04/09/2026</t>
        </is>
      </c>
      <c r="B528" s="85" t="inlineStr">
        <is>
          <t>111 - Building Imp (Post Casualty Loss) - St. Charles - Bldg 13 -</t>
        </is>
      </c>
      <c r="P528" s="86" t="n">
        <v>1192.18</v>
      </c>
      <c r="U528" s="87" t="n">
        <v>1192.18</v>
      </c>
    </row>
    <row r="529" ht="15" customHeight="1" s="80">
      <c r="A529" s="85" t="inlineStr">
        <is>
          <t>04/09/2026</t>
        </is>
      </c>
      <c r="B529" s="85" t="inlineStr">
        <is>
          <t>111 - Building Imp (Post Casualty Loss) - St. Charles - Bldg 14 -</t>
        </is>
      </c>
      <c r="Q529" s="86" t="n">
        <v>453.45</v>
      </c>
      <c r="U529" s="87" t="n">
        <v>453.45</v>
      </c>
    </row>
    <row r="530" ht="15" customHeight="1" s="80">
      <c r="A530" s="85" t="inlineStr">
        <is>
          <t>04/09/2026</t>
        </is>
      </c>
      <c r="B530" s="85" t="inlineStr">
        <is>
          <t>111 - Building Imp (Post Casualty Loss) - St. Charles - Bldg 14 -</t>
        </is>
      </c>
      <c r="Q530" s="86" t="n">
        <v>1363.2</v>
      </c>
      <c r="U530" s="87" t="n">
        <v>1363.2</v>
      </c>
    </row>
    <row r="531" ht="15" customHeight="1" s="80">
      <c r="A531" s="85" t="inlineStr">
        <is>
          <t>04/09/2026</t>
        </is>
      </c>
      <c r="B531" s="85" t="inlineStr">
        <is>
          <t>111 - Building Imp (Post Casualty Loss) - St. Charles - Bldg 15 -</t>
        </is>
      </c>
      <c r="R531" s="86" t="n">
        <v>424.3</v>
      </c>
      <c r="U531" s="87" t="n">
        <v>424.3</v>
      </c>
    </row>
    <row r="532" ht="15" customHeight="1" s="80">
      <c r="A532" s="85" t="inlineStr">
        <is>
          <t>04/09/2026</t>
        </is>
      </c>
      <c r="B532" s="85" t="inlineStr">
        <is>
          <t>111 - Building Imp (Post Casualty Loss) - St. Charles - Bldg 15 -</t>
        </is>
      </c>
      <c r="R532" s="86" t="n">
        <v>1183.65</v>
      </c>
      <c r="U532" s="87" t="n">
        <v>1183.65</v>
      </c>
    </row>
    <row r="533" ht="15" customHeight="1" s="80">
      <c r="A533" s="85" t="inlineStr">
        <is>
          <t>04/09/2026</t>
        </is>
      </c>
      <c r="B533" s="85" t="inlineStr">
        <is>
          <t>111 - Building Imp (Post Casualty Loss) - St. Charles - Bldg 16 -</t>
        </is>
      </c>
      <c r="S533" s="86" t="n">
        <v>424.3</v>
      </c>
      <c r="U533" s="87" t="n">
        <v>424.3</v>
      </c>
    </row>
    <row r="534" ht="15" customHeight="1" s="80">
      <c r="A534" s="85" t="inlineStr">
        <is>
          <t>04/09/2026</t>
        </is>
      </c>
      <c r="B534" s="85" t="inlineStr">
        <is>
          <t>111 - Building Imp (Post Casualty Loss) - St. Charles - Bldg 16 -</t>
        </is>
      </c>
      <c r="S534" s="86" t="n">
        <v>1192.18</v>
      </c>
      <c r="U534" s="87" t="n">
        <v>1192.18</v>
      </c>
    </row>
    <row r="535" ht="15" customHeight="1" s="80">
      <c r="A535" s="85" t="inlineStr">
        <is>
          <t>04/09/2026</t>
        </is>
      </c>
      <c r="B535" s="85" t="inlineStr">
        <is>
          <t>111 - Building Imp (Post Casualty Loss) - St. Charles - Office -</t>
        </is>
      </c>
      <c r="T535" s="86" t="n">
        <v>49.74</v>
      </c>
      <c r="U535" s="87" t="n">
        <v>49.74</v>
      </c>
    </row>
    <row r="536" ht="15" customHeight="1" s="80">
      <c r="A536" s="85" t="inlineStr">
        <is>
          <t>04/09/2026</t>
        </is>
      </c>
      <c r="B536" s="85" t="inlineStr">
        <is>
          <t>111 - Building Imp (Post Casualty Loss) - St. Charles - Office -</t>
        </is>
      </c>
      <c r="T536" s="86" t="n">
        <v>494.86</v>
      </c>
      <c r="U536" s="87" t="n">
        <v>494.86</v>
      </c>
    </row>
    <row r="538">
      <c r="C538" s="88" t="n">
        <v>719744.4</v>
      </c>
      <c r="D538" s="88" t="n">
        <v>398386.46</v>
      </c>
      <c r="E538" s="88" t="n">
        <v>398480.3</v>
      </c>
      <c r="F538" s="88" t="n">
        <v>398493.7</v>
      </c>
      <c r="G538" s="88" t="n">
        <v>396654.71</v>
      </c>
      <c r="H538" s="88" t="n">
        <v>446298.06</v>
      </c>
      <c r="I538" s="88" t="n">
        <v>398758.21</v>
      </c>
      <c r="J538" s="88" t="n">
        <v>448401.53</v>
      </c>
      <c r="K538" s="88" t="n">
        <v>398758.21</v>
      </c>
      <c r="L538" s="88" t="n">
        <v>177549.53</v>
      </c>
      <c r="M538" s="88" t="n">
        <v>448137.03</v>
      </c>
      <c r="N538" s="88" t="n">
        <v>398758.21</v>
      </c>
      <c r="O538" s="88" t="n">
        <v>448401.53</v>
      </c>
      <c r="P538" s="88" t="n">
        <v>398758.21</v>
      </c>
      <c r="Q538" s="88" t="n">
        <v>448137.03</v>
      </c>
      <c r="R538" s="88" t="n">
        <v>396654.71</v>
      </c>
      <c r="S538" s="88" t="n">
        <v>398758.21</v>
      </c>
      <c r="T538" s="88" t="n">
        <v>134343.96</v>
      </c>
      <c r="U538" s="88" t="n">
        <v>7253474</v>
      </c>
    </row>
    <row r="540">
      <c r="B540" s="90" t="inlineStr">
        <is>
          <t>Section 481(a) Adjustment</t>
        </is>
      </c>
      <c r="C540" s="88" t="n">
        <v>719744.4</v>
      </c>
      <c r="D540" s="88" t="n">
        <v>398386.46</v>
      </c>
      <c r="E540" s="88" t="n">
        <v>398480.3</v>
      </c>
      <c r="F540" s="88" t="n">
        <v>398493.7</v>
      </c>
      <c r="G540" s="88" t="n">
        <v>396654.71</v>
      </c>
      <c r="H540" s="88" t="n">
        <v>446298.06</v>
      </c>
      <c r="I540" s="88" t="n">
        <v>398758.21</v>
      </c>
      <c r="J540" s="88" t="n">
        <v>448401.53</v>
      </c>
      <c r="K540" s="88" t="n">
        <v>398758.21</v>
      </c>
      <c r="L540" s="88" t="n">
        <v>177549.53</v>
      </c>
      <c r="M540" s="88" t="n">
        <v>448137.03</v>
      </c>
      <c r="N540" s="88" t="n">
        <v>398758.21</v>
      </c>
      <c r="O540" s="88" t="n">
        <v>448401.53</v>
      </c>
      <c r="P540" s="88" t="n">
        <v>398758.21</v>
      </c>
      <c r="Q540" s="88" t="n">
        <v>448137.03</v>
      </c>
      <c r="R540" s="88" t="n">
        <v>396654.71</v>
      </c>
      <c r="S540" s="88" t="n">
        <v>398758.21</v>
      </c>
      <c r="T540" s="88" t="n">
        <v>134343.96</v>
      </c>
      <c r="U540" s="88" t="n">
        <v>7253474</v>
      </c>
    </row>
  </sheetData>
  <mergeCells count="1">
    <mergeCell ref="B274:U27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s>
  <sheetData>
    <row r="1">
      <c r="A1" s="81" t="inlineStr">
        <is>
          <t>Granite Ridge</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Apartments 1-16</t>
        </is>
      </c>
      <c r="E4" s="83" t="inlineStr">
        <is>
          <t>Apartments 17-32</t>
        </is>
      </c>
      <c r="F4" s="83" t="inlineStr">
        <is>
          <t>Apartments 49-64</t>
        </is>
      </c>
      <c r="G4" s="83" t="inlineStr">
        <is>
          <t>Apartments 65-80</t>
        </is>
      </c>
      <c r="H4" s="83" t="inlineStr">
        <is>
          <t>Laundry Building 1</t>
        </is>
      </c>
      <c r="I4" s="83" t="inlineStr">
        <is>
          <t>Laundry Building 2</t>
        </is>
      </c>
      <c r="J4" s="83" t="inlineStr">
        <is>
          <t>total cost</t>
        </is>
      </c>
    </row>
    <row r="5" ht="15" customHeight="1" s="80">
      <c r="A5" s="85" t="inlineStr">
        <is>
          <t>03/24/2026</t>
        </is>
      </c>
      <c r="B5" s="85" t="inlineStr">
        <is>
          <t>2 - Building - Granite Ridge</t>
        </is>
      </c>
      <c r="C5" s="86" t="n">
        <v>254562.48</v>
      </c>
      <c r="D5" s="86" t="n">
        <v>389188.67</v>
      </c>
      <c r="E5" s="86" t="n">
        <v>389188.67</v>
      </c>
      <c r="F5" s="86" t="n">
        <v>389188.67</v>
      </c>
      <c r="G5" s="86" t="n">
        <v>389188.67</v>
      </c>
      <c r="H5" s="86" t="n">
        <v>26288.67</v>
      </c>
      <c r="I5" s="86" t="n">
        <v>30475.01</v>
      </c>
      <c r="J5" s="87" t="n">
        <v>1868080.84</v>
      </c>
    </row>
    <row r="6" ht="15" customHeight="1" s="80">
      <c r="A6" s="85" t="inlineStr">
        <is>
          <t>03/24/2026</t>
        </is>
      </c>
      <c r="B6" s="85" t="inlineStr">
        <is>
          <t>4 - Equipment - Granite Ridge</t>
        </is>
      </c>
      <c r="C6" s="86" t="n">
        <v>31586.5</v>
      </c>
      <c r="D6" s="86" t="n">
        <v>48291.12</v>
      </c>
      <c r="E6" s="86" t="n">
        <v>48291.12</v>
      </c>
      <c r="F6" s="86" t="n">
        <v>48291.12</v>
      </c>
      <c r="G6" s="86" t="n">
        <v>48291.12</v>
      </c>
      <c r="H6" s="86" t="n">
        <v>3261.92</v>
      </c>
      <c r="I6" s="86" t="n">
        <v>3781.39</v>
      </c>
      <c r="J6" s="87" t="n">
        <v>231794.29</v>
      </c>
    </row>
    <row r="7" ht="15" customHeight="1" s="80">
      <c r="A7" s="85" t="inlineStr">
        <is>
          <t>03/24/2026</t>
        </is>
      </c>
      <c r="B7" s="85" t="inlineStr">
        <is>
          <t>5 - Land Improvements - Granite Ridge</t>
        </is>
      </c>
      <c r="C7" s="86" t="n">
        <v>26154.15</v>
      </c>
      <c r="D7" s="86" t="n">
        <v>39985.86</v>
      </c>
      <c r="E7" s="86" t="n">
        <v>39985.86</v>
      </c>
      <c r="F7" s="86" t="n">
        <v>39985.86</v>
      </c>
      <c r="G7" s="86" t="n">
        <v>39985.86</v>
      </c>
      <c r="H7" s="86" t="n">
        <v>2700.93</v>
      </c>
      <c r="I7" s="86" t="n">
        <v>3131.05</v>
      </c>
      <c r="J7" s="87" t="n">
        <v>191929.57</v>
      </c>
    </row>
    <row r="9">
      <c r="C9" s="88" t="n">
        <v>312303.13</v>
      </c>
      <c r="D9" s="88" t="n">
        <v>477465.65</v>
      </c>
      <c r="E9" s="88" t="n">
        <v>477465.65</v>
      </c>
      <c r="F9" s="88" t="n">
        <v>477465.65</v>
      </c>
      <c r="G9" s="88" t="n">
        <v>477465.65</v>
      </c>
      <c r="H9" s="88" t="n">
        <v>32251.52</v>
      </c>
      <c r="I9" s="88" t="n">
        <v>37387.45</v>
      </c>
      <c r="J9" s="88" t="n">
        <v>2291804.7</v>
      </c>
    </row>
    <row r="12" ht="30" customHeight="1" s="80">
      <c r="A12" s="83" t="inlineStr">
        <is>
          <t>Acq Date</t>
        </is>
      </c>
      <c r="B12" s="83" t="inlineStr"/>
      <c r="C12" s="83" t="inlineStr">
        <is>
          <t>Site</t>
        </is>
      </c>
      <c r="D12" s="83" t="inlineStr">
        <is>
          <t>Apartments 1-16</t>
        </is>
      </c>
      <c r="E12" s="83" t="inlineStr">
        <is>
          <t>Apartments 17-32</t>
        </is>
      </c>
      <c r="F12" s="83" t="inlineStr">
        <is>
          <t>Apartments 49-64</t>
        </is>
      </c>
      <c r="G12" s="83" t="inlineStr">
        <is>
          <t>Apartments 65-80</t>
        </is>
      </c>
      <c r="H12" s="83" t="inlineStr">
        <is>
          <t>Laundry Building 1</t>
        </is>
      </c>
      <c r="I12" s="83" t="inlineStr">
        <is>
          <t>Laundry Building 2</t>
        </is>
      </c>
      <c r="J12" s="83" t="inlineStr">
        <is>
          <t>total cost</t>
        </is>
      </c>
    </row>
    <row r="13" ht="15" customHeight="1" s="80">
      <c r="A13" s="85" t="inlineStr">
        <is>
          <t>03/24/2026</t>
        </is>
      </c>
      <c r="B13" s="85" t="inlineStr">
        <is>
          <t>2 - Building - Granite Ridge - Site - 15yr</t>
        </is>
      </c>
      <c r="C13" s="86" t="n">
        <v>182460.43</v>
      </c>
      <c r="J13" s="87" t="n">
        <v>182460.43</v>
      </c>
    </row>
    <row r="14" ht="15" customHeight="1" s="80">
      <c r="A14" s="85" t="inlineStr">
        <is>
          <t>03/24/2026</t>
        </is>
      </c>
      <c r="B14" s="85" t="inlineStr">
        <is>
          <t>2 - Building - Granite Ridge - Site - 27.5yr</t>
        </is>
      </c>
      <c r="C14" s="86" t="n">
        <v>72102.05</v>
      </c>
      <c r="J14" s="87" t="n">
        <v>72102.05</v>
      </c>
    </row>
    <row r="15" ht="15" customHeight="1" s="80">
      <c r="A15" s="85" t="inlineStr">
        <is>
          <t>03/24/2026</t>
        </is>
      </c>
      <c r="B15" s="85" t="inlineStr">
        <is>
          <t>2 - Building - Granite Ridge - Apts 1-16 - 15yr</t>
        </is>
      </c>
      <c r="D15" s="86" t="n">
        <v>99963.17</v>
      </c>
      <c r="J15" s="87" t="n">
        <v>99963.17</v>
      </c>
    </row>
    <row r="16" ht="15" customHeight="1" s="80">
      <c r="A16" s="85" t="inlineStr">
        <is>
          <t>03/24/2026</t>
        </is>
      </c>
      <c r="B16" s="85" t="inlineStr">
        <is>
          <t>2 - Building - Granite Ridge - Apts 1-16 - 27.5yr</t>
        </is>
      </c>
      <c r="D16" s="86" t="n">
        <v>289225.5</v>
      </c>
      <c r="J16" s="87" t="n">
        <v>289225.5</v>
      </c>
    </row>
    <row r="17" ht="15" customHeight="1" s="80">
      <c r="A17" s="85" t="inlineStr">
        <is>
          <t>03/24/2026</t>
        </is>
      </c>
      <c r="B17" s="85" t="inlineStr">
        <is>
          <t>2 - Building - Granite Ridge - Apts 17-32 - 15yr</t>
        </is>
      </c>
      <c r="E17" s="86" t="n">
        <v>99963.17</v>
      </c>
      <c r="J17" s="87" t="n">
        <v>99963.17</v>
      </c>
    </row>
    <row r="18" ht="15" customHeight="1" s="80">
      <c r="A18" s="85" t="inlineStr">
        <is>
          <t>03/24/2026</t>
        </is>
      </c>
      <c r="B18" s="85" t="inlineStr">
        <is>
          <t>2 - Building - Granite Ridge - Apts 17-32 - 27.5yr</t>
        </is>
      </c>
      <c r="E18" s="86" t="n">
        <v>289225.5</v>
      </c>
      <c r="J18" s="87" t="n">
        <v>289225.5</v>
      </c>
    </row>
    <row r="19" ht="15" customHeight="1" s="80">
      <c r="A19" s="85" t="inlineStr">
        <is>
          <t>03/24/2026</t>
        </is>
      </c>
      <c r="B19" s="85" t="inlineStr">
        <is>
          <t>2 - Building - Granite Ridge - Apts 49-64 - 15yr</t>
        </is>
      </c>
      <c r="F19" s="86" t="n">
        <v>99963.17</v>
      </c>
      <c r="J19" s="87" t="n">
        <v>99963.17</v>
      </c>
    </row>
    <row r="20" ht="15" customHeight="1" s="80">
      <c r="A20" s="85" t="inlineStr">
        <is>
          <t>03/24/2026</t>
        </is>
      </c>
      <c r="B20" s="85" t="inlineStr">
        <is>
          <t>2 - Building - Granite Ridge - Apts 49-64 - 27.5yr</t>
        </is>
      </c>
      <c r="F20" s="86" t="n">
        <v>289225.5</v>
      </c>
      <c r="J20" s="87" t="n">
        <v>289225.5</v>
      </c>
    </row>
    <row r="21" ht="15" customHeight="1" s="80">
      <c r="A21" s="85" t="inlineStr">
        <is>
          <t>03/24/2026</t>
        </is>
      </c>
      <c r="B21" s="85" t="inlineStr">
        <is>
          <t>2 - Building - Granite Ridge - Apts 65-80 - 15yr</t>
        </is>
      </c>
      <c r="G21" s="86" t="n">
        <v>99963.17</v>
      </c>
      <c r="J21" s="87" t="n">
        <v>99963.17</v>
      </c>
    </row>
    <row r="22" ht="15" customHeight="1" s="80">
      <c r="A22" s="85" t="inlineStr">
        <is>
          <t>03/24/2026</t>
        </is>
      </c>
      <c r="B22" s="85" t="inlineStr">
        <is>
          <t>2 - Building - Granite Ridge - Apts 65-80 - 27.5yr</t>
        </is>
      </c>
      <c r="G22" s="86" t="n">
        <v>289225.5</v>
      </c>
      <c r="J22" s="87" t="n">
        <v>289225.5</v>
      </c>
    </row>
    <row r="23" ht="15" customHeight="1" s="80">
      <c r="A23" s="85" t="inlineStr">
        <is>
          <t>03/24/2026</t>
        </is>
      </c>
      <c r="B23" s="85" t="inlineStr">
        <is>
          <t>2 - Building - Granite Ridge - Laundry Bldg 1 - 15yr</t>
        </is>
      </c>
      <c r="H23" s="86" t="n">
        <v>6825.37</v>
      </c>
      <c r="J23" s="87" t="n">
        <v>6825.37</v>
      </c>
    </row>
    <row r="24" ht="15" customHeight="1" s="80">
      <c r="A24" s="85" t="inlineStr">
        <is>
          <t>03/24/2026</t>
        </is>
      </c>
      <c r="B24" s="85" t="inlineStr">
        <is>
          <t>2 - Building - Granite Ridge - Laundry Bldg 1 - 27.5yr</t>
        </is>
      </c>
      <c r="H24" s="86" t="n">
        <v>19463.3</v>
      </c>
      <c r="J24" s="87" t="n">
        <v>19463.3</v>
      </c>
    </row>
    <row r="25" ht="15" customHeight="1" s="80">
      <c r="A25" s="85" t="inlineStr">
        <is>
          <t>03/24/2026</t>
        </is>
      </c>
      <c r="B25" s="85" t="inlineStr">
        <is>
          <t>2 - Building - Granite Ridge - Laundry Bldg 2 - 15yr</t>
        </is>
      </c>
      <c r="I25" s="86" t="n">
        <v>11011.74</v>
      </c>
      <c r="J25" s="87" t="n">
        <v>11011.74</v>
      </c>
    </row>
    <row r="26" ht="15" customHeight="1" s="80">
      <c r="A26" s="85" t="inlineStr">
        <is>
          <t>03/24/2026</t>
        </is>
      </c>
      <c r="B26" s="85" t="inlineStr">
        <is>
          <t>2 - Building - Granite Ridge - Laundry Bldg 2 - 27.5yr</t>
        </is>
      </c>
      <c r="I26" s="86" t="n">
        <v>19463.27</v>
      </c>
      <c r="J26" s="87" t="n">
        <v>19463.27</v>
      </c>
    </row>
    <row r="27" ht="15" customHeight="1" s="80">
      <c r="A27" s="85" t="inlineStr">
        <is>
          <t>03/24/2026</t>
        </is>
      </c>
      <c r="B27" s="85" t="inlineStr">
        <is>
          <t>4 - Equipment - Granite Ridge - Site - 15yr</t>
        </is>
      </c>
      <c r="C27" s="86" t="n">
        <v>22639.97</v>
      </c>
      <c r="J27" s="87" t="n">
        <v>22639.97</v>
      </c>
    </row>
    <row r="28" ht="15" customHeight="1" s="80">
      <c r="A28" s="85" t="inlineStr">
        <is>
          <t>03/24/2026</t>
        </is>
      </c>
      <c r="B28" s="85" t="inlineStr">
        <is>
          <t>4 - Equipment - Granite Ridge - Site - 27.5yr</t>
        </is>
      </c>
      <c r="C28" s="86" t="n">
        <v>8946.530000000001</v>
      </c>
      <c r="J28" s="87" t="n">
        <v>8946.530000000001</v>
      </c>
    </row>
    <row r="29" ht="15" customHeight="1" s="80">
      <c r="A29" s="85" t="inlineStr">
        <is>
          <t>03/24/2026</t>
        </is>
      </c>
      <c r="B29" s="85" t="inlineStr">
        <is>
          <t>4 - Equipment - Granite Ridge - Apts 1-16 - 15yr</t>
        </is>
      </c>
      <c r="D29" s="86" t="n">
        <v>12403.58</v>
      </c>
      <c r="J29" s="87" t="n">
        <v>12403.58</v>
      </c>
    </row>
    <row r="30" ht="15" customHeight="1" s="80">
      <c r="A30" s="85" t="inlineStr">
        <is>
          <t>03/24/2026</t>
        </is>
      </c>
      <c r="B30" s="85" t="inlineStr">
        <is>
          <t>4 - Equipment - Granite Ridge - Apts 1-16 - 27.5yr</t>
        </is>
      </c>
      <c r="D30" s="86" t="n">
        <v>35887.54</v>
      </c>
      <c r="J30" s="87" t="n">
        <v>35887.54</v>
      </c>
    </row>
    <row r="31" ht="15" customHeight="1" s="80">
      <c r="A31" s="85" t="inlineStr">
        <is>
          <t>03/24/2026</t>
        </is>
      </c>
      <c r="B31" s="85" t="inlineStr">
        <is>
          <t>4 - Equipment - Granite Ridge - Apts 17-32 - 15yr</t>
        </is>
      </c>
      <c r="E31" s="86" t="n">
        <v>12403.58</v>
      </c>
      <c r="J31" s="87" t="n">
        <v>12403.58</v>
      </c>
    </row>
    <row r="32" ht="15" customHeight="1" s="80">
      <c r="A32" s="85" t="inlineStr">
        <is>
          <t>03/24/2026</t>
        </is>
      </c>
      <c r="B32" s="85" t="inlineStr">
        <is>
          <t>4 - Equipment - Granite Ridge - Apts 17-32 - 27.5yr</t>
        </is>
      </c>
      <c r="E32" s="86" t="n">
        <v>35887.54</v>
      </c>
      <c r="J32" s="87" t="n">
        <v>35887.54</v>
      </c>
    </row>
    <row r="33" ht="15" customHeight="1" s="80">
      <c r="A33" s="85" t="inlineStr">
        <is>
          <t>03/24/2026</t>
        </is>
      </c>
      <c r="B33" s="85" t="inlineStr">
        <is>
          <t>4 - Equipment - Granite Ridge - Apts 49-64 - 15yr</t>
        </is>
      </c>
      <c r="F33" s="86" t="n">
        <v>12403.58</v>
      </c>
      <c r="J33" s="87" t="n">
        <v>12403.58</v>
      </c>
    </row>
    <row r="34" ht="15" customHeight="1" s="80">
      <c r="A34" s="85" t="inlineStr">
        <is>
          <t>03/24/2026</t>
        </is>
      </c>
      <c r="B34" s="85" t="inlineStr">
        <is>
          <t>4 - Equipment - Granite Ridge - Apts 49-64 - 27.5yr</t>
        </is>
      </c>
      <c r="F34" s="86" t="n">
        <v>35887.54</v>
      </c>
      <c r="J34" s="87" t="n">
        <v>35887.54</v>
      </c>
    </row>
    <row r="35" ht="15" customHeight="1" s="80">
      <c r="A35" s="85" t="inlineStr">
        <is>
          <t>03/24/2026</t>
        </is>
      </c>
      <c r="B35" s="85" t="inlineStr">
        <is>
          <t>4 - Equipment - Granite Ridge - Apts 65-80 - 15yr</t>
        </is>
      </c>
      <c r="G35" s="86" t="n">
        <v>12403.58</v>
      </c>
      <c r="J35" s="87" t="n">
        <v>12403.58</v>
      </c>
    </row>
    <row r="36" ht="15" customHeight="1" s="80">
      <c r="A36" s="85" t="inlineStr">
        <is>
          <t>03/24/2026</t>
        </is>
      </c>
      <c r="B36" s="85" t="inlineStr">
        <is>
          <t>4 - Equipment - Granite Ridge - Apts 65-80 - 27.5yr</t>
        </is>
      </c>
      <c r="G36" s="86" t="n">
        <v>35887.54</v>
      </c>
      <c r="J36" s="87" t="n">
        <v>35887.54</v>
      </c>
    </row>
    <row r="37" ht="15" customHeight="1" s="80">
      <c r="A37" s="85" t="inlineStr">
        <is>
          <t>03/24/2026</t>
        </is>
      </c>
      <c r="B37" s="85" t="inlineStr">
        <is>
          <t>4 - Equipment - Granite Ridge - Laundry Bldg 1 - 15yr</t>
        </is>
      </c>
      <c r="H37" s="86" t="n">
        <v>846.9</v>
      </c>
      <c r="J37" s="87" t="n">
        <v>846.9</v>
      </c>
    </row>
    <row r="38" ht="15" customHeight="1" s="80">
      <c r="A38" s="85" t="inlineStr">
        <is>
          <t>03/24/2026</t>
        </is>
      </c>
      <c r="B38" s="85" t="inlineStr">
        <is>
          <t>4 - Equipment - Granite Ridge - Laundry Bldg 1 - 27.5yr</t>
        </is>
      </c>
      <c r="H38" s="86" t="n">
        <v>2415.02</v>
      </c>
      <c r="J38" s="87" t="n">
        <v>2415.02</v>
      </c>
    </row>
    <row r="39" ht="15" customHeight="1" s="80">
      <c r="A39" s="85" t="inlineStr">
        <is>
          <t>03/24/2026</t>
        </is>
      </c>
      <c r="B39" s="85" t="inlineStr">
        <is>
          <t>4 - Equipment - Granite Ridge - Laundry Bldg 2 - 15yr</t>
        </is>
      </c>
      <c r="I39" s="86" t="n">
        <v>1366.36</v>
      </c>
      <c r="J39" s="87" t="n">
        <v>1366.36</v>
      </c>
    </row>
    <row r="40" ht="15" customHeight="1" s="80">
      <c r="A40" s="85" t="inlineStr">
        <is>
          <t>03/24/2026</t>
        </is>
      </c>
      <c r="B40" s="85" t="inlineStr">
        <is>
          <t>4 - Equipment - Granite Ridge - Laundry Bldg 2 - 27.5yr</t>
        </is>
      </c>
      <c r="I40" s="86" t="n">
        <v>2415.03</v>
      </c>
      <c r="J40" s="87" t="n">
        <v>2415.03</v>
      </c>
    </row>
    <row r="41" ht="15" customHeight="1" s="80">
      <c r="A41" s="85" t="inlineStr">
        <is>
          <t>03/24/2026</t>
        </is>
      </c>
      <c r="B41" s="85" t="inlineStr">
        <is>
          <t>5 - Land Improvements - Granite Ridge - Site - 15yr</t>
        </is>
      </c>
      <c r="C41" s="86" t="n">
        <v>18746.27</v>
      </c>
      <c r="J41" s="87" t="n">
        <v>18746.27</v>
      </c>
    </row>
    <row r="42" ht="15" customHeight="1" s="80">
      <c r="A42" s="85" t="inlineStr">
        <is>
          <t>03/24/2026</t>
        </is>
      </c>
      <c r="B42" s="85" t="inlineStr">
        <is>
          <t>5 - Land Improvements - Granite Ridge - Site - 27.5yr</t>
        </is>
      </c>
      <c r="C42" s="86" t="n">
        <v>7407.88</v>
      </c>
      <c r="J42" s="87" t="n">
        <v>7407.88</v>
      </c>
    </row>
    <row r="43" ht="15" customHeight="1" s="80">
      <c r="A43" s="85" t="inlineStr">
        <is>
          <t>03/24/2026</t>
        </is>
      </c>
      <c r="B43" s="85" t="inlineStr">
        <is>
          <t>5 - Land Improvements - Granite Ridge - Apts 1-16 - 15yr</t>
        </is>
      </c>
      <c r="D43" s="86" t="n">
        <v>10270.37</v>
      </c>
      <c r="J43" s="87" t="n">
        <v>10270.37</v>
      </c>
    </row>
    <row r="44" ht="15" customHeight="1" s="80">
      <c r="A44" s="85" t="inlineStr">
        <is>
          <t>03/24/2026</t>
        </is>
      </c>
      <c r="B44" s="85" t="inlineStr">
        <is>
          <t>5 - Land Improvements - Granite Ridge - Apts 1-16 - 27.5yr</t>
        </is>
      </c>
      <c r="D44" s="86" t="n">
        <v>29715.49</v>
      </c>
      <c r="J44" s="87" t="n">
        <v>29715.49</v>
      </c>
    </row>
    <row r="45" ht="15" customHeight="1" s="80">
      <c r="A45" s="85" t="inlineStr">
        <is>
          <t>03/24/2026</t>
        </is>
      </c>
      <c r="B45" s="85" t="inlineStr">
        <is>
          <t>5 - Land Improvements - Granite Ridge - Apts 17-32 - 15yr</t>
        </is>
      </c>
      <c r="E45" s="86" t="n">
        <v>10270.37</v>
      </c>
      <c r="J45" s="87" t="n">
        <v>10270.37</v>
      </c>
    </row>
    <row r="46" ht="15" customHeight="1" s="80">
      <c r="A46" s="85" t="inlineStr">
        <is>
          <t>03/24/2026</t>
        </is>
      </c>
      <c r="B46" s="85" t="inlineStr">
        <is>
          <t>5 - Land Improvements - Granite Ridge - Apts 17-32 - 27.5yr</t>
        </is>
      </c>
      <c r="E46" s="86" t="n">
        <v>29715.49</v>
      </c>
      <c r="J46" s="87" t="n">
        <v>29715.49</v>
      </c>
    </row>
    <row r="47" ht="15" customHeight="1" s="80">
      <c r="A47" s="85" t="inlineStr">
        <is>
          <t>03/24/2026</t>
        </is>
      </c>
      <c r="B47" s="85" t="inlineStr">
        <is>
          <t>5 - Land Improvements - Granite Ridge - Apts 49-64 - 15yr</t>
        </is>
      </c>
      <c r="F47" s="86" t="n">
        <v>10270.37</v>
      </c>
      <c r="J47" s="87" t="n">
        <v>10270.37</v>
      </c>
    </row>
    <row r="48" ht="15" customHeight="1" s="80">
      <c r="A48" s="85" t="inlineStr">
        <is>
          <t>03/24/2026</t>
        </is>
      </c>
      <c r="B48" s="85" t="inlineStr">
        <is>
          <t>5 - Land Improvements - Granite Ridge - Apts 49-64 - 27.5yr</t>
        </is>
      </c>
      <c r="F48" s="86" t="n">
        <v>29715.49</v>
      </c>
      <c r="J48" s="87" t="n">
        <v>29715.49</v>
      </c>
    </row>
    <row r="49" ht="15" customHeight="1" s="80">
      <c r="A49" s="85" t="inlineStr">
        <is>
          <t>03/24/2026</t>
        </is>
      </c>
      <c r="B49" s="85" t="inlineStr">
        <is>
          <t>5 - Land Improvements - Granite Ridge - Apts 65-80 - 15yr</t>
        </is>
      </c>
      <c r="G49" s="86" t="n">
        <v>10270.37</v>
      </c>
      <c r="J49" s="87" t="n">
        <v>10270.37</v>
      </c>
    </row>
    <row r="50" ht="15" customHeight="1" s="80">
      <c r="A50" s="85" t="inlineStr">
        <is>
          <t>03/24/2026</t>
        </is>
      </c>
      <c r="B50" s="85" t="inlineStr">
        <is>
          <t>5 - Land Improvements - Granite Ridge - Apts 65-80 - 27.5yr</t>
        </is>
      </c>
      <c r="G50" s="86" t="n">
        <v>29715.49</v>
      </c>
      <c r="J50" s="87" t="n">
        <v>29715.49</v>
      </c>
    </row>
    <row r="51" ht="15" customHeight="1" s="80">
      <c r="A51" s="85" t="inlineStr">
        <is>
          <t>03/24/2026</t>
        </is>
      </c>
      <c r="B51" s="85" t="inlineStr">
        <is>
          <t>5 - Land Improvements - Granite Ridge - Laundry Bldg 1 - 15yr</t>
        </is>
      </c>
      <c r="H51" s="86" t="n">
        <v>701.24</v>
      </c>
      <c r="J51" s="87" t="n">
        <v>701.24</v>
      </c>
    </row>
    <row r="52" ht="15" customHeight="1" s="80">
      <c r="A52" s="85" t="inlineStr">
        <is>
          <t>03/24/2026</t>
        </is>
      </c>
      <c r="B52" s="85" t="inlineStr">
        <is>
          <t>5 - Land Improvements - Granite Ridge - Laundry Bldg 1 - 27.5yr</t>
        </is>
      </c>
      <c r="H52" s="86" t="n">
        <v>1999.69</v>
      </c>
      <c r="J52" s="87" t="n">
        <v>1999.69</v>
      </c>
    </row>
    <row r="53" ht="15" customHeight="1" s="80">
      <c r="A53" s="85" t="inlineStr">
        <is>
          <t>03/24/2026</t>
        </is>
      </c>
      <c r="B53" s="85" t="inlineStr">
        <is>
          <t>5 - Land Improvements - Granite Ridge - Laundry Bldg 2 - 15yr</t>
        </is>
      </c>
      <c r="I53" s="86" t="n">
        <v>1131.36</v>
      </c>
      <c r="J53" s="87" t="n">
        <v>1131.36</v>
      </c>
    </row>
    <row r="54" ht="15" customHeight="1" s="80">
      <c r="A54" s="85" t="inlineStr">
        <is>
          <t>03/24/2026</t>
        </is>
      </c>
      <c r="B54" s="85" t="inlineStr">
        <is>
          <t>5 - Land Improvements - Granite Ridge - Laundry Bldg 2 - 27.5yr</t>
        </is>
      </c>
      <c r="I54" s="86" t="n">
        <v>1999.69</v>
      </c>
      <c r="J54" s="87" t="n">
        <v>1999.69</v>
      </c>
    </row>
    <row r="56">
      <c r="C56" s="88" t="n">
        <v>312303.13</v>
      </c>
      <c r="D56" s="88" t="n">
        <v>477465.65</v>
      </c>
      <c r="E56" s="88" t="n">
        <v>477465.65</v>
      </c>
      <c r="F56" s="88" t="n">
        <v>477465.65</v>
      </c>
      <c r="G56" s="88" t="n">
        <v>477465.65</v>
      </c>
      <c r="H56" s="88" t="n">
        <v>32251.52</v>
      </c>
      <c r="I56" s="88" t="n">
        <v>37387.45</v>
      </c>
      <c r="J56" s="88" t="n">
        <v>2291804.7</v>
      </c>
    </row>
    <row r="59">
      <c r="C59" s="89" t="inlineStr">
        <is>
          <t>end deprec</t>
        </is>
      </c>
    </row>
    <row r="60">
      <c r="B60" s="119" t="inlineStr">
        <is>
          <t>NOTE: New study — no prior depreciation history. No Form 3115 filed. "Before" reflects $0 accumulated depreciation under old method; "After" reflects projected first-year cost seg depreciation.</t>
        </is>
      </c>
    </row>
    <row r="61" ht="15" customHeight="1" s="80">
      <c r="A61" s="85" t="inlineStr">
        <is>
          <t>03/24/2026</t>
        </is>
      </c>
      <c r="B61" s="85" t="inlineStr">
        <is>
          <t>2 - Building - Granite Ridge</t>
        </is>
      </c>
      <c r="C61" s="86" t="n">
        <v>254562.48</v>
      </c>
      <c r="D61" s="86" t="n">
        <v>389188.67</v>
      </c>
      <c r="E61" s="86" t="n">
        <v>389188.67</v>
      </c>
      <c r="F61" s="86" t="n">
        <v>389188.67</v>
      </c>
      <c r="G61" s="86" t="n">
        <v>389188.67</v>
      </c>
      <c r="H61" s="86" t="n">
        <v>26288.67</v>
      </c>
      <c r="I61" s="86" t="n">
        <v>30475.01</v>
      </c>
      <c r="J61" s="87" t="n">
        <v>1868080.84</v>
      </c>
    </row>
    <row r="62" ht="15" customHeight="1" s="80">
      <c r="A62" s="85" t="inlineStr">
        <is>
          <t>03/24/2026</t>
        </is>
      </c>
      <c r="B62" s="85" t="inlineStr">
        <is>
          <t>4 - Equipment - Granite Ridge</t>
        </is>
      </c>
      <c r="C62" s="86" t="n">
        <v>31586.5</v>
      </c>
      <c r="D62" s="86" t="n">
        <v>48291.12</v>
      </c>
      <c r="E62" s="86" t="n">
        <v>48291.12</v>
      </c>
      <c r="F62" s="86" t="n">
        <v>48291.12</v>
      </c>
      <c r="G62" s="86" t="n">
        <v>48291.12</v>
      </c>
      <c r="H62" s="86" t="n">
        <v>3261.92</v>
      </c>
      <c r="I62" s="86" t="n">
        <v>3781.39</v>
      </c>
      <c r="J62" s="87" t="n">
        <v>231794.29</v>
      </c>
    </row>
    <row r="63" ht="15" customHeight="1" s="80">
      <c r="A63" s="85" t="inlineStr">
        <is>
          <t>03/24/2026</t>
        </is>
      </c>
      <c r="B63" s="85" t="inlineStr">
        <is>
          <t>5 - Land Improvements - Granite Ridge</t>
        </is>
      </c>
      <c r="C63" s="86" t="n">
        <v>26154.15</v>
      </c>
      <c r="D63" s="86" t="n">
        <v>39985.86</v>
      </c>
      <c r="E63" s="86" t="n">
        <v>39985.86</v>
      </c>
      <c r="F63" s="86" t="n">
        <v>39985.86</v>
      </c>
      <c r="G63" s="86" t="n">
        <v>39985.86</v>
      </c>
      <c r="H63" s="86" t="n">
        <v>2700.93</v>
      </c>
      <c r="I63" s="86" t="n">
        <v>3131.05</v>
      </c>
      <c r="J63" s="87" t="n">
        <v>191929.57</v>
      </c>
    </row>
    <row r="65">
      <c r="C65" s="88" t="n">
        <v>0</v>
      </c>
      <c r="D65" s="88" t="n">
        <v>0</v>
      </c>
      <c r="E65" s="88" t="n">
        <v>0</v>
      </c>
      <c r="F65" s="88" t="n">
        <v>0</v>
      </c>
      <c r="G65" s="88" t="n">
        <v>0</v>
      </c>
      <c r="H65" s="88" t="n">
        <v>0</v>
      </c>
      <c r="I65" s="88" t="n">
        <v>0</v>
      </c>
      <c r="J65" s="88" t="n">
        <v>0</v>
      </c>
    </row>
    <row r="67" ht="15" customHeight="1" s="80">
      <c r="A67" s="85" t="inlineStr">
        <is>
          <t>03/24/2026</t>
        </is>
      </c>
      <c r="B67" s="85" t="inlineStr">
        <is>
          <t>2 - Building - Granite Ridge - Site -</t>
        </is>
      </c>
      <c r="C67" s="86" t="n">
        <v>182460.43</v>
      </c>
      <c r="J67" s="87" t="n">
        <v>182460.43</v>
      </c>
    </row>
    <row r="68" ht="15" customHeight="1" s="80">
      <c r="A68" s="85" t="inlineStr">
        <is>
          <t>03/24/2026</t>
        </is>
      </c>
      <c r="B68" s="85" t="inlineStr">
        <is>
          <t>2 - Building - Granite Ridge - Site -</t>
        </is>
      </c>
      <c r="C68" s="86" t="n">
        <v>72102.05</v>
      </c>
      <c r="J68" s="87" t="n">
        <v>72102.05</v>
      </c>
    </row>
    <row r="69" ht="15" customHeight="1" s="80">
      <c r="A69" s="85" t="inlineStr">
        <is>
          <t>03/24/2026</t>
        </is>
      </c>
      <c r="B69" s="85" t="inlineStr">
        <is>
          <t>2 - Building - Granite Ridge - Apts 1-16 -</t>
        </is>
      </c>
      <c r="D69" s="86" t="n">
        <v>99963.17</v>
      </c>
      <c r="J69" s="87" t="n">
        <v>99963.17</v>
      </c>
    </row>
    <row r="70" ht="15" customHeight="1" s="80">
      <c r="A70" s="85" t="inlineStr">
        <is>
          <t>03/24/2026</t>
        </is>
      </c>
      <c r="B70" s="85" t="inlineStr">
        <is>
          <t>2 - Building - Granite Ridge - Apts 1-16 -</t>
        </is>
      </c>
      <c r="D70" s="86" t="n">
        <v>289225.5</v>
      </c>
      <c r="J70" s="87" t="n">
        <v>289225.5</v>
      </c>
    </row>
    <row r="71" ht="15" customHeight="1" s="80">
      <c r="A71" s="85" t="inlineStr">
        <is>
          <t>03/24/2026</t>
        </is>
      </c>
      <c r="B71" s="85" t="inlineStr">
        <is>
          <t>2 - Building - Granite Ridge - Apts 17-32 -</t>
        </is>
      </c>
      <c r="E71" s="86" t="n">
        <v>99963.17</v>
      </c>
      <c r="J71" s="87" t="n">
        <v>99963.17</v>
      </c>
    </row>
    <row r="72" ht="15" customHeight="1" s="80">
      <c r="A72" s="85" t="inlineStr">
        <is>
          <t>03/24/2026</t>
        </is>
      </c>
      <c r="B72" s="85" t="inlineStr">
        <is>
          <t>2 - Building - Granite Ridge - Apts 17-32 -</t>
        </is>
      </c>
      <c r="E72" s="86" t="n">
        <v>289225.5</v>
      </c>
      <c r="J72" s="87" t="n">
        <v>289225.5</v>
      </c>
    </row>
    <row r="73" ht="15" customHeight="1" s="80">
      <c r="A73" s="85" t="inlineStr">
        <is>
          <t>03/24/2026</t>
        </is>
      </c>
      <c r="B73" s="85" t="inlineStr">
        <is>
          <t>2 - Building - Granite Ridge - Apts 49-64 -</t>
        </is>
      </c>
      <c r="F73" s="86" t="n">
        <v>99963.17</v>
      </c>
      <c r="J73" s="87" t="n">
        <v>99963.17</v>
      </c>
    </row>
    <row r="74" ht="15" customHeight="1" s="80">
      <c r="A74" s="85" t="inlineStr">
        <is>
          <t>03/24/2026</t>
        </is>
      </c>
      <c r="B74" s="85" t="inlineStr">
        <is>
          <t>2 - Building - Granite Ridge - Apts 49-64 -</t>
        </is>
      </c>
      <c r="F74" s="86" t="n">
        <v>289225.5</v>
      </c>
      <c r="J74" s="87" t="n">
        <v>289225.5</v>
      </c>
    </row>
    <row r="75" ht="15" customHeight="1" s="80">
      <c r="A75" s="85" t="inlineStr">
        <is>
          <t>03/24/2026</t>
        </is>
      </c>
      <c r="B75" s="85" t="inlineStr">
        <is>
          <t>2 - Building - Granite Ridge - Apts 65-80 -</t>
        </is>
      </c>
      <c r="G75" s="86" t="n">
        <v>99963.17</v>
      </c>
      <c r="J75" s="87" t="n">
        <v>99963.17</v>
      </c>
    </row>
    <row r="76" ht="15" customHeight="1" s="80">
      <c r="A76" s="85" t="inlineStr">
        <is>
          <t>03/24/2026</t>
        </is>
      </c>
      <c r="B76" s="85" t="inlineStr">
        <is>
          <t>2 - Building - Granite Ridge - Apts 65-80 -</t>
        </is>
      </c>
      <c r="G76" s="86" t="n">
        <v>289225.5</v>
      </c>
      <c r="J76" s="87" t="n">
        <v>289225.5</v>
      </c>
    </row>
    <row r="77" ht="15" customHeight="1" s="80">
      <c r="A77" s="85" t="inlineStr">
        <is>
          <t>03/24/2026</t>
        </is>
      </c>
      <c r="B77" s="85" t="inlineStr">
        <is>
          <t>2 - Building - Granite Ridge - Laundry Bldg 1 -</t>
        </is>
      </c>
      <c r="H77" s="86" t="n">
        <v>6825.37</v>
      </c>
      <c r="J77" s="87" t="n">
        <v>6825.37</v>
      </c>
    </row>
    <row r="78" ht="15" customHeight="1" s="80">
      <c r="A78" s="85" t="inlineStr">
        <is>
          <t>03/24/2026</t>
        </is>
      </c>
      <c r="B78" s="85" t="inlineStr">
        <is>
          <t>2 - Building - Granite Ridge - Laundry Bldg 1 -</t>
        </is>
      </c>
      <c r="H78" s="86" t="n">
        <v>19463.3</v>
      </c>
      <c r="J78" s="87" t="n">
        <v>19463.3</v>
      </c>
    </row>
    <row r="79" ht="15" customHeight="1" s="80">
      <c r="A79" s="85" t="inlineStr">
        <is>
          <t>03/24/2026</t>
        </is>
      </c>
      <c r="B79" s="85" t="inlineStr">
        <is>
          <t>2 - Building - Granite Ridge - Laundry Bldg 2 -</t>
        </is>
      </c>
      <c r="I79" s="86" t="n">
        <v>11011.74</v>
      </c>
      <c r="J79" s="87" t="n">
        <v>11011.74</v>
      </c>
    </row>
    <row r="80" ht="15" customHeight="1" s="80">
      <c r="A80" s="85" t="inlineStr">
        <is>
          <t>03/24/2026</t>
        </is>
      </c>
      <c r="B80" s="85" t="inlineStr">
        <is>
          <t>2 - Building - Granite Ridge - Laundry Bldg 2 -</t>
        </is>
      </c>
      <c r="I80" s="86" t="n">
        <v>19463.27</v>
      </c>
      <c r="J80" s="87" t="n">
        <v>19463.27</v>
      </c>
    </row>
    <row r="81" ht="15" customHeight="1" s="80">
      <c r="A81" s="85" t="inlineStr">
        <is>
          <t>03/24/2026</t>
        </is>
      </c>
      <c r="B81" s="85" t="inlineStr">
        <is>
          <t>4 - Equipment - Granite Ridge - Site -</t>
        </is>
      </c>
      <c r="C81" s="86" t="n">
        <v>22639.97</v>
      </c>
      <c r="J81" s="87" t="n">
        <v>22639.97</v>
      </c>
    </row>
    <row r="82" ht="15" customHeight="1" s="80">
      <c r="A82" s="85" t="inlineStr">
        <is>
          <t>03/24/2026</t>
        </is>
      </c>
      <c r="B82" s="85" t="inlineStr">
        <is>
          <t>4 - Equipment - Granite Ridge - Site -</t>
        </is>
      </c>
      <c r="C82" s="86" t="n">
        <v>8946.530000000001</v>
      </c>
      <c r="J82" s="87" t="n">
        <v>8946.530000000001</v>
      </c>
    </row>
    <row r="83" ht="15" customHeight="1" s="80">
      <c r="A83" s="85" t="inlineStr">
        <is>
          <t>03/24/2026</t>
        </is>
      </c>
      <c r="B83" s="85" t="inlineStr">
        <is>
          <t>4 - Equipment - Granite Ridge - Apts 1-16 -</t>
        </is>
      </c>
      <c r="D83" s="86" t="n">
        <v>12403.58</v>
      </c>
      <c r="J83" s="87" t="n">
        <v>12403.58</v>
      </c>
    </row>
    <row r="84" ht="15" customHeight="1" s="80">
      <c r="A84" s="85" t="inlineStr">
        <is>
          <t>03/24/2026</t>
        </is>
      </c>
      <c r="B84" s="85" t="inlineStr">
        <is>
          <t>4 - Equipment - Granite Ridge - Apts 1-16 -</t>
        </is>
      </c>
      <c r="D84" s="86" t="n">
        <v>35887.54</v>
      </c>
      <c r="J84" s="87" t="n">
        <v>35887.54</v>
      </c>
    </row>
    <row r="85" ht="15" customHeight="1" s="80">
      <c r="A85" s="85" t="inlineStr">
        <is>
          <t>03/24/2026</t>
        </is>
      </c>
      <c r="B85" s="85" t="inlineStr">
        <is>
          <t>4 - Equipment - Granite Ridge - Apts 17-32 -</t>
        </is>
      </c>
      <c r="E85" s="86" t="n">
        <v>12403.58</v>
      </c>
      <c r="J85" s="87" t="n">
        <v>12403.58</v>
      </c>
    </row>
    <row r="86" ht="15" customHeight="1" s="80">
      <c r="A86" s="85" t="inlineStr">
        <is>
          <t>03/24/2026</t>
        </is>
      </c>
      <c r="B86" s="85" t="inlineStr">
        <is>
          <t>4 - Equipment - Granite Ridge - Apts 17-32 -</t>
        </is>
      </c>
      <c r="E86" s="86" t="n">
        <v>35887.54</v>
      </c>
      <c r="J86" s="87" t="n">
        <v>35887.54</v>
      </c>
    </row>
    <row r="87" ht="15" customHeight="1" s="80">
      <c r="A87" s="85" t="inlineStr">
        <is>
          <t>03/24/2026</t>
        </is>
      </c>
      <c r="B87" s="85" t="inlineStr">
        <is>
          <t>4 - Equipment - Granite Ridge - Apts 49-64 -</t>
        </is>
      </c>
      <c r="F87" s="86" t="n">
        <v>12403.58</v>
      </c>
      <c r="J87" s="87" t="n">
        <v>12403.58</v>
      </c>
    </row>
    <row r="88" ht="15" customHeight="1" s="80">
      <c r="A88" s="85" t="inlineStr">
        <is>
          <t>03/24/2026</t>
        </is>
      </c>
      <c r="B88" s="85" t="inlineStr">
        <is>
          <t>4 - Equipment - Granite Ridge - Apts 49-64 -</t>
        </is>
      </c>
      <c r="F88" s="86" t="n">
        <v>35887.54</v>
      </c>
      <c r="J88" s="87" t="n">
        <v>35887.54</v>
      </c>
    </row>
    <row r="89" ht="15" customHeight="1" s="80">
      <c r="A89" s="85" t="inlineStr">
        <is>
          <t>03/24/2026</t>
        </is>
      </c>
      <c r="B89" s="85" t="inlineStr">
        <is>
          <t>4 - Equipment - Granite Ridge - Apts 65-80 -</t>
        </is>
      </c>
      <c r="G89" s="86" t="n">
        <v>12403.58</v>
      </c>
      <c r="J89" s="87" t="n">
        <v>12403.58</v>
      </c>
    </row>
    <row r="90" ht="15" customHeight="1" s="80">
      <c r="A90" s="85" t="inlineStr">
        <is>
          <t>03/24/2026</t>
        </is>
      </c>
      <c r="B90" s="85" t="inlineStr">
        <is>
          <t>4 - Equipment - Granite Ridge - Apts 65-80 -</t>
        </is>
      </c>
      <c r="G90" s="86" t="n">
        <v>35887.54</v>
      </c>
      <c r="J90" s="87" t="n">
        <v>35887.54</v>
      </c>
    </row>
    <row r="91" ht="15" customHeight="1" s="80">
      <c r="A91" s="85" t="inlineStr">
        <is>
          <t>03/24/2026</t>
        </is>
      </c>
      <c r="B91" s="85" t="inlineStr">
        <is>
          <t>4 - Equipment - Granite Ridge - Laundry Bldg 1 -</t>
        </is>
      </c>
      <c r="H91" s="86" t="n">
        <v>846.9</v>
      </c>
      <c r="J91" s="87" t="n">
        <v>846.9</v>
      </c>
    </row>
    <row r="92" ht="15" customHeight="1" s="80">
      <c r="A92" s="85" t="inlineStr">
        <is>
          <t>03/24/2026</t>
        </is>
      </c>
      <c r="B92" s="85" t="inlineStr">
        <is>
          <t>4 - Equipment - Granite Ridge - Laundry Bldg 1 -</t>
        </is>
      </c>
      <c r="H92" s="86" t="n">
        <v>2415.02</v>
      </c>
      <c r="J92" s="87" t="n">
        <v>2415.02</v>
      </c>
    </row>
    <row r="93" ht="15" customHeight="1" s="80">
      <c r="A93" s="85" t="inlineStr">
        <is>
          <t>03/24/2026</t>
        </is>
      </c>
      <c r="B93" s="85" t="inlineStr">
        <is>
          <t>4 - Equipment - Granite Ridge - Laundry Bldg 2 -</t>
        </is>
      </c>
      <c r="I93" s="86" t="n">
        <v>1366.36</v>
      </c>
      <c r="J93" s="87" t="n">
        <v>1366.36</v>
      </c>
    </row>
    <row r="94" ht="15" customHeight="1" s="80">
      <c r="A94" s="85" t="inlineStr">
        <is>
          <t>03/24/2026</t>
        </is>
      </c>
      <c r="B94" s="85" t="inlineStr">
        <is>
          <t>4 - Equipment - Granite Ridge - Laundry Bldg 2 -</t>
        </is>
      </c>
      <c r="I94" s="86" t="n">
        <v>2415.03</v>
      </c>
      <c r="J94" s="87" t="n">
        <v>2415.03</v>
      </c>
    </row>
    <row r="95" ht="15" customHeight="1" s="80">
      <c r="A95" s="85" t="inlineStr">
        <is>
          <t>03/24/2026</t>
        </is>
      </c>
      <c r="B95" s="85" t="inlineStr">
        <is>
          <t>5 - Land Improvements - Granite Ridge - Site -</t>
        </is>
      </c>
      <c r="C95" s="86" t="n">
        <v>18746.27</v>
      </c>
      <c r="J95" s="87" t="n">
        <v>18746.27</v>
      </c>
    </row>
    <row r="96" ht="15" customHeight="1" s="80">
      <c r="A96" s="85" t="inlineStr">
        <is>
          <t>03/24/2026</t>
        </is>
      </c>
      <c r="B96" s="85" t="inlineStr">
        <is>
          <t>5 - Land Improvements - Granite Ridge - Site -</t>
        </is>
      </c>
      <c r="C96" s="86" t="n">
        <v>7407.88</v>
      </c>
      <c r="J96" s="87" t="n">
        <v>7407.88</v>
      </c>
    </row>
    <row r="97" ht="15" customHeight="1" s="80">
      <c r="A97" s="85" t="inlineStr">
        <is>
          <t>03/24/2026</t>
        </is>
      </c>
      <c r="B97" s="85" t="inlineStr">
        <is>
          <t>5 - Land Improvements - Granite Ridge - Apts 1-16 -</t>
        </is>
      </c>
      <c r="D97" s="86" t="n">
        <v>10270.37</v>
      </c>
      <c r="J97" s="87" t="n">
        <v>10270.37</v>
      </c>
    </row>
    <row r="98" ht="15" customHeight="1" s="80">
      <c r="A98" s="85" t="inlineStr">
        <is>
          <t>03/24/2026</t>
        </is>
      </c>
      <c r="B98" s="85" t="inlineStr">
        <is>
          <t>5 - Land Improvements - Granite Ridge - Apts 1-16 -</t>
        </is>
      </c>
      <c r="D98" s="86" t="n">
        <v>29715.49</v>
      </c>
      <c r="J98" s="87" t="n">
        <v>29715.49</v>
      </c>
    </row>
    <row r="99" ht="15" customHeight="1" s="80">
      <c r="A99" s="85" t="inlineStr">
        <is>
          <t>03/24/2026</t>
        </is>
      </c>
      <c r="B99" s="85" t="inlineStr">
        <is>
          <t>5 - Land Improvements - Granite Ridge - Apts 17-32 -</t>
        </is>
      </c>
      <c r="E99" s="86" t="n">
        <v>10270.37</v>
      </c>
      <c r="J99" s="87" t="n">
        <v>10270.37</v>
      </c>
    </row>
    <row r="100" ht="15" customHeight="1" s="80">
      <c r="A100" s="85" t="inlineStr">
        <is>
          <t>03/24/2026</t>
        </is>
      </c>
      <c r="B100" s="85" t="inlineStr">
        <is>
          <t>5 - Land Improvements - Granite Ridge - Apts 17-32 -</t>
        </is>
      </c>
      <c r="E100" s="86" t="n">
        <v>29715.49</v>
      </c>
      <c r="J100" s="87" t="n">
        <v>29715.49</v>
      </c>
    </row>
    <row r="101" ht="15" customHeight="1" s="80">
      <c r="A101" s="85" t="inlineStr">
        <is>
          <t>03/24/2026</t>
        </is>
      </c>
      <c r="B101" s="85" t="inlineStr">
        <is>
          <t>5 - Land Improvements - Granite Ridge - Apts 49-64 -</t>
        </is>
      </c>
      <c r="F101" s="86" t="n">
        <v>10270.37</v>
      </c>
      <c r="J101" s="87" t="n">
        <v>10270.37</v>
      </c>
    </row>
    <row r="102" ht="15" customHeight="1" s="80">
      <c r="A102" s="85" t="inlineStr">
        <is>
          <t>03/24/2026</t>
        </is>
      </c>
      <c r="B102" s="85" t="inlineStr">
        <is>
          <t>5 - Land Improvements - Granite Ridge - Apts 49-64 -</t>
        </is>
      </c>
      <c r="F102" s="86" t="n">
        <v>29715.49</v>
      </c>
      <c r="J102" s="87" t="n">
        <v>29715.49</v>
      </c>
    </row>
    <row r="103" ht="15" customHeight="1" s="80">
      <c r="A103" s="85" t="inlineStr">
        <is>
          <t>03/24/2026</t>
        </is>
      </c>
      <c r="B103" s="85" t="inlineStr">
        <is>
          <t>5 - Land Improvements - Granite Ridge - Apts 65-80 -</t>
        </is>
      </c>
      <c r="G103" s="86" t="n">
        <v>10270.37</v>
      </c>
      <c r="J103" s="87" t="n">
        <v>10270.37</v>
      </c>
    </row>
    <row r="104" ht="15" customHeight="1" s="80">
      <c r="A104" s="85" t="inlineStr">
        <is>
          <t>03/24/2026</t>
        </is>
      </c>
      <c r="B104" s="85" t="inlineStr">
        <is>
          <t>5 - Land Improvements - Granite Ridge - Apts 65-80 -</t>
        </is>
      </c>
      <c r="G104" s="86" t="n">
        <v>29715.49</v>
      </c>
      <c r="J104" s="87" t="n">
        <v>29715.49</v>
      </c>
    </row>
    <row r="105" ht="15" customHeight="1" s="80">
      <c r="A105" s="85" t="inlineStr">
        <is>
          <t>03/24/2026</t>
        </is>
      </c>
      <c r="B105" s="85" t="inlineStr">
        <is>
          <t>5 - Land Improvements - Granite Ridge - Laundry Bldg 1 -</t>
        </is>
      </c>
      <c r="H105" s="86" t="n">
        <v>701.24</v>
      </c>
      <c r="J105" s="87" t="n">
        <v>701.24</v>
      </c>
    </row>
    <row r="106" ht="15" customHeight="1" s="80">
      <c r="A106" s="85" t="inlineStr">
        <is>
          <t>03/24/2026</t>
        </is>
      </c>
      <c r="B106" s="85" t="inlineStr">
        <is>
          <t>5 - Land Improvements - Granite Ridge - Laundry Bldg 1 -</t>
        </is>
      </c>
      <c r="H106" s="86" t="n">
        <v>1999.69</v>
      </c>
      <c r="J106" s="87" t="n">
        <v>1999.69</v>
      </c>
    </row>
    <row r="107" ht="15" customHeight="1" s="80">
      <c r="A107" s="85" t="inlineStr">
        <is>
          <t>03/24/2026</t>
        </is>
      </c>
      <c r="B107" s="85" t="inlineStr">
        <is>
          <t>5 - Land Improvements - Granite Ridge - Laundry Bldg 2 -</t>
        </is>
      </c>
      <c r="I107" s="86" t="n">
        <v>1131.36</v>
      </c>
      <c r="J107" s="87" t="n">
        <v>1131.36</v>
      </c>
    </row>
    <row r="108" ht="15" customHeight="1" s="80">
      <c r="A108" s="85" t="inlineStr">
        <is>
          <t>03/24/2026</t>
        </is>
      </c>
      <c r="B108" s="85" t="inlineStr">
        <is>
          <t>5 - Land Improvements - Granite Ridge - Laundry Bldg 2 -</t>
        </is>
      </c>
      <c r="I108" s="86" t="n">
        <v>1999.69</v>
      </c>
      <c r="J108" s="87" t="n">
        <v>1999.69</v>
      </c>
    </row>
    <row r="110">
      <c r="C110" s="88" t="n">
        <v>312303.13</v>
      </c>
      <c r="D110" s="88" t="n">
        <v>477465.65</v>
      </c>
      <c r="E110" s="88" t="n">
        <v>477465.65</v>
      </c>
      <c r="F110" s="88" t="n">
        <v>477465.65</v>
      </c>
      <c r="G110" s="88" t="n">
        <v>477465.65</v>
      </c>
      <c r="H110" s="88" t="n">
        <v>32251.52</v>
      </c>
      <c r="I110" s="88" t="n">
        <v>37387.45</v>
      </c>
      <c r="J110" s="88" t="n">
        <v>2291804.7</v>
      </c>
    </row>
    <row r="112">
      <c r="B112" s="90" t="inlineStr">
        <is>
          <t>Projected First-Year Benefit (vs. straight-line 27.5yr)</t>
        </is>
      </c>
      <c r="C112" s="88" t="n">
        <v>312303.13</v>
      </c>
      <c r="D112" s="88" t="n">
        <v>477465.65</v>
      </c>
      <c r="E112" s="88" t="n">
        <v>477465.65</v>
      </c>
      <c r="F112" s="88" t="n">
        <v>477465.65</v>
      </c>
      <c r="G112" s="88" t="n">
        <v>477465.65</v>
      </c>
      <c r="H112" s="88" t="n">
        <v>32251.52</v>
      </c>
      <c r="I112" s="88" t="n">
        <v>37387.45</v>
      </c>
      <c r="J112" s="88" t="n">
        <v>2291804.7</v>
      </c>
    </row>
  </sheetData>
  <mergeCells count="1">
    <mergeCell ref="B60:J6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s>
  <sheetData>
    <row r="1">
      <c r="A1" s="81" t="inlineStr">
        <is>
          <t>Fairfax Senior Apartments</t>
        </is>
      </c>
    </row>
    <row r="2">
      <c r="B2" s="82" t="inlineStr">
        <is>
          <t>FYE: 12/31/2024</t>
        </is>
      </c>
    </row>
    <row r="3">
      <c r="A3" s="119" t="inlineStr">
        <is>
          <t>New Study — No Prior Depreciation / No Form 3115 Filed</t>
        </is>
      </c>
    </row>
    <row r="4" ht="30" customHeight="1" s="80">
      <c r="A4" s="83" t="inlineStr">
        <is>
          <t>Acq Date</t>
        </is>
      </c>
      <c r="B4" s="83" t="inlineStr"/>
      <c r="C4" s="83" t="inlineStr">
        <is>
          <t>Fairfax</t>
        </is>
      </c>
      <c r="D4" s="83" t="inlineStr">
        <is>
          <t>total cost</t>
        </is>
      </c>
    </row>
    <row r="5" ht="15" customHeight="1" s="80">
      <c r="A5" s="85" t="inlineStr">
        <is>
          <t>04/01/2026</t>
        </is>
      </c>
      <c r="B5" s="85" t="inlineStr">
        <is>
          <t>17 - Building &amp; Improvements - Fairfax</t>
        </is>
      </c>
      <c r="C5" s="86" t="n">
        <v>23000</v>
      </c>
      <c r="D5" s="87" t="n">
        <v>23000</v>
      </c>
    </row>
    <row r="6" ht="15" customHeight="1" s="80">
      <c r="A6" s="85" t="inlineStr">
        <is>
          <t>04/01/2026</t>
        </is>
      </c>
      <c r="B6" s="85" t="inlineStr">
        <is>
          <t>21 - Building Step Up 754 Election - Fairfax</t>
        </is>
      </c>
      <c r="C6" s="86" t="n">
        <v>726135</v>
      </c>
      <c r="D6" s="87" t="n">
        <v>726135</v>
      </c>
    </row>
    <row r="7" ht="15" customHeight="1" s="80">
      <c r="A7" s="85" t="inlineStr">
        <is>
          <t>04/01/2026</t>
        </is>
      </c>
      <c r="B7" s="85" t="inlineStr">
        <is>
          <t>22 - Building Improv 754 Step Up Election - Fairfax</t>
        </is>
      </c>
      <c r="C7" s="86" t="n">
        <v>70021</v>
      </c>
      <c r="D7" s="87" t="n">
        <v>70021</v>
      </c>
    </row>
    <row r="8" ht="15" customHeight="1" s="80">
      <c r="A8" s="85" t="inlineStr">
        <is>
          <t>04/01/2026</t>
        </is>
      </c>
      <c r="B8" s="85" t="inlineStr">
        <is>
          <t>24 - Appliances &amp; Equip Stepup 754 Election - Fairfax</t>
        </is>
      </c>
      <c r="C8" s="86" t="n">
        <v>5684</v>
      </c>
      <c r="D8" s="87" t="n">
        <v>5684</v>
      </c>
    </row>
    <row r="10">
      <c r="C10" s="88" t="n">
        <v>824840</v>
      </c>
      <c r="D10" s="88" t="n">
        <v>824840</v>
      </c>
    </row>
    <row r="13" ht="30" customHeight="1" s="80">
      <c r="A13" s="83" t="inlineStr">
        <is>
          <t>Acq Date</t>
        </is>
      </c>
      <c r="B13" s="83" t="inlineStr"/>
      <c r="C13" s="83" t="inlineStr">
        <is>
          <t>Fairfax</t>
        </is>
      </c>
      <c r="D13" s="83" t="inlineStr">
        <is>
          <t>total cost</t>
        </is>
      </c>
    </row>
    <row r="14" ht="15" customHeight="1" s="80">
      <c r="A14" s="85" t="inlineStr">
        <is>
          <t>04/01/2026</t>
        </is>
      </c>
      <c r="B14" s="85" t="inlineStr">
        <is>
          <t>17 - Building &amp; Improvements - Fairfax - Fairfax - 7yr</t>
        </is>
      </c>
      <c r="C14" s="86" t="n">
        <v>4419.59</v>
      </c>
      <c r="D14" s="87" t="n">
        <v>4419.59</v>
      </c>
    </row>
    <row r="15" ht="15" customHeight="1" s="80">
      <c r="A15" s="85" t="inlineStr">
        <is>
          <t>04/01/2026</t>
        </is>
      </c>
      <c r="B15" s="85" t="inlineStr">
        <is>
          <t>17 - Building &amp; Improvements - Fairfax - Fairfax - 27.5yr</t>
        </is>
      </c>
      <c r="C15" s="86" t="n">
        <v>18017.01</v>
      </c>
      <c r="D15" s="87" t="n">
        <v>18017.01</v>
      </c>
    </row>
    <row r="16" ht="15" customHeight="1" s="80">
      <c r="A16" s="85" t="inlineStr">
        <is>
          <t>04/01/2026</t>
        </is>
      </c>
      <c r="B16" s="85" t="inlineStr">
        <is>
          <t>21 - Building Step Up 754 Election - Fairfax - Fairfax - 7yr</t>
        </is>
      </c>
      <c r="C16" s="86" t="n">
        <v>139531.13</v>
      </c>
      <c r="D16" s="87" t="n">
        <v>139531.13</v>
      </c>
    </row>
    <row r="17" ht="15" customHeight="1" s="80">
      <c r="A17" s="85" t="inlineStr">
        <is>
          <t>04/01/2026</t>
        </is>
      </c>
      <c r="B17" s="85" t="inlineStr">
        <is>
          <t>21 - Building Step Up 754 Election - Fairfax - Fairfax - 27.5yr</t>
        </is>
      </c>
      <c r="C17" s="86" t="n">
        <v>568816.64</v>
      </c>
      <c r="D17" s="87" t="n">
        <v>568816.64</v>
      </c>
    </row>
    <row r="18" ht="15" customHeight="1" s="80">
      <c r="A18" s="85" t="inlineStr">
        <is>
          <t>04/01/2026</t>
        </is>
      </c>
      <c r="B18" s="85" t="inlineStr">
        <is>
          <t>22 - Building Improv 754 Step Up Election - Fairfax - Fairfax - 7yr</t>
        </is>
      </c>
      <c r="C18" s="86" t="n">
        <v>13454.95</v>
      </c>
      <c r="D18" s="87" t="n">
        <v>13454.95</v>
      </c>
    </row>
    <row r="19" ht="15" customHeight="1" s="80">
      <c r="A19" s="85" t="inlineStr">
        <is>
          <t>04/01/2026</t>
        </is>
      </c>
      <c r="B19" s="85" t="inlineStr">
        <is>
          <t>22 - Building Improv 754 Step Up Election - Fairfax - Fairfax - 27.5yr</t>
        </is>
      </c>
      <c r="C19" s="86" t="n">
        <v>54850.83</v>
      </c>
      <c r="D19" s="87" t="n">
        <v>54850.83</v>
      </c>
    </row>
    <row r="20" ht="15" customHeight="1" s="80">
      <c r="A20" s="85" t="inlineStr">
        <is>
          <t>04/01/2026</t>
        </is>
      </c>
      <c r="B20" s="85" t="inlineStr">
        <is>
          <t>24 - Appliances &amp; Equip Stepup 754 Election - Fairfax - Fairfax - 15yr</t>
        </is>
      </c>
      <c r="C20" s="86" t="n">
        <v>5684</v>
      </c>
      <c r="D20" s="87" t="n">
        <v>5684</v>
      </c>
    </row>
    <row r="22">
      <c r="C22" s="88" t="n">
        <v>824840</v>
      </c>
      <c r="D22" s="88" t="n">
        <v>824840</v>
      </c>
    </row>
    <row r="25">
      <c r="C25" s="89" t="inlineStr">
        <is>
          <t>end deprec</t>
        </is>
      </c>
    </row>
    <row r="26">
      <c r="B26" s="119" t="inlineStr">
        <is>
          <t>NOTE: New study — no prior depreciation history. No Form 3115 filed. "Before" reflects $0 accumulated depreciation under old method; "After" reflects projected first-year cost seg depreciation.</t>
        </is>
      </c>
    </row>
    <row r="27" ht="15" customHeight="1" s="80">
      <c r="A27" s="85" t="inlineStr">
        <is>
          <t>04/01/2026</t>
        </is>
      </c>
      <c r="B27" s="85" t="inlineStr">
        <is>
          <t>17 - Building &amp; Improvements - Fairfax</t>
        </is>
      </c>
      <c r="C27" s="86" t="n">
        <v>23000</v>
      </c>
      <c r="D27" s="87" t="n">
        <v>23000</v>
      </c>
    </row>
    <row r="28" ht="15" customHeight="1" s="80">
      <c r="A28" s="85" t="inlineStr">
        <is>
          <t>04/01/2026</t>
        </is>
      </c>
      <c r="B28" s="85" t="inlineStr">
        <is>
          <t>21 - Building Step Up 754 Election - Fairfax</t>
        </is>
      </c>
      <c r="C28" s="86" t="n">
        <v>726135</v>
      </c>
      <c r="D28" s="87" t="n">
        <v>726135</v>
      </c>
    </row>
    <row r="29" ht="15" customHeight="1" s="80">
      <c r="A29" s="85" t="inlineStr">
        <is>
          <t>04/01/2026</t>
        </is>
      </c>
      <c r="B29" s="85" t="inlineStr">
        <is>
          <t>22 - Building Improv 754 Step Up Election - Fairfax</t>
        </is>
      </c>
      <c r="C29" s="86" t="n">
        <v>70021</v>
      </c>
      <c r="D29" s="87" t="n">
        <v>70021</v>
      </c>
    </row>
    <row r="30" ht="15" customHeight="1" s="80">
      <c r="A30" s="85" t="inlineStr">
        <is>
          <t>04/01/2026</t>
        </is>
      </c>
      <c r="B30" s="85" t="inlineStr">
        <is>
          <t>24 - Appliances &amp; Equip Stepup 754 Election - Fairfax</t>
        </is>
      </c>
      <c r="C30" s="86" t="n">
        <v>5684</v>
      </c>
      <c r="D30" s="87" t="n">
        <v>5684</v>
      </c>
    </row>
    <row r="32">
      <c r="C32" s="88" t="n">
        <v>0</v>
      </c>
      <c r="D32" s="88" t="n">
        <v>0</v>
      </c>
    </row>
    <row r="34" ht="15" customHeight="1" s="80">
      <c r="A34" s="85" t="inlineStr">
        <is>
          <t>04/01/2026</t>
        </is>
      </c>
      <c r="B34" s="85" t="inlineStr">
        <is>
          <t>17 - Building &amp; Improvements - Fairfax - Fairfax -</t>
        </is>
      </c>
      <c r="C34" s="86" t="n">
        <v>4419.59</v>
      </c>
      <c r="D34" s="87" t="n">
        <v>4419.59</v>
      </c>
    </row>
    <row r="35" ht="15" customHeight="1" s="80">
      <c r="A35" s="85" t="inlineStr">
        <is>
          <t>04/01/2026</t>
        </is>
      </c>
      <c r="B35" s="85" t="inlineStr">
        <is>
          <t>17 - Building &amp; Improvements - Fairfax - Fairfax -</t>
        </is>
      </c>
      <c r="C35" s="86" t="n">
        <v>18017.01</v>
      </c>
      <c r="D35" s="87" t="n">
        <v>18017.01</v>
      </c>
    </row>
    <row r="36" ht="15" customHeight="1" s="80">
      <c r="A36" s="85" t="inlineStr">
        <is>
          <t>04/01/2026</t>
        </is>
      </c>
      <c r="B36" s="85" t="inlineStr">
        <is>
          <t>21 - Building Step Up 754 Election - Fairfax - Fairfax -</t>
        </is>
      </c>
      <c r="C36" s="86" t="n">
        <v>139531.13</v>
      </c>
      <c r="D36" s="87" t="n">
        <v>139531.13</v>
      </c>
    </row>
    <row r="37" ht="15" customHeight="1" s="80">
      <c r="A37" s="85" t="inlineStr">
        <is>
          <t>04/01/2026</t>
        </is>
      </c>
      <c r="B37" s="85" t="inlineStr">
        <is>
          <t>21 - Building Step Up 754 Election - Fairfax - Fairfax -</t>
        </is>
      </c>
      <c r="C37" s="86" t="n">
        <v>568816.64</v>
      </c>
      <c r="D37" s="87" t="n">
        <v>568816.64</v>
      </c>
    </row>
    <row r="38" ht="15" customHeight="1" s="80">
      <c r="A38" s="85" t="inlineStr">
        <is>
          <t>04/01/2026</t>
        </is>
      </c>
      <c r="B38" s="85" t="inlineStr">
        <is>
          <t>22 - Building Improv 754 Step Up Election - Fairfax - Fairfax -</t>
        </is>
      </c>
      <c r="C38" s="86" t="n">
        <v>13454.95</v>
      </c>
      <c r="D38" s="87" t="n">
        <v>13454.95</v>
      </c>
    </row>
    <row r="39" ht="15" customHeight="1" s="80">
      <c r="A39" s="85" t="inlineStr">
        <is>
          <t>04/01/2026</t>
        </is>
      </c>
      <c r="B39" s="85" t="inlineStr">
        <is>
          <t>22 - Building Improv 754 Step Up Election - Fairfax - Fairfax -</t>
        </is>
      </c>
      <c r="C39" s="86" t="n">
        <v>54850.83</v>
      </c>
      <c r="D39" s="87" t="n">
        <v>54850.83</v>
      </c>
    </row>
    <row r="40" ht="15" customHeight="1" s="80">
      <c r="A40" s="85" t="inlineStr">
        <is>
          <t>04/01/2026</t>
        </is>
      </c>
      <c r="B40" s="85" t="inlineStr">
        <is>
          <t>24 - Appliances &amp; Equip Stepup 754 Election - Fairfax - Fairfax -</t>
        </is>
      </c>
      <c r="C40" s="86" t="n">
        <v>5684</v>
      </c>
      <c r="D40" s="87" t="n">
        <v>5684</v>
      </c>
    </row>
    <row r="42">
      <c r="C42" s="88" t="n">
        <v>824840</v>
      </c>
      <c r="D42" s="88" t="n">
        <v>824840</v>
      </c>
    </row>
    <row r="44">
      <c r="B44" s="90" t="inlineStr">
        <is>
          <t>Projected First-Year Benefit (vs. straight-line 27.5yr)</t>
        </is>
      </c>
      <c r="C44" s="88" t="n">
        <v>824840</v>
      </c>
      <c r="D44" s="88" t="n">
        <v>824840</v>
      </c>
    </row>
  </sheetData>
  <mergeCells count="1">
    <mergeCell ref="B26:D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3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s>
  <sheetData>
    <row r="1">
      <c r="A1" s="81" t="inlineStr">
        <is>
          <t>Silver Spring Terrace Apartments</t>
        </is>
      </c>
    </row>
    <row r="2">
      <c r="B2" s="82" t="inlineStr">
        <is>
          <t>FYE: 12/31/2024</t>
        </is>
      </c>
    </row>
    <row r="3">
      <c r="A3" s="120" t="inlineStr">
        <is>
          <t>⚠ ADS Election (IRC §163(j)) — Accelerated depreciation limited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Office</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Maintenance Building</t>
        </is>
      </c>
      <c r="V4" s="83" t="inlineStr">
        <is>
          <t>total cost</t>
        </is>
      </c>
    </row>
    <row r="5" ht="15" customHeight="1" s="80">
      <c r="A5" s="85" t="inlineStr">
        <is>
          <t>04/09/2026</t>
        </is>
      </c>
      <c r="B5" s="85" t="inlineStr">
        <is>
          <t>2 - Land Improvements - Silver Spring</t>
        </is>
      </c>
      <c r="C5" s="86" t="n">
        <v>43753.71</v>
      </c>
      <c r="D5" s="86" t="n">
        <v>24479.81</v>
      </c>
      <c r="E5" s="86" t="n">
        <v>24479.81</v>
      </c>
      <c r="F5" s="86" t="n">
        <v>24479.81</v>
      </c>
      <c r="G5" s="86" t="n">
        <v>9702.83</v>
      </c>
      <c r="H5" s="86" t="n">
        <v>17730.79</v>
      </c>
      <c r="I5" s="86" t="n">
        <v>27761.89</v>
      </c>
      <c r="J5" s="86" t="n">
        <v>27761.89</v>
      </c>
      <c r="K5" s="86" t="n">
        <v>17730.79</v>
      </c>
      <c r="L5" s="86" t="n">
        <v>27761.89</v>
      </c>
      <c r="M5" s="86" t="n">
        <v>27761.89</v>
      </c>
      <c r="N5" s="86" t="n">
        <v>24479.81</v>
      </c>
      <c r="O5" s="86" t="n">
        <v>17730.79</v>
      </c>
      <c r="P5" s="86" t="n">
        <v>17730.79</v>
      </c>
      <c r="Q5" s="86" t="n">
        <v>15078.24</v>
      </c>
      <c r="R5" s="86" t="n">
        <v>11695.57</v>
      </c>
      <c r="S5" s="86" t="n">
        <v>11695.57</v>
      </c>
      <c r="T5" s="86" t="n">
        <v>27761.89</v>
      </c>
      <c r="U5" s="86" t="n">
        <v>422.23</v>
      </c>
      <c r="V5" s="87" t="n">
        <v>400000</v>
      </c>
    </row>
    <row r="6" ht="15" customHeight="1" s="80">
      <c r="A6" s="85" t="inlineStr">
        <is>
          <t>04/09/2026</t>
        </is>
      </c>
      <c r="B6" s="85" t="inlineStr">
        <is>
          <t>3 - Building - Silver Spring</t>
        </is>
      </c>
      <c r="C6" s="86" t="n">
        <v>352122.24</v>
      </c>
      <c r="D6" s="86" t="n">
        <v>197009.25</v>
      </c>
      <c r="E6" s="86" t="n">
        <v>197009.25</v>
      </c>
      <c r="F6" s="86" t="n">
        <v>197009.25</v>
      </c>
      <c r="G6" s="86" t="n">
        <v>78086.63</v>
      </c>
      <c r="H6" s="86" t="n">
        <v>142694.3</v>
      </c>
      <c r="I6" s="86" t="n">
        <v>223422.8</v>
      </c>
      <c r="J6" s="86" t="n">
        <v>223422.8</v>
      </c>
      <c r="K6" s="86" t="n">
        <v>142694.3</v>
      </c>
      <c r="L6" s="86" t="n">
        <v>223422.8</v>
      </c>
      <c r="M6" s="86" t="n">
        <v>223422.8</v>
      </c>
      <c r="N6" s="86" t="n">
        <v>197009.25</v>
      </c>
      <c r="O6" s="86" t="n">
        <v>142694.3</v>
      </c>
      <c r="P6" s="86" t="n">
        <v>142694.3</v>
      </c>
      <c r="Q6" s="86" t="n">
        <v>121347</v>
      </c>
      <c r="R6" s="86" t="n">
        <v>94123.92</v>
      </c>
      <c r="S6" s="86" t="n">
        <v>94123.92</v>
      </c>
      <c r="T6" s="86" t="n">
        <v>223422.8</v>
      </c>
      <c r="U6" s="86" t="n">
        <v>3398.09</v>
      </c>
      <c r="V6" s="87" t="n">
        <v>3219129.999999999</v>
      </c>
    </row>
    <row r="7" ht="15" customHeight="1" s="80">
      <c r="A7" s="85" t="inlineStr">
        <is>
          <t>04/09/2026</t>
        </is>
      </c>
      <c r="B7" s="85" t="inlineStr">
        <is>
          <t>4 - Personal Property - Silver Spring</t>
        </is>
      </c>
      <c r="C7" s="86" t="n">
        <v>21876.86</v>
      </c>
      <c r="D7" s="86" t="n">
        <v>12239.91</v>
      </c>
      <c r="E7" s="86" t="n">
        <v>12239.91</v>
      </c>
      <c r="F7" s="86" t="n">
        <v>12239.91</v>
      </c>
      <c r="G7" s="86" t="n">
        <v>4851.41</v>
      </c>
      <c r="H7" s="86" t="n">
        <v>8865.4</v>
      </c>
      <c r="I7" s="86" t="n">
        <v>13880.94</v>
      </c>
      <c r="J7" s="86" t="n">
        <v>13880.94</v>
      </c>
      <c r="K7" s="86" t="n">
        <v>8865.4</v>
      </c>
      <c r="L7" s="86" t="n">
        <v>13880.94</v>
      </c>
      <c r="M7" s="86" t="n">
        <v>13880.94</v>
      </c>
      <c r="N7" s="86" t="n">
        <v>12239.91</v>
      </c>
      <c r="O7" s="86" t="n">
        <v>8865.4</v>
      </c>
      <c r="P7" s="86" t="n">
        <v>8865.4</v>
      </c>
      <c r="Q7" s="86" t="n">
        <v>7539.11</v>
      </c>
      <c r="R7" s="86" t="n">
        <v>5847.79</v>
      </c>
      <c r="S7" s="86" t="n">
        <v>5847.79</v>
      </c>
      <c r="T7" s="86" t="n">
        <v>13880.94</v>
      </c>
      <c r="U7" s="86" t="n">
        <v>211.1</v>
      </c>
      <c r="V7" s="87" t="n">
        <v>200000</v>
      </c>
    </row>
    <row r="8" ht="15" customHeight="1" s="80">
      <c r="A8" s="85" t="inlineStr">
        <is>
          <t>04/09/2026</t>
        </is>
      </c>
      <c r="B8" s="85" t="inlineStr">
        <is>
          <t>19 - Building 754 "Menowitz" - Silver Spring</t>
        </is>
      </c>
      <c r="C8" s="86" t="n">
        <v>1183.32</v>
      </c>
      <c r="D8" s="86" t="n">
        <v>662.0599999999999</v>
      </c>
      <c r="E8" s="86" t="n">
        <v>662.0599999999999</v>
      </c>
      <c r="F8" s="86" t="n">
        <v>662.0599999999999</v>
      </c>
      <c r="G8" s="86" t="n">
        <v>262.41</v>
      </c>
      <c r="H8" s="86" t="n">
        <v>479.53</v>
      </c>
      <c r="I8" s="86" t="n">
        <v>750.8200000000001</v>
      </c>
      <c r="J8" s="86" t="n">
        <v>750.8200000000001</v>
      </c>
      <c r="K8" s="86" t="n">
        <v>479.53</v>
      </c>
      <c r="L8" s="86" t="n">
        <v>750.8200000000001</v>
      </c>
      <c r="M8" s="86" t="n">
        <v>750.8200000000001</v>
      </c>
      <c r="N8" s="86" t="n">
        <v>662.0599999999999</v>
      </c>
      <c r="O8" s="86" t="n">
        <v>479.53</v>
      </c>
      <c r="P8" s="86" t="n">
        <v>479.53</v>
      </c>
      <c r="Q8" s="86" t="n">
        <v>407.79</v>
      </c>
      <c r="R8" s="86" t="n">
        <v>316.3</v>
      </c>
      <c r="S8" s="86" t="n">
        <v>316.3</v>
      </c>
      <c r="T8" s="86" t="n">
        <v>750.8200000000001</v>
      </c>
      <c r="U8" s="86" t="n">
        <v>11.42</v>
      </c>
      <c r="V8" s="87" t="n">
        <v>10818</v>
      </c>
    </row>
    <row r="10">
      <c r="C10" s="88" t="n">
        <v>418936.13</v>
      </c>
      <c r="D10" s="88" t="n">
        <v>234391.03</v>
      </c>
      <c r="E10" s="88" t="n">
        <v>234391.03</v>
      </c>
      <c r="F10" s="88" t="n">
        <v>234391.03</v>
      </c>
      <c r="G10" s="88" t="n">
        <v>92903.28</v>
      </c>
      <c r="H10" s="88" t="n">
        <v>169770.02</v>
      </c>
      <c r="I10" s="88" t="n">
        <v>265816.45</v>
      </c>
      <c r="J10" s="88" t="n">
        <v>265816.45</v>
      </c>
      <c r="K10" s="88" t="n">
        <v>169770.02</v>
      </c>
      <c r="L10" s="88" t="n">
        <v>265816.45</v>
      </c>
      <c r="M10" s="88" t="n">
        <v>265816.45</v>
      </c>
      <c r="N10" s="88" t="n">
        <v>234391.03</v>
      </c>
      <c r="O10" s="88" t="n">
        <v>169770.02</v>
      </c>
      <c r="P10" s="88" t="n">
        <v>169770.02</v>
      </c>
      <c r="Q10" s="88" t="n">
        <v>144372.14</v>
      </c>
      <c r="R10" s="88" t="n">
        <v>111983.58</v>
      </c>
      <c r="S10" s="88" t="n">
        <v>111983.58</v>
      </c>
      <c r="T10" s="88" t="n">
        <v>265816.45</v>
      </c>
      <c r="U10" s="88" t="n">
        <v>4042.84</v>
      </c>
      <c r="V10" s="88" t="n">
        <v>3829948</v>
      </c>
    </row>
    <row r="13" ht="30" customHeight="1" s="80">
      <c r="A13" s="83" t="inlineStr">
        <is>
          <t>Acq Date</t>
        </is>
      </c>
      <c r="B13" s="83" t="inlineStr"/>
      <c r="C13" s="83" t="inlineStr">
        <is>
          <t>Site</t>
        </is>
      </c>
      <c r="D13" s="83" t="inlineStr">
        <is>
          <t>Building 1</t>
        </is>
      </c>
      <c r="E13" s="83" t="inlineStr">
        <is>
          <t>Building 2</t>
        </is>
      </c>
      <c r="F13" s="83" t="inlineStr">
        <is>
          <t>Building 3</t>
        </is>
      </c>
      <c r="G13" s="83" t="inlineStr">
        <is>
          <t>Office</t>
        </is>
      </c>
      <c r="H13" s="83" t="inlineStr">
        <is>
          <t>Building 5</t>
        </is>
      </c>
      <c r="I13" s="83" t="inlineStr">
        <is>
          <t>Building 6</t>
        </is>
      </c>
      <c r="J13" s="83" t="inlineStr">
        <is>
          <t>Building 7</t>
        </is>
      </c>
      <c r="K13" s="83" t="inlineStr">
        <is>
          <t>Building 8</t>
        </is>
      </c>
      <c r="L13" s="83" t="inlineStr">
        <is>
          <t>Building 9</t>
        </is>
      </c>
      <c r="M13" s="83" t="inlineStr">
        <is>
          <t>Building 10</t>
        </is>
      </c>
      <c r="N13" s="83" t="inlineStr">
        <is>
          <t>Building 11</t>
        </is>
      </c>
      <c r="O13" s="83" t="inlineStr">
        <is>
          <t>Building 12</t>
        </is>
      </c>
      <c r="P13" s="83" t="inlineStr">
        <is>
          <t>Building 13</t>
        </is>
      </c>
      <c r="Q13" s="83" t="inlineStr">
        <is>
          <t>Building 14</t>
        </is>
      </c>
      <c r="R13" s="83" t="inlineStr">
        <is>
          <t>Building 15</t>
        </is>
      </c>
      <c r="S13" s="83" t="inlineStr">
        <is>
          <t>Building 16</t>
        </is>
      </c>
      <c r="T13" s="83" t="inlineStr">
        <is>
          <t>Building 17</t>
        </is>
      </c>
      <c r="U13" s="83" t="inlineStr">
        <is>
          <t>Maintenance Building</t>
        </is>
      </c>
      <c r="V13" s="83" t="inlineStr">
        <is>
          <t>total cost</t>
        </is>
      </c>
    </row>
    <row r="14" ht="15" customHeight="1" s="80">
      <c r="A14" s="85" t="inlineStr">
        <is>
          <t>04/09/2026</t>
        </is>
      </c>
      <c r="B14" s="85" t="inlineStr">
        <is>
          <t>2 - Land Improvements - Silver Spring - Site - 15yr</t>
        </is>
      </c>
      <c r="C14" s="86" t="n">
        <v>29688.34</v>
      </c>
      <c r="V14" s="87" t="n">
        <v>29688.34</v>
      </c>
    </row>
    <row r="15" ht="15" customHeight="1" s="80">
      <c r="A15" s="85" t="inlineStr">
        <is>
          <t>04/09/2026</t>
        </is>
      </c>
      <c r="B15" s="85" t="inlineStr">
        <is>
          <t>2 - Land Improvements - Silver Spring - Site - 27.5yr</t>
        </is>
      </c>
      <c r="C15" s="86" t="n">
        <v>14065.37</v>
      </c>
      <c r="V15" s="87" t="n">
        <v>14065.37</v>
      </c>
    </row>
    <row r="16" ht="15" customHeight="1" s="80">
      <c r="A16" s="85" t="inlineStr">
        <is>
          <t>04/09/2026</t>
        </is>
      </c>
      <c r="B16" s="85" t="inlineStr">
        <is>
          <t>2 - Land Improvements - Silver Spring - Bldg 1 - 15yr</t>
        </is>
      </c>
      <c r="D16" s="86" t="n">
        <v>5072.71</v>
      </c>
      <c r="V16" s="87" t="n">
        <v>5072.71</v>
      </c>
    </row>
    <row r="17" ht="15" customHeight="1" s="80">
      <c r="A17" s="85" t="inlineStr">
        <is>
          <t>04/09/2026</t>
        </is>
      </c>
      <c r="B17" s="85" t="inlineStr">
        <is>
          <t>2 - Land Improvements - Silver Spring - Bldg 1 - 27.5yr</t>
        </is>
      </c>
      <c r="D17" s="86" t="n">
        <v>19407.1</v>
      </c>
      <c r="V17" s="87" t="n">
        <v>19407.1</v>
      </c>
    </row>
    <row r="18" ht="15" customHeight="1" s="80">
      <c r="A18" s="85" t="inlineStr">
        <is>
          <t>04/09/2026</t>
        </is>
      </c>
      <c r="B18" s="85" t="inlineStr">
        <is>
          <t>2 - Land Improvements - Silver Spring - Bldg 2 - 15yr</t>
        </is>
      </c>
      <c r="E18" s="86" t="n">
        <v>5072.71</v>
      </c>
      <c r="V18" s="87" t="n">
        <v>5072.71</v>
      </c>
    </row>
    <row r="19" ht="15" customHeight="1" s="80">
      <c r="A19" s="85" t="inlineStr">
        <is>
          <t>04/09/2026</t>
        </is>
      </c>
      <c r="B19" s="85" t="inlineStr">
        <is>
          <t>2 - Land Improvements - Silver Spring - Bldg 2 - 27.5yr</t>
        </is>
      </c>
      <c r="E19" s="86" t="n">
        <v>19407.1</v>
      </c>
      <c r="V19" s="87" t="n">
        <v>19407.1</v>
      </c>
    </row>
    <row r="20" ht="15" customHeight="1" s="80">
      <c r="A20" s="85" t="inlineStr">
        <is>
          <t>04/09/2026</t>
        </is>
      </c>
      <c r="B20" s="85" t="inlineStr">
        <is>
          <t>2 - Land Improvements - Silver Spring - Bldg 3 - 15yr</t>
        </is>
      </c>
      <c r="F20" s="86" t="n">
        <v>5072.71</v>
      </c>
      <c r="V20" s="87" t="n">
        <v>5072.71</v>
      </c>
    </row>
    <row r="21" ht="15" customHeight="1" s="80">
      <c r="A21" s="85" t="inlineStr">
        <is>
          <t>04/09/2026</t>
        </is>
      </c>
      <c r="B21" s="85" t="inlineStr">
        <is>
          <t>2 - Land Improvements - Silver Spring - Bldg 3 - 27.5yr</t>
        </is>
      </c>
      <c r="F21" s="86" t="n">
        <v>19407.1</v>
      </c>
      <c r="V21" s="87" t="n">
        <v>19407.1</v>
      </c>
    </row>
    <row r="22" ht="15" customHeight="1" s="80">
      <c r="A22" s="85" t="inlineStr">
        <is>
          <t>04/09/2026</t>
        </is>
      </c>
      <c r="B22" s="85" t="inlineStr">
        <is>
          <t>2 - Land Improvements - Silver Spring - Office - 15yr</t>
        </is>
      </c>
      <c r="G22" s="86" t="n">
        <v>1975.88</v>
      </c>
      <c r="V22" s="87" t="n">
        <v>1975.88</v>
      </c>
    </row>
    <row r="23" ht="15" customHeight="1" s="80">
      <c r="A23" s="85" t="inlineStr">
        <is>
          <t>04/09/2026</t>
        </is>
      </c>
      <c r="B23" s="85" t="inlineStr">
        <is>
          <t>2 - Land Improvements - Silver Spring - Office - 27.5yr</t>
        </is>
      </c>
      <c r="G23" s="86" t="n">
        <v>7726.95</v>
      </c>
      <c r="V23" s="87" t="n">
        <v>7726.95</v>
      </c>
    </row>
    <row r="24" ht="15" customHeight="1" s="80">
      <c r="A24" s="85" t="inlineStr">
        <is>
          <t>04/09/2026</t>
        </is>
      </c>
      <c r="B24" s="85" t="inlineStr">
        <is>
          <t>2 - Land Improvements - Silver Spring - Bldg 5 - 15yr</t>
        </is>
      </c>
      <c r="H24" s="86" t="n">
        <v>3325.57</v>
      </c>
      <c r="V24" s="87" t="n">
        <v>3325.57</v>
      </c>
    </row>
    <row r="25" ht="15" customHeight="1" s="80">
      <c r="A25" s="85" t="inlineStr">
        <is>
          <t>04/09/2026</t>
        </is>
      </c>
      <c r="B25" s="85" t="inlineStr">
        <is>
          <t>2 - Land Improvements - Silver Spring - Bldg 5 - 27.5yr</t>
        </is>
      </c>
      <c r="H25" s="86" t="n">
        <v>14405.22</v>
      </c>
      <c r="V25" s="87" t="n">
        <v>14405.22</v>
      </c>
    </row>
    <row r="26" ht="15" customHeight="1" s="80">
      <c r="A26" s="85" t="inlineStr">
        <is>
          <t>04/09/2026</t>
        </is>
      </c>
      <c r="B26" s="85" t="inlineStr">
        <is>
          <t>2 - Land Improvements - Silver Spring - Bldg 6 - 15yr</t>
        </is>
      </c>
      <c r="I26" s="86" t="n">
        <v>5824.29</v>
      </c>
      <c r="V26" s="87" t="n">
        <v>5824.29</v>
      </c>
    </row>
    <row r="27" ht="15" customHeight="1" s="80">
      <c r="A27" s="85" t="inlineStr">
        <is>
          <t>04/09/2026</t>
        </is>
      </c>
      <c r="B27" s="85" t="inlineStr">
        <is>
          <t>2 - Land Improvements - Silver Spring - Bldg 6 - 27.5yr</t>
        </is>
      </c>
      <c r="I27" s="86" t="n">
        <v>21937.6</v>
      </c>
      <c r="V27" s="87" t="n">
        <v>21937.6</v>
      </c>
    </row>
    <row r="28" ht="15" customHeight="1" s="80">
      <c r="A28" s="85" t="inlineStr">
        <is>
          <t>04/09/2026</t>
        </is>
      </c>
      <c r="B28" s="85" t="inlineStr">
        <is>
          <t>2 - Land Improvements - Silver Spring - Bldg 7 - 15yr</t>
        </is>
      </c>
      <c r="J28" s="86" t="n">
        <v>5824.29</v>
      </c>
      <c r="V28" s="87" t="n">
        <v>5824.29</v>
      </c>
    </row>
    <row r="29" ht="15" customHeight="1" s="80">
      <c r="A29" s="85" t="inlineStr">
        <is>
          <t>04/09/2026</t>
        </is>
      </c>
      <c r="B29" s="85" t="inlineStr">
        <is>
          <t>2 - Land Improvements - Silver Spring - Bldg 7 - 27.5yr</t>
        </is>
      </c>
      <c r="J29" s="86" t="n">
        <v>21937.6</v>
      </c>
      <c r="V29" s="87" t="n">
        <v>21937.6</v>
      </c>
    </row>
    <row r="30" ht="15" customHeight="1" s="80">
      <c r="A30" s="85" t="inlineStr">
        <is>
          <t>04/09/2026</t>
        </is>
      </c>
      <c r="B30" s="85" t="inlineStr">
        <is>
          <t>2 - Land Improvements - Silver Spring - Bldg 8 - 15yr</t>
        </is>
      </c>
      <c r="K30" s="86" t="n">
        <v>3325.57</v>
      </c>
      <c r="V30" s="87" t="n">
        <v>3325.57</v>
      </c>
    </row>
    <row r="31" ht="15" customHeight="1" s="80">
      <c r="A31" s="85" t="inlineStr">
        <is>
          <t>04/09/2026</t>
        </is>
      </c>
      <c r="B31" s="85" t="inlineStr">
        <is>
          <t>2 - Land Improvements - Silver Spring - Bldg 8 - 27.5yr</t>
        </is>
      </c>
      <c r="K31" s="86" t="n">
        <v>14405.22</v>
      </c>
      <c r="V31" s="87" t="n">
        <v>14405.22</v>
      </c>
    </row>
    <row r="32" ht="15" customHeight="1" s="80">
      <c r="A32" s="85" t="inlineStr">
        <is>
          <t>04/09/2026</t>
        </is>
      </c>
      <c r="B32" s="85" t="inlineStr">
        <is>
          <t>2 - Land Improvements - Silver Spring - Bldg 9 - 15yr</t>
        </is>
      </c>
      <c r="L32" s="86" t="n">
        <v>5824.29</v>
      </c>
      <c r="V32" s="87" t="n">
        <v>5824.29</v>
      </c>
    </row>
    <row r="33" ht="15" customHeight="1" s="80">
      <c r="A33" s="85" t="inlineStr">
        <is>
          <t>04/09/2026</t>
        </is>
      </c>
      <c r="B33" s="85" t="inlineStr">
        <is>
          <t>2 - Land Improvements - Silver Spring - Bldg 9 - 27.5yr</t>
        </is>
      </c>
      <c r="L33" s="86" t="n">
        <v>21937.6</v>
      </c>
      <c r="V33" s="87" t="n">
        <v>21937.6</v>
      </c>
    </row>
    <row r="34" ht="15" customHeight="1" s="80">
      <c r="A34" s="85" t="inlineStr">
        <is>
          <t>04/09/2026</t>
        </is>
      </c>
      <c r="B34" s="85" t="inlineStr">
        <is>
          <t>2 - Land Improvements - Silver Spring - Bldg 10 - 15yr</t>
        </is>
      </c>
      <c r="M34" s="86" t="n">
        <v>5824.29</v>
      </c>
      <c r="V34" s="87" t="n">
        <v>5824.29</v>
      </c>
    </row>
    <row r="35" ht="15" customHeight="1" s="80">
      <c r="A35" s="85" t="inlineStr">
        <is>
          <t>04/09/2026</t>
        </is>
      </c>
      <c r="B35" s="85" t="inlineStr">
        <is>
          <t>2 - Land Improvements - Silver Spring - Bldg 10 - 27.5yr</t>
        </is>
      </c>
      <c r="M35" s="86" t="n">
        <v>21937.6</v>
      </c>
      <c r="V35" s="87" t="n">
        <v>21937.6</v>
      </c>
    </row>
    <row r="36" ht="15" customHeight="1" s="80">
      <c r="A36" s="85" t="inlineStr">
        <is>
          <t>04/09/2026</t>
        </is>
      </c>
      <c r="B36" s="85" t="inlineStr">
        <is>
          <t>2 - Land Improvements - Silver Spring - Bldg 11 - 15yr</t>
        </is>
      </c>
      <c r="N36" s="86" t="n">
        <v>5072.71</v>
      </c>
      <c r="V36" s="87" t="n">
        <v>5072.71</v>
      </c>
    </row>
    <row r="37" ht="15" customHeight="1" s="80">
      <c r="A37" s="85" t="inlineStr">
        <is>
          <t>04/09/2026</t>
        </is>
      </c>
      <c r="B37" s="85" t="inlineStr">
        <is>
          <t>2 - Land Improvements - Silver Spring - Bldg 11 - 27.5yr</t>
        </is>
      </c>
      <c r="N37" s="86" t="n">
        <v>19407.1</v>
      </c>
      <c r="V37" s="87" t="n">
        <v>19407.1</v>
      </c>
    </row>
    <row r="38" ht="15" customHeight="1" s="80">
      <c r="A38" s="85" t="inlineStr">
        <is>
          <t>04/09/2026</t>
        </is>
      </c>
      <c r="B38" s="85" t="inlineStr">
        <is>
          <t>2 - Land Improvements - Silver Spring - Bldg 12 - 15yr</t>
        </is>
      </c>
      <c r="O38" s="86" t="n">
        <v>3325.57</v>
      </c>
      <c r="V38" s="87" t="n">
        <v>3325.57</v>
      </c>
    </row>
    <row r="39" ht="15" customHeight="1" s="80">
      <c r="A39" s="85" t="inlineStr">
        <is>
          <t>04/09/2026</t>
        </is>
      </c>
      <c r="B39" s="85" t="inlineStr">
        <is>
          <t>2 - Land Improvements - Silver Spring - Bldg 12 - 27.5yr</t>
        </is>
      </c>
      <c r="O39" s="86" t="n">
        <v>14405.22</v>
      </c>
      <c r="V39" s="87" t="n">
        <v>14405.22</v>
      </c>
    </row>
    <row r="40" ht="15" customHeight="1" s="80">
      <c r="A40" s="85" t="inlineStr">
        <is>
          <t>04/09/2026</t>
        </is>
      </c>
      <c r="B40" s="85" t="inlineStr">
        <is>
          <t>2 - Land Improvements - Silver Spring - Bldg 13 - 15yr</t>
        </is>
      </c>
      <c r="P40" s="86" t="n">
        <v>3325.57</v>
      </c>
      <c r="V40" s="87" t="n">
        <v>3325.57</v>
      </c>
    </row>
    <row r="41" ht="15" customHeight="1" s="80">
      <c r="A41" s="85" t="inlineStr">
        <is>
          <t>04/09/2026</t>
        </is>
      </c>
      <c r="B41" s="85" t="inlineStr">
        <is>
          <t>2 - Land Improvements - Silver Spring - Bldg 13 - 27.5yr</t>
        </is>
      </c>
      <c r="P41" s="86" t="n">
        <v>14405.22</v>
      </c>
      <c r="V41" s="87" t="n">
        <v>14405.22</v>
      </c>
    </row>
    <row r="42" ht="15" customHeight="1" s="80">
      <c r="A42" s="85" t="inlineStr">
        <is>
          <t>04/09/2026</t>
        </is>
      </c>
      <c r="B42" s="85" t="inlineStr">
        <is>
          <t>2 - Land Improvements - Silver Spring - Bldg 14 - 15yr</t>
        </is>
      </c>
      <c r="Q42" s="86" t="n">
        <v>2854.74</v>
      </c>
      <c r="V42" s="87" t="n">
        <v>2854.74</v>
      </c>
    </row>
    <row r="43" ht="15" customHeight="1" s="80">
      <c r="A43" s="85" t="inlineStr">
        <is>
          <t>04/09/2026</t>
        </is>
      </c>
      <c r="B43" s="85" t="inlineStr">
        <is>
          <t>2 - Land Improvements - Silver Spring - Bldg 14 - 27.5yr</t>
        </is>
      </c>
      <c r="Q43" s="86" t="n">
        <v>12223.5</v>
      </c>
      <c r="V43" s="87" t="n">
        <v>12223.5</v>
      </c>
    </row>
    <row r="44" ht="15" customHeight="1" s="80">
      <c r="A44" s="85" t="inlineStr">
        <is>
          <t>04/09/2026</t>
        </is>
      </c>
      <c r="B44" s="85" t="inlineStr">
        <is>
          <t>2 - Land Improvements - Silver Spring - Bldg 15 - 15yr</t>
        </is>
      </c>
      <c r="R44" s="86" t="n">
        <v>2341.72</v>
      </c>
      <c r="V44" s="87" t="n">
        <v>2341.72</v>
      </c>
    </row>
    <row r="45" ht="15" customHeight="1" s="80">
      <c r="A45" s="85" t="inlineStr">
        <is>
          <t>04/09/2026</t>
        </is>
      </c>
      <c r="B45" s="85" t="inlineStr">
        <is>
          <t>2 - Land Improvements - Silver Spring - Bldg 15 - 27.5yr</t>
        </is>
      </c>
      <c r="R45" s="86" t="n">
        <v>9353.85</v>
      </c>
      <c r="V45" s="87" t="n">
        <v>9353.85</v>
      </c>
    </row>
    <row r="46" ht="15" customHeight="1" s="80">
      <c r="A46" s="85" t="inlineStr">
        <is>
          <t>04/09/2026</t>
        </is>
      </c>
      <c r="B46" s="85" t="inlineStr">
        <is>
          <t>2 - Land Improvements - Silver Spring - Bldg 16 - 15yr</t>
        </is>
      </c>
      <c r="S46" s="86" t="n">
        <v>2341.72</v>
      </c>
      <c r="V46" s="87" t="n">
        <v>2341.72</v>
      </c>
    </row>
    <row r="47" ht="15" customHeight="1" s="80">
      <c r="A47" s="85" t="inlineStr">
        <is>
          <t>04/09/2026</t>
        </is>
      </c>
      <c r="B47" s="85" t="inlineStr">
        <is>
          <t>2 - Land Improvements - Silver Spring - Bldg 16 - 27.5yr</t>
        </is>
      </c>
      <c r="S47" s="86" t="n">
        <v>9353.85</v>
      </c>
      <c r="V47" s="87" t="n">
        <v>9353.85</v>
      </c>
    </row>
    <row r="48" ht="15" customHeight="1" s="80">
      <c r="A48" s="85" t="inlineStr">
        <is>
          <t>04/09/2026</t>
        </is>
      </c>
      <c r="B48" s="85" t="inlineStr">
        <is>
          <t>2 - Land Improvements - Silver Spring - Bldg 17 - 15yr</t>
        </is>
      </c>
      <c r="T48" s="86" t="n">
        <v>5824.29</v>
      </c>
      <c r="V48" s="87" t="n">
        <v>5824.29</v>
      </c>
    </row>
    <row r="49" ht="15" customHeight="1" s="80">
      <c r="A49" s="85" t="inlineStr">
        <is>
          <t>04/09/2026</t>
        </is>
      </c>
      <c r="B49" s="85" t="inlineStr">
        <is>
          <t>2 - Land Improvements - Silver Spring - Bldg 17 - 27.5yr</t>
        </is>
      </c>
      <c r="T49" s="86" t="n">
        <v>21937.6</v>
      </c>
      <c r="V49" s="87" t="n">
        <v>21937.6</v>
      </c>
    </row>
    <row r="50" ht="15" customHeight="1" s="80">
      <c r="A50" s="85" t="inlineStr">
        <is>
          <t>04/09/2026</t>
        </is>
      </c>
      <c r="B50" s="85" t="inlineStr">
        <is>
          <t>2 - Land Improvements - Silver Spring - Maintenance Building - 15yr</t>
        </is>
      </c>
      <c r="U50" s="86" t="n">
        <v>50.27</v>
      </c>
      <c r="V50" s="87" t="n">
        <v>50.27</v>
      </c>
    </row>
    <row r="51" ht="15" customHeight="1" s="80">
      <c r="A51" s="85" t="inlineStr">
        <is>
          <t>04/09/2026</t>
        </is>
      </c>
      <c r="B51" s="85" t="inlineStr">
        <is>
          <t>2 - Land Improvements - Silver Spring - Maintenance Building - 27.5yr</t>
        </is>
      </c>
      <c r="U51" s="86" t="n">
        <v>371.96</v>
      </c>
      <c r="V51" s="87" t="n">
        <v>371.96</v>
      </c>
    </row>
    <row r="52" ht="15" customHeight="1" s="80">
      <c r="A52" s="85" t="inlineStr">
        <is>
          <t>04/09/2026</t>
        </is>
      </c>
      <c r="B52" s="85" t="inlineStr">
        <is>
          <t>3 - Building - Silver Spring - Site - 15yr</t>
        </is>
      </c>
      <c r="C52" s="86" t="n">
        <v>238926.62</v>
      </c>
      <c r="V52" s="87" t="n">
        <v>238926.62</v>
      </c>
    </row>
    <row r="53" ht="15" customHeight="1" s="80">
      <c r="A53" s="85" t="inlineStr">
        <is>
          <t>04/09/2026</t>
        </is>
      </c>
      <c r="B53" s="85" t="inlineStr">
        <is>
          <t>3 - Building - Silver Spring - Site - 27.5yr</t>
        </is>
      </c>
      <c r="C53" s="86" t="n">
        <v>113195.62</v>
      </c>
      <c r="V53" s="87" t="n">
        <v>113195.62</v>
      </c>
    </row>
    <row r="54" ht="15" customHeight="1" s="80">
      <c r="A54" s="85" t="inlineStr">
        <is>
          <t>04/09/2026</t>
        </is>
      </c>
      <c r="B54" s="85" t="inlineStr">
        <is>
          <t>3 - Building - Silver Spring - Bldg 1 - 15yr</t>
        </is>
      </c>
      <c r="D54" s="86" t="n">
        <v>40824.27</v>
      </c>
      <c r="V54" s="87" t="n">
        <v>40824.27</v>
      </c>
    </row>
    <row r="55" ht="15" customHeight="1" s="80">
      <c r="A55" s="85" t="inlineStr">
        <is>
          <t>04/09/2026</t>
        </is>
      </c>
      <c r="B55" s="85" t="inlineStr">
        <is>
          <t>3 - Building - Silver Spring - Bldg 1 - 27.5yr</t>
        </is>
      </c>
      <c r="D55" s="86" t="n">
        <v>156184.98</v>
      </c>
      <c r="V55" s="87" t="n">
        <v>156184.98</v>
      </c>
    </row>
    <row r="56" ht="15" customHeight="1" s="80">
      <c r="A56" s="85" t="inlineStr">
        <is>
          <t>04/09/2026</t>
        </is>
      </c>
      <c r="B56" s="85" t="inlineStr">
        <is>
          <t>3 - Building - Silver Spring - Bldg 2 - 15yr</t>
        </is>
      </c>
      <c r="E56" s="86" t="n">
        <v>40824.27</v>
      </c>
      <c r="V56" s="87" t="n">
        <v>40824.27</v>
      </c>
    </row>
    <row r="57" ht="15" customHeight="1" s="80">
      <c r="A57" s="85" t="inlineStr">
        <is>
          <t>04/09/2026</t>
        </is>
      </c>
      <c r="B57" s="85" t="inlineStr">
        <is>
          <t>3 - Building - Silver Spring - Bldg 2 - 27.5yr</t>
        </is>
      </c>
      <c r="E57" s="86" t="n">
        <v>156184.98</v>
      </c>
      <c r="V57" s="87" t="n">
        <v>156184.98</v>
      </c>
    </row>
    <row r="58" ht="15" customHeight="1" s="80">
      <c r="A58" s="85" t="inlineStr">
        <is>
          <t>04/09/2026</t>
        </is>
      </c>
      <c r="B58" s="85" t="inlineStr">
        <is>
          <t>3 - Building - Silver Spring - Bldg 3 - 15yr</t>
        </is>
      </c>
      <c r="F58" s="86" t="n">
        <v>40824.27</v>
      </c>
      <c r="V58" s="87" t="n">
        <v>40824.27</v>
      </c>
    </row>
    <row r="59" ht="15" customHeight="1" s="80">
      <c r="A59" s="85" t="inlineStr">
        <is>
          <t>04/09/2026</t>
        </is>
      </c>
      <c r="B59" s="85" t="inlineStr">
        <is>
          <t>3 - Building - Silver Spring - Bldg 3 - 27.5yr</t>
        </is>
      </c>
      <c r="F59" s="86" t="n">
        <v>156184.98</v>
      </c>
      <c r="V59" s="87" t="n">
        <v>156184.98</v>
      </c>
    </row>
    <row r="60" ht="15" customHeight="1" s="80">
      <c r="A60" s="85" t="inlineStr">
        <is>
          <t>04/09/2026</t>
        </is>
      </c>
      <c r="B60" s="85" t="inlineStr">
        <is>
          <t>3 - Building - Silver Spring - Office - 15yr</t>
        </is>
      </c>
      <c r="G60" s="86" t="n">
        <v>15901.52</v>
      </c>
      <c r="V60" s="87" t="n">
        <v>15901.52</v>
      </c>
    </row>
    <row r="61" ht="15" customHeight="1" s="80">
      <c r="A61" s="85" t="inlineStr">
        <is>
          <t>04/09/2026</t>
        </is>
      </c>
      <c r="B61" s="85" t="inlineStr">
        <is>
          <t>3 - Building - Silver Spring - Office - 27.5yr</t>
        </is>
      </c>
      <c r="G61" s="86" t="n">
        <v>62185.11</v>
      </c>
      <c r="V61" s="87" t="n">
        <v>62185.11</v>
      </c>
    </row>
    <row r="62" ht="15" customHeight="1" s="80">
      <c r="A62" s="85" t="inlineStr">
        <is>
          <t>04/09/2026</t>
        </is>
      </c>
      <c r="B62" s="85" t="inlineStr">
        <is>
          <t>3 - Building - Silver Spring - Bldg 5 - 15yr</t>
        </is>
      </c>
      <c r="H62" s="86" t="n">
        <v>26763.65</v>
      </c>
      <c r="V62" s="87" t="n">
        <v>26763.65</v>
      </c>
    </row>
    <row r="63" ht="15" customHeight="1" s="80">
      <c r="A63" s="85" t="inlineStr">
        <is>
          <t>04/09/2026</t>
        </is>
      </c>
      <c r="B63" s="85" t="inlineStr">
        <is>
          <t>3 - Building - Silver Spring - Bldg 5 - 27.5yr</t>
        </is>
      </c>
      <c r="H63" s="86" t="n">
        <v>115930.65</v>
      </c>
      <c r="V63" s="87" t="n">
        <v>115930.65</v>
      </c>
    </row>
    <row r="64" ht="15" customHeight="1" s="80">
      <c r="A64" s="85" t="inlineStr">
        <is>
          <t>04/09/2026</t>
        </is>
      </c>
      <c r="B64" s="85" t="inlineStr">
        <is>
          <t>3 - Building - Silver Spring - Bldg 6 - 15yr</t>
        </is>
      </c>
      <c r="I64" s="86" t="n">
        <v>46872.91</v>
      </c>
      <c r="V64" s="87" t="n">
        <v>46872.91</v>
      </c>
    </row>
    <row r="65" ht="15" customHeight="1" s="80">
      <c r="A65" s="85" t="inlineStr">
        <is>
          <t>04/09/2026</t>
        </is>
      </c>
      <c r="B65" s="85" t="inlineStr">
        <is>
          <t>3 - Building - Silver Spring - Bldg 6 - 27.5yr</t>
        </is>
      </c>
      <c r="I65" s="86" t="n">
        <v>176549.89</v>
      </c>
      <c r="V65" s="87" t="n">
        <v>176549.89</v>
      </c>
    </row>
    <row r="66" ht="15" customHeight="1" s="80">
      <c r="A66" s="85" t="inlineStr">
        <is>
          <t>04/09/2026</t>
        </is>
      </c>
      <c r="B66" s="85" t="inlineStr">
        <is>
          <t>3 - Building - Silver Spring - Bldg 7 - 15yr</t>
        </is>
      </c>
      <c r="J66" s="86" t="n">
        <v>46872.91</v>
      </c>
      <c r="V66" s="87" t="n">
        <v>46872.91</v>
      </c>
    </row>
    <row r="67" ht="15" customHeight="1" s="80">
      <c r="A67" s="85" t="inlineStr">
        <is>
          <t>04/09/2026</t>
        </is>
      </c>
      <c r="B67" s="85" t="inlineStr">
        <is>
          <t>3 - Building - Silver Spring - Bldg 7 - 27.5yr</t>
        </is>
      </c>
      <c r="J67" s="86" t="n">
        <v>176549.89</v>
      </c>
      <c r="V67" s="87" t="n">
        <v>176549.89</v>
      </c>
    </row>
    <row r="68" ht="15" customHeight="1" s="80">
      <c r="A68" s="85" t="inlineStr">
        <is>
          <t>04/09/2026</t>
        </is>
      </c>
      <c r="B68" s="85" t="inlineStr">
        <is>
          <t>3 - Building - Silver Spring - Bldg 8 - 15yr</t>
        </is>
      </c>
      <c r="K68" s="86" t="n">
        <v>26763.65</v>
      </c>
      <c r="V68" s="87" t="n">
        <v>26763.65</v>
      </c>
    </row>
    <row r="69" ht="15" customHeight="1" s="80">
      <c r="A69" s="85" t="inlineStr">
        <is>
          <t>04/09/2026</t>
        </is>
      </c>
      <c r="B69" s="85" t="inlineStr">
        <is>
          <t>3 - Building - Silver Spring - Bldg 8 - 27.5yr</t>
        </is>
      </c>
      <c r="K69" s="86" t="n">
        <v>115930.65</v>
      </c>
      <c r="V69" s="87" t="n">
        <v>115930.65</v>
      </c>
    </row>
    <row r="70" ht="15" customHeight="1" s="80">
      <c r="A70" s="85" t="inlineStr">
        <is>
          <t>04/09/2026</t>
        </is>
      </c>
      <c r="B70" s="85" t="inlineStr">
        <is>
          <t>3 - Building - Silver Spring - Bldg 9 - 15yr</t>
        </is>
      </c>
      <c r="L70" s="86" t="n">
        <v>46872.91</v>
      </c>
      <c r="V70" s="87" t="n">
        <v>46872.91</v>
      </c>
    </row>
    <row r="71" ht="15" customHeight="1" s="80">
      <c r="A71" s="85" t="inlineStr">
        <is>
          <t>04/09/2026</t>
        </is>
      </c>
      <c r="B71" s="85" t="inlineStr">
        <is>
          <t>3 - Building - Silver Spring - Bldg 9 - 27.5yr</t>
        </is>
      </c>
      <c r="L71" s="86" t="n">
        <v>176549.89</v>
      </c>
      <c r="V71" s="87" t="n">
        <v>176549.89</v>
      </c>
    </row>
    <row r="72" ht="15" customHeight="1" s="80">
      <c r="A72" s="85" t="inlineStr">
        <is>
          <t>04/09/2026</t>
        </is>
      </c>
      <c r="B72" s="85" t="inlineStr">
        <is>
          <t>3 - Building - Silver Spring - Bldg 10 - 15yr</t>
        </is>
      </c>
      <c r="M72" s="86" t="n">
        <v>46872.91</v>
      </c>
      <c r="V72" s="87" t="n">
        <v>46872.91</v>
      </c>
    </row>
    <row r="73" ht="15" customHeight="1" s="80">
      <c r="A73" s="85" t="inlineStr">
        <is>
          <t>04/09/2026</t>
        </is>
      </c>
      <c r="B73" s="85" t="inlineStr">
        <is>
          <t>3 - Building - Silver Spring - Bldg 10 - 27.5yr</t>
        </is>
      </c>
      <c r="M73" s="86" t="n">
        <v>176549.89</v>
      </c>
      <c r="V73" s="87" t="n">
        <v>176549.89</v>
      </c>
    </row>
    <row r="74" ht="15" customHeight="1" s="80">
      <c r="A74" s="85" t="inlineStr">
        <is>
          <t>04/09/2026</t>
        </is>
      </c>
      <c r="B74" s="85" t="inlineStr">
        <is>
          <t>3 - Building - Silver Spring - Bldg 11 - 15yr</t>
        </is>
      </c>
      <c r="N74" s="86" t="n">
        <v>40824.27</v>
      </c>
      <c r="V74" s="87" t="n">
        <v>40824.27</v>
      </c>
    </row>
    <row r="75" ht="15" customHeight="1" s="80">
      <c r="A75" s="85" t="inlineStr">
        <is>
          <t>04/09/2026</t>
        </is>
      </c>
      <c r="B75" s="85" t="inlineStr">
        <is>
          <t>3 - Building - Silver Spring - Bldg 11 - 27.5yr</t>
        </is>
      </c>
      <c r="N75" s="86" t="n">
        <v>156184.98</v>
      </c>
      <c r="V75" s="87" t="n">
        <v>156184.98</v>
      </c>
    </row>
    <row r="76" ht="15" customHeight="1" s="80">
      <c r="A76" s="85" t="inlineStr">
        <is>
          <t>04/09/2026</t>
        </is>
      </c>
      <c r="B76" s="85" t="inlineStr">
        <is>
          <t>3 - Building - Silver Spring - Bldg 12 - 15yr</t>
        </is>
      </c>
      <c r="O76" s="86" t="n">
        <v>26763.65</v>
      </c>
      <c r="V76" s="87" t="n">
        <v>26763.65</v>
      </c>
    </row>
    <row r="77" ht="15" customHeight="1" s="80">
      <c r="A77" s="85" t="inlineStr">
        <is>
          <t>04/09/2026</t>
        </is>
      </c>
      <c r="B77" s="85" t="inlineStr">
        <is>
          <t>3 - Building - Silver Spring - Bldg 12 - 27.5yr</t>
        </is>
      </c>
      <c r="O77" s="86" t="n">
        <v>115930.65</v>
      </c>
      <c r="V77" s="87" t="n">
        <v>115930.65</v>
      </c>
    </row>
    <row r="78" ht="15" customHeight="1" s="80">
      <c r="A78" s="85" t="inlineStr">
        <is>
          <t>04/09/2026</t>
        </is>
      </c>
      <c r="B78" s="85" t="inlineStr">
        <is>
          <t>3 - Building - Silver Spring - Bldg 13 - 15yr</t>
        </is>
      </c>
      <c r="P78" s="86" t="n">
        <v>26763.65</v>
      </c>
      <c r="V78" s="87" t="n">
        <v>26763.65</v>
      </c>
    </row>
    <row r="79" ht="15" customHeight="1" s="80">
      <c r="A79" s="85" t="inlineStr">
        <is>
          <t>04/09/2026</t>
        </is>
      </c>
      <c r="B79" s="85" t="inlineStr">
        <is>
          <t>3 - Building - Silver Spring - Bldg 13 - 27.5yr</t>
        </is>
      </c>
      <c r="P79" s="86" t="n">
        <v>115930.65</v>
      </c>
      <c r="V79" s="87" t="n">
        <v>115930.65</v>
      </c>
    </row>
    <row r="80" ht="15" customHeight="1" s="80">
      <c r="A80" s="85" t="inlineStr">
        <is>
          <t>04/09/2026</t>
        </is>
      </c>
      <c r="B80" s="85" t="inlineStr">
        <is>
          <t>3 - Building - Silver Spring - Bldg 14 - 15yr</t>
        </is>
      </c>
      <c r="Q80" s="86" t="n">
        <v>22974.45</v>
      </c>
      <c r="V80" s="87" t="n">
        <v>22974.45</v>
      </c>
    </row>
    <row r="81" ht="15" customHeight="1" s="80">
      <c r="A81" s="85" t="inlineStr">
        <is>
          <t>04/09/2026</t>
        </is>
      </c>
      <c r="B81" s="85" t="inlineStr">
        <is>
          <t>3 - Building - Silver Spring - Bldg 14 - 27.5yr</t>
        </is>
      </c>
      <c r="Q81" s="86" t="n">
        <v>98372.55</v>
      </c>
      <c r="V81" s="87" t="n">
        <v>98372.55</v>
      </c>
    </row>
    <row r="82" ht="15" customHeight="1" s="80">
      <c r="A82" s="85" t="inlineStr">
        <is>
          <t>04/09/2026</t>
        </is>
      </c>
      <c r="B82" s="85" t="inlineStr">
        <is>
          <t>3 - Building - Silver Spring - Bldg 15 - 15yr</t>
        </is>
      </c>
      <c r="R82" s="86" t="n">
        <v>18845.76</v>
      </c>
      <c r="V82" s="87" t="n">
        <v>18845.76</v>
      </c>
    </row>
    <row r="83" ht="15" customHeight="1" s="80">
      <c r="A83" s="85" t="inlineStr">
        <is>
          <t>04/09/2026</t>
        </is>
      </c>
      <c r="B83" s="85" t="inlineStr">
        <is>
          <t>3 - Building - Silver Spring - Bldg 15 - 27.5yr</t>
        </is>
      </c>
      <c r="R83" s="86" t="n">
        <v>75278.16</v>
      </c>
      <c r="V83" s="87" t="n">
        <v>75278.16</v>
      </c>
    </row>
    <row r="84" ht="15" customHeight="1" s="80">
      <c r="A84" s="85" t="inlineStr">
        <is>
          <t>04/09/2026</t>
        </is>
      </c>
      <c r="B84" s="85" t="inlineStr">
        <is>
          <t>3 - Building - Silver Spring - Bldg 16 - 15yr</t>
        </is>
      </c>
      <c r="S84" s="86" t="n">
        <v>18845.76</v>
      </c>
      <c r="V84" s="87" t="n">
        <v>18845.76</v>
      </c>
    </row>
    <row r="85" ht="15" customHeight="1" s="80">
      <c r="A85" s="85" t="inlineStr">
        <is>
          <t>04/09/2026</t>
        </is>
      </c>
      <c r="B85" s="85" t="inlineStr">
        <is>
          <t>3 - Building - Silver Spring - Bldg 16 - 27.5yr</t>
        </is>
      </c>
      <c r="S85" s="86" t="n">
        <v>75278.16</v>
      </c>
      <c r="V85" s="87" t="n">
        <v>75278.16</v>
      </c>
    </row>
    <row r="86" ht="15" customHeight="1" s="80">
      <c r="A86" s="85" t="inlineStr">
        <is>
          <t>04/09/2026</t>
        </is>
      </c>
      <c r="B86" s="85" t="inlineStr">
        <is>
          <t>3 - Building - Silver Spring - Bldg 17 - 15yr</t>
        </is>
      </c>
      <c r="T86" s="86" t="n">
        <v>46872.91</v>
      </c>
      <c r="V86" s="87" t="n">
        <v>46872.91</v>
      </c>
    </row>
    <row r="87" ht="15" customHeight="1" s="80">
      <c r="A87" s="85" t="inlineStr">
        <is>
          <t>04/09/2026</t>
        </is>
      </c>
      <c r="B87" s="85" t="inlineStr">
        <is>
          <t>3 - Building - Silver Spring - Bldg 17 - 27.5yr</t>
        </is>
      </c>
      <c r="T87" s="86" t="n">
        <v>176549.89</v>
      </c>
      <c r="V87" s="87" t="n">
        <v>176549.89</v>
      </c>
    </row>
    <row r="88" ht="15" customHeight="1" s="80">
      <c r="A88" s="85" t="inlineStr">
        <is>
          <t>04/09/2026</t>
        </is>
      </c>
      <c r="B88" s="85" t="inlineStr">
        <is>
          <t>3 - Building - Silver Spring - Maintenance Building - 15yr</t>
        </is>
      </c>
      <c r="U88" s="86" t="n">
        <v>404.56</v>
      </c>
      <c r="V88" s="87" t="n">
        <v>404.56</v>
      </c>
    </row>
    <row r="89" ht="15" customHeight="1" s="80">
      <c r="A89" s="85" t="inlineStr">
        <is>
          <t>04/09/2026</t>
        </is>
      </c>
      <c r="B89" s="85" t="inlineStr">
        <is>
          <t>3 - Building - Silver Spring - Maintenance Building - 27.5yr</t>
        </is>
      </c>
      <c r="U89" s="86" t="n">
        <v>2993.53</v>
      </c>
      <c r="V89" s="87" t="n">
        <v>2993.53</v>
      </c>
    </row>
    <row r="90" ht="15" customHeight="1" s="80">
      <c r="A90" s="85" t="inlineStr">
        <is>
          <t>04/09/2026</t>
        </is>
      </c>
      <c r="B90" s="85" t="inlineStr">
        <is>
          <t>4 - Personal Property - Silver Spring - Site - 15yr</t>
        </is>
      </c>
      <c r="C90" s="86" t="n">
        <v>14844.18</v>
      </c>
      <c r="V90" s="87" t="n">
        <v>14844.18</v>
      </c>
    </row>
    <row r="91" ht="15" customHeight="1" s="80">
      <c r="A91" s="85" t="inlineStr">
        <is>
          <t>04/09/2026</t>
        </is>
      </c>
      <c r="B91" s="85" t="inlineStr">
        <is>
          <t>4 - Personal Property - Silver Spring - Site - 27.5yr</t>
        </is>
      </c>
      <c r="C91" s="86" t="n">
        <v>7032.68</v>
      </c>
      <c r="V91" s="87" t="n">
        <v>7032.68</v>
      </c>
    </row>
    <row r="92" ht="15" customHeight="1" s="80">
      <c r="A92" s="85" t="inlineStr">
        <is>
          <t>04/09/2026</t>
        </is>
      </c>
      <c r="B92" s="85" t="inlineStr">
        <is>
          <t>4 - Personal Property - Silver Spring - Bldg 1 - 15yr</t>
        </is>
      </c>
      <c r="D92" s="86" t="n">
        <v>2536.35</v>
      </c>
      <c r="V92" s="87" t="n">
        <v>2536.35</v>
      </c>
    </row>
    <row r="93" ht="15" customHeight="1" s="80">
      <c r="A93" s="85" t="inlineStr">
        <is>
          <t>04/09/2026</t>
        </is>
      </c>
      <c r="B93" s="85" t="inlineStr">
        <is>
          <t>4 - Personal Property - Silver Spring - Bldg 1 - 27.5yr</t>
        </is>
      </c>
      <c r="D93" s="86" t="n">
        <v>9703.559999999999</v>
      </c>
      <c r="V93" s="87" t="n">
        <v>9703.559999999999</v>
      </c>
    </row>
    <row r="94" ht="15" customHeight="1" s="80">
      <c r="A94" s="85" t="inlineStr">
        <is>
          <t>04/09/2026</t>
        </is>
      </c>
      <c r="B94" s="85" t="inlineStr">
        <is>
          <t>4 - Personal Property - Silver Spring - Bldg 2 - 15yr</t>
        </is>
      </c>
      <c r="E94" s="86" t="n">
        <v>2536.35</v>
      </c>
      <c r="V94" s="87" t="n">
        <v>2536.35</v>
      </c>
    </row>
    <row r="95" ht="15" customHeight="1" s="80">
      <c r="A95" s="85" t="inlineStr">
        <is>
          <t>04/09/2026</t>
        </is>
      </c>
      <c r="B95" s="85" t="inlineStr">
        <is>
          <t>4 - Personal Property - Silver Spring - Bldg 2 - 27.5yr</t>
        </is>
      </c>
      <c r="E95" s="86" t="n">
        <v>9703.559999999999</v>
      </c>
      <c r="V95" s="87" t="n">
        <v>9703.559999999999</v>
      </c>
    </row>
    <row r="96" ht="15" customHeight="1" s="80">
      <c r="A96" s="85" t="inlineStr">
        <is>
          <t>04/09/2026</t>
        </is>
      </c>
      <c r="B96" s="85" t="inlineStr">
        <is>
          <t>4 - Personal Property - Silver Spring - Bldg 3 - 15yr</t>
        </is>
      </c>
      <c r="F96" s="86" t="n">
        <v>2536.35</v>
      </c>
      <c r="V96" s="87" t="n">
        <v>2536.35</v>
      </c>
    </row>
    <row r="97" ht="15" customHeight="1" s="80">
      <c r="A97" s="85" t="inlineStr">
        <is>
          <t>04/09/2026</t>
        </is>
      </c>
      <c r="B97" s="85" t="inlineStr">
        <is>
          <t>4 - Personal Property - Silver Spring - Bldg 3 - 27.5yr</t>
        </is>
      </c>
      <c r="F97" s="86" t="n">
        <v>9703.559999999999</v>
      </c>
      <c r="V97" s="87" t="n">
        <v>9703.559999999999</v>
      </c>
    </row>
    <row r="98" ht="15" customHeight="1" s="80">
      <c r="A98" s="85" t="inlineStr">
        <is>
          <t>04/09/2026</t>
        </is>
      </c>
      <c r="B98" s="85" t="inlineStr">
        <is>
          <t>4 - Personal Property - Silver Spring - Office - 15yr</t>
        </is>
      </c>
      <c r="G98" s="86" t="n">
        <v>987.9400000000001</v>
      </c>
      <c r="V98" s="87" t="n">
        <v>987.9400000000001</v>
      </c>
    </row>
    <row r="99" ht="15" customHeight="1" s="80">
      <c r="A99" s="85" t="inlineStr">
        <is>
          <t>04/09/2026</t>
        </is>
      </c>
      <c r="B99" s="85" t="inlineStr">
        <is>
          <t>4 - Personal Property - Silver Spring - Office - 27.5yr</t>
        </is>
      </c>
      <c r="G99" s="86" t="n">
        <v>3863.47</v>
      </c>
      <c r="V99" s="87" t="n">
        <v>3863.47</v>
      </c>
    </row>
    <row r="100" ht="15" customHeight="1" s="80">
      <c r="A100" s="85" t="inlineStr">
        <is>
          <t>04/09/2026</t>
        </is>
      </c>
      <c r="B100" s="85" t="inlineStr">
        <is>
          <t>4 - Personal Property - Silver Spring - Bldg 5 - 15yr</t>
        </is>
      </c>
      <c r="H100" s="86" t="n">
        <v>1662.79</v>
      </c>
      <c r="V100" s="87" t="n">
        <v>1662.79</v>
      </c>
    </row>
    <row r="101" ht="15" customHeight="1" s="80">
      <c r="A101" s="85" t="inlineStr">
        <is>
          <t>04/09/2026</t>
        </is>
      </c>
      <c r="B101" s="85" t="inlineStr">
        <is>
          <t>4 - Personal Property - Silver Spring - Bldg 5 - 27.5yr</t>
        </is>
      </c>
      <c r="H101" s="86" t="n">
        <v>7202.61</v>
      </c>
      <c r="V101" s="87" t="n">
        <v>7202.61</v>
      </c>
    </row>
    <row r="102" ht="15" customHeight="1" s="80">
      <c r="A102" s="85" t="inlineStr">
        <is>
          <t>04/09/2026</t>
        </is>
      </c>
      <c r="B102" s="85" t="inlineStr">
        <is>
          <t>4 - Personal Property - Silver Spring - Bldg 6 - 15yr</t>
        </is>
      </c>
      <c r="I102" s="86" t="n">
        <v>2912.15</v>
      </c>
      <c r="V102" s="87" t="n">
        <v>2912.15</v>
      </c>
    </row>
    <row r="103" ht="15" customHeight="1" s="80">
      <c r="A103" s="85" t="inlineStr">
        <is>
          <t>04/09/2026</t>
        </is>
      </c>
      <c r="B103" s="85" t="inlineStr">
        <is>
          <t>4 - Personal Property - Silver Spring - Bldg 6 - 27.5yr</t>
        </is>
      </c>
      <c r="I103" s="86" t="n">
        <v>10968.79</v>
      </c>
      <c r="V103" s="87" t="n">
        <v>10968.79</v>
      </c>
    </row>
    <row r="104" ht="15" customHeight="1" s="80">
      <c r="A104" s="85" t="inlineStr">
        <is>
          <t>04/09/2026</t>
        </is>
      </c>
      <c r="B104" s="85" t="inlineStr">
        <is>
          <t>4 - Personal Property - Silver Spring - Bldg 7 - 15yr</t>
        </is>
      </c>
      <c r="J104" s="86" t="n">
        <v>2912.15</v>
      </c>
      <c r="V104" s="87" t="n">
        <v>2912.15</v>
      </c>
    </row>
    <row r="105" ht="15" customHeight="1" s="80">
      <c r="A105" s="85" t="inlineStr">
        <is>
          <t>04/09/2026</t>
        </is>
      </c>
      <c r="B105" s="85" t="inlineStr">
        <is>
          <t>4 - Personal Property - Silver Spring - Bldg 7 - 27.5yr</t>
        </is>
      </c>
      <c r="J105" s="86" t="n">
        <v>10968.79</v>
      </c>
      <c r="V105" s="87" t="n">
        <v>10968.79</v>
      </c>
    </row>
    <row r="106" ht="15" customHeight="1" s="80">
      <c r="A106" s="85" t="inlineStr">
        <is>
          <t>04/09/2026</t>
        </is>
      </c>
      <c r="B106" s="85" t="inlineStr">
        <is>
          <t>4 - Personal Property - Silver Spring - Bldg 8 - 15yr</t>
        </is>
      </c>
      <c r="K106" s="86" t="n">
        <v>1662.79</v>
      </c>
      <c r="V106" s="87" t="n">
        <v>1662.79</v>
      </c>
    </row>
    <row r="107" ht="15" customHeight="1" s="80">
      <c r="A107" s="85" t="inlineStr">
        <is>
          <t>04/09/2026</t>
        </is>
      </c>
      <c r="B107" s="85" t="inlineStr">
        <is>
          <t>4 - Personal Property - Silver Spring - Bldg 8 - 27.5yr</t>
        </is>
      </c>
      <c r="K107" s="86" t="n">
        <v>7202.61</v>
      </c>
      <c r="V107" s="87" t="n">
        <v>7202.61</v>
      </c>
    </row>
    <row r="108" ht="15" customHeight="1" s="80">
      <c r="A108" s="85" t="inlineStr">
        <is>
          <t>04/09/2026</t>
        </is>
      </c>
      <c r="B108" s="85" t="inlineStr">
        <is>
          <t>4 - Personal Property - Silver Spring - Bldg 9 - 15yr</t>
        </is>
      </c>
      <c r="L108" s="86" t="n">
        <v>2912.15</v>
      </c>
      <c r="V108" s="87" t="n">
        <v>2912.15</v>
      </c>
    </row>
    <row r="109" ht="15" customHeight="1" s="80">
      <c r="A109" s="85" t="inlineStr">
        <is>
          <t>04/09/2026</t>
        </is>
      </c>
      <c r="B109" s="85" t="inlineStr">
        <is>
          <t>4 - Personal Property - Silver Spring - Bldg 9 - 27.5yr</t>
        </is>
      </c>
      <c r="L109" s="86" t="n">
        <v>10968.79</v>
      </c>
      <c r="V109" s="87" t="n">
        <v>10968.79</v>
      </c>
    </row>
    <row r="110" ht="15" customHeight="1" s="80">
      <c r="A110" s="85" t="inlineStr">
        <is>
          <t>04/09/2026</t>
        </is>
      </c>
      <c r="B110" s="85" t="inlineStr">
        <is>
          <t>4 - Personal Property - Silver Spring - Bldg 10 - 15yr</t>
        </is>
      </c>
      <c r="M110" s="86" t="n">
        <v>2912.15</v>
      </c>
      <c r="V110" s="87" t="n">
        <v>2912.15</v>
      </c>
    </row>
    <row r="111" ht="15" customHeight="1" s="80">
      <c r="A111" s="85" t="inlineStr">
        <is>
          <t>04/09/2026</t>
        </is>
      </c>
      <c r="B111" s="85" t="inlineStr">
        <is>
          <t>4 - Personal Property - Silver Spring - Bldg 10 - 27.5yr</t>
        </is>
      </c>
      <c r="M111" s="86" t="n">
        <v>10968.79</v>
      </c>
      <c r="V111" s="87" t="n">
        <v>10968.79</v>
      </c>
    </row>
    <row r="112" ht="15" customHeight="1" s="80">
      <c r="A112" s="85" t="inlineStr">
        <is>
          <t>04/09/2026</t>
        </is>
      </c>
      <c r="B112" s="85" t="inlineStr">
        <is>
          <t>4 - Personal Property - Silver Spring - Bldg 11 - 15yr</t>
        </is>
      </c>
      <c r="N112" s="86" t="n">
        <v>2536.35</v>
      </c>
      <c r="V112" s="87" t="n">
        <v>2536.35</v>
      </c>
    </row>
    <row r="113" ht="15" customHeight="1" s="80">
      <c r="A113" s="85" t="inlineStr">
        <is>
          <t>04/09/2026</t>
        </is>
      </c>
      <c r="B113" s="85" t="inlineStr">
        <is>
          <t>4 - Personal Property - Silver Spring - Bldg 11 - 27.5yr</t>
        </is>
      </c>
      <c r="N113" s="86" t="n">
        <v>9703.559999999999</v>
      </c>
      <c r="V113" s="87" t="n">
        <v>9703.559999999999</v>
      </c>
    </row>
    <row r="114" ht="15" customHeight="1" s="80">
      <c r="A114" s="85" t="inlineStr">
        <is>
          <t>04/09/2026</t>
        </is>
      </c>
      <c r="B114" s="85" t="inlineStr">
        <is>
          <t>4 - Personal Property - Silver Spring - Bldg 12 - 15yr</t>
        </is>
      </c>
      <c r="O114" s="86" t="n">
        <v>1662.79</v>
      </c>
      <c r="V114" s="87" t="n">
        <v>1662.79</v>
      </c>
    </row>
    <row r="115" ht="15" customHeight="1" s="80">
      <c r="A115" s="85" t="inlineStr">
        <is>
          <t>04/09/2026</t>
        </is>
      </c>
      <c r="B115" s="85" t="inlineStr">
        <is>
          <t>4 - Personal Property - Silver Spring - Bldg 12 - 27.5yr</t>
        </is>
      </c>
      <c r="O115" s="86" t="n">
        <v>7202.61</v>
      </c>
      <c r="V115" s="87" t="n">
        <v>7202.61</v>
      </c>
    </row>
    <row r="116" ht="15" customHeight="1" s="80">
      <c r="A116" s="85" t="inlineStr">
        <is>
          <t>04/09/2026</t>
        </is>
      </c>
      <c r="B116" s="85" t="inlineStr">
        <is>
          <t>4 - Personal Property - Silver Spring - Bldg 13 - 15yr</t>
        </is>
      </c>
      <c r="P116" s="86" t="n">
        <v>1662.79</v>
      </c>
      <c r="V116" s="87" t="n">
        <v>1662.79</v>
      </c>
    </row>
    <row r="117" ht="15" customHeight="1" s="80">
      <c r="A117" s="85" t="inlineStr">
        <is>
          <t>04/09/2026</t>
        </is>
      </c>
      <c r="B117" s="85" t="inlineStr">
        <is>
          <t>4 - Personal Property - Silver Spring - Bldg 13 - 27.5yr</t>
        </is>
      </c>
      <c r="P117" s="86" t="n">
        <v>7202.61</v>
      </c>
      <c r="V117" s="87" t="n">
        <v>7202.61</v>
      </c>
    </row>
    <row r="118" ht="15" customHeight="1" s="80">
      <c r="A118" s="85" t="inlineStr">
        <is>
          <t>04/09/2026</t>
        </is>
      </c>
      <c r="B118" s="85" t="inlineStr">
        <is>
          <t>4 - Personal Property - Silver Spring - Bldg 14 - 15yr</t>
        </is>
      </c>
      <c r="Q118" s="86" t="n">
        <v>1427.37</v>
      </c>
      <c r="V118" s="87" t="n">
        <v>1427.37</v>
      </c>
    </row>
    <row r="119" ht="15" customHeight="1" s="80">
      <c r="A119" s="85" t="inlineStr">
        <is>
          <t>04/09/2026</t>
        </is>
      </c>
      <c r="B119" s="85" t="inlineStr">
        <is>
          <t>4 - Personal Property - Silver Spring - Bldg 14 - 27.5yr</t>
        </is>
      </c>
      <c r="Q119" s="86" t="n">
        <v>6111.74</v>
      </c>
      <c r="V119" s="87" t="n">
        <v>6111.74</v>
      </c>
    </row>
    <row r="120" ht="15" customHeight="1" s="80">
      <c r="A120" s="85" t="inlineStr">
        <is>
          <t>04/09/2026</t>
        </is>
      </c>
      <c r="B120" s="85" t="inlineStr">
        <is>
          <t>4 - Personal Property - Silver Spring - Bldg 15 - 15yr</t>
        </is>
      </c>
      <c r="R120" s="86" t="n">
        <v>1170.86</v>
      </c>
      <c r="V120" s="87" t="n">
        <v>1170.86</v>
      </c>
    </row>
    <row r="121" ht="15" customHeight="1" s="80">
      <c r="A121" s="85" t="inlineStr">
        <is>
          <t>04/09/2026</t>
        </is>
      </c>
      <c r="B121" s="85" t="inlineStr">
        <is>
          <t>4 - Personal Property - Silver Spring - Bldg 15 - 27.5yr</t>
        </is>
      </c>
      <c r="R121" s="86" t="n">
        <v>4676.93</v>
      </c>
      <c r="V121" s="87" t="n">
        <v>4676.93</v>
      </c>
    </row>
    <row r="122" ht="15" customHeight="1" s="80">
      <c r="A122" s="85" t="inlineStr">
        <is>
          <t>04/09/2026</t>
        </is>
      </c>
      <c r="B122" s="85" t="inlineStr">
        <is>
          <t>4 - Personal Property - Silver Spring - Bldg 16 - 15yr</t>
        </is>
      </c>
      <c r="S122" s="86" t="n">
        <v>1170.86</v>
      </c>
      <c r="V122" s="87" t="n">
        <v>1170.86</v>
      </c>
    </row>
    <row r="123" ht="15" customHeight="1" s="80">
      <c r="A123" s="85" t="inlineStr">
        <is>
          <t>04/09/2026</t>
        </is>
      </c>
      <c r="B123" s="85" t="inlineStr">
        <is>
          <t>4 - Personal Property - Silver Spring - Bldg 16 - 27.5yr</t>
        </is>
      </c>
      <c r="S123" s="86" t="n">
        <v>4676.93</v>
      </c>
      <c r="V123" s="87" t="n">
        <v>4676.93</v>
      </c>
    </row>
    <row r="124" ht="15" customHeight="1" s="80">
      <c r="A124" s="85" t="inlineStr">
        <is>
          <t>04/09/2026</t>
        </is>
      </c>
      <c r="B124" s="85" t="inlineStr">
        <is>
          <t>4 - Personal Property - Silver Spring - Bldg 17 - 15yr</t>
        </is>
      </c>
      <c r="T124" s="86" t="n">
        <v>2912.15</v>
      </c>
      <c r="V124" s="87" t="n">
        <v>2912.15</v>
      </c>
    </row>
    <row r="125" ht="15" customHeight="1" s="80">
      <c r="A125" s="85" t="inlineStr">
        <is>
          <t>04/09/2026</t>
        </is>
      </c>
      <c r="B125" s="85" t="inlineStr">
        <is>
          <t>4 - Personal Property - Silver Spring - Bldg 17 - 27.5yr</t>
        </is>
      </c>
      <c r="T125" s="86" t="n">
        <v>10968.79</v>
      </c>
      <c r="V125" s="87" t="n">
        <v>10968.79</v>
      </c>
    </row>
    <row r="126" ht="15" customHeight="1" s="80">
      <c r="A126" s="85" t="inlineStr">
        <is>
          <t>04/09/2026</t>
        </is>
      </c>
      <c r="B126" s="85" t="inlineStr">
        <is>
          <t>4 - Personal Property - Silver Spring - Maintenance Building - 15yr</t>
        </is>
      </c>
      <c r="U126" s="86" t="n">
        <v>25.13</v>
      </c>
      <c r="V126" s="87" t="n">
        <v>25.13</v>
      </c>
    </row>
    <row r="127" ht="15" customHeight="1" s="80">
      <c r="A127" s="85" t="inlineStr">
        <is>
          <t>04/09/2026</t>
        </is>
      </c>
      <c r="B127" s="85" t="inlineStr">
        <is>
          <t>4 - Personal Property - Silver Spring - Maintenance Building - 27.5yr</t>
        </is>
      </c>
      <c r="U127" s="86" t="n">
        <v>185.97</v>
      </c>
      <c r="V127" s="87" t="n">
        <v>185.97</v>
      </c>
    </row>
    <row r="128" ht="15" customHeight="1" s="80">
      <c r="A128" s="85" t="inlineStr">
        <is>
          <t>04/09/2026</t>
        </is>
      </c>
      <c r="B128" s="85" t="inlineStr">
        <is>
          <t>19 - Building 754 "Menowitz" - Silver Spring - Site - 15yr</t>
        </is>
      </c>
      <c r="C128" s="86" t="n">
        <v>802.92</v>
      </c>
      <c r="V128" s="87" t="n">
        <v>802.92</v>
      </c>
    </row>
    <row r="129" ht="15" customHeight="1" s="80">
      <c r="A129" s="85" t="inlineStr">
        <is>
          <t>04/09/2026</t>
        </is>
      </c>
      <c r="B129" s="85" t="inlineStr">
        <is>
          <t>19 - Building 754 "Menowitz" - Silver Spring - Site - 27.5yr</t>
        </is>
      </c>
      <c r="C129" s="86" t="n">
        <v>380.4</v>
      </c>
      <c r="V129" s="87" t="n">
        <v>380.4</v>
      </c>
    </row>
    <row r="130" ht="15" customHeight="1" s="80">
      <c r="A130" s="85" t="inlineStr">
        <is>
          <t>04/09/2026</t>
        </is>
      </c>
      <c r="B130" s="85" t="inlineStr">
        <is>
          <t>19 - Building 754 "Menowitz" - Silver Spring - Bldg 1 - 15yr</t>
        </is>
      </c>
      <c r="D130" s="86" t="n">
        <v>137.19</v>
      </c>
      <c r="V130" s="87" t="n">
        <v>137.19</v>
      </c>
    </row>
    <row r="131" ht="15" customHeight="1" s="80">
      <c r="A131" s="85" t="inlineStr">
        <is>
          <t>04/09/2026</t>
        </is>
      </c>
      <c r="B131" s="85" t="inlineStr">
        <is>
          <t>19 - Building 754 "Menowitz" - Silver Spring - Bldg 1 - 27.5yr</t>
        </is>
      </c>
      <c r="D131" s="86" t="n">
        <v>524.87</v>
      </c>
      <c r="V131" s="87" t="n">
        <v>524.87</v>
      </c>
    </row>
    <row r="132" ht="15" customHeight="1" s="80">
      <c r="A132" s="85" t="inlineStr">
        <is>
          <t>04/09/2026</t>
        </is>
      </c>
      <c r="B132" s="85" t="inlineStr">
        <is>
          <t>19 - Building 754 "Menowitz" - Silver Spring - Bldg 2 - 15yr</t>
        </is>
      </c>
      <c r="E132" s="86" t="n">
        <v>137.19</v>
      </c>
      <c r="V132" s="87" t="n">
        <v>137.19</v>
      </c>
    </row>
    <row r="133" ht="15" customHeight="1" s="80">
      <c r="A133" s="85" t="inlineStr">
        <is>
          <t>04/09/2026</t>
        </is>
      </c>
      <c r="B133" s="85" t="inlineStr">
        <is>
          <t>19 - Building 754 "Menowitz" - Silver Spring - Bldg 2 - 27.5yr</t>
        </is>
      </c>
      <c r="E133" s="86" t="n">
        <v>524.87</v>
      </c>
      <c r="V133" s="87" t="n">
        <v>524.87</v>
      </c>
    </row>
    <row r="134" ht="15" customHeight="1" s="80">
      <c r="A134" s="85" t="inlineStr">
        <is>
          <t>04/09/2026</t>
        </is>
      </c>
      <c r="B134" s="85" t="inlineStr">
        <is>
          <t>19 - Building 754 "Menowitz" - Silver Spring - Bldg 3 - 15yr</t>
        </is>
      </c>
      <c r="F134" s="86" t="n">
        <v>137.19</v>
      </c>
      <c r="V134" s="87" t="n">
        <v>137.19</v>
      </c>
    </row>
    <row r="135" ht="15" customHeight="1" s="80">
      <c r="A135" s="85" t="inlineStr">
        <is>
          <t>04/09/2026</t>
        </is>
      </c>
      <c r="B135" s="85" t="inlineStr">
        <is>
          <t>19 - Building 754 "Menowitz" - Silver Spring - Bldg 3 - 27.5yr</t>
        </is>
      </c>
      <c r="F135" s="86" t="n">
        <v>524.87</v>
      </c>
      <c r="V135" s="87" t="n">
        <v>524.87</v>
      </c>
    </row>
    <row r="136" ht="15" customHeight="1" s="80">
      <c r="A136" s="85" t="inlineStr">
        <is>
          <t>04/09/2026</t>
        </is>
      </c>
      <c r="B136" s="85" t="inlineStr">
        <is>
          <t>19 - Building 754 "Menowitz" - Silver Spring - Office - 15yr</t>
        </is>
      </c>
      <c r="G136" s="86" t="n">
        <v>53.44</v>
      </c>
      <c r="V136" s="87" t="n">
        <v>53.44</v>
      </c>
    </row>
    <row r="137" ht="15" customHeight="1" s="80">
      <c r="A137" s="85" t="inlineStr">
        <is>
          <t>04/09/2026</t>
        </is>
      </c>
      <c r="B137" s="85" t="inlineStr">
        <is>
          <t>19 - Building 754 "Menowitz" - Silver Spring - Office - 27.5yr</t>
        </is>
      </c>
      <c r="G137" s="86" t="n">
        <v>208.97</v>
      </c>
      <c r="V137" s="87" t="n">
        <v>208.97</v>
      </c>
    </row>
    <row r="138" ht="15" customHeight="1" s="80">
      <c r="A138" s="85" t="inlineStr">
        <is>
          <t>04/09/2026</t>
        </is>
      </c>
      <c r="B138" s="85" t="inlineStr">
        <is>
          <t>19 - Building 754 "Menowitz" - Silver Spring - Bldg 5 - 15yr</t>
        </is>
      </c>
      <c r="H138" s="86" t="n">
        <v>89.94</v>
      </c>
      <c r="V138" s="87" t="n">
        <v>89.94</v>
      </c>
    </row>
    <row r="139" ht="15" customHeight="1" s="80">
      <c r="A139" s="85" t="inlineStr">
        <is>
          <t>04/09/2026</t>
        </is>
      </c>
      <c r="B139" s="85" t="inlineStr">
        <is>
          <t>19 - Building 754 "Menowitz" - Silver Spring - Bldg 5 - 27.5yr</t>
        </is>
      </c>
      <c r="H139" s="86" t="n">
        <v>389.59</v>
      </c>
      <c r="V139" s="87" t="n">
        <v>389.59</v>
      </c>
    </row>
    <row r="140" ht="15" customHeight="1" s="80">
      <c r="A140" s="85" t="inlineStr">
        <is>
          <t>04/09/2026</t>
        </is>
      </c>
      <c r="B140" s="85" t="inlineStr">
        <is>
          <t>19 - Building 754 "Menowitz" - Silver Spring - Bldg 6 - 15yr</t>
        </is>
      </c>
      <c r="I140" s="86" t="n">
        <v>157.52</v>
      </c>
      <c r="V140" s="87" t="n">
        <v>157.52</v>
      </c>
    </row>
    <row r="141" ht="15" customHeight="1" s="80">
      <c r="A141" s="85" t="inlineStr">
        <is>
          <t>04/09/2026</t>
        </is>
      </c>
      <c r="B141" s="85" t="inlineStr">
        <is>
          <t>19 - Building 754 "Menowitz" - Silver Spring - Bldg 6 - 27.5yr</t>
        </is>
      </c>
      <c r="I141" s="86" t="n">
        <v>593.3</v>
      </c>
      <c r="V141" s="87" t="n">
        <v>593.3</v>
      </c>
    </row>
    <row r="142" ht="15" customHeight="1" s="80">
      <c r="A142" s="85" t="inlineStr">
        <is>
          <t>04/09/2026</t>
        </is>
      </c>
      <c r="B142" s="85" t="inlineStr">
        <is>
          <t>19 - Building 754 "Menowitz" - Silver Spring - Bldg 7 - 15yr</t>
        </is>
      </c>
      <c r="J142" s="86" t="n">
        <v>157.52</v>
      </c>
      <c r="V142" s="87" t="n">
        <v>157.52</v>
      </c>
    </row>
    <row r="143" ht="15" customHeight="1" s="80">
      <c r="A143" s="85" t="inlineStr">
        <is>
          <t>04/09/2026</t>
        </is>
      </c>
      <c r="B143" s="85" t="inlineStr">
        <is>
          <t>19 - Building 754 "Menowitz" - Silver Spring - Bldg 7 - 27.5yr</t>
        </is>
      </c>
      <c r="J143" s="86" t="n">
        <v>593.3</v>
      </c>
      <c r="V143" s="87" t="n">
        <v>593.3</v>
      </c>
    </row>
    <row r="144" ht="15" customHeight="1" s="80">
      <c r="A144" s="85" t="inlineStr">
        <is>
          <t>04/09/2026</t>
        </is>
      </c>
      <c r="B144" s="85" t="inlineStr">
        <is>
          <t>19 - Building 754 "Menowitz" - Silver Spring - Bldg 8 - 15yr</t>
        </is>
      </c>
      <c r="K144" s="86" t="n">
        <v>89.94</v>
      </c>
      <c r="V144" s="87" t="n">
        <v>89.94</v>
      </c>
    </row>
    <row r="145" ht="15" customHeight="1" s="80">
      <c r="A145" s="85" t="inlineStr">
        <is>
          <t>04/09/2026</t>
        </is>
      </c>
      <c r="B145" s="85" t="inlineStr">
        <is>
          <t>19 - Building 754 "Menowitz" - Silver Spring - Bldg 8 - 27.5yr</t>
        </is>
      </c>
      <c r="K145" s="86" t="n">
        <v>389.59</v>
      </c>
      <c r="V145" s="87" t="n">
        <v>389.59</v>
      </c>
    </row>
    <row r="146" ht="15" customHeight="1" s="80">
      <c r="A146" s="85" t="inlineStr">
        <is>
          <t>04/09/2026</t>
        </is>
      </c>
      <c r="B146" s="85" t="inlineStr">
        <is>
          <t>19 - Building 754 "Menowitz" - Silver Spring - Bldg 9 - 15yr</t>
        </is>
      </c>
      <c r="L146" s="86" t="n">
        <v>157.52</v>
      </c>
      <c r="V146" s="87" t="n">
        <v>157.52</v>
      </c>
    </row>
    <row r="147" ht="15" customHeight="1" s="80">
      <c r="A147" s="85" t="inlineStr">
        <is>
          <t>04/09/2026</t>
        </is>
      </c>
      <c r="B147" s="85" t="inlineStr">
        <is>
          <t>19 - Building 754 "Menowitz" - Silver Spring - Bldg 9 - 27.5yr</t>
        </is>
      </c>
      <c r="L147" s="86" t="n">
        <v>593.3</v>
      </c>
      <c r="V147" s="87" t="n">
        <v>593.3</v>
      </c>
    </row>
    <row r="148" ht="15" customHeight="1" s="80">
      <c r="A148" s="85" t="inlineStr">
        <is>
          <t>04/09/2026</t>
        </is>
      </c>
      <c r="B148" s="85" t="inlineStr">
        <is>
          <t>19 - Building 754 "Menowitz" - Silver Spring - Bldg 10 - 15yr</t>
        </is>
      </c>
      <c r="M148" s="86" t="n">
        <v>157.52</v>
      </c>
      <c r="V148" s="87" t="n">
        <v>157.52</v>
      </c>
    </row>
    <row r="149" ht="15" customHeight="1" s="80">
      <c r="A149" s="85" t="inlineStr">
        <is>
          <t>04/09/2026</t>
        </is>
      </c>
      <c r="B149" s="85" t="inlineStr">
        <is>
          <t>19 - Building 754 "Menowitz" - Silver Spring - Bldg 10 - 27.5yr</t>
        </is>
      </c>
      <c r="M149" s="86" t="n">
        <v>593.3</v>
      </c>
      <c r="V149" s="87" t="n">
        <v>593.3</v>
      </c>
    </row>
    <row r="150" ht="15" customHeight="1" s="80">
      <c r="A150" s="85" t="inlineStr">
        <is>
          <t>04/09/2026</t>
        </is>
      </c>
      <c r="B150" s="85" t="inlineStr">
        <is>
          <t>19 - Building 754 "Menowitz" - Silver Spring - Bldg 11 - 15yr</t>
        </is>
      </c>
      <c r="N150" s="86" t="n">
        <v>137.19</v>
      </c>
      <c r="V150" s="87" t="n">
        <v>137.19</v>
      </c>
    </row>
    <row r="151" ht="15" customHeight="1" s="80">
      <c r="A151" s="85" t="inlineStr">
        <is>
          <t>04/09/2026</t>
        </is>
      </c>
      <c r="B151" s="85" t="inlineStr">
        <is>
          <t>19 - Building 754 "Menowitz" - Silver Spring - Bldg 11 - 27.5yr</t>
        </is>
      </c>
      <c r="N151" s="86" t="n">
        <v>524.87</v>
      </c>
      <c r="V151" s="87" t="n">
        <v>524.87</v>
      </c>
    </row>
    <row r="152" ht="15" customHeight="1" s="80">
      <c r="A152" s="85" t="inlineStr">
        <is>
          <t>04/09/2026</t>
        </is>
      </c>
      <c r="B152" s="85" t="inlineStr">
        <is>
          <t>19 - Building 754 "Menowitz" - Silver Spring - Bldg 12 - 15yr</t>
        </is>
      </c>
      <c r="O152" s="86" t="n">
        <v>89.94</v>
      </c>
      <c r="V152" s="87" t="n">
        <v>89.94</v>
      </c>
    </row>
    <row r="153" ht="15" customHeight="1" s="80">
      <c r="A153" s="85" t="inlineStr">
        <is>
          <t>04/09/2026</t>
        </is>
      </c>
      <c r="B153" s="85" t="inlineStr">
        <is>
          <t>19 - Building 754 "Menowitz" - Silver Spring - Bldg 12 - 27.5yr</t>
        </is>
      </c>
      <c r="O153" s="86" t="n">
        <v>389.59</v>
      </c>
      <c r="V153" s="87" t="n">
        <v>389.59</v>
      </c>
    </row>
    <row r="154" ht="15" customHeight="1" s="80">
      <c r="A154" s="85" t="inlineStr">
        <is>
          <t>04/09/2026</t>
        </is>
      </c>
      <c r="B154" s="85" t="inlineStr">
        <is>
          <t>19 - Building 754 "Menowitz" - Silver Spring - Bldg 13 - 15yr</t>
        </is>
      </c>
      <c r="P154" s="86" t="n">
        <v>89.94</v>
      </c>
      <c r="V154" s="87" t="n">
        <v>89.94</v>
      </c>
    </row>
    <row r="155" ht="15" customHeight="1" s="80">
      <c r="A155" s="85" t="inlineStr">
        <is>
          <t>04/09/2026</t>
        </is>
      </c>
      <c r="B155" s="85" t="inlineStr">
        <is>
          <t>19 - Building 754 "Menowitz" - Silver Spring - Bldg 13 - 27.5yr</t>
        </is>
      </c>
      <c r="P155" s="86" t="n">
        <v>389.59</v>
      </c>
      <c r="V155" s="87" t="n">
        <v>389.59</v>
      </c>
    </row>
    <row r="156" ht="15" customHeight="1" s="80">
      <c r="A156" s="85" t="inlineStr">
        <is>
          <t>04/09/2026</t>
        </is>
      </c>
      <c r="B156" s="85" t="inlineStr">
        <is>
          <t>19 - Building 754 "Menowitz" - Silver Spring - Bldg 14 - 15yr</t>
        </is>
      </c>
      <c r="Q156" s="86" t="n">
        <v>77.20999999999999</v>
      </c>
      <c r="V156" s="87" t="n">
        <v>77.20999999999999</v>
      </c>
    </row>
    <row r="157" ht="15" customHeight="1" s="80">
      <c r="A157" s="85" t="inlineStr">
        <is>
          <t>04/09/2026</t>
        </is>
      </c>
      <c r="B157" s="85" t="inlineStr">
        <is>
          <t>19 - Building 754 "Menowitz" - Silver Spring - Bldg 14 - 27.5yr</t>
        </is>
      </c>
      <c r="Q157" s="86" t="n">
        <v>330.58</v>
      </c>
      <c r="V157" s="87" t="n">
        <v>330.58</v>
      </c>
    </row>
    <row r="158" ht="15" customHeight="1" s="80">
      <c r="A158" s="85" t="inlineStr">
        <is>
          <t>04/09/2026</t>
        </is>
      </c>
      <c r="B158" s="85" t="inlineStr">
        <is>
          <t>19 - Building 754 "Menowitz" - Silver Spring - Bldg 15 - 15yr</t>
        </is>
      </c>
      <c r="R158" s="86" t="n">
        <v>63.33</v>
      </c>
      <c r="V158" s="87" t="n">
        <v>63.33</v>
      </c>
    </row>
    <row r="159" ht="15" customHeight="1" s="80">
      <c r="A159" s="85" t="inlineStr">
        <is>
          <t>04/09/2026</t>
        </is>
      </c>
      <c r="B159" s="85" t="inlineStr">
        <is>
          <t>19 - Building 754 "Menowitz" - Silver Spring - Bldg 15 - 27.5yr</t>
        </is>
      </c>
      <c r="R159" s="86" t="n">
        <v>252.97</v>
      </c>
      <c r="V159" s="87" t="n">
        <v>252.97</v>
      </c>
    </row>
    <row r="160" ht="15" customHeight="1" s="80">
      <c r="A160" s="85" t="inlineStr">
        <is>
          <t>04/09/2026</t>
        </is>
      </c>
      <c r="B160" s="85" t="inlineStr">
        <is>
          <t>19 - Building 754 "Menowitz" - Silver Spring - Bldg 16 - 15yr</t>
        </is>
      </c>
      <c r="S160" s="86" t="n">
        <v>63.33</v>
      </c>
      <c r="V160" s="87" t="n">
        <v>63.33</v>
      </c>
    </row>
    <row r="161" ht="15" customHeight="1" s="80">
      <c r="A161" s="85" t="inlineStr">
        <is>
          <t>04/09/2026</t>
        </is>
      </c>
      <c r="B161" s="85" t="inlineStr">
        <is>
          <t>19 - Building 754 "Menowitz" - Silver Spring - Bldg 16 - 27.5yr</t>
        </is>
      </c>
      <c r="S161" s="86" t="n">
        <v>252.97</v>
      </c>
      <c r="V161" s="87" t="n">
        <v>252.97</v>
      </c>
    </row>
    <row r="162" ht="15" customHeight="1" s="80">
      <c r="A162" s="85" t="inlineStr">
        <is>
          <t>04/09/2026</t>
        </is>
      </c>
      <c r="B162" s="85" t="inlineStr">
        <is>
          <t>19 - Building 754 "Menowitz" - Silver Spring - Bldg 17 - 15yr</t>
        </is>
      </c>
      <c r="T162" s="86" t="n">
        <v>157.52</v>
      </c>
      <c r="V162" s="87" t="n">
        <v>157.52</v>
      </c>
    </row>
    <row r="163" ht="15" customHeight="1" s="80">
      <c r="A163" s="85" t="inlineStr">
        <is>
          <t>04/09/2026</t>
        </is>
      </c>
      <c r="B163" s="85" t="inlineStr">
        <is>
          <t>19 - Building 754 "Menowitz" - Silver Spring - Bldg 17 - 27.5yr</t>
        </is>
      </c>
      <c r="T163" s="86" t="n">
        <v>593.3</v>
      </c>
      <c r="V163" s="87" t="n">
        <v>593.3</v>
      </c>
    </row>
    <row r="164" ht="15" customHeight="1" s="80">
      <c r="A164" s="85" t="inlineStr">
        <is>
          <t>04/09/2026</t>
        </is>
      </c>
      <c r="B164" s="85" t="inlineStr">
        <is>
          <t>19 - Building 754 "Menowitz" - Silver Spring - Maintenance Building - 15yr</t>
        </is>
      </c>
      <c r="U164" s="86" t="n">
        <v>1.36</v>
      </c>
      <c r="V164" s="87" t="n">
        <v>1.36</v>
      </c>
    </row>
    <row r="165" ht="15" customHeight="1" s="80">
      <c r="A165" s="85" t="inlineStr">
        <is>
          <t>04/09/2026</t>
        </is>
      </c>
      <c r="B165" s="85" t="inlineStr">
        <is>
          <t>19 - Building 754 "Menowitz" - Silver Spring - Maintenance Building - 27.5yr</t>
        </is>
      </c>
      <c r="U165" s="86" t="n">
        <v>10.06</v>
      </c>
      <c r="V165" s="87" t="n">
        <v>10.06</v>
      </c>
    </row>
    <row r="167">
      <c r="C167" s="88" t="n">
        <v>418936.13</v>
      </c>
      <c r="D167" s="88" t="n">
        <v>234391.03</v>
      </c>
      <c r="E167" s="88" t="n">
        <v>234391.03</v>
      </c>
      <c r="F167" s="88" t="n">
        <v>234391.03</v>
      </c>
      <c r="G167" s="88" t="n">
        <v>92903.28</v>
      </c>
      <c r="H167" s="88" t="n">
        <v>169770.02</v>
      </c>
      <c r="I167" s="88" t="n">
        <v>265816.45</v>
      </c>
      <c r="J167" s="88" t="n">
        <v>265816.45</v>
      </c>
      <c r="K167" s="88" t="n">
        <v>169770.02</v>
      </c>
      <c r="L167" s="88" t="n">
        <v>265816.45</v>
      </c>
      <c r="M167" s="88" t="n">
        <v>265816.45</v>
      </c>
      <c r="N167" s="88" t="n">
        <v>234391.03</v>
      </c>
      <c r="O167" s="88" t="n">
        <v>169770.02</v>
      </c>
      <c r="P167" s="88" t="n">
        <v>169770.02</v>
      </c>
      <c r="Q167" s="88" t="n">
        <v>144372.14</v>
      </c>
      <c r="R167" s="88" t="n">
        <v>111983.58</v>
      </c>
      <c r="S167" s="88" t="n">
        <v>111983.58</v>
      </c>
      <c r="T167" s="88" t="n">
        <v>265816.45</v>
      </c>
      <c r="U167" s="88" t="n">
        <v>4042.84</v>
      </c>
      <c r="V167" s="88" t="n">
        <v>3829948</v>
      </c>
    </row>
    <row r="170">
      <c r="C170" s="89" t="inlineStr">
        <is>
          <t>end deprec</t>
        </is>
      </c>
    </row>
    <row r="171">
      <c r="B171" s="120" t="inlineStr">
        <is>
          <t>NOTE: ADS Election (IRC §163(j)) applies. Accelerated depreciation is limited. No Form 3115 filed for this property.</t>
        </is>
      </c>
    </row>
    <row r="172" ht="15" customHeight="1" s="80">
      <c r="A172" s="85" t="inlineStr">
        <is>
          <t>04/09/2026</t>
        </is>
      </c>
      <c r="B172" s="85" t="inlineStr">
        <is>
          <t>2 - Land Improvements - Silver Spring</t>
        </is>
      </c>
      <c r="C172" s="86" t="n">
        <v>43753.71</v>
      </c>
      <c r="D172" s="86" t="n">
        <v>24479.81</v>
      </c>
      <c r="E172" s="86" t="n">
        <v>24479.81</v>
      </c>
      <c r="F172" s="86" t="n">
        <v>24479.81</v>
      </c>
      <c r="G172" s="86" t="n">
        <v>9702.83</v>
      </c>
      <c r="H172" s="86" t="n">
        <v>17730.79</v>
      </c>
      <c r="I172" s="86" t="n">
        <v>27761.89</v>
      </c>
      <c r="J172" s="86" t="n">
        <v>27761.89</v>
      </c>
      <c r="K172" s="86" t="n">
        <v>17730.79</v>
      </c>
      <c r="L172" s="86" t="n">
        <v>27761.89</v>
      </c>
      <c r="M172" s="86" t="n">
        <v>27761.89</v>
      </c>
      <c r="N172" s="86" t="n">
        <v>24479.81</v>
      </c>
      <c r="O172" s="86" t="n">
        <v>17730.79</v>
      </c>
      <c r="P172" s="86" t="n">
        <v>17730.79</v>
      </c>
      <c r="Q172" s="86" t="n">
        <v>15078.24</v>
      </c>
      <c r="R172" s="86" t="n">
        <v>11695.57</v>
      </c>
      <c r="S172" s="86" t="n">
        <v>11695.57</v>
      </c>
      <c r="T172" s="86" t="n">
        <v>27761.89</v>
      </c>
      <c r="U172" s="86" t="n">
        <v>422.23</v>
      </c>
      <c r="V172" s="87" t="n">
        <v>400000</v>
      </c>
    </row>
    <row r="173" ht="15" customHeight="1" s="80">
      <c r="A173" s="85" t="inlineStr">
        <is>
          <t>04/09/2026</t>
        </is>
      </c>
      <c r="B173" s="85" t="inlineStr">
        <is>
          <t>3 - Building - Silver Spring</t>
        </is>
      </c>
      <c r="C173" s="86" t="n">
        <v>352122.24</v>
      </c>
      <c r="D173" s="86" t="n">
        <v>197009.25</v>
      </c>
      <c r="E173" s="86" t="n">
        <v>197009.25</v>
      </c>
      <c r="F173" s="86" t="n">
        <v>197009.25</v>
      </c>
      <c r="G173" s="86" t="n">
        <v>78086.63</v>
      </c>
      <c r="H173" s="86" t="n">
        <v>142694.3</v>
      </c>
      <c r="I173" s="86" t="n">
        <v>223422.8</v>
      </c>
      <c r="J173" s="86" t="n">
        <v>223422.8</v>
      </c>
      <c r="K173" s="86" t="n">
        <v>142694.3</v>
      </c>
      <c r="L173" s="86" t="n">
        <v>223422.8</v>
      </c>
      <c r="M173" s="86" t="n">
        <v>223422.8</v>
      </c>
      <c r="N173" s="86" t="n">
        <v>197009.25</v>
      </c>
      <c r="O173" s="86" t="n">
        <v>142694.3</v>
      </c>
      <c r="P173" s="86" t="n">
        <v>142694.3</v>
      </c>
      <c r="Q173" s="86" t="n">
        <v>121347</v>
      </c>
      <c r="R173" s="86" t="n">
        <v>94123.92</v>
      </c>
      <c r="S173" s="86" t="n">
        <v>94123.92</v>
      </c>
      <c r="T173" s="86" t="n">
        <v>223422.8</v>
      </c>
      <c r="U173" s="86" t="n">
        <v>3398.09</v>
      </c>
      <c r="V173" s="87" t="n">
        <v>3219129.999999999</v>
      </c>
    </row>
    <row r="174" ht="15" customHeight="1" s="80">
      <c r="A174" s="85" t="inlineStr">
        <is>
          <t>04/09/2026</t>
        </is>
      </c>
      <c r="B174" s="85" t="inlineStr">
        <is>
          <t>4 - Personal Property - Silver Spring</t>
        </is>
      </c>
      <c r="C174" s="86" t="n">
        <v>21876.86</v>
      </c>
      <c r="D174" s="86" t="n">
        <v>12239.91</v>
      </c>
      <c r="E174" s="86" t="n">
        <v>12239.91</v>
      </c>
      <c r="F174" s="86" t="n">
        <v>12239.91</v>
      </c>
      <c r="G174" s="86" t="n">
        <v>4851.41</v>
      </c>
      <c r="H174" s="86" t="n">
        <v>8865.4</v>
      </c>
      <c r="I174" s="86" t="n">
        <v>13880.94</v>
      </c>
      <c r="J174" s="86" t="n">
        <v>13880.94</v>
      </c>
      <c r="K174" s="86" t="n">
        <v>8865.4</v>
      </c>
      <c r="L174" s="86" t="n">
        <v>13880.94</v>
      </c>
      <c r="M174" s="86" t="n">
        <v>13880.94</v>
      </c>
      <c r="N174" s="86" t="n">
        <v>12239.91</v>
      </c>
      <c r="O174" s="86" t="n">
        <v>8865.4</v>
      </c>
      <c r="P174" s="86" t="n">
        <v>8865.4</v>
      </c>
      <c r="Q174" s="86" t="n">
        <v>7539.11</v>
      </c>
      <c r="R174" s="86" t="n">
        <v>5847.79</v>
      </c>
      <c r="S174" s="86" t="n">
        <v>5847.79</v>
      </c>
      <c r="T174" s="86" t="n">
        <v>13880.94</v>
      </c>
      <c r="U174" s="86" t="n">
        <v>211.1</v>
      </c>
      <c r="V174" s="87" t="n">
        <v>200000</v>
      </c>
    </row>
    <row r="175" ht="15" customHeight="1" s="80">
      <c r="A175" s="85" t="inlineStr">
        <is>
          <t>04/09/2026</t>
        </is>
      </c>
      <c r="B175" s="85" t="inlineStr">
        <is>
          <t>19 - Building 754 "Menowitz" - Silver Spring</t>
        </is>
      </c>
      <c r="C175" s="86" t="n">
        <v>1183.32</v>
      </c>
      <c r="D175" s="86" t="n">
        <v>662.0599999999999</v>
      </c>
      <c r="E175" s="86" t="n">
        <v>662.0599999999999</v>
      </c>
      <c r="F175" s="86" t="n">
        <v>662.0599999999999</v>
      </c>
      <c r="G175" s="86" t="n">
        <v>262.41</v>
      </c>
      <c r="H175" s="86" t="n">
        <v>479.53</v>
      </c>
      <c r="I175" s="86" t="n">
        <v>750.8200000000001</v>
      </c>
      <c r="J175" s="86" t="n">
        <v>750.8200000000001</v>
      </c>
      <c r="K175" s="86" t="n">
        <v>479.53</v>
      </c>
      <c r="L175" s="86" t="n">
        <v>750.8200000000001</v>
      </c>
      <c r="M175" s="86" t="n">
        <v>750.8200000000001</v>
      </c>
      <c r="N175" s="86" t="n">
        <v>662.0599999999999</v>
      </c>
      <c r="O175" s="86" t="n">
        <v>479.53</v>
      </c>
      <c r="P175" s="86" t="n">
        <v>479.53</v>
      </c>
      <c r="Q175" s="86" t="n">
        <v>407.79</v>
      </c>
      <c r="R175" s="86" t="n">
        <v>316.3</v>
      </c>
      <c r="S175" s="86" t="n">
        <v>316.3</v>
      </c>
      <c r="T175" s="86" t="n">
        <v>750.8200000000001</v>
      </c>
      <c r="U175" s="86" t="n">
        <v>11.42</v>
      </c>
      <c r="V175" s="87" t="n">
        <v>10818</v>
      </c>
    </row>
    <row r="177">
      <c r="C177" s="88" t="n">
        <v>0</v>
      </c>
      <c r="D177" s="88" t="n">
        <v>0</v>
      </c>
      <c r="E177" s="88" t="n">
        <v>0</v>
      </c>
      <c r="F177" s="88" t="n">
        <v>0</v>
      </c>
      <c r="G177" s="88" t="n">
        <v>0</v>
      </c>
      <c r="H177" s="88" t="n">
        <v>0</v>
      </c>
      <c r="I177" s="88" t="n">
        <v>0</v>
      </c>
      <c r="J177" s="88" t="n">
        <v>0</v>
      </c>
      <c r="K177" s="88" t="n">
        <v>0</v>
      </c>
      <c r="L177" s="88" t="n">
        <v>0</v>
      </c>
      <c r="M177" s="88" t="n">
        <v>0</v>
      </c>
      <c r="N177" s="88" t="n">
        <v>0</v>
      </c>
      <c r="O177" s="88" t="n">
        <v>0</v>
      </c>
      <c r="P177" s="88" t="n">
        <v>0</v>
      </c>
      <c r="Q177" s="88" t="n">
        <v>0</v>
      </c>
      <c r="R177" s="88" t="n">
        <v>0</v>
      </c>
      <c r="S177" s="88" t="n">
        <v>0</v>
      </c>
      <c r="T177" s="88" t="n">
        <v>0</v>
      </c>
      <c r="U177" s="88" t="n">
        <v>0</v>
      </c>
      <c r="V177" s="88" t="n">
        <v>0</v>
      </c>
    </row>
    <row r="179" ht="15" customHeight="1" s="80">
      <c r="A179" s="85" t="inlineStr">
        <is>
          <t>04/09/2026</t>
        </is>
      </c>
      <c r="B179" s="85" t="inlineStr">
        <is>
          <t>2 - Land Improvements - Silver Spring - Site -</t>
        </is>
      </c>
      <c r="C179" s="86" t="n">
        <v>29688.34</v>
      </c>
      <c r="V179" s="87" t="n">
        <v>29688.34</v>
      </c>
    </row>
    <row r="180" ht="15" customHeight="1" s="80">
      <c r="A180" s="85" t="inlineStr">
        <is>
          <t>04/09/2026</t>
        </is>
      </c>
      <c r="B180" s="85" t="inlineStr">
        <is>
          <t>2 - Land Improvements - Silver Spring - Site -</t>
        </is>
      </c>
      <c r="C180" s="86" t="n">
        <v>14065.37</v>
      </c>
      <c r="V180" s="87" t="n">
        <v>14065.37</v>
      </c>
    </row>
    <row r="181" ht="15" customHeight="1" s="80">
      <c r="A181" s="85" t="inlineStr">
        <is>
          <t>04/09/2026</t>
        </is>
      </c>
      <c r="B181" s="85" t="inlineStr">
        <is>
          <t>2 - Land Improvements - Silver Spring - Bldg 1 -</t>
        </is>
      </c>
      <c r="D181" s="86" t="n">
        <v>5072.71</v>
      </c>
      <c r="V181" s="87" t="n">
        <v>5072.71</v>
      </c>
    </row>
    <row r="182" ht="15" customHeight="1" s="80">
      <c r="A182" s="85" t="inlineStr">
        <is>
          <t>04/09/2026</t>
        </is>
      </c>
      <c r="B182" s="85" t="inlineStr">
        <is>
          <t>2 - Land Improvements - Silver Spring - Bldg 1 -</t>
        </is>
      </c>
      <c r="D182" s="86" t="n">
        <v>19407.1</v>
      </c>
      <c r="V182" s="87" t="n">
        <v>19407.1</v>
      </c>
    </row>
    <row r="183" ht="15" customHeight="1" s="80">
      <c r="A183" s="85" t="inlineStr">
        <is>
          <t>04/09/2026</t>
        </is>
      </c>
      <c r="B183" s="85" t="inlineStr">
        <is>
          <t>2 - Land Improvements - Silver Spring - Bldg 2 -</t>
        </is>
      </c>
      <c r="E183" s="86" t="n">
        <v>5072.71</v>
      </c>
      <c r="V183" s="87" t="n">
        <v>5072.71</v>
      </c>
    </row>
    <row r="184" ht="15" customHeight="1" s="80">
      <c r="A184" s="85" t="inlineStr">
        <is>
          <t>04/09/2026</t>
        </is>
      </c>
      <c r="B184" s="85" t="inlineStr">
        <is>
          <t>2 - Land Improvements - Silver Spring - Bldg 2 -</t>
        </is>
      </c>
      <c r="E184" s="86" t="n">
        <v>19407.1</v>
      </c>
      <c r="V184" s="87" t="n">
        <v>19407.1</v>
      </c>
    </row>
    <row r="185" ht="15" customHeight="1" s="80">
      <c r="A185" s="85" t="inlineStr">
        <is>
          <t>04/09/2026</t>
        </is>
      </c>
      <c r="B185" s="85" t="inlineStr">
        <is>
          <t>2 - Land Improvements - Silver Spring - Bldg 3 -</t>
        </is>
      </c>
      <c r="F185" s="86" t="n">
        <v>5072.71</v>
      </c>
      <c r="V185" s="87" t="n">
        <v>5072.71</v>
      </c>
    </row>
    <row r="186" ht="15" customHeight="1" s="80">
      <c r="A186" s="85" t="inlineStr">
        <is>
          <t>04/09/2026</t>
        </is>
      </c>
      <c r="B186" s="85" t="inlineStr">
        <is>
          <t>2 - Land Improvements - Silver Spring - Bldg 3 -</t>
        </is>
      </c>
      <c r="F186" s="86" t="n">
        <v>19407.1</v>
      </c>
      <c r="V186" s="87" t="n">
        <v>19407.1</v>
      </c>
    </row>
    <row r="187" ht="15" customHeight="1" s="80">
      <c r="A187" s="85" t="inlineStr">
        <is>
          <t>04/09/2026</t>
        </is>
      </c>
      <c r="B187" s="85" t="inlineStr">
        <is>
          <t>2 - Land Improvements - Silver Spring - Office -</t>
        </is>
      </c>
      <c r="G187" s="86" t="n">
        <v>1975.88</v>
      </c>
      <c r="V187" s="87" t="n">
        <v>1975.88</v>
      </c>
    </row>
    <row r="188" ht="15" customHeight="1" s="80">
      <c r="A188" s="85" t="inlineStr">
        <is>
          <t>04/09/2026</t>
        </is>
      </c>
      <c r="B188" s="85" t="inlineStr">
        <is>
          <t>2 - Land Improvements - Silver Spring - Office -</t>
        </is>
      </c>
      <c r="G188" s="86" t="n">
        <v>7726.95</v>
      </c>
      <c r="V188" s="87" t="n">
        <v>7726.95</v>
      </c>
    </row>
    <row r="189" ht="15" customHeight="1" s="80">
      <c r="A189" s="85" t="inlineStr">
        <is>
          <t>04/09/2026</t>
        </is>
      </c>
      <c r="B189" s="85" t="inlineStr">
        <is>
          <t>2 - Land Improvements - Silver Spring - Bldg 5 -</t>
        </is>
      </c>
      <c r="H189" s="86" t="n">
        <v>3325.57</v>
      </c>
      <c r="V189" s="87" t="n">
        <v>3325.57</v>
      </c>
    </row>
    <row r="190" ht="15" customHeight="1" s="80">
      <c r="A190" s="85" t="inlineStr">
        <is>
          <t>04/09/2026</t>
        </is>
      </c>
      <c r="B190" s="85" t="inlineStr">
        <is>
          <t>2 - Land Improvements - Silver Spring - Bldg 5 -</t>
        </is>
      </c>
      <c r="H190" s="86" t="n">
        <v>14405.22</v>
      </c>
      <c r="V190" s="87" t="n">
        <v>14405.22</v>
      </c>
    </row>
    <row r="191" ht="15" customHeight="1" s="80">
      <c r="A191" s="85" t="inlineStr">
        <is>
          <t>04/09/2026</t>
        </is>
      </c>
      <c r="B191" s="85" t="inlineStr">
        <is>
          <t>2 - Land Improvements - Silver Spring - Bldg 6 -</t>
        </is>
      </c>
      <c r="I191" s="86" t="n">
        <v>5824.29</v>
      </c>
      <c r="V191" s="87" t="n">
        <v>5824.29</v>
      </c>
    </row>
    <row r="192" ht="15" customHeight="1" s="80">
      <c r="A192" s="85" t="inlineStr">
        <is>
          <t>04/09/2026</t>
        </is>
      </c>
      <c r="B192" s="85" t="inlineStr">
        <is>
          <t>2 - Land Improvements - Silver Spring - Bldg 6 -</t>
        </is>
      </c>
      <c r="I192" s="86" t="n">
        <v>21937.6</v>
      </c>
      <c r="V192" s="87" t="n">
        <v>21937.6</v>
      </c>
    </row>
    <row r="193" ht="15" customHeight="1" s="80">
      <c r="A193" s="85" t="inlineStr">
        <is>
          <t>04/09/2026</t>
        </is>
      </c>
      <c r="B193" s="85" t="inlineStr">
        <is>
          <t>2 - Land Improvements - Silver Spring - Bldg 7 -</t>
        </is>
      </c>
      <c r="J193" s="86" t="n">
        <v>5824.29</v>
      </c>
      <c r="V193" s="87" t="n">
        <v>5824.29</v>
      </c>
    </row>
    <row r="194" ht="15" customHeight="1" s="80">
      <c r="A194" s="85" t="inlineStr">
        <is>
          <t>04/09/2026</t>
        </is>
      </c>
      <c r="B194" s="85" t="inlineStr">
        <is>
          <t>2 - Land Improvements - Silver Spring - Bldg 7 -</t>
        </is>
      </c>
      <c r="J194" s="86" t="n">
        <v>21937.6</v>
      </c>
      <c r="V194" s="87" t="n">
        <v>21937.6</v>
      </c>
    </row>
    <row r="195" ht="15" customHeight="1" s="80">
      <c r="A195" s="85" t="inlineStr">
        <is>
          <t>04/09/2026</t>
        </is>
      </c>
      <c r="B195" s="85" t="inlineStr">
        <is>
          <t>2 - Land Improvements - Silver Spring - Bldg 8 -</t>
        </is>
      </c>
      <c r="K195" s="86" t="n">
        <v>3325.57</v>
      </c>
      <c r="V195" s="87" t="n">
        <v>3325.57</v>
      </c>
    </row>
    <row r="196" ht="15" customHeight="1" s="80">
      <c r="A196" s="85" t="inlineStr">
        <is>
          <t>04/09/2026</t>
        </is>
      </c>
      <c r="B196" s="85" t="inlineStr">
        <is>
          <t>2 - Land Improvements - Silver Spring - Bldg 8 -</t>
        </is>
      </c>
      <c r="K196" s="86" t="n">
        <v>14405.22</v>
      </c>
      <c r="V196" s="87" t="n">
        <v>14405.22</v>
      </c>
    </row>
    <row r="197" ht="15" customHeight="1" s="80">
      <c r="A197" s="85" t="inlineStr">
        <is>
          <t>04/09/2026</t>
        </is>
      </c>
      <c r="B197" s="85" t="inlineStr">
        <is>
          <t>2 - Land Improvements - Silver Spring - Bldg 9 -</t>
        </is>
      </c>
      <c r="L197" s="86" t="n">
        <v>5824.29</v>
      </c>
      <c r="V197" s="87" t="n">
        <v>5824.29</v>
      </c>
    </row>
    <row r="198" ht="15" customHeight="1" s="80">
      <c r="A198" s="85" t="inlineStr">
        <is>
          <t>04/09/2026</t>
        </is>
      </c>
      <c r="B198" s="85" t="inlineStr">
        <is>
          <t>2 - Land Improvements - Silver Spring - Bldg 9 -</t>
        </is>
      </c>
      <c r="L198" s="86" t="n">
        <v>21937.6</v>
      </c>
      <c r="V198" s="87" t="n">
        <v>21937.6</v>
      </c>
    </row>
    <row r="199" ht="15" customHeight="1" s="80">
      <c r="A199" s="85" t="inlineStr">
        <is>
          <t>04/09/2026</t>
        </is>
      </c>
      <c r="B199" s="85" t="inlineStr">
        <is>
          <t>2 - Land Improvements - Silver Spring - Bldg 10 -</t>
        </is>
      </c>
      <c r="M199" s="86" t="n">
        <v>5824.29</v>
      </c>
      <c r="V199" s="87" t="n">
        <v>5824.29</v>
      </c>
    </row>
    <row r="200" ht="15" customHeight="1" s="80">
      <c r="A200" s="85" t="inlineStr">
        <is>
          <t>04/09/2026</t>
        </is>
      </c>
      <c r="B200" s="85" t="inlineStr">
        <is>
          <t>2 - Land Improvements - Silver Spring - Bldg 10 -</t>
        </is>
      </c>
      <c r="M200" s="86" t="n">
        <v>21937.6</v>
      </c>
      <c r="V200" s="87" t="n">
        <v>21937.6</v>
      </c>
    </row>
    <row r="201" ht="15" customHeight="1" s="80">
      <c r="A201" s="85" t="inlineStr">
        <is>
          <t>04/09/2026</t>
        </is>
      </c>
      <c r="B201" s="85" t="inlineStr">
        <is>
          <t>2 - Land Improvements - Silver Spring - Bldg 11 -</t>
        </is>
      </c>
      <c r="N201" s="86" t="n">
        <v>5072.71</v>
      </c>
      <c r="V201" s="87" t="n">
        <v>5072.71</v>
      </c>
    </row>
    <row r="202" ht="15" customHeight="1" s="80">
      <c r="A202" s="85" t="inlineStr">
        <is>
          <t>04/09/2026</t>
        </is>
      </c>
      <c r="B202" s="85" t="inlineStr">
        <is>
          <t>2 - Land Improvements - Silver Spring - Bldg 11 -</t>
        </is>
      </c>
      <c r="N202" s="86" t="n">
        <v>19407.1</v>
      </c>
      <c r="V202" s="87" t="n">
        <v>19407.1</v>
      </c>
    </row>
    <row r="203" ht="15" customHeight="1" s="80">
      <c r="A203" s="85" t="inlineStr">
        <is>
          <t>04/09/2026</t>
        </is>
      </c>
      <c r="B203" s="85" t="inlineStr">
        <is>
          <t>2 - Land Improvements - Silver Spring - Bldg 12 -</t>
        </is>
      </c>
      <c r="O203" s="86" t="n">
        <v>3325.57</v>
      </c>
      <c r="V203" s="87" t="n">
        <v>3325.57</v>
      </c>
    </row>
    <row r="204" ht="15" customHeight="1" s="80">
      <c r="A204" s="85" t="inlineStr">
        <is>
          <t>04/09/2026</t>
        </is>
      </c>
      <c r="B204" s="85" t="inlineStr">
        <is>
          <t>2 - Land Improvements - Silver Spring - Bldg 12 -</t>
        </is>
      </c>
      <c r="O204" s="86" t="n">
        <v>14405.22</v>
      </c>
      <c r="V204" s="87" t="n">
        <v>14405.22</v>
      </c>
    </row>
    <row r="205" ht="15" customHeight="1" s="80">
      <c r="A205" s="85" t="inlineStr">
        <is>
          <t>04/09/2026</t>
        </is>
      </c>
      <c r="B205" s="85" t="inlineStr">
        <is>
          <t>2 - Land Improvements - Silver Spring - Bldg 13 -</t>
        </is>
      </c>
      <c r="P205" s="86" t="n">
        <v>3325.57</v>
      </c>
      <c r="V205" s="87" t="n">
        <v>3325.57</v>
      </c>
    </row>
    <row r="206" ht="15" customHeight="1" s="80">
      <c r="A206" s="85" t="inlineStr">
        <is>
          <t>04/09/2026</t>
        </is>
      </c>
      <c r="B206" s="85" t="inlineStr">
        <is>
          <t>2 - Land Improvements - Silver Spring - Bldg 13 -</t>
        </is>
      </c>
      <c r="P206" s="86" t="n">
        <v>14405.22</v>
      </c>
      <c r="V206" s="87" t="n">
        <v>14405.22</v>
      </c>
    </row>
    <row r="207" ht="15" customHeight="1" s="80">
      <c r="A207" s="85" t="inlineStr">
        <is>
          <t>04/09/2026</t>
        </is>
      </c>
      <c r="B207" s="85" t="inlineStr">
        <is>
          <t>2 - Land Improvements - Silver Spring - Bldg 14 -</t>
        </is>
      </c>
      <c r="Q207" s="86" t="n">
        <v>2854.74</v>
      </c>
      <c r="V207" s="87" t="n">
        <v>2854.74</v>
      </c>
    </row>
    <row r="208" ht="15" customHeight="1" s="80">
      <c r="A208" s="85" t="inlineStr">
        <is>
          <t>04/09/2026</t>
        </is>
      </c>
      <c r="B208" s="85" t="inlineStr">
        <is>
          <t>2 - Land Improvements - Silver Spring - Bldg 14 -</t>
        </is>
      </c>
      <c r="Q208" s="86" t="n">
        <v>12223.5</v>
      </c>
      <c r="V208" s="87" t="n">
        <v>12223.5</v>
      </c>
    </row>
    <row r="209" ht="15" customHeight="1" s="80">
      <c r="A209" s="85" t="inlineStr">
        <is>
          <t>04/09/2026</t>
        </is>
      </c>
      <c r="B209" s="85" t="inlineStr">
        <is>
          <t>2 - Land Improvements - Silver Spring - Bldg 15 -</t>
        </is>
      </c>
      <c r="R209" s="86" t="n">
        <v>2341.72</v>
      </c>
      <c r="V209" s="87" t="n">
        <v>2341.72</v>
      </c>
    </row>
    <row r="210" ht="15" customHeight="1" s="80">
      <c r="A210" s="85" t="inlineStr">
        <is>
          <t>04/09/2026</t>
        </is>
      </c>
      <c r="B210" s="85" t="inlineStr">
        <is>
          <t>2 - Land Improvements - Silver Spring - Bldg 15 -</t>
        </is>
      </c>
      <c r="R210" s="86" t="n">
        <v>9353.85</v>
      </c>
      <c r="V210" s="87" t="n">
        <v>9353.85</v>
      </c>
    </row>
    <row r="211" ht="15" customHeight="1" s="80">
      <c r="A211" s="85" t="inlineStr">
        <is>
          <t>04/09/2026</t>
        </is>
      </c>
      <c r="B211" s="85" t="inlineStr">
        <is>
          <t>2 - Land Improvements - Silver Spring - Bldg 16 -</t>
        </is>
      </c>
      <c r="S211" s="86" t="n">
        <v>2341.72</v>
      </c>
      <c r="V211" s="87" t="n">
        <v>2341.72</v>
      </c>
    </row>
    <row r="212" ht="15" customHeight="1" s="80">
      <c r="A212" s="85" t="inlineStr">
        <is>
          <t>04/09/2026</t>
        </is>
      </c>
      <c r="B212" s="85" t="inlineStr">
        <is>
          <t>2 - Land Improvements - Silver Spring - Bldg 16 -</t>
        </is>
      </c>
      <c r="S212" s="86" t="n">
        <v>9353.85</v>
      </c>
      <c r="V212" s="87" t="n">
        <v>9353.85</v>
      </c>
    </row>
    <row r="213" ht="15" customHeight="1" s="80">
      <c r="A213" s="85" t="inlineStr">
        <is>
          <t>04/09/2026</t>
        </is>
      </c>
      <c r="B213" s="85" t="inlineStr">
        <is>
          <t>2 - Land Improvements - Silver Spring - Bldg 17 -</t>
        </is>
      </c>
      <c r="T213" s="86" t="n">
        <v>5824.29</v>
      </c>
      <c r="V213" s="87" t="n">
        <v>5824.29</v>
      </c>
    </row>
    <row r="214" ht="15" customHeight="1" s="80">
      <c r="A214" s="85" t="inlineStr">
        <is>
          <t>04/09/2026</t>
        </is>
      </c>
      <c r="B214" s="85" t="inlineStr">
        <is>
          <t>2 - Land Improvements - Silver Spring - Bldg 17 -</t>
        </is>
      </c>
      <c r="T214" s="86" t="n">
        <v>21937.6</v>
      </c>
      <c r="V214" s="87" t="n">
        <v>21937.6</v>
      </c>
    </row>
    <row r="215" ht="15" customHeight="1" s="80">
      <c r="A215" s="85" t="inlineStr">
        <is>
          <t>04/09/2026</t>
        </is>
      </c>
      <c r="B215" s="85" t="inlineStr">
        <is>
          <t>2 - Land Improvements - Silver Spring - Maintenance Building -</t>
        </is>
      </c>
      <c r="U215" s="86" t="n">
        <v>50.27</v>
      </c>
      <c r="V215" s="87" t="n">
        <v>50.27</v>
      </c>
    </row>
    <row r="216" ht="15" customHeight="1" s="80">
      <c r="A216" s="85" t="inlineStr">
        <is>
          <t>04/09/2026</t>
        </is>
      </c>
      <c r="B216" s="85" t="inlineStr">
        <is>
          <t>2 - Land Improvements - Silver Spring - Maintenance Building -</t>
        </is>
      </c>
      <c r="U216" s="86" t="n">
        <v>371.96</v>
      </c>
      <c r="V216" s="87" t="n">
        <v>371.96</v>
      </c>
    </row>
    <row r="217" ht="15" customHeight="1" s="80">
      <c r="A217" s="85" t="inlineStr">
        <is>
          <t>04/09/2026</t>
        </is>
      </c>
      <c r="B217" s="85" t="inlineStr">
        <is>
          <t>3 - Building - Silver Spring - Site -</t>
        </is>
      </c>
      <c r="C217" s="86" t="n">
        <v>238926.62</v>
      </c>
      <c r="V217" s="87" t="n">
        <v>238926.62</v>
      </c>
    </row>
    <row r="218" ht="15" customHeight="1" s="80">
      <c r="A218" s="85" t="inlineStr">
        <is>
          <t>04/09/2026</t>
        </is>
      </c>
      <c r="B218" s="85" t="inlineStr">
        <is>
          <t>3 - Building - Silver Spring - Site -</t>
        </is>
      </c>
      <c r="C218" s="86" t="n">
        <v>113195.62</v>
      </c>
      <c r="V218" s="87" t="n">
        <v>113195.62</v>
      </c>
    </row>
    <row r="219" ht="15" customHeight="1" s="80">
      <c r="A219" s="85" t="inlineStr">
        <is>
          <t>04/09/2026</t>
        </is>
      </c>
      <c r="B219" s="85" t="inlineStr">
        <is>
          <t>3 - Building - Silver Spring - Bldg 1 -</t>
        </is>
      </c>
      <c r="D219" s="86" t="n">
        <v>40824.27</v>
      </c>
      <c r="V219" s="87" t="n">
        <v>40824.27</v>
      </c>
    </row>
    <row r="220" ht="15" customHeight="1" s="80">
      <c r="A220" s="85" t="inlineStr">
        <is>
          <t>04/09/2026</t>
        </is>
      </c>
      <c r="B220" s="85" t="inlineStr">
        <is>
          <t>3 - Building - Silver Spring - Bldg 1 -</t>
        </is>
      </c>
      <c r="D220" s="86" t="n">
        <v>156184.98</v>
      </c>
      <c r="V220" s="87" t="n">
        <v>156184.98</v>
      </c>
    </row>
    <row r="221" ht="15" customHeight="1" s="80">
      <c r="A221" s="85" t="inlineStr">
        <is>
          <t>04/09/2026</t>
        </is>
      </c>
      <c r="B221" s="85" t="inlineStr">
        <is>
          <t>3 - Building - Silver Spring - Bldg 2 -</t>
        </is>
      </c>
      <c r="E221" s="86" t="n">
        <v>40824.27</v>
      </c>
      <c r="V221" s="87" t="n">
        <v>40824.27</v>
      </c>
    </row>
    <row r="222" ht="15" customHeight="1" s="80">
      <c r="A222" s="85" t="inlineStr">
        <is>
          <t>04/09/2026</t>
        </is>
      </c>
      <c r="B222" s="85" t="inlineStr">
        <is>
          <t>3 - Building - Silver Spring - Bldg 2 -</t>
        </is>
      </c>
      <c r="E222" s="86" t="n">
        <v>156184.98</v>
      </c>
      <c r="V222" s="87" t="n">
        <v>156184.98</v>
      </c>
    </row>
    <row r="223" ht="15" customHeight="1" s="80">
      <c r="A223" s="85" t="inlineStr">
        <is>
          <t>04/09/2026</t>
        </is>
      </c>
      <c r="B223" s="85" t="inlineStr">
        <is>
          <t>3 - Building - Silver Spring - Bldg 3 -</t>
        </is>
      </c>
      <c r="F223" s="86" t="n">
        <v>40824.27</v>
      </c>
      <c r="V223" s="87" t="n">
        <v>40824.27</v>
      </c>
    </row>
    <row r="224" ht="15" customHeight="1" s="80">
      <c r="A224" s="85" t="inlineStr">
        <is>
          <t>04/09/2026</t>
        </is>
      </c>
      <c r="B224" s="85" t="inlineStr">
        <is>
          <t>3 - Building - Silver Spring - Bldg 3 -</t>
        </is>
      </c>
      <c r="F224" s="86" t="n">
        <v>156184.98</v>
      </c>
      <c r="V224" s="87" t="n">
        <v>156184.98</v>
      </c>
    </row>
    <row r="225" ht="15" customHeight="1" s="80">
      <c r="A225" s="85" t="inlineStr">
        <is>
          <t>04/09/2026</t>
        </is>
      </c>
      <c r="B225" s="85" t="inlineStr">
        <is>
          <t>3 - Building - Silver Spring - Office -</t>
        </is>
      </c>
      <c r="G225" s="86" t="n">
        <v>15901.52</v>
      </c>
      <c r="V225" s="87" t="n">
        <v>15901.52</v>
      </c>
    </row>
    <row r="226" ht="15" customHeight="1" s="80">
      <c r="A226" s="85" t="inlineStr">
        <is>
          <t>04/09/2026</t>
        </is>
      </c>
      <c r="B226" s="85" t="inlineStr">
        <is>
          <t>3 - Building - Silver Spring - Office -</t>
        </is>
      </c>
      <c r="G226" s="86" t="n">
        <v>62185.11</v>
      </c>
      <c r="V226" s="87" t="n">
        <v>62185.11</v>
      </c>
    </row>
    <row r="227" ht="15" customHeight="1" s="80">
      <c r="A227" s="85" t="inlineStr">
        <is>
          <t>04/09/2026</t>
        </is>
      </c>
      <c r="B227" s="85" t="inlineStr">
        <is>
          <t>3 - Building - Silver Spring - Bldg 5 -</t>
        </is>
      </c>
      <c r="H227" s="86" t="n">
        <v>26763.65</v>
      </c>
      <c r="V227" s="87" t="n">
        <v>26763.65</v>
      </c>
    </row>
    <row r="228" ht="15" customHeight="1" s="80">
      <c r="A228" s="85" t="inlineStr">
        <is>
          <t>04/09/2026</t>
        </is>
      </c>
      <c r="B228" s="85" t="inlineStr">
        <is>
          <t>3 - Building - Silver Spring - Bldg 5 -</t>
        </is>
      </c>
      <c r="H228" s="86" t="n">
        <v>115930.65</v>
      </c>
      <c r="V228" s="87" t="n">
        <v>115930.65</v>
      </c>
    </row>
    <row r="229" ht="15" customHeight="1" s="80">
      <c r="A229" s="85" t="inlineStr">
        <is>
          <t>04/09/2026</t>
        </is>
      </c>
      <c r="B229" s="85" t="inlineStr">
        <is>
          <t>3 - Building - Silver Spring - Bldg 6 -</t>
        </is>
      </c>
      <c r="I229" s="86" t="n">
        <v>46872.91</v>
      </c>
      <c r="V229" s="87" t="n">
        <v>46872.91</v>
      </c>
    </row>
    <row r="230" ht="15" customHeight="1" s="80">
      <c r="A230" s="85" t="inlineStr">
        <is>
          <t>04/09/2026</t>
        </is>
      </c>
      <c r="B230" s="85" t="inlineStr">
        <is>
          <t>3 - Building - Silver Spring - Bldg 6 -</t>
        </is>
      </c>
      <c r="I230" s="86" t="n">
        <v>176549.89</v>
      </c>
      <c r="V230" s="87" t="n">
        <v>176549.89</v>
      </c>
    </row>
    <row r="231" ht="15" customHeight="1" s="80">
      <c r="A231" s="85" t="inlineStr">
        <is>
          <t>04/09/2026</t>
        </is>
      </c>
      <c r="B231" s="85" t="inlineStr">
        <is>
          <t>3 - Building - Silver Spring - Bldg 7 -</t>
        </is>
      </c>
      <c r="J231" s="86" t="n">
        <v>46872.91</v>
      </c>
      <c r="V231" s="87" t="n">
        <v>46872.91</v>
      </c>
    </row>
    <row r="232" ht="15" customHeight="1" s="80">
      <c r="A232" s="85" t="inlineStr">
        <is>
          <t>04/09/2026</t>
        </is>
      </c>
      <c r="B232" s="85" t="inlineStr">
        <is>
          <t>3 - Building - Silver Spring - Bldg 7 -</t>
        </is>
      </c>
      <c r="J232" s="86" t="n">
        <v>176549.89</v>
      </c>
      <c r="V232" s="87" t="n">
        <v>176549.89</v>
      </c>
    </row>
    <row r="233" ht="15" customHeight="1" s="80">
      <c r="A233" s="85" t="inlineStr">
        <is>
          <t>04/09/2026</t>
        </is>
      </c>
      <c r="B233" s="85" t="inlineStr">
        <is>
          <t>3 - Building - Silver Spring - Bldg 8 -</t>
        </is>
      </c>
      <c r="K233" s="86" t="n">
        <v>26763.65</v>
      </c>
      <c r="V233" s="87" t="n">
        <v>26763.65</v>
      </c>
    </row>
    <row r="234" ht="15" customHeight="1" s="80">
      <c r="A234" s="85" t="inlineStr">
        <is>
          <t>04/09/2026</t>
        </is>
      </c>
      <c r="B234" s="85" t="inlineStr">
        <is>
          <t>3 - Building - Silver Spring - Bldg 8 -</t>
        </is>
      </c>
      <c r="K234" s="86" t="n">
        <v>115930.65</v>
      </c>
      <c r="V234" s="87" t="n">
        <v>115930.65</v>
      </c>
    </row>
    <row r="235" ht="15" customHeight="1" s="80">
      <c r="A235" s="85" t="inlineStr">
        <is>
          <t>04/09/2026</t>
        </is>
      </c>
      <c r="B235" s="85" t="inlineStr">
        <is>
          <t>3 - Building - Silver Spring - Bldg 9 -</t>
        </is>
      </c>
      <c r="L235" s="86" t="n">
        <v>46872.91</v>
      </c>
      <c r="V235" s="87" t="n">
        <v>46872.91</v>
      </c>
    </row>
    <row r="236" ht="15" customHeight="1" s="80">
      <c r="A236" s="85" t="inlineStr">
        <is>
          <t>04/09/2026</t>
        </is>
      </c>
      <c r="B236" s="85" t="inlineStr">
        <is>
          <t>3 - Building - Silver Spring - Bldg 9 -</t>
        </is>
      </c>
      <c r="L236" s="86" t="n">
        <v>176549.89</v>
      </c>
      <c r="V236" s="87" t="n">
        <v>176549.89</v>
      </c>
    </row>
    <row r="237" ht="15" customHeight="1" s="80">
      <c r="A237" s="85" t="inlineStr">
        <is>
          <t>04/09/2026</t>
        </is>
      </c>
      <c r="B237" s="85" t="inlineStr">
        <is>
          <t>3 - Building - Silver Spring - Bldg 10 -</t>
        </is>
      </c>
      <c r="M237" s="86" t="n">
        <v>46872.91</v>
      </c>
      <c r="V237" s="87" t="n">
        <v>46872.91</v>
      </c>
    </row>
    <row r="238" ht="15" customHeight="1" s="80">
      <c r="A238" s="85" t="inlineStr">
        <is>
          <t>04/09/2026</t>
        </is>
      </c>
      <c r="B238" s="85" t="inlineStr">
        <is>
          <t>3 - Building - Silver Spring - Bldg 10 -</t>
        </is>
      </c>
      <c r="M238" s="86" t="n">
        <v>176549.89</v>
      </c>
      <c r="V238" s="87" t="n">
        <v>176549.89</v>
      </c>
    </row>
    <row r="239" ht="15" customHeight="1" s="80">
      <c r="A239" s="85" t="inlineStr">
        <is>
          <t>04/09/2026</t>
        </is>
      </c>
      <c r="B239" s="85" t="inlineStr">
        <is>
          <t>3 - Building - Silver Spring - Bldg 11 -</t>
        </is>
      </c>
      <c r="N239" s="86" t="n">
        <v>40824.27</v>
      </c>
      <c r="V239" s="87" t="n">
        <v>40824.27</v>
      </c>
    </row>
    <row r="240" ht="15" customHeight="1" s="80">
      <c r="A240" s="85" t="inlineStr">
        <is>
          <t>04/09/2026</t>
        </is>
      </c>
      <c r="B240" s="85" t="inlineStr">
        <is>
          <t>3 - Building - Silver Spring - Bldg 11 -</t>
        </is>
      </c>
      <c r="N240" s="86" t="n">
        <v>156184.98</v>
      </c>
      <c r="V240" s="87" t="n">
        <v>156184.98</v>
      </c>
    </row>
    <row r="241" ht="15" customHeight="1" s="80">
      <c r="A241" s="85" t="inlineStr">
        <is>
          <t>04/09/2026</t>
        </is>
      </c>
      <c r="B241" s="85" t="inlineStr">
        <is>
          <t>3 - Building - Silver Spring - Bldg 12 -</t>
        </is>
      </c>
      <c r="O241" s="86" t="n">
        <v>26763.65</v>
      </c>
      <c r="V241" s="87" t="n">
        <v>26763.65</v>
      </c>
    </row>
    <row r="242" ht="15" customHeight="1" s="80">
      <c r="A242" s="85" t="inlineStr">
        <is>
          <t>04/09/2026</t>
        </is>
      </c>
      <c r="B242" s="85" t="inlineStr">
        <is>
          <t>3 - Building - Silver Spring - Bldg 12 -</t>
        </is>
      </c>
      <c r="O242" s="86" t="n">
        <v>115930.65</v>
      </c>
      <c r="V242" s="87" t="n">
        <v>115930.65</v>
      </c>
    </row>
    <row r="243" ht="15" customHeight="1" s="80">
      <c r="A243" s="85" t="inlineStr">
        <is>
          <t>04/09/2026</t>
        </is>
      </c>
      <c r="B243" s="85" t="inlineStr">
        <is>
          <t>3 - Building - Silver Spring - Bldg 13 -</t>
        </is>
      </c>
      <c r="P243" s="86" t="n">
        <v>26763.65</v>
      </c>
      <c r="V243" s="87" t="n">
        <v>26763.65</v>
      </c>
    </row>
    <row r="244" ht="15" customHeight="1" s="80">
      <c r="A244" s="85" t="inlineStr">
        <is>
          <t>04/09/2026</t>
        </is>
      </c>
      <c r="B244" s="85" t="inlineStr">
        <is>
          <t>3 - Building - Silver Spring - Bldg 13 -</t>
        </is>
      </c>
      <c r="P244" s="86" t="n">
        <v>115930.65</v>
      </c>
      <c r="V244" s="87" t="n">
        <v>115930.65</v>
      </c>
    </row>
    <row r="245" ht="15" customHeight="1" s="80">
      <c r="A245" s="85" t="inlineStr">
        <is>
          <t>04/09/2026</t>
        </is>
      </c>
      <c r="B245" s="85" t="inlineStr">
        <is>
          <t>3 - Building - Silver Spring - Bldg 14 -</t>
        </is>
      </c>
      <c r="Q245" s="86" t="n">
        <v>22974.45</v>
      </c>
      <c r="V245" s="87" t="n">
        <v>22974.45</v>
      </c>
    </row>
    <row r="246" ht="15" customHeight="1" s="80">
      <c r="A246" s="85" t="inlineStr">
        <is>
          <t>04/09/2026</t>
        </is>
      </c>
      <c r="B246" s="85" t="inlineStr">
        <is>
          <t>3 - Building - Silver Spring - Bldg 14 -</t>
        </is>
      </c>
      <c r="Q246" s="86" t="n">
        <v>98372.55</v>
      </c>
      <c r="V246" s="87" t="n">
        <v>98372.55</v>
      </c>
    </row>
    <row r="247" ht="15" customHeight="1" s="80">
      <c r="A247" s="85" t="inlineStr">
        <is>
          <t>04/09/2026</t>
        </is>
      </c>
      <c r="B247" s="85" t="inlineStr">
        <is>
          <t>3 - Building - Silver Spring - Bldg 15 -</t>
        </is>
      </c>
      <c r="R247" s="86" t="n">
        <v>18845.76</v>
      </c>
      <c r="V247" s="87" t="n">
        <v>18845.76</v>
      </c>
    </row>
    <row r="248" ht="15" customHeight="1" s="80">
      <c r="A248" s="85" t="inlineStr">
        <is>
          <t>04/09/2026</t>
        </is>
      </c>
      <c r="B248" s="85" t="inlineStr">
        <is>
          <t>3 - Building - Silver Spring - Bldg 15 -</t>
        </is>
      </c>
      <c r="R248" s="86" t="n">
        <v>75278.16</v>
      </c>
      <c r="V248" s="87" t="n">
        <v>75278.16</v>
      </c>
    </row>
    <row r="249" ht="15" customHeight="1" s="80">
      <c r="A249" s="85" t="inlineStr">
        <is>
          <t>04/09/2026</t>
        </is>
      </c>
      <c r="B249" s="85" t="inlineStr">
        <is>
          <t>3 - Building - Silver Spring - Bldg 16 -</t>
        </is>
      </c>
      <c r="S249" s="86" t="n">
        <v>18845.76</v>
      </c>
      <c r="V249" s="87" t="n">
        <v>18845.76</v>
      </c>
    </row>
    <row r="250" ht="15" customHeight="1" s="80">
      <c r="A250" s="85" t="inlineStr">
        <is>
          <t>04/09/2026</t>
        </is>
      </c>
      <c r="B250" s="85" t="inlineStr">
        <is>
          <t>3 - Building - Silver Spring - Bldg 16 -</t>
        </is>
      </c>
      <c r="S250" s="86" t="n">
        <v>75278.16</v>
      </c>
      <c r="V250" s="87" t="n">
        <v>75278.16</v>
      </c>
    </row>
    <row r="251" ht="15" customHeight="1" s="80">
      <c r="A251" s="85" t="inlineStr">
        <is>
          <t>04/09/2026</t>
        </is>
      </c>
      <c r="B251" s="85" t="inlineStr">
        <is>
          <t>3 - Building - Silver Spring - Bldg 17 -</t>
        </is>
      </c>
      <c r="T251" s="86" t="n">
        <v>46872.91</v>
      </c>
      <c r="V251" s="87" t="n">
        <v>46872.91</v>
      </c>
    </row>
    <row r="252" ht="15" customHeight="1" s="80">
      <c r="A252" s="85" t="inlineStr">
        <is>
          <t>04/09/2026</t>
        </is>
      </c>
      <c r="B252" s="85" t="inlineStr">
        <is>
          <t>3 - Building - Silver Spring - Bldg 17 -</t>
        </is>
      </c>
      <c r="T252" s="86" t="n">
        <v>176549.89</v>
      </c>
      <c r="V252" s="87" t="n">
        <v>176549.89</v>
      </c>
    </row>
    <row r="253" ht="15" customHeight="1" s="80">
      <c r="A253" s="85" t="inlineStr">
        <is>
          <t>04/09/2026</t>
        </is>
      </c>
      <c r="B253" s="85" t="inlineStr">
        <is>
          <t>3 - Building - Silver Spring - Maintenance Building -</t>
        </is>
      </c>
      <c r="U253" s="86" t="n">
        <v>404.56</v>
      </c>
      <c r="V253" s="87" t="n">
        <v>404.56</v>
      </c>
    </row>
    <row r="254" ht="15" customHeight="1" s="80">
      <c r="A254" s="85" t="inlineStr">
        <is>
          <t>04/09/2026</t>
        </is>
      </c>
      <c r="B254" s="85" t="inlineStr">
        <is>
          <t>3 - Building - Silver Spring - Maintenance Building -</t>
        </is>
      </c>
      <c r="U254" s="86" t="n">
        <v>2993.53</v>
      </c>
      <c r="V254" s="87" t="n">
        <v>2993.53</v>
      </c>
    </row>
    <row r="255" ht="15" customHeight="1" s="80">
      <c r="A255" s="85" t="inlineStr">
        <is>
          <t>04/09/2026</t>
        </is>
      </c>
      <c r="B255" s="85" t="inlineStr">
        <is>
          <t>4 - Personal Property - Silver Spring - Site -</t>
        </is>
      </c>
      <c r="C255" s="86" t="n">
        <v>14844.18</v>
      </c>
      <c r="V255" s="87" t="n">
        <v>14844.18</v>
      </c>
    </row>
    <row r="256" ht="15" customHeight="1" s="80">
      <c r="A256" s="85" t="inlineStr">
        <is>
          <t>04/09/2026</t>
        </is>
      </c>
      <c r="B256" s="85" t="inlineStr">
        <is>
          <t>4 - Personal Property - Silver Spring - Site -</t>
        </is>
      </c>
      <c r="C256" s="86" t="n">
        <v>7032.68</v>
      </c>
      <c r="V256" s="87" t="n">
        <v>7032.68</v>
      </c>
    </row>
    <row r="257" ht="15" customHeight="1" s="80">
      <c r="A257" s="85" t="inlineStr">
        <is>
          <t>04/09/2026</t>
        </is>
      </c>
      <c r="B257" s="85" t="inlineStr">
        <is>
          <t>4 - Personal Property - Silver Spring - Bldg 1 -</t>
        </is>
      </c>
      <c r="D257" s="86" t="n">
        <v>2536.35</v>
      </c>
      <c r="V257" s="87" t="n">
        <v>2536.35</v>
      </c>
    </row>
    <row r="258" ht="15" customHeight="1" s="80">
      <c r="A258" s="85" t="inlineStr">
        <is>
          <t>04/09/2026</t>
        </is>
      </c>
      <c r="B258" s="85" t="inlineStr">
        <is>
          <t>4 - Personal Property - Silver Spring - Bldg 1 -</t>
        </is>
      </c>
      <c r="D258" s="86" t="n">
        <v>9703.559999999999</v>
      </c>
      <c r="V258" s="87" t="n">
        <v>9703.559999999999</v>
      </c>
    </row>
    <row r="259" ht="15" customHeight="1" s="80">
      <c r="A259" s="85" t="inlineStr">
        <is>
          <t>04/09/2026</t>
        </is>
      </c>
      <c r="B259" s="85" t="inlineStr">
        <is>
          <t>4 - Personal Property - Silver Spring - Bldg 2 -</t>
        </is>
      </c>
      <c r="E259" s="86" t="n">
        <v>2536.35</v>
      </c>
      <c r="V259" s="87" t="n">
        <v>2536.35</v>
      </c>
    </row>
    <row r="260" ht="15" customHeight="1" s="80">
      <c r="A260" s="85" t="inlineStr">
        <is>
          <t>04/09/2026</t>
        </is>
      </c>
      <c r="B260" s="85" t="inlineStr">
        <is>
          <t>4 - Personal Property - Silver Spring - Bldg 2 -</t>
        </is>
      </c>
      <c r="E260" s="86" t="n">
        <v>9703.559999999999</v>
      </c>
      <c r="V260" s="87" t="n">
        <v>9703.559999999999</v>
      </c>
    </row>
    <row r="261" ht="15" customHeight="1" s="80">
      <c r="A261" s="85" t="inlineStr">
        <is>
          <t>04/09/2026</t>
        </is>
      </c>
      <c r="B261" s="85" t="inlineStr">
        <is>
          <t>4 - Personal Property - Silver Spring - Bldg 3 -</t>
        </is>
      </c>
      <c r="F261" s="86" t="n">
        <v>2536.35</v>
      </c>
      <c r="V261" s="87" t="n">
        <v>2536.35</v>
      </c>
    </row>
    <row r="262" ht="15" customHeight="1" s="80">
      <c r="A262" s="85" t="inlineStr">
        <is>
          <t>04/09/2026</t>
        </is>
      </c>
      <c r="B262" s="85" t="inlineStr">
        <is>
          <t>4 - Personal Property - Silver Spring - Bldg 3 -</t>
        </is>
      </c>
      <c r="F262" s="86" t="n">
        <v>9703.559999999999</v>
      </c>
      <c r="V262" s="87" t="n">
        <v>9703.559999999999</v>
      </c>
    </row>
    <row r="263" ht="15" customHeight="1" s="80">
      <c r="A263" s="85" t="inlineStr">
        <is>
          <t>04/09/2026</t>
        </is>
      </c>
      <c r="B263" s="85" t="inlineStr">
        <is>
          <t>4 - Personal Property - Silver Spring - Office -</t>
        </is>
      </c>
      <c r="G263" s="86" t="n">
        <v>987.9400000000001</v>
      </c>
      <c r="V263" s="87" t="n">
        <v>987.9400000000001</v>
      </c>
    </row>
    <row r="264" ht="15" customHeight="1" s="80">
      <c r="A264" s="85" t="inlineStr">
        <is>
          <t>04/09/2026</t>
        </is>
      </c>
      <c r="B264" s="85" t="inlineStr">
        <is>
          <t>4 - Personal Property - Silver Spring - Office -</t>
        </is>
      </c>
      <c r="G264" s="86" t="n">
        <v>3863.47</v>
      </c>
      <c r="V264" s="87" t="n">
        <v>3863.47</v>
      </c>
    </row>
    <row r="265" ht="15" customHeight="1" s="80">
      <c r="A265" s="85" t="inlineStr">
        <is>
          <t>04/09/2026</t>
        </is>
      </c>
      <c r="B265" s="85" t="inlineStr">
        <is>
          <t>4 - Personal Property - Silver Spring - Bldg 5 -</t>
        </is>
      </c>
      <c r="H265" s="86" t="n">
        <v>1662.79</v>
      </c>
      <c r="V265" s="87" t="n">
        <v>1662.79</v>
      </c>
    </row>
    <row r="266" ht="15" customHeight="1" s="80">
      <c r="A266" s="85" t="inlineStr">
        <is>
          <t>04/09/2026</t>
        </is>
      </c>
      <c r="B266" s="85" t="inlineStr">
        <is>
          <t>4 - Personal Property - Silver Spring - Bldg 5 -</t>
        </is>
      </c>
      <c r="H266" s="86" t="n">
        <v>7202.61</v>
      </c>
      <c r="V266" s="87" t="n">
        <v>7202.61</v>
      </c>
    </row>
    <row r="267" ht="15" customHeight="1" s="80">
      <c r="A267" s="85" t="inlineStr">
        <is>
          <t>04/09/2026</t>
        </is>
      </c>
      <c r="B267" s="85" t="inlineStr">
        <is>
          <t>4 - Personal Property - Silver Spring - Bldg 6 -</t>
        </is>
      </c>
      <c r="I267" s="86" t="n">
        <v>2912.15</v>
      </c>
      <c r="V267" s="87" t="n">
        <v>2912.15</v>
      </c>
    </row>
    <row r="268" ht="15" customHeight="1" s="80">
      <c r="A268" s="85" t="inlineStr">
        <is>
          <t>04/09/2026</t>
        </is>
      </c>
      <c r="B268" s="85" t="inlineStr">
        <is>
          <t>4 - Personal Property - Silver Spring - Bldg 6 -</t>
        </is>
      </c>
      <c r="I268" s="86" t="n">
        <v>10968.79</v>
      </c>
      <c r="V268" s="87" t="n">
        <v>10968.79</v>
      </c>
    </row>
    <row r="269" ht="15" customHeight="1" s="80">
      <c r="A269" s="85" t="inlineStr">
        <is>
          <t>04/09/2026</t>
        </is>
      </c>
      <c r="B269" s="85" t="inlineStr">
        <is>
          <t>4 - Personal Property - Silver Spring - Bldg 7 -</t>
        </is>
      </c>
      <c r="J269" s="86" t="n">
        <v>2912.15</v>
      </c>
      <c r="V269" s="87" t="n">
        <v>2912.15</v>
      </c>
    </row>
    <row r="270" ht="15" customHeight="1" s="80">
      <c r="A270" s="85" t="inlineStr">
        <is>
          <t>04/09/2026</t>
        </is>
      </c>
      <c r="B270" s="85" t="inlineStr">
        <is>
          <t>4 - Personal Property - Silver Spring - Bldg 7 -</t>
        </is>
      </c>
      <c r="J270" s="86" t="n">
        <v>10968.79</v>
      </c>
      <c r="V270" s="87" t="n">
        <v>10968.79</v>
      </c>
    </row>
    <row r="271" ht="15" customHeight="1" s="80">
      <c r="A271" s="85" t="inlineStr">
        <is>
          <t>04/09/2026</t>
        </is>
      </c>
      <c r="B271" s="85" t="inlineStr">
        <is>
          <t>4 - Personal Property - Silver Spring - Bldg 8 -</t>
        </is>
      </c>
      <c r="K271" s="86" t="n">
        <v>1662.79</v>
      </c>
      <c r="V271" s="87" t="n">
        <v>1662.79</v>
      </c>
    </row>
    <row r="272" ht="15" customHeight="1" s="80">
      <c r="A272" s="85" t="inlineStr">
        <is>
          <t>04/09/2026</t>
        </is>
      </c>
      <c r="B272" s="85" t="inlineStr">
        <is>
          <t>4 - Personal Property - Silver Spring - Bldg 8 -</t>
        </is>
      </c>
      <c r="K272" s="86" t="n">
        <v>7202.61</v>
      </c>
      <c r="V272" s="87" t="n">
        <v>7202.61</v>
      </c>
    </row>
    <row r="273" ht="15" customHeight="1" s="80">
      <c r="A273" s="85" t="inlineStr">
        <is>
          <t>04/09/2026</t>
        </is>
      </c>
      <c r="B273" s="85" t="inlineStr">
        <is>
          <t>4 - Personal Property - Silver Spring - Bldg 9 -</t>
        </is>
      </c>
      <c r="L273" s="86" t="n">
        <v>2912.15</v>
      </c>
      <c r="V273" s="87" t="n">
        <v>2912.15</v>
      </c>
    </row>
    <row r="274" ht="15" customHeight="1" s="80">
      <c r="A274" s="85" t="inlineStr">
        <is>
          <t>04/09/2026</t>
        </is>
      </c>
      <c r="B274" s="85" t="inlineStr">
        <is>
          <t>4 - Personal Property - Silver Spring - Bldg 9 -</t>
        </is>
      </c>
      <c r="L274" s="86" t="n">
        <v>10968.79</v>
      </c>
      <c r="V274" s="87" t="n">
        <v>10968.79</v>
      </c>
    </row>
    <row r="275" ht="15" customHeight="1" s="80">
      <c r="A275" s="85" t="inlineStr">
        <is>
          <t>04/09/2026</t>
        </is>
      </c>
      <c r="B275" s="85" t="inlineStr">
        <is>
          <t>4 - Personal Property - Silver Spring - Bldg 10 -</t>
        </is>
      </c>
      <c r="M275" s="86" t="n">
        <v>2912.15</v>
      </c>
      <c r="V275" s="87" t="n">
        <v>2912.15</v>
      </c>
    </row>
    <row r="276" ht="15" customHeight="1" s="80">
      <c r="A276" s="85" t="inlineStr">
        <is>
          <t>04/09/2026</t>
        </is>
      </c>
      <c r="B276" s="85" t="inlineStr">
        <is>
          <t>4 - Personal Property - Silver Spring - Bldg 10 -</t>
        </is>
      </c>
      <c r="M276" s="86" t="n">
        <v>10968.79</v>
      </c>
      <c r="V276" s="87" t="n">
        <v>10968.79</v>
      </c>
    </row>
    <row r="277" ht="15" customHeight="1" s="80">
      <c r="A277" s="85" t="inlineStr">
        <is>
          <t>04/09/2026</t>
        </is>
      </c>
      <c r="B277" s="85" t="inlineStr">
        <is>
          <t>4 - Personal Property - Silver Spring - Bldg 11 -</t>
        </is>
      </c>
      <c r="N277" s="86" t="n">
        <v>2536.35</v>
      </c>
      <c r="V277" s="87" t="n">
        <v>2536.35</v>
      </c>
    </row>
    <row r="278" ht="15" customHeight="1" s="80">
      <c r="A278" s="85" t="inlineStr">
        <is>
          <t>04/09/2026</t>
        </is>
      </c>
      <c r="B278" s="85" t="inlineStr">
        <is>
          <t>4 - Personal Property - Silver Spring - Bldg 11 -</t>
        </is>
      </c>
      <c r="N278" s="86" t="n">
        <v>9703.559999999999</v>
      </c>
      <c r="V278" s="87" t="n">
        <v>9703.559999999999</v>
      </c>
    </row>
    <row r="279" ht="15" customHeight="1" s="80">
      <c r="A279" s="85" t="inlineStr">
        <is>
          <t>04/09/2026</t>
        </is>
      </c>
      <c r="B279" s="85" t="inlineStr">
        <is>
          <t>4 - Personal Property - Silver Spring - Bldg 12 -</t>
        </is>
      </c>
      <c r="O279" s="86" t="n">
        <v>1662.79</v>
      </c>
      <c r="V279" s="87" t="n">
        <v>1662.79</v>
      </c>
    </row>
    <row r="280" ht="15" customHeight="1" s="80">
      <c r="A280" s="85" t="inlineStr">
        <is>
          <t>04/09/2026</t>
        </is>
      </c>
      <c r="B280" s="85" t="inlineStr">
        <is>
          <t>4 - Personal Property - Silver Spring - Bldg 12 -</t>
        </is>
      </c>
      <c r="O280" s="86" t="n">
        <v>7202.61</v>
      </c>
      <c r="V280" s="87" t="n">
        <v>7202.61</v>
      </c>
    </row>
    <row r="281" ht="15" customHeight="1" s="80">
      <c r="A281" s="85" t="inlineStr">
        <is>
          <t>04/09/2026</t>
        </is>
      </c>
      <c r="B281" s="85" t="inlineStr">
        <is>
          <t>4 - Personal Property - Silver Spring - Bldg 13 -</t>
        </is>
      </c>
      <c r="P281" s="86" t="n">
        <v>1662.79</v>
      </c>
      <c r="V281" s="87" t="n">
        <v>1662.79</v>
      </c>
    </row>
    <row r="282" ht="15" customHeight="1" s="80">
      <c r="A282" s="85" t="inlineStr">
        <is>
          <t>04/09/2026</t>
        </is>
      </c>
      <c r="B282" s="85" t="inlineStr">
        <is>
          <t>4 - Personal Property - Silver Spring - Bldg 13 -</t>
        </is>
      </c>
      <c r="P282" s="86" t="n">
        <v>7202.61</v>
      </c>
      <c r="V282" s="87" t="n">
        <v>7202.61</v>
      </c>
    </row>
    <row r="283" ht="15" customHeight="1" s="80">
      <c r="A283" s="85" t="inlineStr">
        <is>
          <t>04/09/2026</t>
        </is>
      </c>
      <c r="B283" s="85" t="inlineStr">
        <is>
          <t>4 - Personal Property - Silver Spring - Bldg 14 -</t>
        </is>
      </c>
      <c r="Q283" s="86" t="n">
        <v>1427.37</v>
      </c>
      <c r="V283" s="87" t="n">
        <v>1427.37</v>
      </c>
    </row>
    <row r="284" ht="15" customHeight="1" s="80">
      <c r="A284" s="85" t="inlineStr">
        <is>
          <t>04/09/2026</t>
        </is>
      </c>
      <c r="B284" s="85" t="inlineStr">
        <is>
          <t>4 - Personal Property - Silver Spring - Bldg 14 -</t>
        </is>
      </c>
      <c r="Q284" s="86" t="n">
        <v>6111.74</v>
      </c>
      <c r="V284" s="87" t="n">
        <v>6111.74</v>
      </c>
    </row>
    <row r="285" ht="15" customHeight="1" s="80">
      <c r="A285" s="85" t="inlineStr">
        <is>
          <t>04/09/2026</t>
        </is>
      </c>
      <c r="B285" s="85" t="inlineStr">
        <is>
          <t>4 - Personal Property - Silver Spring - Bldg 15 -</t>
        </is>
      </c>
      <c r="R285" s="86" t="n">
        <v>1170.86</v>
      </c>
      <c r="V285" s="87" t="n">
        <v>1170.86</v>
      </c>
    </row>
    <row r="286" ht="15" customHeight="1" s="80">
      <c r="A286" s="85" t="inlineStr">
        <is>
          <t>04/09/2026</t>
        </is>
      </c>
      <c r="B286" s="85" t="inlineStr">
        <is>
          <t>4 - Personal Property - Silver Spring - Bldg 15 -</t>
        </is>
      </c>
      <c r="R286" s="86" t="n">
        <v>4676.93</v>
      </c>
      <c r="V286" s="87" t="n">
        <v>4676.93</v>
      </c>
    </row>
    <row r="287" ht="15" customHeight="1" s="80">
      <c r="A287" s="85" t="inlineStr">
        <is>
          <t>04/09/2026</t>
        </is>
      </c>
      <c r="B287" s="85" t="inlineStr">
        <is>
          <t>4 - Personal Property - Silver Spring - Bldg 16 -</t>
        </is>
      </c>
      <c r="S287" s="86" t="n">
        <v>1170.86</v>
      </c>
      <c r="V287" s="87" t="n">
        <v>1170.86</v>
      </c>
    </row>
    <row r="288" ht="15" customHeight="1" s="80">
      <c r="A288" s="85" t="inlineStr">
        <is>
          <t>04/09/2026</t>
        </is>
      </c>
      <c r="B288" s="85" t="inlineStr">
        <is>
          <t>4 - Personal Property - Silver Spring - Bldg 16 -</t>
        </is>
      </c>
      <c r="S288" s="86" t="n">
        <v>4676.93</v>
      </c>
      <c r="V288" s="87" t="n">
        <v>4676.93</v>
      </c>
    </row>
    <row r="289" ht="15" customHeight="1" s="80">
      <c r="A289" s="85" t="inlineStr">
        <is>
          <t>04/09/2026</t>
        </is>
      </c>
      <c r="B289" s="85" t="inlineStr">
        <is>
          <t>4 - Personal Property - Silver Spring - Bldg 17 -</t>
        </is>
      </c>
      <c r="T289" s="86" t="n">
        <v>2912.15</v>
      </c>
      <c r="V289" s="87" t="n">
        <v>2912.15</v>
      </c>
    </row>
    <row r="290" ht="15" customHeight="1" s="80">
      <c r="A290" s="85" t="inlineStr">
        <is>
          <t>04/09/2026</t>
        </is>
      </c>
      <c r="B290" s="85" t="inlineStr">
        <is>
          <t>4 - Personal Property - Silver Spring - Bldg 17 -</t>
        </is>
      </c>
      <c r="T290" s="86" t="n">
        <v>10968.79</v>
      </c>
      <c r="V290" s="87" t="n">
        <v>10968.79</v>
      </c>
    </row>
    <row r="291" ht="15" customHeight="1" s="80">
      <c r="A291" s="85" t="inlineStr">
        <is>
          <t>04/09/2026</t>
        </is>
      </c>
      <c r="B291" s="85" t="inlineStr">
        <is>
          <t>4 - Personal Property - Silver Spring - Maintenance Building -</t>
        </is>
      </c>
      <c r="U291" s="86" t="n">
        <v>25.13</v>
      </c>
      <c r="V291" s="87" t="n">
        <v>25.13</v>
      </c>
    </row>
    <row r="292" ht="15" customHeight="1" s="80">
      <c r="A292" s="85" t="inlineStr">
        <is>
          <t>04/09/2026</t>
        </is>
      </c>
      <c r="B292" s="85" t="inlineStr">
        <is>
          <t>4 - Personal Property - Silver Spring - Maintenance Building -</t>
        </is>
      </c>
      <c r="U292" s="86" t="n">
        <v>185.97</v>
      </c>
      <c r="V292" s="87" t="n">
        <v>185.97</v>
      </c>
    </row>
    <row r="293" ht="15" customHeight="1" s="80">
      <c r="A293" s="85" t="inlineStr">
        <is>
          <t>04/09/2026</t>
        </is>
      </c>
      <c r="B293" s="85" t="inlineStr">
        <is>
          <t>19 - Building 754 "Menowitz" - Silver Spring - Site -</t>
        </is>
      </c>
      <c r="C293" s="86" t="n">
        <v>802.92</v>
      </c>
      <c r="V293" s="87" t="n">
        <v>802.92</v>
      </c>
    </row>
    <row r="294" ht="15" customHeight="1" s="80">
      <c r="A294" s="85" t="inlineStr">
        <is>
          <t>04/09/2026</t>
        </is>
      </c>
      <c r="B294" s="85" t="inlineStr">
        <is>
          <t>19 - Building 754 "Menowitz" - Silver Spring - Site -</t>
        </is>
      </c>
      <c r="C294" s="86" t="n">
        <v>380.4</v>
      </c>
      <c r="V294" s="87" t="n">
        <v>380.4</v>
      </c>
    </row>
    <row r="295" ht="15" customHeight="1" s="80">
      <c r="A295" s="85" t="inlineStr">
        <is>
          <t>04/09/2026</t>
        </is>
      </c>
      <c r="B295" s="85" t="inlineStr">
        <is>
          <t>19 - Building 754 "Menowitz" - Silver Spring - Bldg 1 -</t>
        </is>
      </c>
      <c r="D295" s="86" t="n">
        <v>137.19</v>
      </c>
      <c r="V295" s="87" t="n">
        <v>137.19</v>
      </c>
    </row>
    <row r="296" ht="15" customHeight="1" s="80">
      <c r="A296" s="85" t="inlineStr">
        <is>
          <t>04/09/2026</t>
        </is>
      </c>
      <c r="B296" s="85" t="inlineStr">
        <is>
          <t>19 - Building 754 "Menowitz" - Silver Spring - Bldg 1 -</t>
        </is>
      </c>
      <c r="D296" s="86" t="n">
        <v>524.87</v>
      </c>
      <c r="V296" s="87" t="n">
        <v>524.87</v>
      </c>
    </row>
    <row r="297" ht="15" customHeight="1" s="80">
      <c r="A297" s="85" t="inlineStr">
        <is>
          <t>04/09/2026</t>
        </is>
      </c>
      <c r="B297" s="85" t="inlineStr">
        <is>
          <t>19 - Building 754 "Menowitz" - Silver Spring - Bldg 2 -</t>
        </is>
      </c>
      <c r="E297" s="86" t="n">
        <v>137.19</v>
      </c>
      <c r="V297" s="87" t="n">
        <v>137.19</v>
      </c>
    </row>
    <row r="298" ht="15" customHeight="1" s="80">
      <c r="A298" s="85" t="inlineStr">
        <is>
          <t>04/09/2026</t>
        </is>
      </c>
      <c r="B298" s="85" t="inlineStr">
        <is>
          <t>19 - Building 754 "Menowitz" - Silver Spring - Bldg 2 -</t>
        </is>
      </c>
      <c r="E298" s="86" t="n">
        <v>524.87</v>
      </c>
      <c r="V298" s="87" t="n">
        <v>524.87</v>
      </c>
    </row>
    <row r="299" ht="15" customHeight="1" s="80">
      <c r="A299" s="85" t="inlineStr">
        <is>
          <t>04/09/2026</t>
        </is>
      </c>
      <c r="B299" s="85" t="inlineStr">
        <is>
          <t>19 - Building 754 "Menowitz" - Silver Spring - Bldg 3 -</t>
        </is>
      </c>
      <c r="F299" s="86" t="n">
        <v>137.19</v>
      </c>
      <c r="V299" s="87" t="n">
        <v>137.19</v>
      </c>
    </row>
    <row r="300" ht="15" customHeight="1" s="80">
      <c r="A300" s="85" t="inlineStr">
        <is>
          <t>04/09/2026</t>
        </is>
      </c>
      <c r="B300" s="85" t="inlineStr">
        <is>
          <t>19 - Building 754 "Menowitz" - Silver Spring - Bldg 3 -</t>
        </is>
      </c>
      <c r="F300" s="86" t="n">
        <v>524.87</v>
      </c>
      <c r="V300" s="87" t="n">
        <v>524.87</v>
      </c>
    </row>
    <row r="301" ht="15" customHeight="1" s="80">
      <c r="A301" s="85" t="inlineStr">
        <is>
          <t>04/09/2026</t>
        </is>
      </c>
      <c r="B301" s="85" t="inlineStr">
        <is>
          <t>19 - Building 754 "Menowitz" - Silver Spring - Office -</t>
        </is>
      </c>
      <c r="G301" s="86" t="n">
        <v>53.44</v>
      </c>
      <c r="V301" s="87" t="n">
        <v>53.44</v>
      </c>
    </row>
    <row r="302" ht="15" customHeight="1" s="80">
      <c r="A302" s="85" t="inlineStr">
        <is>
          <t>04/09/2026</t>
        </is>
      </c>
      <c r="B302" s="85" t="inlineStr">
        <is>
          <t>19 - Building 754 "Menowitz" - Silver Spring - Office -</t>
        </is>
      </c>
      <c r="G302" s="86" t="n">
        <v>208.97</v>
      </c>
      <c r="V302" s="87" t="n">
        <v>208.97</v>
      </c>
    </row>
    <row r="303" ht="15" customHeight="1" s="80">
      <c r="A303" s="85" t="inlineStr">
        <is>
          <t>04/09/2026</t>
        </is>
      </c>
      <c r="B303" s="85" t="inlineStr">
        <is>
          <t>19 - Building 754 "Menowitz" - Silver Spring - Bldg 5 -</t>
        </is>
      </c>
      <c r="H303" s="86" t="n">
        <v>89.94</v>
      </c>
      <c r="V303" s="87" t="n">
        <v>89.94</v>
      </c>
    </row>
    <row r="304" ht="15" customHeight="1" s="80">
      <c r="A304" s="85" t="inlineStr">
        <is>
          <t>04/09/2026</t>
        </is>
      </c>
      <c r="B304" s="85" t="inlineStr">
        <is>
          <t>19 - Building 754 "Menowitz" - Silver Spring - Bldg 5 -</t>
        </is>
      </c>
      <c r="H304" s="86" t="n">
        <v>389.59</v>
      </c>
      <c r="V304" s="87" t="n">
        <v>389.59</v>
      </c>
    </row>
    <row r="305" ht="15" customHeight="1" s="80">
      <c r="A305" s="85" t="inlineStr">
        <is>
          <t>04/09/2026</t>
        </is>
      </c>
      <c r="B305" s="85" t="inlineStr">
        <is>
          <t>19 - Building 754 "Menowitz" - Silver Spring - Bldg 6 -</t>
        </is>
      </c>
      <c r="I305" s="86" t="n">
        <v>157.52</v>
      </c>
      <c r="V305" s="87" t="n">
        <v>157.52</v>
      </c>
    </row>
    <row r="306" ht="15" customHeight="1" s="80">
      <c r="A306" s="85" t="inlineStr">
        <is>
          <t>04/09/2026</t>
        </is>
      </c>
      <c r="B306" s="85" t="inlineStr">
        <is>
          <t>19 - Building 754 "Menowitz" - Silver Spring - Bldg 6 -</t>
        </is>
      </c>
      <c r="I306" s="86" t="n">
        <v>593.3</v>
      </c>
      <c r="V306" s="87" t="n">
        <v>593.3</v>
      </c>
    </row>
    <row r="307" ht="15" customHeight="1" s="80">
      <c r="A307" s="85" t="inlineStr">
        <is>
          <t>04/09/2026</t>
        </is>
      </c>
      <c r="B307" s="85" t="inlineStr">
        <is>
          <t>19 - Building 754 "Menowitz" - Silver Spring - Bldg 7 -</t>
        </is>
      </c>
      <c r="J307" s="86" t="n">
        <v>157.52</v>
      </c>
      <c r="V307" s="87" t="n">
        <v>157.52</v>
      </c>
    </row>
    <row r="308" ht="15" customHeight="1" s="80">
      <c r="A308" s="85" t="inlineStr">
        <is>
          <t>04/09/2026</t>
        </is>
      </c>
      <c r="B308" s="85" t="inlineStr">
        <is>
          <t>19 - Building 754 "Menowitz" - Silver Spring - Bldg 7 -</t>
        </is>
      </c>
      <c r="J308" s="86" t="n">
        <v>593.3</v>
      </c>
      <c r="V308" s="87" t="n">
        <v>593.3</v>
      </c>
    </row>
    <row r="309" ht="15" customHeight="1" s="80">
      <c r="A309" s="85" t="inlineStr">
        <is>
          <t>04/09/2026</t>
        </is>
      </c>
      <c r="B309" s="85" t="inlineStr">
        <is>
          <t>19 - Building 754 "Menowitz" - Silver Spring - Bldg 8 -</t>
        </is>
      </c>
      <c r="K309" s="86" t="n">
        <v>89.94</v>
      </c>
      <c r="V309" s="87" t="n">
        <v>89.94</v>
      </c>
    </row>
    <row r="310" ht="15" customHeight="1" s="80">
      <c r="A310" s="85" t="inlineStr">
        <is>
          <t>04/09/2026</t>
        </is>
      </c>
      <c r="B310" s="85" t="inlineStr">
        <is>
          <t>19 - Building 754 "Menowitz" - Silver Spring - Bldg 8 -</t>
        </is>
      </c>
      <c r="K310" s="86" t="n">
        <v>389.59</v>
      </c>
      <c r="V310" s="87" t="n">
        <v>389.59</v>
      </c>
    </row>
    <row r="311" ht="15" customHeight="1" s="80">
      <c r="A311" s="85" t="inlineStr">
        <is>
          <t>04/09/2026</t>
        </is>
      </c>
      <c r="B311" s="85" t="inlineStr">
        <is>
          <t>19 - Building 754 "Menowitz" - Silver Spring - Bldg 9 -</t>
        </is>
      </c>
      <c r="L311" s="86" t="n">
        <v>157.52</v>
      </c>
      <c r="V311" s="87" t="n">
        <v>157.52</v>
      </c>
    </row>
    <row r="312" ht="15" customHeight="1" s="80">
      <c r="A312" s="85" t="inlineStr">
        <is>
          <t>04/09/2026</t>
        </is>
      </c>
      <c r="B312" s="85" t="inlineStr">
        <is>
          <t>19 - Building 754 "Menowitz" - Silver Spring - Bldg 9 -</t>
        </is>
      </c>
      <c r="L312" s="86" t="n">
        <v>593.3</v>
      </c>
      <c r="V312" s="87" t="n">
        <v>593.3</v>
      </c>
    </row>
    <row r="313" ht="15" customHeight="1" s="80">
      <c r="A313" s="85" t="inlineStr">
        <is>
          <t>04/09/2026</t>
        </is>
      </c>
      <c r="B313" s="85" t="inlineStr">
        <is>
          <t>19 - Building 754 "Menowitz" - Silver Spring - Bldg 10 -</t>
        </is>
      </c>
      <c r="M313" s="86" t="n">
        <v>157.52</v>
      </c>
      <c r="V313" s="87" t="n">
        <v>157.52</v>
      </c>
    </row>
    <row r="314" ht="15" customHeight="1" s="80">
      <c r="A314" s="85" t="inlineStr">
        <is>
          <t>04/09/2026</t>
        </is>
      </c>
      <c r="B314" s="85" t="inlineStr">
        <is>
          <t>19 - Building 754 "Menowitz" - Silver Spring - Bldg 10 -</t>
        </is>
      </c>
      <c r="M314" s="86" t="n">
        <v>593.3</v>
      </c>
      <c r="V314" s="87" t="n">
        <v>593.3</v>
      </c>
    </row>
    <row r="315" ht="15" customHeight="1" s="80">
      <c r="A315" s="85" t="inlineStr">
        <is>
          <t>04/09/2026</t>
        </is>
      </c>
      <c r="B315" s="85" t="inlineStr">
        <is>
          <t>19 - Building 754 "Menowitz" - Silver Spring - Bldg 11 -</t>
        </is>
      </c>
      <c r="N315" s="86" t="n">
        <v>137.19</v>
      </c>
      <c r="V315" s="87" t="n">
        <v>137.19</v>
      </c>
    </row>
    <row r="316" ht="15" customHeight="1" s="80">
      <c r="A316" s="85" t="inlineStr">
        <is>
          <t>04/09/2026</t>
        </is>
      </c>
      <c r="B316" s="85" t="inlineStr">
        <is>
          <t>19 - Building 754 "Menowitz" - Silver Spring - Bldg 11 -</t>
        </is>
      </c>
      <c r="N316" s="86" t="n">
        <v>524.87</v>
      </c>
      <c r="V316" s="87" t="n">
        <v>524.87</v>
      </c>
    </row>
    <row r="317" ht="15" customHeight="1" s="80">
      <c r="A317" s="85" t="inlineStr">
        <is>
          <t>04/09/2026</t>
        </is>
      </c>
      <c r="B317" s="85" t="inlineStr">
        <is>
          <t>19 - Building 754 "Menowitz" - Silver Spring - Bldg 12 -</t>
        </is>
      </c>
      <c r="O317" s="86" t="n">
        <v>89.94</v>
      </c>
      <c r="V317" s="87" t="n">
        <v>89.94</v>
      </c>
    </row>
    <row r="318" ht="15" customHeight="1" s="80">
      <c r="A318" s="85" t="inlineStr">
        <is>
          <t>04/09/2026</t>
        </is>
      </c>
      <c r="B318" s="85" t="inlineStr">
        <is>
          <t>19 - Building 754 "Menowitz" - Silver Spring - Bldg 12 -</t>
        </is>
      </c>
      <c r="O318" s="86" t="n">
        <v>389.59</v>
      </c>
      <c r="V318" s="87" t="n">
        <v>389.59</v>
      </c>
    </row>
    <row r="319" ht="15" customHeight="1" s="80">
      <c r="A319" s="85" t="inlineStr">
        <is>
          <t>04/09/2026</t>
        </is>
      </c>
      <c r="B319" s="85" t="inlineStr">
        <is>
          <t>19 - Building 754 "Menowitz" - Silver Spring - Bldg 13 -</t>
        </is>
      </c>
      <c r="P319" s="86" t="n">
        <v>89.94</v>
      </c>
      <c r="V319" s="87" t="n">
        <v>89.94</v>
      </c>
    </row>
    <row r="320" ht="15" customHeight="1" s="80">
      <c r="A320" s="85" t="inlineStr">
        <is>
          <t>04/09/2026</t>
        </is>
      </c>
      <c r="B320" s="85" t="inlineStr">
        <is>
          <t>19 - Building 754 "Menowitz" - Silver Spring - Bldg 13 -</t>
        </is>
      </c>
      <c r="P320" s="86" t="n">
        <v>389.59</v>
      </c>
      <c r="V320" s="87" t="n">
        <v>389.59</v>
      </c>
    </row>
    <row r="321" ht="15" customHeight="1" s="80">
      <c r="A321" s="85" t="inlineStr">
        <is>
          <t>04/09/2026</t>
        </is>
      </c>
      <c r="B321" s="85" t="inlineStr">
        <is>
          <t>19 - Building 754 "Menowitz" - Silver Spring - Bldg 14 -</t>
        </is>
      </c>
      <c r="Q321" s="86" t="n">
        <v>77.20999999999999</v>
      </c>
      <c r="V321" s="87" t="n">
        <v>77.20999999999999</v>
      </c>
    </row>
    <row r="322" ht="15" customHeight="1" s="80">
      <c r="A322" s="85" t="inlineStr">
        <is>
          <t>04/09/2026</t>
        </is>
      </c>
      <c r="B322" s="85" t="inlineStr">
        <is>
          <t>19 - Building 754 "Menowitz" - Silver Spring - Bldg 14 -</t>
        </is>
      </c>
      <c r="Q322" s="86" t="n">
        <v>330.58</v>
      </c>
      <c r="V322" s="87" t="n">
        <v>330.58</v>
      </c>
    </row>
    <row r="323" ht="15" customHeight="1" s="80">
      <c r="A323" s="85" t="inlineStr">
        <is>
          <t>04/09/2026</t>
        </is>
      </c>
      <c r="B323" s="85" t="inlineStr">
        <is>
          <t>19 - Building 754 "Menowitz" - Silver Spring - Bldg 15 -</t>
        </is>
      </c>
      <c r="R323" s="86" t="n">
        <v>63.33</v>
      </c>
      <c r="V323" s="87" t="n">
        <v>63.33</v>
      </c>
    </row>
    <row r="324" ht="15" customHeight="1" s="80">
      <c r="A324" s="85" t="inlineStr">
        <is>
          <t>04/09/2026</t>
        </is>
      </c>
      <c r="B324" s="85" t="inlineStr">
        <is>
          <t>19 - Building 754 "Menowitz" - Silver Spring - Bldg 15 -</t>
        </is>
      </c>
      <c r="R324" s="86" t="n">
        <v>252.97</v>
      </c>
      <c r="V324" s="87" t="n">
        <v>252.97</v>
      </c>
    </row>
    <row r="325" ht="15" customHeight="1" s="80">
      <c r="A325" s="85" t="inlineStr">
        <is>
          <t>04/09/2026</t>
        </is>
      </c>
      <c r="B325" s="85" t="inlineStr">
        <is>
          <t>19 - Building 754 "Menowitz" - Silver Spring - Bldg 16 -</t>
        </is>
      </c>
      <c r="S325" s="86" t="n">
        <v>63.33</v>
      </c>
      <c r="V325" s="87" t="n">
        <v>63.33</v>
      </c>
    </row>
    <row r="326" ht="15" customHeight="1" s="80">
      <c r="A326" s="85" t="inlineStr">
        <is>
          <t>04/09/2026</t>
        </is>
      </c>
      <c r="B326" s="85" t="inlineStr">
        <is>
          <t>19 - Building 754 "Menowitz" - Silver Spring - Bldg 16 -</t>
        </is>
      </c>
      <c r="S326" s="86" t="n">
        <v>252.97</v>
      </c>
      <c r="V326" s="87" t="n">
        <v>252.97</v>
      </c>
    </row>
    <row r="327" ht="15" customHeight="1" s="80">
      <c r="A327" s="85" t="inlineStr">
        <is>
          <t>04/09/2026</t>
        </is>
      </c>
      <c r="B327" s="85" t="inlineStr">
        <is>
          <t>19 - Building 754 "Menowitz" - Silver Spring - Bldg 17 -</t>
        </is>
      </c>
      <c r="T327" s="86" t="n">
        <v>157.52</v>
      </c>
      <c r="V327" s="87" t="n">
        <v>157.52</v>
      </c>
    </row>
    <row r="328" ht="15" customHeight="1" s="80">
      <c r="A328" s="85" t="inlineStr">
        <is>
          <t>04/09/2026</t>
        </is>
      </c>
      <c r="B328" s="85" t="inlineStr">
        <is>
          <t>19 - Building 754 "Menowitz" - Silver Spring - Bldg 17 -</t>
        </is>
      </c>
      <c r="T328" s="86" t="n">
        <v>593.3</v>
      </c>
      <c r="V328" s="87" t="n">
        <v>593.3</v>
      </c>
    </row>
    <row r="329" ht="15" customHeight="1" s="80">
      <c r="A329" s="85" t="inlineStr">
        <is>
          <t>04/09/2026</t>
        </is>
      </c>
      <c r="B329" s="85" t="inlineStr">
        <is>
          <t>19 - Building 754 "Menowitz" - Silver Spring - Maintenance Building -</t>
        </is>
      </c>
      <c r="U329" s="86" t="n">
        <v>1.36</v>
      </c>
      <c r="V329" s="87" t="n">
        <v>1.36</v>
      </c>
    </row>
    <row r="330" ht="15" customHeight="1" s="80">
      <c r="A330" s="85" t="inlineStr">
        <is>
          <t>04/09/2026</t>
        </is>
      </c>
      <c r="B330" s="85" t="inlineStr">
        <is>
          <t>19 - Building 754 "Menowitz" - Silver Spring - Maintenance Building -</t>
        </is>
      </c>
      <c r="U330" s="86" t="n">
        <v>10.06</v>
      </c>
      <c r="V330" s="87" t="n">
        <v>10.06</v>
      </c>
    </row>
    <row r="332">
      <c r="C332" s="88" t="n">
        <v>418936.13</v>
      </c>
      <c r="D332" s="88" t="n">
        <v>234391.03</v>
      </c>
      <c r="E332" s="88" t="n">
        <v>234391.03</v>
      </c>
      <c r="F332" s="88" t="n">
        <v>234391.03</v>
      </c>
      <c r="G332" s="88" t="n">
        <v>92903.28</v>
      </c>
      <c r="H332" s="88" t="n">
        <v>169770.02</v>
      </c>
      <c r="I332" s="88" t="n">
        <v>265816.45</v>
      </c>
      <c r="J332" s="88" t="n">
        <v>265816.45</v>
      </c>
      <c r="K332" s="88" t="n">
        <v>169770.02</v>
      </c>
      <c r="L332" s="88" t="n">
        <v>265816.45</v>
      </c>
      <c r="M332" s="88" t="n">
        <v>265816.45</v>
      </c>
      <c r="N332" s="88" t="n">
        <v>234391.03</v>
      </c>
      <c r="O332" s="88" t="n">
        <v>169770.02</v>
      </c>
      <c r="P332" s="88" t="n">
        <v>169770.02</v>
      </c>
      <c r="Q332" s="88" t="n">
        <v>144372.14</v>
      </c>
      <c r="R332" s="88" t="n">
        <v>111983.58</v>
      </c>
      <c r="S332" s="88" t="n">
        <v>111983.58</v>
      </c>
      <c r="T332" s="88" t="n">
        <v>265816.45</v>
      </c>
      <c r="U332" s="88" t="n">
        <v>4042.84</v>
      </c>
      <c r="V332" s="88" t="n">
        <v>3829948</v>
      </c>
    </row>
    <row r="334">
      <c r="B334" s="90" t="inlineStr">
        <is>
          <t>Section 481(a) Adjustment</t>
        </is>
      </c>
      <c r="C334" s="88" t="n">
        <v>418936.13</v>
      </c>
      <c r="D334" s="88" t="n">
        <v>234391.03</v>
      </c>
      <c r="E334" s="88" t="n">
        <v>234391.03</v>
      </c>
      <c r="F334" s="88" t="n">
        <v>234391.03</v>
      </c>
      <c r="G334" s="88" t="n">
        <v>92903.28</v>
      </c>
      <c r="H334" s="88" t="n">
        <v>169770.02</v>
      </c>
      <c r="I334" s="88" t="n">
        <v>265816.45</v>
      </c>
      <c r="J334" s="88" t="n">
        <v>265816.45</v>
      </c>
      <c r="K334" s="88" t="n">
        <v>169770.02</v>
      </c>
      <c r="L334" s="88" t="n">
        <v>265816.45</v>
      </c>
      <c r="M334" s="88" t="n">
        <v>265816.45</v>
      </c>
      <c r="N334" s="88" t="n">
        <v>234391.03</v>
      </c>
      <c r="O334" s="88" t="n">
        <v>169770.02</v>
      </c>
      <c r="P334" s="88" t="n">
        <v>169770.02</v>
      </c>
      <c r="Q334" s="88" t="n">
        <v>144372.14</v>
      </c>
      <c r="R334" s="88" t="n">
        <v>111983.58</v>
      </c>
      <c r="S334" s="88" t="n">
        <v>111983.58</v>
      </c>
      <c r="T334" s="88" t="n">
        <v>265816.45</v>
      </c>
      <c r="U334" s="88" t="n">
        <v>4042.84</v>
      </c>
      <c r="V334" s="88" t="n">
        <v>3829948</v>
      </c>
    </row>
  </sheetData>
  <mergeCells count="1">
    <mergeCell ref="B171:V17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634"/>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style="80" min="1" max="1"/>
    <col width="42" customWidth="1" style="80" min="2" max="2"/>
    <col width="12" customWidth="1" style="80" min="3" max="3"/>
    <col width="12" customWidth="1" style="80" min="4" max="4"/>
    <col width="12" customWidth="1" style="80" min="5" max="5"/>
    <col width="12" customWidth="1" style="80" min="6" max="6"/>
    <col width="12" customWidth="1" style="80" min="7" max="7"/>
    <col width="12" customWidth="1" style="80" min="8" max="8"/>
    <col width="12" customWidth="1" style="80" min="9" max="9"/>
    <col width="12" customWidth="1" style="80" min="10" max="10"/>
    <col width="12" customWidth="1" style="80" min="11" max="11"/>
    <col width="12" customWidth="1" style="80" min="12" max="12"/>
    <col width="12" customWidth="1" style="80" min="13" max="13"/>
    <col width="12" customWidth="1" style="80" min="14" max="14"/>
    <col width="12" customWidth="1" style="80" min="15" max="15"/>
    <col width="12" customWidth="1" style="80" min="16" max="16"/>
    <col width="12" customWidth="1" style="80" min="17" max="17"/>
    <col width="12" customWidth="1" style="80" min="18" max="18"/>
    <col width="12" customWidth="1" style="80" min="19" max="19"/>
    <col width="12" customWidth="1" style="80" min="20" max="20"/>
    <col width="12" customWidth="1" style="80" min="21" max="21"/>
    <col width="12" customWidth="1" style="80" min="22" max="22"/>
    <col width="12" customWidth="1" style="80" min="23" max="23"/>
    <col width="12" customWidth="1" style="80" min="24" max="24"/>
    <col width="12" customWidth="1" style="80" min="25" max="25"/>
    <col width="12" customWidth="1" style="80" min="26" max="26"/>
    <col width="12" customWidth="1" style="80" min="27" max="27"/>
    <col width="12" customWidth="1" style="80" min="28" max="28"/>
  </cols>
  <sheetData>
    <row r="1">
      <c r="A1" s="81" t="inlineStr">
        <is>
          <t>River Garden Estates</t>
        </is>
      </c>
    </row>
    <row r="2">
      <c r="B2" s="82" t="inlineStr">
        <is>
          <t>FYE: 12/31/2024</t>
        </is>
      </c>
    </row>
    <row r="3">
      <c r="A3" s="119" t="inlineStr">
        <is>
          <t>New Study — No Prior Depreciation / No Form 3115 Filed</t>
        </is>
      </c>
    </row>
    <row r="4" ht="30" customHeight="1" s="80">
      <c r="A4" s="83" t="inlineStr">
        <is>
          <t>Acq Date</t>
        </is>
      </c>
      <c r="B4" s="83" t="inlineStr"/>
      <c r="C4" s="83" t="inlineStr">
        <is>
          <t>Site</t>
        </is>
      </c>
      <c r="D4" s="83" t="inlineStr">
        <is>
          <t>Building 1</t>
        </is>
      </c>
      <c r="E4" s="83" t="inlineStr">
        <is>
          <t>Building 2</t>
        </is>
      </c>
      <c r="F4" s="83" t="inlineStr">
        <is>
          <t>Building 3</t>
        </is>
      </c>
      <c r="G4" s="83" t="inlineStr">
        <is>
          <t>Building 4</t>
        </is>
      </c>
      <c r="H4" s="83" t="inlineStr">
        <is>
          <t>Building 5</t>
        </is>
      </c>
      <c r="I4" s="83" t="inlineStr">
        <is>
          <t>Building 6</t>
        </is>
      </c>
      <c r="J4" s="83" t="inlineStr">
        <is>
          <t>Building 7</t>
        </is>
      </c>
      <c r="K4" s="83" t="inlineStr">
        <is>
          <t>Building 8</t>
        </is>
      </c>
      <c r="L4" s="83" t="inlineStr">
        <is>
          <t>Building 9</t>
        </is>
      </c>
      <c r="M4" s="83" t="inlineStr">
        <is>
          <t>Building 10</t>
        </is>
      </c>
      <c r="N4" s="83" t="inlineStr">
        <is>
          <t>Building 11</t>
        </is>
      </c>
      <c r="O4" s="83" t="inlineStr">
        <is>
          <t>Building 12</t>
        </is>
      </c>
      <c r="P4" s="83" t="inlineStr">
        <is>
          <t>Building 13</t>
        </is>
      </c>
      <c r="Q4" s="83" t="inlineStr">
        <is>
          <t>Building 14</t>
        </is>
      </c>
      <c r="R4" s="83" t="inlineStr">
        <is>
          <t>Building 15</t>
        </is>
      </c>
      <c r="S4" s="83" t="inlineStr">
        <is>
          <t>Building 16</t>
        </is>
      </c>
      <c r="T4" s="83" t="inlineStr">
        <is>
          <t>Building 17</t>
        </is>
      </c>
      <c r="U4" s="83" t="inlineStr">
        <is>
          <t>Building 18</t>
        </is>
      </c>
      <c r="V4" s="83" t="inlineStr">
        <is>
          <t>Building 19</t>
        </is>
      </c>
      <c r="W4" s="83" t="inlineStr">
        <is>
          <t>Building 20</t>
        </is>
      </c>
      <c r="X4" s="83" t="inlineStr">
        <is>
          <t>Building 21</t>
        </is>
      </c>
      <c r="Y4" s="83" t="inlineStr">
        <is>
          <t>Building 22</t>
        </is>
      </c>
      <c r="Z4" s="83" t="inlineStr">
        <is>
          <t>Shed B</t>
        </is>
      </c>
      <c r="AA4" s="83" t="inlineStr">
        <is>
          <t>Laundry</t>
        </is>
      </c>
      <c r="AB4" s="83" t="inlineStr">
        <is>
          <t>total cost</t>
        </is>
      </c>
    </row>
    <row r="5" ht="15" customHeight="1" s="80">
      <c r="A5" s="85" t="inlineStr">
        <is>
          <t>04/23/2026</t>
        </is>
      </c>
      <c r="B5" s="85" t="inlineStr">
        <is>
          <t>2 - Building - 712 Northfield Dr</t>
        </is>
      </c>
      <c r="C5" s="86" t="n">
        <v>166583.41</v>
      </c>
      <c r="D5" s="86" t="n">
        <v>45270.97</v>
      </c>
      <c r="E5" s="86" t="n">
        <v>34585.09</v>
      </c>
      <c r="F5" s="86" t="n">
        <v>27290.76</v>
      </c>
      <c r="G5" s="86" t="n">
        <v>53518.91</v>
      </c>
      <c r="H5" s="86" t="n">
        <v>27290.76</v>
      </c>
      <c r="I5" s="86" t="n">
        <v>53518.91</v>
      </c>
      <c r="J5" s="86" t="n">
        <v>34585.09</v>
      </c>
      <c r="K5" s="86" t="n">
        <v>46450.25</v>
      </c>
      <c r="L5" s="86" t="n">
        <v>46321.61</v>
      </c>
      <c r="M5" s="86" t="n">
        <v>27290.76</v>
      </c>
      <c r="N5" s="86" t="n">
        <v>60219.73</v>
      </c>
      <c r="O5" s="86" t="n">
        <v>39989.86</v>
      </c>
      <c r="P5" s="86" t="n">
        <v>39989.86</v>
      </c>
      <c r="Q5" s="86" t="n">
        <v>39989.86</v>
      </c>
      <c r="R5" s="86" t="n">
        <v>60219.73</v>
      </c>
      <c r="S5" s="86" t="n">
        <v>27290.76</v>
      </c>
      <c r="T5" s="86" t="n">
        <v>20620.86</v>
      </c>
      <c r="U5" s="86" t="n">
        <v>20620.86</v>
      </c>
      <c r="V5" s="86" t="n">
        <v>34211.45</v>
      </c>
      <c r="W5" s="86" t="n">
        <v>45795.35</v>
      </c>
      <c r="X5" s="86" t="n">
        <v>27290.76</v>
      </c>
      <c r="Y5" s="86" t="n">
        <v>34211.45</v>
      </c>
      <c r="Z5" s="86" t="n">
        <v>1082.23</v>
      </c>
      <c r="AA5" s="86" t="n">
        <v>3581</v>
      </c>
      <c r="AB5" s="87" t="n">
        <v>1017820.28</v>
      </c>
    </row>
    <row r="6" ht="15" customHeight="1" s="80">
      <c r="A6" s="85" t="inlineStr">
        <is>
          <t>04/23/2026</t>
        </is>
      </c>
      <c r="B6" s="85" t="inlineStr">
        <is>
          <t>3 - Land Improvements - 712 Northfield Dr</t>
        </is>
      </c>
      <c r="C6" s="86" t="n">
        <v>21494.58</v>
      </c>
      <c r="D6" s="86" t="n">
        <v>5841.4</v>
      </c>
      <c r="E6" s="86" t="n">
        <v>4462.58</v>
      </c>
      <c r="F6" s="86" t="n">
        <v>3521.38</v>
      </c>
      <c r="G6" s="86" t="n">
        <v>6905.65</v>
      </c>
      <c r="H6" s="86" t="n">
        <v>3521.38</v>
      </c>
      <c r="I6" s="86" t="n">
        <v>6905.65</v>
      </c>
      <c r="J6" s="86" t="n">
        <v>4462.58</v>
      </c>
      <c r="K6" s="86" t="n">
        <v>5993.57</v>
      </c>
      <c r="L6" s="86" t="n">
        <v>5976.97</v>
      </c>
      <c r="M6" s="86" t="n">
        <v>3521.38</v>
      </c>
      <c r="N6" s="86" t="n">
        <v>7770.26</v>
      </c>
      <c r="O6" s="86" t="n">
        <v>5159.97</v>
      </c>
      <c r="P6" s="86" t="n">
        <v>5159.97</v>
      </c>
      <c r="Q6" s="86" t="n">
        <v>5159.97</v>
      </c>
      <c r="R6" s="86" t="n">
        <v>7770.26</v>
      </c>
      <c r="S6" s="86" t="n">
        <v>3521.38</v>
      </c>
      <c r="T6" s="86" t="n">
        <v>2660.75</v>
      </c>
      <c r="U6" s="86" t="n">
        <v>2660.75</v>
      </c>
      <c r="V6" s="86" t="n">
        <v>4414.37</v>
      </c>
      <c r="W6" s="86" t="n">
        <v>5909.06</v>
      </c>
      <c r="X6" s="86" t="n">
        <v>3521.38</v>
      </c>
      <c r="Y6" s="86" t="n">
        <v>4414.37</v>
      </c>
      <c r="Z6" s="86" t="n">
        <v>139.64</v>
      </c>
      <c r="AA6" s="86" t="n">
        <v>462.04</v>
      </c>
      <c r="AB6" s="87" t="n">
        <v>131331.29</v>
      </c>
    </row>
    <row r="7" ht="15" customHeight="1" s="80">
      <c r="A7" s="85" t="inlineStr">
        <is>
          <t>04/23/2026</t>
        </is>
      </c>
      <c r="B7" s="85" t="inlineStr">
        <is>
          <t>4 - Furniture &amp; Fixtures - 712 Northfield Dr</t>
        </is>
      </c>
      <c r="C7" s="86" t="n">
        <v>40302.47</v>
      </c>
      <c r="D7" s="86" t="n">
        <v>10952.66</v>
      </c>
      <c r="E7" s="86" t="n">
        <v>8367.370000000001</v>
      </c>
      <c r="F7" s="86" t="n">
        <v>6602.61</v>
      </c>
      <c r="G7" s="86" t="n">
        <v>12948.13</v>
      </c>
      <c r="H7" s="86" t="n">
        <v>6602.61</v>
      </c>
      <c r="I7" s="86" t="n">
        <v>12948.13</v>
      </c>
      <c r="J7" s="86" t="n">
        <v>8367.370000000001</v>
      </c>
      <c r="K7" s="86" t="n">
        <v>11237.98</v>
      </c>
      <c r="L7" s="86" t="n">
        <v>11206.85</v>
      </c>
      <c r="M7" s="86" t="n">
        <v>6602.61</v>
      </c>
      <c r="N7" s="86" t="n">
        <v>14569.3</v>
      </c>
      <c r="O7" s="86" t="n">
        <v>9674.969999999999</v>
      </c>
      <c r="P7" s="86" t="n">
        <v>9674.969999999999</v>
      </c>
      <c r="Q7" s="86" t="n">
        <v>9674.969999999999</v>
      </c>
      <c r="R7" s="86" t="n">
        <v>14569.3</v>
      </c>
      <c r="S7" s="86" t="n">
        <v>6602.61</v>
      </c>
      <c r="T7" s="86" t="n">
        <v>4988.92</v>
      </c>
      <c r="U7" s="86" t="n">
        <v>4988.92</v>
      </c>
      <c r="V7" s="86" t="n">
        <v>8276.98</v>
      </c>
      <c r="W7" s="86" t="n">
        <v>11079.53</v>
      </c>
      <c r="X7" s="86" t="n">
        <v>6602.61</v>
      </c>
      <c r="Y7" s="86" t="n">
        <v>8276.98</v>
      </c>
      <c r="Z7" s="86" t="n">
        <v>261.83</v>
      </c>
      <c r="AA7" s="86" t="n">
        <v>866.37</v>
      </c>
      <c r="AB7" s="87" t="n">
        <v>246247.05</v>
      </c>
    </row>
    <row r="8" ht="15" customHeight="1" s="80">
      <c r="A8" s="85" t="inlineStr">
        <is>
          <t>04/23/2026</t>
        </is>
      </c>
      <c r="B8" s="85" t="inlineStr">
        <is>
          <t>7 - Building - 2201 Northview Dr</t>
        </is>
      </c>
      <c r="C8" s="86" t="n">
        <v>767179.3199999999</v>
      </c>
      <c r="D8" s="86" t="n">
        <v>208489.87</v>
      </c>
      <c r="E8" s="86" t="n">
        <v>159277.36</v>
      </c>
      <c r="F8" s="86" t="n">
        <v>125684.23</v>
      </c>
      <c r="G8" s="86" t="n">
        <v>246474.74</v>
      </c>
      <c r="H8" s="86" t="n">
        <v>125684.23</v>
      </c>
      <c r="I8" s="86" t="n">
        <v>246474.74</v>
      </c>
      <c r="J8" s="86" t="n">
        <v>159277.36</v>
      </c>
      <c r="K8" s="86" t="n">
        <v>213920.95</v>
      </c>
      <c r="L8" s="86" t="n">
        <v>213328.45</v>
      </c>
      <c r="M8" s="86" t="n">
        <v>125684.23</v>
      </c>
      <c r="N8" s="86" t="n">
        <v>277334.53</v>
      </c>
      <c r="O8" s="86" t="n">
        <v>184168.35</v>
      </c>
      <c r="P8" s="86" t="n">
        <v>184168.35</v>
      </c>
      <c r="Q8" s="86" t="n">
        <v>184168.35</v>
      </c>
      <c r="R8" s="86" t="n">
        <v>277334.53</v>
      </c>
      <c r="S8" s="86" t="n">
        <v>125684.23</v>
      </c>
      <c r="T8" s="86" t="n">
        <v>94966.8</v>
      </c>
      <c r="U8" s="86" t="n">
        <v>94966.8</v>
      </c>
      <c r="V8" s="86" t="n">
        <v>157556.61</v>
      </c>
      <c r="W8" s="86" t="n">
        <v>210904.84</v>
      </c>
      <c r="X8" s="86" t="n">
        <v>125684.23</v>
      </c>
      <c r="Y8" s="86" t="n">
        <v>157556.61</v>
      </c>
      <c r="Z8" s="86" t="n">
        <v>4984.09</v>
      </c>
      <c r="AA8" s="86" t="n">
        <v>16491.88</v>
      </c>
      <c r="AB8" s="87" t="n">
        <v>4687445.68</v>
      </c>
    </row>
    <row r="9" ht="15" customHeight="1" s="80">
      <c r="A9" s="85" t="inlineStr">
        <is>
          <t>04/23/2026</t>
        </is>
      </c>
      <c r="B9" s="85" t="inlineStr">
        <is>
          <t>8 - Land Improvements - 2201 Northview Dr</t>
        </is>
      </c>
      <c r="C9" s="86" t="n">
        <v>98990.86</v>
      </c>
      <c r="D9" s="86" t="n">
        <v>26901.91</v>
      </c>
      <c r="E9" s="86" t="n">
        <v>20551.91</v>
      </c>
      <c r="F9" s="86" t="n">
        <v>16217.32</v>
      </c>
      <c r="G9" s="86" t="n">
        <v>31803.19</v>
      </c>
      <c r="H9" s="86" t="n">
        <v>16217.32</v>
      </c>
      <c r="I9" s="86" t="n">
        <v>31803.19</v>
      </c>
      <c r="J9" s="86" t="n">
        <v>20551.91</v>
      </c>
      <c r="K9" s="86" t="n">
        <v>27602.7</v>
      </c>
      <c r="L9" s="86" t="n">
        <v>27526.25</v>
      </c>
      <c r="M9" s="86" t="n">
        <v>16217.32</v>
      </c>
      <c r="N9" s="86" t="n">
        <v>35785.1</v>
      </c>
      <c r="O9" s="86" t="n">
        <v>23763.65</v>
      </c>
      <c r="P9" s="86" t="n">
        <v>23763.65</v>
      </c>
      <c r="Q9" s="86" t="n">
        <v>23763.65</v>
      </c>
      <c r="R9" s="86" t="n">
        <v>35785.1</v>
      </c>
      <c r="S9" s="86" t="n">
        <v>16217.32</v>
      </c>
      <c r="T9" s="86" t="n">
        <v>12253.78</v>
      </c>
      <c r="U9" s="86" t="n">
        <v>12253.78</v>
      </c>
      <c r="V9" s="86" t="n">
        <v>20329.88</v>
      </c>
      <c r="W9" s="86" t="n">
        <v>27213.52</v>
      </c>
      <c r="X9" s="86" t="n">
        <v>16217.32</v>
      </c>
      <c r="Y9" s="86" t="n">
        <v>20329.88</v>
      </c>
      <c r="Z9" s="86" t="n">
        <v>643.11</v>
      </c>
      <c r="AA9" s="86" t="n">
        <v>2127.98</v>
      </c>
      <c r="AB9" s="87" t="n">
        <v>604831.6</v>
      </c>
    </row>
    <row r="10" ht="15" customHeight="1" s="80">
      <c r="A10" s="85" t="inlineStr">
        <is>
          <t>04/23/2026</t>
        </is>
      </c>
      <c r="B10" s="85" t="inlineStr">
        <is>
          <t>9 - Furniture &amp; Fixtures - 2201 Northview Dr</t>
        </is>
      </c>
      <c r="C10" s="86" t="n">
        <v>185607.93</v>
      </c>
      <c r="D10" s="86" t="n">
        <v>50441.11</v>
      </c>
      <c r="E10" s="86" t="n">
        <v>38534.85</v>
      </c>
      <c r="F10" s="86" t="n">
        <v>30407.48</v>
      </c>
      <c r="G10" s="86" t="n">
        <v>59631</v>
      </c>
      <c r="H10" s="86" t="n">
        <v>30407.48</v>
      </c>
      <c r="I10" s="86" t="n">
        <v>59631</v>
      </c>
      <c r="J10" s="86" t="n">
        <v>38534.85</v>
      </c>
      <c r="K10" s="86" t="n">
        <v>51755.08</v>
      </c>
      <c r="L10" s="86" t="n">
        <v>51611.73</v>
      </c>
      <c r="M10" s="86" t="n">
        <v>30407.48</v>
      </c>
      <c r="N10" s="86" t="n">
        <v>67097.08</v>
      </c>
      <c r="O10" s="86" t="n">
        <v>44556.87</v>
      </c>
      <c r="P10" s="86" t="n">
        <v>44556.87</v>
      </c>
      <c r="Q10" s="86" t="n">
        <v>44556.87</v>
      </c>
      <c r="R10" s="86" t="n">
        <v>67097.08</v>
      </c>
      <c r="S10" s="86" t="n">
        <v>30407.48</v>
      </c>
      <c r="T10" s="86" t="n">
        <v>22975.84</v>
      </c>
      <c r="U10" s="86" t="n">
        <v>22975.84</v>
      </c>
      <c r="V10" s="86" t="n">
        <v>38118.54</v>
      </c>
      <c r="W10" s="86" t="n">
        <v>51025.37</v>
      </c>
      <c r="X10" s="86" t="n">
        <v>30407.48</v>
      </c>
      <c r="Y10" s="86" t="n">
        <v>38118.54</v>
      </c>
      <c r="Z10" s="86" t="n">
        <v>1205.83</v>
      </c>
      <c r="AA10" s="86" t="n">
        <v>3989.96</v>
      </c>
      <c r="AB10" s="87" t="n">
        <v>1134059.64</v>
      </c>
    </row>
    <row r="12">
      <c r="C12" s="88" t="n">
        <v>1280158.57</v>
      </c>
      <c r="D12" s="88" t="n">
        <v>347897.92</v>
      </c>
      <c r="E12" s="88" t="n">
        <v>265779.16</v>
      </c>
      <c r="F12" s="88" t="n">
        <v>209723.78</v>
      </c>
      <c r="G12" s="88" t="n">
        <v>411281.62</v>
      </c>
      <c r="H12" s="88" t="n">
        <v>209723.78</v>
      </c>
      <c r="I12" s="88" t="n">
        <v>411281.62</v>
      </c>
      <c r="J12" s="88" t="n">
        <v>265779.16</v>
      </c>
      <c r="K12" s="88" t="n">
        <v>356960.53</v>
      </c>
      <c r="L12" s="88" t="n">
        <v>355971.86</v>
      </c>
      <c r="M12" s="88" t="n">
        <v>209723.78</v>
      </c>
      <c r="N12" s="88" t="n">
        <v>462776.0000000001</v>
      </c>
      <c r="O12" s="88" t="n">
        <v>307313.67</v>
      </c>
      <c r="P12" s="88" t="n">
        <v>307313.67</v>
      </c>
      <c r="Q12" s="88" t="n">
        <v>307313.67</v>
      </c>
      <c r="R12" s="88" t="n">
        <v>462776.0000000001</v>
      </c>
      <c r="S12" s="88" t="n">
        <v>209723.78</v>
      </c>
      <c r="T12" s="88" t="n">
        <v>158466.95</v>
      </c>
      <c r="U12" s="88" t="n">
        <v>158466.95</v>
      </c>
      <c r="V12" s="88" t="n">
        <v>262907.83</v>
      </c>
      <c r="W12" s="88" t="n">
        <v>351927.67</v>
      </c>
      <c r="X12" s="88" t="n">
        <v>209723.78</v>
      </c>
      <c r="Y12" s="88" t="n">
        <v>262907.83</v>
      </c>
      <c r="Z12" s="88" t="n">
        <v>8316.73</v>
      </c>
      <c r="AA12" s="88" t="n">
        <v>27519.23</v>
      </c>
      <c r="AB12" s="88" t="n">
        <v>7821735.540000001</v>
      </c>
    </row>
    <row r="15" ht="30" customHeight="1" s="80">
      <c r="A15" s="83" t="inlineStr">
        <is>
          <t>Acq Date</t>
        </is>
      </c>
      <c r="B15" s="83" t="inlineStr"/>
      <c r="C15" s="83" t="inlineStr">
        <is>
          <t>Site</t>
        </is>
      </c>
      <c r="D15" s="83" t="inlineStr">
        <is>
          <t>Building 1</t>
        </is>
      </c>
      <c r="E15" s="83" t="inlineStr">
        <is>
          <t>Building 2</t>
        </is>
      </c>
      <c r="F15" s="83" t="inlineStr">
        <is>
          <t>Building 3</t>
        </is>
      </c>
      <c r="G15" s="83" t="inlineStr">
        <is>
          <t>Building 4</t>
        </is>
      </c>
      <c r="H15" s="83" t="inlineStr">
        <is>
          <t>Building 5</t>
        </is>
      </c>
      <c r="I15" s="83" t="inlineStr">
        <is>
          <t>Building 6</t>
        </is>
      </c>
      <c r="J15" s="83" t="inlineStr">
        <is>
          <t>Building 7</t>
        </is>
      </c>
      <c r="K15" s="83" t="inlineStr">
        <is>
          <t>Building 8</t>
        </is>
      </c>
      <c r="L15" s="83" t="inlineStr">
        <is>
          <t>Building 9</t>
        </is>
      </c>
      <c r="M15" s="83" t="inlineStr">
        <is>
          <t>Building 10</t>
        </is>
      </c>
      <c r="N15" s="83" t="inlineStr">
        <is>
          <t>Building 11</t>
        </is>
      </c>
      <c r="O15" s="83" t="inlineStr">
        <is>
          <t>Building 12</t>
        </is>
      </c>
      <c r="P15" s="83" t="inlineStr">
        <is>
          <t>Building 13</t>
        </is>
      </c>
      <c r="Q15" s="83" t="inlineStr">
        <is>
          <t>Building 14</t>
        </is>
      </c>
      <c r="R15" s="83" t="inlineStr">
        <is>
          <t>Building 15</t>
        </is>
      </c>
      <c r="S15" s="83" t="inlineStr">
        <is>
          <t>Building 16</t>
        </is>
      </c>
      <c r="T15" s="83" t="inlineStr">
        <is>
          <t>Building 17</t>
        </is>
      </c>
      <c r="U15" s="83" t="inlineStr">
        <is>
          <t>Building 18</t>
        </is>
      </c>
      <c r="V15" s="83" t="inlineStr">
        <is>
          <t>Building 19</t>
        </is>
      </c>
      <c r="W15" s="83" t="inlineStr">
        <is>
          <t>Building 20</t>
        </is>
      </c>
      <c r="X15" s="83" t="inlineStr">
        <is>
          <t>Building 21</t>
        </is>
      </c>
      <c r="Y15" s="83" t="inlineStr">
        <is>
          <t>Building 22</t>
        </is>
      </c>
      <c r="Z15" s="83" t="inlineStr">
        <is>
          <t>Shed B</t>
        </is>
      </c>
      <c r="AA15" s="83" t="inlineStr">
        <is>
          <t>Laundry</t>
        </is>
      </c>
      <c r="AB15" s="83" t="inlineStr">
        <is>
          <t>total cost</t>
        </is>
      </c>
    </row>
    <row r="16" ht="15" customHeight="1" s="80">
      <c r="A16" s="85" t="inlineStr">
        <is>
          <t>04/23/2026</t>
        </is>
      </c>
      <c r="B16" s="85" t="inlineStr">
        <is>
          <t>2 - Building - 712 Northfield Dr - Site - 7yr</t>
        </is>
      </c>
      <c r="C16" s="86" t="n">
        <v>866.85</v>
      </c>
      <c r="AB16" s="87" t="n">
        <v>866.85</v>
      </c>
    </row>
    <row r="17" ht="15" customHeight="1" s="80">
      <c r="A17" s="85" t="inlineStr">
        <is>
          <t>04/23/2026</t>
        </is>
      </c>
      <c r="B17" s="85" t="inlineStr">
        <is>
          <t>2 - Building - 712 Northfield Dr - Site - 27.5yr</t>
        </is>
      </c>
      <c r="C17" s="86" t="n">
        <v>55647.6</v>
      </c>
      <c r="AB17" s="87" t="n">
        <v>55647.6</v>
      </c>
    </row>
    <row r="18" ht="15" customHeight="1" s="80">
      <c r="A18" s="85" t="inlineStr">
        <is>
          <t>04/23/2026</t>
        </is>
      </c>
      <c r="B18" s="85" t="inlineStr">
        <is>
          <t>2 - Building - 712 Northfield Dr - Bldg 1 - 15yr</t>
        </is>
      </c>
      <c r="D18" s="86" t="n">
        <v>7916.21</v>
      </c>
      <c r="AB18" s="87" t="n">
        <v>7916.21</v>
      </c>
    </row>
    <row r="19" ht="15" customHeight="1" s="80">
      <c r="A19" s="85" t="inlineStr">
        <is>
          <t>04/23/2026</t>
        </is>
      </c>
      <c r="B19" s="85" t="inlineStr">
        <is>
          <t>2 - Building - 712 Northfield Dr - Bldg 1 - 27.5yr</t>
        </is>
      </c>
      <c r="D19" s="86" t="n">
        <v>37354.76</v>
      </c>
      <c r="AB19" s="87" t="n">
        <v>37354.76</v>
      </c>
    </row>
    <row r="20" ht="15" customHeight="1" s="80">
      <c r="A20" s="85" t="inlineStr">
        <is>
          <t>04/23/2026</t>
        </is>
      </c>
      <c r="B20" s="85" t="inlineStr">
        <is>
          <t>2 - Building - 712 Northfield Dr - Bldg 2 - 15yr</t>
        </is>
      </c>
      <c r="E20" s="86" t="n">
        <v>6299.49</v>
      </c>
      <c r="AB20" s="87" t="n">
        <v>6299.49</v>
      </c>
    </row>
    <row r="21" ht="15" customHeight="1" s="80">
      <c r="A21" s="85" t="inlineStr">
        <is>
          <t>04/23/2026</t>
        </is>
      </c>
      <c r="B21" s="85" t="inlineStr">
        <is>
          <t>2 - Building - 712 Northfield Dr - Bldg 2 - 27.5yr</t>
        </is>
      </c>
      <c r="E21" s="86" t="n">
        <v>28285.6</v>
      </c>
      <c r="AB21" s="87" t="n">
        <v>28285.6</v>
      </c>
    </row>
    <row r="22" ht="15" customHeight="1" s="80">
      <c r="A22" s="85" t="inlineStr">
        <is>
          <t>04/23/2026</t>
        </is>
      </c>
      <c r="B22" s="85" t="inlineStr">
        <is>
          <t>2 - Building - 712 Northfield Dr - Bldg 3 - 15yr</t>
        </is>
      </c>
      <c r="F22" s="86" t="n">
        <v>5001.64</v>
      </c>
      <c r="AB22" s="87" t="n">
        <v>5001.64</v>
      </c>
    </row>
    <row r="23" ht="15" customHeight="1" s="80">
      <c r="A23" s="85" t="inlineStr">
        <is>
          <t>04/23/2026</t>
        </is>
      </c>
      <c r="B23" s="85" t="inlineStr">
        <is>
          <t>2 - Building - 712 Northfield Dr - Bldg 3 - 27.5yr</t>
        </is>
      </c>
      <c r="F23" s="86" t="n">
        <v>22289.12</v>
      </c>
      <c r="AB23" s="87" t="n">
        <v>22289.12</v>
      </c>
    </row>
    <row r="24" ht="15" customHeight="1" s="80">
      <c r="A24" s="85" t="inlineStr">
        <is>
          <t>04/23/2026</t>
        </is>
      </c>
      <c r="B24" s="85" t="inlineStr">
        <is>
          <t>2 - Building - 712 Northfield Dr - Bldg 4 - 15yr</t>
        </is>
      </c>
      <c r="G24" s="86" t="n">
        <v>9996.83</v>
      </c>
      <c r="AB24" s="87" t="n">
        <v>9996.83</v>
      </c>
    </row>
    <row r="25" ht="15" customHeight="1" s="80">
      <c r="A25" s="85" t="inlineStr">
        <is>
          <t>04/23/2026</t>
        </is>
      </c>
      <c r="B25" s="85" t="inlineStr">
        <is>
          <t>2 - Building - 712 Northfield Dr - Bldg 4 - 27.5yr</t>
        </is>
      </c>
      <c r="G25" s="86" t="n">
        <v>43522.08</v>
      </c>
      <c r="AB25" s="87" t="n">
        <v>43522.08</v>
      </c>
    </row>
    <row r="26" ht="15" customHeight="1" s="80">
      <c r="A26" s="85" t="inlineStr">
        <is>
          <t>04/23/2026</t>
        </is>
      </c>
      <c r="B26" s="85" t="inlineStr">
        <is>
          <t>2 - Building - 712 Northfield Dr - Bldg 5 - 15yr</t>
        </is>
      </c>
      <c r="H26" s="86" t="n">
        <v>5001.64</v>
      </c>
      <c r="AB26" s="87" t="n">
        <v>5001.64</v>
      </c>
    </row>
    <row r="27" ht="15" customHeight="1" s="80">
      <c r="A27" s="85" t="inlineStr">
        <is>
          <t>04/23/2026</t>
        </is>
      </c>
      <c r="B27" s="85" t="inlineStr">
        <is>
          <t>2 - Building - 712 Northfield Dr - Bldg 5 - 27.5yr</t>
        </is>
      </c>
      <c r="H27" s="86" t="n">
        <v>22289.12</v>
      </c>
      <c r="AB27" s="87" t="n">
        <v>22289.12</v>
      </c>
    </row>
    <row r="28" ht="15" customHeight="1" s="80">
      <c r="A28" s="85" t="inlineStr">
        <is>
          <t>04/23/2026</t>
        </is>
      </c>
      <c r="B28" s="85" t="inlineStr">
        <is>
          <t>2 - Building - 712 Northfield Dr - Bldg 6 - 15yr</t>
        </is>
      </c>
      <c r="I28" s="86" t="n">
        <v>9996.83</v>
      </c>
      <c r="AB28" s="87" t="n">
        <v>9996.83</v>
      </c>
    </row>
    <row r="29" ht="15" customHeight="1" s="80">
      <c r="A29" s="85" t="inlineStr">
        <is>
          <t>04/23/2026</t>
        </is>
      </c>
      <c r="B29" s="85" t="inlineStr">
        <is>
          <t>2 - Building - 712 Northfield Dr - Bldg 6 - 27.5yr</t>
        </is>
      </c>
      <c r="I29" s="86" t="n">
        <v>43522.08</v>
      </c>
      <c r="AB29" s="87" t="n">
        <v>43522.08</v>
      </c>
    </row>
    <row r="30" ht="15" customHeight="1" s="80">
      <c r="A30" s="85" t="inlineStr">
        <is>
          <t>04/23/2026</t>
        </is>
      </c>
      <c r="B30" s="85" t="inlineStr">
        <is>
          <t>2 - Building - 712 Northfield Dr - Bldg 7 - 15yr</t>
        </is>
      </c>
      <c r="J30" s="86" t="n">
        <v>6299.49</v>
      </c>
      <c r="AB30" s="87" t="n">
        <v>6299.49</v>
      </c>
    </row>
    <row r="31" ht="15" customHeight="1" s="80">
      <c r="A31" s="85" t="inlineStr">
        <is>
          <t>04/23/2026</t>
        </is>
      </c>
      <c r="B31" s="85" t="inlineStr">
        <is>
          <t>2 - Building - 712 Northfield Dr - Bldg 7 - 27.5yr</t>
        </is>
      </c>
      <c r="J31" s="86" t="n">
        <v>28285.6</v>
      </c>
      <c r="AB31" s="87" t="n">
        <v>28285.6</v>
      </c>
    </row>
    <row r="32" ht="15" customHeight="1" s="80">
      <c r="A32" s="85" t="inlineStr">
        <is>
          <t>04/23/2026</t>
        </is>
      </c>
      <c r="B32" s="85" t="inlineStr">
        <is>
          <t>2 - Building - 712 Northfield Dr - Bldg 8 - 15yr</t>
        </is>
      </c>
      <c r="K32" s="86" t="n">
        <v>8679.190000000001</v>
      </c>
      <c r="AB32" s="87" t="n">
        <v>8679.190000000001</v>
      </c>
    </row>
    <row r="33" ht="15" customHeight="1" s="80">
      <c r="A33" s="85" t="inlineStr">
        <is>
          <t>04/23/2026</t>
        </is>
      </c>
      <c r="B33" s="85" t="inlineStr">
        <is>
          <t>2 - Building - 712 Northfield Dr - Bldg 8 - 27.5yr</t>
        </is>
      </c>
      <c r="K33" s="86" t="n">
        <v>37771.06</v>
      </c>
      <c r="AB33" s="87" t="n">
        <v>37771.06</v>
      </c>
    </row>
    <row r="34" ht="15" customHeight="1" s="80">
      <c r="A34" s="85" t="inlineStr">
        <is>
          <t>04/23/2026</t>
        </is>
      </c>
      <c r="B34" s="85" t="inlineStr">
        <is>
          <t>2 - Building - 712 Northfield Dr - Bldg 9 - 15yr</t>
        </is>
      </c>
      <c r="L34" s="86" t="n">
        <v>8603.17</v>
      </c>
      <c r="AB34" s="87" t="n">
        <v>8603.17</v>
      </c>
    </row>
    <row r="35" ht="15" customHeight="1" s="80">
      <c r="A35" s="85" t="inlineStr">
        <is>
          <t>04/23/2026</t>
        </is>
      </c>
      <c r="B35" s="85" t="inlineStr">
        <is>
          <t>2 - Building - 712 Northfield Dr - Bldg 9 - 27.5yr</t>
        </is>
      </c>
      <c r="L35" s="86" t="n">
        <v>37718.44</v>
      </c>
      <c r="AB35" s="87" t="n">
        <v>37718.44</v>
      </c>
    </row>
    <row r="36" ht="15" customHeight="1" s="80">
      <c r="A36" s="85" t="inlineStr">
        <is>
          <t>04/23/2026</t>
        </is>
      </c>
      <c r="B36" s="85" t="inlineStr">
        <is>
          <t>2 - Building - 712 Northfield Dr - Bldg 10 - 15yr</t>
        </is>
      </c>
      <c r="M36" s="86" t="n">
        <v>5001.64</v>
      </c>
      <c r="AB36" s="87" t="n">
        <v>5001.64</v>
      </c>
    </row>
    <row r="37" ht="15" customHeight="1" s="80">
      <c r="A37" s="85" t="inlineStr">
        <is>
          <t>04/23/2026</t>
        </is>
      </c>
      <c r="B37" s="85" t="inlineStr">
        <is>
          <t>2 - Building - 712 Northfield Dr - Bldg 10 - 27.5yr</t>
        </is>
      </c>
      <c r="M37" s="86" t="n">
        <v>22289.12</v>
      </c>
      <c r="AB37" s="87" t="n">
        <v>22289.12</v>
      </c>
    </row>
    <row r="38" ht="15" customHeight="1" s="80">
      <c r="A38" s="85" t="inlineStr">
        <is>
          <t>04/23/2026</t>
        </is>
      </c>
      <c r="B38" s="85" t="inlineStr">
        <is>
          <t>2 - Building - 712 Northfield Dr - Bldg 11 - 15yr</t>
        </is>
      </c>
      <c r="N38" s="86" t="n">
        <v>11223.57</v>
      </c>
      <c r="AB38" s="87" t="n">
        <v>11223.57</v>
      </c>
    </row>
    <row r="39" ht="15" customHeight="1" s="80">
      <c r="A39" s="85" t="inlineStr">
        <is>
          <t>04/23/2026</t>
        </is>
      </c>
      <c r="B39" s="85" t="inlineStr">
        <is>
          <t>2 - Building - 712 Northfield Dr - Bldg 11 - 27.5yr</t>
        </is>
      </c>
      <c r="N39" s="86" t="n">
        <v>48996.16</v>
      </c>
      <c r="AB39" s="87" t="n">
        <v>48996.16</v>
      </c>
    </row>
    <row r="40" ht="15" customHeight="1" s="80">
      <c r="A40" s="85" t="inlineStr">
        <is>
          <t>04/23/2026</t>
        </is>
      </c>
      <c r="B40" s="85" t="inlineStr">
        <is>
          <t>2 - Building - 712 Northfield Dr - Bldg 12 - 15yr</t>
        </is>
      </c>
      <c r="O40" s="86" t="n">
        <v>7464.18</v>
      </c>
      <c r="AB40" s="87" t="n">
        <v>7464.18</v>
      </c>
    </row>
    <row r="41" ht="15" customHeight="1" s="80">
      <c r="A41" s="85" t="inlineStr">
        <is>
          <t>04/23/2026</t>
        </is>
      </c>
      <c r="B41" s="85" t="inlineStr">
        <is>
          <t>2 - Building - 712 Northfield Dr - Bldg 12 - 27.5yr</t>
        </is>
      </c>
      <c r="O41" s="86" t="n">
        <v>32525.68</v>
      </c>
      <c r="AB41" s="87" t="n">
        <v>32525.68</v>
      </c>
    </row>
    <row r="42" ht="15" customHeight="1" s="80">
      <c r="A42" s="85" t="inlineStr">
        <is>
          <t>04/23/2026</t>
        </is>
      </c>
      <c r="B42" s="85" t="inlineStr">
        <is>
          <t>2 - Building - 712 Northfield Dr - Bldg 13 - 15yr</t>
        </is>
      </c>
      <c r="P42" s="86" t="n">
        <v>7464.18</v>
      </c>
      <c r="AB42" s="87" t="n">
        <v>7464.18</v>
      </c>
    </row>
    <row r="43" ht="15" customHeight="1" s="80">
      <c r="A43" s="85" t="inlineStr">
        <is>
          <t>04/23/2026</t>
        </is>
      </c>
      <c r="B43" s="85" t="inlineStr">
        <is>
          <t>2 - Building - 712 Northfield Dr - Bldg 13 - 27.5yr</t>
        </is>
      </c>
      <c r="P43" s="86" t="n">
        <v>32525.68</v>
      </c>
      <c r="AB43" s="87" t="n">
        <v>32525.68</v>
      </c>
    </row>
    <row r="44" ht="15" customHeight="1" s="80">
      <c r="A44" s="85" t="inlineStr">
        <is>
          <t>04/23/2026</t>
        </is>
      </c>
      <c r="B44" s="85" t="inlineStr">
        <is>
          <t>2 - Building - 712 Northfield Dr - Bldg 14 - 15yr</t>
        </is>
      </c>
      <c r="Q44" s="86" t="n">
        <v>7464.18</v>
      </c>
      <c r="AB44" s="87" t="n">
        <v>7464.18</v>
      </c>
    </row>
    <row r="45" ht="15" customHeight="1" s="80">
      <c r="A45" s="85" t="inlineStr">
        <is>
          <t>04/23/2026</t>
        </is>
      </c>
      <c r="B45" s="85" t="inlineStr">
        <is>
          <t>2 - Building - 712 Northfield Dr - Bldg 14 - 27.5yr</t>
        </is>
      </c>
      <c r="Q45" s="86" t="n">
        <v>32525.68</v>
      </c>
      <c r="AB45" s="87" t="n">
        <v>32525.68</v>
      </c>
    </row>
    <row r="46" ht="15" customHeight="1" s="80">
      <c r="A46" s="85" t="inlineStr">
        <is>
          <t>04/23/2026</t>
        </is>
      </c>
      <c r="B46" s="85" t="inlineStr">
        <is>
          <t>2 - Building - 712 Northfield Dr - Bldg 15 - 15yr</t>
        </is>
      </c>
      <c r="R46" s="86" t="n">
        <v>11223.57</v>
      </c>
      <c r="AB46" s="87" t="n">
        <v>11223.57</v>
      </c>
    </row>
    <row r="47" ht="15" customHeight="1" s="80">
      <c r="A47" s="85" t="inlineStr">
        <is>
          <t>04/23/2026</t>
        </is>
      </c>
      <c r="B47" s="85" t="inlineStr">
        <is>
          <t>2 - Building - 712 Northfield Dr - Bldg 15 - 27.5yr</t>
        </is>
      </c>
      <c r="R47" s="86" t="n">
        <v>48996.16</v>
      </c>
      <c r="AB47" s="87" t="n">
        <v>48996.16</v>
      </c>
    </row>
    <row r="48" ht="15" customHeight="1" s="80">
      <c r="A48" s="85" t="inlineStr">
        <is>
          <t>04/23/2026</t>
        </is>
      </c>
      <c r="B48" s="85" t="inlineStr">
        <is>
          <t>2 - Building - 712 Northfield Dr - Bldg 16 - 15yr</t>
        </is>
      </c>
      <c r="S48" s="86" t="n">
        <v>5001.64</v>
      </c>
      <c r="AB48" s="87" t="n">
        <v>5001.64</v>
      </c>
    </row>
    <row r="49" ht="15" customHeight="1" s="80">
      <c r="A49" s="85" t="inlineStr">
        <is>
          <t>04/23/2026</t>
        </is>
      </c>
      <c r="B49" s="85" t="inlineStr">
        <is>
          <t>2 - Building - 712 Northfield Dr - Bldg 16 - 27.5yr</t>
        </is>
      </c>
      <c r="S49" s="86" t="n">
        <v>22289.12</v>
      </c>
      <c r="AB49" s="87" t="n">
        <v>22289.12</v>
      </c>
    </row>
    <row r="50" ht="15" customHeight="1" s="80">
      <c r="A50" s="85" t="inlineStr">
        <is>
          <t>04/23/2026</t>
        </is>
      </c>
      <c r="B50" s="85" t="inlineStr">
        <is>
          <t>2 - Building - 712 Northfield Dr - Bldg 17 - 15yr</t>
        </is>
      </c>
      <c r="T50" s="86" t="n">
        <v>3763.31</v>
      </c>
      <c r="AB50" s="87" t="n">
        <v>3763.31</v>
      </c>
    </row>
    <row r="51" ht="15" customHeight="1" s="80">
      <c r="A51" s="85" t="inlineStr">
        <is>
          <t>04/23/2026</t>
        </is>
      </c>
      <c r="B51" s="85" t="inlineStr">
        <is>
          <t>2 - Building - 712 Northfield Dr - Bldg 17 - 27.5yr</t>
        </is>
      </c>
      <c r="T51" s="86" t="n">
        <v>16857.55</v>
      </c>
      <c r="AB51" s="87" t="n">
        <v>16857.55</v>
      </c>
    </row>
    <row r="52" ht="15" customHeight="1" s="80">
      <c r="A52" s="85" t="inlineStr">
        <is>
          <t>04/23/2026</t>
        </is>
      </c>
      <c r="B52" s="85" t="inlineStr">
        <is>
          <t>2 - Building - 712 Northfield Dr - Bldg 18 - 15yr</t>
        </is>
      </c>
      <c r="U52" s="86" t="n">
        <v>3763.31</v>
      </c>
      <c r="AB52" s="87" t="n">
        <v>3763.31</v>
      </c>
    </row>
    <row r="53" ht="15" customHeight="1" s="80">
      <c r="A53" s="85" t="inlineStr">
        <is>
          <t>04/23/2026</t>
        </is>
      </c>
      <c r="B53" s="85" t="inlineStr">
        <is>
          <t>2 - Building - 712 Northfield Dr - Bldg 18 - 27.5yr</t>
        </is>
      </c>
      <c r="U53" s="86" t="n">
        <v>16857.55</v>
      </c>
      <c r="AB53" s="87" t="n">
        <v>16857.55</v>
      </c>
    </row>
    <row r="54" ht="15" customHeight="1" s="80">
      <c r="A54" s="85" t="inlineStr">
        <is>
          <t>04/23/2026</t>
        </is>
      </c>
      <c r="B54" s="85" t="inlineStr">
        <is>
          <t>2 - Building - 712 Northfield Dr - Bldg 19 - 15yr</t>
        </is>
      </c>
      <c r="V54" s="86" t="n">
        <v>6184.29</v>
      </c>
      <c r="AB54" s="87" t="n">
        <v>6184.29</v>
      </c>
    </row>
    <row r="55" ht="15" customHeight="1" s="80">
      <c r="A55" s="85" t="inlineStr">
        <is>
          <t>04/23/2026</t>
        </is>
      </c>
      <c r="B55" s="85" t="inlineStr">
        <is>
          <t>2 - Building - 712 Northfield Dr - Bldg 19 - 27.5yr</t>
        </is>
      </c>
      <c r="V55" s="86" t="n">
        <v>28027.16</v>
      </c>
      <c r="AB55" s="87" t="n">
        <v>28027.16</v>
      </c>
    </row>
    <row r="56" ht="15" customHeight="1" s="80">
      <c r="A56" s="85" t="inlineStr">
        <is>
          <t>04/23/2026</t>
        </is>
      </c>
      <c r="B56" s="85" t="inlineStr">
        <is>
          <t>2 - Building - 712 Northfield Dr - Bldg 20 - 15yr</t>
        </is>
      </c>
      <c r="W56" s="86" t="n">
        <v>8473.25</v>
      </c>
      <c r="AB56" s="87" t="n">
        <v>8473.25</v>
      </c>
    </row>
    <row r="57" ht="15" customHeight="1" s="80">
      <c r="A57" s="85" t="inlineStr">
        <is>
          <t>04/23/2026</t>
        </is>
      </c>
      <c r="B57" s="85" t="inlineStr">
        <is>
          <t>2 - Building - 712 Northfield Dr - Bldg 20 - 27.5yr</t>
        </is>
      </c>
      <c r="W57" s="86" t="n">
        <v>37322.1</v>
      </c>
      <c r="AB57" s="87" t="n">
        <v>37322.1</v>
      </c>
    </row>
    <row r="58" ht="15" customHeight="1" s="80">
      <c r="A58" s="85" t="inlineStr">
        <is>
          <t>04/23/2026</t>
        </is>
      </c>
      <c r="B58" s="85" t="inlineStr">
        <is>
          <t>2 - Building - 712 Northfield Dr - Bldg 21 - 15yr</t>
        </is>
      </c>
      <c r="X58" s="86" t="n">
        <v>5001.64</v>
      </c>
      <c r="AB58" s="87" t="n">
        <v>5001.64</v>
      </c>
    </row>
    <row r="59" ht="15" customHeight="1" s="80">
      <c r="A59" s="85" t="inlineStr">
        <is>
          <t>04/23/2026</t>
        </is>
      </c>
      <c r="B59" s="85" t="inlineStr">
        <is>
          <t>2 - Building - 712 Northfield Dr - Bldg 21 - 27.5yr</t>
        </is>
      </c>
      <c r="X59" s="86" t="n">
        <v>22289.12</v>
      </c>
      <c r="AB59" s="87" t="n">
        <v>22289.12</v>
      </c>
    </row>
    <row r="60" ht="15" customHeight="1" s="80">
      <c r="A60" s="85" t="inlineStr">
        <is>
          <t>04/23/2026</t>
        </is>
      </c>
      <c r="B60" s="85" t="inlineStr">
        <is>
          <t>2 - Building - 712 Northfield Dr - Bldg 22 - 15yr</t>
        </is>
      </c>
      <c r="Y60" s="86" t="n">
        <v>6184.29</v>
      </c>
      <c r="AB60" s="87" t="n">
        <v>6184.29</v>
      </c>
    </row>
    <row r="61" ht="15" customHeight="1" s="80">
      <c r="A61" s="85" t="inlineStr">
        <is>
          <t>04/23/2026</t>
        </is>
      </c>
      <c r="B61" s="85" t="inlineStr">
        <is>
          <t>2 - Building - 712 Northfield Dr - Bldg 22 - 27.5yr</t>
        </is>
      </c>
      <c r="Y61" s="86" t="n">
        <v>28027.16</v>
      </c>
      <c r="AB61" s="87" t="n">
        <v>28027.16</v>
      </c>
    </row>
    <row r="62" ht="15" customHeight="1" s="80">
      <c r="A62" s="85" t="inlineStr">
        <is>
          <t>04/23/2026</t>
        </is>
      </c>
      <c r="B62" s="85" t="inlineStr">
        <is>
          <t>2 - Building - 712 Northfield Dr - Shed B - 15yr</t>
        </is>
      </c>
      <c r="Z62" s="86" t="n">
        <v>21.89</v>
      </c>
      <c r="AB62" s="87" t="n">
        <v>21.89</v>
      </c>
    </row>
    <row r="63" ht="15" customHeight="1" s="80">
      <c r="A63" s="85" t="inlineStr">
        <is>
          <t>04/23/2026</t>
        </is>
      </c>
      <c r="B63" s="85" t="inlineStr">
        <is>
          <t>2 - Building - 712 Northfield Dr - Shed B - 27.5yr</t>
        </is>
      </c>
      <c r="Z63" s="86" t="n">
        <v>1060.34</v>
      </c>
      <c r="AB63" s="87" t="n">
        <v>1060.34</v>
      </c>
    </row>
    <row r="64" ht="15" customHeight="1" s="80">
      <c r="A64" s="85" t="inlineStr">
        <is>
          <t>04/23/2026</t>
        </is>
      </c>
      <c r="B64" s="85" t="inlineStr">
        <is>
          <t>2 - Building - 712 Northfield Dr - Laundry - 15yr</t>
        </is>
      </c>
      <c r="AA64" s="86" t="n">
        <v>2272.18</v>
      </c>
      <c r="AB64" s="87" t="n">
        <v>2272.18</v>
      </c>
    </row>
    <row r="65" ht="15" customHeight="1" s="80">
      <c r="A65" s="85" t="inlineStr">
        <is>
          <t>04/23/2026</t>
        </is>
      </c>
      <c r="B65" s="85" t="inlineStr">
        <is>
          <t>2 - Building - 712 Northfield Dr - Laundry - 27.5yr</t>
        </is>
      </c>
      <c r="AA65" s="86" t="n">
        <v>1308.82</v>
      </c>
      <c r="AB65" s="87" t="n">
        <v>1308.82</v>
      </c>
    </row>
    <row r="66" ht="15" customHeight="1" s="80">
      <c r="A66" s="85" t="inlineStr">
        <is>
          <t>04/23/2026</t>
        </is>
      </c>
      <c r="B66" s="85" t="inlineStr">
        <is>
          <t>3 - Land Improvements - 712 Northfield Dr - Site - 7yr</t>
        </is>
      </c>
      <c r="C66" s="86" t="n">
        <v>111.85</v>
      </c>
      <c r="AB66" s="87" t="n">
        <v>111.85</v>
      </c>
    </row>
    <row r="67" ht="15" customHeight="1" s="80">
      <c r="A67" s="85" t="inlineStr">
        <is>
          <t>04/23/2026</t>
        </is>
      </c>
      <c r="B67" s="85" t="inlineStr">
        <is>
          <t>3 - Land Improvements - 712 Northfield Dr - Site - 27.5yr</t>
        </is>
      </c>
      <c r="C67" s="86" t="n">
        <v>7180.32</v>
      </c>
      <c r="AB67" s="87" t="n">
        <v>7180.32</v>
      </c>
    </row>
    <row r="68" ht="15" customHeight="1" s="80">
      <c r="A68" s="85" t="inlineStr">
        <is>
          <t>04/23/2026</t>
        </is>
      </c>
      <c r="B68" s="85" t="inlineStr">
        <is>
          <t>3 - Land Improvements - 712 Northfield Dr - Bldg 1 - 15yr</t>
        </is>
      </c>
      <c r="D68" s="86" t="n">
        <v>1021.44</v>
      </c>
      <c r="AB68" s="87" t="n">
        <v>1021.44</v>
      </c>
    </row>
    <row r="69" ht="15" customHeight="1" s="80">
      <c r="A69" s="85" t="inlineStr">
        <is>
          <t>04/23/2026</t>
        </is>
      </c>
      <c r="B69" s="85" t="inlineStr">
        <is>
          <t>3 - Land Improvements - 712 Northfield Dr - Bldg 1 - 27.5yr</t>
        </is>
      </c>
      <c r="D69" s="86" t="n">
        <v>4819.96</v>
      </c>
      <c r="AB69" s="87" t="n">
        <v>4819.96</v>
      </c>
    </row>
    <row r="70" ht="15" customHeight="1" s="80">
      <c r="A70" s="85" t="inlineStr">
        <is>
          <t>04/23/2026</t>
        </is>
      </c>
      <c r="B70" s="85" t="inlineStr">
        <is>
          <t>3 - Land Improvements - 712 Northfield Dr - Bldg 2 - 15yr</t>
        </is>
      </c>
      <c r="E70" s="86" t="n">
        <v>812.84</v>
      </c>
      <c r="AB70" s="87" t="n">
        <v>812.84</v>
      </c>
    </row>
    <row r="71" ht="15" customHeight="1" s="80">
      <c r="A71" s="85" t="inlineStr">
        <is>
          <t>04/23/2026</t>
        </is>
      </c>
      <c r="B71" s="85" t="inlineStr">
        <is>
          <t>3 - Land Improvements - 712 Northfield Dr - Bldg 2 - 27.5yr</t>
        </is>
      </c>
      <c r="E71" s="86" t="n">
        <v>3649.74</v>
      </c>
      <c r="AB71" s="87" t="n">
        <v>3649.74</v>
      </c>
    </row>
    <row r="72" ht="15" customHeight="1" s="80">
      <c r="A72" s="85" t="inlineStr">
        <is>
          <t>04/23/2026</t>
        </is>
      </c>
      <c r="B72" s="85" t="inlineStr">
        <is>
          <t>3 - Land Improvements - 712 Northfield Dr - Bldg 3 - 15yr</t>
        </is>
      </c>
      <c r="F72" s="86" t="n">
        <v>645.37</v>
      </c>
      <c r="AB72" s="87" t="n">
        <v>645.37</v>
      </c>
    </row>
    <row r="73" ht="15" customHeight="1" s="80">
      <c r="A73" s="85" t="inlineStr">
        <is>
          <t>04/23/2026</t>
        </is>
      </c>
      <c r="B73" s="85" t="inlineStr">
        <is>
          <t>3 - Land Improvements - 712 Northfield Dr - Bldg 3 - 27.5yr</t>
        </is>
      </c>
      <c r="F73" s="86" t="n">
        <v>2876.01</v>
      </c>
      <c r="AB73" s="87" t="n">
        <v>2876.01</v>
      </c>
    </row>
    <row r="74" ht="15" customHeight="1" s="80">
      <c r="A74" s="85" t="inlineStr">
        <is>
          <t>04/23/2026</t>
        </is>
      </c>
      <c r="B74" s="85" t="inlineStr">
        <is>
          <t>3 - Land Improvements - 712 Northfield Dr - Bldg 4 - 15yr</t>
        </is>
      </c>
      <c r="G74" s="86" t="n">
        <v>1289.91</v>
      </c>
      <c r="AB74" s="87" t="n">
        <v>1289.91</v>
      </c>
    </row>
    <row r="75" ht="15" customHeight="1" s="80">
      <c r="A75" s="85" t="inlineStr">
        <is>
          <t>04/23/2026</t>
        </is>
      </c>
      <c r="B75" s="85" t="inlineStr">
        <is>
          <t>3 - Land Improvements - 712 Northfield Dr - Bldg 4 - 27.5yr</t>
        </is>
      </c>
      <c r="G75" s="86" t="n">
        <v>5615.74</v>
      </c>
      <c r="AB75" s="87" t="n">
        <v>5615.74</v>
      </c>
    </row>
    <row r="76" ht="15" customHeight="1" s="80">
      <c r="A76" s="85" t="inlineStr">
        <is>
          <t>04/23/2026</t>
        </is>
      </c>
      <c r="B76" s="85" t="inlineStr">
        <is>
          <t>3 - Land Improvements - 712 Northfield Dr - Bldg 5 - 15yr</t>
        </is>
      </c>
      <c r="H76" s="86" t="n">
        <v>645.37</v>
      </c>
      <c r="AB76" s="87" t="n">
        <v>645.37</v>
      </c>
    </row>
    <row r="77" ht="15" customHeight="1" s="80">
      <c r="A77" s="85" t="inlineStr">
        <is>
          <t>04/23/2026</t>
        </is>
      </c>
      <c r="B77" s="85" t="inlineStr">
        <is>
          <t>3 - Land Improvements - 712 Northfield Dr - Bldg 5 - 27.5yr</t>
        </is>
      </c>
      <c r="H77" s="86" t="n">
        <v>2876.01</v>
      </c>
      <c r="AB77" s="87" t="n">
        <v>2876.01</v>
      </c>
    </row>
    <row r="78" ht="15" customHeight="1" s="80">
      <c r="A78" s="85" t="inlineStr">
        <is>
          <t>04/23/2026</t>
        </is>
      </c>
      <c r="B78" s="85" t="inlineStr">
        <is>
          <t>3 - Land Improvements - 712 Northfield Dr - Bldg 6 - 15yr</t>
        </is>
      </c>
      <c r="I78" s="86" t="n">
        <v>1289.91</v>
      </c>
      <c r="AB78" s="87" t="n">
        <v>1289.91</v>
      </c>
    </row>
    <row r="79" ht="15" customHeight="1" s="80">
      <c r="A79" s="85" t="inlineStr">
        <is>
          <t>04/23/2026</t>
        </is>
      </c>
      <c r="B79" s="85" t="inlineStr">
        <is>
          <t>3 - Land Improvements - 712 Northfield Dr - Bldg 6 - 27.5yr</t>
        </is>
      </c>
      <c r="I79" s="86" t="n">
        <v>5615.74</v>
      </c>
      <c r="AB79" s="87" t="n">
        <v>5615.74</v>
      </c>
    </row>
    <row r="80" ht="15" customHeight="1" s="80">
      <c r="A80" s="85" t="inlineStr">
        <is>
          <t>04/23/2026</t>
        </is>
      </c>
      <c r="B80" s="85" t="inlineStr">
        <is>
          <t>3 - Land Improvements - 712 Northfield Dr - Bldg 7 - 15yr</t>
        </is>
      </c>
      <c r="J80" s="86" t="n">
        <v>812.84</v>
      </c>
      <c r="AB80" s="87" t="n">
        <v>812.84</v>
      </c>
    </row>
    <row r="81" ht="15" customHeight="1" s="80">
      <c r="A81" s="85" t="inlineStr">
        <is>
          <t>04/23/2026</t>
        </is>
      </c>
      <c r="B81" s="85" t="inlineStr">
        <is>
          <t>3 - Land Improvements - 712 Northfield Dr - Bldg 7 - 27.5yr</t>
        </is>
      </c>
      <c r="J81" s="86" t="n">
        <v>3649.74</v>
      </c>
      <c r="AB81" s="87" t="n">
        <v>3649.74</v>
      </c>
    </row>
    <row r="82" ht="15" customHeight="1" s="80">
      <c r="A82" s="85" t="inlineStr">
        <is>
          <t>04/23/2026</t>
        </is>
      </c>
      <c r="B82" s="85" t="inlineStr">
        <is>
          <t>3 - Land Improvements - 712 Northfield Dr - Bldg 8 - 15yr</t>
        </is>
      </c>
      <c r="K82" s="86" t="n">
        <v>1119.89</v>
      </c>
      <c r="AB82" s="87" t="n">
        <v>1119.89</v>
      </c>
    </row>
    <row r="83" ht="15" customHeight="1" s="80">
      <c r="A83" s="85" t="inlineStr">
        <is>
          <t>04/23/2026</t>
        </is>
      </c>
      <c r="B83" s="85" t="inlineStr">
        <is>
          <t>3 - Land Improvements - 712 Northfield Dr - Bldg 8 - 27.5yr</t>
        </is>
      </c>
      <c r="K83" s="86" t="n">
        <v>4873.68</v>
      </c>
      <c r="AB83" s="87" t="n">
        <v>4873.68</v>
      </c>
    </row>
    <row r="84" ht="15" customHeight="1" s="80">
      <c r="A84" s="85" t="inlineStr">
        <is>
          <t>04/23/2026</t>
        </is>
      </c>
      <c r="B84" s="85" t="inlineStr">
        <is>
          <t>3 - Land Improvements - 712 Northfield Dr - Bldg 9 - 15yr</t>
        </is>
      </c>
      <c r="L84" s="86" t="n">
        <v>1110.08</v>
      </c>
      <c r="AB84" s="87" t="n">
        <v>1110.08</v>
      </c>
    </row>
    <row r="85" ht="15" customHeight="1" s="80">
      <c r="A85" s="85" t="inlineStr">
        <is>
          <t>04/23/2026</t>
        </is>
      </c>
      <c r="B85" s="85" t="inlineStr">
        <is>
          <t>3 - Land Improvements - 712 Northfield Dr - Bldg 9 - 27.5yr</t>
        </is>
      </c>
      <c r="L85" s="86" t="n">
        <v>4866.89</v>
      </c>
      <c r="AB85" s="87" t="n">
        <v>4866.89</v>
      </c>
    </row>
    <row r="86" ht="15" customHeight="1" s="80">
      <c r="A86" s="85" t="inlineStr">
        <is>
          <t>04/23/2026</t>
        </is>
      </c>
      <c r="B86" s="85" t="inlineStr">
        <is>
          <t>3 - Land Improvements - 712 Northfield Dr - Bldg 10 - 15yr</t>
        </is>
      </c>
      <c r="M86" s="86" t="n">
        <v>645.37</v>
      </c>
      <c r="AB86" s="87" t="n">
        <v>645.37</v>
      </c>
    </row>
    <row r="87" ht="15" customHeight="1" s="80">
      <c r="A87" s="85" t="inlineStr">
        <is>
          <t>04/23/2026</t>
        </is>
      </c>
      <c r="B87" s="85" t="inlineStr">
        <is>
          <t>3 - Land Improvements - 712 Northfield Dr - Bldg 10 - 27.5yr</t>
        </is>
      </c>
      <c r="M87" s="86" t="n">
        <v>2876.01</v>
      </c>
      <c r="AB87" s="87" t="n">
        <v>2876.01</v>
      </c>
    </row>
    <row r="88" ht="15" customHeight="1" s="80">
      <c r="A88" s="85" t="inlineStr">
        <is>
          <t>04/23/2026</t>
        </is>
      </c>
      <c r="B88" s="85" t="inlineStr">
        <is>
          <t>3 - Land Improvements - 712 Northfield Dr - Bldg 11 - 15yr</t>
        </is>
      </c>
      <c r="N88" s="86" t="n">
        <v>1448.2</v>
      </c>
      <c r="AB88" s="87" t="n">
        <v>1448.2</v>
      </c>
    </row>
    <row r="89" ht="15" customHeight="1" s="80">
      <c r="A89" s="85" t="inlineStr">
        <is>
          <t>04/23/2026</t>
        </is>
      </c>
      <c r="B89" s="85" t="inlineStr">
        <is>
          <t>3 - Land Improvements - 712 Northfield Dr - Bldg 11 - 27.5yr</t>
        </is>
      </c>
      <c r="N89" s="86" t="n">
        <v>6322.06</v>
      </c>
      <c r="AB89" s="87" t="n">
        <v>6322.06</v>
      </c>
    </row>
    <row r="90" ht="15" customHeight="1" s="80">
      <c r="A90" s="85" t="inlineStr">
        <is>
          <t>04/23/2026</t>
        </is>
      </c>
      <c r="B90" s="85" t="inlineStr">
        <is>
          <t>3 - Land Improvements - 712 Northfield Dr - Bldg 12 - 15yr</t>
        </is>
      </c>
      <c r="O90" s="86" t="n">
        <v>963.12</v>
      </c>
      <c r="AB90" s="87" t="n">
        <v>963.12</v>
      </c>
    </row>
    <row r="91" ht="15" customHeight="1" s="80">
      <c r="A91" s="85" t="inlineStr">
        <is>
          <t>04/23/2026</t>
        </is>
      </c>
      <c r="B91" s="85" t="inlineStr">
        <is>
          <t>3 - Land Improvements - 712 Northfield Dr - Bldg 12 - 27.5yr</t>
        </is>
      </c>
      <c r="O91" s="86" t="n">
        <v>4196.85</v>
      </c>
      <c r="AB91" s="87" t="n">
        <v>4196.85</v>
      </c>
    </row>
    <row r="92" ht="15" customHeight="1" s="80">
      <c r="A92" s="85" t="inlineStr">
        <is>
          <t>04/23/2026</t>
        </is>
      </c>
      <c r="B92" s="85" t="inlineStr">
        <is>
          <t>3 - Land Improvements - 712 Northfield Dr - Bldg 13 - 15yr</t>
        </is>
      </c>
      <c r="P92" s="86" t="n">
        <v>963.12</v>
      </c>
      <c r="AB92" s="87" t="n">
        <v>963.12</v>
      </c>
    </row>
    <row r="93" ht="15" customHeight="1" s="80">
      <c r="A93" s="85" t="inlineStr">
        <is>
          <t>04/23/2026</t>
        </is>
      </c>
      <c r="B93" s="85" t="inlineStr">
        <is>
          <t>3 - Land Improvements - 712 Northfield Dr - Bldg 13 - 27.5yr</t>
        </is>
      </c>
      <c r="P93" s="86" t="n">
        <v>4196.85</v>
      </c>
      <c r="AB93" s="87" t="n">
        <v>4196.85</v>
      </c>
    </row>
    <row r="94" ht="15" customHeight="1" s="80">
      <c r="A94" s="85" t="inlineStr">
        <is>
          <t>04/23/2026</t>
        </is>
      </c>
      <c r="B94" s="85" t="inlineStr">
        <is>
          <t>3 - Land Improvements - 712 Northfield Dr - Bldg 14 - 15yr</t>
        </is>
      </c>
      <c r="Q94" s="86" t="n">
        <v>963.12</v>
      </c>
      <c r="AB94" s="87" t="n">
        <v>963.12</v>
      </c>
    </row>
    <row r="95" ht="15" customHeight="1" s="80">
      <c r="A95" s="85" t="inlineStr">
        <is>
          <t>04/23/2026</t>
        </is>
      </c>
      <c r="B95" s="85" t="inlineStr">
        <is>
          <t>3 - Land Improvements - 712 Northfield Dr - Bldg 14 - 27.5yr</t>
        </is>
      </c>
      <c r="Q95" s="86" t="n">
        <v>4196.85</v>
      </c>
      <c r="AB95" s="87" t="n">
        <v>4196.85</v>
      </c>
    </row>
    <row r="96" ht="15" customHeight="1" s="80">
      <c r="A96" s="85" t="inlineStr">
        <is>
          <t>04/23/2026</t>
        </is>
      </c>
      <c r="B96" s="85" t="inlineStr">
        <is>
          <t>3 - Land Improvements - 712 Northfield Dr - Bldg 15 - 15yr</t>
        </is>
      </c>
      <c r="R96" s="86" t="n">
        <v>1448.2</v>
      </c>
      <c r="AB96" s="87" t="n">
        <v>1448.2</v>
      </c>
    </row>
    <row r="97" ht="15" customHeight="1" s="80">
      <c r="A97" s="85" t="inlineStr">
        <is>
          <t>04/23/2026</t>
        </is>
      </c>
      <c r="B97" s="85" t="inlineStr">
        <is>
          <t>3 - Land Improvements - 712 Northfield Dr - Bldg 15 - 27.5yr</t>
        </is>
      </c>
      <c r="R97" s="86" t="n">
        <v>6322.06</v>
      </c>
      <c r="AB97" s="87" t="n">
        <v>6322.06</v>
      </c>
    </row>
    <row r="98" ht="15" customHeight="1" s="80">
      <c r="A98" s="85" t="inlineStr">
        <is>
          <t>04/23/2026</t>
        </is>
      </c>
      <c r="B98" s="85" t="inlineStr">
        <is>
          <t>3 - Land Improvements - 712 Northfield Dr - Bldg 16 - 15yr</t>
        </is>
      </c>
      <c r="S98" s="86" t="n">
        <v>645.37</v>
      </c>
      <c r="AB98" s="87" t="n">
        <v>645.37</v>
      </c>
    </row>
    <row r="99" ht="15" customHeight="1" s="80">
      <c r="A99" s="85" t="inlineStr">
        <is>
          <t>04/23/2026</t>
        </is>
      </c>
      <c r="B99" s="85" t="inlineStr">
        <is>
          <t>3 - Land Improvements - 712 Northfield Dr - Bldg 16 - 27.5yr</t>
        </is>
      </c>
      <c r="S99" s="86" t="n">
        <v>2876.01</v>
      </c>
      <c r="AB99" s="87" t="n">
        <v>2876.01</v>
      </c>
    </row>
    <row r="100" ht="15" customHeight="1" s="80">
      <c r="A100" s="85" t="inlineStr">
        <is>
          <t>04/23/2026</t>
        </is>
      </c>
      <c r="B100" s="85" t="inlineStr">
        <is>
          <t>3 - Land Improvements - 712 Northfield Dr - Bldg 17 - 15yr</t>
        </is>
      </c>
      <c r="T100" s="86" t="n">
        <v>485.59</v>
      </c>
      <c r="AB100" s="87" t="n">
        <v>485.59</v>
      </c>
    </row>
    <row r="101" ht="15" customHeight="1" s="80">
      <c r="A101" s="85" t="inlineStr">
        <is>
          <t>04/23/2026</t>
        </is>
      </c>
      <c r="B101" s="85" t="inlineStr">
        <is>
          <t>3 - Land Improvements - 712 Northfield Dr - Bldg 17 - 27.5yr</t>
        </is>
      </c>
      <c r="T101" s="86" t="n">
        <v>2175.16</v>
      </c>
      <c r="AB101" s="87" t="n">
        <v>2175.16</v>
      </c>
    </row>
    <row r="102" ht="15" customHeight="1" s="80">
      <c r="A102" s="85" t="inlineStr">
        <is>
          <t>04/23/2026</t>
        </is>
      </c>
      <c r="B102" s="85" t="inlineStr">
        <is>
          <t>3 - Land Improvements - 712 Northfield Dr - Bldg 18 - 15yr</t>
        </is>
      </c>
      <c r="U102" s="86" t="n">
        <v>485.59</v>
      </c>
      <c r="AB102" s="87" t="n">
        <v>485.59</v>
      </c>
    </row>
    <row r="103" ht="15" customHeight="1" s="80">
      <c r="A103" s="85" t="inlineStr">
        <is>
          <t>04/23/2026</t>
        </is>
      </c>
      <c r="B103" s="85" t="inlineStr">
        <is>
          <t>3 - Land Improvements - 712 Northfield Dr - Bldg 18 - 27.5yr</t>
        </is>
      </c>
      <c r="U103" s="86" t="n">
        <v>2175.16</v>
      </c>
      <c r="AB103" s="87" t="n">
        <v>2175.16</v>
      </c>
    </row>
    <row r="104" ht="15" customHeight="1" s="80">
      <c r="A104" s="85" t="inlineStr">
        <is>
          <t>04/23/2026</t>
        </is>
      </c>
      <c r="B104" s="85" t="inlineStr">
        <is>
          <t>3 - Land Improvements - 712 Northfield Dr - Bldg 19 - 15yr</t>
        </is>
      </c>
      <c r="V104" s="86" t="n">
        <v>797.97</v>
      </c>
      <c r="AB104" s="87" t="n">
        <v>797.97</v>
      </c>
    </row>
    <row r="105" ht="15" customHeight="1" s="80">
      <c r="A105" s="85" t="inlineStr">
        <is>
          <t>04/23/2026</t>
        </is>
      </c>
      <c r="B105" s="85" t="inlineStr">
        <is>
          <t>3 - Land Improvements - 712 Northfield Dr - Bldg 19 - 27.5yr</t>
        </is>
      </c>
      <c r="V105" s="86" t="n">
        <v>3616.4</v>
      </c>
      <c r="AB105" s="87" t="n">
        <v>3616.4</v>
      </c>
    </row>
    <row r="106" ht="15" customHeight="1" s="80">
      <c r="A106" s="85" t="inlineStr">
        <is>
          <t>04/23/2026</t>
        </is>
      </c>
      <c r="B106" s="85" t="inlineStr">
        <is>
          <t>3 - Land Improvements - 712 Northfield Dr - Bldg 20 - 15yr</t>
        </is>
      </c>
      <c r="W106" s="86" t="n">
        <v>1093.32</v>
      </c>
      <c r="AB106" s="87" t="n">
        <v>1093.32</v>
      </c>
    </row>
    <row r="107" ht="15" customHeight="1" s="80">
      <c r="A107" s="85" t="inlineStr">
        <is>
          <t>04/23/2026</t>
        </is>
      </c>
      <c r="B107" s="85" t="inlineStr">
        <is>
          <t>3 - Land Improvements - 712 Northfield Dr - Bldg 20 - 27.5yr</t>
        </is>
      </c>
      <c r="W107" s="86" t="n">
        <v>4815.74</v>
      </c>
      <c r="AB107" s="87" t="n">
        <v>4815.74</v>
      </c>
    </row>
    <row r="108" ht="15" customHeight="1" s="80">
      <c r="A108" s="85" t="inlineStr">
        <is>
          <t>04/23/2026</t>
        </is>
      </c>
      <c r="B108" s="85" t="inlineStr">
        <is>
          <t>3 - Land Improvements - 712 Northfield Dr - Bldg 21 - 15yr</t>
        </is>
      </c>
      <c r="X108" s="86" t="n">
        <v>645.37</v>
      </c>
      <c r="AB108" s="87" t="n">
        <v>645.37</v>
      </c>
    </row>
    <row r="109" ht="15" customHeight="1" s="80">
      <c r="A109" s="85" t="inlineStr">
        <is>
          <t>04/23/2026</t>
        </is>
      </c>
      <c r="B109" s="85" t="inlineStr">
        <is>
          <t>3 - Land Improvements - 712 Northfield Dr - Bldg 21 - 27.5yr</t>
        </is>
      </c>
      <c r="X109" s="86" t="n">
        <v>2876.01</v>
      </c>
      <c r="AB109" s="87" t="n">
        <v>2876.01</v>
      </c>
    </row>
    <row r="110" ht="15" customHeight="1" s="80">
      <c r="A110" s="85" t="inlineStr">
        <is>
          <t>04/23/2026</t>
        </is>
      </c>
      <c r="B110" s="85" t="inlineStr">
        <is>
          <t>3 - Land Improvements - 712 Northfield Dr - Bldg 22 - 15yr</t>
        </is>
      </c>
      <c r="Y110" s="86" t="n">
        <v>797.97</v>
      </c>
      <c r="AB110" s="87" t="n">
        <v>797.97</v>
      </c>
    </row>
    <row r="111" ht="15" customHeight="1" s="80">
      <c r="A111" s="85" t="inlineStr">
        <is>
          <t>04/23/2026</t>
        </is>
      </c>
      <c r="B111" s="85" t="inlineStr">
        <is>
          <t>3 - Land Improvements - 712 Northfield Dr - Bldg 22 - 27.5yr</t>
        </is>
      </c>
      <c r="Y111" s="86" t="n">
        <v>3616.4</v>
      </c>
      <c r="AB111" s="87" t="n">
        <v>3616.4</v>
      </c>
    </row>
    <row r="112" ht="15" customHeight="1" s="80">
      <c r="A112" s="85" t="inlineStr">
        <is>
          <t>04/23/2026</t>
        </is>
      </c>
      <c r="B112" s="85" t="inlineStr">
        <is>
          <t>3 - Land Improvements - 712 Northfield Dr - Shed B - 15yr</t>
        </is>
      </c>
      <c r="Z112" s="86" t="n">
        <v>2.82</v>
      </c>
      <c r="AB112" s="87" t="n">
        <v>2.82</v>
      </c>
    </row>
    <row r="113" ht="15" customHeight="1" s="80">
      <c r="A113" s="85" t="inlineStr">
        <is>
          <t>04/23/2026</t>
        </is>
      </c>
      <c r="B113" s="85" t="inlineStr">
        <is>
          <t>3 - Land Improvements - 712 Northfield Dr - Shed B - 27.5yr</t>
        </is>
      </c>
      <c r="Z113" s="86" t="n">
        <v>136.82</v>
      </c>
      <c r="AB113" s="87" t="n">
        <v>136.82</v>
      </c>
    </row>
    <row r="114" ht="15" customHeight="1" s="80">
      <c r="A114" s="85" t="inlineStr">
        <is>
          <t>04/23/2026</t>
        </is>
      </c>
      <c r="B114" s="85" t="inlineStr">
        <is>
          <t>3 - Land Improvements - 712 Northfield Dr - Laundry - 15yr</t>
        </is>
      </c>
      <c r="AA114" s="86" t="n">
        <v>293.17</v>
      </c>
      <c r="AB114" s="87" t="n">
        <v>293.17</v>
      </c>
    </row>
    <row r="115" ht="15" customHeight="1" s="80">
      <c r="A115" s="85" t="inlineStr">
        <is>
          <t>04/23/2026</t>
        </is>
      </c>
      <c r="B115" s="85" t="inlineStr">
        <is>
          <t>3 - Land Improvements - 712 Northfield Dr - Laundry - 27.5yr</t>
        </is>
      </c>
      <c r="AA115" s="86" t="n">
        <v>168.87</v>
      </c>
      <c r="AB115" s="87" t="n">
        <v>168.87</v>
      </c>
    </row>
    <row r="116" ht="15" customHeight="1" s="80">
      <c r="A116" s="85" t="inlineStr">
        <is>
          <t>04/23/2026</t>
        </is>
      </c>
      <c r="B116" s="85" t="inlineStr">
        <is>
          <t>4 - Furniture &amp; Fixtures - 712 Northfield Dr - Site - 7yr</t>
        </is>
      </c>
      <c r="C116" s="86" t="n">
        <v>209.72</v>
      </c>
      <c r="AB116" s="87" t="n">
        <v>209.72</v>
      </c>
    </row>
    <row r="117" ht="15" customHeight="1" s="80">
      <c r="A117" s="85" t="inlineStr">
        <is>
          <t>04/23/2026</t>
        </is>
      </c>
      <c r="B117" s="85" t="inlineStr">
        <is>
          <t>4 - Furniture &amp; Fixtures - 712 Northfield Dr - Site - 27.5yr</t>
        </is>
      </c>
      <c r="C117" s="86" t="n">
        <v>13463.14</v>
      </c>
      <c r="AB117" s="87" t="n">
        <v>13463.14</v>
      </c>
    </row>
    <row r="118" ht="15" customHeight="1" s="80">
      <c r="A118" s="85" t="inlineStr">
        <is>
          <t>04/23/2026</t>
        </is>
      </c>
      <c r="B118" s="85" t="inlineStr">
        <is>
          <t>4 - Furniture &amp; Fixtures - 712 Northfield Dr - Bldg 1 - 15yr</t>
        </is>
      </c>
      <c r="D118" s="86" t="n">
        <v>1915.21</v>
      </c>
      <c r="AB118" s="87" t="n">
        <v>1915.21</v>
      </c>
    </row>
    <row r="119" ht="15" customHeight="1" s="80">
      <c r="A119" s="85" t="inlineStr">
        <is>
          <t>04/23/2026</t>
        </is>
      </c>
      <c r="B119" s="85" t="inlineStr">
        <is>
          <t>4 - Furniture &amp; Fixtures - 712 Northfield Dr - Bldg 1 - 27.5yr</t>
        </is>
      </c>
      <c r="D119" s="86" t="n">
        <v>9037.450000000001</v>
      </c>
      <c r="AB119" s="87" t="n">
        <v>9037.450000000001</v>
      </c>
    </row>
    <row r="120" ht="15" customHeight="1" s="80">
      <c r="A120" s="85" t="inlineStr">
        <is>
          <t>04/23/2026</t>
        </is>
      </c>
      <c r="B120" s="85" t="inlineStr">
        <is>
          <t>4 - Furniture &amp; Fixtures - 712 Northfield Dr - Bldg 2 - 15yr</t>
        </is>
      </c>
      <c r="E120" s="86" t="n">
        <v>1524.07</v>
      </c>
      <c r="AB120" s="87" t="n">
        <v>1524.07</v>
      </c>
    </row>
    <row r="121" ht="15" customHeight="1" s="80">
      <c r="A121" s="85" t="inlineStr">
        <is>
          <t>04/23/2026</t>
        </is>
      </c>
      <c r="B121" s="85" t="inlineStr">
        <is>
          <t>4 - Furniture &amp; Fixtures - 712 Northfield Dr - Bldg 2 - 27.5yr</t>
        </is>
      </c>
      <c r="E121" s="86" t="n">
        <v>6843.3</v>
      </c>
      <c r="AB121" s="87" t="n">
        <v>6843.3</v>
      </c>
    </row>
    <row r="122" ht="15" customHeight="1" s="80">
      <c r="A122" s="85" t="inlineStr">
        <is>
          <t>04/23/2026</t>
        </is>
      </c>
      <c r="B122" s="85" t="inlineStr">
        <is>
          <t>4 - Furniture &amp; Fixtures - 712 Northfield Dr - Bldg 3 - 15yr</t>
        </is>
      </c>
      <c r="F122" s="86" t="n">
        <v>1210.08</v>
      </c>
      <c r="AB122" s="87" t="n">
        <v>1210.08</v>
      </c>
    </row>
    <row r="123" ht="15" customHeight="1" s="80">
      <c r="A123" s="85" t="inlineStr">
        <is>
          <t>04/23/2026</t>
        </is>
      </c>
      <c r="B123" s="85" t="inlineStr">
        <is>
          <t>4 - Furniture &amp; Fixtures - 712 Northfield Dr - Bldg 3 - 27.5yr</t>
        </is>
      </c>
      <c r="F123" s="86" t="n">
        <v>5392.53</v>
      </c>
      <c r="AB123" s="87" t="n">
        <v>5392.53</v>
      </c>
    </row>
    <row r="124" ht="15" customHeight="1" s="80">
      <c r="A124" s="85" t="inlineStr">
        <is>
          <t>04/23/2026</t>
        </is>
      </c>
      <c r="B124" s="85" t="inlineStr">
        <is>
          <t>4 - Furniture &amp; Fixtures - 712 Northfield Dr - Bldg 4 - 15yr</t>
        </is>
      </c>
      <c r="G124" s="86" t="n">
        <v>2418.59</v>
      </c>
      <c r="AB124" s="87" t="n">
        <v>2418.59</v>
      </c>
    </row>
    <row r="125" ht="15" customHeight="1" s="80">
      <c r="A125" s="85" t="inlineStr">
        <is>
          <t>04/23/2026</t>
        </is>
      </c>
      <c r="B125" s="85" t="inlineStr">
        <is>
          <t>4 - Furniture &amp; Fixtures - 712 Northfield Dr - Bldg 4 - 27.5yr</t>
        </is>
      </c>
      <c r="G125" s="86" t="n">
        <v>10529.54</v>
      </c>
      <c r="AB125" s="87" t="n">
        <v>10529.54</v>
      </c>
    </row>
    <row r="126" ht="15" customHeight="1" s="80">
      <c r="A126" s="85" t="inlineStr">
        <is>
          <t>04/23/2026</t>
        </is>
      </c>
      <c r="B126" s="85" t="inlineStr">
        <is>
          <t>4 - Furniture &amp; Fixtures - 712 Northfield Dr - Bldg 5 - 15yr</t>
        </is>
      </c>
      <c r="H126" s="86" t="n">
        <v>1210.08</v>
      </c>
      <c r="AB126" s="87" t="n">
        <v>1210.08</v>
      </c>
    </row>
    <row r="127" ht="15" customHeight="1" s="80">
      <c r="A127" s="85" t="inlineStr">
        <is>
          <t>04/23/2026</t>
        </is>
      </c>
      <c r="B127" s="85" t="inlineStr">
        <is>
          <t>4 - Furniture &amp; Fixtures - 712 Northfield Dr - Bldg 5 - 27.5yr</t>
        </is>
      </c>
      <c r="H127" s="86" t="n">
        <v>5392.53</v>
      </c>
      <c r="AB127" s="87" t="n">
        <v>5392.53</v>
      </c>
    </row>
    <row r="128" ht="15" customHeight="1" s="80">
      <c r="A128" s="85" t="inlineStr">
        <is>
          <t>04/23/2026</t>
        </is>
      </c>
      <c r="B128" s="85" t="inlineStr">
        <is>
          <t>4 - Furniture &amp; Fixtures - 712 Northfield Dr - Bldg 6 - 15yr</t>
        </is>
      </c>
      <c r="I128" s="86" t="n">
        <v>2418.59</v>
      </c>
      <c r="AB128" s="87" t="n">
        <v>2418.59</v>
      </c>
    </row>
    <row r="129" ht="15" customHeight="1" s="80">
      <c r="A129" s="85" t="inlineStr">
        <is>
          <t>04/23/2026</t>
        </is>
      </c>
      <c r="B129" s="85" t="inlineStr">
        <is>
          <t>4 - Furniture &amp; Fixtures - 712 Northfield Dr - Bldg 6 - 27.5yr</t>
        </is>
      </c>
      <c r="I129" s="86" t="n">
        <v>10529.54</v>
      </c>
      <c r="AB129" s="87" t="n">
        <v>10529.54</v>
      </c>
    </row>
    <row r="130" ht="15" customHeight="1" s="80">
      <c r="A130" s="85" t="inlineStr">
        <is>
          <t>04/23/2026</t>
        </is>
      </c>
      <c r="B130" s="85" t="inlineStr">
        <is>
          <t>4 - Furniture &amp; Fixtures - 712 Northfield Dr - Bldg 7 - 15yr</t>
        </is>
      </c>
      <c r="J130" s="86" t="n">
        <v>1524.07</v>
      </c>
      <c r="AB130" s="87" t="n">
        <v>1524.07</v>
      </c>
    </row>
    <row r="131" ht="15" customHeight="1" s="80">
      <c r="A131" s="85" t="inlineStr">
        <is>
          <t>04/23/2026</t>
        </is>
      </c>
      <c r="B131" s="85" t="inlineStr">
        <is>
          <t>4 - Furniture &amp; Fixtures - 712 Northfield Dr - Bldg 7 - 27.5yr</t>
        </is>
      </c>
      <c r="J131" s="86" t="n">
        <v>6843.3</v>
      </c>
      <c r="AB131" s="87" t="n">
        <v>6843.3</v>
      </c>
    </row>
    <row r="132" ht="15" customHeight="1" s="80">
      <c r="A132" s="85" t="inlineStr">
        <is>
          <t>04/23/2026</t>
        </is>
      </c>
      <c r="B132" s="85" t="inlineStr">
        <is>
          <t>4 - Furniture &amp; Fixtures - 712 Northfield Dr - Bldg 8 - 15yr</t>
        </is>
      </c>
      <c r="K132" s="86" t="n">
        <v>2099.81</v>
      </c>
      <c r="AB132" s="87" t="n">
        <v>2099.81</v>
      </c>
    </row>
    <row r="133" ht="15" customHeight="1" s="80">
      <c r="A133" s="85" t="inlineStr">
        <is>
          <t>04/23/2026</t>
        </is>
      </c>
      <c r="B133" s="85" t="inlineStr">
        <is>
          <t>4 - Furniture &amp; Fixtures - 712 Northfield Dr - Bldg 8 - 27.5yr</t>
        </is>
      </c>
      <c r="K133" s="86" t="n">
        <v>9138.17</v>
      </c>
      <c r="AB133" s="87" t="n">
        <v>9138.17</v>
      </c>
    </row>
    <row r="134" ht="15" customHeight="1" s="80">
      <c r="A134" s="85" t="inlineStr">
        <is>
          <t>04/23/2026</t>
        </is>
      </c>
      <c r="B134" s="85" t="inlineStr">
        <is>
          <t>4 - Furniture &amp; Fixtures - 712 Northfield Dr - Bldg 9 - 15yr</t>
        </is>
      </c>
      <c r="L134" s="86" t="n">
        <v>2081.41</v>
      </c>
      <c r="AB134" s="87" t="n">
        <v>2081.41</v>
      </c>
    </row>
    <row r="135" ht="15" customHeight="1" s="80">
      <c r="A135" s="85" t="inlineStr">
        <is>
          <t>04/23/2026</t>
        </is>
      </c>
      <c r="B135" s="85" t="inlineStr">
        <is>
          <t>4 - Furniture &amp; Fixtures - 712 Northfield Dr - Bldg 9 - 27.5yr</t>
        </is>
      </c>
      <c r="L135" s="86" t="n">
        <v>9125.440000000001</v>
      </c>
      <c r="AB135" s="87" t="n">
        <v>9125.440000000001</v>
      </c>
    </row>
    <row r="136" ht="15" customHeight="1" s="80">
      <c r="A136" s="85" t="inlineStr">
        <is>
          <t>04/23/2026</t>
        </is>
      </c>
      <c r="B136" s="85" t="inlineStr">
        <is>
          <t>4 - Furniture &amp; Fixtures - 712 Northfield Dr - Bldg 10 - 15yr</t>
        </is>
      </c>
      <c r="M136" s="86" t="n">
        <v>1210.08</v>
      </c>
      <c r="AB136" s="87" t="n">
        <v>1210.08</v>
      </c>
    </row>
    <row r="137" ht="15" customHeight="1" s="80">
      <c r="A137" s="85" t="inlineStr">
        <is>
          <t>04/23/2026</t>
        </is>
      </c>
      <c r="B137" s="85" t="inlineStr">
        <is>
          <t>4 - Furniture &amp; Fixtures - 712 Northfield Dr - Bldg 10 - 27.5yr</t>
        </is>
      </c>
      <c r="M137" s="86" t="n">
        <v>5392.53</v>
      </c>
      <c r="AB137" s="87" t="n">
        <v>5392.53</v>
      </c>
    </row>
    <row r="138" ht="15" customHeight="1" s="80">
      <c r="A138" s="85" t="inlineStr">
        <is>
          <t>04/23/2026</t>
        </is>
      </c>
      <c r="B138" s="85" t="inlineStr">
        <is>
          <t>4 - Furniture &amp; Fixtures - 712 Northfield Dr - Bldg 11 - 15yr</t>
        </is>
      </c>
      <c r="N138" s="86" t="n">
        <v>2715.38</v>
      </c>
      <c r="AB138" s="87" t="n">
        <v>2715.38</v>
      </c>
    </row>
    <row r="139" ht="15" customHeight="1" s="80">
      <c r="A139" s="85" t="inlineStr">
        <is>
          <t>04/23/2026</t>
        </is>
      </c>
      <c r="B139" s="85" t="inlineStr">
        <is>
          <t>4 - Furniture &amp; Fixtures - 712 Northfield Dr - Bldg 11 - 27.5yr</t>
        </is>
      </c>
      <c r="N139" s="86" t="n">
        <v>11853.92</v>
      </c>
      <c r="AB139" s="87" t="n">
        <v>11853.92</v>
      </c>
    </row>
    <row r="140" ht="15" customHeight="1" s="80">
      <c r="A140" s="85" t="inlineStr">
        <is>
          <t>04/23/2026</t>
        </is>
      </c>
      <c r="B140" s="85" t="inlineStr">
        <is>
          <t>4 - Furniture &amp; Fixtures - 712 Northfield Dr - Bldg 12 - 15yr</t>
        </is>
      </c>
      <c r="O140" s="86" t="n">
        <v>1805.85</v>
      </c>
      <c r="AB140" s="87" t="n">
        <v>1805.85</v>
      </c>
    </row>
    <row r="141" ht="15" customHeight="1" s="80">
      <c r="A141" s="85" t="inlineStr">
        <is>
          <t>04/23/2026</t>
        </is>
      </c>
      <c r="B141" s="85" t="inlineStr">
        <is>
          <t>4 - Furniture &amp; Fixtures - 712 Northfield Dr - Bldg 12 - 27.5yr</t>
        </is>
      </c>
      <c r="O141" s="86" t="n">
        <v>7869.12</v>
      </c>
      <c r="AB141" s="87" t="n">
        <v>7869.12</v>
      </c>
    </row>
    <row r="142" ht="15" customHeight="1" s="80">
      <c r="A142" s="85" t="inlineStr">
        <is>
          <t>04/23/2026</t>
        </is>
      </c>
      <c r="B142" s="85" t="inlineStr">
        <is>
          <t>4 - Furniture &amp; Fixtures - 712 Northfield Dr - Bldg 13 - 15yr</t>
        </is>
      </c>
      <c r="P142" s="86" t="n">
        <v>1805.85</v>
      </c>
      <c r="AB142" s="87" t="n">
        <v>1805.85</v>
      </c>
    </row>
    <row r="143" ht="15" customHeight="1" s="80">
      <c r="A143" s="85" t="inlineStr">
        <is>
          <t>04/23/2026</t>
        </is>
      </c>
      <c r="B143" s="85" t="inlineStr">
        <is>
          <t>4 - Furniture &amp; Fixtures - 712 Northfield Dr - Bldg 13 - 27.5yr</t>
        </is>
      </c>
      <c r="P143" s="86" t="n">
        <v>7869.12</v>
      </c>
      <c r="AB143" s="87" t="n">
        <v>7869.12</v>
      </c>
    </row>
    <row r="144" ht="15" customHeight="1" s="80">
      <c r="A144" s="85" t="inlineStr">
        <is>
          <t>04/23/2026</t>
        </is>
      </c>
      <c r="B144" s="85" t="inlineStr">
        <is>
          <t>4 - Furniture &amp; Fixtures - 712 Northfield Dr - Bldg 14 - 15yr</t>
        </is>
      </c>
      <c r="Q144" s="86" t="n">
        <v>1805.85</v>
      </c>
      <c r="AB144" s="87" t="n">
        <v>1805.85</v>
      </c>
    </row>
    <row r="145" ht="15" customHeight="1" s="80">
      <c r="A145" s="85" t="inlineStr">
        <is>
          <t>04/23/2026</t>
        </is>
      </c>
      <c r="B145" s="85" t="inlineStr">
        <is>
          <t>4 - Furniture &amp; Fixtures - 712 Northfield Dr - Bldg 14 - 27.5yr</t>
        </is>
      </c>
      <c r="Q145" s="86" t="n">
        <v>7869.12</v>
      </c>
      <c r="AB145" s="87" t="n">
        <v>7869.12</v>
      </c>
    </row>
    <row r="146" ht="15" customHeight="1" s="80">
      <c r="A146" s="85" t="inlineStr">
        <is>
          <t>04/23/2026</t>
        </is>
      </c>
      <c r="B146" s="85" t="inlineStr">
        <is>
          <t>4 - Furniture &amp; Fixtures - 712 Northfield Dr - Bldg 15 - 15yr</t>
        </is>
      </c>
      <c r="R146" s="86" t="n">
        <v>2715.38</v>
      </c>
      <c r="AB146" s="87" t="n">
        <v>2715.38</v>
      </c>
    </row>
    <row r="147" ht="15" customHeight="1" s="80">
      <c r="A147" s="85" t="inlineStr">
        <is>
          <t>04/23/2026</t>
        </is>
      </c>
      <c r="B147" s="85" t="inlineStr">
        <is>
          <t>4 - Furniture &amp; Fixtures - 712 Northfield Dr - Bldg 15 - 27.5yr</t>
        </is>
      </c>
      <c r="R147" s="86" t="n">
        <v>11853.92</v>
      </c>
      <c r="AB147" s="87" t="n">
        <v>11853.92</v>
      </c>
    </row>
    <row r="148" ht="15" customHeight="1" s="80">
      <c r="A148" s="85" t="inlineStr">
        <is>
          <t>04/23/2026</t>
        </is>
      </c>
      <c r="B148" s="85" t="inlineStr">
        <is>
          <t>4 - Furniture &amp; Fixtures - 712 Northfield Dr - Bldg 16 - 15yr</t>
        </is>
      </c>
      <c r="S148" s="86" t="n">
        <v>1210.08</v>
      </c>
      <c r="AB148" s="87" t="n">
        <v>1210.08</v>
      </c>
    </row>
    <row r="149" ht="15" customHeight="1" s="80">
      <c r="A149" s="85" t="inlineStr">
        <is>
          <t>04/23/2026</t>
        </is>
      </c>
      <c r="B149" s="85" t="inlineStr">
        <is>
          <t>4 - Furniture &amp; Fixtures - 712 Northfield Dr - Bldg 16 - 27.5yr</t>
        </is>
      </c>
      <c r="S149" s="86" t="n">
        <v>5392.53</v>
      </c>
      <c r="AB149" s="87" t="n">
        <v>5392.53</v>
      </c>
    </row>
    <row r="150" ht="15" customHeight="1" s="80">
      <c r="A150" s="85" t="inlineStr">
        <is>
          <t>04/23/2026</t>
        </is>
      </c>
      <c r="B150" s="85" t="inlineStr">
        <is>
          <t>4 - Furniture &amp; Fixtures - 712 Northfield Dr - Bldg 17 - 15yr</t>
        </is>
      </c>
      <c r="T150" s="86" t="n">
        <v>910.48</v>
      </c>
      <c r="AB150" s="87" t="n">
        <v>910.48</v>
      </c>
    </row>
    <row r="151" ht="15" customHeight="1" s="80">
      <c r="A151" s="85" t="inlineStr">
        <is>
          <t>04/23/2026</t>
        </is>
      </c>
      <c r="B151" s="85" t="inlineStr">
        <is>
          <t>4 - Furniture &amp; Fixtures - 712 Northfield Dr - Bldg 17 - 27.5yr</t>
        </is>
      </c>
      <c r="T151" s="86" t="n">
        <v>4078.44</v>
      </c>
      <c r="AB151" s="87" t="n">
        <v>4078.44</v>
      </c>
    </row>
    <row r="152" ht="15" customHeight="1" s="80">
      <c r="A152" s="85" t="inlineStr">
        <is>
          <t>04/23/2026</t>
        </is>
      </c>
      <c r="B152" s="85" t="inlineStr">
        <is>
          <t>4 - Furniture &amp; Fixtures - 712 Northfield Dr - Bldg 18 - 15yr</t>
        </is>
      </c>
      <c r="U152" s="86" t="n">
        <v>910.48</v>
      </c>
      <c r="AB152" s="87" t="n">
        <v>910.48</v>
      </c>
    </row>
    <row r="153" ht="15" customHeight="1" s="80">
      <c r="A153" s="85" t="inlineStr">
        <is>
          <t>04/23/2026</t>
        </is>
      </c>
      <c r="B153" s="85" t="inlineStr">
        <is>
          <t>4 - Furniture &amp; Fixtures - 712 Northfield Dr - Bldg 18 - 27.5yr</t>
        </is>
      </c>
      <c r="U153" s="86" t="n">
        <v>4078.44</v>
      </c>
      <c r="AB153" s="87" t="n">
        <v>4078.44</v>
      </c>
    </row>
    <row r="154" ht="15" customHeight="1" s="80">
      <c r="A154" s="85" t="inlineStr">
        <is>
          <t>04/23/2026</t>
        </is>
      </c>
      <c r="B154" s="85" t="inlineStr">
        <is>
          <t>4 - Furniture &amp; Fixtures - 712 Northfield Dr - Bldg 19 - 15yr</t>
        </is>
      </c>
      <c r="V154" s="86" t="n">
        <v>1496.2</v>
      </c>
      <c r="AB154" s="87" t="n">
        <v>1496.2</v>
      </c>
    </row>
    <row r="155" ht="15" customHeight="1" s="80">
      <c r="A155" s="85" t="inlineStr">
        <is>
          <t>04/23/2026</t>
        </is>
      </c>
      <c r="B155" s="85" t="inlineStr">
        <is>
          <t>4 - Furniture &amp; Fixtures - 712 Northfield Dr - Bldg 19 - 27.5yr</t>
        </is>
      </c>
      <c r="V155" s="86" t="n">
        <v>6780.78</v>
      </c>
      <c r="AB155" s="87" t="n">
        <v>6780.78</v>
      </c>
    </row>
    <row r="156" ht="15" customHeight="1" s="80">
      <c r="A156" s="85" t="inlineStr">
        <is>
          <t>04/23/2026</t>
        </is>
      </c>
      <c r="B156" s="85" t="inlineStr">
        <is>
          <t>4 - Furniture &amp; Fixtures - 712 Northfield Dr - Bldg 20 - 15yr</t>
        </is>
      </c>
      <c r="W156" s="86" t="n">
        <v>2049.98</v>
      </c>
      <c r="AB156" s="87" t="n">
        <v>2049.98</v>
      </c>
    </row>
    <row r="157" ht="15" customHeight="1" s="80">
      <c r="A157" s="85" t="inlineStr">
        <is>
          <t>04/23/2026</t>
        </is>
      </c>
      <c r="B157" s="85" t="inlineStr">
        <is>
          <t>4 - Furniture &amp; Fixtures - 712 Northfield Dr - Bldg 20 - 27.5yr</t>
        </is>
      </c>
      <c r="W157" s="86" t="n">
        <v>9029.549999999999</v>
      </c>
      <c r="AB157" s="87" t="n">
        <v>9029.549999999999</v>
      </c>
    </row>
    <row r="158" ht="15" customHeight="1" s="80">
      <c r="A158" s="85" t="inlineStr">
        <is>
          <t>04/23/2026</t>
        </is>
      </c>
      <c r="B158" s="85" t="inlineStr">
        <is>
          <t>4 - Furniture &amp; Fixtures - 712 Northfield Dr - Bldg 21 - 15yr</t>
        </is>
      </c>
      <c r="X158" s="86" t="n">
        <v>1210.08</v>
      </c>
      <c r="AB158" s="87" t="n">
        <v>1210.08</v>
      </c>
    </row>
    <row r="159" ht="15" customHeight="1" s="80">
      <c r="A159" s="85" t="inlineStr">
        <is>
          <t>04/23/2026</t>
        </is>
      </c>
      <c r="B159" s="85" t="inlineStr">
        <is>
          <t>4 - Furniture &amp; Fixtures - 712 Northfield Dr - Bldg 21 - 27.5yr</t>
        </is>
      </c>
      <c r="X159" s="86" t="n">
        <v>5392.53</v>
      </c>
      <c r="AB159" s="87" t="n">
        <v>5392.53</v>
      </c>
    </row>
    <row r="160" ht="15" customHeight="1" s="80">
      <c r="A160" s="85" t="inlineStr">
        <is>
          <t>04/23/2026</t>
        </is>
      </c>
      <c r="B160" s="85" t="inlineStr">
        <is>
          <t>4 - Furniture &amp; Fixtures - 712 Northfield Dr - Bldg 22 - 15yr</t>
        </is>
      </c>
      <c r="Y160" s="86" t="n">
        <v>1496.2</v>
      </c>
      <c r="AB160" s="87" t="n">
        <v>1496.2</v>
      </c>
    </row>
    <row r="161" ht="15" customHeight="1" s="80">
      <c r="A161" s="85" t="inlineStr">
        <is>
          <t>04/23/2026</t>
        </is>
      </c>
      <c r="B161" s="85" t="inlineStr">
        <is>
          <t>4 - Furniture &amp; Fixtures - 712 Northfield Dr - Bldg 22 - 27.5yr</t>
        </is>
      </c>
      <c r="Y161" s="86" t="n">
        <v>6780.78</v>
      </c>
      <c r="AB161" s="87" t="n">
        <v>6780.78</v>
      </c>
    </row>
    <row r="162" ht="15" customHeight="1" s="80">
      <c r="A162" s="85" t="inlineStr">
        <is>
          <t>04/23/2026</t>
        </is>
      </c>
      <c r="B162" s="85" t="inlineStr">
        <is>
          <t>4 - Furniture &amp; Fixtures - 712 Northfield Dr - Shed B - 15yr</t>
        </is>
      </c>
      <c r="Z162" s="86" t="n">
        <v>5.3</v>
      </c>
      <c r="AB162" s="87" t="n">
        <v>5.3</v>
      </c>
    </row>
    <row r="163" ht="15" customHeight="1" s="80">
      <c r="A163" s="85" t="inlineStr">
        <is>
          <t>04/23/2026</t>
        </is>
      </c>
      <c r="B163" s="85" t="inlineStr">
        <is>
          <t>4 - Furniture &amp; Fixtures - 712 Northfield Dr - Shed B - 27.5yr</t>
        </is>
      </c>
      <c r="Z163" s="86" t="n">
        <v>256.53</v>
      </c>
      <c r="AB163" s="87" t="n">
        <v>256.53</v>
      </c>
    </row>
    <row r="164" ht="15" customHeight="1" s="80">
      <c r="A164" s="85" t="inlineStr">
        <is>
          <t>04/23/2026</t>
        </is>
      </c>
      <c r="B164" s="85" t="inlineStr">
        <is>
          <t>4 - Furniture &amp; Fixtures - 712 Northfield Dr - Laundry - 15yr</t>
        </is>
      </c>
      <c r="AA164" s="86" t="n">
        <v>549.72</v>
      </c>
      <c r="AB164" s="87" t="n">
        <v>549.72</v>
      </c>
    </row>
    <row r="165" ht="15" customHeight="1" s="80">
      <c r="A165" s="85" t="inlineStr">
        <is>
          <t>04/23/2026</t>
        </is>
      </c>
      <c r="B165" s="85" t="inlineStr">
        <is>
          <t>4 - Furniture &amp; Fixtures - 712 Northfield Dr - Laundry - 27.5yr</t>
        </is>
      </c>
      <c r="AA165" s="86" t="n">
        <v>316.65</v>
      </c>
      <c r="AB165" s="87" t="n">
        <v>316.65</v>
      </c>
    </row>
    <row r="166" ht="15" customHeight="1" s="80">
      <c r="A166" s="85" t="inlineStr">
        <is>
          <t>04/23/2026</t>
        </is>
      </c>
      <c r="B166" s="85" t="inlineStr">
        <is>
          <t>7 - Building - 2201 Northview Dr - Site - 7yr</t>
        </is>
      </c>
      <c r="C166" s="86" t="n">
        <v>3992.15</v>
      </c>
      <c r="AB166" s="87" t="n">
        <v>3992.15</v>
      </c>
    </row>
    <row r="167" ht="15" customHeight="1" s="80">
      <c r="A167" s="85" t="inlineStr">
        <is>
          <t>04/23/2026</t>
        </is>
      </c>
      <c r="B167" s="85" t="inlineStr">
        <is>
          <t>7 - Building - 2201 Northview Dr - Site - 27.5yr</t>
        </is>
      </c>
      <c r="C167" s="86" t="n">
        <v>256278.16</v>
      </c>
      <c r="AB167" s="87" t="n">
        <v>256278.16</v>
      </c>
    </row>
    <row r="168" ht="15" customHeight="1" s="80">
      <c r="A168" s="85" t="inlineStr">
        <is>
          <t>04/23/2026</t>
        </is>
      </c>
      <c r="B168" s="85" t="inlineStr">
        <is>
          <t>7 - Building - 2201 Northview Dr - Bldg 1 - 15yr</t>
        </is>
      </c>
      <c r="D168" s="86" t="n">
        <v>36457.14</v>
      </c>
      <c r="AB168" s="87" t="n">
        <v>36457.14</v>
      </c>
    </row>
    <row r="169" ht="15" customHeight="1" s="80">
      <c r="A169" s="85" t="inlineStr">
        <is>
          <t>04/23/2026</t>
        </is>
      </c>
      <c r="B169" s="85" t="inlineStr">
        <is>
          <t>7 - Building - 2201 Northview Dr - Bldg 1 - 27.5yr</t>
        </is>
      </c>
      <c r="D169" s="86" t="n">
        <v>172032.73</v>
      </c>
      <c r="AB169" s="87" t="n">
        <v>172032.73</v>
      </c>
    </row>
    <row r="170" ht="15" customHeight="1" s="80">
      <c r="A170" s="85" t="inlineStr">
        <is>
          <t>04/23/2026</t>
        </is>
      </c>
      <c r="B170" s="85" t="inlineStr">
        <is>
          <t>7 - Building - 2201 Northview Dr - Bldg 2 - 15yr</t>
        </is>
      </c>
      <c r="E170" s="86" t="n">
        <v>29011.54</v>
      </c>
      <c r="AB170" s="87" t="n">
        <v>29011.54</v>
      </c>
    </row>
    <row r="171" ht="15" customHeight="1" s="80">
      <c r="A171" s="85" t="inlineStr">
        <is>
          <t>04/23/2026</t>
        </is>
      </c>
      <c r="B171" s="85" t="inlineStr">
        <is>
          <t>7 - Building - 2201 Northview Dr - Bldg 2 - 27.5yr</t>
        </is>
      </c>
      <c r="E171" s="86" t="n">
        <v>130265.82</v>
      </c>
      <c r="AB171" s="87" t="n">
        <v>130265.82</v>
      </c>
    </row>
    <row r="172" ht="15" customHeight="1" s="80">
      <c r="A172" s="85" t="inlineStr">
        <is>
          <t>04/23/2026</t>
        </is>
      </c>
      <c r="B172" s="85" t="inlineStr">
        <is>
          <t>7 - Building - 2201 Northview Dr - Bldg 3 - 15yr</t>
        </is>
      </c>
      <c r="F172" s="86" t="n">
        <v>23034.43</v>
      </c>
      <c r="AB172" s="87" t="n">
        <v>23034.43</v>
      </c>
    </row>
    <row r="173" ht="15" customHeight="1" s="80">
      <c r="A173" s="85" t="inlineStr">
        <is>
          <t>04/23/2026</t>
        </is>
      </c>
      <c r="B173" s="85" t="inlineStr">
        <is>
          <t>7 - Building - 2201 Northview Dr - Bldg 3 - 27.5yr</t>
        </is>
      </c>
      <c r="F173" s="86" t="n">
        <v>102649.8</v>
      </c>
      <c r="AB173" s="87" t="n">
        <v>102649.8</v>
      </c>
    </row>
    <row r="174" ht="15" customHeight="1" s="80">
      <c r="A174" s="85" t="inlineStr">
        <is>
          <t>04/23/2026</t>
        </is>
      </c>
      <c r="B174" s="85" t="inlineStr">
        <is>
          <t>7 - Building - 2201 Northview Dr - Bldg 4 - 15yr</t>
        </is>
      </c>
      <c r="G174" s="86" t="n">
        <v>46039.18</v>
      </c>
      <c r="AB174" s="87" t="n">
        <v>46039.18</v>
      </c>
    </row>
    <row r="175" ht="15" customHeight="1" s="80">
      <c r="A175" s="85" t="inlineStr">
        <is>
          <t>04/23/2026</t>
        </is>
      </c>
      <c r="B175" s="85" t="inlineStr">
        <is>
          <t>7 - Building - 2201 Northview Dr - Bldg 4 - 27.5yr</t>
        </is>
      </c>
      <c r="G175" s="86" t="n">
        <v>200435.56</v>
      </c>
      <c r="AB175" s="87" t="n">
        <v>200435.56</v>
      </c>
    </row>
    <row r="176" ht="15" customHeight="1" s="80">
      <c r="A176" s="85" t="inlineStr">
        <is>
          <t>04/23/2026</t>
        </is>
      </c>
      <c r="B176" s="85" t="inlineStr">
        <is>
          <t>7 - Building - 2201 Northview Dr - Bldg 5 - 15yr</t>
        </is>
      </c>
      <c r="H176" s="86" t="n">
        <v>23034.43</v>
      </c>
      <c r="AB176" s="87" t="n">
        <v>23034.43</v>
      </c>
    </row>
    <row r="177" ht="15" customHeight="1" s="80">
      <c r="A177" s="85" t="inlineStr">
        <is>
          <t>04/23/2026</t>
        </is>
      </c>
      <c r="B177" s="85" t="inlineStr">
        <is>
          <t>7 - Building - 2201 Northview Dr - Bldg 5 - 27.5yr</t>
        </is>
      </c>
      <c r="H177" s="86" t="n">
        <v>102649.8</v>
      </c>
      <c r="AB177" s="87" t="n">
        <v>102649.8</v>
      </c>
    </row>
    <row r="178" ht="15" customHeight="1" s="80">
      <c r="A178" s="85" t="inlineStr">
        <is>
          <t>04/23/2026</t>
        </is>
      </c>
      <c r="B178" s="85" t="inlineStr">
        <is>
          <t>7 - Building - 2201 Northview Dr - Bldg 6 - 15yr</t>
        </is>
      </c>
      <c r="I178" s="86" t="n">
        <v>46039.18</v>
      </c>
      <c r="AB178" s="87" t="n">
        <v>46039.18</v>
      </c>
    </row>
    <row r="179" ht="15" customHeight="1" s="80">
      <c r="A179" s="85" t="inlineStr">
        <is>
          <t>04/23/2026</t>
        </is>
      </c>
      <c r="B179" s="85" t="inlineStr">
        <is>
          <t>7 - Building - 2201 Northview Dr - Bldg 6 - 27.5yr</t>
        </is>
      </c>
      <c r="I179" s="86" t="n">
        <v>200435.56</v>
      </c>
      <c r="AB179" s="87" t="n">
        <v>200435.56</v>
      </c>
    </row>
    <row r="180" ht="15" customHeight="1" s="80">
      <c r="A180" s="85" t="inlineStr">
        <is>
          <t>04/23/2026</t>
        </is>
      </c>
      <c r="B180" s="85" t="inlineStr">
        <is>
          <t>7 - Building - 2201 Northview Dr - Bldg 7 - 15yr</t>
        </is>
      </c>
      <c r="J180" s="86" t="n">
        <v>29011.54</v>
      </c>
      <c r="AB180" s="87" t="n">
        <v>29011.54</v>
      </c>
    </row>
    <row r="181" ht="15" customHeight="1" s="80">
      <c r="A181" s="85" t="inlineStr">
        <is>
          <t>04/23/2026</t>
        </is>
      </c>
      <c r="B181" s="85" t="inlineStr">
        <is>
          <t>7 - Building - 2201 Northview Dr - Bldg 7 - 27.5yr</t>
        </is>
      </c>
      <c r="J181" s="86" t="n">
        <v>130265.82</v>
      </c>
      <c r="AB181" s="87" t="n">
        <v>130265.82</v>
      </c>
    </row>
    <row r="182" ht="15" customHeight="1" s="80">
      <c r="A182" s="85" t="inlineStr">
        <is>
          <t>04/23/2026</t>
        </is>
      </c>
      <c r="B182" s="85" t="inlineStr">
        <is>
          <t>7 - Building - 2201 Northview Dr - Bldg 8 - 15yr</t>
        </is>
      </c>
      <c r="K182" s="86" t="n">
        <v>39970.95</v>
      </c>
      <c r="AB182" s="87" t="n">
        <v>39970.95</v>
      </c>
    </row>
    <row r="183" ht="15" customHeight="1" s="80">
      <c r="A183" s="85" t="inlineStr">
        <is>
          <t>04/23/2026</t>
        </is>
      </c>
      <c r="B183" s="85" t="inlineStr">
        <is>
          <t>7 - Building - 2201 Northview Dr - Bldg 8 - 27.5yr</t>
        </is>
      </c>
      <c r="K183" s="86" t="n">
        <v>173950</v>
      </c>
      <c r="AB183" s="87" t="n">
        <v>173950</v>
      </c>
    </row>
    <row r="184" ht="15" customHeight="1" s="80">
      <c r="A184" s="85" t="inlineStr">
        <is>
          <t>04/23/2026</t>
        </is>
      </c>
      <c r="B184" s="85" t="inlineStr">
        <is>
          <t>7 - Building - 2201 Northview Dr - Bldg 9 - 15yr</t>
        </is>
      </c>
      <c r="L184" s="86" t="n">
        <v>39620.83</v>
      </c>
      <c r="AB184" s="87" t="n">
        <v>39620.83</v>
      </c>
    </row>
    <row r="185" ht="15" customHeight="1" s="80">
      <c r="A185" s="85" t="inlineStr">
        <is>
          <t>04/23/2026</t>
        </is>
      </c>
      <c r="B185" s="85" t="inlineStr">
        <is>
          <t>7 - Building - 2201 Northview Dr - Bldg 9 - 27.5yr</t>
        </is>
      </c>
      <c r="L185" s="86" t="n">
        <v>173707.62</v>
      </c>
      <c r="AB185" s="87" t="n">
        <v>173707.62</v>
      </c>
    </row>
    <row r="186" ht="15" customHeight="1" s="80">
      <c r="A186" s="85" t="inlineStr">
        <is>
          <t>04/23/2026</t>
        </is>
      </c>
      <c r="B186" s="85" t="inlineStr">
        <is>
          <t>7 - Building - 2201 Northview Dr - Bldg 10 - 15yr</t>
        </is>
      </c>
      <c r="M186" s="86" t="n">
        <v>23034.43</v>
      </c>
      <c r="AB186" s="87" t="n">
        <v>23034.43</v>
      </c>
    </row>
    <row r="187" ht="15" customHeight="1" s="80">
      <c r="A187" s="85" t="inlineStr">
        <is>
          <t>04/23/2026</t>
        </is>
      </c>
      <c r="B187" s="85" t="inlineStr">
        <is>
          <t>7 - Building - 2201 Northview Dr - Bldg 10 - 27.5yr</t>
        </is>
      </c>
      <c r="M187" s="86" t="n">
        <v>102649.8</v>
      </c>
      <c r="AB187" s="87" t="n">
        <v>102649.8</v>
      </c>
    </row>
    <row r="188" ht="15" customHeight="1" s="80">
      <c r="A188" s="85" t="inlineStr">
        <is>
          <t>04/23/2026</t>
        </is>
      </c>
      <c r="B188" s="85" t="inlineStr">
        <is>
          <t>7 - Building - 2201 Northview Dr - Bldg 11 - 15yr</t>
        </is>
      </c>
      <c r="N188" s="86" t="n">
        <v>51688.76</v>
      </c>
      <c r="AB188" s="87" t="n">
        <v>51688.76</v>
      </c>
    </row>
    <row r="189" ht="15" customHeight="1" s="80">
      <c r="A189" s="85" t="inlineStr">
        <is>
          <t>04/23/2026</t>
        </is>
      </c>
      <c r="B189" s="85" t="inlineStr">
        <is>
          <t>7 - Building - 2201 Northview Dr - Bldg 11 - 27.5yr</t>
        </is>
      </c>
      <c r="N189" s="86" t="n">
        <v>225645.77</v>
      </c>
      <c r="AB189" s="87" t="n">
        <v>225645.77</v>
      </c>
    </row>
    <row r="190" ht="15" customHeight="1" s="80">
      <c r="A190" s="85" t="inlineStr">
        <is>
          <t>04/23/2026</t>
        </is>
      </c>
      <c r="B190" s="85" t="inlineStr">
        <is>
          <t>7 - Building - 2201 Northview Dr - Bldg 12 - 15yr</t>
        </is>
      </c>
      <c r="O190" s="86" t="n">
        <v>34375.37</v>
      </c>
      <c r="AB190" s="87" t="n">
        <v>34375.37</v>
      </c>
    </row>
    <row r="191" ht="15" customHeight="1" s="80">
      <c r="A191" s="85" t="inlineStr">
        <is>
          <t>04/23/2026</t>
        </is>
      </c>
      <c r="B191" s="85" t="inlineStr">
        <is>
          <t>7 - Building - 2201 Northview Dr - Bldg 12 - 27.5yr</t>
        </is>
      </c>
      <c r="O191" s="86" t="n">
        <v>149792.98</v>
      </c>
      <c r="AB191" s="87" t="n">
        <v>149792.98</v>
      </c>
    </row>
    <row r="192" ht="15" customHeight="1" s="80">
      <c r="A192" s="85" t="inlineStr">
        <is>
          <t>04/23/2026</t>
        </is>
      </c>
      <c r="B192" s="85" t="inlineStr">
        <is>
          <t>7 - Building - 2201 Northview Dr - Bldg 13 - 15yr</t>
        </is>
      </c>
      <c r="P192" s="86" t="n">
        <v>34375.37</v>
      </c>
      <c r="AB192" s="87" t="n">
        <v>34375.37</v>
      </c>
    </row>
    <row r="193" ht="15" customHeight="1" s="80">
      <c r="A193" s="85" t="inlineStr">
        <is>
          <t>04/23/2026</t>
        </is>
      </c>
      <c r="B193" s="85" t="inlineStr">
        <is>
          <t>7 - Building - 2201 Northview Dr - Bldg 13 - 27.5yr</t>
        </is>
      </c>
      <c r="P193" s="86" t="n">
        <v>149792.98</v>
      </c>
      <c r="AB193" s="87" t="n">
        <v>149792.98</v>
      </c>
    </row>
    <row r="194" ht="15" customHeight="1" s="80">
      <c r="A194" s="85" t="inlineStr">
        <is>
          <t>04/23/2026</t>
        </is>
      </c>
      <c r="B194" s="85" t="inlineStr">
        <is>
          <t>7 - Building - 2201 Northview Dr - Bldg 14 - 15yr</t>
        </is>
      </c>
      <c r="Q194" s="86" t="n">
        <v>34375.37</v>
      </c>
      <c r="AB194" s="87" t="n">
        <v>34375.37</v>
      </c>
    </row>
    <row r="195" ht="15" customHeight="1" s="80">
      <c r="A195" s="85" t="inlineStr">
        <is>
          <t>04/23/2026</t>
        </is>
      </c>
      <c r="B195" s="85" t="inlineStr">
        <is>
          <t>7 - Building - 2201 Northview Dr - Bldg 14 - 27.5yr</t>
        </is>
      </c>
      <c r="Q195" s="86" t="n">
        <v>149792.98</v>
      </c>
      <c r="AB195" s="87" t="n">
        <v>149792.98</v>
      </c>
    </row>
    <row r="196" ht="15" customHeight="1" s="80">
      <c r="A196" s="85" t="inlineStr">
        <is>
          <t>04/23/2026</t>
        </is>
      </c>
      <c r="B196" s="85" t="inlineStr">
        <is>
          <t>7 - Building - 2201 Northview Dr - Bldg 15 - 15yr</t>
        </is>
      </c>
      <c r="R196" s="86" t="n">
        <v>51688.76</v>
      </c>
      <c r="AB196" s="87" t="n">
        <v>51688.76</v>
      </c>
    </row>
    <row r="197" ht="15" customHeight="1" s="80">
      <c r="A197" s="85" t="inlineStr">
        <is>
          <t>04/23/2026</t>
        </is>
      </c>
      <c r="B197" s="85" t="inlineStr">
        <is>
          <t>7 - Building - 2201 Northview Dr - Bldg 15 - 27.5yr</t>
        </is>
      </c>
      <c r="R197" s="86" t="n">
        <v>225645.77</v>
      </c>
      <c r="AB197" s="87" t="n">
        <v>225645.77</v>
      </c>
    </row>
    <row r="198" ht="15" customHeight="1" s="80">
      <c r="A198" s="85" t="inlineStr">
        <is>
          <t>04/23/2026</t>
        </is>
      </c>
      <c r="B198" s="85" t="inlineStr">
        <is>
          <t>7 - Building - 2201 Northview Dr - Bldg 16 - 15yr</t>
        </is>
      </c>
      <c r="S198" s="86" t="n">
        <v>23034.43</v>
      </c>
      <c r="AB198" s="87" t="n">
        <v>23034.43</v>
      </c>
    </row>
    <row r="199" ht="15" customHeight="1" s="80">
      <c r="A199" s="85" t="inlineStr">
        <is>
          <t>04/23/2026</t>
        </is>
      </c>
      <c r="B199" s="85" t="inlineStr">
        <is>
          <t>7 - Building - 2201 Northview Dr - Bldg 16 - 27.5yr</t>
        </is>
      </c>
      <c r="S199" s="86" t="n">
        <v>102649.8</v>
      </c>
      <c r="AB199" s="87" t="n">
        <v>102649.8</v>
      </c>
    </row>
    <row r="200" ht="15" customHeight="1" s="80">
      <c r="A200" s="85" t="inlineStr">
        <is>
          <t>04/23/2026</t>
        </is>
      </c>
      <c r="B200" s="85" t="inlineStr">
        <is>
          <t>7 - Building - 2201 Northview Dr - Bldg 17 - 15yr</t>
        </is>
      </c>
      <c r="T200" s="86" t="n">
        <v>17331.47</v>
      </c>
      <c r="AB200" s="87" t="n">
        <v>17331.47</v>
      </c>
    </row>
    <row r="201" ht="15" customHeight="1" s="80">
      <c r="A201" s="85" t="inlineStr">
        <is>
          <t>04/23/2026</t>
        </is>
      </c>
      <c r="B201" s="85" t="inlineStr">
        <is>
          <t>7 - Building - 2201 Northview Dr - Bldg 17 - 27.5yr</t>
        </is>
      </c>
      <c r="T201" s="86" t="n">
        <v>77635.33</v>
      </c>
      <c r="AB201" s="87" t="n">
        <v>77635.33</v>
      </c>
    </row>
    <row r="202" ht="15" customHeight="1" s="80">
      <c r="A202" s="85" t="inlineStr">
        <is>
          <t>04/23/2026</t>
        </is>
      </c>
      <c r="B202" s="85" t="inlineStr">
        <is>
          <t>7 - Building - 2201 Northview Dr - Bldg 18 - 15yr</t>
        </is>
      </c>
      <c r="U202" s="86" t="n">
        <v>17331.47</v>
      </c>
      <c r="AB202" s="87" t="n">
        <v>17331.47</v>
      </c>
    </row>
    <row r="203" ht="15" customHeight="1" s="80">
      <c r="A203" s="85" t="inlineStr">
        <is>
          <t>04/23/2026</t>
        </is>
      </c>
      <c r="B203" s="85" t="inlineStr">
        <is>
          <t>7 - Building - 2201 Northview Dr - Bldg 18 - 27.5yr</t>
        </is>
      </c>
      <c r="U203" s="86" t="n">
        <v>77635.33</v>
      </c>
      <c r="AB203" s="87" t="n">
        <v>77635.33</v>
      </c>
    </row>
    <row r="204" ht="15" customHeight="1" s="80">
      <c r="A204" s="85" t="inlineStr">
        <is>
          <t>04/23/2026</t>
        </is>
      </c>
      <c r="B204" s="85" t="inlineStr">
        <is>
          <t>7 - Building - 2201 Northview Dr - Bldg 19 - 15yr</t>
        </is>
      </c>
      <c r="V204" s="86" t="n">
        <v>28481.01</v>
      </c>
      <c r="AB204" s="87" t="n">
        <v>28481.01</v>
      </c>
    </row>
    <row r="205" ht="15" customHeight="1" s="80">
      <c r="A205" s="85" t="inlineStr">
        <is>
          <t>04/23/2026</t>
        </is>
      </c>
      <c r="B205" s="85" t="inlineStr">
        <is>
          <t>7 - Building - 2201 Northview Dr - Bldg 19 - 27.5yr</t>
        </is>
      </c>
      <c r="V205" s="86" t="n">
        <v>129075.6</v>
      </c>
      <c r="AB205" s="87" t="n">
        <v>129075.6</v>
      </c>
    </row>
    <row r="206" ht="15" customHeight="1" s="80">
      <c r="A206" s="85" t="inlineStr">
        <is>
          <t>04/23/2026</t>
        </is>
      </c>
      <c r="B206" s="85" t="inlineStr">
        <is>
          <t>7 - Building - 2201 Northview Dr - Bldg 20 - 15yr</t>
        </is>
      </c>
      <c r="W206" s="86" t="n">
        <v>39022.5</v>
      </c>
      <c r="AB206" s="87" t="n">
        <v>39022.5</v>
      </c>
    </row>
    <row r="207" ht="15" customHeight="1" s="80">
      <c r="A207" s="85" t="inlineStr">
        <is>
          <t>04/23/2026</t>
        </is>
      </c>
      <c r="B207" s="85" t="inlineStr">
        <is>
          <t>7 - Building - 2201 Northview Dr - Bldg 20 - 27.5yr</t>
        </is>
      </c>
      <c r="W207" s="86" t="n">
        <v>171882.34</v>
      </c>
      <c r="AB207" s="87" t="n">
        <v>171882.34</v>
      </c>
    </row>
    <row r="208" ht="15" customHeight="1" s="80">
      <c r="A208" s="85" t="inlineStr">
        <is>
          <t>04/23/2026</t>
        </is>
      </c>
      <c r="B208" s="85" t="inlineStr">
        <is>
          <t>7 - Building - 2201 Northview Dr - Bldg 21 - 15yr</t>
        </is>
      </c>
      <c r="X208" s="86" t="n">
        <v>23034.43</v>
      </c>
      <c r="AB208" s="87" t="n">
        <v>23034.43</v>
      </c>
    </row>
    <row r="209" ht="15" customHeight="1" s="80">
      <c r="A209" s="85" t="inlineStr">
        <is>
          <t>04/23/2026</t>
        </is>
      </c>
      <c r="B209" s="85" t="inlineStr">
        <is>
          <t>7 - Building - 2201 Northview Dr - Bldg 21 - 27.5yr</t>
        </is>
      </c>
      <c r="X209" s="86" t="n">
        <v>102649.8</v>
      </c>
      <c r="AB209" s="87" t="n">
        <v>102649.8</v>
      </c>
    </row>
    <row r="210" ht="15" customHeight="1" s="80">
      <c r="A210" s="85" t="inlineStr">
        <is>
          <t>04/23/2026</t>
        </is>
      </c>
      <c r="B210" s="85" t="inlineStr">
        <is>
          <t>7 - Building - 2201 Northview Dr - Bldg 22 - 15yr</t>
        </is>
      </c>
      <c r="Y210" s="86" t="n">
        <v>28481.01</v>
      </c>
      <c r="AB210" s="87" t="n">
        <v>28481.01</v>
      </c>
    </row>
    <row r="211" ht="15" customHeight="1" s="80">
      <c r="A211" s="85" t="inlineStr">
        <is>
          <t>04/23/2026</t>
        </is>
      </c>
      <c r="B211" s="85" t="inlineStr">
        <is>
          <t>7 - Building - 2201 Northview Dr - Bldg 22 - 27.5yr</t>
        </is>
      </c>
      <c r="Y211" s="86" t="n">
        <v>129075.6</v>
      </c>
      <c r="AB211" s="87" t="n">
        <v>129075.6</v>
      </c>
    </row>
    <row r="212" ht="15" customHeight="1" s="80">
      <c r="A212" s="85" t="inlineStr">
        <is>
          <t>04/23/2026</t>
        </is>
      </c>
      <c r="B212" s="85" t="inlineStr">
        <is>
          <t>7 - Building - 2201 Northview Dr - Shed B - 15yr</t>
        </is>
      </c>
      <c r="Z212" s="86" t="n">
        <v>100.82</v>
      </c>
      <c r="AB212" s="87" t="n">
        <v>100.82</v>
      </c>
    </row>
    <row r="213" ht="15" customHeight="1" s="80">
      <c r="A213" s="85" t="inlineStr">
        <is>
          <t>04/23/2026</t>
        </is>
      </c>
      <c r="B213" s="85" t="inlineStr">
        <is>
          <t>7 - Building - 2201 Northview Dr - Shed B - 27.5yr</t>
        </is>
      </c>
      <c r="Z213" s="86" t="n">
        <v>4883.27</v>
      </c>
      <c r="AB213" s="87" t="n">
        <v>4883.27</v>
      </c>
    </row>
    <row r="214" ht="15" customHeight="1" s="80">
      <c r="A214" s="85" t="inlineStr">
        <is>
          <t>04/23/2026</t>
        </is>
      </c>
      <c r="B214" s="85" t="inlineStr">
        <is>
          <t>7 - Building - 2201 Northview Dr - Laundry - 15yr</t>
        </is>
      </c>
      <c r="AA214" s="86" t="n">
        <v>10464.28</v>
      </c>
      <c r="AB214" s="87" t="n">
        <v>10464.28</v>
      </c>
    </row>
    <row r="215" ht="15" customHeight="1" s="80">
      <c r="A215" s="85" t="inlineStr">
        <is>
          <t>04/23/2026</t>
        </is>
      </c>
      <c r="B215" s="85" t="inlineStr">
        <is>
          <t>7 - Building - 2201 Northview Dr - Laundry - 27.5yr</t>
        </is>
      </c>
      <c r="AA215" s="86" t="n">
        <v>6027.6</v>
      </c>
      <c r="AB215" s="87" t="n">
        <v>6027.6</v>
      </c>
    </row>
    <row r="216" ht="15" customHeight="1" s="80">
      <c r="A216" s="85" t="inlineStr">
        <is>
          <t>04/23/2026</t>
        </is>
      </c>
      <c r="B216" s="85" t="inlineStr">
        <is>
          <t>8 - Land Improvements - 2201 Northview Dr - Site - 7yr</t>
        </is>
      </c>
      <c r="C216" s="86" t="n">
        <v>515.12</v>
      </c>
      <c r="AB216" s="87" t="n">
        <v>515.12</v>
      </c>
    </row>
    <row r="217" ht="15" customHeight="1" s="80">
      <c r="A217" s="85" t="inlineStr">
        <is>
          <t>04/23/2026</t>
        </is>
      </c>
      <c r="B217" s="85" t="inlineStr">
        <is>
          <t>8 - Land Improvements - 2201 Northview Dr - Site - 27.5yr</t>
        </is>
      </c>
      <c r="C217" s="86" t="n">
        <v>33068.14</v>
      </c>
      <c r="AB217" s="87" t="n">
        <v>33068.14</v>
      </c>
    </row>
    <row r="218" ht="15" customHeight="1" s="80">
      <c r="A218" s="85" t="inlineStr">
        <is>
          <t>04/23/2026</t>
        </is>
      </c>
      <c r="B218" s="85" t="inlineStr">
        <is>
          <t>8 - Land Improvements - 2201 Northview Dr - Bldg 1 - 15yr</t>
        </is>
      </c>
      <c r="D218" s="86" t="n">
        <v>4704.15</v>
      </c>
      <c r="AB218" s="87" t="n">
        <v>4704.15</v>
      </c>
    </row>
    <row r="219" ht="15" customHeight="1" s="80">
      <c r="A219" s="85" t="inlineStr">
        <is>
          <t>04/23/2026</t>
        </is>
      </c>
      <c r="B219" s="85" t="inlineStr">
        <is>
          <t>8 - Land Improvements - 2201 Northview Dr - Bldg 1 - 27.5yr</t>
        </is>
      </c>
      <c r="D219" s="86" t="n">
        <v>22197.76</v>
      </c>
      <c r="AB219" s="87" t="n">
        <v>22197.76</v>
      </c>
    </row>
    <row r="220" ht="15" customHeight="1" s="80">
      <c r="A220" s="85" t="inlineStr">
        <is>
          <t>04/23/2026</t>
        </is>
      </c>
      <c r="B220" s="85" t="inlineStr">
        <is>
          <t>8 - Land Improvements - 2201 Northview Dr - Bldg 2 - 15yr</t>
        </is>
      </c>
      <c r="E220" s="86" t="n">
        <v>3743.42</v>
      </c>
      <c r="AB220" s="87" t="n">
        <v>3743.42</v>
      </c>
    </row>
    <row r="221" ht="15" customHeight="1" s="80">
      <c r="A221" s="85" t="inlineStr">
        <is>
          <t>04/23/2026</t>
        </is>
      </c>
      <c r="B221" s="85" t="inlineStr">
        <is>
          <t>8 - Land Improvements - 2201 Northview Dr - Bldg 2 - 27.5yr</t>
        </is>
      </c>
      <c r="E221" s="86" t="n">
        <v>16808.49</v>
      </c>
      <c r="AB221" s="87" t="n">
        <v>16808.49</v>
      </c>
    </row>
    <row r="222" ht="15" customHeight="1" s="80">
      <c r="A222" s="85" t="inlineStr">
        <is>
          <t>04/23/2026</t>
        </is>
      </c>
      <c r="B222" s="85" t="inlineStr">
        <is>
          <t>8 - Land Improvements - 2201 Northview Dr - Bldg 3 - 15yr</t>
        </is>
      </c>
      <c r="F222" s="86" t="n">
        <v>2972.18</v>
      </c>
      <c r="AB222" s="87" t="n">
        <v>2972.18</v>
      </c>
    </row>
    <row r="223" ht="15" customHeight="1" s="80">
      <c r="A223" s="85" t="inlineStr">
        <is>
          <t>04/23/2026</t>
        </is>
      </c>
      <c r="B223" s="85" t="inlineStr">
        <is>
          <t>8 - Land Improvements - 2201 Northview Dr - Bldg 3 - 27.5yr</t>
        </is>
      </c>
      <c r="F223" s="86" t="n">
        <v>13245.14</v>
      </c>
      <c r="AB223" s="87" t="n">
        <v>13245.14</v>
      </c>
    </row>
    <row r="224" ht="15" customHeight="1" s="80">
      <c r="A224" s="85" t="inlineStr">
        <is>
          <t>04/23/2026</t>
        </is>
      </c>
      <c r="B224" s="85" t="inlineStr">
        <is>
          <t>8 - Land Improvements - 2201 Northview Dr - Bldg 4 - 15yr</t>
        </is>
      </c>
      <c r="G224" s="86" t="n">
        <v>5940.54</v>
      </c>
      <c r="AB224" s="87" t="n">
        <v>5940.54</v>
      </c>
    </row>
    <row r="225" ht="15" customHeight="1" s="80">
      <c r="A225" s="85" t="inlineStr">
        <is>
          <t>04/23/2026</t>
        </is>
      </c>
      <c r="B225" s="85" t="inlineStr">
        <is>
          <t>8 - Land Improvements - 2201 Northview Dr - Bldg 4 - 27.5yr</t>
        </is>
      </c>
      <c r="G225" s="86" t="n">
        <v>25862.65</v>
      </c>
      <c r="AB225" s="87" t="n">
        <v>25862.65</v>
      </c>
    </row>
    <row r="226" ht="15" customHeight="1" s="80">
      <c r="A226" s="85" t="inlineStr">
        <is>
          <t>04/23/2026</t>
        </is>
      </c>
      <c r="B226" s="85" t="inlineStr">
        <is>
          <t>8 - Land Improvements - 2201 Northview Dr - Bldg 5 - 15yr</t>
        </is>
      </c>
      <c r="H226" s="86" t="n">
        <v>2972.18</v>
      </c>
      <c r="AB226" s="87" t="n">
        <v>2972.18</v>
      </c>
    </row>
    <row r="227" ht="15" customHeight="1" s="80">
      <c r="A227" s="85" t="inlineStr">
        <is>
          <t>04/23/2026</t>
        </is>
      </c>
      <c r="B227" s="85" t="inlineStr">
        <is>
          <t>8 - Land Improvements - 2201 Northview Dr - Bldg 5 - 27.5yr</t>
        </is>
      </c>
      <c r="H227" s="86" t="n">
        <v>13245.14</v>
      </c>
      <c r="AB227" s="87" t="n">
        <v>13245.14</v>
      </c>
    </row>
    <row r="228" ht="15" customHeight="1" s="80">
      <c r="A228" s="85" t="inlineStr">
        <is>
          <t>04/23/2026</t>
        </is>
      </c>
      <c r="B228" s="85" t="inlineStr">
        <is>
          <t>8 - Land Improvements - 2201 Northview Dr - Bldg 6 - 15yr</t>
        </is>
      </c>
      <c r="I228" s="86" t="n">
        <v>5940.54</v>
      </c>
      <c r="AB228" s="87" t="n">
        <v>5940.54</v>
      </c>
    </row>
    <row r="229" ht="15" customHeight="1" s="80">
      <c r="A229" s="85" t="inlineStr">
        <is>
          <t>04/23/2026</t>
        </is>
      </c>
      <c r="B229" s="85" t="inlineStr">
        <is>
          <t>8 - Land Improvements - 2201 Northview Dr - Bldg 6 - 27.5yr</t>
        </is>
      </c>
      <c r="I229" s="86" t="n">
        <v>25862.65</v>
      </c>
      <c r="AB229" s="87" t="n">
        <v>25862.65</v>
      </c>
    </row>
    <row r="230" ht="15" customHeight="1" s="80">
      <c r="A230" s="85" t="inlineStr">
        <is>
          <t>04/23/2026</t>
        </is>
      </c>
      <c r="B230" s="85" t="inlineStr">
        <is>
          <t>8 - Land Improvements - 2201 Northview Dr - Bldg 7 - 15yr</t>
        </is>
      </c>
      <c r="J230" s="86" t="n">
        <v>3743.42</v>
      </c>
      <c r="AB230" s="87" t="n">
        <v>3743.42</v>
      </c>
    </row>
    <row r="231" ht="15" customHeight="1" s="80">
      <c r="A231" s="85" t="inlineStr">
        <is>
          <t>04/23/2026</t>
        </is>
      </c>
      <c r="B231" s="85" t="inlineStr">
        <is>
          <t>8 - Land Improvements - 2201 Northview Dr - Bldg 7 - 27.5yr</t>
        </is>
      </c>
      <c r="J231" s="86" t="n">
        <v>16808.49</v>
      </c>
      <c r="AB231" s="87" t="n">
        <v>16808.49</v>
      </c>
    </row>
    <row r="232" ht="15" customHeight="1" s="80">
      <c r="A232" s="85" t="inlineStr">
        <is>
          <t>04/23/2026</t>
        </is>
      </c>
      <c r="B232" s="85" t="inlineStr">
        <is>
          <t>8 - Land Improvements - 2201 Northview Dr - Bldg 8 - 15yr</t>
        </is>
      </c>
      <c r="K232" s="86" t="n">
        <v>5157.54</v>
      </c>
      <c r="AB232" s="87" t="n">
        <v>5157.54</v>
      </c>
    </row>
    <row r="233" ht="15" customHeight="1" s="80">
      <c r="A233" s="85" t="inlineStr">
        <is>
          <t>04/23/2026</t>
        </is>
      </c>
      <c r="B233" s="85" t="inlineStr">
        <is>
          <t>8 - Land Improvements - 2201 Northview Dr - Bldg 8 - 27.5yr</t>
        </is>
      </c>
      <c r="K233" s="86" t="n">
        <v>22445.16</v>
      </c>
      <c r="AB233" s="87" t="n">
        <v>22445.16</v>
      </c>
    </row>
    <row r="234" ht="15" customHeight="1" s="80">
      <c r="A234" s="85" t="inlineStr">
        <is>
          <t>04/23/2026</t>
        </is>
      </c>
      <c r="B234" s="85" t="inlineStr">
        <is>
          <t>8 - Land Improvements - 2201 Northview Dr - Bldg 9 - 15yr</t>
        </is>
      </c>
      <c r="L234" s="86" t="n">
        <v>5112.36</v>
      </c>
      <c r="AB234" s="87" t="n">
        <v>5112.36</v>
      </c>
    </row>
    <row r="235" ht="15" customHeight="1" s="80">
      <c r="A235" s="85" t="inlineStr">
        <is>
          <t>04/23/2026</t>
        </is>
      </c>
      <c r="B235" s="85" t="inlineStr">
        <is>
          <t>8 - Land Improvements - 2201 Northview Dr - Bldg 9 - 27.5yr</t>
        </is>
      </c>
      <c r="L235" s="86" t="n">
        <v>22413.89</v>
      </c>
      <c r="AB235" s="87" t="n">
        <v>22413.89</v>
      </c>
    </row>
    <row r="236" ht="15" customHeight="1" s="80">
      <c r="A236" s="85" t="inlineStr">
        <is>
          <t>04/23/2026</t>
        </is>
      </c>
      <c r="B236" s="85" t="inlineStr">
        <is>
          <t>8 - Land Improvements - 2201 Northview Dr - Bldg 10 - 15yr</t>
        </is>
      </c>
      <c r="M236" s="86" t="n">
        <v>2972.18</v>
      </c>
      <c r="AB236" s="87" t="n">
        <v>2972.18</v>
      </c>
    </row>
    <row r="237" ht="15" customHeight="1" s="80">
      <c r="A237" s="85" t="inlineStr">
        <is>
          <t>04/23/2026</t>
        </is>
      </c>
      <c r="B237" s="85" t="inlineStr">
        <is>
          <t>8 - Land Improvements - 2201 Northview Dr - Bldg 10 - 27.5yr</t>
        </is>
      </c>
      <c r="M237" s="86" t="n">
        <v>13245.14</v>
      </c>
      <c r="AB237" s="87" t="n">
        <v>13245.14</v>
      </c>
    </row>
    <row r="238" ht="15" customHeight="1" s="80">
      <c r="A238" s="85" t="inlineStr">
        <is>
          <t>04/23/2026</t>
        </is>
      </c>
      <c r="B238" s="85" t="inlineStr">
        <is>
          <t>8 - Land Improvements - 2201 Northview Dr - Bldg 11 - 15yr</t>
        </is>
      </c>
      <c r="N238" s="86" t="n">
        <v>6669.52</v>
      </c>
      <c r="AB238" s="87" t="n">
        <v>6669.52</v>
      </c>
    </row>
    <row r="239" ht="15" customHeight="1" s="80">
      <c r="A239" s="85" t="inlineStr">
        <is>
          <t>04/23/2026</t>
        </is>
      </c>
      <c r="B239" s="85" t="inlineStr">
        <is>
          <t>8 - Land Improvements - 2201 Northview Dr - Bldg 11 - 27.5yr</t>
        </is>
      </c>
      <c r="N239" s="86" t="n">
        <v>29115.58</v>
      </c>
      <c r="AB239" s="87" t="n">
        <v>29115.58</v>
      </c>
    </row>
    <row r="240" ht="15" customHeight="1" s="80">
      <c r="A240" s="85" t="inlineStr">
        <is>
          <t>04/23/2026</t>
        </is>
      </c>
      <c r="B240" s="85" t="inlineStr">
        <is>
          <t>8 - Land Improvements - 2201 Northview Dr - Bldg 12 - 15yr</t>
        </is>
      </c>
      <c r="O240" s="86" t="n">
        <v>4435.53</v>
      </c>
      <c r="AB240" s="87" t="n">
        <v>4435.53</v>
      </c>
    </row>
    <row r="241" ht="15" customHeight="1" s="80">
      <c r="A241" s="85" t="inlineStr">
        <is>
          <t>04/23/2026</t>
        </is>
      </c>
      <c r="B241" s="85" t="inlineStr">
        <is>
          <t>8 - Land Improvements - 2201 Northview Dr - Bldg 12 - 27.5yr</t>
        </is>
      </c>
      <c r="O241" s="86" t="n">
        <v>19328.12</v>
      </c>
      <c r="AB241" s="87" t="n">
        <v>19328.12</v>
      </c>
    </row>
    <row r="242" ht="15" customHeight="1" s="80">
      <c r="A242" s="85" t="inlineStr">
        <is>
          <t>04/23/2026</t>
        </is>
      </c>
      <c r="B242" s="85" t="inlineStr">
        <is>
          <t>8 - Land Improvements - 2201 Northview Dr - Bldg 13 - 15yr</t>
        </is>
      </c>
      <c r="P242" s="86" t="n">
        <v>4435.53</v>
      </c>
      <c r="AB242" s="87" t="n">
        <v>4435.53</v>
      </c>
    </row>
    <row r="243" ht="15" customHeight="1" s="80">
      <c r="A243" s="85" t="inlineStr">
        <is>
          <t>04/23/2026</t>
        </is>
      </c>
      <c r="B243" s="85" t="inlineStr">
        <is>
          <t>8 - Land Improvements - 2201 Northview Dr - Bldg 13 - 27.5yr</t>
        </is>
      </c>
      <c r="P243" s="86" t="n">
        <v>19328.12</v>
      </c>
      <c r="AB243" s="87" t="n">
        <v>19328.12</v>
      </c>
    </row>
    <row r="244" ht="15" customHeight="1" s="80">
      <c r="A244" s="85" t="inlineStr">
        <is>
          <t>04/23/2026</t>
        </is>
      </c>
      <c r="B244" s="85" t="inlineStr">
        <is>
          <t>8 - Land Improvements - 2201 Northview Dr - Bldg 14 - 15yr</t>
        </is>
      </c>
      <c r="Q244" s="86" t="n">
        <v>4435.53</v>
      </c>
      <c r="AB244" s="87" t="n">
        <v>4435.53</v>
      </c>
    </row>
    <row r="245" ht="15" customHeight="1" s="80">
      <c r="A245" s="85" t="inlineStr">
        <is>
          <t>04/23/2026</t>
        </is>
      </c>
      <c r="B245" s="85" t="inlineStr">
        <is>
          <t>8 - Land Improvements - 2201 Northview Dr - Bldg 14 - 27.5yr</t>
        </is>
      </c>
      <c r="Q245" s="86" t="n">
        <v>19328.12</v>
      </c>
      <c r="AB245" s="87" t="n">
        <v>19328.12</v>
      </c>
    </row>
    <row r="246" ht="15" customHeight="1" s="80">
      <c r="A246" s="85" t="inlineStr">
        <is>
          <t>04/23/2026</t>
        </is>
      </c>
      <c r="B246" s="85" t="inlineStr">
        <is>
          <t>8 - Land Improvements - 2201 Northview Dr - Bldg 15 - 15yr</t>
        </is>
      </c>
      <c r="R246" s="86" t="n">
        <v>6669.52</v>
      </c>
      <c r="AB246" s="87" t="n">
        <v>6669.52</v>
      </c>
    </row>
    <row r="247" ht="15" customHeight="1" s="80">
      <c r="A247" s="85" t="inlineStr">
        <is>
          <t>04/23/2026</t>
        </is>
      </c>
      <c r="B247" s="85" t="inlineStr">
        <is>
          <t>8 - Land Improvements - 2201 Northview Dr - Bldg 15 - 27.5yr</t>
        </is>
      </c>
      <c r="R247" s="86" t="n">
        <v>29115.58</v>
      </c>
      <c r="AB247" s="87" t="n">
        <v>29115.58</v>
      </c>
    </row>
    <row r="248" ht="15" customHeight="1" s="80">
      <c r="A248" s="85" t="inlineStr">
        <is>
          <t>04/23/2026</t>
        </is>
      </c>
      <c r="B248" s="85" t="inlineStr">
        <is>
          <t>8 - Land Improvements - 2201 Northview Dr - Bldg 16 - 15yr</t>
        </is>
      </c>
      <c r="S248" s="86" t="n">
        <v>2972.18</v>
      </c>
      <c r="AB248" s="87" t="n">
        <v>2972.18</v>
      </c>
    </row>
    <row r="249" ht="15" customHeight="1" s="80">
      <c r="A249" s="85" t="inlineStr">
        <is>
          <t>04/23/2026</t>
        </is>
      </c>
      <c r="B249" s="85" t="inlineStr">
        <is>
          <t>8 - Land Improvements - 2201 Northview Dr - Bldg 16 - 27.5yr</t>
        </is>
      </c>
      <c r="S249" s="86" t="n">
        <v>13245.14</v>
      </c>
      <c r="AB249" s="87" t="n">
        <v>13245.14</v>
      </c>
    </row>
    <row r="250" ht="15" customHeight="1" s="80">
      <c r="A250" s="85" t="inlineStr">
        <is>
          <t>04/23/2026</t>
        </is>
      </c>
      <c r="B250" s="85" t="inlineStr">
        <is>
          <t>8 - Land Improvements - 2201 Northview Dr - Bldg 17 - 15yr</t>
        </is>
      </c>
      <c r="T250" s="86" t="n">
        <v>2236.32</v>
      </c>
      <c r="AB250" s="87" t="n">
        <v>2236.32</v>
      </c>
    </row>
    <row r="251" ht="15" customHeight="1" s="80">
      <c r="A251" s="85" t="inlineStr">
        <is>
          <t>04/23/2026</t>
        </is>
      </c>
      <c r="B251" s="85" t="inlineStr">
        <is>
          <t>8 - Land Improvements - 2201 Northview Dr - Bldg 17 - 27.5yr</t>
        </is>
      </c>
      <c r="T251" s="86" t="n">
        <v>10017.46</v>
      </c>
      <c r="AB251" s="87" t="n">
        <v>10017.46</v>
      </c>
    </row>
    <row r="252" ht="15" customHeight="1" s="80">
      <c r="A252" s="85" t="inlineStr">
        <is>
          <t>04/23/2026</t>
        </is>
      </c>
      <c r="B252" s="85" t="inlineStr">
        <is>
          <t>8 - Land Improvements - 2201 Northview Dr - Bldg 18 - 15yr</t>
        </is>
      </c>
      <c r="U252" s="86" t="n">
        <v>2236.32</v>
      </c>
      <c r="AB252" s="87" t="n">
        <v>2236.32</v>
      </c>
    </row>
    <row r="253" ht="15" customHeight="1" s="80">
      <c r="A253" s="85" t="inlineStr">
        <is>
          <t>04/23/2026</t>
        </is>
      </c>
      <c r="B253" s="85" t="inlineStr">
        <is>
          <t>8 - Land Improvements - 2201 Northview Dr - Bldg 18 - 27.5yr</t>
        </is>
      </c>
      <c r="U253" s="86" t="n">
        <v>10017.46</v>
      </c>
      <c r="AB253" s="87" t="n">
        <v>10017.46</v>
      </c>
    </row>
    <row r="254" ht="15" customHeight="1" s="80">
      <c r="A254" s="85" t="inlineStr">
        <is>
          <t>04/23/2026</t>
        </is>
      </c>
      <c r="B254" s="85" t="inlineStr">
        <is>
          <t>8 - Land Improvements - 2201 Northview Dr - Bldg 19 - 15yr</t>
        </is>
      </c>
      <c r="V254" s="86" t="n">
        <v>3674.97</v>
      </c>
      <c r="AB254" s="87" t="n">
        <v>3674.97</v>
      </c>
    </row>
    <row r="255" ht="15" customHeight="1" s="80">
      <c r="A255" s="85" t="inlineStr">
        <is>
          <t>04/23/2026</t>
        </is>
      </c>
      <c r="B255" s="85" t="inlineStr">
        <is>
          <t>8 - Land Improvements - 2201 Northview Dr - Bldg 19 - 27.5yr</t>
        </is>
      </c>
      <c r="V255" s="86" t="n">
        <v>16654.91</v>
      </c>
      <c r="AB255" s="87" t="n">
        <v>16654.91</v>
      </c>
    </row>
    <row r="256" ht="15" customHeight="1" s="80">
      <c r="A256" s="85" t="inlineStr">
        <is>
          <t>04/23/2026</t>
        </is>
      </c>
      <c r="B256" s="85" t="inlineStr">
        <is>
          <t>8 - Land Improvements - 2201 Northview Dr - Bldg 20 - 15yr</t>
        </is>
      </c>
      <c r="W256" s="86" t="n">
        <v>5035.16</v>
      </c>
      <c r="AB256" s="87" t="n">
        <v>5035.16</v>
      </c>
    </row>
    <row r="257" ht="15" customHeight="1" s="80">
      <c r="A257" s="85" t="inlineStr">
        <is>
          <t>04/23/2026</t>
        </is>
      </c>
      <c r="B257" s="85" t="inlineStr">
        <is>
          <t>8 - Land Improvements - 2201 Northview Dr - Bldg 20 - 27.5yr</t>
        </is>
      </c>
      <c r="W257" s="86" t="n">
        <v>22178.36</v>
      </c>
      <c r="AB257" s="87" t="n">
        <v>22178.36</v>
      </c>
    </row>
    <row r="258" ht="15" customHeight="1" s="80">
      <c r="A258" s="85" t="inlineStr">
        <is>
          <t>04/23/2026</t>
        </is>
      </c>
      <c r="B258" s="85" t="inlineStr">
        <is>
          <t>8 - Land Improvements - 2201 Northview Dr - Bldg 21 - 15yr</t>
        </is>
      </c>
      <c r="X258" s="86" t="n">
        <v>2972.18</v>
      </c>
      <c r="AB258" s="87" t="n">
        <v>2972.18</v>
      </c>
    </row>
    <row r="259" ht="15" customHeight="1" s="80">
      <c r="A259" s="85" t="inlineStr">
        <is>
          <t>04/23/2026</t>
        </is>
      </c>
      <c r="B259" s="85" t="inlineStr">
        <is>
          <t>8 - Land Improvements - 2201 Northview Dr - Bldg 21 - 27.5yr</t>
        </is>
      </c>
      <c r="X259" s="86" t="n">
        <v>13245.14</v>
      </c>
      <c r="AB259" s="87" t="n">
        <v>13245.14</v>
      </c>
    </row>
    <row r="260" ht="15" customHeight="1" s="80">
      <c r="A260" s="85" t="inlineStr">
        <is>
          <t>04/23/2026</t>
        </is>
      </c>
      <c r="B260" s="85" t="inlineStr">
        <is>
          <t>8 - Land Improvements - 2201 Northview Dr - Bldg 22 - 15yr</t>
        </is>
      </c>
      <c r="Y260" s="86" t="n">
        <v>3674.97</v>
      </c>
      <c r="AB260" s="87" t="n">
        <v>3674.97</v>
      </c>
    </row>
    <row r="261" ht="15" customHeight="1" s="80">
      <c r="A261" s="85" t="inlineStr">
        <is>
          <t>04/23/2026</t>
        </is>
      </c>
      <c r="B261" s="85" t="inlineStr">
        <is>
          <t>8 - Land Improvements - 2201 Northview Dr - Bldg 22 - 27.5yr</t>
        </is>
      </c>
      <c r="Y261" s="86" t="n">
        <v>16654.91</v>
      </c>
      <c r="AB261" s="87" t="n">
        <v>16654.91</v>
      </c>
    </row>
    <row r="262" ht="15" customHeight="1" s="80">
      <c r="A262" s="85" t="inlineStr">
        <is>
          <t>04/23/2026</t>
        </is>
      </c>
      <c r="B262" s="85" t="inlineStr">
        <is>
          <t>8 - Land Improvements - 2201 Northview Dr - Shed B - 15yr</t>
        </is>
      </c>
      <c r="Z262" s="86" t="n">
        <v>13.01</v>
      </c>
      <c r="AB262" s="87" t="n">
        <v>13.01</v>
      </c>
    </row>
    <row r="263" ht="15" customHeight="1" s="80">
      <c r="A263" s="85" t="inlineStr">
        <is>
          <t>04/23/2026</t>
        </is>
      </c>
      <c r="B263" s="85" t="inlineStr">
        <is>
          <t>8 - Land Improvements - 2201 Northview Dr - Shed B - 27.5yr</t>
        </is>
      </c>
      <c r="Z263" s="86" t="n">
        <v>630.1</v>
      </c>
      <c r="AB263" s="87" t="n">
        <v>630.1</v>
      </c>
    </row>
    <row r="264" ht="15" customHeight="1" s="80">
      <c r="A264" s="85" t="inlineStr">
        <is>
          <t>04/23/2026</t>
        </is>
      </c>
      <c r="B264" s="85" t="inlineStr">
        <is>
          <t>8 - Land Improvements - 2201 Northview Dr - Laundry - 15yr</t>
        </is>
      </c>
      <c r="AA264" s="86" t="n">
        <v>1350.23</v>
      </c>
      <c r="AB264" s="87" t="n">
        <v>1350.23</v>
      </c>
    </row>
    <row r="265" ht="15" customHeight="1" s="80">
      <c r="A265" s="85" t="inlineStr">
        <is>
          <t>04/23/2026</t>
        </is>
      </c>
      <c r="B265" s="85" t="inlineStr">
        <is>
          <t>8 - Land Improvements - 2201 Northview Dr - Laundry - 27.5yr</t>
        </is>
      </c>
      <c r="AA265" s="86" t="n">
        <v>777.75</v>
      </c>
      <c r="AB265" s="87" t="n">
        <v>777.75</v>
      </c>
    </row>
    <row r="266" ht="15" customHeight="1" s="80">
      <c r="A266" s="85" t="inlineStr">
        <is>
          <t>04/23/2026</t>
        </is>
      </c>
      <c r="B266" s="85" t="inlineStr">
        <is>
          <t>9 - Furniture &amp; Fixtures - 2201 Northview Dr - Site - 7yr</t>
        </is>
      </c>
      <c r="C266" s="86" t="n">
        <v>965.84</v>
      </c>
      <c r="AB266" s="87" t="n">
        <v>965.84</v>
      </c>
    </row>
    <row r="267" ht="15" customHeight="1" s="80">
      <c r="A267" s="85" t="inlineStr">
        <is>
          <t>04/23/2026</t>
        </is>
      </c>
      <c r="B267" s="85" t="inlineStr">
        <is>
          <t>9 - Furniture &amp; Fixtures - 2201 Northview Dr - Site - 27.5yr</t>
        </is>
      </c>
      <c r="C267" s="86" t="n">
        <v>62002.79</v>
      </c>
      <c r="AB267" s="87" t="n">
        <v>62002.79</v>
      </c>
    </row>
    <row r="268" ht="15" customHeight="1" s="80">
      <c r="A268" s="85" t="inlineStr">
        <is>
          <t>04/23/2026</t>
        </is>
      </c>
      <c r="B268" s="85" t="inlineStr">
        <is>
          <t>9 - Furniture &amp; Fixtures - 2201 Northview Dr - Bldg 1 - 15yr</t>
        </is>
      </c>
      <c r="D268" s="86" t="n">
        <v>8820.290000000001</v>
      </c>
      <c r="AB268" s="87" t="n">
        <v>8820.290000000001</v>
      </c>
    </row>
    <row r="269" ht="15" customHeight="1" s="80">
      <c r="A269" s="85" t="inlineStr">
        <is>
          <t>04/23/2026</t>
        </is>
      </c>
      <c r="B269" s="85" t="inlineStr">
        <is>
          <t>9 - Furniture &amp; Fixtures - 2201 Northview Dr - Bldg 1 - 27.5yr</t>
        </is>
      </c>
      <c r="D269" s="86" t="n">
        <v>41620.82</v>
      </c>
      <c r="AB269" s="87" t="n">
        <v>41620.82</v>
      </c>
    </row>
    <row r="270" ht="15" customHeight="1" s="80">
      <c r="A270" s="85" t="inlineStr">
        <is>
          <t>04/23/2026</t>
        </is>
      </c>
      <c r="B270" s="85" t="inlineStr">
        <is>
          <t>9 - Furniture &amp; Fixtures - 2201 Northview Dr - Bldg 2 - 15yr</t>
        </is>
      </c>
      <c r="E270" s="86" t="n">
        <v>7018.93</v>
      </c>
      <c r="AB270" s="87" t="n">
        <v>7018.93</v>
      </c>
    </row>
    <row r="271" ht="15" customHeight="1" s="80">
      <c r="A271" s="85" t="inlineStr">
        <is>
          <t>04/23/2026</t>
        </is>
      </c>
      <c r="B271" s="85" t="inlineStr">
        <is>
          <t>9 - Furniture &amp; Fixtures - 2201 Northview Dr - Bldg 2 - 27.5yr</t>
        </is>
      </c>
      <c r="E271" s="86" t="n">
        <v>31515.92</v>
      </c>
      <c r="AB271" s="87" t="n">
        <v>31515.92</v>
      </c>
    </row>
    <row r="272" ht="15" customHeight="1" s="80">
      <c r="A272" s="85" t="inlineStr">
        <is>
          <t>04/23/2026</t>
        </is>
      </c>
      <c r="B272" s="85" t="inlineStr">
        <is>
          <t>9 - Furniture &amp; Fixtures - 2201 Northview Dr - Bldg 3 - 15yr</t>
        </is>
      </c>
      <c r="F272" s="86" t="n">
        <v>5572.85</v>
      </c>
      <c r="AB272" s="87" t="n">
        <v>5572.85</v>
      </c>
    </row>
    <row r="273" ht="15" customHeight="1" s="80">
      <c r="A273" s="85" t="inlineStr">
        <is>
          <t>04/23/2026</t>
        </is>
      </c>
      <c r="B273" s="85" t="inlineStr">
        <is>
          <t>9 - Furniture &amp; Fixtures - 2201 Northview Dr - Bldg 3 - 27.5yr</t>
        </is>
      </c>
      <c r="F273" s="86" t="n">
        <v>24834.63</v>
      </c>
      <c r="AB273" s="87" t="n">
        <v>24834.63</v>
      </c>
    </row>
    <row r="274" ht="15" customHeight="1" s="80">
      <c r="A274" s="85" t="inlineStr">
        <is>
          <t>04/23/2026</t>
        </is>
      </c>
      <c r="B274" s="85" t="inlineStr">
        <is>
          <t>9 - Furniture &amp; Fixtures - 2201 Northview Dr - Bldg 4 - 15yr</t>
        </is>
      </c>
      <c r="G274" s="86" t="n">
        <v>11138.51</v>
      </c>
      <c r="AB274" s="87" t="n">
        <v>11138.51</v>
      </c>
    </row>
    <row r="275" ht="15" customHeight="1" s="80">
      <c r="A275" s="85" t="inlineStr">
        <is>
          <t>04/23/2026</t>
        </is>
      </c>
      <c r="B275" s="85" t="inlineStr">
        <is>
          <t>9 - Furniture &amp; Fixtures - 2201 Northview Dr - Bldg 4 - 27.5yr</t>
        </is>
      </c>
      <c r="G275" s="86" t="n">
        <v>48492.49</v>
      </c>
      <c r="AB275" s="87" t="n">
        <v>48492.49</v>
      </c>
    </row>
    <row r="276" ht="15" customHeight="1" s="80">
      <c r="A276" s="85" t="inlineStr">
        <is>
          <t>04/23/2026</t>
        </is>
      </c>
      <c r="B276" s="85" t="inlineStr">
        <is>
          <t>9 - Furniture &amp; Fixtures - 2201 Northview Dr - Bldg 5 - 15yr</t>
        </is>
      </c>
      <c r="H276" s="86" t="n">
        <v>5572.85</v>
      </c>
      <c r="AB276" s="87" t="n">
        <v>5572.85</v>
      </c>
    </row>
    <row r="277" ht="15" customHeight="1" s="80">
      <c r="A277" s="85" t="inlineStr">
        <is>
          <t>04/23/2026</t>
        </is>
      </c>
      <c r="B277" s="85" t="inlineStr">
        <is>
          <t>9 - Furniture &amp; Fixtures - 2201 Northview Dr - Bldg 5 - 27.5yr</t>
        </is>
      </c>
      <c r="H277" s="86" t="n">
        <v>24834.63</v>
      </c>
      <c r="AB277" s="87" t="n">
        <v>24834.63</v>
      </c>
    </row>
    <row r="278" ht="15" customHeight="1" s="80">
      <c r="A278" s="85" t="inlineStr">
        <is>
          <t>04/23/2026</t>
        </is>
      </c>
      <c r="B278" s="85" t="inlineStr">
        <is>
          <t>9 - Furniture &amp; Fixtures - 2201 Northview Dr - Bldg 6 - 15yr</t>
        </is>
      </c>
      <c r="I278" s="86" t="n">
        <v>11138.51</v>
      </c>
      <c r="AB278" s="87" t="n">
        <v>11138.51</v>
      </c>
    </row>
    <row r="279" ht="15" customHeight="1" s="80">
      <c r="A279" s="85" t="inlineStr">
        <is>
          <t>04/23/2026</t>
        </is>
      </c>
      <c r="B279" s="85" t="inlineStr">
        <is>
          <t>9 - Furniture &amp; Fixtures - 2201 Northview Dr - Bldg 6 - 27.5yr</t>
        </is>
      </c>
      <c r="I279" s="86" t="n">
        <v>48492.49</v>
      </c>
      <c r="AB279" s="87" t="n">
        <v>48492.49</v>
      </c>
    </row>
    <row r="280" ht="15" customHeight="1" s="80">
      <c r="A280" s="85" t="inlineStr">
        <is>
          <t>04/23/2026</t>
        </is>
      </c>
      <c r="B280" s="85" t="inlineStr">
        <is>
          <t>9 - Furniture &amp; Fixtures - 2201 Northview Dr - Bldg 7 - 15yr</t>
        </is>
      </c>
      <c r="J280" s="86" t="n">
        <v>7018.93</v>
      </c>
      <c r="AB280" s="87" t="n">
        <v>7018.93</v>
      </c>
    </row>
    <row r="281" ht="15" customHeight="1" s="80">
      <c r="A281" s="85" t="inlineStr">
        <is>
          <t>04/23/2026</t>
        </is>
      </c>
      <c r="B281" s="85" t="inlineStr">
        <is>
          <t>9 - Furniture &amp; Fixtures - 2201 Northview Dr - Bldg 7 - 27.5yr</t>
        </is>
      </c>
      <c r="J281" s="86" t="n">
        <v>31515.92</v>
      </c>
      <c r="AB281" s="87" t="n">
        <v>31515.92</v>
      </c>
    </row>
    <row r="282" ht="15" customHeight="1" s="80">
      <c r="A282" s="85" t="inlineStr">
        <is>
          <t>04/23/2026</t>
        </is>
      </c>
      <c r="B282" s="85" t="inlineStr">
        <is>
          <t>9 - Furniture &amp; Fixtures - 2201 Northview Dr - Bldg 8 - 15yr</t>
        </is>
      </c>
      <c r="K282" s="86" t="n">
        <v>9670.4</v>
      </c>
      <c r="AB282" s="87" t="n">
        <v>9670.4</v>
      </c>
    </row>
    <row r="283" ht="15" customHeight="1" s="80">
      <c r="A283" s="85" t="inlineStr">
        <is>
          <t>04/23/2026</t>
        </is>
      </c>
      <c r="B283" s="85" t="inlineStr">
        <is>
          <t>9 - Furniture &amp; Fixtures - 2201 Northview Dr - Bldg 8 - 27.5yr</t>
        </is>
      </c>
      <c r="K283" s="86" t="n">
        <v>42084.68</v>
      </c>
      <c r="AB283" s="87" t="n">
        <v>42084.68</v>
      </c>
    </row>
    <row r="284" ht="15" customHeight="1" s="80">
      <c r="A284" s="85" t="inlineStr">
        <is>
          <t>04/23/2026</t>
        </is>
      </c>
      <c r="B284" s="85" t="inlineStr">
        <is>
          <t>9 - Furniture &amp; Fixtures - 2201 Northview Dr - Bldg 9 - 15yr</t>
        </is>
      </c>
      <c r="L284" s="86" t="n">
        <v>9585.690000000001</v>
      </c>
      <c r="AB284" s="87" t="n">
        <v>9585.690000000001</v>
      </c>
    </row>
    <row r="285" ht="15" customHeight="1" s="80">
      <c r="A285" s="85" t="inlineStr">
        <is>
          <t>04/23/2026</t>
        </is>
      </c>
      <c r="B285" s="85" t="inlineStr">
        <is>
          <t>9 - Furniture &amp; Fixtures - 2201 Northview Dr - Bldg 9 - 27.5yr</t>
        </is>
      </c>
      <c r="L285" s="86" t="n">
        <v>42026.04</v>
      </c>
      <c r="AB285" s="87" t="n">
        <v>42026.04</v>
      </c>
    </row>
    <row r="286" ht="15" customHeight="1" s="80">
      <c r="A286" s="85" t="inlineStr">
        <is>
          <t>04/23/2026</t>
        </is>
      </c>
      <c r="B286" s="85" t="inlineStr">
        <is>
          <t>9 - Furniture &amp; Fixtures - 2201 Northview Dr - Bldg 10 - 15yr</t>
        </is>
      </c>
      <c r="M286" s="86" t="n">
        <v>5572.85</v>
      </c>
      <c r="AB286" s="87" t="n">
        <v>5572.85</v>
      </c>
    </row>
    <row r="287" ht="15" customHeight="1" s="80">
      <c r="A287" s="85" t="inlineStr">
        <is>
          <t>04/23/2026</t>
        </is>
      </c>
      <c r="B287" s="85" t="inlineStr">
        <is>
          <t>9 - Furniture &amp; Fixtures - 2201 Northview Dr - Bldg 10 - 27.5yr</t>
        </is>
      </c>
      <c r="M287" s="86" t="n">
        <v>24834.63</v>
      </c>
      <c r="AB287" s="87" t="n">
        <v>24834.63</v>
      </c>
    </row>
    <row r="288" ht="15" customHeight="1" s="80">
      <c r="A288" s="85" t="inlineStr">
        <is>
          <t>04/23/2026</t>
        </is>
      </c>
      <c r="B288" s="85" t="inlineStr">
        <is>
          <t>9 - Furniture &amp; Fixtures - 2201 Northview Dr - Bldg 11 - 15yr</t>
        </is>
      </c>
      <c r="N288" s="86" t="n">
        <v>12505.34</v>
      </c>
      <c r="AB288" s="87" t="n">
        <v>12505.34</v>
      </c>
    </row>
    <row r="289" ht="15" customHeight="1" s="80">
      <c r="A289" s="85" t="inlineStr">
        <is>
          <t>04/23/2026</t>
        </is>
      </c>
      <c r="B289" s="85" t="inlineStr">
        <is>
          <t>9 - Furniture &amp; Fixtures - 2201 Northview Dr - Bldg 11 - 27.5yr</t>
        </is>
      </c>
      <c r="N289" s="86" t="n">
        <v>54591.74</v>
      </c>
      <c r="AB289" s="87" t="n">
        <v>54591.74</v>
      </c>
    </row>
    <row r="290" ht="15" customHeight="1" s="80">
      <c r="A290" s="85" t="inlineStr">
        <is>
          <t>04/23/2026</t>
        </is>
      </c>
      <c r="B290" s="85" t="inlineStr">
        <is>
          <t>9 - Furniture &amp; Fixtures - 2201 Northview Dr - Bldg 12 - 15yr</t>
        </is>
      </c>
      <c r="O290" s="86" t="n">
        <v>8316.620000000001</v>
      </c>
      <c r="AB290" s="87" t="n">
        <v>8316.620000000001</v>
      </c>
    </row>
    <row r="291" ht="15" customHeight="1" s="80">
      <c r="A291" s="85" t="inlineStr">
        <is>
          <t>04/23/2026</t>
        </is>
      </c>
      <c r="B291" s="85" t="inlineStr">
        <is>
          <t>9 - Furniture &amp; Fixtures - 2201 Northview Dr - Bldg 12 - 27.5yr</t>
        </is>
      </c>
      <c r="O291" s="86" t="n">
        <v>36240.25</v>
      </c>
      <c r="AB291" s="87" t="n">
        <v>36240.25</v>
      </c>
    </row>
    <row r="292" ht="15" customHeight="1" s="80">
      <c r="A292" s="85" t="inlineStr">
        <is>
          <t>04/23/2026</t>
        </is>
      </c>
      <c r="B292" s="85" t="inlineStr">
        <is>
          <t>9 - Furniture &amp; Fixtures - 2201 Northview Dr - Bldg 13 - 15yr</t>
        </is>
      </c>
      <c r="P292" s="86" t="n">
        <v>8316.620000000001</v>
      </c>
      <c r="AB292" s="87" t="n">
        <v>8316.620000000001</v>
      </c>
    </row>
    <row r="293" ht="15" customHeight="1" s="80">
      <c r="A293" s="85" t="inlineStr">
        <is>
          <t>04/23/2026</t>
        </is>
      </c>
      <c r="B293" s="85" t="inlineStr">
        <is>
          <t>9 - Furniture &amp; Fixtures - 2201 Northview Dr - Bldg 13 - 27.5yr</t>
        </is>
      </c>
      <c r="P293" s="86" t="n">
        <v>36240.25</v>
      </c>
      <c r="AB293" s="87" t="n">
        <v>36240.25</v>
      </c>
    </row>
    <row r="294" ht="15" customHeight="1" s="80">
      <c r="A294" s="85" t="inlineStr">
        <is>
          <t>04/23/2026</t>
        </is>
      </c>
      <c r="B294" s="85" t="inlineStr">
        <is>
          <t>9 - Furniture &amp; Fixtures - 2201 Northview Dr - Bldg 14 - 15yr</t>
        </is>
      </c>
      <c r="Q294" s="86" t="n">
        <v>8316.620000000001</v>
      </c>
      <c r="AB294" s="87" t="n">
        <v>8316.620000000001</v>
      </c>
    </row>
    <row r="295" ht="15" customHeight="1" s="80">
      <c r="A295" s="85" t="inlineStr">
        <is>
          <t>04/23/2026</t>
        </is>
      </c>
      <c r="B295" s="85" t="inlineStr">
        <is>
          <t>9 - Furniture &amp; Fixtures - 2201 Northview Dr - Bldg 14 - 27.5yr</t>
        </is>
      </c>
      <c r="Q295" s="86" t="n">
        <v>36240.25</v>
      </c>
      <c r="AB295" s="87" t="n">
        <v>36240.25</v>
      </c>
    </row>
    <row r="296" ht="15" customHeight="1" s="80">
      <c r="A296" s="85" t="inlineStr">
        <is>
          <t>04/23/2026</t>
        </is>
      </c>
      <c r="B296" s="85" t="inlineStr">
        <is>
          <t>9 - Furniture &amp; Fixtures - 2201 Northview Dr - Bldg 15 - 15yr</t>
        </is>
      </c>
      <c r="R296" s="86" t="n">
        <v>12505.34</v>
      </c>
      <c r="AB296" s="87" t="n">
        <v>12505.34</v>
      </c>
    </row>
    <row r="297" ht="15" customHeight="1" s="80">
      <c r="A297" s="85" t="inlineStr">
        <is>
          <t>04/23/2026</t>
        </is>
      </c>
      <c r="B297" s="85" t="inlineStr">
        <is>
          <t>9 - Furniture &amp; Fixtures - 2201 Northview Dr - Bldg 15 - 27.5yr</t>
        </is>
      </c>
      <c r="R297" s="86" t="n">
        <v>54591.74</v>
      </c>
      <c r="AB297" s="87" t="n">
        <v>54591.74</v>
      </c>
    </row>
    <row r="298" ht="15" customHeight="1" s="80">
      <c r="A298" s="85" t="inlineStr">
        <is>
          <t>04/23/2026</t>
        </is>
      </c>
      <c r="B298" s="85" t="inlineStr">
        <is>
          <t>9 - Furniture &amp; Fixtures - 2201 Northview Dr - Bldg 16 - 15yr</t>
        </is>
      </c>
      <c r="S298" s="86" t="n">
        <v>5572.85</v>
      </c>
      <c r="AB298" s="87" t="n">
        <v>5572.85</v>
      </c>
    </row>
    <row r="299" ht="15" customHeight="1" s="80">
      <c r="A299" s="85" t="inlineStr">
        <is>
          <t>04/23/2026</t>
        </is>
      </c>
      <c r="B299" s="85" t="inlineStr">
        <is>
          <t>9 - Furniture &amp; Fixtures - 2201 Northview Dr - Bldg 16 - 27.5yr</t>
        </is>
      </c>
      <c r="S299" s="86" t="n">
        <v>24834.63</v>
      </c>
      <c r="AB299" s="87" t="n">
        <v>24834.63</v>
      </c>
    </row>
    <row r="300" ht="15" customHeight="1" s="80">
      <c r="A300" s="85" t="inlineStr">
        <is>
          <t>04/23/2026</t>
        </is>
      </c>
      <c r="B300" s="85" t="inlineStr">
        <is>
          <t>9 - Furniture &amp; Fixtures - 2201 Northview Dr - Bldg 17 - 15yr</t>
        </is>
      </c>
      <c r="T300" s="86" t="n">
        <v>4193.09</v>
      </c>
      <c r="AB300" s="87" t="n">
        <v>4193.09</v>
      </c>
    </row>
    <row r="301" ht="15" customHeight="1" s="80">
      <c r="A301" s="85" t="inlineStr">
        <is>
          <t>04/23/2026</t>
        </is>
      </c>
      <c r="B301" s="85" t="inlineStr">
        <is>
          <t>9 - Furniture &amp; Fixtures - 2201 Northview Dr - Bldg 17 - 27.5yr</t>
        </is>
      </c>
      <c r="T301" s="86" t="n">
        <v>18782.75</v>
      </c>
      <c r="AB301" s="87" t="n">
        <v>18782.75</v>
      </c>
    </row>
    <row r="302" ht="15" customHeight="1" s="80">
      <c r="A302" s="85" t="inlineStr">
        <is>
          <t>04/23/2026</t>
        </is>
      </c>
      <c r="B302" s="85" t="inlineStr">
        <is>
          <t>9 - Furniture &amp; Fixtures - 2201 Northview Dr - Bldg 18 - 15yr</t>
        </is>
      </c>
      <c r="U302" s="86" t="n">
        <v>4193.09</v>
      </c>
      <c r="AB302" s="87" t="n">
        <v>4193.09</v>
      </c>
    </row>
    <row r="303" ht="15" customHeight="1" s="80">
      <c r="A303" s="85" t="inlineStr">
        <is>
          <t>04/23/2026</t>
        </is>
      </c>
      <c r="B303" s="85" t="inlineStr">
        <is>
          <t>9 - Furniture &amp; Fixtures - 2201 Northview Dr - Bldg 18 - 27.5yr</t>
        </is>
      </c>
      <c r="U303" s="86" t="n">
        <v>18782.75</v>
      </c>
      <c r="AB303" s="87" t="n">
        <v>18782.75</v>
      </c>
    </row>
    <row r="304" ht="15" customHeight="1" s="80">
      <c r="A304" s="85" t="inlineStr">
        <is>
          <t>04/23/2026</t>
        </is>
      </c>
      <c r="B304" s="85" t="inlineStr">
        <is>
          <t>9 - Furniture &amp; Fixtures - 2201 Northview Dr - Bldg 19 - 15yr</t>
        </is>
      </c>
      <c r="V304" s="86" t="n">
        <v>6890.57</v>
      </c>
      <c r="AB304" s="87" t="n">
        <v>6890.57</v>
      </c>
    </row>
    <row r="305" ht="15" customHeight="1" s="80">
      <c r="A305" s="85" t="inlineStr">
        <is>
          <t>04/23/2026</t>
        </is>
      </c>
      <c r="B305" s="85" t="inlineStr">
        <is>
          <t>9 - Furniture &amp; Fixtures - 2201 Northview Dr - Bldg 19 - 27.5yr</t>
        </is>
      </c>
      <c r="V305" s="86" t="n">
        <v>31227.97</v>
      </c>
      <c r="AB305" s="87" t="n">
        <v>31227.97</v>
      </c>
    </row>
    <row r="306" ht="15" customHeight="1" s="80">
      <c r="A306" s="85" t="inlineStr">
        <is>
          <t>04/23/2026</t>
        </is>
      </c>
      <c r="B306" s="85" t="inlineStr">
        <is>
          <t>9 - Furniture &amp; Fixtures - 2201 Northview Dr - Bldg 20 - 15yr</t>
        </is>
      </c>
      <c r="W306" s="86" t="n">
        <v>9440.93</v>
      </c>
      <c r="AB306" s="87" t="n">
        <v>9440.93</v>
      </c>
    </row>
    <row r="307" ht="15" customHeight="1" s="80">
      <c r="A307" s="85" t="inlineStr">
        <is>
          <t>04/23/2026</t>
        </is>
      </c>
      <c r="B307" s="85" t="inlineStr">
        <is>
          <t>9 - Furniture &amp; Fixtures - 2201 Northview Dr - Bldg 20 - 27.5yr</t>
        </is>
      </c>
      <c r="W307" s="86" t="n">
        <v>41584.44</v>
      </c>
      <c r="AB307" s="87" t="n">
        <v>41584.44</v>
      </c>
    </row>
    <row r="308" ht="15" customHeight="1" s="80">
      <c r="A308" s="85" t="inlineStr">
        <is>
          <t>04/23/2026</t>
        </is>
      </c>
      <c r="B308" s="85" t="inlineStr">
        <is>
          <t>9 - Furniture &amp; Fixtures - 2201 Northview Dr - Bldg 21 - 15yr</t>
        </is>
      </c>
      <c r="X308" s="86" t="n">
        <v>5572.85</v>
      </c>
      <c r="AB308" s="87" t="n">
        <v>5572.85</v>
      </c>
    </row>
    <row r="309" ht="15" customHeight="1" s="80">
      <c r="A309" s="85" t="inlineStr">
        <is>
          <t>04/23/2026</t>
        </is>
      </c>
      <c r="B309" s="85" t="inlineStr">
        <is>
          <t>9 - Furniture &amp; Fixtures - 2201 Northview Dr - Bldg 21 - 27.5yr</t>
        </is>
      </c>
      <c r="X309" s="86" t="n">
        <v>24834.63</v>
      </c>
      <c r="AB309" s="87" t="n">
        <v>24834.63</v>
      </c>
    </row>
    <row r="310" ht="15" customHeight="1" s="80">
      <c r="A310" s="85" t="inlineStr">
        <is>
          <t>04/23/2026</t>
        </is>
      </c>
      <c r="B310" s="85" t="inlineStr">
        <is>
          <t>9 - Furniture &amp; Fixtures - 2201 Northview Dr - Bldg 22 - 15yr</t>
        </is>
      </c>
      <c r="Y310" s="86" t="n">
        <v>6890.57</v>
      </c>
      <c r="AB310" s="87" t="n">
        <v>6890.57</v>
      </c>
    </row>
    <row r="311" ht="15" customHeight="1" s="80">
      <c r="A311" s="85" t="inlineStr">
        <is>
          <t>04/23/2026</t>
        </is>
      </c>
      <c r="B311" s="85" t="inlineStr">
        <is>
          <t>9 - Furniture &amp; Fixtures - 2201 Northview Dr - Bldg 22 - 27.5yr</t>
        </is>
      </c>
      <c r="Y311" s="86" t="n">
        <v>31227.97</v>
      </c>
      <c r="AB311" s="87" t="n">
        <v>31227.97</v>
      </c>
    </row>
    <row r="312" ht="15" customHeight="1" s="80">
      <c r="A312" s="85" t="inlineStr">
        <is>
          <t>04/23/2026</t>
        </is>
      </c>
      <c r="B312" s="85" t="inlineStr">
        <is>
          <t>9 - Furniture &amp; Fixtures - 2201 Northview Dr - Shed B - 15yr</t>
        </is>
      </c>
      <c r="Z312" s="86" t="n">
        <v>24.39</v>
      </c>
      <c r="AB312" s="87" t="n">
        <v>24.39</v>
      </c>
    </row>
    <row r="313" ht="15" customHeight="1" s="80">
      <c r="A313" s="85" t="inlineStr">
        <is>
          <t>04/23/2026</t>
        </is>
      </c>
      <c r="B313" s="85" t="inlineStr">
        <is>
          <t>9 - Furniture &amp; Fixtures - 2201 Northview Dr - Shed B - 27.5yr</t>
        </is>
      </c>
      <c r="Z313" s="86" t="n">
        <v>1181.44</v>
      </c>
      <c r="AB313" s="87" t="n">
        <v>1181.44</v>
      </c>
    </row>
    <row r="314" ht="15" customHeight="1" s="80">
      <c r="A314" s="85" t="inlineStr">
        <is>
          <t>04/23/2026</t>
        </is>
      </c>
      <c r="B314" s="85" t="inlineStr">
        <is>
          <t>9 - Furniture &amp; Fixtures - 2201 Northview Dr - Laundry - 15yr</t>
        </is>
      </c>
      <c r="AA314" s="86" t="n">
        <v>2531.67</v>
      </c>
      <c r="AB314" s="87" t="n">
        <v>2531.67</v>
      </c>
    </row>
    <row r="315" ht="15" customHeight="1" s="80">
      <c r="A315" s="85" t="inlineStr">
        <is>
          <t>04/23/2026</t>
        </is>
      </c>
      <c r="B315" s="85" t="inlineStr">
        <is>
          <t>9 - Furniture &amp; Fixtures - 2201 Northview Dr - Laundry - 27.5yr</t>
        </is>
      </c>
      <c r="AA315" s="86" t="n">
        <v>1458.29</v>
      </c>
      <c r="AB315" s="87" t="n">
        <v>1458.29</v>
      </c>
    </row>
    <row r="317">
      <c r="C317" s="88" t="n">
        <v>1280158.57</v>
      </c>
      <c r="D317" s="88" t="n">
        <v>347897.92</v>
      </c>
      <c r="E317" s="88" t="n">
        <v>265779.16</v>
      </c>
      <c r="F317" s="88" t="n">
        <v>209723.78</v>
      </c>
      <c r="G317" s="88" t="n">
        <v>411281.62</v>
      </c>
      <c r="H317" s="88" t="n">
        <v>209723.78</v>
      </c>
      <c r="I317" s="88" t="n">
        <v>411281.62</v>
      </c>
      <c r="J317" s="88" t="n">
        <v>265779.16</v>
      </c>
      <c r="K317" s="88" t="n">
        <v>356960.53</v>
      </c>
      <c r="L317" s="88" t="n">
        <v>355971.86</v>
      </c>
      <c r="M317" s="88" t="n">
        <v>209723.78</v>
      </c>
      <c r="N317" s="88" t="n">
        <v>462776.0000000001</v>
      </c>
      <c r="O317" s="88" t="n">
        <v>307313.67</v>
      </c>
      <c r="P317" s="88" t="n">
        <v>307313.67</v>
      </c>
      <c r="Q317" s="88" t="n">
        <v>307313.67</v>
      </c>
      <c r="R317" s="88" t="n">
        <v>462776.0000000001</v>
      </c>
      <c r="S317" s="88" t="n">
        <v>209723.78</v>
      </c>
      <c r="T317" s="88" t="n">
        <v>158466.95</v>
      </c>
      <c r="U317" s="88" t="n">
        <v>158466.95</v>
      </c>
      <c r="V317" s="88" t="n">
        <v>262907.83</v>
      </c>
      <c r="W317" s="88" t="n">
        <v>351927.67</v>
      </c>
      <c r="X317" s="88" t="n">
        <v>209723.78</v>
      </c>
      <c r="Y317" s="88" t="n">
        <v>262907.83</v>
      </c>
      <c r="Z317" s="88" t="n">
        <v>8316.73</v>
      </c>
      <c r="AA317" s="88" t="n">
        <v>27519.23</v>
      </c>
      <c r="AB317" s="88" t="n">
        <v>7821735.540000001</v>
      </c>
    </row>
    <row r="320">
      <c r="C320" s="89" t="inlineStr">
        <is>
          <t>end deprec</t>
        </is>
      </c>
    </row>
    <row r="321">
      <c r="B321" s="119" t="inlineStr">
        <is>
          <t>NOTE: New study — no prior depreciation history. No Form 3115 filed. "Before" reflects $0 accumulated depreciation under old method; "After" reflects projected first-year cost seg depreciation.</t>
        </is>
      </c>
    </row>
    <row r="322" ht="15" customHeight="1" s="80">
      <c r="A322" s="85" t="inlineStr">
        <is>
          <t>04/23/2026</t>
        </is>
      </c>
      <c r="B322" s="85" t="inlineStr">
        <is>
          <t>2 - Building - 712 Northfield Dr</t>
        </is>
      </c>
      <c r="C322" s="86" t="n">
        <v>166583.41</v>
      </c>
      <c r="D322" s="86" t="n">
        <v>45270.97</v>
      </c>
      <c r="E322" s="86" t="n">
        <v>34585.09</v>
      </c>
      <c r="F322" s="86" t="n">
        <v>27290.76</v>
      </c>
      <c r="G322" s="86" t="n">
        <v>53518.91</v>
      </c>
      <c r="H322" s="86" t="n">
        <v>27290.76</v>
      </c>
      <c r="I322" s="86" t="n">
        <v>53518.91</v>
      </c>
      <c r="J322" s="86" t="n">
        <v>34585.09</v>
      </c>
      <c r="K322" s="86" t="n">
        <v>46450.25</v>
      </c>
      <c r="L322" s="86" t="n">
        <v>46321.61</v>
      </c>
      <c r="M322" s="86" t="n">
        <v>27290.76</v>
      </c>
      <c r="N322" s="86" t="n">
        <v>60219.73</v>
      </c>
      <c r="O322" s="86" t="n">
        <v>39989.86</v>
      </c>
      <c r="P322" s="86" t="n">
        <v>39989.86</v>
      </c>
      <c r="Q322" s="86" t="n">
        <v>39989.86</v>
      </c>
      <c r="R322" s="86" t="n">
        <v>60219.73</v>
      </c>
      <c r="S322" s="86" t="n">
        <v>27290.76</v>
      </c>
      <c r="T322" s="86" t="n">
        <v>20620.86</v>
      </c>
      <c r="U322" s="86" t="n">
        <v>20620.86</v>
      </c>
      <c r="V322" s="86" t="n">
        <v>34211.45</v>
      </c>
      <c r="W322" s="86" t="n">
        <v>45795.35</v>
      </c>
      <c r="X322" s="86" t="n">
        <v>27290.76</v>
      </c>
      <c r="Y322" s="86" t="n">
        <v>34211.45</v>
      </c>
      <c r="Z322" s="86" t="n">
        <v>1082.23</v>
      </c>
      <c r="AA322" s="86" t="n">
        <v>3581</v>
      </c>
      <c r="AB322" s="87" t="n">
        <v>1017820.28</v>
      </c>
    </row>
    <row r="323" ht="15" customHeight="1" s="80">
      <c r="A323" s="85" t="inlineStr">
        <is>
          <t>04/23/2026</t>
        </is>
      </c>
      <c r="B323" s="85" t="inlineStr">
        <is>
          <t>3 - Land Improvements - 712 Northfield Dr</t>
        </is>
      </c>
      <c r="C323" s="86" t="n">
        <v>21494.58</v>
      </c>
      <c r="D323" s="86" t="n">
        <v>5841.4</v>
      </c>
      <c r="E323" s="86" t="n">
        <v>4462.58</v>
      </c>
      <c r="F323" s="86" t="n">
        <v>3521.38</v>
      </c>
      <c r="G323" s="86" t="n">
        <v>6905.65</v>
      </c>
      <c r="H323" s="86" t="n">
        <v>3521.38</v>
      </c>
      <c r="I323" s="86" t="n">
        <v>6905.65</v>
      </c>
      <c r="J323" s="86" t="n">
        <v>4462.58</v>
      </c>
      <c r="K323" s="86" t="n">
        <v>5993.57</v>
      </c>
      <c r="L323" s="86" t="n">
        <v>5976.97</v>
      </c>
      <c r="M323" s="86" t="n">
        <v>3521.38</v>
      </c>
      <c r="N323" s="86" t="n">
        <v>7770.26</v>
      </c>
      <c r="O323" s="86" t="n">
        <v>5159.97</v>
      </c>
      <c r="P323" s="86" t="n">
        <v>5159.97</v>
      </c>
      <c r="Q323" s="86" t="n">
        <v>5159.97</v>
      </c>
      <c r="R323" s="86" t="n">
        <v>7770.26</v>
      </c>
      <c r="S323" s="86" t="n">
        <v>3521.38</v>
      </c>
      <c r="T323" s="86" t="n">
        <v>2660.75</v>
      </c>
      <c r="U323" s="86" t="n">
        <v>2660.75</v>
      </c>
      <c r="V323" s="86" t="n">
        <v>4414.37</v>
      </c>
      <c r="W323" s="86" t="n">
        <v>5909.06</v>
      </c>
      <c r="X323" s="86" t="n">
        <v>3521.38</v>
      </c>
      <c r="Y323" s="86" t="n">
        <v>4414.37</v>
      </c>
      <c r="Z323" s="86" t="n">
        <v>139.64</v>
      </c>
      <c r="AA323" s="86" t="n">
        <v>462.04</v>
      </c>
      <c r="AB323" s="87" t="n">
        <v>131331.29</v>
      </c>
    </row>
    <row r="324" ht="15" customHeight="1" s="80">
      <c r="A324" s="85" t="inlineStr">
        <is>
          <t>04/23/2026</t>
        </is>
      </c>
      <c r="B324" s="85" t="inlineStr">
        <is>
          <t>4 - Furniture &amp; Fixtures - 712 Northfield Dr</t>
        </is>
      </c>
      <c r="C324" s="86" t="n">
        <v>40302.47</v>
      </c>
      <c r="D324" s="86" t="n">
        <v>10952.66</v>
      </c>
      <c r="E324" s="86" t="n">
        <v>8367.370000000001</v>
      </c>
      <c r="F324" s="86" t="n">
        <v>6602.61</v>
      </c>
      <c r="G324" s="86" t="n">
        <v>12948.13</v>
      </c>
      <c r="H324" s="86" t="n">
        <v>6602.61</v>
      </c>
      <c r="I324" s="86" t="n">
        <v>12948.13</v>
      </c>
      <c r="J324" s="86" t="n">
        <v>8367.370000000001</v>
      </c>
      <c r="K324" s="86" t="n">
        <v>11237.98</v>
      </c>
      <c r="L324" s="86" t="n">
        <v>11206.85</v>
      </c>
      <c r="M324" s="86" t="n">
        <v>6602.61</v>
      </c>
      <c r="N324" s="86" t="n">
        <v>14569.3</v>
      </c>
      <c r="O324" s="86" t="n">
        <v>9674.969999999999</v>
      </c>
      <c r="P324" s="86" t="n">
        <v>9674.969999999999</v>
      </c>
      <c r="Q324" s="86" t="n">
        <v>9674.969999999999</v>
      </c>
      <c r="R324" s="86" t="n">
        <v>14569.3</v>
      </c>
      <c r="S324" s="86" t="n">
        <v>6602.61</v>
      </c>
      <c r="T324" s="86" t="n">
        <v>4988.92</v>
      </c>
      <c r="U324" s="86" t="n">
        <v>4988.92</v>
      </c>
      <c r="V324" s="86" t="n">
        <v>8276.98</v>
      </c>
      <c r="W324" s="86" t="n">
        <v>11079.53</v>
      </c>
      <c r="X324" s="86" t="n">
        <v>6602.61</v>
      </c>
      <c r="Y324" s="86" t="n">
        <v>8276.98</v>
      </c>
      <c r="Z324" s="86" t="n">
        <v>261.83</v>
      </c>
      <c r="AA324" s="86" t="n">
        <v>866.37</v>
      </c>
      <c r="AB324" s="87" t="n">
        <v>246247.05</v>
      </c>
    </row>
    <row r="325" ht="15" customHeight="1" s="80">
      <c r="A325" s="85" t="inlineStr">
        <is>
          <t>04/23/2026</t>
        </is>
      </c>
      <c r="B325" s="85" t="inlineStr">
        <is>
          <t>7 - Building - 2201 Northview Dr</t>
        </is>
      </c>
      <c r="C325" s="86" t="n">
        <v>767179.3199999999</v>
      </c>
      <c r="D325" s="86" t="n">
        <v>208489.87</v>
      </c>
      <c r="E325" s="86" t="n">
        <v>159277.36</v>
      </c>
      <c r="F325" s="86" t="n">
        <v>125684.23</v>
      </c>
      <c r="G325" s="86" t="n">
        <v>246474.74</v>
      </c>
      <c r="H325" s="86" t="n">
        <v>125684.23</v>
      </c>
      <c r="I325" s="86" t="n">
        <v>246474.74</v>
      </c>
      <c r="J325" s="86" t="n">
        <v>159277.36</v>
      </c>
      <c r="K325" s="86" t="n">
        <v>213920.95</v>
      </c>
      <c r="L325" s="86" t="n">
        <v>213328.45</v>
      </c>
      <c r="M325" s="86" t="n">
        <v>125684.23</v>
      </c>
      <c r="N325" s="86" t="n">
        <v>277334.53</v>
      </c>
      <c r="O325" s="86" t="n">
        <v>184168.35</v>
      </c>
      <c r="P325" s="86" t="n">
        <v>184168.35</v>
      </c>
      <c r="Q325" s="86" t="n">
        <v>184168.35</v>
      </c>
      <c r="R325" s="86" t="n">
        <v>277334.53</v>
      </c>
      <c r="S325" s="86" t="n">
        <v>125684.23</v>
      </c>
      <c r="T325" s="86" t="n">
        <v>94966.8</v>
      </c>
      <c r="U325" s="86" t="n">
        <v>94966.8</v>
      </c>
      <c r="V325" s="86" t="n">
        <v>157556.61</v>
      </c>
      <c r="W325" s="86" t="n">
        <v>210904.84</v>
      </c>
      <c r="X325" s="86" t="n">
        <v>125684.23</v>
      </c>
      <c r="Y325" s="86" t="n">
        <v>157556.61</v>
      </c>
      <c r="Z325" s="86" t="n">
        <v>4984.09</v>
      </c>
      <c r="AA325" s="86" t="n">
        <v>16491.88</v>
      </c>
      <c r="AB325" s="87" t="n">
        <v>4687445.68</v>
      </c>
    </row>
    <row r="326" ht="15" customHeight="1" s="80">
      <c r="A326" s="85" t="inlineStr">
        <is>
          <t>04/23/2026</t>
        </is>
      </c>
      <c r="B326" s="85" t="inlineStr">
        <is>
          <t>8 - Land Improvements - 2201 Northview Dr</t>
        </is>
      </c>
      <c r="C326" s="86" t="n">
        <v>98990.86</v>
      </c>
      <c r="D326" s="86" t="n">
        <v>26901.91</v>
      </c>
      <c r="E326" s="86" t="n">
        <v>20551.91</v>
      </c>
      <c r="F326" s="86" t="n">
        <v>16217.32</v>
      </c>
      <c r="G326" s="86" t="n">
        <v>31803.19</v>
      </c>
      <c r="H326" s="86" t="n">
        <v>16217.32</v>
      </c>
      <c r="I326" s="86" t="n">
        <v>31803.19</v>
      </c>
      <c r="J326" s="86" t="n">
        <v>20551.91</v>
      </c>
      <c r="K326" s="86" t="n">
        <v>27602.7</v>
      </c>
      <c r="L326" s="86" t="n">
        <v>27526.25</v>
      </c>
      <c r="M326" s="86" t="n">
        <v>16217.32</v>
      </c>
      <c r="N326" s="86" t="n">
        <v>35785.1</v>
      </c>
      <c r="O326" s="86" t="n">
        <v>23763.65</v>
      </c>
      <c r="P326" s="86" t="n">
        <v>23763.65</v>
      </c>
      <c r="Q326" s="86" t="n">
        <v>23763.65</v>
      </c>
      <c r="R326" s="86" t="n">
        <v>35785.1</v>
      </c>
      <c r="S326" s="86" t="n">
        <v>16217.32</v>
      </c>
      <c r="T326" s="86" t="n">
        <v>12253.78</v>
      </c>
      <c r="U326" s="86" t="n">
        <v>12253.78</v>
      </c>
      <c r="V326" s="86" t="n">
        <v>20329.88</v>
      </c>
      <c r="W326" s="86" t="n">
        <v>27213.52</v>
      </c>
      <c r="X326" s="86" t="n">
        <v>16217.32</v>
      </c>
      <c r="Y326" s="86" t="n">
        <v>20329.88</v>
      </c>
      <c r="Z326" s="86" t="n">
        <v>643.11</v>
      </c>
      <c r="AA326" s="86" t="n">
        <v>2127.98</v>
      </c>
      <c r="AB326" s="87" t="n">
        <v>604831.6</v>
      </c>
    </row>
    <row r="327" ht="15" customHeight="1" s="80">
      <c r="A327" s="85" t="inlineStr">
        <is>
          <t>04/23/2026</t>
        </is>
      </c>
      <c r="B327" s="85" t="inlineStr">
        <is>
          <t>9 - Furniture &amp; Fixtures - 2201 Northview Dr</t>
        </is>
      </c>
      <c r="C327" s="86" t="n">
        <v>185607.93</v>
      </c>
      <c r="D327" s="86" t="n">
        <v>50441.11</v>
      </c>
      <c r="E327" s="86" t="n">
        <v>38534.85</v>
      </c>
      <c r="F327" s="86" t="n">
        <v>30407.48</v>
      </c>
      <c r="G327" s="86" t="n">
        <v>59631</v>
      </c>
      <c r="H327" s="86" t="n">
        <v>30407.48</v>
      </c>
      <c r="I327" s="86" t="n">
        <v>59631</v>
      </c>
      <c r="J327" s="86" t="n">
        <v>38534.85</v>
      </c>
      <c r="K327" s="86" t="n">
        <v>51755.08</v>
      </c>
      <c r="L327" s="86" t="n">
        <v>51611.73</v>
      </c>
      <c r="M327" s="86" t="n">
        <v>30407.48</v>
      </c>
      <c r="N327" s="86" t="n">
        <v>67097.08</v>
      </c>
      <c r="O327" s="86" t="n">
        <v>44556.87</v>
      </c>
      <c r="P327" s="86" t="n">
        <v>44556.87</v>
      </c>
      <c r="Q327" s="86" t="n">
        <v>44556.87</v>
      </c>
      <c r="R327" s="86" t="n">
        <v>67097.08</v>
      </c>
      <c r="S327" s="86" t="n">
        <v>30407.48</v>
      </c>
      <c r="T327" s="86" t="n">
        <v>22975.84</v>
      </c>
      <c r="U327" s="86" t="n">
        <v>22975.84</v>
      </c>
      <c r="V327" s="86" t="n">
        <v>38118.54</v>
      </c>
      <c r="W327" s="86" t="n">
        <v>51025.37</v>
      </c>
      <c r="X327" s="86" t="n">
        <v>30407.48</v>
      </c>
      <c r="Y327" s="86" t="n">
        <v>38118.54</v>
      </c>
      <c r="Z327" s="86" t="n">
        <v>1205.83</v>
      </c>
      <c r="AA327" s="86" t="n">
        <v>3989.96</v>
      </c>
      <c r="AB327" s="87" t="n">
        <v>1134059.64</v>
      </c>
    </row>
    <row r="329">
      <c r="C329" s="88" t="n">
        <v>0</v>
      </c>
      <c r="D329" s="88" t="n">
        <v>0</v>
      </c>
      <c r="E329" s="88" t="n">
        <v>0</v>
      </c>
      <c r="F329" s="88" t="n">
        <v>0</v>
      </c>
      <c r="G329" s="88" t="n">
        <v>0</v>
      </c>
      <c r="H329" s="88" t="n">
        <v>0</v>
      </c>
      <c r="I329" s="88" t="n">
        <v>0</v>
      </c>
      <c r="J329" s="88" t="n">
        <v>0</v>
      </c>
      <c r="K329" s="88" t="n">
        <v>0</v>
      </c>
      <c r="L329" s="88" t="n">
        <v>0</v>
      </c>
      <c r="M329" s="88" t="n">
        <v>0</v>
      </c>
      <c r="N329" s="88" t="n">
        <v>0</v>
      </c>
      <c r="O329" s="88" t="n">
        <v>0</v>
      </c>
      <c r="P329" s="88" t="n">
        <v>0</v>
      </c>
      <c r="Q329" s="88" t="n">
        <v>0</v>
      </c>
      <c r="R329" s="88" t="n">
        <v>0</v>
      </c>
      <c r="S329" s="88" t="n">
        <v>0</v>
      </c>
      <c r="T329" s="88" t="n">
        <v>0</v>
      </c>
      <c r="U329" s="88" t="n">
        <v>0</v>
      </c>
      <c r="V329" s="88" t="n">
        <v>0</v>
      </c>
      <c r="W329" s="88" t="n">
        <v>0</v>
      </c>
      <c r="X329" s="88" t="n">
        <v>0</v>
      </c>
      <c r="Y329" s="88" t="n">
        <v>0</v>
      </c>
      <c r="Z329" s="88" t="n">
        <v>0</v>
      </c>
      <c r="AA329" s="88" t="n">
        <v>0</v>
      </c>
      <c r="AB329" s="88" t="n">
        <v>0</v>
      </c>
    </row>
    <row r="331" ht="15" customHeight="1" s="80">
      <c r="A331" s="85" t="inlineStr">
        <is>
          <t>04/23/2026</t>
        </is>
      </c>
      <c r="B331" s="85" t="inlineStr">
        <is>
          <t>2 - Building - 712 Northfield Dr - Site -</t>
        </is>
      </c>
      <c r="C331" s="86" t="n">
        <v>866.85</v>
      </c>
      <c r="AB331" s="87" t="n">
        <v>866.85</v>
      </c>
    </row>
    <row r="332" ht="15" customHeight="1" s="80">
      <c r="A332" s="85" t="inlineStr">
        <is>
          <t>04/23/2026</t>
        </is>
      </c>
      <c r="B332" s="85" t="inlineStr">
        <is>
          <t>2 - Building - 712 Northfield Dr - Site -</t>
        </is>
      </c>
      <c r="C332" s="86" t="n">
        <v>55647.6</v>
      </c>
      <c r="AB332" s="87" t="n">
        <v>55647.6</v>
      </c>
    </row>
    <row r="333" ht="15" customHeight="1" s="80">
      <c r="A333" s="85" t="inlineStr">
        <is>
          <t>04/23/2026</t>
        </is>
      </c>
      <c r="B333" s="85" t="inlineStr">
        <is>
          <t>2 - Building - 712 Northfield Dr - Bldg 1 -</t>
        </is>
      </c>
      <c r="D333" s="86" t="n">
        <v>7916.21</v>
      </c>
      <c r="AB333" s="87" t="n">
        <v>7916.21</v>
      </c>
    </row>
    <row r="334" ht="15" customHeight="1" s="80">
      <c r="A334" s="85" t="inlineStr">
        <is>
          <t>04/23/2026</t>
        </is>
      </c>
      <c r="B334" s="85" t="inlineStr">
        <is>
          <t>2 - Building - 712 Northfield Dr - Bldg 1 -</t>
        </is>
      </c>
      <c r="D334" s="86" t="n">
        <v>37354.76</v>
      </c>
      <c r="AB334" s="87" t="n">
        <v>37354.76</v>
      </c>
    </row>
    <row r="335" ht="15" customHeight="1" s="80">
      <c r="A335" s="85" t="inlineStr">
        <is>
          <t>04/23/2026</t>
        </is>
      </c>
      <c r="B335" s="85" t="inlineStr">
        <is>
          <t>2 - Building - 712 Northfield Dr - Bldg 2 -</t>
        </is>
      </c>
      <c r="E335" s="86" t="n">
        <v>6299.49</v>
      </c>
      <c r="AB335" s="87" t="n">
        <v>6299.49</v>
      </c>
    </row>
    <row r="336" ht="15" customHeight="1" s="80">
      <c r="A336" s="85" t="inlineStr">
        <is>
          <t>04/23/2026</t>
        </is>
      </c>
      <c r="B336" s="85" t="inlineStr">
        <is>
          <t>2 - Building - 712 Northfield Dr - Bldg 2 -</t>
        </is>
      </c>
      <c r="E336" s="86" t="n">
        <v>28285.6</v>
      </c>
      <c r="AB336" s="87" t="n">
        <v>28285.6</v>
      </c>
    </row>
    <row r="337" ht="15" customHeight="1" s="80">
      <c r="A337" s="85" t="inlineStr">
        <is>
          <t>04/23/2026</t>
        </is>
      </c>
      <c r="B337" s="85" t="inlineStr">
        <is>
          <t>2 - Building - 712 Northfield Dr - Bldg 3 -</t>
        </is>
      </c>
      <c r="F337" s="86" t="n">
        <v>5001.64</v>
      </c>
      <c r="AB337" s="87" t="n">
        <v>5001.64</v>
      </c>
    </row>
    <row r="338" ht="15" customHeight="1" s="80">
      <c r="A338" s="85" t="inlineStr">
        <is>
          <t>04/23/2026</t>
        </is>
      </c>
      <c r="B338" s="85" t="inlineStr">
        <is>
          <t>2 - Building - 712 Northfield Dr - Bldg 3 -</t>
        </is>
      </c>
      <c r="F338" s="86" t="n">
        <v>22289.12</v>
      </c>
      <c r="AB338" s="87" t="n">
        <v>22289.12</v>
      </c>
    </row>
    <row r="339" ht="15" customHeight="1" s="80">
      <c r="A339" s="85" t="inlineStr">
        <is>
          <t>04/23/2026</t>
        </is>
      </c>
      <c r="B339" s="85" t="inlineStr">
        <is>
          <t>2 - Building - 712 Northfield Dr - Bldg 4 -</t>
        </is>
      </c>
      <c r="G339" s="86" t="n">
        <v>9996.83</v>
      </c>
      <c r="AB339" s="87" t="n">
        <v>9996.83</v>
      </c>
    </row>
    <row r="340" ht="15" customHeight="1" s="80">
      <c r="A340" s="85" t="inlineStr">
        <is>
          <t>04/23/2026</t>
        </is>
      </c>
      <c r="B340" s="85" t="inlineStr">
        <is>
          <t>2 - Building - 712 Northfield Dr - Bldg 4 -</t>
        </is>
      </c>
      <c r="G340" s="86" t="n">
        <v>43522.08</v>
      </c>
      <c r="AB340" s="87" t="n">
        <v>43522.08</v>
      </c>
    </row>
    <row r="341" ht="15" customHeight="1" s="80">
      <c r="A341" s="85" t="inlineStr">
        <is>
          <t>04/23/2026</t>
        </is>
      </c>
      <c r="B341" s="85" t="inlineStr">
        <is>
          <t>2 - Building - 712 Northfield Dr - Bldg 5 -</t>
        </is>
      </c>
      <c r="H341" s="86" t="n">
        <v>5001.64</v>
      </c>
      <c r="AB341" s="87" t="n">
        <v>5001.64</v>
      </c>
    </row>
    <row r="342" ht="15" customHeight="1" s="80">
      <c r="A342" s="85" t="inlineStr">
        <is>
          <t>04/23/2026</t>
        </is>
      </c>
      <c r="B342" s="85" t="inlineStr">
        <is>
          <t>2 - Building - 712 Northfield Dr - Bldg 5 -</t>
        </is>
      </c>
      <c r="H342" s="86" t="n">
        <v>22289.12</v>
      </c>
      <c r="AB342" s="87" t="n">
        <v>22289.12</v>
      </c>
    </row>
    <row r="343" ht="15" customHeight="1" s="80">
      <c r="A343" s="85" t="inlineStr">
        <is>
          <t>04/23/2026</t>
        </is>
      </c>
      <c r="B343" s="85" t="inlineStr">
        <is>
          <t>2 - Building - 712 Northfield Dr - Bldg 6 -</t>
        </is>
      </c>
      <c r="I343" s="86" t="n">
        <v>9996.83</v>
      </c>
      <c r="AB343" s="87" t="n">
        <v>9996.83</v>
      </c>
    </row>
    <row r="344" ht="15" customHeight="1" s="80">
      <c r="A344" s="85" t="inlineStr">
        <is>
          <t>04/23/2026</t>
        </is>
      </c>
      <c r="B344" s="85" t="inlineStr">
        <is>
          <t>2 - Building - 712 Northfield Dr - Bldg 6 -</t>
        </is>
      </c>
      <c r="I344" s="86" t="n">
        <v>43522.08</v>
      </c>
      <c r="AB344" s="87" t="n">
        <v>43522.08</v>
      </c>
    </row>
    <row r="345" ht="15" customHeight="1" s="80">
      <c r="A345" s="85" t="inlineStr">
        <is>
          <t>04/23/2026</t>
        </is>
      </c>
      <c r="B345" s="85" t="inlineStr">
        <is>
          <t>2 - Building - 712 Northfield Dr - Bldg 7 -</t>
        </is>
      </c>
      <c r="J345" s="86" t="n">
        <v>6299.49</v>
      </c>
      <c r="AB345" s="87" t="n">
        <v>6299.49</v>
      </c>
    </row>
    <row r="346" ht="15" customHeight="1" s="80">
      <c r="A346" s="85" t="inlineStr">
        <is>
          <t>04/23/2026</t>
        </is>
      </c>
      <c r="B346" s="85" t="inlineStr">
        <is>
          <t>2 - Building - 712 Northfield Dr - Bldg 7 -</t>
        </is>
      </c>
      <c r="J346" s="86" t="n">
        <v>28285.6</v>
      </c>
      <c r="AB346" s="87" t="n">
        <v>28285.6</v>
      </c>
    </row>
    <row r="347" ht="15" customHeight="1" s="80">
      <c r="A347" s="85" t="inlineStr">
        <is>
          <t>04/23/2026</t>
        </is>
      </c>
      <c r="B347" s="85" t="inlineStr">
        <is>
          <t>2 - Building - 712 Northfield Dr - Bldg 8 -</t>
        </is>
      </c>
      <c r="K347" s="86" t="n">
        <v>8679.190000000001</v>
      </c>
      <c r="AB347" s="87" t="n">
        <v>8679.190000000001</v>
      </c>
    </row>
    <row r="348" ht="15" customHeight="1" s="80">
      <c r="A348" s="85" t="inlineStr">
        <is>
          <t>04/23/2026</t>
        </is>
      </c>
      <c r="B348" s="85" t="inlineStr">
        <is>
          <t>2 - Building - 712 Northfield Dr - Bldg 8 -</t>
        </is>
      </c>
      <c r="K348" s="86" t="n">
        <v>37771.06</v>
      </c>
      <c r="AB348" s="87" t="n">
        <v>37771.06</v>
      </c>
    </row>
    <row r="349" ht="15" customHeight="1" s="80">
      <c r="A349" s="85" t="inlineStr">
        <is>
          <t>04/23/2026</t>
        </is>
      </c>
      <c r="B349" s="85" t="inlineStr">
        <is>
          <t>2 - Building - 712 Northfield Dr - Bldg 9 -</t>
        </is>
      </c>
      <c r="L349" s="86" t="n">
        <v>8603.17</v>
      </c>
      <c r="AB349" s="87" t="n">
        <v>8603.17</v>
      </c>
    </row>
    <row r="350" ht="15" customHeight="1" s="80">
      <c r="A350" s="85" t="inlineStr">
        <is>
          <t>04/23/2026</t>
        </is>
      </c>
      <c r="B350" s="85" t="inlineStr">
        <is>
          <t>2 - Building - 712 Northfield Dr - Bldg 9 -</t>
        </is>
      </c>
      <c r="L350" s="86" t="n">
        <v>37718.44</v>
      </c>
      <c r="AB350" s="87" t="n">
        <v>37718.44</v>
      </c>
    </row>
    <row r="351" ht="15" customHeight="1" s="80">
      <c r="A351" s="85" t="inlineStr">
        <is>
          <t>04/23/2026</t>
        </is>
      </c>
      <c r="B351" s="85" t="inlineStr">
        <is>
          <t>2 - Building - 712 Northfield Dr - Bldg 10 -</t>
        </is>
      </c>
      <c r="M351" s="86" t="n">
        <v>5001.64</v>
      </c>
      <c r="AB351" s="87" t="n">
        <v>5001.64</v>
      </c>
    </row>
    <row r="352" ht="15" customHeight="1" s="80">
      <c r="A352" s="85" t="inlineStr">
        <is>
          <t>04/23/2026</t>
        </is>
      </c>
      <c r="B352" s="85" t="inlineStr">
        <is>
          <t>2 - Building - 712 Northfield Dr - Bldg 10 -</t>
        </is>
      </c>
      <c r="M352" s="86" t="n">
        <v>22289.12</v>
      </c>
      <c r="AB352" s="87" t="n">
        <v>22289.12</v>
      </c>
    </row>
    <row r="353" ht="15" customHeight="1" s="80">
      <c r="A353" s="85" t="inlineStr">
        <is>
          <t>04/23/2026</t>
        </is>
      </c>
      <c r="B353" s="85" t="inlineStr">
        <is>
          <t>2 - Building - 712 Northfield Dr - Bldg 11 -</t>
        </is>
      </c>
      <c r="N353" s="86" t="n">
        <v>11223.57</v>
      </c>
      <c r="AB353" s="87" t="n">
        <v>11223.57</v>
      </c>
    </row>
    <row r="354" ht="15" customHeight="1" s="80">
      <c r="A354" s="85" t="inlineStr">
        <is>
          <t>04/23/2026</t>
        </is>
      </c>
      <c r="B354" s="85" t="inlineStr">
        <is>
          <t>2 - Building - 712 Northfield Dr - Bldg 11 -</t>
        </is>
      </c>
      <c r="N354" s="86" t="n">
        <v>48996.16</v>
      </c>
      <c r="AB354" s="87" t="n">
        <v>48996.16</v>
      </c>
    </row>
    <row r="355" ht="15" customHeight="1" s="80">
      <c r="A355" s="85" t="inlineStr">
        <is>
          <t>04/23/2026</t>
        </is>
      </c>
      <c r="B355" s="85" t="inlineStr">
        <is>
          <t>2 - Building - 712 Northfield Dr - Bldg 12 -</t>
        </is>
      </c>
      <c r="O355" s="86" t="n">
        <v>7464.18</v>
      </c>
      <c r="AB355" s="87" t="n">
        <v>7464.18</v>
      </c>
    </row>
    <row r="356" ht="15" customHeight="1" s="80">
      <c r="A356" s="85" t="inlineStr">
        <is>
          <t>04/23/2026</t>
        </is>
      </c>
      <c r="B356" s="85" t="inlineStr">
        <is>
          <t>2 - Building - 712 Northfield Dr - Bldg 12 -</t>
        </is>
      </c>
      <c r="O356" s="86" t="n">
        <v>32525.68</v>
      </c>
      <c r="AB356" s="87" t="n">
        <v>32525.68</v>
      </c>
    </row>
    <row r="357" ht="15" customHeight="1" s="80">
      <c r="A357" s="85" t="inlineStr">
        <is>
          <t>04/23/2026</t>
        </is>
      </c>
      <c r="B357" s="85" t="inlineStr">
        <is>
          <t>2 - Building - 712 Northfield Dr - Bldg 13 -</t>
        </is>
      </c>
      <c r="P357" s="86" t="n">
        <v>7464.18</v>
      </c>
      <c r="AB357" s="87" t="n">
        <v>7464.18</v>
      </c>
    </row>
    <row r="358" ht="15" customHeight="1" s="80">
      <c r="A358" s="85" t="inlineStr">
        <is>
          <t>04/23/2026</t>
        </is>
      </c>
      <c r="B358" s="85" t="inlineStr">
        <is>
          <t>2 - Building - 712 Northfield Dr - Bldg 13 -</t>
        </is>
      </c>
      <c r="P358" s="86" t="n">
        <v>32525.68</v>
      </c>
      <c r="AB358" s="87" t="n">
        <v>32525.68</v>
      </c>
    </row>
    <row r="359" ht="15" customHeight="1" s="80">
      <c r="A359" s="85" t="inlineStr">
        <is>
          <t>04/23/2026</t>
        </is>
      </c>
      <c r="B359" s="85" t="inlineStr">
        <is>
          <t>2 - Building - 712 Northfield Dr - Bldg 14 -</t>
        </is>
      </c>
      <c r="Q359" s="86" t="n">
        <v>7464.18</v>
      </c>
      <c r="AB359" s="87" t="n">
        <v>7464.18</v>
      </c>
    </row>
    <row r="360" ht="15" customHeight="1" s="80">
      <c r="A360" s="85" t="inlineStr">
        <is>
          <t>04/23/2026</t>
        </is>
      </c>
      <c r="B360" s="85" t="inlineStr">
        <is>
          <t>2 - Building - 712 Northfield Dr - Bldg 14 -</t>
        </is>
      </c>
      <c r="Q360" s="86" t="n">
        <v>32525.68</v>
      </c>
      <c r="AB360" s="87" t="n">
        <v>32525.68</v>
      </c>
    </row>
    <row r="361" ht="15" customHeight="1" s="80">
      <c r="A361" s="85" t="inlineStr">
        <is>
          <t>04/23/2026</t>
        </is>
      </c>
      <c r="B361" s="85" t="inlineStr">
        <is>
          <t>2 - Building - 712 Northfield Dr - Bldg 15 -</t>
        </is>
      </c>
      <c r="R361" s="86" t="n">
        <v>11223.57</v>
      </c>
      <c r="AB361" s="87" t="n">
        <v>11223.57</v>
      </c>
    </row>
    <row r="362" ht="15" customHeight="1" s="80">
      <c r="A362" s="85" t="inlineStr">
        <is>
          <t>04/23/2026</t>
        </is>
      </c>
      <c r="B362" s="85" t="inlineStr">
        <is>
          <t>2 - Building - 712 Northfield Dr - Bldg 15 -</t>
        </is>
      </c>
      <c r="R362" s="86" t="n">
        <v>48996.16</v>
      </c>
      <c r="AB362" s="87" t="n">
        <v>48996.16</v>
      </c>
    </row>
    <row r="363" ht="15" customHeight="1" s="80">
      <c r="A363" s="85" t="inlineStr">
        <is>
          <t>04/23/2026</t>
        </is>
      </c>
      <c r="B363" s="85" t="inlineStr">
        <is>
          <t>2 - Building - 712 Northfield Dr - Bldg 16 -</t>
        </is>
      </c>
      <c r="S363" s="86" t="n">
        <v>5001.64</v>
      </c>
      <c r="AB363" s="87" t="n">
        <v>5001.64</v>
      </c>
    </row>
    <row r="364" ht="15" customHeight="1" s="80">
      <c r="A364" s="85" t="inlineStr">
        <is>
          <t>04/23/2026</t>
        </is>
      </c>
      <c r="B364" s="85" t="inlineStr">
        <is>
          <t>2 - Building - 712 Northfield Dr - Bldg 16 -</t>
        </is>
      </c>
      <c r="S364" s="86" t="n">
        <v>22289.12</v>
      </c>
      <c r="AB364" s="87" t="n">
        <v>22289.12</v>
      </c>
    </row>
    <row r="365" ht="15" customHeight="1" s="80">
      <c r="A365" s="85" t="inlineStr">
        <is>
          <t>04/23/2026</t>
        </is>
      </c>
      <c r="B365" s="85" t="inlineStr">
        <is>
          <t>2 - Building - 712 Northfield Dr - Bldg 17 -</t>
        </is>
      </c>
      <c r="T365" s="86" t="n">
        <v>3763.31</v>
      </c>
      <c r="AB365" s="87" t="n">
        <v>3763.31</v>
      </c>
    </row>
    <row r="366" ht="15" customHeight="1" s="80">
      <c r="A366" s="85" t="inlineStr">
        <is>
          <t>04/23/2026</t>
        </is>
      </c>
      <c r="B366" s="85" t="inlineStr">
        <is>
          <t>2 - Building - 712 Northfield Dr - Bldg 17 -</t>
        </is>
      </c>
      <c r="T366" s="86" t="n">
        <v>16857.55</v>
      </c>
      <c r="AB366" s="87" t="n">
        <v>16857.55</v>
      </c>
    </row>
    <row r="367" ht="15" customHeight="1" s="80">
      <c r="A367" s="85" t="inlineStr">
        <is>
          <t>04/23/2026</t>
        </is>
      </c>
      <c r="B367" s="85" t="inlineStr">
        <is>
          <t>2 - Building - 712 Northfield Dr - Bldg 18 -</t>
        </is>
      </c>
      <c r="U367" s="86" t="n">
        <v>3763.31</v>
      </c>
      <c r="AB367" s="87" t="n">
        <v>3763.31</v>
      </c>
    </row>
    <row r="368" ht="15" customHeight="1" s="80">
      <c r="A368" s="85" t="inlineStr">
        <is>
          <t>04/23/2026</t>
        </is>
      </c>
      <c r="B368" s="85" t="inlineStr">
        <is>
          <t>2 - Building - 712 Northfield Dr - Bldg 18 -</t>
        </is>
      </c>
      <c r="U368" s="86" t="n">
        <v>16857.55</v>
      </c>
      <c r="AB368" s="87" t="n">
        <v>16857.55</v>
      </c>
    </row>
    <row r="369" ht="15" customHeight="1" s="80">
      <c r="A369" s="85" t="inlineStr">
        <is>
          <t>04/23/2026</t>
        </is>
      </c>
      <c r="B369" s="85" t="inlineStr">
        <is>
          <t>2 - Building - 712 Northfield Dr - Bldg 19 -</t>
        </is>
      </c>
      <c r="V369" s="86" t="n">
        <v>6184.29</v>
      </c>
      <c r="AB369" s="87" t="n">
        <v>6184.29</v>
      </c>
    </row>
    <row r="370" ht="15" customHeight="1" s="80">
      <c r="A370" s="85" t="inlineStr">
        <is>
          <t>04/23/2026</t>
        </is>
      </c>
      <c r="B370" s="85" t="inlineStr">
        <is>
          <t>2 - Building - 712 Northfield Dr - Bldg 19 -</t>
        </is>
      </c>
      <c r="V370" s="86" t="n">
        <v>28027.16</v>
      </c>
      <c r="AB370" s="87" t="n">
        <v>28027.16</v>
      </c>
    </row>
    <row r="371" ht="15" customHeight="1" s="80">
      <c r="A371" s="85" t="inlineStr">
        <is>
          <t>04/23/2026</t>
        </is>
      </c>
      <c r="B371" s="85" t="inlineStr">
        <is>
          <t>2 - Building - 712 Northfield Dr - Bldg 20 -</t>
        </is>
      </c>
      <c r="W371" s="86" t="n">
        <v>8473.25</v>
      </c>
      <c r="AB371" s="87" t="n">
        <v>8473.25</v>
      </c>
    </row>
    <row r="372" ht="15" customHeight="1" s="80">
      <c r="A372" s="85" t="inlineStr">
        <is>
          <t>04/23/2026</t>
        </is>
      </c>
      <c r="B372" s="85" t="inlineStr">
        <is>
          <t>2 - Building - 712 Northfield Dr - Bldg 20 -</t>
        </is>
      </c>
      <c r="W372" s="86" t="n">
        <v>37322.1</v>
      </c>
      <c r="AB372" s="87" t="n">
        <v>37322.1</v>
      </c>
    </row>
    <row r="373" ht="15" customHeight="1" s="80">
      <c r="A373" s="85" t="inlineStr">
        <is>
          <t>04/23/2026</t>
        </is>
      </c>
      <c r="B373" s="85" t="inlineStr">
        <is>
          <t>2 - Building - 712 Northfield Dr - Bldg 21 -</t>
        </is>
      </c>
      <c r="X373" s="86" t="n">
        <v>5001.64</v>
      </c>
      <c r="AB373" s="87" t="n">
        <v>5001.64</v>
      </c>
    </row>
    <row r="374" ht="15" customHeight="1" s="80">
      <c r="A374" s="85" t="inlineStr">
        <is>
          <t>04/23/2026</t>
        </is>
      </c>
      <c r="B374" s="85" t="inlineStr">
        <is>
          <t>2 - Building - 712 Northfield Dr - Bldg 21 -</t>
        </is>
      </c>
      <c r="X374" s="86" t="n">
        <v>22289.12</v>
      </c>
      <c r="AB374" s="87" t="n">
        <v>22289.12</v>
      </c>
    </row>
    <row r="375" ht="15" customHeight="1" s="80">
      <c r="A375" s="85" t="inlineStr">
        <is>
          <t>04/23/2026</t>
        </is>
      </c>
      <c r="B375" s="85" t="inlineStr">
        <is>
          <t>2 - Building - 712 Northfield Dr - Bldg 22 -</t>
        </is>
      </c>
      <c r="Y375" s="86" t="n">
        <v>6184.29</v>
      </c>
      <c r="AB375" s="87" t="n">
        <v>6184.29</v>
      </c>
    </row>
    <row r="376" ht="15" customHeight="1" s="80">
      <c r="A376" s="85" t="inlineStr">
        <is>
          <t>04/23/2026</t>
        </is>
      </c>
      <c r="B376" s="85" t="inlineStr">
        <is>
          <t>2 - Building - 712 Northfield Dr - Bldg 22 -</t>
        </is>
      </c>
      <c r="Y376" s="86" t="n">
        <v>28027.16</v>
      </c>
      <c r="AB376" s="87" t="n">
        <v>28027.16</v>
      </c>
    </row>
    <row r="377" ht="15" customHeight="1" s="80">
      <c r="A377" s="85" t="inlineStr">
        <is>
          <t>04/23/2026</t>
        </is>
      </c>
      <c r="B377" s="85" t="inlineStr">
        <is>
          <t>2 - Building - 712 Northfield Dr - Shed B -</t>
        </is>
      </c>
      <c r="Z377" s="86" t="n">
        <v>21.89</v>
      </c>
      <c r="AB377" s="87" t="n">
        <v>21.89</v>
      </c>
    </row>
    <row r="378" ht="15" customHeight="1" s="80">
      <c r="A378" s="85" t="inlineStr">
        <is>
          <t>04/23/2026</t>
        </is>
      </c>
      <c r="B378" s="85" t="inlineStr">
        <is>
          <t>2 - Building - 712 Northfield Dr - Shed B -</t>
        </is>
      </c>
      <c r="Z378" s="86" t="n">
        <v>1060.34</v>
      </c>
      <c r="AB378" s="87" t="n">
        <v>1060.34</v>
      </c>
    </row>
    <row r="379" ht="15" customHeight="1" s="80">
      <c r="A379" s="85" t="inlineStr">
        <is>
          <t>04/23/2026</t>
        </is>
      </c>
      <c r="B379" s="85" t="inlineStr">
        <is>
          <t>2 - Building - 712 Northfield Dr - Laundry -</t>
        </is>
      </c>
      <c r="AA379" s="86" t="n">
        <v>2272.18</v>
      </c>
      <c r="AB379" s="87" t="n">
        <v>2272.18</v>
      </c>
    </row>
    <row r="380" ht="15" customHeight="1" s="80">
      <c r="A380" s="85" t="inlineStr">
        <is>
          <t>04/23/2026</t>
        </is>
      </c>
      <c r="B380" s="85" t="inlineStr">
        <is>
          <t>2 - Building - 712 Northfield Dr - Laundry -</t>
        </is>
      </c>
      <c r="AA380" s="86" t="n">
        <v>1308.82</v>
      </c>
      <c r="AB380" s="87" t="n">
        <v>1308.82</v>
      </c>
    </row>
    <row r="381" ht="15" customHeight="1" s="80">
      <c r="A381" s="85" t="inlineStr">
        <is>
          <t>04/23/2026</t>
        </is>
      </c>
      <c r="B381" s="85" t="inlineStr">
        <is>
          <t>3 - Land Improvements - 712 Northfield Dr - Site -</t>
        </is>
      </c>
      <c r="C381" s="86" t="n">
        <v>111.85</v>
      </c>
      <c r="AB381" s="87" t="n">
        <v>111.85</v>
      </c>
    </row>
    <row r="382" ht="15" customHeight="1" s="80">
      <c r="A382" s="85" t="inlineStr">
        <is>
          <t>04/23/2026</t>
        </is>
      </c>
      <c r="B382" s="85" t="inlineStr">
        <is>
          <t>3 - Land Improvements - 712 Northfield Dr - Site -</t>
        </is>
      </c>
      <c r="C382" s="86" t="n">
        <v>7180.32</v>
      </c>
      <c r="AB382" s="87" t="n">
        <v>7180.32</v>
      </c>
    </row>
    <row r="383" ht="15" customHeight="1" s="80">
      <c r="A383" s="85" t="inlineStr">
        <is>
          <t>04/23/2026</t>
        </is>
      </c>
      <c r="B383" s="85" t="inlineStr">
        <is>
          <t>3 - Land Improvements - 712 Northfield Dr - Bldg 1 -</t>
        </is>
      </c>
      <c r="D383" s="86" t="n">
        <v>1021.44</v>
      </c>
      <c r="AB383" s="87" t="n">
        <v>1021.44</v>
      </c>
    </row>
    <row r="384" ht="15" customHeight="1" s="80">
      <c r="A384" s="85" t="inlineStr">
        <is>
          <t>04/23/2026</t>
        </is>
      </c>
      <c r="B384" s="85" t="inlineStr">
        <is>
          <t>3 - Land Improvements - 712 Northfield Dr - Bldg 1 -</t>
        </is>
      </c>
      <c r="D384" s="86" t="n">
        <v>4819.96</v>
      </c>
      <c r="AB384" s="87" t="n">
        <v>4819.96</v>
      </c>
    </row>
    <row r="385" ht="15" customHeight="1" s="80">
      <c r="A385" s="85" t="inlineStr">
        <is>
          <t>04/23/2026</t>
        </is>
      </c>
      <c r="B385" s="85" t="inlineStr">
        <is>
          <t>3 - Land Improvements - 712 Northfield Dr - Bldg 2 -</t>
        </is>
      </c>
      <c r="E385" s="86" t="n">
        <v>812.84</v>
      </c>
      <c r="AB385" s="87" t="n">
        <v>812.84</v>
      </c>
    </row>
    <row r="386" ht="15" customHeight="1" s="80">
      <c r="A386" s="85" t="inlineStr">
        <is>
          <t>04/23/2026</t>
        </is>
      </c>
      <c r="B386" s="85" t="inlineStr">
        <is>
          <t>3 - Land Improvements - 712 Northfield Dr - Bldg 2 -</t>
        </is>
      </c>
      <c r="E386" s="86" t="n">
        <v>3649.74</v>
      </c>
      <c r="AB386" s="87" t="n">
        <v>3649.74</v>
      </c>
    </row>
    <row r="387" ht="15" customHeight="1" s="80">
      <c r="A387" s="85" t="inlineStr">
        <is>
          <t>04/23/2026</t>
        </is>
      </c>
      <c r="B387" s="85" t="inlineStr">
        <is>
          <t>3 - Land Improvements - 712 Northfield Dr - Bldg 3 -</t>
        </is>
      </c>
      <c r="F387" s="86" t="n">
        <v>645.37</v>
      </c>
      <c r="AB387" s="87" t="n">
        <v>645.37</v>
      </c>
    </row>
    <row r="388" ht="15" customHeight="1" s="80">
      <c r="A388" s="85" t="inlineStr">
        <is>
          <t>04/23/2026</t>
        </is>
      </c>
      <c r="B388" s="85" t="inlineStr">
        <is>
          <t>3 - Land Improvements - 712 Northfield Dr - Bldg 3 -</t>
        </is>
      </c>
      <c r="F388" s="86" t="n">
        <v>2876.01</v>
      </c>
      <c r="AB388" s="87" t="n">
        <v>2876.01</v>
      </c>
    </row>
    <row r="389" ht="15" customHeight="1" s="80">
      <c r="A389" s="85" t="inlineStr">
        <is>
          <t>04/23/2026</t>
        </is>
      </c>
      <c r="B389" s="85" t="inlineStr">
        <is>
          <t>3 - Land Improvements - 712 Northfield Dr - Bldg 4 -</t>
        </is>
      </c>
      <c r="G389" s="86" t="n">
        <v>1289.91</v>
      </c>
      <c r="AB389" s="87" t="n">
        <v>1289.91</v>
      </c>
    </row>
    <row r="390" ht="15" customHeight="1" s="80">
      <c r="A390" s="85" t="inlineStr">
        <is>
          <t>04/23/2026</t>
        </is>
      </c>
      <c r="B390" s="85" t="inlineStr">
        <is>
          <t>3 - Land Improvements - 712 Northfield Dr - Bldg 4 -</t>
        </is>
      </c>
      <c r="G390" s="86" t="n">
        <v>5615.74</v>
      </c>
      <c r="AB390" s="87" t="n">
        <v>5615.74</v>
      </c>
    </row>
    <row r="391" ht="15" customHeight="1" s="80">
      <c r="A391" s="85" t="inlineStr">
        <is>
          <t>04/23/2026</t>
        </is>
      </c>
      <c r="B391" s="85" t="inlineStr">
        <is>
          <t>3 - Land Improvements - 712 Northfield Dr - Bldg 5 -</t>
        </is>
      </c>
      <c r="H391" s="86" t="n">
        <v>645.37</v>
      </c>
      <c r="AB391" s="87" t="n">
        <v>645.37</v>
      </c>
    </row>
    <row r="392" ht="15" customHeight="1" s="80">
      <c r="A392" s="85" t="inlineStr">
        <is>
          <t>04/23/2026</t>
        </is>
      </c>
      <c r="B392" s="85" t="inlineStr">
        <is>
          <t>3 - Land Improvements - 712 Northfield Dr - Bldg 5 -</t>
        </is>
      </c>
      <c r="H392" s="86" t="n">
        <v>2876.01</v>
      </c>
      <c r="AB392" s="87" t="n">
        <v>2876.01</v>
      </c>
    </row>
    <row r="393" ht="15" customHeight="1" s="80">
      <c r="A393" s="85" t="inlineStr">
        <is>
          <t>04/23/2026</t>
        </is>
      </c>
      <c r="B393" s="85" t="inlineStr">
        <is>
          <t>3 - Land Improvements - 712 Northfield Dr - Bldg 6 -</t>
        </is>
      </c>
      <c r="I393" s="86" t="n">
        <v>1289.91</v>
      </c>
      <c r="AB393" s="87" t="n">
        <v>1289.91</v>
      </c>
    </row>
    <row r="394" ht="15" customHeight="1" s="80">
      <c r="A394" s="85" t="inlineStr">
        <is>
          <t>04/23/2026</t>
        </is>
      </c>
      <c r="B394" s="85" t="inlineStr">
        <is>
          <t>3 - Land Improvements - 712 Northfield Dr - Bldg 6 -</t>
        </is>
      </c>
      <c r="I394" s="86" t="n">
        <v>5615.74</v>
      </c>
      <c r="AB394" s="87" t="n">
        <v>5615.74</v>
      </c>
    </row>
    <row r="395" ht="15" customHeight="1" s="80">
      <c r="A395" s="85" t="inlineStr">
        <is>
          <t>04/23/2026</t>
        </is>
      </c>
      <c r="B395" s="85" t="inlineStr">
        <is>
          <t>3 - Land Improvements - 712 Northfield Dr - Bldg 7 -</t>
        </is>
      </c>
      <c r="J395" s="86" t="n">
        <v>812.84</v>
      </c>
      <c r="AB395" s="87" t="n">
        <v>812.84</v>
      </c>
    </row>
    <row r="396" ht="15" customHeight="1" s="80">
      <c r="A396" s="85" t="inlineStr">
        <is>
          <t>04/23/2026</t>
        </is>
      </c>
      <c r="B396" s="85" t="inlineStr">
        <is>
          <t>3 - Land Improvements - 712 Northfield Dr - Bldg 7 -</t>
        </is>
      </c>
      <c r="J396" s="86" t="n">
        <v>3649.74</v>
      </c>
      <c r="AB396" s="87" t="n">
        <v>3649.74</v>
      </c>
    </row>
    <row r="397" ht="15" customHeight="1" s="80">
      <c r="A397" s="85" t="inlineStr">
        <is>
          <t>04/23/2026</t>
        </is>
      </c>
      <c r="B397" s="85" t="inlineStr">
        <is>
          <t>3 - Land Improvements - 712 Northfield Dr - Bldg 8 -</t>
        </is>
      </c>
      <c r="K397" s="86" t="n">
        <v>1119.89</v>
      </c>
      <c r="AB397" s="87" t="n">
        <v>1119.89</v>
      </c>
    </row>
    <row r="398" ht="15" customHeight="1" s="80">
      <c r="A398" s="85" t="inlineStr">
        <is>
          <t>04/23/2026</t>
        </is>
      </c>
      <c r="B398" s="85" t="inlineStr">
        <is>
          <t>3 - Land Improvements - 712 Northfield Dr - Bldg 8 -</t>
        </is>
      </c>
      <c r="K398" s="86" t="n">
        <v>4873.68</v>
      </c>
      <c r="AB398" s="87" t="n">
        <v>4873.68</v>
      </c>
    </row>
    <row r="399" ht="15" customHeight="1" s="80">
      <c r="A399" s="85" t="inlineStr">
        <is>
          <t>04/23/2026</t>
        </is>
      </c>
      <c r="B399" s="85" t="inlineStr">
        <is>
          <t>3 - Land Improvements - 712 Northfield Dr - Bldg 9 -</t>
        </is>
      </c>
      <c r="L399" s="86" t="n">
        <v>1110.08</v>
      </c>
      <c r="AB399" s="87" t="n">
        <v>1110.08</v>
      </c>
    </row>
    <row r="400" ht="15" customHeight="1" s="80">
      <c r="A400" s="85" t="inlineStr">
        <is>
          <t>04/23/2026</t>
        </is>
      </c>
      <c r="B400" s="85" t="inlineStr">
        <is>
          <t>3 - Land Improvements - 712 Northfield Dr - Bldg 9 -</t>
        </is>
      </c>
      <c r="L400" s="86" t="n">
        <v>4866.89</v>
      </c>
      <c r="AB400" s="87" t="n">
        <v>4866.89</v>
      </c>
    </row>
    <row r="401" ht="15" customHeight="1" s="80">
      <c r="A401" s="85" t="inlineStr">
        <is>
          <t>04/23/2026</t>
        </is>
      </c>
      <c r="B401" s="85" t="inlineStr">
        <is>
          <t>3 - Land Improvements - 712 Northfield Dr - Bldg 10 -</t>
        </is>
      </c>
      <c r="M401" s="86" t="n">
        <v>645.37</v>
      </c>
      <c r="AB401" s="87" t="n">
        <v>645.37</v>
      </c>
    </row>
    <row r="402" ht="15" customHeight="1" s="80">
      <c r="A402" s="85" t="inlineStr">
        <is>
          <t>04/23/2026</t>
        </is>
      </c>
      <c r="B402" s="85" t="inlineStr">
        <is>
          <t>3 - Land Improvements - 712 Northfield Dr - Bldg 10 -</t>
        </is>
      </c>
      <c r="M402" s="86" t="n">
        <v>2876.01</v>
      </c>
      <c r="AB402" s="87" t="n">
        <v>2876.01</v>
      </c>
    </row>
    <row r="403" ht="15" customHeight="1" s="80">
      <c r="A403" s="85" t="inlineStr">
        <is>
          <t>04/23/2026</t>
        </is>
      </c>
      <c r="B403" s="85" t="inlineStr">
        <is>
          <t>3 - Land Improvements - 712 Northfield Dr - Bldg 11 -</t>
        </is>
      </c>
      <c r="N403" s="86" t="n">
        <v>1448.2</v>
      </c>
      <c r="AB403" s="87" t="n">
        <v>1448.2</v>
      </c>
    </row>
    <row r="404" ht="15" customHeight="1" s="80">
      <c r="A404" s="85" t="inlineStr">
        <is>
          <t>04/23/2026</t>
        </is>
      </c>
      <c r="B404" s="85" t="inlineStr">
        <is>
          <t>3 - Land Improvements - 712 Northfield Dr - Bldg 11 -</t>
        </is>
      </c>
      <c r="N404" s="86" t="n">
        <v>6322.06</v>
      </c>
      <c r="AB404" s="87" t="n">
        <v>6322.06</v>
      </c>
    </row>
    <row r="405" ht="15" customHeight="1" s="80">
      <c r="A405" s="85" t="inlineStr">
        <is>
          <t>04/23/2026</t>
        </is>
      </c>
      <c r="B405" s="85" t="inlineStr">
        <is>
          <t>3 - Land Improvements - 712 Northfield Dr - Bldg 12 -</t>
        </is>
      </c>
      <c r="O405" s="86" t="n">
        <v>963.12</v>
      </c>
      <c r="AB405" s="87" t="n">
        <v>963.12</v>
      </c>
    </row>
    <row r="406" ht="15" customHeight="1" s="80">
      <c r="A406" s="85" t="inlineStr">
        <is>
          <t>04/23/2026</t>
        </is>
      </c>
      <c r="B406" s="85" t="inlineStr">
        <is>
          <t>3 - Land Improvements - 712 Northfield Dr - Bldg 12 -</t>
        </is>
      </c>
      <c r="O406" s="86" t="n">
        <v>4196.85</v>
      </c>
      <c r="AB406" s="87" t="n">
        <v>4196.85</v>
      </c>
    </row>
    <row r="407" ht="15" customHeight="1" s="80">
      <c r="A407" s="85" t="inlineStr">
        <is>
          <t>04/23/2026</t>
        </is>
      </c>
      <c r="B407" s="85" t="inlineStr">
        <is>
          <t>3 - Land Improvements - 712 Northfield Dr - Bldg 13 -</t>
        </is>
      </c>
      <c r="P407" s="86" t="n">
        <v>963.12</v>
      </c>
      <c r="AB407" s="87" t="n">
        <v>963.12</v>
      </c>
    </row>
    <row r="408" ht="15" customHeight="1" s="80">
      <c r="A408" s="85" t="inlineStr">
        <is>
          <t>04/23/2026</t>
        </is>
      </c>
      <c r="B408" s="85" t="inlineStr">
        <is>
          <t>3 - Land Improvements - 712 Northfield Dr - Bldg 13 -</t>
        </is>
      </c>
      <c r="P408" s="86" t="n">
        <v>4196.85</v>
      </c>
      <c r="AB408" s="87" t="n">
        <v>4196.85</v>
      </c>
    </row>
    <row r="409" ht="15" customHeight="1" s="80">
      <c r="A409" s="85" t="inlineStr">
        <is>
          <t>04/23/2026</t>
        </is>
      </c>
      <c r="B409" s="85" t="inlineStr">
        <is>
          <t>3 - Land Improvements - 712 Northfield Dr - Bldg 14 -</t>
        </is>
      </c>
      <c r="Q409" s="86" t="n">
        <v>963.12</v>
      </c>
      <c r="AB409" s="87" t="n">
        <v>963.12</v>
      </c>
    </row>
    <row r="410" ht="15" customHeight="1" s="80">
      <c r="A410" s="85" t="inlineStr">
        <is>
          <t>04/23/2026</t>
        </is>
      </c>
      <c r="B410" s="85" t="inlineStr">
        <is>
          <t>3 - Land Improvements - 712 Northfield Dr - Bldg 14 -</t>
        </is>
      </c>
      <c r="Q410" s="86" t="n">
        <v>4196.85</v>
      </c>
      <c r="AB410" s="87" t="n">
        <v>4196.85</v>
      </c>
    </row>
    <row r="411" ht="15" customHeight="1" s="80">
      <c r="A411" s="85" t="inlineStr">
        <is>
          <t>04/23/2026</t>
        </is>
      </c>
      <c r="B411" s="85" t="inlineStr">
        <is>
          <t>3 - Land Improvements - 712 Northfield Dr - Bldg 15 -</t>
        </is>
      </c>
      <c r="R411" s="86" t="n">
        <v>1448.2</v>
      </c>
      <c r="AB411" s="87" t="n">
        <v>1448.2</v>
      </c>
    </row>
    <row r="412" ht="15" customHeight="1" s="80">
      <c r="A412" s="85" t="inlineStr">
        <is>
          <t>04/23/2026</t>
        </is>
      </c>
      <c r="B412" s="85" t="inlineStr">
        <is>
          <t>3 - Land Improvements - 712 Northfield Dr - Bldg 15 -</t>
        </is>
      </c>
      <c r="R412" s="86" t="n">
        <v>6322.06</v>
      </c>
      <c r="AB412" s="87" t="n">
        <v>6322.06</v>
      </c>
    </row>
    <row r="413" ht="15" customHeight="1" s="80">
      <c r="A413" s="85" t="inlineStr">
        <is>
          <t>04/23/2026</t>
        </is>
      </c>
      <c r="B413" s="85" t="inlineStr">
        <is>
          <t>3 - Land Improvements - 712 Northfield Dr - Bldg 16 -</t>
        </is>
      </c>
      <c r="S413" s="86" t="n">
        <v>645.37</v>
      </c>
      <c r="AB413" s="87" t="n">
        <v>645.37</v>
      </c>
    </row>
    <row r="414" ht="15" customHeight="1" s="80">
      <c r="A414" s="85" t="inlineStr">
        <is>
          <t>04/23/2026</t>
        </is>
      </c>
      <c r="B414" s="85" t="inlineStr">
        <is>
          <t>3 - Land Improvements - 712 Northfield Dr - Bldg 16 -</t>
        </is>
      </c>
      <c r="S414" s="86" t="n">
        <v>2876.01</v>
      </c>
      <c r="AB414" s="87" t="n">
        <v>2876.01</v>
      </c>
    </row>
    <row r="415" ht="15" customHeight="1" s="80">
      <c r="A415" s="85" t="inlineStr">
        <is>
          <t>04/23/2026</t>
        </is>
      </c>
      <c r="B415" s="85" t="inlineStr">
        <is>
          <t>3 - Land Improvements - 712 Northfield Dr - Bldg 17 -</t>
        </is>
      </c>
      <c r="T415" s="86" t="n">
        <v>485.59</v>
      </c>
      <c r="AB415" s="87" t="n">
        <v>485.59</v>
      </c>
    </row>
    <row r="416" ht="15" customHeight="1" s="80">
      <c r="A416" s="85" t="inlineStr">
        <is>
          <t>04/23/2026</t>
        </is>
      </c>
      <c r="B416" s="85" t="inlineStr">
        <is>
          <t>3 - Land Improvements - 712 Northfield Dr - Bldg 17 -</t>
        </is>
      </c>
      <c r="T416" s="86" t="n">
        <v>2175.16</v>
      </c>
      <c r="AB416" s="87" t="n">
        <v>2175.16</v>
      </c>
    </row>
    <row r="417" ht="15" customHeight="1" s="80">
      <c r="A417" s="85" t="inlineStr">
        <is>
          <t>04/23/2026</t>
        </is>
      </c>
      <c r="B417" s="85" t="inlineStr">
        <is>
          <t>3 - Land Improvements - 712 Northfield Dr - Bldg 18 -</t>
        </is>
      </c>
      <c r="U417" s="86" t="n">
        <v>485.59</v>
      </c>
      <c r="AB417" s="87" t="n">
        <v>485.59</v>
      </c>
    </row>
    <row r="418" ht="15" customHeight="1" s="80">
      <c r="A418" s="85" t="inlineStr">
        <is>
          <t>04/23/2026</t>
        </is>
      </c>
      <c r="B418" s="85" t="inlineStr">
        <is>
          <t>3 - Land Improvements - 712 Northfield Dr - Bldg 18 -</t>
        </is>
      </c>
      <c r="U418" s="86" t="n">
        <v>2175.16</v>
      </c>
      <c r="AB418" s="87" t="n">
        <v>2175.16</v>
      </c>
    </row>
    <row r="419" ht="15" customHeight="1" s="80">
      <c r="A419" s="85" t="inlineStr">
        <is>
          <t>04/23/2026</t>
        </is>
      </c>
      <c r="B419" s="85" t="inlineStr">
        <is>
          <t>3 - Land Improvements - 712 Northfield Dr - Bldg 19 -</t>
        </is>
      </c>
      <c r="V419" s="86" t="n">
        <v>797.97</v>
      </c>
      <c r="AB419" s="87" t="n">
        <v>797.97</v>
      </c>
    </row>
    <row r="420" ht="15" customHeight="1" s="80">
      <c r="A420" s="85" t="inlineStr">
        <is>
          <t>04/23/2026</t>
        </is>
      </c>
      <c r="B420" s="85" t="inlineStr">
        <is>
          <t>3 - Land Improvements - 712 Northfield Dr - Bldg 19 -</t>
        </is>
      </c>
      <c r="V420" s="86" t="n">
        <v>3616.4</v>
      </c>
      <c r="AB420" s="87" t="n">
        <v>3616.4</v>
      </c>
    </row>
    <row r="421" ht="15" customHeight="1" s="80">
      <c r="A421" s="85" t="inlineStr">
        <is>
          <t>04/23/2026</t>
        </is>
      </c>
      <c r="B421" s="85" t="inlineStr">
        <is>
          <t>3 - Land Improvements - 712 Northfield Dr - Bldg 20 -</t>
        </is>
      </c>
      <c r="W421" s="86" t="n">
        <v>1093.32</v>
      </c>
      <c r="AB421" s="87" t="n">
        <v>1093.32</v>
      </c>
    </row>
    <row r="422" ht="15" customHeight="1" s="80">
      <c r="A422" s="85" t="inlineStr">
        <is>
          <t>04/23/2026</t>
        </is>
      </c>
      <c r="B422" s="85" t="inlineStr">
        <is>
          <t>3 - Land Improvements - 712 Northfield Dr - Bldg 20 -</t>
        </is>
      </c>
      <c r="W422" s="86" t="n">
        <v>4815.74</v>
      </c>
      <c r="AB422" s="87" t="n">
        <v>4815.74</v>
      </c>
    </row>
    <row r="423" ht="15" customHeight="1" s="80">
      <c r="A423" s="85" t="inlineStr">
        <is>
          <t>04/23/2026</t>
        </is>
      </c>
      <c r="B423" s="85" t="inlineStr">
        <is>
          <t>3 - Land Improvements - 712 Northfield Dr - Bldg 21 -</t>
        </is>
      </c>
      <c r="X423" s="86" t="n">
        <v>645.37</v>
      </c>
      <c r="AB423" s="87" t="n">
        <v>645.37</v>
      </c>
    </row>
    <row r="424" ht="15" customHeight="1" s="80">
      <c r="A424" s="85" t="inlineStr">
        <is>
          <t>04/23/2026</t>
        </is>
      </c>
      <c r="B424" s="85" t="inlineStr">
        <is>
          <t>3 - Land Improvements - 712 Northfield Dr - Bldg 21 -</t>
        </is>
      </c>
      <c r="X424" s="86" t="n">
        <v>2876.01</v>
      </c>
      <c r="AB424" s="87" t="n">
        <v>2876.01</v>
      </c>
    </row>
    <row r="425" ht="15" customHeight="1" s="80">
      <c r="A425" s="85" t="inlineStr">
        <is>
          <t>04/23/2026</t>
        </is>
      </c>
      <c r="B425" s="85" t="inlineStr">
        <is>
          <t>3 - Land Improvements - 712 Northfield Dr - Bldg 22 -</t>
        </is>
      </c>
      <c r="Y425" s="86" t="n">
        <v>797.97</v>
      </c>
      <c r="AB425" s="87" t="n">
        <v>797.97</v>
      </c>
    </row>
    <row r="426" ht="15" customHeight="1" s="80">
      <c r="A426" s="85" t="inlineStr">
        <is>
          <t>04/23/2026</t>
        </is>
      </c>
      <c r="B426" s="85" t="inlineStr">
        <is>
          <t>3 - Land Improvements - 712 Northfield Dr - Bldg 22 -</t>
        </is>
      </c>
      <c r="Y426" s="86" t="n">
        <v>3616.4</v>
      </c>
      <c r="AB426" s="87" t="n">
        <v>3616.4</v>
      </c>
    </row>
    <row r="427" ht="15" customHeight="1" s="80">
      <c r="A427" s="85" t="inlineStr">
        <is>
          <t>04/23/2026</t>
        </is>
      </c>
      <c r="B427" s="85" t="inlineStr">
        <is>
          <t>3 - Land Improvements - 712 Northfield Dr - Shed B -</t>
        </is>
      </c>
      <c r="Z427" s="86" t="n">
        <v>2.82</v>
      </c>
      <c r="AB427" s="87" t="n">
        <v>2.82</v>
      </c>
    </row>
    <row r="428" ht="15" customHeight="1" s="80">
      <c r="A428" s="85" t="inlineStr">
        <is>
          <t>04/23/2026</t>
        </is>
      </c>
      <c r="B428" s="85" t="inlineStr">
        <is>
          <t>3 - Land Improvements - 712 Northfield Dr - Shed B -</t>
        </is>
      </c>
      <c r="Z428" s="86" t="n">
        <v>136.82</v>
      </c>
      <c r="AB428" s="87" t="n">
        <v>136.82</v>
      </c>
    </row>
    <row r="429" ht="15" customHeight="1" s="80">
      <c r="A429" s="85" t="inlineStr">
        <is>
          <t>04/23/2026</t>
        </is>
      </c>
      <c r="B429" s="85" t="inlineStr">
        <is>
          <t>3 - Land Improvements - 712 Northfield Dr - Laundry -</t>
        </is>
      </c>
      <c r="AA429" s="86" t="n">
        <v>293.17</v>
      </c>
      <c r="AB429" s="87" t="n">
        <v>293.17</v>
      </c>
    </row>
    <row r="430" ht="15" customHeight="1" s="80">
      <c r="A430" s="85" t="inlineStr">
        <is>
          <t>04/23/2026</t>
        </is>
      </c>
      <c r="B430" s="85" t="inlineStr">
        <is>
          <t>3 - Land Improvements - 712 Northfield Dr - Laundry -</t>
        </is>
      </c>
      <c r="AA430" s="86" t="n">
        <v>168.87</v>
      </c>
      <c r="AB430" s="87" t="n">
        <v>168.87</v>
      </c>
    </row>
    <row r="431" ht="15" customHeight="1" s="80">
      <c r="A431" s="85" t="inlineStr">
        <is>
          <t>04/23/2026</t>
        </is>
      </c>
      <c r="B431" s="85" t="inlineStr">
        <is>
          <t>4 - Furniture &amp; Fixtures - 712 Northfield Dr - Site -</t>
        </is>
      </c>
      <c r="C431" s="86" t="n">
        <v>209.72</v>
      </c>
      <c r="AB431" s="87" t="n">
        <v>209.72</v>
      </c>
    </row>
    <row r="432" ht="15" customHeight="1" s="80">
      <c r="A432" s="85" t="inlineStr">
        <is>
          <t>04/23/2026</t>
        </is>
      </c>
      <c r="B432" s="85" t="inlineStr">
        <is>
          <t>4 - Furniture &amp; Fixtures - 712 Northfield Dr - Site -</t>
        </is>
      </c>
      <c r="C432" s="86" t="n">
        <v>13463.14</v>
      </c>
      <c r="AB432" s="87" t="n">
        <v>13463.14</v>
      </c>
    </row>
    <row r="433" ht="15" customHeight="1" s="80">
      <c r="A433" s="85" t="inlineStr">
        <is>
          <t>04/23/2026</t>
        </is>
      </c>
      <c r="B433" s="85" t="inlineStr">
        <is>
          <t>4 - Furniture &amp; Fixtures - 712 Northfield Dr - Bldg 1 -</t>
        </is>
      </c>
      <c r="D433" s="86" t="n">
        <v>1915.21</v>
      </c>
      <c r="AB433" s="87" t="n">
        <v>1915.21</v>
      </c>
    </row>
    <row r="434" ht="15" customHeight="1" s="80">
      <c r="A434" s="85" t="inlineStr">
        <is>
          <t>04/23/2026</t>
        </is>
      </c>
      <c r="B434" s="85" t="inlineStr">
        <is>
          <t>4 - Furniture &amp; Fixtures - 712 Northfield Dr - Bldg 1 -</t>
        </is>
      </c>
      <c r="D434" s="86" t="n">
        <v>9037.450000000001</v>
      </c>
      <c r="AB434" s="87" t="n">
        <v>9037.450000000001</v>
      </c>
    </row>
    <row r="435" ht="15" customHeight="1" s="80">
      <c r="A435" s="85" t="inlineStr">
        <is>
          <t>04/23/2026</t>
        </is>
      </c>
      <c r="B435" s="85" t="inlineStr">
        <is>
          <t>4 - Furniture &amp; Fixtures - 712 Northfield Dr - Bldg 2 -</t>
        </is>
      </c>
      <c r="E435" s="86" t="n">
        <v>1524.07</v>
      </c>
      <c r="AB435" s="87" t="n">
        <v>1524.07</v>
      </c>
    </row>
    <row r="436" ht="15" customHeight="1" s="80">
      <c r="A436" s="85" t="inlineStr">
        <is>
          <t>04/23/2026</t>
        </is>
      </c>
      <c r="B436" s="85" t="inlineStr">
        <is>
          <t>4 - Furniture &amp; Fixtures - 712 Northfield Dr - Bldg 2 -</t>
        </is>
      </c>
      <c r="E436" s="86" t="n">
        <v>6843.3</v>
      </c>
      <c r="AB436" s="87" t="n">
        <v>6843.3</v>
      </c>
    </row>
    <row r="437" ht="15" customHeight="1" s="80">
      <c r="A437" s="85" t="inlineStr">
        <is>
          <t>04/23/2026</t>
        </is>
      </c>
      <c r="B437" s="85" t="inlineStr">
        <is>
          <t>4 - Furniture &amp; Fixtures - 712 Northfield Dr - Bldg 3 -</t>
        </is>
      </c>
      <c r="F437" s="86" t="n">
        <v>1210.08</v>
      </c>
      <c r="AB437" s="87" t="n">
        <v>1210.08</v>
      </c>
    </row>
    <row r="438" ht="15" customHeight="1" s="80">
      <c r="A438" s="85" t="inlineStr">
        <is>
          <t>04/23/2026</t>
        </is>
      </c>
      <c r="B438" s="85" t="inlineStr">
        <is>
          <t>4 - Furniture &amp; Fixtures - 712 Northfield Dr - Bldg 3 -</t>
        </is>
      </c>
      <c r="F438" s="86" t="n">
        <v>5392.53</v>
      </c>
      <c r="AB438" s="87" t="n">
        <v>5392.53</v>
      </c>
    </row>
    <row r="439" ht="15" customHeight="1" s="80">
      <c r="A439" s="85" t="inlineStr">
        <is>
          <t>04/23/2026</t>
        </is>
      </c>
      <c r="B439" s="85" t="inlineStr">
        <is>
          <t>4 - Furniture &amp; Fixtures - 712 Northfield Dr - Bldg 4 -</t>
        </is>
      </c>
      <c r="G439" s="86" t="n">
        <v>2418.59</v>
      </c>
      <c r="AB439" s="87" t="n">
        <v>2418.59</v>
      </c>
    </row>
    <row r="440" ht="15" customHeight="1" s="80">
      <c r="A440" s="85" t="inlineStr">
        <is>
          <t>04/23/2026</t>
        </is>
      </c>
      <c r="B440" s="85" t="inlineStr">
        <is>
          <t>4 - Furniture &amp; Fixtures - 712 Northfield Dr - Bldg 4 -</t>
        </is>
      </c>
      <c r="G440" s="86" t="n">
        <v>10529.54</v>
      </c>
      <c r="AB440" s="87" t="n">
        <v>10529.54</v>
      </c>
    </row>
    <row r="441" ht="15" customHeight="1" s="80">
      <c r="A441" s="85" t="inlineStr">
        <is>
          <t>04/23/2026</t>
        </is>
      </c>
      <c r="B441" s="85" t="inlineStr">
        <is>
          <t>4 - Furniture &amp; Fixtures - 712 Northfield Dr - Bldg 5 -</t>
        </is>
      </c>
      <c r="H441" s="86" t="n">
        <v>1210.08</v>
      </c>
      <c r="AB441" s="87" t="n">
        <v>1210.08</v>
      </c>
    </row>
    <row r="442" ht="15" customHeight="1" s="80">
      <c r="A442" s="85" t="inlineStr">
        <is>
          <t>04/23/2026</t>
        </is>
      </c>
      <c r="B442" s="85" t="inlineStr">
        <is>
          <t>4 - Furniture &amp; Fixtures - 712 Northfield Dr - Bldg 5 -</t>
        </is>
      </c>
      <c r="H442" s="86" t="n">
        <v>5392.53</v>
      </c>
      <c r="AB442" s="87" t="n">
        <v>5392.53</v>
      </c>
    </row>
    <row r="443" ht="15" customHeight="1" s="80">
      <c r="A443" s="85" t="inlineStr">
        <is>
          <t>04/23/2026</t>
        </is>
      </c>
      <c r="B443" s="85" t="inlineStr">
        <is>
          <t>4 - Furniture &amp; Fixtures - 712 Northfield Dr - Bldg 6 -</t>
        </is>
      </c>
      <c r="I443" s="86" t="n">
        <v>2418.59</v>
      </c>
      <c r="AB443" s="87" t="n">
        <v>2418.59</v>
      </c>
    </row>
    <row r="444" ht="15" customHeight="1" s="80">
      <c r="A444" s="85" t="inlineStr">
        <is>
          <t>04/23/2026</t>
        </is>
      </c>
      <c r="B444" s="85" t="inlineStr">
        <is>
          <t>4 - Furniture &amp; Fixtures - 712 Northfield Dr - Bldg 6 -</t>
        </is>
      </c>
      <c r="I444" s="86" t="n">
        <v>10529.54</v>
      </c>
      <c r="AB444" s="87" t="n">
        <v>10529.54</v>
      </c>
    </row>
    <row r="445" ht="15" customHeight="1" s="80">
      <c r="A445" s="85" t="inlineStr">
        <is>
          <t>04/23/2026</t>
        </is>
      </c>
      <c r="B445" s="85" t="inlineStr">
        <is>
          <t>4 - Furniture &amp; Fixtures - 712 Northfield Dr - Bldg 7 -</t>
        </is>
      </c>
      <c r="J445" s="86" t="n">
        <v>1524.07</v>
      </c>
      <c r="AB445" s="87" t="n">
        <v>1524.07</v>
      </c>
    </row>
    <row r="446" ht="15" customHeight="1" s="80">
      <c r="A446" s="85" t="inlineStr">
        <is>
          <t>04/23/2026</t>
        </is>
      </c>
      <c r="B446" s="85" t="inlineStr">
        <is>
          <t>4 - Furniture &amp; Fixtures - 712 Northfield Dr - Bldg 7 -</t>
        </is>
      </c>
      <c r="J446" s="86" t="n">
        <v>6843.3</v>
      </c>
      <c r="AB446" s="87" t="n">
        <v>6843.3</v>
      </c>
    </row>
    <row r="447" ht="15" customHeight="1" s="80">
      <c r="A447" s="85" t="inlineStr">
        <is>
          <t>04/23/2026</t>
        </is>
      </c>
      <c r="B447" s="85" t="inlineStr">
        <is>
          <t>4 - Furniture &amp; Fixtures - 712 Northfield Dr - Bldg 8 -</t>
        </is>
      </c>
      <c r="K447" s="86" t="n">
        <v>2099.81</v>
      </c>
      <c r="AB447" s="87" t="n">
        <v>2099.81</v>
      </c>
    </row>
    <row r="448" ht="15" customHeight="1" s="80">
      <c r="A448" s="85" t="inlineStr">
        <is>
          <t>04/23/2026</t>
        </is>
      </c>
      <c r="B448" s="85" t="inlineStr">
        <is>
          <t>4 - Furniture &amp; Fixtures - 712 Northfield Dr - Bldg 8 -</t>
        </is>
      </c>
      <c r="K448" s="86" t="n">
        <v>9138.17</v>
      </c>
      <c r="AB448" s="87" t="n">
        <v>9138.17</v>
      </c>
    </row>
    <row r="449" ht="15" customHeight="1" s="80">
      <c r="A449" s="85" t="inlineStr">
        <is>
          <t>04/23/2026</t>
        </is>
      </c>
      <c r="B449" s="85" t="inlineStr">
        <is>
          <t>4 - Furniture &amp; Fixtures - 712 Northfield Dr - Bldg 9 -</t>
        </is>
      </c>
      <c r="L449" s="86" t="n">
        <v>2081.41</v>
      </c>
      <c r="AB449" s="87" t="n">
        <v>2081.41</v>
      </c>
    </row>
    <row r="450" ht="15" customHeight="1" s="80">
      <c r="A450" s="85" t="inlineStr">
        <is>
          <t>04/23/2026</t>
        </is>
      </c>
      <c r="B450" s="85" t="inlineStr">
        <is>
          <t>4 - Furniture &amp; Fixtures - 712 Northfield Dr - Bldg 9 -</t>
        </is>
      </c>
      <c r="L450" s="86" t="n">
        <v>9125.440000000001</v>
      </c>
      <c r="AB450" s="87" t="n">
        <v>9125.440000000001</v>
      </c>
    </row>
    <row r="451" ht="15" customHeight="1" s="80">
      <c r="A451" s="85" t="inlineStr">
        <is>
          <t>04/23/2026</t>
        </is>
      </c>
      <c r="B451" s="85" t="inlineStr">
        <is>
          <t>4 - Furniture &amp; Fixtures - 712 Northfield Dr - Bldg 10 -</t>
        </is>
      </c>
      <c r="M451" s="86" t="n">
        <v>1210.08</v>
      </c>
      <c r="AB451" s="87" t="n">
        <v>1210.08</v>
      </c>
    </row>
    <row r="452" ht="15" customHeight="1" s="80">
      <c r="A452" s="85" t="inlineStr">
        <is>
          <t>04/23/2026</t>
        </is>
      </c>
      <c r="B452" s="85" t="inlineStr">
        <is>
          <t>4 - Furniture &amp; Fixtures - 712 Northfield Dr - Bldg 10 -</t>
        </is>
      </c>
      <c r="M452" s="86" t="n">
        <v>5392.53</v>
      </c>
      <c r="AB452" s="87" t="n">
        <v>5392.53</v>
      </c>
    </row>
    <row r="453" ht="15" customHeight="1" s="80">
      <c r="A453" s="85" t="inlineStr">
        <is>
          <t>04/23/2026</t>
        </is>
      </c>
      <c r="B453" s="85" t="inlineStr">
        <is>
          <t>4 - Furniture &amp; Fixtures - 712 Northfield Dr - Bldg 11 -</t>
        </is>
      </c>
      <c r="N453" s="86" t="n">
        <v>2715.38</v>
      </c>
      <c r="AB453" s="87" t="n">
        <v>2715.38</v>
      </c>
    </row>
    <row r="454" ht="15" customHeight="1" s="80">
      <c r="A454" s="85" t="inlineStr">
        <is>
          <t>04/23/2026</t>
        </is>
      </c>
      <c r="B454" s="85" t="inlineStr">
        <is>
          <t>4 - Furniture &amp; Fixtures - 712 Northfield Dr - Bldg 11 -</t>
        </is>
      </c>
      <c r="N454" s="86" t="n">
        <v>11853.92</v>
      </c>
      <c r="AB454" s="87" t="n">
        <v>11853.92</v>
      </c>
    </row>
    <row r="455" ht="15" customHeight="1" s="80">
      <c r="A455" s="85" t="inlineStr">
        <is>
          <t>04/23/2026</t>
        </is>
      </c>
      <c r="B455" s="85" t="inlineStr">
        <is>
          <t>4 - Furniture &amp; Fixtures - 712 Northfield Dr - Bldg 12 -</t>
        </is>
      </c>
      <c r="O455" s="86" t="n">
        <v>1805.85</v>
      </c>
      <c r="AB455" s="87" t="n">
        <v>1805.85</v>
      </c>
    </row>
    <row r="456" ht="15" customHeight="1" s="80">
      <c r="A456" s="85" t="inlineStr">
        <is>
          <t>04/23/2026</t>
        </is>
      </c>
      <c r="B456" s="85" t="inlineStr">
        <is>
          <t>4 - Furniture &amp; Fixtures - 712 Northfield Dr - Bldg 12 -</t>
        </is>
      </c>
      <c r="O456" s="86" t="n">
        <v>7869.12</v>
      </c>
      <c r="AB456" s="87" t="n">
        <v>7869.12</v>
      </c>
    </row>
    <row r="457" ht="15" customHeight="1" s="80">
      <c r="A457" s="85" t="inlineStr">
        <is>
          <t>04/23/2026</t>
        </is>
      </c>
      <c r="B457" s="85" t="inlineStr">
        <is>
          <t>4 - Furniture &amp; Fixtures - 712 Northfield Dr - Bldg 13 -</t>
        </is>
      </c>
      <c r="P457" s="86" t="n">
        <v>1805.85</v>
      </c>
      <c r="AB457" s="87" t="n">
        <v>1805.85</v>
      </c>
    </row>
    <row r="458" ht="15" customHeight="1" s="80">
      <c r="A458" s="85" t="inlineStr">
        <is>
          <t>04/23/2026</t>
        </is>
      </c>
      <c r="B458" s="85" t="inlineStr">
        <is>
          <t>4 - Furniture &amp; Fixtures - 712 Northfield Dr - Bldg 13 -</t>
        </is>
      </c>
      <c r="P458" s="86" t="n">
        <v>7869.12</v>
      </c>
      <c r="AB458" s="87" t="n">
        <v>7869.12</v>
      </c>
    </row>
    <row r="459" ht="15" customHeight="1" s="80">
      <c r="A459" s="85" t="inlineStr">
        <is>
          <t>04/23/2026</t>
        </is>
      </c>
      <c r="B459" s="85" t="inlineStr">
        <is>
          <t>4 - Furniture &amp; Fixtures - 712 Northfield Dr - Bldg 14 -</t>
        </is>
      </c>
      <c r="Q459" s="86" t="n">
        <v>1805.85</v>
      </c>
      <c r="AB459" s="87" t="n">
        <v>1805.85</v>
      </c>
    </row>
    <row r="460" ht="15" customHeight="1" s="80">
      <c r="A460" s="85" t="inlineStr">
        <is>
          <t>04/23/2026</t>
        </is>
      </c>
      <c r="B460" s="85" t="inlineStr">
        <is>
          <t>4 - Furniture &amp; Fixtures - 712 Northfield Dr - Bldg 14 -</t>
        </is>
      </c>
      <c r="Q460" s="86" t="n">
        <v>7869.12</v>
      </c>
      <c r="AB460" s="87" t="n">
        <v>7869.12</v>
      </c>
    </row>
    <row r="461" ht="15" customHeight="1" s="80">
      <c r="A461" s="85" t="inlineStr">
        <is>
          <t>04/23/2026</t>
        </is>
      </c>
      <c r="B461" s="85" t="inlineStr">
        <is>
          <t>4 - Furniture &amp; Fixtures - 712 Northfield Dr - Bldg 15 -</t>
        </is>
      </c>
      <c r="R461" s="86" t="n">
        <v>2715.38</v>
      </c>
      <c r="AB461" s="87" t="n">
        <v>2715.38</v>
      </c>
    </row>
    <row r="462" ht="15" customHeight="1" s="80">
      <c r="A462" s="85" t="inlineStr">
        <is>
          <t>04/23/2026</t>
        </is>
      </c>
      <c r="B462" s="85" t="inlineStr">
        <is>
          <t>4 - Furniture &amp; Fixtures - 712 Northfield Dr - Bldg 15 -</t>
        </is>
      </c>
      <c r="R462" s="86" t="n">
        <v>11853.92</v>
      </c>
      <c r="AB462" s="87" t="n">
        <v>11853.92</v>
      </c>
    </row>
    <row r="463" ht="15" customHeight="1" s="80">
      <c r="A463" s="85" t="inlineStr">
        <is>
          <t>04/23/2026</t>
        </is>
      </c>
      <c r="B463" s="85" t="inlineStr">
        <is>
          <t>4 - Furniture &amp; Fixtures - 712 Northfield Dr - Bldg 16 -</t>
        </is>
      </c>
      <c r="S463" s="86" t="n">
        <v>1210.08</v>
      </c>
      <c r="AB463" s="87" t="n">
        <v>1210.08</v>
      </c>
    </row>
    <row r="464" ht="15" customHeight="1" s="80">
      <c r="A464" s="85" t="inlineStr">
        <is>
          <t>04/23/2026</t>
        </is>
      </c>
      <c r="B464" s="85" t="inlineStr">
        <is>
          <t>4 - Furniture &amp; Fixtures - 712 Northfield Dr - Bldg 16 -</t>
        </is>
      </c>
      <c r="S464" s="86" t="n">
        <v>5392.53</v>
      </c>
      <c r="AB464" s="87" t="n">
        <v>5392.53</v>
      </c>
    </row>
    <row r="465" ht="15" customHeight="1" s="80">
      <c r="A465" s="85" t="inlineStr">
        <is>
          <t>04/23/2026</t>
        </is>
      </c>
      <c r="B465" s="85" t="inlineStr">
        <is>
          <t>4 - Furniture &amp; Fixtures - 712 Northfield Dr - Bldg 17 -</t>
        </is>
      </c>
      <c r="T465" s="86" t="n">
        <v>910.48</v>
      </c>
      <c r="AB465" s="87" t="n">
        <v>910.48</v>
      </c>
    </row>
    <row r="466" ht="15" customHeight="1" s="80">
      <c r="A466" s="85" t="inlineStr">
        <is>
          <t>04/23/2026</t>
        </is>
      </c>
      <c r="B466" s="85" t="inlineStr">
        <is>
          <t>4 - Furniture &amp; Fixtures - 712 Northfield Dr - Bldg 17 -</t>
        </is>
      </c>
      <c r="T466" s="86" t="n">
        <v>4078.44</v>
      </c>
      <c r="AB466" s="87" t="n">
        <v>4078.44</v>
      </c>
    </row>
    <row r="467" ht="15" customHeight="1" s="80">
      <c r="A467" s="85" t="inlineStr">
        <is>
          <t>04/23/2026</t>
        </is>
      </c>
      <c r="B467" s="85" t="inlineStr">
        <is>
          <t>4 - Furniture &amp; Fixtures - 712 Northfield Dr - Bldg 18 -</t>
        </is>
      </c>
      <c r="U467" s="86" t="n">
        <v>910.48</v>
      </c>
      <c r="AB467" s="87" t="n">
        <v>910.48</v>
      </c>
    </row>
    <row r="468" ht="15" customHeight="1" s="80">
      <c r="A468" s="85" t="inlineStr">
        <is>
          <t>04/23/2026</t>
        </is>
      </c>
      <c r="B468" s="85" t="inlineStr">
        <is>
          <t>4 - Furniture &amp; Fixtures - 712 Northfield Dr - Bldg 18 -</t>
        </is>
      </c>
      <c r="U468" s="86" t="n">
        <v>4078.44</v>
      </c>
      <c r="AB468" s="87" t="n">
        <v>4078.44</v>
      </c>
    </row>
    <row r="469" ht="15" customHeight="1" s="80">
      <c r="A469" s="85" t="inlineStr">
        <is>
          <t>04/23/2026</t>
        </is>
      </c>
      <c r="B469" s="85" t="inlineStr">
        <is>
          <t>4 - Furniture &amp; Fixtures - 712 Northfield Dr - Bldg 19 -</t>
        </is>
      </c>
      <c r="V469" s="86" t="n">
        <v>1496.2</v>
      </c>
      <c r="AB469" s="87" t="n">
        <v>1496.2</v>
      </c>
    </row>
    <row r="470" ht="15" customHeight="1" s="80">
      <c r="A470" s="85" t="inlineStr">
        <is>
          <t>04/23/2026</t>
        </is>
      </c>
      <c r="B470" s="85" t="inlineStr">
        <is>
          <t>4 - Furniture &amp; Fixtures - 712 Northfield Dr - Bldg 19 -</t>
        </is>
      </c>
      <c r="V470" s="86" t="n">
        <v>6780.78</v>
      </c>
      <c r="AB470" s="87" t="n">
        <v>6780.78</v>
      </c>
    </row>
    <row r="471" ht="15" customHeight="1" s="80">
      <c r="A471" s="85" t="inlineStr">
        <is>
          <t>04/23/2026</t>
        </is>
      </c>
      <c r="B471" s="85" t="inlineStr">
        <is>
          <t>4 - Furniture &amp; Fixtures - 712 Northfield Dr - Bldg 20 -</t>
        </is>
      </c>
      <c r="W471" s="86" t="n">
        <v>2049.98</v>
      </c>
      <c r="AB471" s="87" t="n">
        <v>2049.98</v>
      </c>
    </row>
    <row r="472" ht="15" customHeight="1" s="80">
      <c r="A472" s="85" t="inlineStr">
        <is>
          <t>04/23/2026</t>
        </is>
      </c>
      <c r="B472" s="85" t="inlineStr">
        <is>
          <t>4 - Furniture &amp; Fixtures - 712 Northfield Dr - Bldg 20 -</t>
        </is>
      </c>
      <c r="W472" s="86" t="n">
        <v>9029.549999999999</v>
      </c>
      <c r="AB472" s="87" t="n">
        <v>9029.549999999999</v>
      </c>
    </row>
    <row r="473" ht="15" customHeight="1" s="80">
      <c r="A473" s="85" t="inlineStr">
        <is>
          <t>04/23/2026</t>
        </is>
      </c>
      <c r="B473" s="85" t="inlineStr">
        <is>
          <t>4 - Furniture &amp; Fixtures - 712 Northfield Dr - Bldg 21 -</t>
        </is>
      </c>
      <c r="X473" s="86" t="n">
        <v>1210.08</v>
      </c>
      <c r="AB473" s="87" t="n">
        <v>1210.08</v>
      </c>
    </row>
    <row r="474" ht="15" customHeight="1" s="80">
      <c r="A474" s="85" t="inlineStr">
        <is>
          <t>04/23/2026</t>
        </is>
      </c>
      <c r="B474" s="85" t="inlineStr">
        <is>
          <t>4 - Furniture &amp; Fixtures - 712 Northfield Dr - Bldg 21 -</t>
        </is>
      </c>
      <c r="X474" s="86" t="n">
        <v>5392.53</v>
      </c>
      <c r="AB474" s="87" t="n">
        <v>5392.53</v>
      </c>
    </row>
    <row r="475" ht="15" customHeight="1" s="80">
      <c r="A475" s="85" t="inlineStr">
        <is>
          <t>04/23/2026</t>
        </is>
      </c>
      <c r="B475" s="85" t="inlineStr">
        <is>
          <t>4 - Furniture &amp; Fixtures - 712 Northfield Dr - Bldg 22 -</t>
        </is>
      </c>
      <c r="Y475" s="86" t="n">
        <v>1496.2</v>
      </c>
      <c r="AB475" s="87" t="n">
        <v>1496.2</v>
      </c>
    </row>
    <row r="476" ht="15" customHeight="1" s="80">
      <c r="A476" s="85" t="inlineStr">
        <is>
          <t>04/23/2026</t>
        </is>
      </c>
      <c r="B476" s="85" t="inlineStr">
        <is>
          <t>4 - Furniture &amp; Fixtures - 712 Northfield Dr - Bldg 22 -</t>
        </is>
      </c>
      <c r="Y476" s="86" t="n">
        <v>6780.78</v>
      </c>
      <c r="AB476" s="87" t="n">
        <v>6780.78</v>
      </c>
    </row>
    <row r="477" ht="15" customHeight="1" s="80">
      <c r="A477" s="85" t="inlineStr">
        <is>
          <t>04/23/2026</t>
        </is>
      </c>
      <c r="B477" s="85" t="inlineStr">
        <is>
          <t>4 - Furniture &amp; Fixtures - 712 Northfield Dr - Shed B -</t>
        </is>
      </c>
      <c r="Z477" s="86" t="n">
        <v>5.3</v>
      </c>
      <c r="AB477" s="87" t="n">
        <v>5.3</v>
      </c>
    </row>
    <row r="478" ht="15" customHeight="1" s="80">
      <c r="A478" s="85" t="inlineStr">
        <is>
          <t>04/23/2026</t>
        </is>
      </c>
      <c r="B478" s="85" t="inlineStr">
        <is>
          <t>4 - Furniture &amp; Fixtures - 712 Northfield Dr - Shed B -</t>
        </is>
      </c>
      <c r="Z478" s="86" t="n">
        <v>256.53</v>
      </c>
      <c r="AB478" s="87" t="n">
        <v>256.53</v>
      </c>
    </row>
    <row r="479" ht="15" customHeight="1" s="80">
      <c r="A479" s="85" t="inlineStr">
        <is>
          <t>04/23/2026</t>
        </is>
      </c>
      <c r="B479" s="85" t="inlineStr">
        <is>
          <t>4 - Furniture &amp; Fixtures - 712 Northfield Dr - Laundry -</t>
        </is>
      </c>
      <c r="AA479" s="86" t="n">
        <v>549.72</v>
      </c>
      <c r="AB479" s="87" t="n">
        <v>549.72</v>
      </c>
    </row>
    <row r="480" ht="15" customHeight="1" s="80">
      <c r="A480" s="85" t="inlineStr">
        <is>
          <t>04/23/2026</t>
        </is>
      </c>
      <c r="B480" s="85" t="inlineStr">
        <is>
          <t>4 - Furniture &amp; Fixtures - 712 Northfield Dr - Laundry -</t>
        </is>
      </c>
      <c r="AA480" s="86" t="n">
        <v>316.65</v>
      </c>
      <c r="AB480" s="87" t="n">
        <v>316.65</v>
      </c>
    </row>
    <row r="481" ht="15" customHeight="1" s="80">
      <c r="A481" s="85" t="inlineStr">
        <is>
          <t>04/23/2026</t>
        </is>
      </c>
      <c r="B481" s="85" t="inlineStr">
        <is>
          <t>7 - Building - 2201 Northview Dr - Site -</t>
        </is>
      </c>
      <c r="C481" s="86" t="n">
        <v>3992.15</v>
      </c>
      <c r="AB481" s="87" t="n">
        <v>3992.15</v>
      </c>
    </row>
    <row r="482" ht="15" customHeight="1" s="80">
      <c r="A482" s="85" t="inlineStr">
        <is>
          <t>04/23/2026</t>
        </is>
      </c>
      <c r="B482" s="85" t="inlineStr">
        <is>
          <t>7 - Building - 2201 Northview Dr - Site -</t>
        </is>
      </c>
      <c r="C482" s="86" t="n">
        <v>256278.16</v>
      </c>
      <c r="AB482" s="87" t="n">
        <v>256278.16</v>
      </c>
    </row>
    <row r="483" ht="15" customHeight="1" s="80">
      <c r="A483" s="85" t="inlineStr">
        <is>
          <t>04/23/2026</t>
        </is>
      </c>
      <c r="B483" s="85" t="inlineStr">
        <is>
          <t>7 - Building - 2201 Northview Dr - Bldg 1 -</t>
        </is>
      </c>
      <c r="D483" s="86" t="n">
        <v>36457.14</v>
      </c>
      <c r="AB483" s="87" t="n">
        <v>36457.14</v>
      </c>
    </row>
    <row r="484" ht="15" customHeight="1" s="80">
      <c r="A484" s="85" t="inlineStr">
        <is>
          <t>04/23/2026</t>
        </is>
      </c>
      <c r="B484" s="85" t="inlineStr">
        <is>
          <t>7 - Building - 2201 Northview Dr - Bldg 1 -</t>
        </is>
      </c>
      <c r="D484" s="86" t="n">
        <v>172032.73</v>
      </c>
      <c r="AB484" s="87" t="n">
        <v>172032.73</v>
      </c>
    </row>
    <row r="485" ht="15" customHeight="1" s="80">
      <c r="A485" s="85" t="inlineStr">
        <is>
          <t>04/23/2026</t>
        </is>
      </c>
      <c r="B485" s="85" t="inlineStr">
        <is>
          <t>7 - Building - 2201 Northview Dr - Bldg 2 -</t>
        </is>
      </c>
      <c r="E485" s="86" t="n">
        <v>29011.54</v>
      </c>
      <c r="AB485" s="87" t="n">
        <v>29011.54</v>
      </c>
    </row>
    <row r="486" ht="15" customHeight="1" s="80">
      <c r="A486" s="85" t="inlineStr">
        <is>
          <t>04/23/2026</t>
        </is>
      </c>
      <c r="B486" s="85" t="inlineStr">
        <is>
          <t>7 - Building - 2201 Northview Dr - Bldg 2 -</t>
        </is>
      </c>
      <c r="E486" s="86" t="n">
        <v>130265.82</v>
      </c>
      <c r="AB486" s="87" t="n">
        <v>130265.82</v>
      </c>
    </row>
    <row r="487" ht="15" customHeight="1" s="80">
      <c r="A487" s="85" t="inlineStr">
        <is>
          <t>04/23/2026</t>
        </is>
      </c>
      <c r="B487" s="85" t="inlineStr">
        <is>
          <t>7 - Building - 2201 Northview Dr - Bldg 3 -</t>
        </is>
      </c>
      <c r="F487" s="86" t="n">
        <v>23034.43</v>
      </c>
      <c r="AB487" s="87" t="n">
        <v>23034.43</v>
      </c>
    </row>
    <row r="488" ht="15" customHeight="1" s="80">
      <c r="A488" s="85" t="inlineStr">
        <is>
          <t>04/23/2026</t>
        </is>
      </c>
      <c r="B488" s="85" t="inlineStr">
        <is>
          <t>7 - Building - 2201 Northview Dr - Bldg 3 -</t>
        </is>
      </c>
      <c r="F488" s="86" t="n">
        <v>102649.8</v>
      </c>
      <c r="AB488" s="87" t="n">
        <v>102649.8</v>
      </c>
    </row>
    <row r="489" ht="15" customHeight="1" s="80">
      <c r="A489" s="85" t="inlineStr">
        <is>
          <t>04/23/2026</t>
        </is>
      </c>
      <c r="B489" s="85" t="inlineStr">
        <is>
          <t>7 - Building - 2201 Northview Dr - Bldg 4 -</t>
        </is>
      </c>
      <c r="G489" s="86" t="n">
        <v>46039.18</v>
      </c>
      <c r="AB489" s="87" t="n">
        <v>46039.18</v>
      </c>
    </row>
    <row r="490" ht="15" customHeight="1" s="80">
      <c r="A490" s="85" t="inlineStr">
        <is>
          <t>04/23/2026</t>
        </is>
      </c>
      <c r="B490" s="85" t="inlineStr">
        <is>
          <t>7 - Building - 2201 Northview Dr - Bldg 4 -</t>
        </is>
      </c>
      <c r="G490" s="86" t="n">
        <v>200435.56</v>
      </c>
      <c r="AB490" s="87" t="n">
        <v>200435.56</v>
      </c>
    </row>
    <row r="491" ht="15" customHeight="1" s="80">
      <c r="A491" s="85" t="inlineStr">
        <is>
          <t>04/23/2026</t>
        </is>
      </c>
      <c r="B491" s="85" t="inlineStr">
        <is>
          <t>7 - Building - 2201 Northview Dr - Bldg 5 -</t>
        </is>
      </c>
      <c r="H491" s="86" t="n">
        <v>23034.43</v>
      </c>
      <c r="AB491" s="87" t="n">
        <v>23034.43</v>
      </c>
    </row>
    <row r="492" ht="15" customHeight="1" s="80">
      <c r="A492" s="85" t="inlineStr">
        <is>
          <t>04/23/2026</t>
        </is>
      </c>
      <c r="B492" s="85" t="inlineStr">
        <is>
          <t>7 - Building - 2201 Northview Dr - Bldg 5 -</t>
        </is>
      </c>
      <c r="H492" s="86" t="n">
        <v>102649.8</v>
      </c>
      <c r="AB492" s="87" t="n">
        <v>102649.8</v>
      </c>
    </row>
    <row r="493" ht="15" customHeight="1" s="80">
      <c r="A493" s="85" t="inlineStr">
        <is>
          <t>04/23/2026</t>
        </is>
      </c>
      <c r="B493" s="85" t="inlineStr">
        <is>
          <t>7 - Building - 2201 Northview Dr - Bldg 6 -</t>
        </is>
      </c>
      <c r="I493" s="86" t="n">
        <v>46039.18</v>
      </c>
      <c r="AB493" s="87" t="n">
        <v>46039.18</v>
      </c>
    </row>
    <row r="494" ht="15" customHeight="1" s="80">
      <c r="A494" s="85" t="inlineStr">
        <is>
          <t>04/23/2026</t>
        </is>
      </c>
      <c r="B494" s="85" t="inlineStr">
        <is>
          <t>7 - Building - 2201 Northview Dr - Bldg 6 -</t>
        </is>
      </c>
      <c r="I494" s="86" t="n">
        <v>200435.56</v>
      </c>
      <c r="AB494" s="87" t="n">
        <v>200435.56</v>
      </c>
    </row>
    <row r="495" ht="15" customHeight="1" s="80">
      <c r="A495" s="85" t="inlineStr">
        <is>
          <t>04/23/2026</t>
        </is>
      </c>
      <c r="B495" s="85" t="inlineStr">
        <is>
          <t>7 - Building - 2201 Northview Dr - Bldg 7 -</t>
        </is>
      </c>
      <c r="J495" s="86" t="n">
        <v>29011.54</v>
      </c>
      <c r="AB495" s="87" t="n">
        <v>29011.54</v>
      </c>
    </row>
    <row r="496" ht="15" customHeight="1" s="80">
      <c r="A496" s="85" t="inlineStr">
        <is>
          <t>04/23/2026</t>
        </is>
      </c>
      <c r="B496" s="85" t="inlineStr">
        <is>
          <t>7 - Building - 2201 Northview Dr - Bldg 7 -</t>
        </is>
      </c>
      <c r="J496" s="86" t="n">
        <v>130265.82</v>
      </c>
      <c r="AB496" s="87" t="n">
        <v>130265.82</v>
      </c>
    </row>
    <row r="497" ht="15" customHeight="1" s="80">
      <c r="A497" s="85" t="inlineStr">
        <is>
          <t>04/23/2026</t>
        </is>
      </c>
      <c r="B497" s="85" t="inlineStr">
        <is>
          <t>7 - Building - 2201 Northview Dr - Bldg 8 -</t>
        </is>
      </c>
      <c r="K497" s="86" t="n">
        <v>39970.95</v>
      </c>
      <c r="AB497" s="87" t="n">
        <v>39970.95</v>
      </c>
    </row>
    <row r="498" ht="15" customHeight="1" s="80">
      <c r="A498" s="85" t="inlineStr">
        <is>
          <t>04/23/2026</t>
        </is>
      </c>
      <c r="B498" s="85" t="inlineStr">
        <is>
          <t>7 - Building - 2201 Northview Dr - Bldg 8 -</t>
        </is>
      </c>
      <c r="K498" s="86" t="n">
        <v>173950</v>
      </c>
      <c r="AB498" s="87" t="n">
        <v>173950</v>
      </c>
    </row>
    <row r="499" ht="15" customHeight="1" s="80">
      <c r="A499" s="85" t="inlineStr">
        <is>
          <t>04/23/2026</t>
        </is>
      </c>
      <c r="B499" s="85" t="inlineStr">
        <is>
          <t>7 - Building - 2201 Northview Dr - Bldg 9 -</t>
        </is>
      </c>
      <c r="L499" s="86" t="n">
        <v>39620.83</v>
      </c>
      <c r="AB499" s="87" t="n">
        <v>39620.83</v>
      </c>
    </row>
    <row r="500" ht="15" customHeight="1" s="80">
      <c r="A500" s="85" t="inlineStr">
        <is>
          <t>04/23/2026</t>
        </is>
      </c>
      <c r="B500" s="85" t="inlineStr">
        <is>
          <t>7 - Building - 2201 Northview Dr - Bldg 9 -</t>
        </is>
      </c>
      <c r="L500" s="86" t="n">
        <v>173707.62</v>
      </c>
      <c r="AB500" s="87" t="n">
        <v>173707.62</v>
      </c>
    </row>
    <row r="501" ht="15" customHeight="1" s="80">
      <c r="A501" s="85" t="inlineStr">
        <is>
          <t>04/23/2026</t>
        </is>
      </c>
      <c r="B501" s="85" t="inlineStr">
        <is>
          <t>7 - Building - 2201 Northview Dr - Bldg 10 -</t>
        </is>
      </c>
      <c r="M501" s="86" t="n">
        <v>23034.43</v>
      </c>
      <c r="AB501" s="87" t="n">
        <v>23034.43</v>
      </c>
    </row>
    <row r="502" ht="15" customHeight="1" s="80">
      <c r="A502" s="85" t="inlineStr">
        <is>
          <t>04/23/2026</t>
        </is>
      </c>
      <c r="B502" s="85" t="inlineStr">
        <is>
          <t>7 - Building - 2201 Northview Dr - Bldg 10 -</t>
        </is>
      </c>
      <c r="M502" s="86" t="n">
        <v>102649.8</v>
      </c>
      <c r="AB502" s="87" t="n">
        <v>102649.8</v>
      </c>
    </row>
    <row r="503" ht="15" customHeight="1" s="80">
      <c r="A503" s="85" t="inlineStr">
        <is>
          <t>04/23/2026</t>
        </is>
      </c>
      <c r="B503" s="85" t="inlineStr">
        <is>
          <t>7 - Building - 2201 Northview Dr - Bldg 11 -</t>
        </is>
      </c>
      <c r="N503" s="86" t="n">
        <v>51688.76</v>
      </c>
      <c r="AB503" s="87" t="n">
        <v>51688.76</v>
      </c>
    </row>
    <row r="504" ht="15" customHeight="1" s="80">
      <c r="A504" s="85" t="inlineStr">
        <is>
          <t>04/23/2026</t>
        </is>
      </c>
      <c r="B504" s="85" t="inlineStr">
        <is>
          <t>7 - Building - 2201 Northview Dr - Bldg 11 -</t>
        </is>
      </c>
      <c r="N504" s="86" t="n">
        <v>225645.77</v>
      </c>
      <c r="AB504" s="87" t="n">
        <v>225645.77</v>
      </c>
    </row>
    <row r="505" ht="15" customHeight="1" s="80">
      <c r="A505" s="85" t="inlineStr">
        <is>
          <t>04/23/2026</t>
        </is>
      </c>
      <c r="B505" s="85" t="inlineStr">
        <is>
          <t>7 - Building - 2201 Northview Dr - Bldg 12 -</t>
        </is>
      </c>
      <c r="O505" s="86" t="n">
        <v>34375.37</v>
      </c>
      <c r="AB505" s="87" t="n">
        <v>34375.37</v>
      </c>
    </row>
    <row r="506" ht="15" customHeight="1" s="80">
      <c r="A506" s="85" t="inlineStr">
        <is>
          <t>04/23/2026</t>
        </is>
      </c>
      <c r="B506" s="85" t="inlineStr">
        <is>
          <t>7 - Building - 2201 Northview Dr - Bldg 12 -</t>
        </is>
      </c>
      <c r="O506" s="86" t="n">
        <v>149792.98</v>
      </c>
      <c r="AB506" s="87" t="n">
        <v>149792.98</v>
      </c>
    </row>
    <row r="507" ht="15" customHeight="1" s="80">
      <c r="A507" s="85" t="inlineStr">
        <is>
          <t>04/23/2026</t>
        </is>
      </c>
      <c r="B507" s="85" t="inlineStr">
        <is>
          <t>7 - Building - 2201 Northview Dr - Bldg 13 -</t>
        </is>
      </c>
      <c r="P507" s="86" t="n">
        <v>34375.37</v>
      </c>
      <c r="AB507" s="87" t="n">
        <v>34375.37</v>
      </c>
    </row>
    <row r="508" ht="15" customHeight="1" s="80">
      <c r="A508" s="85" t="inlineStr">
        <is>
          <t>04/23/2026</t>
        </is>
      </c>
      <c r="B508" s="85" t="inlineStr">
        <is>
          <t>7 - Building - 2201 Northview Dr - Bldg 13 -</t>
        </is>
      </c>
      <c r="P508" s="86" t="n">
        <v>149792.98</v>
      </c>
      <c r="AB508" s="87" t="n">
        <v>149792.98</v>
      </c>
    </row>
    <row r="509" ht="15" customHeight="1" s="80">
      <c r="A509" s="85" t="inlineStr">
        <is>
          <t>04/23/2026</t>
        </is>
      </c>
      <c r="B509" s="85" t="inlineStr">
        <is>
          <t>7 - Building - 2201 Northview Dr - Bldg 14 -</t>
        </is>
      </c>
      <c r="Q509" s="86" t="n">
        <v>34375.37</v>
      </c>
      <c r="AB509" s="87" t="n">
        <v>34375.37</v>
      </c>
    </row>
    <row r="510" ht="15" customHeight="1" s="80">
      <c r="A510" s="85" t="inlineStr">
        <is>
          <t>04/23/2026</t>
        </is>
      </c>
      <c r="B510" s="85" t="inlineStr">
        <is>
          <t>7 - Building - 2201 Northview Dr - Bldg 14 -</t>
        </is>
      </c>
      <c r="Q510" s="86" t="n">
        <v>149792.98</v>
      </c>
      <c r="AB510" s="87" t="n">
        <v>149792.98</v>
      </c>
    </row>
    <row r="511" ht="15" customHeight="1" s="80">
      <c r="A511" s="85" t="inlineStr">
        <is>
          <t>04/23/2026</t>
        </is>
      </c>
      <c r="B511" s="85" t="inlineStr">
        <is>
          <t>7 - Building - 2201 Northview Dr - Bldg 15 -</t>
        </is>
      </c>
      <c r="R511" s="86" t="n">
        <v>51688.76</v>
      </c>
      <c r="AB511" s="87" t="n">
        <v>51688.76</v>
      </c>
    </row>
    <row r="512" ht="15" customHeight="1" s="80">
      <c r="A512" s="85" t="inlineStr">
        <is>
          <t>04/23/2026</t>
        </is>
      </c>
      <c r="B512" s="85" t="inlineStr">
        <is>
          <t>7 - Building - 2201 Northview Dr - Bldg 15 -</t>
        </is>
      </c>
      <c r="R512" s="86" t="n">
        <v>225645.77</v>
      </c>
      <c r="AB512" s="87" t="n">
        <v>225645.77</v>
      </c>
    </row>
    <row r="513" ht="15" customHeight="1" s="80">
      <c r="A513" s="85" t="inlineStr">
        <is>
          <t>04/23/2026</t>
        </is>
      </c>
      <c r="B513" s="85" t="inlineStr">
        <is>
          <t>7 - Building - 2201 Northview Dr - Bldg 16 -</t>
        </is>
      </c>
      <c r="S513" s="86" t="n">
        <v>23034.43</v>
      </c>
      <c r="AB513" s="87" t="n">
        <v>23034.43</v>
      </c>
    </row>
    <row r="514" ht="15" customHeight="1" s="80">
      <c r="A514" s="85" t="inlineStr">
        <is>
          <t>04/23/2026</t>
        </is>
      </c>
      <c r="B514" s="85" t="inlineStr">
        <is>
          <t>7 - Building - 2201 Northview Dr - Bldg 16 -</t>
        </is>
      </c>
      <c r="S514" s="86" t="n">
        <v>102649.8</v>
      </c>
      <c r="AB514" s="87" t="n">
        <v>102649.8</v>
      </c>
    </row>
    <row r="515" ht="15" customHeight="1" s="80">
      <c r="A515" s="85" t="inlineStr">
        <is>
          <t>04/23/2026</t>
        </is>
      </c>
      <c r="B515" s="85" t="inlineStr">
        <is>
          <t>7 - Building - 2201 Northview Dr - Bldg 17 -</t>
        </is>
      </c>
      <c r="T515" s="86" t="n">
        <v>17331.47</v>
      </c>
      <c r="AB515" s="87" t="n">
        <v>17331.47</v>
      </c>
    </row>
    <row r="516" ht="15" customHeight="1" s="80">
      <c r="A516" s="85" t="inlineStr">
        <is>
          <t>04/23/2026</t>
        </is>
      </c>
      <c r="B516" s="85" t="inlineStr">
        <is>
          <t>7 - Building - 2201 Northview Dr - Bldg 17 -</t>
        </is>
      </c>
      <c r="T516" s="86" t="n">
        <v>77635.33</v>
      </c>
      <c r="AB516" s="87" t="n">
        <v>77635.33</v>
      </c>
    </row>
    <row r="517" ht="15" customHeight="1" s="80">
      <c r="A517" s="85" t="inlineStr">
        <is>
          <t>04/23/2026</t>
        </is>
      </c>
      <c r="B517" s="85" t="inlineStr">
        <is>
          <t>7 - Building - 2201 Northview Dr - Bldg 18 -</t>
        </is>
      </c>
      <c r="U517" s="86" t="n">
        <v>17331.47</v>
      </c>
      <c r="AB517" s="87" t="n">
        <v>17331.47</v>
      </c>
    </row>
    <row r="518" ht="15" customHeight="1" s="80">
      <c r="A518" s="85" t="inlineStr">
        <is>
          <t>04/23/2026</t>
        </is>
      </c>
      <c r="B518" s="85" t="inlineStr">
        <is>
          <t>7 - Building - 2201 Northview Dr - Bldg 18 -</t>
        </is>
      </c>
      <c r="U518" s="86" t="n">
        <v>77635.33</v>
      </c>
      <c r="AB518" s="87" t="n">
        <v>77635.33</v>
      </c>
    </row>
    <row r="519" ht="15" customHeight="1" s="80">
      <c r="A519" s="85" t="inlineStr">
        <is>
          <t>04/23/2026</t>
        </is>
      </c>
      <c r="B519" s="85" t="inlineStr">
        <is>
          <t>7 - Building - 2201 Northview Dr - Bldg 19 -</t>
        </is>
      </c>
      <c r="V519" s="86" t="n">
        <v>28481.01</v>
      </c>
      <c r="AB519" s="87" t="n">
        <v>28481.01</v>
      </c>
    </row>
    <row r="520" ht="15" customHeight="1" s="80">
      <c r="A520" s="85" t="inlineStr">
        <is>
          <t>04/23/2026</t>
        </is>
      </c>
      <c r="B520" s="85" t="inlineStr">
        <is>
          <t>7 - Building - 2201 Northview Dr - Bldg 19 -</t>
        </is>
      </c>
      <c r="V520" s="86" t="n">
        <v>129075.6</v>
      </c>
      <c r="AB520" s="87" t="n">
        <v>129075.6</v>
      </c>
    </row>
    <row r="521" ht="15" customHeight="1" s="80">
      <c r="A521" s="85" t="inlineStr">
        <is>
          <t>04/23/2026</t>
        </is>
      </c>
      <c r="B521" s="85" t="inlineStr">
        <is>
          <t>7 - Building - 2201 Northview Dr - Bldg 20 -</t>
        </is>
      </c>
      <c r="W521" s="86" t="n">
        <v>39022.5</v>
      </c>
      <c r="AB521" s="87" t="n">
        <v>39022.5</v>
      </c>
    </row>
    <row r="522" ht="15" customHeight="1" s="80">
      <c r="A522" s="85" t="inlineStr">
        <is>
          <t>04/23/2026</t>
        </is>
      </c>
      <c r="B522" s="85" t="inlineStr">
        <is>
          <t>7 - Building - 2201 Northview Dr - Bldg 20 -</t>
        </is>
      </c>
      <c r="W522" s="86" t="n">
        <v>171882.34</v>
      </c>
      <c r="AB522" s="87" t="n">
        <v>171882.34</v>
      </c>
    </row>
    <row r="523" ht="15" customHeight="1" s="80">
      <c r="A523" s="85" t="inlineStr">
        <is>
          <t>04/23/2026</t>
        </is>
      </c>
      <c r="B523" s="85" t="inlineStr">
        <is>
          <t>7 - Building - 2201 Northview Dr - Bldg 21 -</t>
        </is>
      </c>
      <c r="X523" s="86" t="n">
        <v>23034.43</v>
      </c>
      <c r="AB523" s="87" t="n">
        <v>23034.43</v>
      </c>
    </row>
    <row r="524" ht="15" customHeight="1" s="80">
      <c r="A524" s="85" t="inlineStr">
        <is>
          <t>04/23/2026</t>
        </is>
      </c>
      <c r="B524" s="85" t="inlineStr">
        <is>
          <t>7 - Building - 2201 Northview Dr - Bldg 21 -</t>
        </is>
      </c>
      <c r="X524" s="86" t="n">
        <v>102649.8</v>
      </c>
      <c r="AB524" s="87" t="n">
        <v>102649.8</v>
      </c>
    </row>
    <row r="525" ht="15" customHeight="1" s="80">
      <c r="A525" s="85" t="inlineStr">
        <is>
          <t>04/23/2026</t>
        </is>
      </c>
      <c r="B525" s="85" t="inlineStr">
        <is>
          <t>7 - Building - 2201 Northview Dr - Bldg 22 -</t>
        </is>
      </c>
      <c r="Y525" s="86" t="n">
        <v>28481.01</v>
      </c>
      <c r="AB525" s="87" t="n">
        <v>28481.01</v>
      </c>
    </row>
    <row r="526" ht="15" customHeight="1" s="80">
      <c r="A526" s="85" t="inlineStr">
        <is>
          <t>04/23/2026</t>
        </is>
      </c>
      <c r="B526" s="85" t="inlineStr">
        <is>
          <t>7 - Building - 2201 Northview Dr - Bldg 22 -</t>
        </is>
      </c>
      <c r="Y526" s="86" t="n">
        <v>129075.6</v>
      </c>
      <c r="AB526" s="87" t="n">
        <v>129075.6</v>
      </c>
    </row>
    <row r="527" ht="15" customHeight="1" s="80">
      <c r="A527" s="85" t="inlineStr">
        <is>
          <t>04/23/2026</t>
        </is>
      </c>
      <c r="B527" s="85" t="inlineStr">
        <is>
          <t>7 - Building - 2201 Northview Dr - Shed B -</t>
        </is>
      </c>
      <c r="Z527" s="86" t="n">
        <v>100.82</v>
      </c>
      <c r="AB527" s="87" t="n">
        <v>100.82</v>
      </c>
    </row>
    <row r="528" ht="15" customHeight="1" s="80">
      <c r="A528" s="85" t="inlineStr">
        <is>
          <t>04/23/2026</t>
        </is>
      </c>
      <c r="B528" s="85" t="inlineStr">
        <is>
          <t>7 - Building - 2201 Northview Dr - Shed B -</t>
        </is>
      </c>
      <c r="Z528" s="86" t="n">
        <v>4883.27</v>
      </c>
      <c r="AB528" s="87" t="n">
        <v>4883.27</v>
      </c>
    </row>
    <row r="529" ht="15" customHeight="1" s="80">
      <c r="A529" s="85" t="inlineStr">
        <is>
          <t>04/23/2026</t>
        </is>
      </c>
      <c r="B529" s="85" t="inlineStr">
        <is>
          <t>7 - Building - 2201 Northview Dr - Laundry -</t>
        </is>
      </c>
      <c r="AA529" s="86" t="n">
        <v>10464.28</v>
      </c>
      <c r="AB529" s="87" t="n">
        <v>10464.28</v>
      </c>
    </row>
    <row r="530" ht="15" customHeight="1" s="80">
      <c r="A530" s="85" t="inlineStr">
        <is>
          <t>04/23/2026</t>
        </is>
      </c>
      <c r="B530" s="85" t="inlineStr">
        <is>
          <t>7 - Building - 2201 Northview Dr - Laundry -</t>
        </is>
      </c>
      <c r="AA530" s="86" t="n">
        <v>6027.6</v>
      </c>
      <c r="AB530" s="87" t="n">
        <v>6027.6</v>
      </c>
    </row>
    <row r="531" ht="15" customHeight="1" s="80">
      <c r="A531" s="85" t="inlineStr">
        <is>
          <t>04/23/2026</t>
        </is>
      </c>
      <c r="B531" s="85" t="inlineStr">
        <is>
          <t>8 - Land Improvements - 2201 Northview Dr - Site -</t>
        </is>
      </c>
      <c r="C531" s="86" t="n">
        <v>515.12</v>
      </c>
      <c r="AB531" s="87" t="n">
        <v>515.12</v>
      </c>
    </row>
    <row r="532" ht="15" customHeight="1" s="80">
      <c r="A532" s="85" t="inlineStr">
        <is>
          <t>04/23/2026</t>
        </is>
      </c>
      <c r="B532" s="85" t="inlineStr">
        <is>
          <t>8 - Land Improvements - 2201 Northview Dr - Site -</t>
        </is>
      </c>
      <c r="C532" s="86" t="n">
        <v>33068.14</v>
      </c>
      <c r="AB532" s="87" t="n">
        <v>33068.14</v>
      </c>
    </row>
    <row r="533" ht="15" customHeight="1" s="80">
      <c r="A533" s="85" t="inlineStr">
        <is>
          <t>04/23/2026</t>
        </is>
      </c>
      <c r="B533" s="85" t="inlineStr">
        <is>
          <t>8 - Land Improvements - 2201 Northview Dr - Bldg 1 -</t>
        </is>
      </c>
      <c r="D533" s="86" t="n">
        <v>4704.15</v>
      </c>
      <c r="AB533" s="87" t="n">
        <v>4704.15</v>
      </c>
    </row>
    <row r="534" ht="15" customHeight="1" s="80">
      <c r="A534" s="85" t="inlineStr">
        <is>
          <t>04/23/2026</t>
        </is>
      </c>
      <c r="B534" s="85" t="inlineStr">
        <is>
          <t>8 - Land Improvements - 2201 Northview Dr - Bldg 1 -</t>
        </is>
      </c>
      <c r="D534" s="86" t="n">
        <v>22197.76</v>
      </c>
      <c r="AB534" s="87" t="n">
        <v>22197.76</v>
      </c>
    </row>
    <row r="535" ht="15" customHeight="1" s="80">
      <c r="A535" s="85" t="inlineStr">
        <is>
          <t>04/23/2026</t>
        </is>
      </c>
      <c r="B535" s="85" t="inlineStr">
        <is>
          <t>8 - Land Improvements - 2201 Northview Dr - Bldg 2 -</t>
        </is>
      </c>
      <c r="E535" s="86" t="n">
        <v>3743.42</v>
      </c>
      <c r="AB535" s="87" t="n">
        <v>3743.42</v>
      </c>
    </row>
    <row r="536" ht="15" customHeight="1" s="80">
      <c r="A536" s="85" t="inlineStr">
        <is>
          <t>04/23/2026</t>
        </is>
      </c>
      <c r="B536" s="85" t="inlineStr">
        <is>
          <t>8 - Land Improvements - 2201 Northview Dr - Bldg 2 -</t>
        </is>
      </c>
      <c r="E536" s="86" t="n">
        <v>16808.49</v>
      </c>
      <c r="AB536" s="87" t="n">
        <v>16808.49</v>
      </c>
    </row>
    <row r="537" ht="15" customHeight="1" s="80">
      <c r="A537" s="85" t="inlineStr">
        <is>
          <t>04/23/2026</t>
        </is>
      </c>
      <c r="B537" s="85" t="inlineStr">
        <is>
          <t>8 - Land Improvements - 2201 Northview Dr - Bldg 3 -</t>
        </is>
      </c>
      <c r="F537" s="86" t="n">
        <v>2972.18</v>
      </c>
      <c r="AB537" s="87" t="n">
        <v>2972.18</v>
      </c>
    </row>
    <row r="538" ht="15" customHeight="1" s="80">
      <c r="A538" s="85" t="inlineStr">
        <is>
          <t>04/23/2026</t>
        </is>
      </c>
      <c r="B538" s="85" t="inlineStr">
        <is>
          <t>8 - Land Improvements - 2201 Northview Dr - Bldg 3 -</t>
        </is>
      </c>
      <c r="F538" s="86" t="n">
        <v>13245.14</v>
      </c>
      <c r="AB538" s="87" t="n">
        <v>13245.14</v>
      </c>
    </row>
    <row r="539" ht="15" customHeight="1" s="80">
      <c r="A539" s="85" t="inlineStr">
        <is>
          <t>04/23/2026</t>
        </is>
      </c>
      <c r="B539" s="85" t="inlineStr">
        <is>
          <t>8 - Land Improvements - 2201 Northview Dr - Bldg 4 -</t>
        </is>
      </c>
      <c r="G539" s="86" t="n">
        <v>5940.54</v>
      </c>
      <c r="AB539" s="87" t="n">
        <v>5940.54</v>
      </c>
    </row>
    <row r="540" ht="15" customHeight="1" s="80">
      <c r="A540" s="85" t="inlineStr">
        <is>
          <t>04/23/2026</t>
        </is>
      </c>
      <c r="B540" s="85" t="inlineStr">
        <is>
          <t>8 - Land Improvements - 2201 Northview Dr - Bldg 4 -</t>
        </is>
      </c>
      <c r="G540" s="86" t="n">
        <v>25862.65</v>
      </c>
      <c r="AB540" s="87" t="n">
        <v>25862.65</v>
      </c>
    </row>
    <row r="541" ht="15" customHeight="1" s="80">
      <c r="A541" s="85" t="inlineStr">
        <is>
          <t>04/23/2026</t>
        </is>
      </c>
      <c r="B541" s="85" t="inlineStr">
        <is>
          <t>8 - Land Improvements - 2201 Northview Dr - Bldg 5 -</t>
        </is>
      </c>
      <c r="H541" s="86" t="n">
        <v>2972.18</v>
      </c>
      <c r="AB541" s="87" t="n">
        <v>2972.18</v>
      </c>
    </row>
    <row r="542" ht="15" customHeight="1" s="80">
      <c r="A542" s="85" t="inlineStr">
        <is>
          <t>04/23/2026</t>
        </is>
      </c>
      <c r="B542" s="85" t="inlineStr">
        <is>
          <t>8 - Land Improvements - 2201 Northview Dr - Bldg 5 -</t>
        </is>
      </c>
      <c r="H542" s="86" t="n">
        <v>13245.14</v>
      </c>
      <c r="AB542" s="87" t="n">
        <v>13245.14</v>
      </c>
    </row>
    <row r="543" ht="15" customHeight="1" s="80">
      <c r="A543" s="85" t="inlineStr">
        <is>
          <t>04/23/2026</t>
        </is>
      </c>
      <c r="B543" s="85" t="inlineStr">
        <is>
          <t>8 - Land Improvements - 2201 Northview Dr - Bldg 6 -</t>
        </is>
      </c>
      <c r="I543" s="86" t="n">
        <v>5940.54</v>
      </c>
      <c r="AB543" s="87" t="n">
        <v>5940.54</v>
      </c>
    </row>
    <row r="544" ht="15" customHeight="1" s="80">
      <c r="A544" s="85" t="inlineStr">
        <is>
          <t>04/23/2026</t>
        </is>
      </c>
      <c r="B544" s="85" t="inlineStr">
        <is>
          <t>8 - Land Improvements - 2201 Northview Dr - Bldg 6 -</t>
        </is>
      </c>
      <c r="I544" s="86" t="n">
        <v>25862.65</v>
      </c>
      <c r="AB544" s="87" t="n">
        <v>25862.65</v>
      </c>
    </row>
    <row r="545" ht="15" customHeight="1" s="80">
      <c r="A545" s="85" t="inlineStr">
        <is>
          <t>04/23/2026</t>
        </is>
      </c>
      <c r="B545" s="85" t="inlineStr">
        <is>
          <t>8 - Land Improvements - 2201 Northview Dr - Bldg 7 -</t>
        </is>
      </c>
      <c r="J545" s="86" t="n">
        <v>3743.42</v>
      </c>
      <c r="AB545" s="87" t="n">
        <v>3743.42</v>
      </c>
    </row>
    <row r="546" ht="15" customHeight="1" s="80">
      <c r="A546" s="85" t="inlineStr">
        <is>
          <t>04/23/2026</t>
        </is>
      </c>
      <c r="B546" s="85" t="inlineStr">
        <is>
          <t>8 - Land Improvements - 2201 Northview Dr - Bldg 7 -</t>
        </is>
      </c>
      <c r="J546" s="86" t="n">
        <v>16808.49</v>
      </c>
      <c r="AB546" s="87" t="n">
        <v>16808.49</v>
      </c>
    </row>
    <row r="547" ht="15" customHeight="1" s="80">
      <c r="A547" s="85" t="inlineStr">
        <is>
          <t>04/23/2026</t>
        </is>
      </c>
      <c r="B547" s="85" t="inlineStr">
        <is>
          <t>8 - Land Improvements - 2201 Northview Dr - Bldg 8 -</t>
        </is>
      </c>
      <c r="K547" s="86" t="n">
        <v>5157.54</v>
      </c>
      <c r="AB547" s="87" t="n">
        <v>5157.54</v>
      </c>
    </row>
    <row r="548" ht="15" customHeight="1" s="80">
      <c r="A548" s="85" t="inlineStr">
        <is>
          <t>04/23/2026</t>
        </is>
      </c>
      <c r="B548" s="85" t="inlineStr">
        <is>
          <t>8 - Land Improvements - 2201 Northview Dr - Bldg 8 -</t>
        </is>
      </c>
      <c r="K548" s="86" t="n">
        <v>22445.16</v>
      </c>
      <c r="AB548" s="87" t="n">
        <v>22445.16</v>
      </c>
    </row>
    <row r="549" ht="15" customHeight="1" s="80">
      <c r="A549" s="85" t="inlineStr">
        <is>
          <t>04/23/2026</t>
        </is>
      </c>
      <c r="B549" s="85" t="inlineStr">
        <is>
          <t>8 - Land Improvements - 2201 Northview Dr - Bldg 9 -</t>
        </is>
      </c>
      <c r="L549" s="86" t="n">
        <v>5112.36</v>
      </c>
      <c r="AB549" s="87" t="n">
        <v>5112.36</v>
      </c>
    </row>
    <row r="550" ht="15" customHeight="1" s="80">
      <c r="A550" s="85" t="inlineStr">
        <is>
          <t>04/23/2026</t>
        </is>
      </c>
      <c r="B550" s="85" t="inlineStr">
        <is>
          <t>8 - Land Improvements - 2201 Northview Dr - Bldg 9 -</t>
        </is>
      </c>
      <c r="L550" s="86" t="n">
        <v>22413.89</v>
      </c>
      <c r="AB550" s="87" t="n">
        <v>22413.89</v>
      </c>
    </row>
    <row r="551" ht="15" customHeight="1" s="80">
      <c r="A551" s="85" t="inlineStr">
        <is>
          <t>04/23/2026</t>
        </is>
      </c>
      <c r="B551" s="85" t="inlineStr">
        <is>
          <t>8 - Land Improvements - 2201 Northview Dr - Bldg 10 -</t>
        </is>
      </c>
      <c r="M551" s="86" t="n">
        <v>2972.18</v>
      </c>
      <c r="AB551" s="87" t="n">
        <v>2972.18</v>
      </c>
    </row>
    <row r="552" ht="15" customHeight="1" s="80">
      <c r="A552" s="85" t="inlineStr">
        <is>
          <t>04/23/2026</t>
        </is>
      </c>
      <c r="B552" s="85" t="inlineStr">
        <is>
          <t>8 - Land Improvements - 2201 Northview Dr - Bldg 10 -</t>
        </is>
      </c>
      <c r="M552" s="86" t="n">
        <v>13245.14</v>
      </c>
      <c r="AB552" s="87" t="n">
        <v>13245.14</v>
      </c>
    </row>
    <row r="553" ht="15" customHeight="1" s="80">
      <c r="A553" s="85" t="inlineStr">
        <is>
          <t>04/23/2026</t>
        </is>
      </c>
      <c r="B553" s="85" t="inlineStr">
        <is>
          <t>8 - Land Improvements - 2201 Northview Dr - Bldg 11 -</t>
        </is>
      </c>
      <c r="N553" s="86" t="n">
        <v>6669.52</v>
      </c>
      <c r="AB553" s="87" t="n">
        <v>6669.52</v>
      </c>
    </row>
    <row r="554" ht="15" customHeight="1" s="80">
      <c r="A554" s="85" t="inlineStr">
        <is>
          <t>04/23/2026</t>
        </is>
      </c>
      <c r="B554" s="85" t="inlineStr">
        <is>
          <t>8 - Land Improvements - 2201 Northview Dr - Bldg 11 -</t>
        </is>
      </c>
      <c r="N554" s="86" t="n">
        <v>29115.58</v>
      </c>
      <c r="AB554" s="87" t="n">
        <v>29115.58</v>
      </c>
    </row>
    <row r="555" ht="15" customHeight="1" s="80">
      <c r="A555" s="85" t="inlineStr">
        <is>
          <t>04/23/2026</t>
        </is>
      </c>
      <c r="B555" s="85" t="inlineStr">
        <is>
          <t>8 - Land Improvements - 2201 Northview Dr - Bldg 12 -</t>
        </is>
      </c>
      <c r="O555" s="86" t="n">
        <v>4435.53</v>
      </c>
      <c r="AB555" s="87" t="n">
        <v>4435.53</v>
      </c>
    </row>
    <row r="556" ht="15" customHeight="1" s="80">
      <c r="A556" s="85" t="inlineStr">
        <is>
          <t>04/23/2026</t>
        </is>
      </c>
      <c r="B556" s="85" t="inlineStr">
        <is>
          <t>8 - Land Improvements - 2201 Northview Dr - Bldg 12 -</t>
        </is>
      </c>
      <c r="O556" s="86" t="n">
        <v>19328.12</v>
      </c>
      <c r="AB556" s="87" t="n">
        <v>19328.12</v>
      </c>
    </row>
    <row r="557" ht="15" customHeight="1" s="80">
      <c r="A557" s="85" t="inlineStr">
        <is>
          <t>04/23/2026</t>
        </is>
      </c>
      <c r="B557" s="85" t="inlineStr">
        <is>
          <t>8 - Land Improvements - 2201 Northview Dr - Bldg 13 -</t>
        </is>
      </c>
      <c r="P557" s="86" t="n">
        <v>4435.53</v>
      </c>
      <c r="AB557" s="87" t="n">
        <v>4435.53</v>
      </c>
    </row>
    <row r="558" ht="15" customHeight="1" s="80">
      <c r="A558" s="85" t="inlineStr">
        <is>
          <t>04/23/2026</t>
        </is>
      </c>
      <c r="B558" s="85" t="inlineStr">
        <is>
          <t>8 - Land Improvements - 2201 Northview Dr - Bldg 13 -</t>
        </is>
      </c>
      <c r="P558" s="86" t="n">
        <v>19328.12</v>
      </c>
      <c r="AB558" s="87" t="n">
        <v>19328.12</v>
      </c>
    </row>
    <row r="559" ht="15" customHeight="1" s="80">
      <c r="A559" s="85" t="inlineStr">
        <is>
          <t>04/23/2026</t>
        </is>
      </c>
      <c r="B559" s="85" t="inlineStr">
        <is>
          <t>8 - Land Improvements - 2201 Northview Dr - Bldg 14 -</t>
        </is>
      </c>
      <c r="Q559" s="86" t="n">
        <v>4435.53</v>
      </c>
      <c r="AB559" s="87" t="n">
        <v>4435.53</v>
      </c>
    </row>
    <row r="560" ht="15" customHeight="1" s="80">
      <c r="A560" s="85" t="inlineStr">
        <is>
          <t>04/23/2026</t>
        </is>
      </c>
      <c r="B560" s="85" t="inlineStr">
        <is>
          <t>8 - Land Improvements - 2201 Northview Dr - Bldg 14 -</t>
        </is>
      </c>
      <c r="Q560" s="86" t="n">
        <v>19328.12</v>
      </c>
      <c r="AB560" s="87" t="n">
        <v>19328.12</v>
      </c>
    </row>
    <row r="561" ht="15" customHeight="1" s="80">
      <c r="A561" s="85" t="inlineStr">
        <is>
          <t>04/23/2026</t>
        </is>
      </c>
      <c r="B561" s="85" t="inlineStr">
        <is>
          <t>8 - Land Improvements - 2201 Northview Dr - Bldg 15 -</t>
        </is>
      </c>
      <c r="R561" s="86" t="n">
        <v>6669.52</v>
      </c>
      <c r="AB561" s="87" t="n">
        <v>6669.52</v>
      </c>
    </row>
    <row r="562" ht="15" customHeight="1" s="80">
      <c r="A562" s="85" t="inlineStr">
        <is>
          <t>04/23/2026</t>
        </is>
      </c>
      <c r="B562" s="85" t="inlineStr">
        <is>
          <t>8 - Land Improvements - 2201 Northview Dr - Bldg 15 -</t>
        </is>
      </c>
      <c r="R562" s="86" t="n">
        <v>29115.58</v>
      </c>
      <c r="AB562" s="87" t="n">
        <v>29115.58</v>
      </c>
    </row>
    <row r="563" ht="15" customHeight="1" s="80">
      <c r="A563" s="85" t="inlineStr">
        <is>
          <t>04/23/2026</t>
        </is>
      </c>
      <c r="B563" s="85" t="inlineStr">
        <is>
          <t>8 - Land Improvements - 2201 Northview Dr - Bldg 16 -</t>
        </is>
      </c>
      <c r="S563" s="86" t="n">
        <v>2972.18</v>
      </c>
      <c r="AB563" s="87" t="n">
        <v>2972.18</v>
      </c>
    </row>
    <row r="564" ht="15" customHeight="1" s="80">
      <c r="A564" s="85" t="inlineStr">
        <is>
          <t>04/23/2026</t>
        </is>
      </c>
      <c r="B564" s="85" t="inlineStr">
        <is>
          <t>8 - Land Improvements - 2201 Northview Dr - Bldg 16 -</t>
        </is>
      </c>
      <c r="S564" s="86" t="n">
        <v>13245.14</v>
      </c>
      <c r="AB564" s="87" t="n">
        <v>13245.14</v>
      </c>
    </row>
    <row r="565" ht="15" customHeight="1" s="80">
      <c r="A565" s="85" t="inlineStr">
        <is>
          <t>04/23/2026</t>
        </is>
      </c>
      <c r="B565" s="85" t="inlineStr">
        <is>
          <t>8 - Land Improvements - 2201 Northview Dr - Bldg 17 -</t>
        </is>
      </c>
      <c r="T565" s="86" t="n">
        <v>2236.32</v>
      </c>
      <c r="AB565" s="87" t="n">
        <v>2236.32</v>
      </c>
    </row>
    <row r="566" ht="15" customHeight="1" s="80">
      <c r="A566" s="85" t="inlineStr">
        <is>
          <t>04/23/2026</t>
        </is>
      </c>
      <c r="B566" s="85" t="inlineStr">
        <is>
          <t>8 - Land Improvements - 2201 Northview Dr - Bldg 17 -</t>
        </is>
      </c>
      <c r="T566" s="86" t="n">
        <v>10017.46</v>
      </c>
      <c r="AB566" s="87" t="n">
        <v>10017.46</v>
      </c>
    </row>
    <row r="567" ht="15" customHeight="1" s="80">
      <c r="A567" s="85" t="inlineStr">
        <is>
          <t>04/23/2026</t>
        </is>
      </c>
      <c r="B567" s="85" t="inlineStr">
        <is>
          <t>8 - Land Improvements - 2201 Northview Dr - Bldg 18 -</t>
        </is>
      </c>
      <c r="U567" s="86" t="n">
        <v>2236.32</v>
      </c>
      <c r="AB567" s="87" t="n">
        <v>2236.32</v>
      </c>
    </row>
    <row r="568" ht="15" customHeight="1" s="80">
      <c r="A568" s="85" t="inlineStr">
        <is>
          <t>04/23/2026</t>
        </is>
      </c>
      <c r="B568" s="85" t="inlineStr">
        <is>
          <t>8 - Land Improvements - 2201 Northview Dr - Bldg 18 -</t>
        </is>
      </c>
      <c r="U568" s="86" t="n">
        <v>10017.46</v>
      </c>
      <c r="AB568" s="87" t="n">
        <v>10017.46</v>
      </c>
    </row>
    <row r="569" ht="15" customHeight="1" s="80">
      <c r="A569" s="85" t="inlineStr">
        <is>
          <t>04/23/2026</t>
        </is>
      </c>
      <c r="B569" s="85" t="inlineStr">
        <is>
          <t>8 - Land Improvements - 2201 Northview Dr - Bldg 19 -</t>
        </is>
      </c>
      <c r="V569" s="86" t="n">
        <v>3674.97</v>
      </c>
      <c r="AB569" s="87" t="n">
        <v>3674.97</v>
      </c>
    </row>
    <row r="570" ht="15" customHeight="1" s="80">
      <c r="A570" s="85" t="inlineStr">
        <is>
          <t>04/23/2026</t>
        </is>
      </c>
      <c r="B570" s="85" t="inlineStr">
        <is>
          <t>8 - Land Improvements - 2201 Northview Dr - Bldg 19 -</t>
        </is>
      </c>
      <c r="V570" s="86" t="n">
        <v>16654.91</v>
      </c>
      <c r="AB570" s="87" t="n">
        <v>16654.91</v>
      </c>
    </row>
    <row r="571" ht="15" customHeight="1" s="80">
      <c r="A571" s="85" t="inlineStr">
        <is>
          <t>04/23/2026</t>
        </is>
      </c>
      <c r="B571" s="85" t="inlineStr">
        <is>
          <t>8 - Land Improvements - 2201 Northview Dr - Bldg 20 -</t>
        </is>
      </c>
      <c r="W571" s="86" t="n">
        <v>5035.16</v>
      </c>
      <c r="AB571" s="87" t="n">
        <v>5035.16</v>
      </c>
    </row>
    <row r="572" ht="15" customHeight="1" s="80">
      <c r="A572" s="85" t="inlineStr">
        <is>
          <t>04/23/2026</t>
        </is>
      </c>
      <c r="B572" s="85" t="inlineStr">
        <is>
          <t>8 - Land Improvements - 2201 Northview Dr - Bldg 20 -</t>
        </is>
      </c>
      <c r="W572" s="86" t="n">
        <v>22178.36</v>
      </c>
      <c r="AB572" s="87" t="n">
        <v>22178.36</v>
      </c>
    </row>
    <row r="573" ht="15" customHeight="1" s="80">
      <c r="A573" s="85" t="inlineStr">
        <is>
          <t>04/23/2026</t>
        </is>
      </c>
      <c r="B573" s="85" t="inlineStr">
        <is>
          <t>8 - Land Improvements - 2201 Northview Dr - Bldg 21 -</t>
        </is>
      </c>
      <c r="X573" s="86" t="n">
        <v>2972.18</v>
      </c>
      <c r="AB573" s="87" t="n">
        <v>2972.18</v>
      </c>
    </row>
    <row r="574" ht="15" customHeight="1" s="80">
      <c r="A574" s="85" t="inlineStr">
        <is>
          <t>04/23/2026</t>
        </is>
      </c>
      <c r="B574" s="85" t="inlineStr">
        <is>
          <t>8 - Land Improvements - 2201 Northview Dr - Bldg 21 -</t>
        </is>
      </c>
      <c r="X574" s="86" t="n">
        <v>13245.14</v>
      </c>
      <c r="AB574" s="87" t="n">
        <v>13245.14</v>
      </c>
    </row>
    <row r="575" ht="15" customHeight="1" s="80">
      <c r="A575" s="85" t="inlineStr">
        <is>
          <t>04/23/2026</t>
        </is>
      </c>
      <c r="B575" s="85" t="inlineStr">
        <is>
          <t>8 - Land Improvements - 2201 Northview Dr - Bldg 22 -</t>
        </is>
      </c>
      <c r="Y575" s="86" t="n">
        <v>3674.97</v>
      </c>
      <c r="AB575" s="87" t="n">
        <v>3674.97</v>
      </c>
    </row>
    <row r="576" ht="15" customHeight="1" s="80">
      <c r="A576" s="85" t="inlineStr">
        <is>
          <t>04/23/2026</t>
        </is>
      </c>
      <c r="B576" s="85" t="inlineStr">
        <is>
          <t>8 - Land Improvements - 2201 Northview Dr - Bldg 22 -</t>
        </is>
      </c>
      <c r="Y576" s="86" t="n">
        <v>16654.91</v>
      </c>
      <c r="AB576" s="87" t="n">
        <v>16654.91</v>
      </c>
    </row>
    <row r="577" ht="15" customHeight="1" s="80">
      <c r="A577" s="85" t="inlineStr">
        <is>
          <t>04/23/2026</t>
        </is>
      </c>
      <c r="B577" s="85" t="inlineStr">
        <is>
          <t>8 - Land Improvements - 2201 Northview Dr - Shed B -</t>
        </is>
      </c>
      <c r="Z577" s="86" t="n">
        <v>13.01</v>
      </c>
      <c r="AB577" s="87" t="n">
        <v>13.01</v>
      </c>
    </row>
    <row r="578" ht="15" customHeight="1" s="80">
      <c r="A578" s="85" t="inlineStr">
        <is>
          <t>04/23/2026</t>
        </is>
      </c>
      <c r="B578" s="85" t="inlineStr">
        <is>
          <t>8 - Land Improvements - 2201 Northview Dr - Shed B -</t>
        </is>
      </c>
      <c r="Z578" s="86" t="n">
        <v>630.1</v>
      </c>
      <c r="AB578" s="87" t="n">
        <v>630.1</v>
      </c>
    </row>
    <row r="579" ht="15" customHeight="1" s="80">
      <c r="A579" s="85" t="inlineStr">
        <is>
          <t>04/23/2026</t>
        </is>
      </c>
      <c r="B579" s="85" t="inlineStr">
        <is>
          <t>8 - Land Improvements - 2201 Northview Dr - Laundry -</t>
        </is>
      </c>
      <c r="AA579" s="86" t="n">
        <v>1350.23</v>
      </c>
      <c r="AB579" s="87" t="n">
        <v>1350.23</v>
      </c>
    </row>
    <row r="580" ht="15" customHeight="1" s="80">
      <c r="A580" s="85" t="inlineStr">
        <is>
          <t>04/23/2026</t>
        </is>
      </c>
      <c r="B580" s="85" t="inlineStr">
        <is>
          <t>8 - Land Improvements - 2201 Northview Dr - Laundry -</t>
        </is>
      </c>
      <c r="AA580" s="86" t="n">
        <v>777.75</v>
      </c>
      <c r="AB580" s="87" t="n">
        <v>777.75</v>
      </c>
    </row>
    <row r="581" ht="15" customHeight="1" s="80">
      <c r="A581" s="85" t="inlineStr">
        <is>
          <t>04/23/2026</t>
        </is>
      </c>
      <c r="B581" s="85" t="inlineStr">
        <is>
          <t>9 - Furniture &amp; Fixtures - 2201 Northview Dr - Site -</t>
        </is>
      </c>
      <c r="C581" s="86" t="n">
        <v>965.84</v>
      </c>
      <c r="AB581" s="87" t="n">
        <v>965.84</v>
      </c>
    </row>
    <row r="582" ht="15" customHeight="1" s="80">
      <c r="A582" s="85" t="inlineStr">
        <is>
          <t>04/23/2026</t>
        </is>
      </c>
      <c r="B582" s="85" t="inlineStr">
        <is>
          <t>9 - Furniture &amp; Fixtures - 2201 Northview Dr - Site -</t>
        </is>
      </c>
      <c r="C582" s="86" t="n">
        <v>62002.79</v>
      </c>
      <c r="AB582" s="87" t="n">
        <v>62002.79</v>
      </c>
    </row>
    <row r="583" ht="15" customHeight="1" s="80">
      <c r="A583" s="85" t="inlineStr">
        <is>
          <t>04/23/2026</t>
        </is>
      </c>
      <c r="B583" s="85" t="inlineStr">
        <is>
          <t>9 - Furniture &amp; Fixtures - 2201 Northview Dr - Bldg 1 -</t>
        </is>
      </c>
      <c r="D583" s="86" t="n">
        <v>8820.290000000001</v>
      </c>
      <c r="AB583" s="87" t="n">
        <v>8820.290000000001</v>
      </c>
    </row>
    <row r="584" ht="15" customHeight="1" s="80">
      <c r="A584" s="85" t="inlineStr">
        <is>
          <t>04/23/2026</t>
        </is>
      </c>
      <c r="B584" s="85" t="inlineStr">
        <is>
          <t>9 - Furniture &amp; Fixtures - 2201 Northview Dr - Bldg 1 -</t>
        </is>
      </c>
      <c r="D584" s="86" t="n">
        <v>41620.82</v>
      </c>
      <c r="AB584" s="87" t="n">
        <v>41620.82</v>
      </c>
    </row>
    <row r="585" ht="15" customHeight="1" s="80">
      <c r="A585" s="85" t="inlineStr">
        <is>
          <t>04/23/2026</t>
        </is>
      </c>
      <c r="B585" s="85" t="inlineStr">
        <is>
          <t>9 - Furniture &amp; Fixtures - 2201 Northview Dr - Bldg 2 -</t>
        </is>
      </c>
      <c r="E585" s="86" t="n">
        <v>7018.93</v>
      </c>
      <c r="AB585" s="87" t="n">
        <v>7018.93</v>
      </c>
    </row>
    <row r="586" ht="15" customHeight="1" s="80">
      <c r="A586" s="85" t="inlineStr">
        <is>
          <t>04/23/2026</t>
        </is>
      </c>
      <c r="B586" s="85" t="inlineStr">
        <is>
          <t>9 - Furniture &amp; Fixtures - 2201 Northview Dr - Bldg 2 -</t>
        </is>
      </c>
      <c r="E586" s="86" t="n">
        <v>31515.92</v>
      </c>
      <c r="AB586" s="87" t="n">
        <v>31515.92</v>
      </c>
    </row>
    <row r="587" ht="15" customHeight="1" s="80">
      <c r="A587" s="85" t="inlineStr">
        <is>
          <t>04/23/2026</t>
        </is>
      </c>
      <c r="B587" s="85" t="inlineStr">
        <is>
          <t>9 - Furniture &amp; Fixtures - 2201 Northview Dr - Bldg 3 -</t>
        </is>
      </c>
      <c r="F587" s="86" t="n">
        <v>5572.85</v>
      </c>
      <c r="AB587" s="87" t="n">
        <v>5572.85</v>
      </c>
    </row>
    <row r="588" ht="15" customHeight="1" s="80">
      <c r="A588" s="85" t="inlineStr">
        <is>
          <t>04/23/2026</t>
        </is>
      </c>
      <c r="B588" s="85" t="inlineStr">
        <is>
          <t>9 - Furniture &amp; Fixtures - 2201 Northview Dr - Bldg 3 -</t>
        </is>
      </c>
      <c r="F588" s="86" t="n">
        <v>24834.63</v>
      </c>
      <c r="AB588" s="87" t="n">
        <v>24834.63</v>
      </c>
    </row>
    <row r="589" ht="15" customHeight="1" s="80">
      <c r="A589" s="85" t="inlineStr">
        <is>
          <t>04/23/2026</t>
        </is>
      </c>
      <c r="B589" s="85" t="inlineStr">
        <is>
          <t>9 - Furniture &amp; Fixtures - 2201 Northview Dr - Bldg 4 -</t>
        </is>
      </c>
      <c r="G589" s="86" t="n">
        <v>11138.51</v>
      </c>
      <c r="AB589" s="87" t="n">
        <v>11138.51</v>
      </c>
    </row>
    <row r="590" ht="15" customHeight="1" s="80">
      <c r="A590" s="85" t="inlineStr">
        <is>
          <t>04/23/2026</t>
        </is>
      </c>
      <c r="B590" s="85" t="inlineStr">
        <is>
          <t>9 - Furniture &amp; Fixtures - 2201 Northview Dr - Bldg 4 -</t>
        </is>
      </c>
      <c r="G590" s="86" t="n">
        <v>48492.49</v>
      </c>
      <c r="AB590" s="87" t="n">
        <v>48492.49</v>
      </c>
    </row>
    <row r="591" ht="15" customHeight="1" s="80">
      <c r="A591" s="85" t="inlineStr">
        <is>
          <t>04/23/2026</t>
        </is>
      </c>
      <c r="B591" s="85" t="inlineStr">
        <is>
          <t>9 - Furniture &amp; Fixtures - 2201 Northview Dr - Bldg 5 -</t>
        </is>
      </c>
      <c r="H591" s="86" t="n">
        <v>5572.85</v>
      </c>
      <c r="AB591" s="87" t="n">
        <v>5572.85</v>
      </c>
    </row>
    <row r="592" ht="15" customHeight="1" s="80">
      <c r="A592" s="85" t="inlineStr">
        <is>
          <t>04/23/2026</t>
        </is>
      </c>
      <c r="B592" s="85" t="inlineStr">
        <is>
          <t>9 - Furniture &amp; Fixtures - 2201 Northview Dr - Bldg 5 -</t>
        </is>
      </c>
      <c r="H592" s="86" t="n">
        <v>24834.63</v>
      </c>
      <c r="AB592" s="87" t="n">
        <v>24834.63</v>
      </c>
    </row>
    <row r="593" ht="15" customHeight="1" s="80">
      <c r="A593" s="85" t="inlineStr">
        <is>
          <t>04/23/2026</t>
        </is>
      </c>
      <c r="B593" s="85" t="inlineStr">
        <is>
          <t>9 - Furniture &amp; Fixtures - 2201 Northview Dr - Bldg 6 -</t>
        </is>
      </c>
      <c r="I593" s="86" t="n">
        <v>11138.51</v>
      </c>
      <c r="AB593" s="87" t="n">
        <v>11138.51</v>
      </c>
    </row>
    <row r="594" ht="15" customHeight="1" s="80">
      <c r="A594" s="85" t="inlineStr">
        <is>
          <t>04/23/2026</t>
        </is>
      </c>
      <c r="B594" s="85" t="inlineStr">
        <is>
          <t>9 - Furniture &amp; Fixtures - 2201 Northview Dr - Bldg 6 -</t>
        </is>
      </c>
      <c r="I594" s="86" t="n">
        <v>48492.49</v>
      </c>
      <c r="AB594" s="87" t="n">
        <v>48492.49</v>
      </c>
    </row>
    <row r="595" ht="15" customHeight="1" s="80">
      <c r="A595" s="85" t="inlineStr">
        <is>
          <t>04/23/2026</t>
        </is>
      </c>
      <c r="B595" s="85" t="inlineStr">
        <is>
          <t>9 - Furniture &amp; Fixtures - 2201 Northview Dr - Bldg 7 -</t>
        </is>
      </c>
      <c r="J595" s="86" t="n">
        <v>7018.93</v>
      </c>
      <c r="AB595" s="87" t="n">
        <v>7018.93</v>
      </c>
    </row>
    <row r="596" ht="15" customHeight="1" s="80">
      <c r="A596" s="85" t="inlineStr">
        <is>
          <t>04/23/2026</t>
        </is>
      </c>
      <c r="B596" s="85" t="inlineStr">
        <is>
          <t>9 - Furniture &amp; Fixtures - 2201 Northview Dr - Bldg 7 -</t>
        </is>
      </c>
      <c r="J596" s="86" t="n">
        <v>31515.92</v>
      </c>
      <c r="AB596" s="87" t="n">
        <v>31515.92</v>
      </c>
    </row>
    <row r="597" ht="15" customHeight="1" s="80">
      <c r="A597" s="85" t="inlineStr">
        <is>
          <t>04/23/2026</t>
        </is>
      </c>
      <c r="B597" s="85" t="inlineStr">
        <is>
          <t>9 - Furniture &amp; Fixtures - 2201 Northview Dr - Bldg 8 -</t>
        </is>
      </c>
      <c r="K597" s="86" t="n">
        <v>9670.4</v>
      </c>
      <c r="AB597" s="87" t="n">
        <v>9670.4</v>
      </c>
    </row>
    <row r="598" ht="15" customHeight="1" s="80">
      <c r="A598" s="85" t="inlineStr">
        <is>
          <t>04/23/2026</t>
        </is>
      </c>
      <c r="B598" s="85" t="inlineStr">
        <is>
          <t>9 - Furniture &amp; Fixtures - 2201 Northview Dr - Bldg 8 -</t>
        </is>
      </c>
      <c r="K598" s="86" t="n">
        <v>42084.68</v>
      </c>
      <c r="AB598" s="87" t="n">
        <v>42084.68</v>
      </c>
    </row>
    <row r="599" ht="15" customHeight="1" s="80">
      <c r="A599" s="85" t="inlineStr">
        <is>
          <t>04/23/2026</t>
        </is>
      </c>
      <c r="B599" s="85" t="inlineStr">
        <is>
          <t>9 - Furniture &amp; Fixtures - 2201 Northview Dr - Bldg 9 -</t>
        </is>
      </c>
      <c r="L599" s="86" t="n">
        <v>9585.690000000001</v>
      </c>
      <c r="AB599" s="87" t="n">
        <v>9585.690000000001</v>
      </c>
    </row>
    <row r="600" ht="15" customHeight="1" s="80">
      <c r="A600" s="85" t="inlineStr">
        <is>
          <t>04/23/2026</t>
        </is>
      </c>
      <c r="B600" s="85" t="inlineStr">
        <is>
          <t>9 - Furniture &amp; Fixtures - 2201 Northview Dr - Bldg 9 -</t>
        </is>
      </c>
      <c r="L600" s="86" t="n">
        <v>42026.04</v>
      </c>
      <c r="AB600" s="87" t="n">
        <v>42026.04</v>
      </c>
    </row>
    <row r="601" ht="15" customHeight="1" s="80">
      <c r="A601" s="85" t="inlineStr">
        <is>
          <t>04/23/2026</t>
        </is>
      </c>
      <c r="B601" s="85" t="inlineStr">
        <is>
          <t>9 - Furniture &amp; Fixtures - 2201 Northview Dr - Bldg 10 -</t>
        </is>
      </c>
      <c r="M601" s="86" t="n">
        <v>5572.85</v>
      </c>
      <c r="AB601" s="87" t="n">
        <v>5572.85</v>
      </c>
    </row>
    <row r="602" ht="15" customHeight="1" s="80">
      <c r="A602" s="85" t="inlineStr">
        <is>
          <t>04/23/2026</t>
        </is>
      </c>
      <c r="B602" s="85" t="inlineStr">
        <is>
          <t>9 - Furniture &amp; Fixtures - 2201 Northview Dr - Bldg 10 -</t>
        </is>
      </c>
      <c r="M602" s="86" t="n">
        <v>24834.63</v>
      </c>
      <c r="AB602" s="87" t="n">
        <v>24834.63</v>
      </c>
    </row>
    <row r="603" ht="15" customHeight="1" s="80">
      <c r="A603" s="85" t="inlineStr">
        <is>
          <t>04/23/2026</t>
        </is>
      </c>
      <c r="B603" s="85" t="inlineStr">
        <is>
          <t>9 - Furniture &amp; Fixtures - 2201 Northview Dr - Bldg 11 -</t>
        </is>
      </c>
      <c r="N603" s="86" t="n">
        <v>12505.34</v>
      </c>
      <c r="AB603" s="87" t="n">
        <v>12505.34</v>
      </c>
    </row>
    <row r="604" ht="15" customHeight="1" s="80">
      <c r="A604" s="85" t="inlineStr">
        <is>
          <t>04/23/2026</t>
        </is>
      </c>
      <c r="B604" s="85" t="inlineStr">
        <is>
          <t>9 - Furniture &amp; Fixtures - 2201 Northview Dr - Bldg 11 -</t>
        </is>
      </c>
      <c r="N604" s="86" t="n">
        <v>54591.74</v>
      </c>
      <c r="AB604" s="87" t="n">
        <v>54591.74</v>
      </c>
    </row>
    <row r="605" ht="15" customHeight="1" s="80">
      <c r="A605" s="85" t="inlineStr">
        <is>
          <t>04/23/2026</t>
        </is>
      </c>
      <c r="B605" s="85" t="inlineStr">
        <is>
          <t>9 - Furniture &amp; Fixtures - 2201 Northview Dr - Bldg 12 -</t>
        </is>
      </c>
      <c r="O605" s="86" t="n">
        <v>8316.620000000001</v>
      </c>
      <c r="AB605" s="87" t="n">
        <v>8316.620000000001</v>
      </c>
    </row>
    <row r="606" ht="15" customHeight="1" s="80">
      <c r="A606" s="85" t="inlineStr">
        <is>
          <t>04/23/2026</t>
        </is>
      </c>
      <c r="B606" s="85" t="inlineStr">
        <is>
          <t>9 - Furniture &amp; Fixtures - 2201 Northview Dr - Bldg 12 -</t>
        </is>
      </c>
      <c r="O606" s="86" t="n">
        <v>36240.25</v>
      </c>
      <c r="AB606" s="87" t="n">
        <v>36240.25</v>
      </c>
    </row>
    <row r="607" ht="15" customHeight="1" s="80">
      <c r="A607" s="85" t="inlineStr">
        <is>
          <t>04/23/2026</t>
        </is>
      </c>
      <c r="B607" s="85" t="inlineStr">
        <is>
          <t>9 - Furniture &amp; Fixtures - 2201 Northview Dr - Bldg 13 -</t>
        </is>
      </c>
      <c r="P607" s="86" t="n">
        <v>8316.620000000001</v>
      </c>
      <c r="AB607" s="87" t="n">
        <v>8316.620000000001</v>
      </c>
    </row>
    <row r="608" ht="15" customHeight="1" s="80">
      <c r="A608" s="85" t="inlineStr">
        <is>
          <t>04/23/2026</t>
        </is>
      </c>
      <c r="B608" s="85" t="inlineStr">
        <is>
          <t>9 - Furniture &amp; Fixtures - 2201 Northview Dr - Bldg 13 -</t>
        </is>
      </c>
      <c r="P608" s="86" t="n">
        <v>36240.25</v>
      </c>
      <c r="AB608" s="87" t="n">
        <v>36240.25</v>
      </c>
    </row>
    <row r="609" ht="15" customHeight="1" s="80">
      <c r="A609" s="85" t="inlineStr">
        <is>
          <t>04/23/2026</t>
        </is>
      </c>
      <c r="B609" s="85" t="inlineStr">
        <is>
          <t>9 - Furniture &amp; Fixtures - 2201 Northview Dr - Bldg 14 -</t>
        </is>
      </c>
      <c r="Q609" s="86" t="n">
        <v>8316.620000000001</v>
      </c>
      <c r="AB609" s="87" t="n">
        <v>8316.620000000001</v>
      </c>
    </row>
    <row r="610" ht="15" customHeight="1" s="80">
      <c r="A610" s="85" t="inlineStr">
        <is>
          <t>04/23/2026</t>
        </is>
      </c>
      <c r="B610" s="85" t="inlineStr">
        <is>
          <t>9 - Furniture &amp; Fixtures - 2201 Northview Dr - Bldg 14 -</t>
        </is>
      </c>
      <c r="Q610" s="86" t="n">
        <v>36240.25</v>
      </c>
      <c r="AB610" s="87" t="n">
        <v>36240.25</v>
      </c>
    </row>
    <row r="611" ht="15" customHeight="1" s="80">
      <c r="A611" s="85" t="inlineStr">
        <is>
          <t>04/23/2026</t>
        </is>
      </c>
      <c r="B611" s="85" t="inlineStr">
        <is>
          <t>9 - Furniture &amp; Fixtures - 2201 Northview Dr - Bldg 15 -</t>
        </is>
      </c>
      <c r="R611" s="86" t="n">
        <v>12505.34</v>
      </c>
      <c r="AB611" s="87" t="n">
        <v>12505.34</v>
      </c>
    </row>
    <row r="612" ht="15" customHeight="1" s="80">
      <c r="A612" s="85" t="inlineStr">
        <is>
          <t>04/23/2026</t>
        </is>
      </c>
      <c r="B612" s="85" t="inlineStr">
        <is>
          <t>9 - Furniture &amp; Fixtures - 2201 Northview Dr - Bldg 15 -</t>
        </is>
      </c>
      <c r="R612" s="86" t="n">
        <v>54591.74</v>
      </c>
      <c r="AB612" s="87" t="n">
        <v>54591.74</v>
      </c>
    </row>
    <row r="613" ht="15" customHeight="1" s="80">
      <c r="A613" s="85" t="inlineStr">
        <is>
          <t>04/23/2026</t>
        </is>
      </c>
      <c r="B613" s="85" t="inlineStr">
        <is>
          <t>9 - Furniture &amp; Fixtures - 2201 Northview Dr - Bldg 16 -</t>
        </is>
      </c>
      <c r="S613" s="86" t="n">
        <v>5572.85</v>
      </c>
      <c r="AB613" s="87" t="n">
        <v>5572.85</v>
      </c>
    </row>
    <row r="614" ht="15" customHeight="1" s="80">
      <c r="A614" s="85" t="inlineStr">
        <is>
          <t>04/23/2026</t>
        </is>
      </c>
      <c r="B614" s="85" t="inlineStr">
        <is>
          <t>9 - Furniture &amp; Fixtures - 2201 Northview Dr - Bldg 16 -</t>
        </is>
      </c>
      <c r="S614" s="86" t="n">
        <v>24834.63</v>
      </c>
      <c r="AB614" s="87" t="n">
        <v>24834.63</v>
      </c>
    </row>
    <row r="615" ht="15" customHeight="1" s="80">
      <c r="A615" s="85" t="inlineStr">
        <is>
          <t>04/23/2026</t>
        </is>
      </c>
      <c r="B615" s="85" t="inlineStr">
        <is>
          <t>9 - Furniture &amp; Fixtures - 2201 Northview Dr - Bldg 17 -</t>
        </is>
      </c>
      <c r="T615" s="86" t="n">
        <v>4193.09</v>
      </c>
      <c r="AB615" s="87" t="n">
        <v>4193.09</v>
      </c>
    </row>
    <row r="616" ht="15" customHeight="1" s="80">
      <c r="A616" s="85" t="inlineStr">
        <is>
          <t>04/23/2026</t>
        </is>
      </c>
      <c r="B616" s="85" t="inlineStr">
        <is>
          <t>9 - Furniture &amp; Fixtures - 2201 Northview Dr - Bldg 17 -</t>
        </is>
      </c>
      <c r="T616" s="86" t="n">
        <v>18782.75</v>
      </c>
      <c r="AB616" s="87" t="n">
        <v>18782.75</v>
      </c>
    </row>
    <row r="617" ht="15" customHeight="1" s="80">
      <c r="A617" s="85" t="inlineStr">
        <is>
          <t>04/23/2026</t>
        </is>
      </c>
      <c r="B617" s="85" t="inlineStr">
        <is>
          <t>9 - Furniture &amp; Fixtures - 2201 Northview Dr - Bldg 18 -</t>
        </is>
      </c>
      <c r="U617" s="86" t="n">
        <v>4193.09</v>
      </c>
      <c r="AB617" s="87" t="n">
        <v>4193.09</v>
      </c>
    </row>
    <row r="618" ht="15" customHeight="1" s="80">
      <c r="A618" s="85" t="inlineStr">
        <is>
          <t>04/23/2026</t>
        </is>
      </c>
      <c r="B618" s="85" t="inlineStr">
        <is>
          <t>9 - Furniture &amp; Fixtures - 2201 Northview Dr - Bldg 18 -</t>
        </is>
      </c>
      <c r="U618" s="86" t="n">
        <v>18782.75</v>
      </c>
      <c r="AB618" s="87" t="n">
        <v>18782.75</v>
      </c>
    </row>
    <row r="619" ht="15" customHeight="1" s="80">
      <c r="A619" s="85" t="inlineStr">
        <is>
          <t>04/23/2026</t>
        </is>
      </c>
      <c r="B619" s="85" t="inlineStr">
        <is>
          <t>9 - Furniture &amp; Fixtures - 2201 Northview Dr - Bldg 19 -</t>
        </is>
      </c>
      <c r="V619" s="86" t="n">
        <v>6890.57</v>
      </c>
      <c r="AB619" s="87" t="n">
        <v>6890.57</v>
      </c>
    </row>
    <row r="620" ht="15" customHeight="1" s="80">
      <c r="A620" s="85" t="inlineStr">
        <is>
          <t>04/23/2026</t>
        </is>
      </c>
      <c r="B620" s="85" t="inlineStr">
        <is>
          <t>9 - Furniture &amp; Fixtures - 2201 Northview Dr - Bldg 19 -</t>
        </is>
      </c>
      <c r="V620" s="86" t="n">
        <v>31227.97</v>
      </c>
      <c r="AB620" s="87" t="n">
        <v>31227.97</v>
      </c>
    </row>
    <row r="621" ht="15" customHeight="1" s="80">
      <c r="A621" s="85" t="inlineStr">
        <is>
          <t>04/23/2026</t>
        </is>
      </c>
      <c r="B621" s="85" t="inlineStr">
        <is>
          <t>9 - Furniture &amp; Fixtures - 2201 Northview Dr - Bldg 20 -</t>
        </is>
      </c>
      <c r="W621" s="86" t="n">
        <v>9440.93</v>
      </c>
      <c r="AB621" s="87" t="n">
        <v>9440.93</v>
      </c>
    </row>
    <row r="622" ht="15" customHeight="1" s="80">
      <c r="A622" s="85" t="inlineStr">
        <is>
          <t>04/23/2026</t>
        </is>
      </c>
      <c r="B622" s="85" t="inlineStr">
        <is>
          <t>9 - Furniture &amp; Fixtures - 2201 Northview Dr - Bldg 20 -</t>
        </is>
      </c>
      <c r="W622" s="86" t="n">
        <v>41584.44</v>
      </c>
      <c r="AB622" s="87" t="n">
        <v>41584.44</v>
      </c>
    </row>
    <row r="623" ht="15" customHeight="1" s="80">
      <c r="A623" s="85" t="inlineStr">
        <is>
          <t>04/23/2026</t>
        </is>
      </c>
      <c r="B623" s="85" t="inlineStr">
        <is>
          <t>9 - Furniture &amp; Fixtures - 2201 Northview Dr - Bldg 21 -</t>
        </is>
      </c>
      <c r="X623" s="86" t="n">
        <v>5572.85</v>
      </c>
      <c r="AB623" s="87" t="n">
        <v>5572.85</v>
      </c>
    </row>
    <row r="624" ht="15" customHeight="1" s="80">
      <c r="A624" s="85" t="inlineStr">
        <is>
          <t>04/23/2026</t>
        </is>
      </c>
      <c r="B624" s="85" t="inlineStr">
        <is>
          <t>9 - Furniture &amp; Fixtures - 2201 Northview Dr - Bldg 21 -</t>
        </is>
      </c>
      <c r="X624" s="86" t="n">
        <v>24834.63</v>
      </c>
      <c r="AB624" s="87" t="n">
        <v>24834.63</v>
      </c>
    </row>
    <row r="625" ht="15" customHeight="1" s="80">
      <c r="A625" s="85" t="inlineStr">
        <is>
          <t>04/23/2026</t>
        </is>
      </c>
      <c r="B625" s="85" t="inlineStr">
        <is>
          <t>9 - Furniture &amp; Fixtures - 2201 Northview Dr - Bldg 22 -</t>
        </is>
      </c>
      <c r="Y625" s="86" t="n">
        <v>6890.57</v>
      </c>
      <c r="AB625" s="87" t="n">
        <v>6890.57</v>
      </c>
    </row>
    <row r="626" ht="15" customHeight="1" s="80">
      <c r="A626" s="85" t="inlineStr">
        <is>
          <t>04/23/2026</t>
        </is>
      </c>
      <c r="B626" s="85" t="inlineStr">
        <is>
          <t>9 - Furniture &amp; Fixtures - 2201 Northview Dr - Bldg 22 -</t>
        </is>
      </c>
      <c r="Y626" s="86" t="n">
        <v>31227.97</v>
      </c>
      <c r="AB626" s="87" t="n">
        <v>31227.97</v>
      </c>
    </row>
    <row r="627" ht="15" customHeight="1" s="80">
      <c r="A627" s="85" t="inlineStr">
        <is>
          <t>04/23/2026</t>
        </is>
      </c>
      <c r="B627" s="85" t="inlineStr">
        <is>
          <t>9 - Furniture &amp; Fixtures - 2201 Northview Dr - Shed B -</t>
        </is>
      </c>
      <c r="Z627" s="86" t="n">
        <v>24.39</v>
      </c>
      <c r="AB627" s="87" t="n">
        <v>24.39</v>
      </c>
    </row>
    <row r="628" ht="15" customHeight="1" s="80">
      <c r="A628" s="85" t="inlineStr">
        <is>
          <t>04/23/2026</t>
        </is>
      </c>
      <c r="B628" s="85" t="inlineStr">
        <is>
          <t>9 - Furniture &amp; Fixtures - 2201 Northview Dr - Shed B -</t>
        </is>
      </c>
      <c r="Z628" s="86" t="n">
        <v>1181.44</v>
      </c>
      <c r="AB628" s="87" t="n">
        <v>1181.44</v>
      </c>
    </row>
    <row r="629" ht="15" customHeight="1" s="80">
      <c r="A629" s="85" t="inlineStr">
        <is>
          <t>04/23/2026</t>
        </is>
      </c>
      <c r="B629" s="85" t="inlineStr">
        <is>
          <t>9 - Furniture &amp; Fixtures - 2201 Northview Dr - Laundry -</t>
        </is>
      </c>
      <c r="AA629" s="86" t="n">
        <v>2531.67</v>
      </c>
      <c r="AB629" s="87" t="n">
        <v>2531.67</v>
      </c>
    </row>
    <row r="630" ht="15" customHeight="1" s="80">
      <c r="A630" s="85" t="inlineStr">
        <is>
          <t>04/23/2026</t>
        </is>
      </c>
      <c r="B630" s="85" t="inlineStr">
        <is>
          <t>9 - Furniture &amp; Fixtures - 2201 Northview Dr - Laundry -</t>
        </is>
      </c>
      <c r="AA630" s="86" t="n">
        <v>1458.29</v>
      </c>
      <c r="AB630" s="87" t="n">
        <v>1458.29</v>
      </c>
    </row>
    <row r="632">
      <c r="C632" s="88" t="n">
        <v>1280158.57</v>
      </c>
      <c r="D632" s="88" t="n">
        <v>347897.92</v>
      </c>
      <c r="E632" s="88" t="n">
        <v>265779.16</v>
      </c>
      <c r="F632" s="88" t="n">
        <v>209723.78</v>
      </c>
      <c r="G632" s="88" t="n">
        <v>411281.62</v>
      </c>
      <c r="H632" s="88" t="n">
        <v>209723.78</v>
      </c>
      <c r="I632" s="88" t="n">
        <v>411281.62</v>
      </c>
      <c r="J632" s="88" t="n">
        <v>265779.16</v>
      </c>
      <c r="K632" s="88" t="n">
        <v>356960.53</v>
      </c>
      <c r="L632" s="88" t="n">
        <v>355971.86</v>
      </c>
      <c r="M632" s="88" t="n">
        <v>209723.78</v>
      </c>
      <c r="N632" s="88" t="n">
        <v>462776.0000000001</v>
      </c>
      <c r="O632" s="88" t="n">
        <v>307313.67</v>
      </c>
      <c r="P632" s="88" t="n">
        <v>307313.67</v>
      </c>
      <c r="Q632" s="88" t="n">
        <v>307313.67</v>
      </c>
      <c r="R632" s="88" t="n">
        <v>462776.0000000001</v>
      </c>
      <c r="S632" s="88" t="n">
        <v>209723.78</v>
      </c>
      <c r="T632" s="88" t="n">
        <v>158466.95</v>
      </c>
      <c r="U632" s="88" t="n">
        <v>158466.95</v>
      </c>
      <c r="V632" s="88" t="n">
        <v>262907.83</v>
      </c>
      <c r="W632" s="88" t="n">
        <v>351927.67</v>
      </c>
      <c r="X632" s="88" t="n">
        <v>209723.78</v>
      </c>
      <c r="Y632" s="88" t="n">
        <v>262907.83</v>
      </c>
      <c r="Z632" s="88" t="n">
        <v>8316.73</v>
      </c>
      <c r="AA632" s="88" t="n">
        <v>27519.23</v>
      </c>
      <c r="AB632" s="88" t="n">
        <v>7821735.540000001</v>
      </c>
    </row>
    <row r="634">
      <c r="B634" s="90" t="inlineStr">
        <is>
          <t>Projected First-Year Benefit (vs. straight-line 27.5yr)</t>
        </is>
      </c>
      <c r="C634" s="88" t="n">
        <v>1280158.57</v>
      </c>
      <c r="D634" s="88" t="n">
        <v>347897.92</v>
      </c>
      <c r="E634" s="88" t="n">
        <v>265779.16</v>
      </c>
      <c r="F634" s="88" t="n">
        <v>209723.78</v>
      </c>
      <c r="G634" s="88" t="n">
        <v>411281.62</v>
      </c>
      <c r="H634" s="88" t="n">
        <v>209723.78</v>
      </c>
      <c r="I634" s="88" t="n">
        <v>411281.62</v>
      </c>
      <c r="J634" s="88" t="n">
        <v>265779.16</v>
      </c>
      <c r="K634" s="88" t="n">
        <v>356960.53</v>
      </c>
      <c r="L634" s="88" t="n">
        <v>355971.86</v>
      </c>
      <c r="M634" s="88" t="n">
        <v>209723.78</v>
      </c>
      <c r="N634" s="88" t="n">
        <v>462776.0000000001</v>
      </c>
      <c r="O634" s="88" t="n">
        <v>307313.67</v>
      </c>
      <c r="P634" s="88" t="n">
        <v>307313.67</v>
      </c>
      <c r="Q634" s="88" t="n">
        <v>307313.67</v>
      </c>
      <c r="R634" s="88" t="n">
        <v>462776.0000000001</v>
      </c>
      <c r="S634" s="88" t="n">
        <v>209723.78</v>
      </c>
      <c r="T634" s="88" t="n">
        <v>158466.95</v>
      </c>
      <c r="U634" s="88" t="n">
        <v>158466.95</v>
      </c>
      <c r="V634" s="88" t="n">
        <v>262907.83</v>
      </c>
      <c r="W634" s="88" t="n">
        <v>351927.67</v>
      </c>
      <c r="X634" s="88" t="n">
        <v>209723.78</v>
      </c>
      <c r="Y634" s="88" t="n">
        <v>262907.83</v>
      </c>
      <c r="Z634" s="88" t="n">
        <v>8316.73</v>
      </c>
      <c r="AA634" s="88" t="n">
        <v>27519.23</v>
      </c>
      <c r="AB634" s="88" t="n">
        <v>7821735.540000001</v>
      </c>
    </row>
  </sheetData>
  <mergeCells count="1">
    <mergeCell ref="B321:AB32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
  <sheetViews>
    <sheetView workbookViewId="0">
      <pane xSplit="2" ySplit="1" topLeftCell="C6" activePane="bottomRight" state="frozen"/>
      <selection pane="bottomLeft" activeCell="A2" sqref="A2"/>
      <selection pane="topRight" activeCell="C1" sqref="C1"/>
      <selection pane="bottomRight" activeCell="A1" sqref="A1"/>
    </sheetView>
  </sheetViews>
  <sheetFormatPr baseColWidth="8" defaultColWidth="9.140625" defaultRowHeight="15" customHeight="1"/>
  <cols>
    <col width="5.00390625" customWidth="1" style="80" min="1" max="1"/>
    <col width="35.00390625" customWidth="1" style="80" min="2" max="2"/>
    <col width="20.00390625" customWidth="1" style="80" min="3" max="3"/>
    <col width="16.00390625" customWidth="1" style="80" min="4" max="8"/>
  </cols>
  <sheetData>
    <row r="1" ht="15" customHeight="1" s="80">
      <c r="A1" s="1" t="n"/>
      <c r="B1" s="1" t="n"/>
      <c r="C1" s="1" t="n"/>
      <c r="D1" s="1" t="n"/>
      <c r="E1" s="1" t="n"/>
      <c r="F1" s="1" t="n"/>
      <c r="G1" s="1" t="n"/>
      <c r="H1" s="1" t="n"/>
    </row>
    <row r="2" ht="30" customHeight="1" s="80">
      <c r="A2" s="19" t="inlineStr">
        <is>
          <t>COST SEGREGATION RECONCILIATION SCHEDULES</t>
        </is>
      </c>
    </row>
    <row r="3" ht="18" customHeight="1" s="80">
      <c r="A3" s="20" t="inlineStr">
        <is>
          <t>Apartment Corp / Menowitz Management  |  CSSI Project #107752  |  Prepared by Brandon Rose, Special Projects</t>
        </is>
      </c>
    </row>
    <row r="4" ht="14.25" customHeight="1" s="80">
      <c r="A4" s="21" t="inlineStr">
        <is>
          <t>Generated: June 16, 2026  |  CPA: Jeffrey Sedacca, Sedacca Accountancy Corporation</t>
        </is>
      </c>
    </row>
    <row r="6" ht="15.75" customHeight="1" s="80">
      <c r="A6" s="22" t="inlineStr">
        <is>
          <t>PURPOSE OF THESE SCHEDULES</t>
        </is>
      </c>
    </row>
    <row r="7" ht="90" customHeight="1" s="80">
      <c r="A7" s="23"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9" ht="15.75" customHeight="1" s="80">
      <c r="A9" s="24" t="inlineStr">
        <is>
          <t>#</t>
        </is>
      </c>
      <c r="B9" s="24" t="inlineStr">
        <is>
          <t>Entity</t>
        </is>
      </c>
      <c r="C9" s="24" t="inlineStr">
        <is>
          <t>Address</t>
        </is>
      </c>
      <c r="D9" s="24" t="inlineStr">
        <is>
          <t>Total Basis</t>
        </is>
      </c>
      <c r="E9" s="24" t="inlineStr">
        <is>
          <t>5-Yr Accel</t>
        </is>
      </c>
      <c r="F9" s="24" t="inlineStr">
        <is>
          <t>Prior Accum</t>
        </is>
      </c>
      <c r="G9" s="24" t="inlineStr">
        <is>
          <t>New Accum</t>
        </is>
      </c>
      <c r="H9" s="24" t="inlineStr">
        <is>
          <t>§481(a) Adj</t>
        </is>
      </c>
    </row>
    <row r="10" ht="15" customHeight="1" s="80">
      <c r="A10" s="25" t="n">
        <v>1</v>
      </c>
      <c r="B10" s="26" t="inlineStr">
        <is>
          <t>Grove Park Housing, LP  [3115]</t>
        </is>
      </c>
      <c r="C10" s="27" t="inlineStr">
        <is>
          <t>Peters Street, Elmhurst, NY</t>
        </is>
      </c>
      <c r="D10" s="93" t="n">
        <v>2870392</v>
      </c>
      <c r="E10" s="93" t="n">
        <v>525943.12</v>
      </c>
      <c r="F10" s="93" t="n">
        <v>810782</v>
      </c>
      <c r="G10" s="93" t="n">
        <v>1067916.54</v>
      </c>
      <c r="H10" s="94" t="n">
        <v>-257134.54</v>
      </c>
    </row>
    <row r="11" ht="15" customHeight="1" s="80">
      <c r="A11" s="30" t="n">
        <v>2</v>
      </c>
      <c r="B11" s="31" t="inlineStr">
        <is>
          <t>Coral Village</t>
        </is>
      </c>
      <c r="C11" s="32" t="inlineStr">
        <is>
          <t>121 NE 10th Pl, Cape Coral, FL</t>
        </is>
      </c>
      <c r="D11" s="95" t="n">
        <v>4856162</v>
      </c>
      <c r="E11" s="95" t="n">
        <v>1076239.78</v>
      </c>
      <c r="F11" s="95" t="n">
        <v>0</v>
      </c>
      <c r="G11" s="95" t="n">
        <v>0</v>
      </c>
      <c r="H11" s="95" t="n">
        <v>0</v>
      </c>
    </row>
    <row r="12" ht="15" customHeight="1" s="80">
      <c r="A12" s="25" t="n">
        <v>3</v>
      </c>
      <c r="B12" s="26" t="inlineStr">
        <is>
          <t>Grace Townhomes  [3115, ADS]</t>
        </is>
      </c>
      <c r="C12" s="27" t="inlineStr">
        <is>
          <t>Ennis, TX</t>
        </is>
      </c>
      <c r="D12" s="93" t="n">
        <v>806490.9</v>
      </c>
      <c r="E12" s="93" t="n">
        <v>0</v>
      </c>
      <c r="F12" s="93" t="n">
        <v>688361</v>
      </c>
      <c r="G12" s="93" t="n">
        <v>808926.76</v>
      </c>
      <c r="H12" s="94" t="n">
        <v>-120565.76</v>
      </c>
    </row>
    <row r="13" ht="15" customHeight="1" s="80">
      <c r="A13" s="30" t="n">
        <v>4</v>
      </c>
      <c r="B13" s="31" t="inlineStr">
        <is>
          <t>Marrero 3</t>
        </is>
      </c>
      <c r="C13" s="32" t="inlineStr">
        <is>
          <t>Ames, Havenwood, Gentry, Kayla</t>
        </is>
      </c>
      <c r="D13" s="95" t="n">
        <v>421413.03</v>
      </c>
      <c r="E13" s="95" t="n">
        <v>69762.27</v>
      </c>
      <c r="F13" s="95" t="n">
        <v>0</v>
      </c>
      <c r="G13" s="95" t="n">
        <v>0</v>
      </c>
      <c r="H13" s="95" t="n">
        <v>0</v>
      </c>
    </row>
    <row r="14" ht="15" customHeight="1" s="80">
      <c r="A14" s="25" t="n">
        <v>5</v>
      </c>
      <c r="B14" s="26" t="inlineStr">
        <is>
          <t>St. Charles Housing, LP  [ADS]</t>
        </is>
      </c>
      <c r="C14" s="27" t="inlineStr">
        <is>
          <t>1011 W 18th St, Chicago, IL 60</t>
        </is>
      </c>
      <c r="D14" s="93" t="n">
        <v>7253474</v>
      </c>
      <c r="E14" s="93" t="n">
        <v>1668973.23</v>
      </c>
      <c r="F14" s="93" t="n">
        <v>0</v>
      </c>
      <c r="G14" s="93" t="n">
        <v>0</v>
      </c>
      <c r="H14" s="93" t="n">
        <v>0</v>
      </c>
    </row>
    <row r="15" ht="15" customHeight="1" s="80">
      <c r="A15" s="30" t="n">
        <v>6</v>
      </c>
      <c r="B15" s="31" t="inlineStr">
        <is>
          <t>Granite Ridge</t>
        </is>
      </c>
      <c r="C15" s="32" t="inlineStr">
        <is>
          <t>246 E Iris Ave, Stockton, CA 9</t>
        </is>
      </c>
      <c r="D15" s="95" t="n">
        <v>2785254</v>
      </c>
      <c r="E15" s="95" t="n">
        <v>638979.91</v>
      </c>
      <c r="F15" s="95" t="n">
        <v>0</v>
      </c>
      <c r="G15" s="95" t="n">
        <v>0</v>
      </c>
      <c r="H15" s="95" t="n">
        <v>0</v>
      </c>
    </row>
    <row r="16" ht="15" customHeight="1" s="80">
      <c r="A16" s="25" t="n">
        <v>7</v>
      </c>
      <c r="B16" s="26" t="inlineStr">
        <is>
          <t>Fairfax Senior Apartments</t>
        </is>
      </c>
      <c r="C16" s="27" t="inlineStr">
        <is>
          <t>737 S Genesee Ave Apt, Los Ang</t>
        </is>
      </c>
      <c r="D16" s="93" t="n">
        <v>824840</v>
      </c>
      <c r="E16" s="93" t="n">
        <v>163089.67</v>
      </c>
      <c r="F16" s="93" t="n">
        <v>0</v>
      </c>
      <c r="G16" s="93" t="n">
        <v>0</v>
      </c>
      <c r="H16" s="93" t="n">
        <v>0</v>
      </c>
    </row>
    <row r="17" ht="15" customHeight="1" s="80">
      <c r="A17" s="30" t="n">
        <v>8</v>
      </c>
      <c r="B17" s="31" t="inlineStr">
        <is>
          <t>Silver Spring Terrace Apartments  [ADS]</t>
        </is>
      </c>
      <c r="C17" s="32" t="inlineStr">
        <is>
          <t>950 20th St NE, Hickory, NC 28</t>
        </is>
      </c>
      <c r="D17" s="95" t="n">
        <v>3917488</v>
      </c>
      <c r="E17" s="95" t="n">
        <v>717961.4399999999</v>
      </c>
      <c r="F17" s="95" t="n">
        <v>0</v>
      </c>
      <c r="G17" s="95" t="n">
        <v>0</v>
      </c>
      <c r="H17" s="95" t="n">
        <v>0</v>
      </c>
    </row>
    <row r="18" ht="15" customHeight="1" s="80">
      <c r="A18" s="25" t="n">
        <v>9</v>
      </c>
      <c r="B18" s="26" t="inlineStr">
        <is>
          <t>River Garden Estates</t>
        </is>
      </c>
      <c r="C18" s="27" t="inlineStr">
        <is>
          <t>2201 Northview Dr &amp; 712 Northf</t>
        </is>
      </c>
      <c r="D18" s="93" t="n">
        <v>7830056</v>
      </c>
      <c r="E18" s="93" t="n">
        <v>1223176.45</v>
      </c>
      <c r="F18" s="93" t="n">
        <v>0</v>
      </c>
      <c r="G18" s="93" t="n">
        <v>0</v>
      </c>
      <c r="H18" s="93" t="n">
        <v>0</v>
      </c>
    </row>
    <row r="19" ht="18" customHeight="1" s="80">
      <c r="A19" s="34" t="inlineStr">
        <is>
          <t>PORTFOLIO TOTAL</t>
        </is>
      </c>
      <c r="B19" s="96" t="n"/>
      <c r="C19" s="97" t="n"/>
      <c r="D19" s="98" t="n">
        <v>28695177.93</v>
      </c>
      <c r="E19" s="98" t="n">
        <v>5558182.75</v>
      </c>
      <c r="F19" s="98" t="n">
        <v>1499143</v>
      </c>
      <c r="G19" s="98" t="n">
        <v>1876843.3</v>
      </c>
      <c r="H19" s="99" t="n">
        <v>-377700.3</v>
      </c>
    </row>
    <row r="21" ht="14.25" customHeight="1" s="80">
      <c r="A21" s="39" t="inlineStr">
        <is>
          <t>IMPORTANT NOTES FOR TAX PREPARER</t>
        </is>
      </c>
    </row>
    <row r="22" ht="27.75" customHeight="1" s="80">
      <c r="A22" s="40" t="inlineStr">
        <is>
          <t>1. GROVE PARK HOUSING, LP: The §481(a) adjustment of ($257,134.54) is the difference between $1,067,916.54 (cost seg method) and $810,782.00 (prior tax return). Form 3115 must be attached to the 2025 tax return. Beth Cohen's Excel summary is already prepared.</t>
        </is>
      </c>
    </row>
    <row r="23" ht="27.75" customHeight="1" s="80">
      <c r="A23" s="40" t="inlineStr">
        <is>
          <t>2. GRACE TOWNHOMES: The §481(a) adjustment of ($120,565.76) is confirmed per the Form 3115 filed. ADS election under IRC §163(j) is in effect — the 27.5-year component must use ADS 40-year rates.</t>
        </is>
      </c>
    </row>
    <row r="24" ht="27.75" customHeight="1" s="80">
      <c r="A24" s="40" t="inlineStr">
        <is>
          <t>3. ST. CHARLES HOUSING, LP and SILVER SPRING TERRACE: Both have IRC §163(j) ADS elections. The 27.5-year real property component must be depreciated over 40 years using ADS rates. The 5-year personal property uses ADS 9-year recovery.</t>
        </is>
      </c>
    </row>
    <row r="25" ht="27.75" customHeight="1" s="80">
      <c r="A25" s="40" t="inlineStr">
        <is>
          <t>4. NEW PROPERTIES (2026): Coral Village, Marrero 3, Granite Ridge, Fairfax Senior, St. Charles, Silver Spring, River Garden — all placed in service in 2026. No §481(a) adjustment needed. Cost seg study supports initial MACRS classification.</t>
        </is>
      </c>
    </row>
    <row r="26" ht="27.75" customHeight="1" s="80">
      <c r="A26" s="40"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7" ht="27.75" customHeight="1" s="80">
      <c r="A27" s="40" t="inlineStr">
        <is>
          <t>6. CONSULT CPA: All amounts should be reviewed by Jeffrey Sedacca, Sedacca Accountancy Corporation, before filing. This schedule is for planning purposes only.</t>
        </is>
      </c>
    </row>
  </sheetData>
  <mergeCells count="13">
    <mergeCell ref="A4:H4"/>
    <mergeCell ref="A3:H3"/>
    <mergeCell ref="A26:H26"/>
    <mergeCell ref="A19:C19"/>
    <mergeCell ref="A21:H21"/>
    <mergeCell ref="A7:H7"/>
    <mergeCell ref="A25:H25"/>
    <mergeCell ref="A24:H24"/>
    <mergeCell ref="A2:H2"/>
    <mergeCell ref="A23:H23"/>
    <mergeCell ref="A27:H27"/>
    <mergeCell ref="A6:H6"/>
    <mergeCell ref="A22:H22"/>
  </mergeCells>
  <pageMargins left="0.75" right="0.75" top="1" bottom="1" header="0.5" footer="0.5"/>
  <pageSetup orientation="portrait" paperSize="1"/>
  <headerFooter>
    <oddHeader>&amp;L&amp;C&amp;R</oddHeader>
    <oddFooter>&amp;L&amp;C&amp;R</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R42"/>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38" customWidth="1" style="80" min="1" max="1"/>
    <col width="14" customWidth="1" style="80" min="2" max="2"/>
    <col width="14" customWidth="1" style="80" min="3" max="3"/>
    <col width="14" customWidth="1" style="80" min="4" max="4"/>
    <col width="14" customWidth="1" style="80" min="5" max="5"/>
    <col width="14" customWidth="1" style="80" min="6" max="6"/>
    <col width="14" customWidth="1" style="80" min="7" max="7"/>
    <col width="14" customWidth="1" style="80" min="8" max="8"/>
    <col width="14" customWidth="1" style="80" min="9" max="9"/>
    <col width="14" customWidth="1" style="80" min="10" max="10"/>
    <col width="14" customWidth="1" style="80" min="11" max="11"/>
    <col width="14" customWidth="1" style="80" min="12" max="12"/>
    <col width="14" customWidth="1" style="80" min="13" max="13"/>
    <col width="14" customWidth="1" style="80" min="14" max="14"/>
    <col width="14" customWidth="1" style="80" min="15" max="15"/>
    <col width="14" customWidth="1" style="80" min="16" max="16"/>
    <col width="14" customWidth="1" style="80" min="17" max="17"/>
    <col width="16" customWidth="1" style="80" min="18" max="18"/>
  </cols>
  <sheetData>
    <row r="1" ht="24" customHeight="1" s="80">
      <c r="A1" s="121" t="inlineStr">
        <is>
          <t>Macedonia Apartments, LLC — Cost Segregation Reconciliation Schedule</t>
        </is>
      </c>
    </row>
    <row r="2" ht="16" customHeight="1" s="80">
      <c r="A2" s="122" t="inlineStr">
        <is>
          <t>1722 W 17th St, Panama City, FL 32405  |  New Study — No Prior Depreciation / No Form 3115 Filed</t>
        </is>
      </c>
    </row>
    <row r="3" ht="6" customHeight="1" s="80"/>
    <row r="4" ht="18" customHeight="1" s="80">
      <c r="A4" s="123" t="inlineStr">
        <is>
          <t>ASSET ALLOCATION BY BUILDING</t>
        </is>
      </c>
    </row>
    <row r="5" ht="30" customHeight="1" s="80">
      <c r="A5" s="124" t="inlineStr">
        <is>
          <t>Asset Description</t>
        </is>
      </c>
      <c r="B5" s="124" t="inlineStr">
        <is>
          <t>Site</t>
        </is>
      </c>
      <c r="C5" s="124" t="inlineStr">
        <is>
          <t>Building A</t>
        </is>
      </c>
      <c r="D5" s="124" t="inlineStr">
        <is>
          <t>Building B</t>
        </is>
      </c>
      <c r="E5" s="124" t="inlineStr">
        <is>
          <t>Building C</t>
        </is>
      </c>
      <c r="F5" s="124" t="inlineStr">
        <is>
          <t>Building D</t>
        </is>
      </c>
      <c r="G5" s="124" t="inlineStr">
        <is>
          <t>Building E</t>
        </is>
      </c>
      <c r="H5" s="124" t="inlineStr">
        <is>
          <t>Building F</t>
        </is>
      </c>
      <c r="I5" s="124" t="inlineStr">
        <is>
          <t>Building G</t>
        </is>
      </c>
      <c r="J5" s="124" t="inlineStr">
        <is>
          <t>Building H</t>
        </is>
      </c>
      <c r="K5" s="124" t="inlineStr">
        <is>
          <t>Building I</t>
        </is>
      </c>
      <c r="L5" s="124" t="inlineStr">
        <is>
          <t>Building J</t>
        </is>
      </c>
      <c r="M5" s="124" t="inlineStr">
        <is>
          <t>Building K</t>
        </is>
      </c>
      <c r="N5" s="124" t="inlineStr">
        <is>
          <t>Building L</t>
        </is>
      </c>
      <c r="O5" s="124" t="inlineStr">
        <is>
          <t>Building M</t>
        </is>
      </c>
      <c r="P5" s="124" t="inlineStr">
        <is>
          <t>Office</t>
        </is>
      </c>
      <c r="Q5" s="124" t="inlineStr">
        <is>
          <t>Improvements</t>
        </is>
      </c>
      <c r="R5" s="124" t="inlineStr">
        <is>
          <t>Total Cost</t>
        </is>
      </c>
    </row>
    <row r="6" ht="16" customHeight="1" s="80">
      <c r="A6" s="125" t="inlineStr">
        <is>
          <t>Building</t>
        </is>
      </c>
      <c r="B6" s="135" t="n">
        <v>142802.44</v>
      </c>
      <c r="C6" s="135" t="n">
        <v>92190.66</v>
      </c>
      <c r="D6" s="135" t="n">
        <v>92190.66</v>
      </c>
      <c r="E6" s="135" t="n">
        <v>92190.66</v>
      </c>
      <c r="F6" s="135" t="n">
        <v>92190.66</v>
      </c>
      <c r="G6" s="135" t="n">
        <v>92190.66</v>
      </c>
      <c r="H6" s="135" t="n">
        <v>92190.66</v>
      </c>
      <c r="I6" s="135" t="n">
        <v>92190.66</v>
      </c>
      <c r="J6" s="135" t="n">
        <v>92190.66</v>
      </c>
      <c r="K6" s="135" t="n">
        <v>92190.66</v>
      </c>
      <c r="L6" s="135" t="n">
        <v>78702.11</v>
      </c>
      <c r="M6" s="135" t="n">
        <v>78702.11</v>
      </c>
      <c r="N6" s="135" t="n">
        <v>78702.11</v>
      </c>
      <c r="O6" s="135" t="n">
        <v>78702.11</v>
      </c>
      <c r="P6" s="135" t="n">
        <v>29464.18</v>
      </c>
      <c r="Q6" s="135" t="n">
        <v>68710</v>
      </c>
      <c r="R6" s="126" t="n">
        <v>1385501</v>
      </c>
    </row>
    <row r="7" ht="16" customHeight="1" s="80">
      <c r="A7" s="127" t="inlineStr">
        <is>
          <t>Building Improvement I</t>
        </is>
      </c>
      <c r="B7" s="136" t="n">
        <v>440052.61</v>
      </c>
      <c r="C7" s="136" t="n">
        <v>284089.88</v>
      </c>
      <c r="D7" s="136" t="n">
        <v>284089.88</v>
      </c>
      <c r="E7" s="136" t="n">
        <v>284089.88</v>
      </c>
      <c r="F7" s="136" t="n">
        <v>284089.88</v>
      </c>
      <c r="G7" s="136" t="n">
        <v>284089.88</v>
      </c>
      <c r="H7" s="136" t="n">
        <v>284089.88</v>
      </c>
      <c r="I7" s="136" t="n">
        <v>284089.88</v>
      </c>
      <c r="J7" s="136" t="n">
        <v>284089.88</v>
      </c>
      <c r="K7" s="136" t="n">
        <v>284089.88</v>
      </c>
      <c r="L7" s="136" t="n">
        <v>242524.3</v>
      </c>
      <c r="M7" s="136" t="n">
        <v>242524.3</v>
      </c>
      <c r="N7" s="136" t="n">
        <v>242524.3</v>
      </c>
      <c r="O7" s="136" t="n">
        <v>242524.3</v>
      </c>
      <c r="P7" s="136" t="n">
        <v>90795.27</v>
      </c>
      <c r="Q7" s="136" t="n">
        <v>5854</v>
      </c>
      <c r="R7" s="126" t="n">
        <v>4063607.999999999</v>
      </c>
    </row>
    <row r="8" ht="16" customHeight="1" s="80">
      <c r="A8" s="125" t="inlineStr">
        <is>
          <t>Building Improvement II</t>
        </is>
      </c>
      <c r="B8" s="135" t="n">
        <v>2396.64</v>
      </c>
      <c r="C8" s="135" t="n">
        <v>1547.26</v>
      </c>
      <c r="D8" s="135" t="n">
        <v>1547.26</v>
      </c>
      <c r="E8" s="135" t="n">
        <v>1547.26</v>
      </c>
      <c r="F8" s="135" t="n">
        <v>1547.26</v>
      </c>
      <c r="G8" s="135" t="n">
        <v>1547.26</v>
      </c>
      <c r="H8" s="135" t="n">
        <v>1547.26</v>
      </c>
      <c r="I8" s="135" t="n">
        <v>1547.26</v>
      </c>
      <c r="J8" s="135" t="n">
        <v>1547.26</v>
      </c>
      <c r="K8" s="135" t="n">
        <v>1547.26</v>
      </c>
      <c r="L8" s="135" t="n">
        <v>1320.88</v>
      </c>
      <c r="M8" s="135" t="n">
        <v>1320.88</v>
      </c>
      <c r="N8" s="135" t="n">
        <v>1320.88</v>
      </c>
      <c r="O8" s="135" t="n">
        <v>1320.88</v>
      </c>
      <c r="P8" s="135" t="n">
        <v>494.5</v>
      </c>
      <c r="Q8" s="135" t="n">
        <v>118173</v>
      </c>
      <c r="R8" s="126" t="n">
        <v>140273</v>
      </c>
    </row>
    <row r="9" ht="16" customHeight="1" s="80">
      <c r="A9" s="127" t="inlineStr">
        <is>
          <t>Land Improvements I</t>
        </is>
      </c>
      <c r="B9" s="136" t="n">
        <v>34976.58</v>
      </c>
      <c r="C9" s="136" t="n">
        <v>22580.21</v>
      </c>
      <c r="D9" s="136" t="n">
        <v>22580.21</v>
      </c>
      <c r="E9" s="136" t="n">
        <v>22580.21</v>
      </c>
      <c r="F9" s="136" t="n">
        <v>22580.21</v>
      </c>
      <c r="G9" s="136" t="n">
        <v>22580.21</v>
      </c>
      <c r="H9" s="136" t="n">
        <v>22580.21</v>
      </c>
      <c r="I9" s="136" t="n">
        <v>22580.21</v>
      </c>
      <c r="J9" s="136" t="n">
        <v>22580.21</v>
      </c>
      <c r="K9" s="136" t="n">
        <v>22580.21</v>
      </c>
      <c r="L9" s="136" t="n">
        <v>19276.47</v>
      </c>
      <c r="M9" s="136" t="n">
        <v>19276.47</v>
      </c>
      <c r="N9" s="136" t="n">
        <v>19276.47</v>
      </c>
      <c r="O9" s="136" t="n">
        <v>19276.47</v>
      </c>
      <c r="P9" s="136" t="n">
        <v>7216.65</v>
      </c>
      <c r="Q9" s="128" t="n"/>
      <c r="R9" s="126" t="n">
        <v>322520.9999999999</v>
      </c>
    </row>
    <row r="10" ht="16" customHeight="1" s="80">
      <c r="A10" s="125" t="inlineStr">
        <is>
          <t>Land Improvements II</t>
        </is>
      </c>
      <c r="B10" s="135" t="n">
        <v>70357.38</v>
      </c>
      <c r="C10" s="135" t="n">
        <v>45421.43</v>
      </c>
      <c r="D10" s="135" t="n">
        <v>45421.43</v>
      </c>
      <c r="E10" s="135" t="n">
        <v>45421.43</v>
      </c>
      <c r="F10" s="135" t="n">
        <v>45421.43</v>
      </c>
      <c r="G10" s="135" t="n">
        <v>45421.43</v>
      </c>
      <c r="H10" s="135" t="n">
        <v>45421.43</v>
      </c>
      <c r="I10" s="135" t="n">
        <v>45421.43</v>
      </c>
      <c r="J10" s="135" t="n">
        <v>45421.43</v>
      </c>
      <c r="K10" s="135" t="n">
        <v>45421.43</v>
      </c>
      <c r="L10" s="135" t="n">
        <v>38775.76</v>
      </c>
      <c r="M10" s="135" t="n">
        <v>38775.76</v>
      </c>
      <c r="N10" s="135" t="n">
        <v>38775.76</v>
      </c>
      <c r="O10" s="135" t="n">
        <v>38775.76</v>
      </c>
      <c r="P10" s="135" t="n">
        <v>14516.71</v>
      </c>
      <c r="Q10" s="129" t="n"/>
      <c r="R10" s="126" t="n">
        <v>648769.9999999999</v>
      </c>
    </row>
    <row r="11" ht="16" customHeight="1" s="80">
      <c r="A11" s="127" t="inlineStr">
        <is>
          <t>Equipment</t>
        </is>
      </c>
      <c r="B11" s="136" t="n">
        <v>108447.32</v>
      </c>
      <c r="C11" s="136" t="n">
        <v>70011.61</v>
      </c>
      <c r="D11" s="136" t="n">
        <v>70011.61</v>
      </c>
      <c r="E11" s="136" t="n">
        <v>70011.61</v>
      </c>
      <c r="F11" s="136" t="n">
        <v>70011.61</v>
      </c>
      <c r="G11" s="136" t="n">
        <v>70011.61</v>
      </c>
      <c r="H11" s="136" t="n">
        <v>70011.61</v>
      </c>
      <c r="I11" s="136" t="n">
        <v>70011.61</v>
      </c>
      <c r="J11" s="136" t="n">
        <v>70011.61</v>
      </c>
      <c r="K11" s="136" t="n">
        <v>70011.61</v>
      </c>
      <c r="L11" s="136" t="n">
        <v>59768.11</v>
      </c>
      <c r="M11" s="136" t="n">
        <v>59768.11</v>
      </c>
      <c r="N11" s="136" t="n">
        <v>59768.11</v>
      </c>
      <c r="O11" s="136" t="n">
        <v>59768.11</v>
      </c>
      <c r="P11" s="136" t="n">
        <v>22375.75</v>
      </c>
      <c r="Q11" s="128" t="n"/>
      <c r="R11" s="126" t="n">
        <v>999999.9999999999</v>
      </c>
    </row>
    <row r="12" ht="18" customHeight="1" s="80">
      <c r="A12" s="130" t="inlineStr">
        <is>
          <t>TOTAL COST</t>
        </is>
      </c>
      <c r="B12" s="131" t="n">
        <v>799032.97</v>
      </c>
      <c r="C12" s="131" t="n">
        <v>515841.05</v>
      </c>
      <c r="D12" s="131" t="n">
        <v>515841.05</v>
      </c>
      <c r="E12" s="131" t="n">
        <v>515841.05</v>
      </c>
      <c r="F12" s="131" t="n">
        <v>515841.05</v>
      </c>
      <c r="G12" s="131" t="n">
        <v>515841.05</v>
      </c>
      <c r="H12" s="131" t="n">
        <v>515841.05</v>
      </c>
      <c r="I12" s="131" t="n">
        <v>515841.05</v>
      </c>
      <c r="J12" s="131" t="n">
        <v>515841.05</v>
      </c>
      <c r="K12" s="131" t="n">
        <v>515841.05</v>
      </c>
      <c r="L12" s="131" t="n">
        <v>440367.63</v>
      </c>
      <c r="M12" s="131" t="n">
        <v>440367.63</v>
      </c>
      <c r="N12" s="131" t="n">
        <v>440367.63</v>
      </c>
      <c r="O12" s="131" t="n">
        <v>440367.63</v>
      </c>
      <c r="P12" s="131" t="n">
        <v>164863.06</v>
      </c>
      <c r="Q12" s="131" t="n">
        <v>192737</v>
      </c>
      <c r="R12" s="131" t="n">
        <v>7560672.999999998</v>
      </c>
    </row>
    <row r="14" ht="18" customHeight="1" s="80">
      <c r="A14" s="123" t="inlineStr">
        <is>
          <t>MACRS RECLASSIFICATION</t>
        </is>
      </c>
    </row>
    <row r="15" ht="30" customHeight="1" s="80">
      <c r="A15" s="124" t="inlineStr">
        <is>
          <t>Asset / Life</t>
        </is>
      </c>
      <c r="B15" s="124" t="inlineStr">
        <is>
          <t>Site</t>
        </is>
      </c>
      <c r="C15" s="124" t="inlineStr">
        <is>
          <t>Building A</t>
        </is>
      </c>
      <c r="D15" s="124" t="inlineStr">
        <is>
          <t>Building B</t>
        </is>
      </c>
      <c r="E15" s="124" t="inlineStr">
        <is>
          <t>Building C</t>
        </is>
      </c>
      <c r="F15" s="124" t="inlineStr">
        <is>
          <t>Building D</t>
        </is>
      </c>
      <c r="G15" s="124" t="inlineStr">
        <is>
          <t>Building E</t>
        </is>
      </c>
      <c r="H15" s="124" t="inlineStr">
        <is>
          <t>Building F</t>
        </is>
      </c>
      <c r="I15" s="124" t="inlineStr">
        <is>
          <t>Building G</t>
        </is>
      </c>
      <c r="J15" s="124" t="inlineStr">
        <is>
          <t>Building H</t>
        </is>
      </c>
      <c r="K15" s="124" t="inlineStr">
        <is>
          <t>Building I</t>
        </is>
      </c>
      <c r="L15" s="124" t="inlineStr">
        <is>
          <t>Building J</t>
        </is>
      </c>
      <c r="M15" s="124" t="inlineStr">
        <is>
          <t>Building K</t>
        </is>
      </c>
      <c r="N15" s="124" t="inlineStr">
        <is>
          <t>Building L</t>
        </is>
      </c>
      <c r="O15" s="124" t="inlineStr">
        <is>
          <t>Building M</t>
        </is>
      </c>
      <c r="P15" s="124" t="inlineStr">
        <is>
          <t>Office</t>
        </is>
      </c>
      <c r="Q15" s="124" t="inlineStr">
        <is>
          <t>Improvements</t>
        </is>
      </c>
      <c r="R15" s="124" t="inlineStr">
        <is>
          <t>Total</t>
        </is>
      </c>
    </row>
    <row r="16" ht="15" customHeight="1" s="80">
      <c r="A16" s="125" t="inlineStr">
        <is>
          <t>Building - Site - 15yr</t>
        </is>
      </c>
      <c r="B16" s="135" t="n">
        <v>91941.42</v>
      </c>
      <c r="C16" s="132" t="n"/>
      <c r="D16" s="132" t="n"/>
      <c r="E16" s="132" t="n"/>
      <c r="F16" s="132" t="n"/>
      <c r="G16" s="132" t="n"/>
      <c r="H16" s="132" t="n"/>
      <c r="I16" s="132" t="n"/>
      <c r="J16" s="132" t="n"/>
      <c r="K16" s="132" t="n"/>
      <c r="L16" s="132" t="n"/>
      <c r="M16" s="132" t="n"/>
      <c r="N16" s="132" t="n"/>
      <c r="O16" s="132" t="n"/>
      <c r="P16" s="132" t="n"/>
      <c r="Q16" s="132" t="n"/>
      <c r="R16" s="126" t="n">
        <v>91941.42</v>
      </c>
    </row>
    <row r="17" ht="15" customHeight="1" s="80">
      <c r="A17" s="127" t="inlineStr">
        <is>
          <t>Building - Bldgs - 5yr</t>
        </is>
      </c>
      <c r="B17" s="133" t="n"/>
      <c r="C17" s="136" t="n">
        <v>18720.42</v>
      </c>
      <c r="D17" s="136" t="n">
        <v>18720.42</v>
      </c>
      <c r="E17" s="136" t="n">
        <v>18720.42</v>
      </c>
      <c r="F17" s="136" t="n">
        <v>18720.42</v>
      </c>
      <c r="G17" s="136" t="n">
        <v>18720.42</v>
      </c>
      <c r="H17" s="136" t="n">
        <v>18720.42</v>
      </c>
      <c r="I17" s="136" t="n">
        <v>18720.42</v>
      </c>
      <c r="J17" s="136" t="n">
        <v>18720.42</v>
      </c>
      <c r="K17" s="136" t="n">
        <v>18720.42</v>
      </c>
      <c r="L17" s="136" t="n">
        <v>16357.03</v>
      </c>
      <c r="M17" s="136" t="n">
        <v>16357.03</v>
      </c>
      <c r="N17" s="136" t="n">
        <v>16357.03</v>
      </c>
      <c r="O17" s="136" t="n">
        <v>16357.03</v>
      </c>
      <c r="P17" s="136" t="n">
        <v>4304.14</v>
      </c>
      <c r="Q17" s="136" t="n">
        <v>68710</v>
      </c>
      <c r="R17" s="126" t="n">
        <v>306926.04</v>
      </c>
    </row>
    <row r="18" ht="15" customHeight="1" s="80">
      <c r="A18" s="125" t="inlineStr">
        <is>
          <t>Building - 27.5yr</t>
        </is>
      </c>
      <c r="B18" s="135" t="n">
        <v>50861.02</v>
      </c>
      <c r="C18" s="135" t="n">
        <v>73470.24000000001</v>
      </c>
      <c r="D18" s="135" t="n">
        <v>73470.24000000001</v>
      </c>
      <c r="E18" s="135" t="n">
        <v>73470.24000000001</v>
      </c>
      <c r="F18" s="135" t="n">
        <v>73470.24000000001</v>
      </c>
      <c r="G18" s="135" t="n">
        <v>73470.24000000001</v>
      </c>
      <c r="H18" s="135" t="n">
        <v>73470.24000000001</v>
      </c>
      <c r="I18" s="135" t="n">
        <v>73470.24000000001</v>
      </c>
      <c r="J18" s="135" t="n">
        <v>73470.24000000001</v>
      </c>
      <c r="K18" s="135" t="n">
        <v>73470.24000000001</v>
      </c>
      <c r="L18" s="135" t="n">
        <v>62345.08</v>
      </c>
      <c r="M18" s="135" t="n">
        <v>62345.08</v>
      </c>
      <c r="N18" s="135" t="n">
        <v>62345.08</v>
      </c>
      <c r="O18" s="135" t="n">
        <v>62345.08</v>
      </c>
      <c r="P18" s="135" t="n">
        <v>25160.04</v>
      </c>
      <c r="Q18" s="132" t="n"/>
      <c r="R18" s="126" t="n">
        <v>986633.5399999998</v>
      </c>
    </row>
    <row r="19" ht="15" customHeight="1" s="80">
      <c r="A19" s="127" t="inlineStr">
        <is>
          <t>Building Improvement I - Site - 15yr</t>
        </is>
      </c>
      <c r="B19" s="136" t="n">
        <v>283321.93</v>
      </c>
      <c r="C19" s="133" t="n"/>
      <c r="D19" s="133" t="n"/>
      <c r="E19" s="133" t="n"/>
      <c r="F19" s="133" t="n"/>
      <c r="G19" s="133" t="n"/>
      <c r="H19" s="133" t="n"/>
      <c r="I19" s="133" t="n"/>
      <c r="J19" s="133" t="n"/>
      <c r="K19" s="133" t="n"/>
      <c r="L19" s="133" t="n"/>
      <c r="M19" s="133" t="n"/>
      <c r="N19" s="133" t="n"/>
      <c r="O19" s="133" t="n"/>
      <c r="P19" s="133" t="n"/>
      <c r="Q19" s="133" t="n"/>
      <c r="R19" s="126" t="n">
        <v>283321.93</v>
      </c>
    </row>
    <row r="20" ht="15" customHeight="1" s="80">
      <c r="A20" s="125" t="inlineStr">
        <is>
          <t>Building Improvement I - Bldgs - 5yr</t>
        </is>
      </c>
      <c r="B20" s="132" t="n"/>
      <c r="C20" s="135" t="n">
        <v>57687.85</v>
      </c>
      <c r="D20" s="135" t="n">
        <v>57687.85</v>
      </c>
      <c r="E20" s="135" t="n">
        <v>57687.85</v>
      </c>
      <c r="F20" s="135" t="n">
        <v>57687.85</v>
      </c>
      <c r="G20" s="135" t="n">
        <v>57687.85</v>
      </c>
      <c r="H20" s="135" t="n">
        <v>57687.85</v>
      </c>
      <c r="I20" s="135" t="n">
        <v>57687.85</v>
      </c>
      <c r="J20" s="135" t="n">
        <v>57687.85</v>
      </c>
      <c r="K20" s="135" t="n">
        <v>57687.85</v>
      </c>
      <c r="L20" s="135" t="n">
        <v>50404.95</v>
      </c>
      <c r="M20" s="135" t="n">
        <v>50404.95</v>
      </c>
      <c r="N20" s="135" t="n">
        <v>50404.95</v>
      </c>
      <c r="O20" s="135" t="n">
        <v>50404.95</v>
      </c>
      <c r="P20" s="135" t="n">
        <v>13263.4</v>
      </c>
      <c r="Q20" s="135" t="n">
        <v>5854</v>
      </c>
      <c r="R20" s="126" t="n">
        <v>739927.8499999997</v>
      </c>
    </row>
    <row r="21" ht="15" customHeight="1" s="80">
      <c r="A21" s="127" t="inlineStr">
        <is>
          <t>Building Improvement I - 27.5yr</t>
        </is>
      </c>
      <c r="B21" s="136" t="n">
        <v>156730.68</v>
      </c>
      <c r="C21" s="136" t="n">
        <v>226402.03</v>
      </c>
      <c r="D21" s="136" t="n">
        <v>226402.03</v>
      </c>
      <c r="E21" s="136" t="n">
        <v>226402.03</v>
      </c>
      <c r="F21" s="136" t="n">
        <v>226402.03</v>
      </c>
      <c r="G21" s="136" t="n">
        <v>226402.03</v>
      </c>
      <c r="H21" s="136" t="n">
        <v>226402.03</v>
      </c>
      <c r="I21" s="136" t="n">
        <v>226402.03</v>
      </c>
      <c r="J21" s="136" t="n">
        <v>226402.03</v>
      </c>
      <c r="K21" s="136" t="n">
        <v>226402.03</v>
      </c>
      <c r="L21" s="136" t="n">
        <v>192119.35</v>
      </c>
      <c r="M21" s="136" t="n">
        <v>192119.35</v>
      </c>
      <c r="N21" s="136" t="n">
        <v>192119.35</v>
      </c>
      <c r="O21" s="136" t="n">
        <v>192119.35</v>
      </c>
      <c r="P21" s="136" t="n">
        <v>77531.87</v>
      </c>
      <c r="Q21" s="133" t="n"/>
      <c r="R21" s="126" t="n">
        <v>3040358.220000001</v>
      </c>
    </row>
    <row r="22" ht="15" customHeight="1" s="80">
      <c r="A22" s="125" t="inlineStr">
        <is>
          <t>Building Improvement II - Site - 15yr</t>
        </is>
      </c>
      <c r="B22" s="135" t="n">
        <v>1543.04</v>
      </c>
      <c r="C22" s="132" t="n"/>
      <c r="D22" s="132" t="n"/>
      <c r="E22" s="132" t="n"/>
      <c r="F22" s="132" t="n"/>
      <c r="G22" s="132" t="n"/>
      <c r="H22" s="132" t="n"/>
      <c r="I22" s="132" t="n"/>
      <c r="J22" s="132" t="n"/>
      <c r="K22" s="132" t="n"/>
      <c r="L22" s="132" t="n"/>
      <c r="M22" s="132" t="n"/>
      <c r="N22" s="132" t="n"/>
      <c r="O22" s="132" t="n"/>
      <c r="P22" s="132" t="n"/>
      <c r="Q22" s="132" t="n"/>
      <c r="R22" s="126" t="n">
        <v>1543.04</v>
      </c>
    </row>
    <row r="23" ht="15" customHeight="1" s="80">
      <c r="A23" s="127" t="inlineStr">
        <is>
          <t>Building Improvement II - Bldgs - 5yr</t>
        </is>
      </c>
      <c r="B23" s="133" t="n"/>
      <c r="C23" s="136" t="n">
        <v>314.19</v>
      </c>
      <c r="D23" s="136" t="n">
        <v>314.19</v>
      </c>
      <c r="E23" s="136" t="n">
        <v>314.19</v>
      </c>
      <c r="F23" s="136" t="n">
        <v>314.19</v>
      </c>
      <c r="G23" s="136" t="n">
        <v>314.19</v>
      </c>
      <c r="H23" s="136" t="n">
        <v>314.19</v>
      </c>
      <c r="I23" s="136" t="n">
        <v>314.19</v>
      </c>
      <c r="J23" s="136" t="n">
        <v>314.19</v>
      </c>
      <c r="K23" s="136" t="n">
        <v>314.19</v>
      </c>
      <c r="L23" s="136" t="n">
        <v>274.52</v>
      </c>
      <c r="M23" s="136" t="n">
        <v>274.52</v>
      </c>
      <c r="N23" s="136" t="n">
        <v>274.52</v>
      </c>
      <c r="O23" s="136" t="n">
        <v>274.52</v>
      </c>
      <c r="P23" s="136" t="n">
        <v>72.23999999999999</v>
      </c>
      <c r="Q23" s="136" t="n">
        <v>77000</v>
      </c>
      <c r="R23" s="126" t="n">
        <v>80998.03</v>
      </c>
    </row>
    <row r="24" ht="15" customHeight="1" s="80">
      <c r="A24" s="125" t="inlineStr">
        <is>
          <t>Building Improvement II - 27.5yr</t>
        </is>
      </c>
      <c r="B24" s="135" t="n">
        <v>853.6</v>
      </c>
      <c r="C24" s="135" t="n">
        <v>1233.07</v>
      </c>
      <c r="D24" s="135" t="n">
        <v>1233.07</v>
      </c>
      <c r="E24" s="135" t="n">
        <v>1233.07</v>
      </c>
      <c r="F24" s="135" t="n">
        <v>1233.07</v>
      </c>
      <c r="G24" s="135" t="n">
        <v>1233.07</v>
      </c>
      <c r="H24" s="135" t="n">
        <v>1233.07</v>
      </c>
      <c r="I24" s="135" t="n">
        <v>1233.07</v>
      </c>
      <c r="J24" s="135" t="n">
        <v>1233.07</v>
      </c>
      <c r="K24" s="135" t="n">
        <v>1233.07</v>
      </c>
      <c r="L24" s="135" t="n">
        <v>1046.36</v>
      </c>
      <c r="M24" s="135" t="n">
        <v>1046.36</v>
      </c>
      <c r="N24" s="135" t="n">
        <v>1046.36</v>
      </c>
      <c r="O24" s="135" t="n">
        <v>1046.36</v>
      </c>
      <c r="P24" s="135" t="n">
        <v>422.26</v>
      </c>
      <c r="Q24" s="135" t="n">
        <v>41173</v>
      </c>
      <c r="R24" s="126" t="n">
        <v>57731.93</v>
      </c>
    </row>
    <row r="25" ht="15" customHeight="1" s="80">
      <c r="A25" s="127" t="inlineStr">
        <is>
          <t>Land Improvements I - Site - 15yr</t>
        </is>
      </c>
      <c r="B25" s="136" t="n">
        <v>22519.2</v>
      </c>
      <c r="C25" s="133" t="n"/>
      <c r="D25" s="133" t="n"/>
      <c r="E25" s="133" t="n"/>
      <c r="F25" s="133" t="n"/>
      <c r="G25" s="133" t="n"/>
      <c r="H25" s="133" t="n"/>
      <c r="I25" s="133" t="n"/>
      <c r="J25" s="133" t="n"/>
      <c r="K25" s="133" t="n"/>
      <c r="L25" s="133" t="n"/>
      <c r="M25" s="133" t="n"/>
      <c r="N25" s="133" t="n"/>
      <c r="O25" s="133" t="n"/>
      <c r="P25" s="133" t="n"/>
      <c r="Q25" s="133" t="n"/>
      <c r="R25" s="126" t="n">
        <v>22519.2</v>
      </c>
    </row>
    <row r="26" ht="15" customHeight="1" s="80">
      <c r="A26" s="125" t="inlineStr">
        <is>
          <t>Land Improvements I - Bldgs - 5yr</t>
        </is>
      </c>
      <c r="B26" s="132" t="n"/>
      <c r="C26" s="135" t="n">
        <v>4585.18</v>
      </c>
      <c r="D26" s="135" t="n">
        <v>4585.18</v>
      </c>
      <c r="E26" s="135" t="n">
        <v>4585.18</v>
      </c>
      <c r="F26" s="135" t="n">
        <v>4585.18</v>
      </c>
      <c r="G26" s="135" t="n">
        <v>4585.18</v>
      </c>
      <c r="H26" s="135" t="n">
        <v>4585.18</v>
      </c>
      <c r="I26" s="135" t="n">
        <v>4585.18</v>
      </c>
      <c r="J26" s="135" t="n">
        <v>4585.18</v>
      </c>
      <c r="K26" s="135" t="n">
        <v>4585.18</v>
      </c>
      <c r="L26" s="135" t="n">
        <v>4006.32</v>
      </c>
      <c r="M26" s="135" t="n">
        <v>4006.32</v>
      </c>
      <c r="N26" s="135" t="n">
        <v>4006.32</v>
      </c>
      <c r="O26" s="135" t="n">
        <v>4006.32</v>
      </c>
      <c r="P26" s="135" t="n">
        <v>1054.21</v>
      </c>
      <c r="Q26" s="132" t="n"/>
      <c r="R26" s="126" t="n">
        <v>58346.11</v>
      </c>
    </row>
    <row r="27" ht="15" customHeight="1" s="80">
      <c r="A27" s="127" t="inlineStr">
        <is>
          <t>Land Improvements I - 27.5yr</t>
        </is>
      </c>
      <c r="B27" s="136" t="n">
        <v>12457.38</v>
      </c>
      <c r="C27" s="136" t="n">
        <v>17995.03</v>
      </c>
      <c r="D27" s="136" t="n">
        <v>17995.03</v>
      </c>
      <c r="E27" s="136" t="n">
        <v>17995.03</v>
      </c>
      <c r="F27" s="136" t="n">
        <v>17995.03</v>
      </c>
      <c r="G27" s="136" t="n">
        <v>17995.03</v>
      </c>
      <c r="H27" s="136" t="n">
        <v>17995.03</v>
      </c>
      <c r="I27" s="136" t="n">
        <v>17995.03</v>
      </c>
      <c r="J27" s="136" t="n">
        <v>17995.03</v>
      </c>
      <c r="K27" s="136" t="n">
        <v>17995.03</v>
      </c>
      <c r="L27" s="136" t="n">
        <v>15270.15</v>
      </c>
      <c r="M27" s="136" t="n">
        <v>15270.15</v>
      </c>
      <c r="N27" s="136" t="n">
        <v>15270.15</v>
      </c>
      <c r="O27" s="136" t="n">
        <v>15270.15</v>
      </c>
      <c r="P27" s="136" t="n">
        <v>6162.44</v>
      </c>
      <c r="Q27" s="133" t="n"/>
      <c r="R27" s="126" t="n">
        <v>241655.69</v>
      </c>
    </row>
    <row r="28" ht="15" customHeight="1" s="80">
      <c r="A28" s="125" t="inlineStr">
        <is>
          <t>Land Improvements II - Site - 15yr</t>
        </is>
      </c>
      <c r="B28" s="135" t="n">
        <v>45298.65</v>
      </c>
      <c r="C28" s="132" t="n"/>
      <c r="D28" s="132" t="n"/>
      <c r="E28" s="132" t="n"/>
      <c r="F28" s="132" t="n"/>
      <c r="G28" s="132" t="n"/>
      <c r="H28" s="132" t="n"/>
      <c r="I28" s="132" t="n"/>
      <c r="J28" s="132" t="n"/>
      <c r="K28" s="132" t="n"/>
      <c r="L28" s="132" t="n"/>
      <c r="M28" s="132" t="n"/>
      <c r="N28" s="132" t="n"/>
      <c r="O28" s="132" t="n"/>
      <c r="P28" s="132" t="n"/>
      <c r="Q28" s="132" t="n"/>
      <c r="R28" s="126" t="n">
        <v>45298.65</v>
      </c>
    </row>
    <row r="29" ht="15" customHeight="1" s="80">
      <c r="A29" s="127" t="inlineStr">
        <is>
          <t>Land Improvements II - Bldgs - 5yr</t>
        </is>
      </c>
      <c r="B29" s="133" t="n"/>
      <c r="C29" s="136" t="n">
        <v>9223.360000000001</v>
      </c>
      <c r="D29" s="136" t="n">
        <v>9223.360000000001</v>
      </c>
      <c r="E29" s="136" t="n">
        <v>9223.360000000001</v>
      </c>
      <c r="F29" s="136" t="n">
        <v>9223.360000000001</v>
      </c>
      <c r="G29" s="136" t="n">
        <v>9223.360000000001</v>
      </c>
      <c r="H29" s="136" t="n">
        <v>9223.360000000001</v>
      </c>
      <c r="I29" s="136" t="n">
        <v>9223.360000000001</v>
      </c>
      <c r="J29" s="136" t="n">
        <v>9223.360000000001</v>
      </c>
      <c r="K29" s="136" t="n">
        <v>9223.360000000001</v>
      </c>
      <c r="L29" s="136" t="n">
        <v>8058.95</v>
      </c>
      <c r="M29" s="136" t="n">
        <v>8058.95</v>
      </c>
      <c r="N29" s="136" t="n">
        <v>8058.95</v>
      </c>
      <c r="O29" s="136" t="n">
        <v>8058.95</v>
      </c>
      <c r="P29" s="136" t="n">
        <v>2120.61</v>
      </c>
      <c r="Q29" s="133" t="n"/>
      <c r="R29" s="126" t="n">
        <v>117366.65</v>
      </c>
    </row>
    <row r="30" ht="15" customHeight="1" s="80">
      <c r="A30" s="125" t="inlineStr">
        <is>
          <t>Land Improvements II - 27.5yr</t>
        </is>
      </c>
      <c r="B30" s="135" t="n">
        <v>25058.73</v>
      </c>
      <c r="C30" s="135" t="n">
        <v>36198.07</v>
      </c>
      <c r="D30" s="135" t="n">
        <v>36198.07</v>
      </c>
      <c r="E30" s="135" t="n">
        <v>36198.07</v>
      </c>
      <c r="F30" s="135" t="n">
        <v>36198.07</v>
      </c>
      <c r="G30" s="135" t="n">
        <v>36198.07</v>
      </c>
      <c r="H30" s="135" t="n">
        <v>36198.07</v>
      </c>
      <c r="I30" s="135" t="n">
        <v>36198.07</v>
      </c>
      <c r="J30" s="135" t="n">
        <v>36198.07</v>
      </c>
      <c r="K30" s="135" t="n">
        <v>36198.07</v>
      </c>
      <c r="L30" s="135" t="n">
        <v>30716.81</v>
      </c>
      <c r="M30" s="135" t="n">
        <v>30716.81</v>
      </c>
      <c r="N30" s="135" t="n">
        <v>30716.81</v>
      </c>
      <c r="O30" s="135" t="n">
        <v>30716.81</v>
      </c>
      <c r="P30" s="135" t="n">
        <v>12396.1</v>
      </c>
      <c r="Q30" s="132" t="n"/>
      <c r="R30" s="126" t="n">
        <v>486104.7</v>
      </c>
    </row>
    <row r="31" ht="15" customHeight="1" s="80">
      <c r="A31" s="127" t="inlineStr">
        <is>
          <t>Equipment - Site - 15yr</t>
        </is>
      </c>
      <c r="B31" s="136" t="n">
        <v>69822.35000000001</v>
      </c>
      <c r="C31" s="133" t="n"/>
      <c r="D31" s="133" t="n"/>
      <c r="E31" s="133" t="n"/>
      <c r="F31" s="133" t="n"/>
      <c r="G31" s="133" t="n"/>
      <c r="H31" s="133" t="n"/>
      <c r="I31" s="133" t="n"/>
      <c r="J31" s="133" t="n"/>
      <c r="K31" s="133" t="n"/>
      <c r="L31" s="133" t="n"/>
      <c r="M31" s="133" t="n"/>
      <c r="N31" s="133" t="n"/>
      <c r="O31" s="133" t="n"/>
      <c r="P31" s="133" t="n"/>
      <c r="Q31" s="133" t="n"/>
      <c r="R31" s="126" t="n">
        <v>69822.35000000001</v>
      </c>
    </row>
    <row r="32" ht="15" customHeight="1" s="80">
      <c r="A32" s="125" t="inlineStr">
        <is>
          <t>Equipment - Bldgs - 5yr</t>
        </is>
      </c>
      <c r="B32" s="132" t="n"/>
      <c r="C32" s="135" t="n">
        <v>14216.69</v>
      </c>
      <c r="D32" s="135" t="n">
        <v>14216.69</v>
      </c>
      <c r="E32" s="135" t="n">
        <v>14216.69</v>
      </c>
      <c r="F32" s="135" t="n">
        <v>14216.69</v>
      </c>
      <c r="G32" s="135" t="n">
        <v>14216.69</v>
      </c>
      <c r="H32" s="135" t="n">
        <v>14216.69</v>
      </c>
      <c r="I32" s="135" t="n">
        <v>14216.69</v>
      </c>
      <c r="J32" s="135" t="n">
        <v>14216.69</v>
      </c>
      <c r="K32" s="135" t="n">
        <v>14216.69</v>
      </c>
      <c r="L32" s="135" t="n">
        <v>12421.88</v>
      </c>
      <c r="M32" s="135" t="n">
        <v>12421.88</v>
      </c>
      <c r="N32" s="135" t="n">
        <v>12421.88</v>
      </c>
      <c r="O32" s="135" t="n">
        <v>12421.88</v>
      </c>
      <c r="P32" s="135" t="n">
        <v>3268.65</v>
      </c>
      <c r="Q32" s="132" t="n"/>
      <c r="R32" s="126" t="n">
        <v>180906.38</v>
      </c>
    </row>
    <row r="33" ht="15" customHeight="1" s="80">
      <c r="A33" s="127" t="inlineStr">
        <is>
          <t>Equipment - 27.5yr</t>
        </is>
      </c>
      <c r="B33" s="136" t="n">
        <v>38624.97</v>
      </c>
      <c r="C33" s="136" t="n">
        <v>55794.92</v>
      </c>
      <c r="D33" s="136" t="n">
        <v>55794.92</v>
      </c>
      <c r="E33" s="136" t="n">
        <v>55794.92</v>
      </c>
      <c r="F33" s="136" t="n">
        <v>55794.92</v>
      </c>
      <c r="G33" s="136" t="n">
        <v>55794.92</v>
      </c>
      <c r="H33" s="136" t="n">
        <v>55794.92</v>
      </c>
      <c r="I33" s="136" t="n">
        <v>55794.92</v>
      </c>
      <c r="J33" s="136" t="n">
        <v>55794.92</v>
      </c>
      <c r="K33" s="136" t="n">
        <v>55794.92</v>
      </c>
      <c r="L33" s="136" t="n">
        <v>47346.23</v>
      </c>
      <c r="M33" s="136" t="n">
        <v>47346.23</v>
      </c>
      <c r="N33" s="136" t="n">
        <v>47346.23</v>
      </c>
      <c r="O33" s="136" t="n">
        <v>47346.23</v>
      </c>
      <c r="P33" s="136" t="n">
        <v>19107.1</v>
      </c>
      <c r="Q33" s="133" t="n"/>
      <c r="R33" s="126" t="n">
        <v>749271.2699999998</v>
      </c>
    </row>
    <row r="34" ht="18" customHeight="1" s="80">
      <c r="A34" s="130" t="inlineStr">
        <is>
          <t>TOTAL MACRS</t>
        </is>
      </c>
      <c r="B34" s="131" t="n">
        <v>799032.97</v>
      </c>
      <c r="C34" s="131" t="n">
        <v>515841.05</v>
      </c>
      <c r="D34" s="131" t="n">
        <v>515841.05</v>
      </c>
      <c r="E34" s="131" t="n">
        <v>515841.05</v>
      </c>
      <c r="F34" s="131" t="n">
        <v>515841.05</v>
      </c>
      <c r="G34" s="131" t="n">
        <v>515841.05</v>
      </c>
      <c r="H34" s="131" t="n">
        <v>515841.05</v>
      </c>
      <c r="I34" s="131" t="n">
        <v>515841.05</v>
      </c>
      <c r="J34" s="131" t="n">
        <v>515841.05</v>
      </c>
      <c r="K34" s="131" t="n">
        <v>515841.05</v>
      </c>
      <c r="L34" s="131" t="n">
        <v>440367.63</v>
      </c>
      <c r="M34" s="131" t="n">
        <v>440367.63</v>
      </c>
      <c r="N34" s="131" t="n">
        <v>440367.63</v>
      </c>
      <c r="O34" s="131" t="n">
        <v>440367.63</v>
      </c>
      <c r="P34" s="131" t="n">
        <v>164863.06</v>
      </c>
      <c r="Q34" s="131" t="n">
        <v>192737</v>
      </c>
      <c r="R34" s="131" t="n">
        <v>7560672.999999998</v>
      </c>
    </row>
    <row r="36" ht="18" customHeight="1" s="80">
      <c r="A36" s="123" t="inlineStr">
        <is>
          <t>END DEPRECIATION</t>
        </is>
      </c>
    </row>
    <row r="37" ht="48" customHeight="1" s="80">
      <c r="A37" s="134" t="inlineStr">
        <is>
          <t>NOTE: Macedonia Apartments, LLC is a new cost segregation study. No Form 3115 was filed and no prior depreciation exists under the reclassified lives. Accordingly, no Before/After 481(a) End Depreciation comparison is available. The projected first-year depreciation under the new classification is shown below for reference only.</t>
        </is>
      </c>
    </row>
    <row r="38" ht="30" customHeight="1" s="80">
      <c r="A38" s="124" t="inlineStr">
        <is>
          <t>Life / Asset</t>
        </is>
      </c>
      <c r="B38" s="124" t="inlineStr">
        <is>
          <t>Site</t>
        </is>
      </c>
      <c r="C38" s="124" t="inlineStr">
        <is>
          <t>Building A</t>
        </is>
      </c>
      <c r="D38" s="124" t="inlineStr">
        <is>
          <t>Building B</t>
        </is>
      </c>
      <c r="E38" s="124" t="inlineStr">
        <is>
          <t>Building C</t>
        </is>
      </c>
      <c r="F38" s="124" t="inlineStr">
        <is>
          <t>Building D</t>
        </is>
      </c>
      <c r="G38" s="124" t="inlineStr">
        <is>
          <t>Building E</t>
        </is>
      </c>
      <c r="H38" s="124" t="inlineStr">
        <is>
          <t>Building F</t>
        </is>
      </c>
      <c r="I38" s="124" t="inlineStr">
        <is>
          <t>Building G</t>
        </is>
      </c>
      <c r="J38" s="124" t="inlineStr">
        <is>
          <t>Building H</t>
        </is>
      </c>
      <c r="K38" s="124" t="inlineStr">
        <is>
          <t>Building I</t>
        </is>
      </c>
      <c r="L38" s="124" t="inlineStr">
        <is>
          <t>Building J</t>
        </is>
      </c>
      <c r="M38" s="124" t="inlineStr">
        <is>
          <t>Building K</t>
        </is>
      </c>
      <c r="N38" s="124" t="inlineStr">
        <is>
          <t>Building L</t>
        </is>
      </c>
      <c r="O38" s="124" t="inlineStr">
        <is>
          <t>Building M</t>
        </is>
      </c>
      <c r="P38" s="124" t="inlineStr">
        <is>
          <t>Office</t>
        </is>
      </c>
      <c r="Q38" s="124" t="inlineStr">
        <is>
          <t>Improvements</t>
        </is>
      </c>
      <c r="R38" s="124" t="inlineStr">
        <is>
          <t>Total</t>
        </is>
      </c>
    </row>
    <row r="39" ht="16" customHeight="1" s="80">
      <c r="A39" s="125" t="inlineStr">
        <is>
          <t>Projected 5-Year Basis (Building Components)</t>
        </is>
      </c>
      <c r="B39" s="132" t="n"/>
      <c r="C39" s="135" t="n">
        <v>104747.69</v>
      </c>
      <c r="D39" s="135" t="n">
        <v>104747.69</v>
      </c>
      <c r="E39" s="135" t="n">
        <v>104747.69</v>
      </c>
      <c r="F39" s="135" t="n">
        <v>104747.69</v>
      </c>
      <c r="G39" s="135" t="n">
        <v>104747.69</v>
      </c>
      <c r="H39" s="135" t="n">
        <v>104747.69</v>
      </c>
      <c r="I39" s="135" t="n">
        <v>104747.69</v>
      </c>
      <c r="J39" s="135" t="n">
        <v>104747.69</v>
      </c>
      <c r="K39" s="135" t="n">
        <v>104747.69</v>
      </c>
      <c r="L39" s="135" t="n">
        <v>91523.64999999999</v>
      </c>
      <c r="M39" s="135" t="n">
        <v>91523.64999999999</v>
      </c>
      <c r="N39" s="135" t="n">
        <v>91523.64999999999</v>
      </c>
      <c r="O39" s="135" t="n">
        <v>91523.64999999999</v>
      </c>
      <c r="P39" s="135" t="n">
        <v>24083.25</v>
      </c>
      <c r="Q39" s="135" t="n">
        <v>74564</v>
      </c>
      <c r="R39" s="126" t="n">
        <v>1407471.06</v>
      </c>
    </row>
    <row r="40" ht="16" customHeight="1" s="80">
      <c r="A40" s="127" t="inlineStr">
        <is>
          <t>Projected 15-Year Basis (Site Improvements)</t>
        </is>
      </c>
      <c r="B40" s="136" t="n">
        <v>514446.59</v>
      </c>
      <c r="C40" s="133" t="n"/>
      <c r="D40" s="133" t="n"/>
      <c r="E40" s="133" t="n"/>
      <c r="F40" s="133" t="n"/>
      <c r="G40" s="133" t="n"/>
      <c r="H40" s="133" t="n"/>
      <c r="I40" s="133" t="n"/>
      <c r="J40" s="133" t="n"/>
      <c r="K40" s="133" t="n"/>
      <c r="L40" s="133" t="n"/>
      <c r="M40" s="133" t="n"/>
      <c r="N40" s="133" t="n"/>
      <c r="O40" s="133" t="n"/>
      <c r="P40" s="133" t="n"/>
      <c r="Q40" s="133" t="n"/>
      <c r="R40" s="126" t="n">
        <v>514446.59</v>
      </c>
    </row>
    <row r="41" ht="16" customHeight="1" s="80">
      <c r="A41" s="125" t="inlineStr">
        <is>
          <t>27.5-Year Basis (Residential Real Property)</t>
        </is>
      </c>
      <c r="B41" s="135" t="n">
        <v>284586.38</v>
      </c>
      <c r="C41" s="135" t="n">
        <v>411093.36</v>
      </c>
      <c r="D41" s="135" t="n">
        <v>411093.36</v>
      </c>
      <c r="E41" s="135" t="n">
        <v>411093.36</v>
      </c>
      <c r="F41" s="135" t="n">
        <v>411093.36</v>
      </c>
      <c r="G41" s="135" t="n">
        <v>411093.36</v>
      </c>
      <c r="H41" s="135" t="n">
        <v>411093.36</v>
      </c>
      <c r="I41" s="135" t="n">
        <v>411093.36</v>
      </c>
      <c r="J41" s="135" t="n">
        <v>411093.36</v>
      </c>
      <c r="K41" s="135" t="n">
        <v>411093.36</v>
      </c>
      <c r="L41" s="135" t="n">
        <v>348843.98</v>
      </c>
      <c r="M41" s="135" t="n">
        <v>348843.98</v>
      </c>
      <c r="N41" s="135" t="n">
        <v>348843.98</v>
      </c>
      <c r="O41" s="135" t="n">
        <v>348843.98</v>
      </c>
      <c r="P41" s="135" t="n">
        <v>140779.81</v>
      </c>
      <c r="Q41" s="135" t="n">
        <v>77000</v>
      </c>
      <c r="R41" s="126" t="n">
        <v>5597582.350000001</v>
      </c>
    </row>
    <row r="42" ht="18" customHeight="1" s="80">
      <c r="A42" s="130" t="inlineStr">
        <is>
          <t>TOTAL DEPRECIABLE BASIS</t>
        </is>
      </c>
      <c r="B42" s="131" t="n">
        <v>799032.97</v>
      </c>
      <c r="C42" s="131" t="n">
        <v>515841.05</v>
      </c>
      <c r="D42" s="131" t="n">
        <v>515841.05</v>
      </c>
      <c r="E42" s="131" t="n">
        <v>515841.05</v>
      </c>
      <c r="F42" s="131" t="n">
        <v>515841.05</v>
      </c>
      <c r="G42" s="131" t="n">
        <v>515841.05</v>
      </c>
      <c r="H42" s="131" t="n">
        <v>515841.05</v>
      </c>
      <c r="I42" s="131" t="n">
        <v>515841.05</v>
      </c>
      <c r="J42" s="131" t="n">
        <v>515841.05</v>
      </c>
      <c r="K42" s="131" t="n">
        <v>515841.05</v>
      </c>
      <c r="L42" s="131" t="n">
        <v>440367.63</v>
      </c>
      <c r="M42" s="131" t="n">
        <v>440367.63</v>
      </c>
      <c r="N42" s="131" t="n">
        <v>440367.63</v>
      </c>
      <c r="O42" s="131" t="n">
        <v>440367.63</v>
      </c>
      <c r="P42" s="131" t="n">
        <v>164863.06</v>
      </c>
      <c r="Q42" s="131" t="n">
        <v>192737</v>
      </c>
      <c r="R42" s="131" t="n">
        <v>7560672.999999998</v>
      </c>
    </row>
  </sheetData>
  <mergeCells count="6">
    <mergeCell ref="A2:R2"/>
    <mergeCell ref="A36:R36"/>
    <mergeCell ref="A14:R14"/>
    <mergeCell ref="A1:R1"/>
    <mergeCell ref="A37:R37"/>
    <mergeCell ref="A4:R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2026-06-16T23:34:21Z</dcterms:created>
  <dcterms:modified xmlns:dcterms="http://purl.org/dc/terms/" xmlns:xsi="http://www.w3.org/2001/XMLSchema-instance" xsi:type="dcterms:W3CDTF">2026-06-22T22:03:46Z</dcterms:modified>
</cp:coreProperties>
</file>