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6">
        <f>SUM(F39:F50)</f>
        <v/>
      </c>
      <c r="G51" s="6">
        <f>SUM(G39:G50)</f>
        <v/>
      </c>
      <c r="H51" s="6">
        <f>SUM(H39:H50)</f>
        <v/>
      </c>
      <c r="I51" s="6">
        <f>SUM(I39:I50)</f>
        <v/>
      </c>
      <c r="J51" s="6">
        <f>SUM(J39:J50)</f>
        <v/>
      </c>
      <c r="K51" s="6">
        <f>SUM(K39:K50)</f>
        <v/>
      </c>
      <c r="L51" s="6">
        <f>SUM(L39:L50)</f>
        <v/>
      </c>
      <c r="M51" s="6">
        <f>SUM(M39:M50)</f>
        <v/>
      </c>
      <c r="N51" s="6">
        <f>SUM(N39:N50)</f>
        <v/>
      </c>
      <c r="O51" s="6">
        <f>SUM(O39:O50)</f>
        <v/>
      </c>
      <c r="P51" s="6">
        <f>SUM(P39:P50)</f>
        <v/>
      </c>
      <c r="Q51" s="6">
        <f>SUM(Q39:Q50)</f>
        <v/>
      </c>
      <c r="R51" s="6">
        <f>SUM(R39:R50)</f>
        <v/>
      </c>
      <c r="S51" s="6">
        <f>SUM(S39:S50)</f>
        <v/>
      </c>
      <c r="T51" s="6">
        <f>SUM(T39:T50)</f>
        <v/>
      </c>
      <c r="U51" s="6">
        <f>SUM(U39:U50)</f>
        <v/>
      </c>
      <c r="V51" s="6">
        <f>SUM(V39:V50)</f>
        <v/>
      </c>
      <c r="W51" s="6">
        <f>SUM(W39:W50)</f>
        <v/>
      </c>
      <c r="X51" s="6">
        <f>SUM(X39:X50)</f>
        <v/>
      </c>
      <c r="Y51" s="6">
        <f>SUM(Y39:Y50)</f>
        <v/>
      </c>
      <c r="Z51" s="6">
        <f>SUM(Z39:Z50)</f>
        <v/>
      </c>
      <c r="AA51" s="6">
        <f>SUM(AA39:AA50)</f>
        <v/>
      </c>
      <c r="AB51" s="6">
        <f>SUM(AB39:AB50)</f>
        <v/>
      </c>
      <c r="AC51" s="6">
        <f>SUM(AC39:AC50)</f>
        <v/>
      </c>
      <c r="AD51" s="6">
        <f>SUM(AD39:AD50)</f>
        <v/>
      </c>
      <c r="AE51" s="6">
        <f>SUM(AE39:AE50)</f>
        <v/>
      </c>
      <c r="AF51" s="6">
        <f>SUM(AF39:AF50)</f>
        <v/>
      </c>
      <c r="AG51" s="6">
        <f>SUM(AG39:AG50)</f>
        <v/>
      </c>
      <c r="AI51" s="6">
        <f>SUM(AI39:AI50)</f>
        <v/>
      </c>
    </row>
    <row r="52">
      <c r="B52" s="9" t="inlineStr">
        <is>
          <t>Section 481(a) Adjustment</t>
        </is>
      </c>
      <c r="F52" s="24">
        <f>F38-F51</f>
        <v/>
      </c>
      <c r="G52" s="24">
        <f>G38-G51</f>
        <v/>
      </c>
      <c r="H52" s="24">
        <f>H38-H51</f>
        <v/>
      </c>
      <c r="I52" s="24">
        <f>I38-I51</f>
        <v/>
      </c>
      <c r="J52" s="24">
        <f>J38-J51</f>
        <v/>
      </c>
      <c r="K52" s="24">
        <f>K38-K51</f>
        <v/>
      </c>
      <c r="L52" s="24">
        <f>L38-L51</f>
        <v/>
      </c>
      <c r="M52" s="24">
        <f>M38-M51</f>
        <v/>
      </c>
      <c r="N52" s="24">
        <f>N38-N51</f>
        <v/>
      </c>
      <c r="O52" s="24">
        <f>O38-O51</f>
        <v/>
      </c>
      <c r="P52" s="24">
        <f>P38-P51</f>
        <v/>
      </c>
      <c r="Q52" s="24">
        <f>Q38-Q51</f>
        <v/>
      </c>
      <c r="R52" s="24">
        <f>R38-R51</f>
        <v/>
      </c>
      <c r="S52" s="24">
        <f>S38-S51</f>
        <v/>
      </c>
      <c r="T52" s="24">
        <f>T38-T51</f>
        <v/>
      </c>
      <c r="U52" s="24">
        <f>U38-U51</f>
        <v/>
      </c>
      <c r="V52" s="24">
        <f>V38-V51</f>
        <v/>
      </c>
      <c r="W52" s="24">
        <f>W38-W51</f>
        <v/>
      </c>
      <c r="X52" s="24">
        <f>X38-X51</f>
        <v/>
      </c>
      <c r="Y52" s="24">
        <f>Y38-Y51</f>
        <v/>
      </c>
      <c r="Z52" s="24">
        <f>Z38-Z51</f>
        <v/>
      </c>
      <c r="AA52" s="24">
        <f>AA38-AA51</f>
        <v/>
      </c>
      <c r="AB52" s="24">
        <f>AB38-AB51</f>
        <v/>
      </c>
      <c r="AC52" s="24">
        <f>AC38-AC51</f>
        <v/>
      </c>
      <c r="AD52" s="24">
        <f>AD38-AD51</f>
        <v/>
      </c>
      <c r="AE52" s="24">
        <f>AE38-AE51</f>
        <v/>
      </c>
      <c r="AF52" s="24">
        <f>AF38-AF51</f>
        <v/>
      </c>
      <c r="AG52" s="24">
        <f>AG38-AG51</f>
        <v/>
      </c>
      <c r="AI52" s="25">
        <f>AI38-AI51</f>
        <v/>
      </c>
    </row>
    <row r="53"/>
    <row r="5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Site Work / Improvements</t>
        </is>
      </c>
    </row>
    <row r="17">
      <c r="A17" s="13" t="inlineStr">
        <is>
          <t>Site Utilities</t>
        </is>
      </c>
    </row>
    <row r="19">
      <c r="A19" s="8" t="inlineStr">
        <is>
          <t>Total Site Cost</t>
        </is>
      </c>
      <c r="B19" s="14" t="n">
        <v>806490.9</v>
      </c>
      <c r="E19" s="14" t="n">
        <v>488361.36</v>
      </c>
      <c r="F19" s="14" t="n">
        <v>318129.54</v>
      </c>
    </row>
    <row r="20">
      <c r="A20" s="12" t="inlineStr">
        <is>
          <t>% of Site Cost</t>
        </is>
      </c>
      <c r="E20" s="20" t="n">
        <v>0.606</v>
      </c>
      <c r="F20" s="20" t="n">
        <v>0.394</v>
      </c>
    </row>
    <row r="22">
      <c r="A22" s="1" t="inlineStr">
        <is>
          <t>Asset Allocation:</t>
        </is>
      </c>
    </row>
    <row r="23">
      <c r="A23" s="5" t="inlineStr">
        <is>
          <t>Asset #1 - Building</t>
        </is>
      </c>
      <c r="B23" s="16" t="n">
        <v>636512.99</v>
      </c>
      <c r="E23" s="16" t="n">
        <v>385433.18</v>
      </c>
      <c r="F23" s="16" t="n">
        <v>251079.81</v>
      </c>
    </row>
    <row r="24">
      <c r="A24" s="5" t="inlineStr">
        <is>
          <t>Asset #5 - Building</t>
        </is>
      </c>
      <c r="B24" s="16" t="n">
        <v>1159.28</v>
      </c>
      <c r="E24" s="16" t="n">
        <v>701.99</v>
      </c>
      <c r="F24" s="16" t="n">
        <v>457.29</v>
      </c>
    </row>
    <row r="25">
      <c r="A25" s="5" t="inlineStr">
        <is>
          <t>Asset #3 - Land Improvements</t>
        </is>
      </c>
      <c r="B25" s="16" t="n">
        <v>60048.41</v>
      </c>
      <c r="E25" s="16" t="n">
        <v>36361.63</v>
      </c>
      <c r="F25" s="16" t="n">
        <v>23686.78</v>
      </c>
    </row>
    <row r="26">
      <c r="A26" s="5" t="inlineStr">
        <is>
          <t>Asset #4 - Equipment</t>
        </is>
      </c>
      <c r="B26" s="16" t="n">
        <v>108770.22</v>
      </c>
      <c r="E26" s="16" t="n">
        <v>65864.56</v>
      </c>
      <c r="F26" s="16" t="n">
        <v>42905.66</v>
      </c>
    </row>
    <row r="27">
      <c r="A27" s="8" t="inlineStr">
        <is>
          <t>Total Allocation:</t>
        </is>
      </c>
      <c r="B27" s="14" t="n">
        <v>806490.9</v>
      </c>
      <c r="E27" s="14" t="n">
        <v>488361.36</v>
      </c>
      <c r="F27" s="14" t="n">
        <v>318129.54</v>
      </c>
    </row>
    <row r="29">
      <c r="A29" s="1" t="inlineStr">
        <is>
          <t>End Depreciation Reconciliation</t>
        </is>
      </c>
    </row>
    <row r="30">
      <c r="A30" s="5" t="inlineStr">
        <is>
          <t>Before Cost Segregation (As Previously Filed)</t>
        </is>
      </c>
      <c r="B30" s="16" t="n">
        <v>353546.9</v>
      </c>
    </row>
    <row r="31">
      <c r="A31" s="5" t="inlineStr">
        <is>
          <t>After Cost Segregation (Corrected)</t>
        </is>
      </c>
      <c r="B31" s="16" t="n">
        <v>433789.43</v>
      </c>
    </row>
    <row r="32">
      <c r="A32" s="9" t="inlineStr">
        <is>
          <t>Section 481(a) Adjustment</t>
        </is>
      </c>
      <c r="B32" s="21" t="n">
        <v>-80242.53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Clubhouse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1211.6</v>
      </c>
      <c r="C16" s="16" t="n">
        <v>1211.6</v>
      </c>
    </row>
    <row r="17">
      <c r="A17" s="5" t="inlineStr">
        <is>
          <t>Moldings</t>
        </is>
      </c>
      <c r="B17" s="16" t="n">
        <v>2930.23</v>
      </c>
      <c r="C17" s="16" t="n">
        <v>2930.23</v>
      </c>
    </row>
    <row r="18">
      <c r="A18" s="5" t="inlineStr">
        <is>
          <t>Flooring - Vinyl Plank</t>
        </is>
      </c>
      <c r="B18" s="16" t="n">
        <v>7111.65</v>
      </c>
      <c r="C18" s="16" t="n">
        <v>7111.65</v>
      </c>
    </row>
    <row r="19">
      <c r="A19" s="5" t="inlineStr">
        <is>
          <t>Security System</t>
        </is>
      </c>
      <c r="B19" s="16" t="n">
        <v>782.67</v>
      </c>
      <c r="C19" s="16" t="n">
        <v>782.67</v>
      </c>
    </row>
    <row r="20">
      <c r="A20" s="5" t="inlineStr">
        <is>
          <t>Window Treatments</t>
        </is>
      </c>
      <c r="B20" s="16" t="n">
        <v>369.85</v>
      </c>
      <c r="C20" s="16" t="n">
        <v>369.85</v>
      </c>
    </row>
    <row r="21">
      <c r="A21" s="5" t="inlineStr">
        <is>
          <t>Specialty Electrical - Appliances</t>
        </is>
      </c>
      <c r="B21" s="16" t="n">
        <v>364.47</v>
      </c>
      <c r="C21" s="16" t="n">
        <v>364.47</v>
      </c>
    </row>
    <row r="22">
      <c r="A22" s="5" t="inlineStr">
        <is>
          <t>Communication / Data</t>
        </is>
      </c>
      <c r="B22" s="16" t="n">
        <v>2369.45</v>
      </c>
      <c r="C22" s="16" t="n">
        <v>2369.45</v>
      </c>
    </row>
    <row r="23">
      <c r="A23" s="5" t="inlineStr">
        <is>
          <t>Specialty Plumbing - Kitchen Sink</t>
        </is>
      </c>
      <c r="B23" s="16" t="n">
        <v>665.54</v>
      </c>
      <c r="C23" s="16" t="n">
        <v>665.54</v>
      </c>
    </row>
    <row r="24">
      <c r="A24" s="5" t="inlineStr">
        <is>
          <t>Security / Exterior Lighting</t>
        </is>
      </c>
      <c r="B24" s="16" t="n">
        <v>318.98</v>
      </c>
      <c r="C24" s="16" t="n">
        <v>318.98</v>
      </c>
    </row>
    <row r="25">
      <c r="A25" s="5" t="inlineStr">
        <is>
          <t>Mailboxes</t>
        </is>
      </c>
      <c r="B25" s="16" t="n">
        <v>3831.45</v>
      </c>
      <c r="C25" s="16" t="n">
        <v>3831.45</v>
      </c>
    </row>
    <row r="27">
      <c r="A27" s="13" t="inlineStr">
        <is>
          <t>Building Structure</t>
        </is>
      </c>
    </row>
    <row r="28">
      <c r="A28" s="5" t="inlineStr">
        <is>
          <t>Roofing Systems</t>
        </is>
      </c>
      <c r="B28" s="16" t="n">
        <v>7015.23</v>
      </c>
      <c r="C28" s="16" t="n">
        <v>7015.23</v>
      </c>
    </row>
    <row r="29">
      <c r="A29" s="5" t="inlineStr">
        <is>
          <t>Foundations</t>
        </is>
      </c>
      <c r="B29" s="16" t="n">
        <v>9776.15</v>
      </c>
      <c r="C29" s="16" t="n">
        <v>9776.15</v>
      </c>
    </row>
    <row r="30">
      <c r="A30" s="5" t="inlineStr">
        <is>
          <t>HVAC</t>
        </is>
      </c>
      <c r="B30" s="16" t="n">
        <v>7127.17</v>
      </c>
      <c r="C30" s="16" t="n">
        <v>7127.17</v>
      </c>
    </row>
    <row r="31">
      <c r="A31" s="5" t="inlineStr">
        <is>
          <t>Electrical</t>
        </is>
      </c>
      <c r="B31" s="16" t="n">
        <v>7351.5</v>
      </c>
      <c r="C31" s="16" t="n">
        <v>7351.5</v>
      </c>
    </row>
    <row r="32">
      <c r="A32" s="5" t="inlineStr">
        <is>
          <t>Plumbing</t>
        </is>
      </c>
      <c r="B32" s="16" t="n">
        <v>6195.62</v>
      </c>
      <c r="C32" s="16" t="n">
        <v>6195.62</v>
      </c>
    </row>
    <row r="33">
      <c r="A33" s="5" t="inlineStr">
        <is>
          <t>Fire Protection &amp; Alarm</t>
        </is>
      </c>
      <c r="B33" s="16" t="n">
        <v>247.19</v>
      </c>
      <c r="C33" s="16" t="n">
        <v>247.19</v>
      </c>
    </row>
    <row r="34">
      <c r="A34" s="5" t="inlineStr">
        <is>
          <t>Exterior Façade / Building Skin</t>
        </is>
      </c>
      <c r="B34" s="16" t="n">
        <v>4165.79</v>
      </c>
      <c r="C34" s="16" t="n">
        <v>4165.79</v>
      </c>
    </row>
    <row r="35">
      <c r="A35" s="5" t="inlineStr">
        <is>
          <t>Doors &amp; Frames</t>
        </is>
      </c>
      <c r="B35" s="16" t="n">
        <v>2464.17</v>
      </c>
      <c r="C35" s="16" t="n">
        <v>2464.17</v>
      </c>
    </row>
    <row r="36">
      <c r="A36" s="5" t="inlineStr">
        <is>
          <t>Windows</t>
        </is>
      </c>
      <c r="B36" s="16" t="n">
        <v>1928.81</v>
      </c>
      <c r="C36" s="16" t="n">
        <v>1928.81</v>
      </c>
    </row>
    <row r="37">
      <c r="A37" s="5" t="inlineStr">
        <is>
          <t>Ceiling Systems</t>
        </is>
      </c>
      <c r="B37" s="16" t="n">
        <v>3233.65</v>
      </c>
      <c r="C37" s="16" t="n">
        <v>3233.65</v>
      </c>
    </row>
    <row r="38">
      <c r="A38" s="5" t="inlineStr">
        <is>
          <t>Interior Framing / Partitions</t>
        </is>
      </c>
      <c r="B38" s="16" t="n">
        <v>18160.96</v>
      </c>
      <c r="C38" s="16" t="n">
        <v>18160.96</v>
      </c>
    </row>
    <row r="39">
      <c r="A39" s="5" t="inlineStr">
        <is>
          <t>Painting</t>
        </is>
      </c>
      <c r="B39" s="16" t="n">
        <v>6068.28</v>
      </c>
      <c r="C39" s="16" t="n">
        <v>6068.28</v>
      </c>
    </row>
    <row r="40">
      <c r="A40" s="5" t="inlineStr">
        <is>
          <t>Gutter Systems</t>
        </is>
      </c>
      <c r="B40" s="16" t="n">
        <v>1028.86</v>
      </c>
      <c r="C40" s="16" t="n">
        <v>1028.86</v>
      </c>
    </row>
    <row r="41">
      <c r="A41" s="5" t="inlineStr">
        <is>
          <t>Emergency Lighting</t>
        </is>
      </c>
      <c r="B41" s="16" t="n">
        <v>356.81</v>
      </c>
      <c r="C41" s="16" t="n">
        <v>356.81</v>
      </c>
    </row>
    <row r="42">
      <c r="A42" s="5" t="inlineStr">
        <is>
          <t>Structural Framing</t>
        </is>
      </c>
      <c r="B42" s="16" t="n">
        <v>15695.01</v>
      </c>
      <c r="C42" s="16" t="n">
        <v>15695.01</v>
      </c>
    </row>
    <row r="43">
      <c r="A43" s="5" t="inlineStr">
        <is>
          <t>Bathroom Accessories</t>
        </is>
      </c>
      <c r="B43" s="16" t="n">
        <v>399.61</v>
      </c>
      <c r="C43" s="16" t="n">
        <v>399.61</v>
      </c>
    </row>
    <row r="44">
      <c r="A44" s="5" t="inlineStr">
        <is>
          <t>Ceramic Tile Flooring</t>
        </is>
      </c>
      <c r="B44" s="16" t="n">
        <v>146.01</v>
      </c>
      <c r="C44" s="16" t="n">
        <v>146.01</v>
      </c>
    </row>
    <row r="45">
      <c r="A45" s="5" t="inlineStr"/>
      <c r="B45" s="16" t="n">
        <v>654</v>
      </c>
    </row>
    <row r="47">
      <c r="A47" s="8" t="inlineStr">
        <is>
          <t>Total Building Cost</t>
        </is>
      </c>
      <c r="B47" s="14" t="n">
        <v>111316.71</v>
      </c>
      <c r="C47" s="14" t="n">
        <v>19955.89</v>
      </c>
      <c r="F47" s="14" t="n">
        <v>91360.82000000001</v>
      </c>
    </row>
    <row r="48">
      <c r="A48" s="12" t="inlineStr">
        <is>
          <t>% of Building Cost</t>
        </is>
      </c>
      <c r="C48" s="20" t="n">
        <v>0.179</v>
      </c>
      <c r="F48" s="20" t="n">
        <v>0.821</v>
      </c>
    </row>
    <row r="50">
      <c r="A50" s="1" t="inlineStr">
        <is>
          <t>Asset Allocation:</t>
        </is>
      </c>
    </row>
    <row r="51">
      <c r="A51" s="5" t="inlineStr">
        <is>
          <t>Asset #1 - Building</t>
        </is>
      </c>
      <c r="B51" s="16" t="n">
        <v>87855.35000000001</v>
      </c>
      <c r="C51" s="16" t="n">
        <v>15749.94</v>
      </c>
      <c r="F51" s="16" t="n">
        <v>72105.41</v>
      </c>
    </row>
    <row r="52">
      <c r="A52" s="5" t="inlineStr">
        <is>
          <t>Asset #5 - Building</t>
        </is>
      </c>
      <c r="B52" s="16" t="n">
        <v>160.01</v>
      </c>
      <c r="C52" s="16" t="n">
        <v>28.69</v>
      </c>
      <c r="F52" s="16" t="n">
        <v>131.32</v>
      </c>
    </row>
    <row r="53">
      <c r="A53" s="5" t="inlineStr">
        <is>
          <t>Asset #3 - Land Improvements</t>
        </is>
      </c>
      <c r="B53" s="16" t="n">
        <v>8288.23</v>
      </c>
      <c r="C53" s="16" t="n">
        <v>1485.84</v>
      </c>
      <c r="F53" s="16" t="n">
        <v>6802.39</v>
      </c>
    </row>
    <row r="54">
      <c r="A54" s="5" t="inlineStr">
        <is>
          <t>Asset #4 - Equipment</t>
        </is>
      </c>
      <c r="B54" s="16" t="n">
        <v>15013.12</v>
      </c>
      <c r="C54" s="16" t="n">
        <v>2691.42</v>
      </c>
      <c r="F54" s="16" t="n">
        <v>12321.7</v>
      </c>
    </row>
    <row r="55">
      <c r="A55" s="8" t="inlineStr">
        <is>
          <t>Total Allocation:</t>
        </is>
      </c>
      <c r="B55" s="14" t="n">
        <v>111316.71</v>
      </c>
      <c r="C55" s="14" t="n">
        <v>19955.89</v>
      </c>
      <c r="F55" s="14" t="n">
        <v>91360.82000000001</v>
      </c>
    </row>
    <row r="57">
      <c r="A57" s="1" t="inlineStr">
        <is>
          <t>End Depreciation Reconciliation</t>
        </is>
      </c>
    </row>
    <row r="58">
      <c r="A58" s="5" t="inlineStr">
        <is>
          <t>Before Cost Segregation (As Previously Filed)</t>
        </is>
      </c>
      <c r="B58" s="16" t="n">
        <v>48793.35</v>
      </c>
    </row>
    <row r="59">
      <c r="A59" s="5" t="inlineStr">
        <is>
          <t>After Cost Segregation (Corrected)</t>
        </is>
      </c>
      <c r="B59" s="16" t="n">
        <v>49993.81</v>
      </c>
    </row>
    <row r="60">
      <c r="A60" s="9" t="inlineStr">
        <is>
          <t>Section 481(a) Adjustment</t>
        </is>
      </c>
      <c r="B60" s="21" t="n">
        <v>-1200.46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#9 -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10346.61</v>
      </c>
      <c r="C16" s="16" t="n">
        <v>10346.61</v>
      </c>
    </row>
    <row r="17">
      <c r="A17" s="5" t="inlineStr">
        <is>
          <t>Moldings</t>
        </is>
      </c>
      <c r="B17" s="16" t="n">
        <v>5291.32</v>
      </c>
      <c r="C17" s="16" t="n">
        <v>5291.32</v>
      </c>
    </row>
    <row r="18">
      <c r="A18" s="5" t="inlineStr">
        <is>
          <t>Flooring - Vinyl Plank</t>
        </is>
      </c>
      <c r="B18" s="16" t="n">
        <v>26950.29</v>
      </c>
      <c r="C18" s="16" t="n">
        <v>26950.29</v>
      </c>
    </row>
    <row r="19">
      <c r="A19" s="5" t="inlineStr">
        <is>
          <t>Window Treatments</t>
        </is>
      </c>
      <c r="B19" s="16" t="n">
        <v>2980.26</v>
      </c>
      <c r="C19" s="16" t="n">
        <v>2980.26</v>
      </c>
    </row>
    <row r="20">
      <c r="A20" s="5" t="inlineStr">
        <is>
          <t>Specialty HVAC - Dryer Vents</t>
        </is>
      </c>
      <c r="B20" s="16" t="n">
        <v>366.57</v>
      </c>
      <c r="C20" s="16" t="n">
        <v>366.57</v>
      </c>
    </row>
    <row r="21">
      <c r="A21" s="5" t="inlineStr">
        <is>
          <t>Building Signage</t>
        </is>
      </c>
      <c r="B21" s="16" t="n">
        <v>144.58</v>
      </c>
      <c r="C21" s="16" t="n">
        <v>144.58</v>
      </c>
    </row>
    <row r="22">
      <c r="A22" s="5" t="inlineStr">
        <is>
          <t>Specialty Electrical - Appliances</t>
        </is>
      </c>
      <c r="B22" s="16" t="n">
        <v>5961.89</v>
      </c>
      <c r="C22" s="16" t="n">
        <v>5961.89</v>
      </c>
    </row>
    <row r="23">
      <c r="A23" s="5" t="inlineStr">
        <is>
          <t>Communication / Data</t>
        </is>
      </c>
      <c r="B23" s="16" t="n">
        <v>2354.19</v>
      </c>
      <c r="C23" s="16" t="n">
        <v>2354.19</v>
      </c>
    </row>
    <row r="24">
      <c r="A24" s="5" t="inlineStr">
        <is>
          <t>Specialty Plumbing - Kitchen Sinks / Laundry</t>
        </is>
      </c>
      <c r="B24" s="16" t="n">
        <v>6854.82</v>
      </c>
      <c r="C24" s="16" t="n">
        <v>6854.82</v>
      </c>
    </row>
    <row r="25">
      <c r="A25" s="5" t="inlineStr">
        <is>
          <t>Security / Exterior Lighting</t>
        </is>
      </c>
      <c r="B25" s="16" t="n">
        <v>2046.92</v>
      </c>
      <c r="C25" s="16" t="n">
        <v>2046.92</v>
      </c>
    </row>
    <row r="26">
      <c r="A26" s="5" t="inlineStr">
        <is>
          <t>Access Control</t>
        </is>
      </c>
      <c r="B26" s="16" t="n">
        <v>86.40000000000001</v>
      </c>
      <c r="C26" s="16" t="n">
        <v>86.40000000000001</v>
      </c>
    </row>
    <row r="27">
      <c r="A27" s="5" t="inlineStr">
        <is>
          <t>Appliances</t>
        </is>
      </c>
      <c r="B27" s="16" t="n">
        <v>7365.75</v>
      </c>
      <c r="C27" s="16" t="n">
        <v>7365.75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11258.78</v>
      </c>
      <c r="C30" s="16" t="n">
        <v>11258.78</v>
      </c>
    </row>
    <row r="31">
      <c r="A31" s="5" t="inlineStr">
        <is>
          <t>Foundations</t>
        </is>
      </c>
      <c r="B31" s="16" t="n">
        <v>21167.29</v>
      </c>
      <c r="C31" s="16" t="n">
        <v>21167.29</v>
      </c>
    </row>
    <row r="32">
      <c r="A32" s="5" t="inlineStr">
        <is>
          <t>HVAC</t>
        </is>
      </c>
      <c r="B32" s="16" t="n">
        <v>26087.98</v>
      </c>
      <c r="C32" s="16" t="n">
        <v>26087.98</v>
      </c>
    </row>
    <row r="33">
      <c r="A33" s="5" t="inlineStr">
        <is>
          <t>Electrical</t>
        </is>
      </c>
      <c r="B33" s="16" t="n">
        <v>28640.05</v>
      </c>
      <c r="C33" s="16" t="n">
        <v>28640.05</v>
      </c>
    </row>
    <row r="34">
      <c r="A34" s="5" t="inlineStr">
        <is>
          <t>Plumbing</t>
        </is>
      </c>
      <c r="B34" s="16" t="n">
        <v>22996.79</v>
      </c>
      <c r="C34" s="16" t="n">
        <v>22996.79</v>
      </c>
    </row>
    <row r="35">
      <c r="A35" s="5" t="inlineStr">
        <is>
          <t>Fire Protection &amp; Alarm</t>
        </is>
      </c>
      <c r="B35" s="16" t="n">
        <v>1436.02</v>
      </c>
      <c r="C35" s="16" t="n">
        <v>1436.02</v>
      </c>
    </row>
    <row r="36">
      <c r="A36" s="5" t="inlineStr">
        <is>
          <t>Exterior Façade / Building Skin</t>
        </is>
      </c>
      <c r="B36" s="16" t="n">
        <v>30481.59</v>
      </c>
      <c r="C36" s="16" t="n">
        <v>30481.59</v>
      </c>
    </row>
    <row r="37">
      <c r="A37" s="5" t="inlineStr">
        <is>
          <t>Doors &amp; Frames</t>
        </is>
      </c>
      <c r="B37" s="16" t="n">
        <v>24592.96</v>
      </c>
      <c r="C37" s="16" t="n">
        <v>24592.96</v>
      </c>
    </row>
    <row r="38">
      <c r="A38" s="5" t="inlineStr">
        <is>
          <t>Windows</t>
        </is>
      </c>
      <c r="B38" s="16" t="n">
        <v>14716.7</v>
      </c>
      <c r="C38" s="16" t="n">
        <v>14716.7</v>
      </c>
    </row>
    <row r="39">
      <c r="A39" s="5" t="inlineStr">
        <is>
          <t>Ceiling Systems</t>
        </is>
      </c>
      <c r="B39" s="16" t="n">
        <v>12002.61</v>
      </c>
      <c r="C39" s="16" t="n">
        <v>12002.61</v>
      </c>
    </row>
    <row r="40">
      <c r="A40" s="5" t="inlineStr">
        <is>
          <t>Interior Framing / Partitions</t>
        </is>
      </c>
      <c r="B40" s="16" t="n">
        <v>23197.91</v>
      </c>
      <c r="C40" s="16" t="n">
        <v>23197.91</v>
      </c>
    </row>
    <row r="41">
      <c r="A41" s="5" t="inlineStr">
        <is>
          <t>Painting</t>
        </is>
      </c>
      <c r="B41" s="16" t="n">
        <v>10564.94</v>
      </c>
      <c r="C41" s="16" t="n">
        <v>10564.94</v>
      </c>
    </row>
    <row r="42">
      <c r="A42" s="5" t="inlineStr">
        <is>
          <t>Gutter Systems</t>
        </is>
      </c>
      <c r="B42" s="16" t="n">
        <v>1561.67</v>
      </c>
      <c r="C42" s="16" t="n">
        <v>1561.67</v>
      </c>
    </row>
    <row r="43">
      <c r="A43" s="5" t="inlineStr">
        <is>
          <t>Structural Framing</t>
        </is>
      </c>
      <c r="B43" s="16" t="n">
        <v>38226.39</v>
      </c>
      <c r="C43" s="16" t="n">
        <v>38226.39</v>
      </c>
    </row>
    <row r="44">
      <c r="A44" s="5" t="inlineStr">
        <is>
          <t>Stairs / Balconies</t>
        </is>
      </c>
      <c r="B44" s="16" t="n">
        <v>13622.62</v>
      </c>
      <c r="C44" s="16" t="n">
        <v>13622.62</v>
      </c>
    </row>
    <row r="45">
      <c r="A45" s="5" t="inlineStr">
        <is>
          <t>Bathroom Accessories</t>
        </is>
      </c>
      <c r="B45" s="16" t="n">
        <v>2666.01</v>
      </c>
      <c r="C45" s="16" t="n">
        <v>2666.01</v>
      </c>
    </row>
    <row r="46">
      <c r="A46" s="5" t="inlineStr">
        <is>
          <t>Cabinets / Millwork - Restrooms</t>
        </is>
      </c>
      <c r="B46" s="16" t="n">
        <v>3419.61</v>
      </c>
      <c r="C46" s="16" t="n">
        <v>3419.61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357389.52</v>
      </c>
      <c r="C49" s="14" t="n">
        <v>70749.60000000001</v>
      </c>
      <c r="F49" s="14" t="n">
        <v>286639.92</v>
      </c>
    </row>
    <row r="50">
      <c r="A50" s="12" t="inlineStr">
        <is>
          <t>% of Building Cost</t>
        </is>
      </c>
      <c r="C50" s="20" t="n">
        <v>0.198</v>
      </c>
      <c r="F50" s="20" t="n">
        <v>0.802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282065.31</v>
      </c>
      <c r="C53" s="16" t="n">
        <v>55838.26</v>
      </c>
      <c r="F53" s="16" t="n">
        <v>226227.05</v>
      </c>
    </row>
    <row r="54">
      <c r="A54" s="5" t="inlineStr">
        <is>
          <t>Asset #5 - Building</t>
        </is>
      </c>
      <c r="B54" s="16" t="n">
        <v>513.71</v>
      </c>
      <c r="C54" s="16" t="n">
        <v>101.7</v>
      </c>
      <c r="F54" s="16" t="n">
        <v>412.01</v>
      </c>
    </row>
    <row r="55">
      <c r="A55" s="5" t="inlineStr">
        <is>
          <t>Asset #3 - Land Improvements</t>
        </is>
      </c>
      <c r="B55" s="16" t="n">
        <v>26609.91</v>
      </c>
      <c r="C55" s="16" t="n">
        <v>5267.76</v>
      </c>
      <c r="F55" s="16" t="n">
        <v>21342.15</v>
      </c>
    </row>
    <row r="56">
      <c r="A56" s="5" t="inlineStr">
        <is>
          <t>Asset #4 - Equipment</t>
        </is>
      </c>
      <c r="B56" s="16" t="n">
        <v>48200.59</v>
      </c>
      <c r="C56" s="16" t="n">
        <v>9541.879999999999</v>
      </c>
      <c r="F56" s="16" t="n">
        <v>38658.71</v>
      </c>
    </row>
    <row r="57">
      <c r="A57" s="8" t="inlineStr">
        <is>
          <t>Total Allocation:</t>
        </is>
      </c>
      <c r="B57" s="14" t="n">
        <v>357389.52</v>
      </c>
      <c r="C57" s="14" t="n">
        <v>70749.60000000001</v>
      </c>
      <c r="F57" s="14" t="n">
        <v>286639.92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156654.5</v>
      </c>
    </row>
    <row r="61">
      <c r="A61" s="5" t="inlineStr">
        <is>
          <t>After Cost Segregation (Corrected)</t>
        </is>
      </c>
      <c r="B61" s="16" t="n">
        <v>164992.09</v>
      </c>
    </row>
    <row r="62">
      <c r="A62" s="9" t="inlineStr">
        <is>
          <t>Section 481(a) Adjustment</t>
        </is>
      </c>
      <c r="B62" s="21" t="n">
        <v>-8337.59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7759.94</v>
      </c>
      <c r="C16" s="16" t="n">
        <v>7759.94</v>
      </c>
    </row>
    <row r="17">
      <c r="A17" s="5" t="inlineStr">
        <is>
          <t>Moldings</t>
        </is>
      </c>
      <c r="B17" s="16" t="n">
        <v>4601.14</v>
      </c>
      <c r="C17" s="16" t="n">
        <v>4601.14</v>
      </c>
    </row>
    <row r="18">
      <c r="A18" s="5" t="inlineStr">
        <is>
          <t>Flooring - Vinyl Plank</t>
        </is>
      </c>
      <c r="B18" s="16" t="n">
        <v>18695.69</v>
      </c>
      <c r="C18" s="16" t="n">
        <v>18695.69</v>
      </c>
    </row>
    <row r="19">
      <c r="A19" s="5" t="inlineStr">
        <is>
          <t>Window Treatments</t>
        </is>
      </c>
      <c r="B19" s="16" t="n">
        <v>2235.2</v>
      </c>
      <c r="C19" s="16" t="n">
        <v>2235.2</v>
      </c>
    </row>
    <row r="20">
      <c r="A20" s="5" t="inlineStr">
        <is>
          <t>Specialty HVAC - Dryer Vents</t>
        </is>
      </c>
      <c r="B20" s="16" t="n">
        <v>274.94</v>
      </c>
      <c r="C20" s="16" t="n">
        <v>274.94</v>
      </c>
    </row>
    <row r="21">
      <c r="A21" s="5" t="inlineStr">
        <is>
          <t>Building Signage</t>
        </is>
      </c>
      <c r="B21" s="16" t="n">
        <v>120.68</v>
      </c>
      <c r="C21" s="16" t="n">
        <v>120.68</v>
      </c>
    </row>
    <row r="22">
      <c r="A22" s="5" t="inlineStr">
        <is>
          <t>Specialty Electrical - Appliances</t>
        </is>
      </c>
      <c r="B22" s="16" t="n">
        <v>4471.44</v>
      </c>
      <c r="C22" s="16" t="n">
        <v>4471.44</v>
      </c>
    </row>
    <row r="23">
      <c r="A23" s="5" t="inlineStr">
        <is>
          <t>Communication / Data</t>
        </is>
      </c>
      <c r="B23" s="16" t="n">
        <v>1633.14</v>
      </c>
      <c r="C23" s="16" t="n">
        <v>1633.14</v>
      </c>
    </row>
    <row r="24">
      <c r="A24" s="5" t="inlineStr">
        <is>
          <t>Specialty Plumbing - Kitchen Sinks / Laundry</t>
        </is>
      </c>
      <c r="B24" s="16" t="n">
        <v>5141.11</v>
      </c>
      <c r="C24" s="16" t="n">
        <v>5141.11</v>
      </c>
    </row>
    <row r="25">
      <c r="A25" s="5" t="inlineStr">
        <is>
          <t>Security / Exterior Lighting</t>
        </is>
      </c>
      <c r="B25" s="16" t="n">
        <v>1534.74</v>
      </c>
      <c r="C25" s="16" t="n">
        <v>1534.74</v>
      </c>
    </row>
    <row r="26">
      <c r="A26" s="5" t="inlineStr">
        <is>
          <t>Access Control</t>
        </is>
      </c>
      <c r="B26" s="16" t="n">
        <v>64.8</v>
      </c>
      <c r="C26" s="16" t="n">
        <v>64.8</v>
      </c>
    </row>
    <row r="27">
      <c r="A27" s="5" t="inlineStr">
        <is>
          <t>Appliances</t>
        </is>
      </c>
      <c r="B27" s="16" t="n">
        <v>5524.32</v>
      </c>
      <c r="C27" s="16" t="n">
        <v>5524.32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10400.92</v>
      </c>
      <c r="C30" s="16" t="n">
        <v>10400.92</v>
      </c>
    </row>
    <row r="31">
      <c r="A31" s="5" t="inlineStr">
        <is>
          <t>Foundations</t>
        </is>
      </c>
      <c r="B31" s="16" t="n">
        <v>19732.45</v>
      </c>
      <c r="C31" s="16" t="n">
        <v>19732.45</v>
      </c>
    </row>
    <row r="32">
      <c r="A32" s="5" t="inlineStr">
        <is>
          <t>HVAC</t>
        </is>
      </c>
      <c r="B32" s="16" t="n">
        <v>18076.85</v>
      </c>
      <c r="C32" s="16" t="n">
        <v>18076.85</v>
      </c>
    </row>
    <row r="33">
      <c r="A33" s="5" t="inlineStr">
        <is>
          <t>Electrical</t>
        </is>
      </c>
      <c r="B33" s="16" t="n">
        <v>19867.9</v>
      </c>
      <c r="C33" s="16" t="n">
        <v>19867.9</v>
      </c>
    </row>
    <row r="34">
      <c r="A34" s="5" t="inlineStr">
        <is>
          <t>Plumbing</t>
        </is>
      </c>
      <c r="B34" s="16" t="n">
        <v>15953.11</v>
      </c>
      <c r="C34" s="16" t="n">
        <v>15953.11</v>
      </c>
    </row>
    <row r="35">
      <c r="A35" s="5" t="inlineStr">
        <is>
          <t>Fire Protection &amp; Alarm</t>
        </is>
      </c>
      <c r="B35" s="16" t="n">
        <v>1077</v>
      </c>
      <c r="C35" s="16" t="n">
        <v>1077</v>
      </c>
    </row>
    <row r="36">
      <c r="A36" s="5" t="inlineStr">
        <is>
          <t>Exterior Façade / Building Skin</t>
        </is>
      </c>
      <c r="B36" s="16" t="n">
        <v>24515.03</v>
      </c>
      <c r="C36" s="16" t="n">
        <v>24515.03</v>
      </c>
    </row>
    <row r="37">
      <c r="A37" s="5" t="inlineStr">
        <is>
          <t>Doors &amp; Frames</t>
        </is>
      </c>
      <c r="B37" s="16" t="n">
        <v>18444.72</v>
      </c>
      <c r="C37" s="16" t="n">
        <v>18444.72</v>
      </c>
    </row>
    <row r="38">
      <c r="A38" s="5" t="inlineStr">
        <is>
          <t>Windows</t>
        </is>
      </c>
      <c r="B38" s="16" t="n">
        <v>11037.53</v>
      </c>
      <c r="C38" s="16" t="n">
        <v>11037.53</v>
      </c>
    </row>
    <row r="39">
      <c r="A39" s="5" t="inlineStr">
        <is>
          <t>Ceiling Systems</t>
        </is>
      </c>
      <c r="B39" s="16" t="n">
        <v>8326.32</v>
      </c>
      <c r="C39" s="16" t="n">
        <v>8326.32</v>
      </c>
    </row>
    <row r="40">
      <c r="A40" s="5" t="inlineStr">
        <is>
          <t>Interior Framing / Partitions</t>
        </is>
      </c>
      <c r="B40" s="16" t="n">
        <v>20278.2</v>
      </c>
      <c r="C40" s="16" t="n">
        <v>20278.2</v>
      </c>
    </row>
    <row r="41">
      <c r="A41" s="5" t="inlineStr">
        <is>
          <t>Painting</t>
        </is>
      </c>
      <c r="B41" s="16" t="n">
        <v>8613.969999999999</v>
      </c>
      <c r="C41" s="16" t="n">
        <v>8613.969999999999</v>
      </c>
    </row>
    <row r="42">
      <c r="A42" s="5" t="inlineStr">
        <is>
          <t>Gutter Systems</t>
        </is>
      </c>
      <c r="B42" s="16" t="n">
        <v>1343.51</v>
      </c>
      <c r="C42" s="16" t="n">
        <v>1343.51</v>
      </c>
    </row>
    <row r="43">
      <c r="A43" s="5" t="inlineStr">
        <is>
          <t>Structural Framing</t>
        </is>
      </c>
      <c r="B43" s="16" t="n">
        <v>27755.5</v>
      </c>
      <c r="C43" s="16" t="n">
        <v>27755.5</v>
      </c>
    </row>
    <row r="44">
      <c r="A44" s="5" t="inlineStr">
        <is>
          <t>Stairs / Balconies</t>
        </is>
      </c>
      <c r="B44" s="16" t="n">
        <v>6811.28</v>
      </c>
      <c r="C44" s="16" t="n">
        <v>6811.28</v>
      </c>
    </row>
    <row r="45">
      <c r="A45" s="5" t="inlineStr">
        <is>
          <t>Bathroom Accessories</t>
        </is>
      </c>
      <c r="B45" s="16" t="n">
        <v>1999.53</v>
      </c>
      <c r="C45" s="16" t="n">
        <v>1999.53</v>
      </c>
    </row>
    <row r="46">
      <c r="A46" s="5" t="inlineStr">
        <is>
          <t>Cabinets / Millwork - Restrooms</t>
        </is>
      </c>
      <c r="B46" s="16" t="n">
        <v>2564.71</v>
      </c>
      <c r="C46" s="16" t="n">
        <v>2564.71</v>
      </c>
    </row>
    <row r="47">
      <c r="A47" s="5" t="inlineStr"/>
      <c r="B47" s="16" t="n">
        <v>654</v>
      </c>
    </row>
    <row r="49">
      <c r="A49" s="8" t="inlineStr">
        <is>
          <t>Total Building Cost</t>
        </is>
      </c>
      <c r="B49" s="14" t="n">
        <v>268855.67</v>
      </c>
      <c r="C49" s="14" t="n">
        <v>52057.14</v>
      </c>
      <c r="F49" s="14" t="n">
        <v>216798.53</v>
      </c>
    </row>
    <row r="50">
      <c r="A50" s="12" t="inlineStr">
        <is>
          <t>% of Building Cost</t>
        </is>
      </c>
      <c r="C50" s="20" t="n">
        <v>0.194</v>
      </c>
      <c r="F50" s="20" t="n">
        <v>0.8059999999999999</v>
      </c>
    </row>
    <row r="52">
      <c r="A52" s="1" t="inlineStr">
        <is>
          <t>Asset Allocation:</t>
        </is>
      </c>
    </row>
    <row r="53">
      <c r="A53" s="5" t="inlineStr">
        <is>
          <t>Asset #1 - Building</t>
        </is>
      </c>
      <c r="B53" s="16" t="n">
        <v>212191.05</v>
      </c>
      <c r="C53" s="16" t="n">
        <v>41085.46</v>
      </c>
      <c r="F53" s="16" t="n">
        <v>171105.59</v>
      </c>
    </row>
    <row r="54">
      <c r="A54" s="5" t="inlineStr">
        <is>
          <t>Asset #5 - Building</t>
        </is>
      </c>
      <c r="B54" s="16" t="n">
        <v>386.45</v>
      </c>
      <c r="C54" s="16" t="n">
        <v>74.83</v>
      </c>
      <c r="F54" s="16" t="n">
        <v>311.62</v>
      </c>
    </row>
    <row r="55">
      <c r="A55" s="5" t="inlineStr">
        <is>
          <t>Asset #3 - Land Improvements</t>
        </is>
      </c>
      <c r="B55" s="16" t="n">
        <v>20018</v>
      </c>
      <c r="C55" s="16" t="n">
        <v>3875.98</v>
      </c>
      <c r="F55" s="16" t="n">
        <v>16142.02</v>
      </c>
    </row>
    <row r="56">
      <c r="A56" s="5" t="inlineStr">
        <is>
          <t>Asset #4 - Equipment</t>
        </is>
      </c>
      <c r="B56" s="16" t="n">
        <v>36260.17</v>
      </c>
      <c r="C56" s="16" t="n">
        <v>7020.87</v>
      </c>
      <c r="F56" s="16" t="n">
        <v>29239.3</v>
      </c>
    </row>
    <row r="57">
      <c r="A57" s="8" t="inlineStr">
        <is>
          <t>Total Allocation:</t>
        </is>
      </c>
      <c r="B57" s="14" t="n">
        <v>268855.67</v>
      </c>
      <c r="C57" s="14" t="n">
        <v>52057.14</v>
      </c>
      <c r="F57" s="14" t="n">
        <v>216798.53</v>
      </c>
    </row>
    <row r="59">
      <c r="A59" s="1" t="inlineStr">
        <is>
          <t>End Depreciation Reconciliation</t>
        </is>
      </c>
    </row>
    <row r="60">
      <c r="A60" s="5" t="inlineStr">
        <is>
          <t>Before Cost Segregation (As Previously Filed)</t>
        </is>
      </c>
      <c r="B60" s="16" t="n">
        <v>117847.47</v>
      </c>
    </row>
    <row r="61">
      <c r="A61" s="5" t="inlineStr">
        <is>
          <t>After Cost Segregation (Corrected)</t>
        </is>
      </c>
      <c r="B61" s="16" t="n">
        <v>123336.9</v>
      </c>
    </row>
    <row r="62">
      <c r="A62" s="9" t="inlineStr">
        <is>
          <t>Section 481(a) Adjustment</t>
        </is>
      </c>
      <c r="B62" s="21" t="n">
        <v>-5489.43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16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17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18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19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20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4785.17</v>
      </c>
      <c r="C16" s="16" t="n">
        <v>4785.17</v>
      </c>
    </row>
    <row r="17">
      <c r="A17" s="5" t="inlineStr">
        <is>
          <t>Moldings</t>
        </is>
      </c>
      <c r="B17" s="16" t="n">
        <v>1941.11</v>
      </c>
      <c r="C17" s="16" t="n">
        <v>1941.11</v>
      </c>
    </row>
    <row r="18">
      <c r="A18" s="5" t="inlineStr">
        <is>
          <t>Flooring - Vinyl Plank</t>
        </is>
      </c>
      <c r="B18" s="16" t="n">
        <v>7939.87</v>
      </c>
      <c r="C18" s="16" t="n">
        <v>7939.87</v>
      </c>
    </row>
    <row r="19">
      <c r="A19" s="5" t="inlineStr">
        <is>
          <t>Window Treatments</t>
        </is>
      </c>
      <c r="B19" s="16" t="n">
        <v>428.82</v>
      </c>
      <c r="C19" s="16" t="n">
        <v>428.82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693.58</v>
      </c>
      <c r="C23" s="16" t="n">
        <v>693.58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758.85</v>
      </c>
      <c r="C25" s="16" t="n">
        <v>758.85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6281.12</v>
      </c>
      <c r="C30" s="16" t="n">
        <v>6281.12</v>
      </c>
    </row>
    <row r="31">
      <c r="A31" s="5" t="inlineStr">
        <is>
          <t>Foundations</t>
        </is>
      </c>
      <c r="B31" s="16" t="n">
        <v>12157.7</v>
      </c>
      <c r="C31" s="16" t="n">
        <v>12157.7</v>
      </c>
    </row>
    <row r="32">
      <c r="A32" s="5" t="inlineStr">
        <is>
          <t>HVAC</t>
        </is>
      </c>
      <c r="B32" s="16" t="n">
        <v>7610.53</v>
      </c>
      <c r="C32" s="16" t="n">
        <v>7610.53</v>
      </c>
    </row>
    <row r="33">
      <c r="A33" s="5" t="inlineStr">
        <is>
          <t>Electrical</t>
        </is>
      </c>
      <c r="B33" s="16" t="n">
        <v>8437.690000000001</v>
      </c>
      <c r="C33" s="16" t="n">
        <v>8437.690000000001</v>
      </c>
    </row>
    <row r="34">
      <c r="A34" s="5" t="inlineStr">
        <is>
          <t>Plumbing</t>
        </is>
      </c>
      <c r="B34" s="16" t="n">
        <v>6775.13</v>
      </c>
      <c r="C34" s="16" t="n">
        <v>6775.13</v>
      </c>
    </row>
    <row r="35">
      <c r="A35" s="5" t="inlineStr">
        <is>
          <t>Fire Protection &amp; Alarm</t>
        </is>
      </c>
      <c r="B35" s="16" t="n">
        <v>378.96</v>
      </c>
      <c r="C35" s="16" t="n">
        <v>378.96</v>
      </c>
    </row>
    <row r="36">
      <c r="A36" s="5" t="inlineStr">
        <is>
          <t>Exterior Façade / Building Skin</t>
        </is>
      </c>
      <c r="B36" s="16" t="n">
        <v>10712.7</v>
      </c>
      <c r="C36" s="16" t="n">
        <v>10712.7</v>
      </c>
    </row>
    <row r="37">
      <c r="A37" s="5" t="inlineStr">
        <is>
          <t>Doors &amp; Frames</t>
        </is>
      </c>
      <c r="B37" s="16" t="n">
        <v>5035.68</v>
      </c>
      <c r="C37" s="16" t="n">
        <v>5035.68</v>
      </c>
    </row>
    <row r="38">
      <c r="A38" s="5" t="inlineStr">
        <is>
          <t>Windows</t>
        </is>
      </c>
      <c r="B38" s="16" t="n">
        <v>2117.51</v>
      </c>
      <c r="C38" s="16" t="n">
        <v>2117.51</v>
      </c>
    </row>
    <row r="39">
      <c r="A39" s="5" t="inlineStr">
        <is>
          <t>Ceiling Systems</t>
        </is>
      </c>
      <c r="B39" s="16" t="n">
        <v>3536.09</v>
      </c>
      <c r="C39" s="16" t="n">
        <v>3536.09</v>
      </c>
    </row>
    <row r="40">
      <c r="A40" s="5" t="inlineStr">
        <is>
          <t>Interior Framing / Partitions</t>
        </is>
      </c>
      <c r="B40" s="16" t="n">
        <v>8613.790000000001</v>
      </c>
      <c r="C40" s="16" t="n">
        <v>8613.790000000001</v>
      </c>
    </row>
    <row r="41">
      <c r="A41" s="5" t="inlineStr">
        <is>
          <t>Painting</t>
        </is>
      </c>
      <c r="B41" s="16" t="n">
        <v>3604.7</v>
      </c>
      <c r="C41" s="16" t="n">
        <v>3604.7</v>
      </c>
    </row>
    <row r="42">
      <c r="A42" s="5" t="inlineStr">
        <is>
          <t>Gutter Systems</t>
        </is>
      </c>
      <c r="B42" s="16" t="n">
        <v>868.78</v>
      </c>
      <c r="C42" s="16" t="n">
        <v>868.78</v>
      </c>
    </row>
    <row r="43">
      <c r="A43" s="5" t="inlineStr">
        <is>
          <t>Structural Framing</t>
        </is>
      </c>
      <c r="B43" s="16" t="n">
        <v>10912.49</v>
      </c>
      <c r="C43" s="16" t="n">
        <v>10912.49</v>
      </c>
    </row>
    <row r="44">
      <c r="A44" s="5" t="inlineStr">
        <is>
          <t>Bathroom Accessories</t>
        </is>
      </c>
      <c r="B44" s="16" t="n">
        <v>662.8</v>
      </c>
      <c r="C44" s="16" t="n">
        <v>662.8</v>
      </c>
    </row>
    <row r="45">
      <c r="A45" s="5" t="inlineStr">
        <is>
          <t>Cabinets / Millwork - Restrooms</t>
        </is>
      </c>
      <c r="B45" s="16" t="n">
        <v>811.5700000000001</v>
      </c>
      <c r="C45" s="16" t="n">
        <v>811.5700000000001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115479.14</v>
      </c>
      <c r="C48" s="14" t="n">
        <v>26961.9</v>
      </c>
      <c r="F48" s="14" t="n">
        <v>88517.24000000001</v>
      </c>
    </row>
    <row r="49">
      <c r="A49" s="12" t="inlineStr">
        <is>
          <t>% of Building Cost</t>
        </is>
      </c>
      <c r="C49" s="20" t="n">
        <v>0.233</v>
      </c>
      <c r="F49" s="20" t="n">
        <v>0.767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91140.5</v>
      </c>
      <c r="C52" s="16" t="n">
        <v>21279.35</v>
      </c>
      <c r="F52" s="16" t="n">
        <v>69861.14999999999</v>
      </c>
    </row>
    <row r="53">
      <c r="A53" s="5" t="inlineStr">
        <is>
          <t>Asset #5 - Building</t>
        </is>
      </c>
      <c r="B53" s="16" t="n">
        <v>165.99</v>
      </c>
      <c r="C53" s="16" t="n">
        <v>38.76</v>
      </c>
      <c r="F53" s="16" t="n">
        <v>127.23</v>
      </c>
    </row>
    <row r="54">
      <c r="A54" s="5" t="inlineStr">
        <is>
          <t>Asset #3 - Land Improvements</t>
        </is>
      </c>
      <c r="B54" s="16" t="n">
        <v>8598.15</v>
      </c>
      <c r="C54" s="16" t="n">
        <v>2007.48</v>
      </c>
      <c r="F54" s="16" t="n">
        <v>6590.67</v>
      </c>
    </row>
    <row r="55">
      <c r="A55" s="5" t="inlineStr">
        <is>
          <t>Asset #4 - Equipment</t>
        </is>
      </c>
      <c r="B55" s="16" t="n">
        <v>15574.5</v>
      </c>
      <c r="C55" s="16" t="n">
        <v>3636.31</v>
      </c>
      <c r="F55" s="16" t="n">
        <v>11938.19</v>
      </c>
    </row>
    <row r="56">
      <c r="A56" s="8" t="inlineStr">
        <is>
          <t>Total Allocation:</t>
        </is>
      </c>
      <c r="B56" s="14" t="n">
        <v>115479.14</v>
      </c>
      <c r="C56" s="14" t="n">
        <v>26961.9</v>
      </c>
      <c r="F56" s="14" t="n">
        <v>88517.24000000001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50617.97</v>
      </c>
    </row>
    <row r="60">
      <c r="A60" s="5" t="inlineStr">
        <is>
          <t>After Cost Segregation (Corrected)</t>
        </is>
      </c>
      <c r="B60" s="16" t="n">
        <v>56065.03</v>
      </c>
    </row>
    <row r="61">
      <c r="A61" s="9" t="inlineStr">
        <is>
          <t>Section 481(a) Adjustment</t>
        </is>
      </c>
      <c r="B61" s="21" t="n">
        <v>-5447.06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21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22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23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24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Building 25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6">
      <c r="A16" s="5" t="inlineStr">
        <is>
          <t>Cabinets / Millwork</t>
        </is>
      </c>
      <c r="B16" s="16" t="n">
        <v>4901.61</v>
      </c>
      <c r="C16" s="16" t="n">
        <v>4901.61</v>
      </c>
    </row>
    <row r="17">
      <c r="A17" s="5" t="inlineStr">
        <is>
          <t>Moldings</t>
        </is>
      </c>
      <c r="B17" s="16" t="n">
        <v>2185.54</v>
      </c>
      <c r="C17" s="16" t="n">
        <v>2185.54</v>
      </c>
    </row>
    <row r="18">
      <c r="A18" s="5" t="inlineStr">
        <is>
          <t>Flooring - Vinyl Plank</t>
        </is>
      </c>
      <c r="B18" s="16" t="n">
        <v>11385.26</v>
      </c>
      <c r="C18" s="16" t="n">
        <v>11385.26</v>
      </c>
    </row>
    <row r="19">
      <c r="A19" s="5" t="inlineStr">
        <is>
          <t>Window Treatments</t>
        </is>
      </c>
      <c r="B19" s="16" t="n">
        <v>589.62</v>
      </c>
      <c r="C19" s="16" t="n">
        <v>589.62</v>
      </c>
    </row>
    <row r="20">
      <c r="A20" s="5" t="inlineStr">
        <is>
          <t>Specialty HVAC - Dryer Vents</t>
        </is>
      </c>
      <c r="B20" s="16" t="n">
        <v>183.29</v>
      </c>
      <c r="C20" s="16" t="n">
        <v>183.29</v>
      </c>
    </row>
    <row r="21">
      <c r="A21" s="5" t="inlineStr">
        <is>
          <t>Building Signage</t>
        </is>
      </c>
      <c r="B21" s="16" t="n">
        <v>96.76000000000001</v>
      </c>
      <c r="C21" s="16" t="n">
        <v>96.76000000000001</v>
      </c>
    </row>
    <row r="22">
      <c r="A22" s="5" t="inlineStr">
        <is>
          <t>Specialty Electrical - Appliances</t>
        </is>
      </c>
      <c r="B22" s="16" t="n">
        <v>2980.97</v>
      </c>
      <c r="C22" s="16" t="n">
        <v>2980.97</v>
      </c>
    </row>
    <row r="23">
      <c r="A23" s="5" t="inlineStr">
        <is>
          <t>Communication / Data</t>
        </is>
      </c>
      <c r="B23" s="16" t="n">
        <v>994.55</v>
      </c>
      <c r="C23" s="16" t="n">
        <v>994.55</v>
      </c>
    </row>
    <row r="24">
      <c r="A24" s="5" t="inlineStr">
        <is>
          <t>Specialty Plumbing - Kitchen Sinks / Laundry</t>
        </is>
      </c>
      <c r="B24" s="16" t="n">
        <v>3427.41</v>
      </c>
      <c r="C24" s="16" t="n">
        <v>3427.41</v>
      </c>
    </row>
    <row r="25">
      <c r="A25" s="5" t="inlineStr">
        <is>
          <t>Security / Exterior Lighting</t>
        </is>
      </c>
      <c r="B25" s="16" t="n">
        <v>428.96</v>
      </c>
      <c r="C25" s="16" t="n">
        <v>428.96</v>
      </c>
    </row>
    <row r="26">
      <c r="A26" s="5" t="inlineStr">
        <is>
          <t>Access Control</t>
        </is>
      </c>
      <c r="B26" s="16" t="n">
        <v>43.2</v>
      </c>
      <c r="C26" s="16" t="n">
        <v>43.2</v>
      </c>
    </row>
    <row r="27">
      <c r="A27" s="5" t="inlineStr">
        <is>
          <t>Appliances</t>
        </is>
      </c>
      <c r="B27" s="16" t="n">
        <v>3682.87</v>
      </c>
      <c r="C27" s="16" t="n">
        <v>3682.87</v>
      </c>
    </row>
    <row r="29">
      <c r="A29" s="13" t="inlineStr">
        <is>
          <t>Building Structure</t>
        </is>
      </c>
    </row>
    <row r="30">
      <c r="A30" s="5" t="inlineStr">
        <is>
          <t>Roofing Systems</t>
        </is>
      </c>
      <c r="B30" s="16" t="n">
        <v>8561.68</v>
      </c>
      <c r="C30" s="16" t="n">
        <v>8561.68</v>
      </c>
    </row>
    <row r="31">
      <c r="A31" s="5" t="inlineStr">
        <is>
          <t>Foundations</t>
        </is>
      </c>
      <c r="B31" s="16" t="n">
        <v>16225.62</v>
      </c>
      <c r="C31" s="16" t="n">
        <v>16225.62</v>
      </c>
    </row>
    <row r="32">
      <c r="A32" s="5" t="inlineStr">
        <is>
          <t>HVAC</t>
        </is>
      </c>
      <c r="B32" s="16" t="n">
        <v>10992.55</v>
      </c>
      <c r="C32" s="16" t="n">
        <v>10992.55</v>
      </c>
    </row>
    <row r="33">
      <c r="A33" s="5" t="inlineStr">
        <is>
          <t>Electrical</t>
        </is>
      </c>
      <c r="B33" s="16" t="n">
        <v>12099.12</v>
      </c>
      <c r="C33" s="16" t="n">
        <v>12099.12</v>
      </c>
    </row>
    <row r="34">
      <c r="A34" s="5" t="inlineStr">
        <is>
          <t>Plumbing</t>
        </is>
      </c>
      <c r="B34" s="16" t="n">
        <v>9715.1</v>
      </c>
      <c r="C34" s="16" t="n">
        <v>9715.1</v>
      </c>
    </row>
    <row r="35">
      <c r="A35" s="5" t="inlineStr">
        <is>
          <t>Fire Protection &amp; Alarm</t>
        </is>
      </c>
      <c r="B35" s="16" t="n">
        <v>548.48</v>
      </c>
      <c r="C35" s="16" t="n">
        <v>548.48</v>
      </c>
    </row>
    <row r="36">
      <c r="A36" s="5" t="inlineStr">
        <is>
          <t>Exterior Façade / Building Skin</t>
        </is>
      </c>
      <c r="B36" s="16" t="n">
        <v>12559.71</v>
      </c>
      <c r="C36" s="16" t="n">
        <v>12559.71</v>
      </c>
    </row>
    <row r="37">
      <c r="A37" s="5" t="inlineStr">
        <is>
          <t>Doors &amp; Frames</t>
        </is>
      </c>
      <c r="B37" s="16" t="n">
        <v>5680.09</v>
      </c>
      <c r="C37" s="16" t="n">
        <v>5680.09</v>
      </c>
    </row>
    <row r="38">
      <c r="A38" s="5" t="inlineStr">
        <is>
          <t>Windows</t>
        </is>
      </c>
      <c r="B38" s="16" t="n">
        <v>2911.57</v>
      </c>
      <c r="C38" s="16" t="n">
        <v>2911.57</v>
      </c>
    </row>
    <row r="39">
      <c r="A39" s="5" t="inlineStr">
        <is>
          <t>Ceiling Systems</t>
        </is>
      </c>
      <c r="B39" s="16" t="n">
        <v>5070.55</v>
      </c>
      <c r="C39" s="16" t="n">
        <v>5070.55</v>
      </c>
    </row>
    <row r="40">
      <c r="A40" s="5" t="inlineStr">
        <is>
          <t>Interior Framing / Partitions</t>
        </is>
      </c>
      <c r="B40" s="16" t="n">
        <v>9837.360000000001</v>
      </c>
      <c r="C40" s="16" t="n">
        <v>9837.360000000001</v>
      </c>
    </row>
    <row r="41">
      <c r="A41" s="5" t="inlineStr">
        <is>
          <t>Painting</t>
        </is>
      </c>
      <c r="B41" s="16" t="n">
        <v>4408.6</v>
      </c>
      <c r="C41" s="16" t="n">
        <v>4408.6</v>
      </c>
    </row>
    <row r="42">
      <c r="A42" s="5" t="inlineStr">
        <is>
          <t>Gutter Systems</t>
        </is>
      </c>
      <c r="B42" s="16" t="n">
        <v>1012.22</v>
      </c>
      <c r="C42" s="16" t="n">
        <v>1012.22</v>
      </c>
    </row>
    <row r="43">
      <c r="A43" s="5" t="inlineStr">
        <is>
          <t>Structural Framing</t>
        </is>
      </c>
      <c r="B43" s="16" t="n">
        <v>14327.98</v>
      </c>
      <c r="C43" s="16" t="n">
        <v>14327.98</v>
      </c>
    </row>
    <row r="44">
      <c r="A44" s="5" t="inlineStr">
        <is>
          <t>Bathroom Accessories</t>
        </is>
      </c>
      <c r="B44" s="16" t="n">
        <v>1332.99</v>
      </c>
      <c r="C44" s="16" t="n">
        <v>1332.99</v>
      </c>
    </row>
    <row r="45">
      <c r="A45" s="5" t="inlineStr">
        <is>
          <t>Cabinets / Millwork - Restrooms</t>
        </is>
      </c>
      <c r="B45" s="16" t="n">
        <v>1709.81</v>
      </c>
      <c r="C45" s="16" t="n">
        <v>1709.81</v>
      </c>
    </row>
    <row r="46">
      <c r="A46" s="5" t="inlineStr"/>
      <c r="B46" s="16" t="n">
        <v>654</v>
      </c>
    </row>
    <row r="48">
      <c r="A48" s="8" t="inlineStr">
        <is>
          <t>Total Building Cost</t>
        </is>
      </c>
      <c r="B48" s="14" t="n">
        <v>147893.47</v>
      </c>
      <c r="C48" s="14" t="n">
        <v>30900.04</v>
      </c>
      <c r="F48" s="14" t="n">
        <v>116993.43</v>
      </c>
    </row>
    <row r="49">
      <c r="A49" s="12" t="inlineStr">
        <is>
          <t>% of Building Cost</t>
        </is>
      </c>
      <c r="C49" s="20" t="n">
        <v>0.209</v>
      </c>
      <c r="F49" s="20" t="n">
        <v>0.7909999999999999</v>
      </c>
    </row>
    <row r="51">
      <c r="A51" s="1" t="inlineStr">
        <is>
          <t>Asset Allocation:</t>
        </is>
      </c>
    </row>
    <row r="52">
      <c r="A52" s="5" t="inlineStr">
        <is>
          <t>Asset #1 - Building</t>
        </is>
      </c>
      <c r="B52" s="16" t="n">
        <v>116723.12</v>
      </c>
      <c r="C52" s="16" t="n">
        <v>24387.48</v>
      </c>
      <c r="F52" s="16" t="n">
        <v>92335.64</v>
      </c>
    </row>
    <row r="53">
      <c r="A53" s="5" t="inlineStr">
        <is>
          <t>Asset #5 - Building</t>
        </is>
      </c>
      <c r="B53" s="16" t="n">
        <v>212.58</v>
      </c>
      <c r="C53" s="16" t="n">
        <v>44.42</v>
      </c>
      <c r="F53" s="16" t="n">
        <v>168.16</v>
      </c>
    </row>
    <row r="54">
      <c r="A54" s="5" t="inlineStr">
        <is>
          <t>Asset #3 - Land Improvements</t>
        </is>
      </c>
      <c r="B54" s="16" t="n">
        <v>11011.6</v>
      </c>
      <c r="C54" s="16" t="n">
        <v>2300.7</v>
      </c>
      <c r="F54" s="16" t="n">
        <v>8710.9</v>
      </c>
    </row>
    <row r="55">
      <c r="A55" s="5" t="inlineStr">
        <is>
          <t>Asset #4 - Equipment</t>
        </is>
      </c>
      <c r="B55" s="16" t="n">
        <v>19946.17</v>
      </c>
      <c r="C55" s="16" t="n">
        <v>4167.44</v>
      </c>
      <c r="F55" s="16" t="n">
        <v>15778.73</v>
      </c>
    </row>
    <row r="56">
      <c r="A56" s="8" t="inlineStr">
        <is>
          <t>Total Allocation:</t>
        </is>
      </c>
      <c r="B56" s="14" t="n">
        <v>147893.47</v>
      </c>
      <c r="C56" s="14" t="n">
        <v>30900.04</v>
      </c>
      <c r="F56" s="14" t="n">
        <v>116993.43</v>
      </c>
    </row>
    <row r="58">
      <c r="A58" s="1" t="inlineStr">
        <is>
          <t>End Depreciation Reconciliation</t>
        </is>
      </c>
    </row>
    <row r="59">
      <c r="A59" s="5" t="inlineStr">
        <is>
          <t>Before Cost Segregation (As Previously Filed)</t>
        </is>
      </c>
      <c r="B59" s="16" t="n">
        <v>64826.13</v>
      </c>
    </row>
    <row r="60">
      <c r="A60" s="5" t="inlineStr">
        <is>
          <t>After Cost Segregation (Corrected)</t>
        </is>
      </c>
      <c r="B60" s="16" t="n">
        <v>69365.5</v>
      </c>
    </row>
    <row r="61">
      <c r="A61" s="9" t="inlineStr">
        <is>
          <t>Section 481(a) Adjustment</t>
        </is>
      </c>
      <c r="B61" s="21" t="n">
        <v>-4539.37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Storage</t>
        </is>
      </c>
    </row>
    <row r="8">
      <c r="A8" s="12" t="inlineStr">
        <is>
          <t>Cost Segregation Study - Component Detail</t>
        </is>
      </c>
    </row>
    <row r="13">
      <c r="A13" s="3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5">
      <c r="A15" s="13" t="inlineStr">
        <is>
          <t>Building Components</t>
        </is>
      </c>
    </row>
    <row r="17">
      <c r="A17" s="13" t="inlineStr">
        <is>
          <t>Building Structure</t>
        </is>
      </c>
    </row>
    <row r="18">
      <c r="A18" s="5" t="inlineStr"/>
      <c r="B18" s="16" t="n">
        <v>654</v>
      </c>
    </row>
    <row r="20">
      <c r="A20" s="8" t="inlineStr">
        <is>
          <t>Total Building Cost</t>
        </is>
      </c>
      <c r="B20" s="14" t="n">
        <v>16381.44</v>
      </c>
      <c r="C20" s="14" t="n">
        <v>466.64</v>
      </c>
      <c r="F20" s="14" t="n">
        <v>15914.8</v>
      </c>
    </row>
    <row r="21">
      <c r="A21" s="12" t="inlineStr">
        <is>
          <t>% of Building Cost</t>
        </is>
      </c>
      <c r="C21" s="20" t="n">
        <v>0.028</v>
      </c>
      <c r="F21" s="20" t="n">
        <v>0.972</v>
      </c>
    </row>
    <row r="23">
      <c r="A23" s="1" t="inlineStr">
        <is>
          <t>Asset Allocation:</t>
        </is>
      </c>
    </row>
    <row r="24">
      <c r="A24" s="5" t="inlineStr">
        <is>
          <t>Asset #1 - Building</t>
        </is>
      </c>
      <c r="B24" s="16" t="n">
        <v>12928.85</v>
      </c>
      <c r="C24" s="16" t="n">
        <v>368.29</v>
      </c>
      <c r="F24" s="16" t="n">
        <v>12560.56</v>
      </c>
    </row>
    <row r="25">
      <c r="A25" s="5" t="inlineStr">
        <is>
          <t>Asset #5 - Building</t>
        </is>
      </c>
      <c r="B25" s="16" t="n">
        <v>23.55</v>
      </c>
      <c r="C25" s="16" t="n">
        <v>0.67</v>
      </c>
      <c r="F25" s="16" t="n">
        <v>22.88</v>
      </c>
    </row>
    <row r="26">
      <c r="A26" s="5" t="inlineStr">
        <is>
          <t>Asset #3 - Land Improvements</t>
        </is>
      </c>
      <c r="B26" s="16" t="n">
        <v>1219.7</v>
      </c>
      <c r="C26" s="16" t="n">
        <v>34.74</v>
      </c>
      <c r="F26" s="16" t="n">
        <v>1184.96</v>
      </c>
    </row>
    <row r="27">
      <c r="A27" s="5" t="inlineStr">
        <is>
          <t>Asset #4 - Equipment</t>
        </is>
      </c>
      <c r="B27" s="16" t="n">
        <v>2209.34</v>
      </c>
      <c r="C27" s="16" t="n">
        <v>62.94</v>
      </c>
      <c r="F27" s="16" t="n">
        <v>2146.4</v>
      </c>
    </row>
    <row r="28">
      <c r="A28" s="8" t="inlineStr">
        <is>
          <t>Total Allocation:</t>
        </is>
      </c>
      <c r="B28" s="14" t="n">
        <v>16381.44</v>
      </c>
      <c r="C28" s="14" t="n">
        <v>466.64</v>
      </c>
      <c r="F28" s="14" t="n">
        <v>15914.8</v>
      </c>
    </row>
    <row r="30">
      <c r="A30" s="1" t="inlineStr">
        <is>
          <t>End Depreciation Reconciliation</t>
        </is>
      </c>
    </row>
    <row r="31">
      <c r="A31" s="5" t="inlineStr">
        <is>
          <t>Before Cost Segregation (As Previously Filed)</t>
        </is>
      </c>
      <c r="B31" s="16" t="n">
        <v>7180.48</v>
      </c>
    </row>
    <row r="32">
      <c r="A32" s="5" t="inlineStr">
        <is>
          <t>After Cost Segregation (Corrected)</t>
        </is>
      </c>
      <c r="B32" s="16" t="n">
        <v>5699.17</v>
      </c>
    </row>
    <row r="33">
      <c r="A33" s="9" t="inlineStr">
        <is>
          <t>Section 481(a) Adjustment</t>
        </is>
      </c>
      <c r="B33" s="21" t="n">
        <v>1481.31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2026-06-22T23:30:01Z</dcterms:modified>
</cp:coreProperties>
</file>