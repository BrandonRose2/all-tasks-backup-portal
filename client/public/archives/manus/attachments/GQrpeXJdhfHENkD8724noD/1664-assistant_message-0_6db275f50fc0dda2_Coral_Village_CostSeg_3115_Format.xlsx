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Site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Site Components</t>
        </is>
      </c>
    </row>
    <row r="16">
      <c r="A16" s="6" t="inlineStr">
        <is>
          <t>Movable Shed</t>
        </is>
      </c>
      <c r="B16" s="8" t="n">
        <v>1686.45</v>
      </c>
      <c r="D16" s="8" t="n">
        <v>1686.45</v>
      </c>
    </row>
    <row r="17">
      <c r="A17" s="6" t="inlineStr">
        <is>
          <t>Site Drainage</t>
        </is>
      </c>
      <c r="B17" s="8" t="n">
        <v>39048.7</v>
      </c>
      <c r="E17" s="8" t="n">
        <v>39048.7</v>
      </c>
    </row>
    <row r="18">
      <c r="A18" s="6" t="inlineStr">
        <is>
          <t>Parking Lot</t>
        </is>
      </c>
      <c r="B18" s="8" t="n">
        <v>153576.44</v>
      </c>
      <c r="E18" s="8" t="n">
        <v>153576.44</v>
      </c>
    </row>
    <row r="19">
      <c r="A19" s="6" t="inlineStr">
        <is>
          <t>Exterior Signage</t>
        </is>
      </c>
      <c r="B19" s="8" t="n">
        <v>4980.7</v>
      </c>
      <c r="E19" s="8" t="n">
        <v>4980.7</v>
      </c>
    </row>
    <row r="20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>
      <c r="A21" s="6" t="inlineStr">
        <is>
          <t>Sidewalks / Curbs</t>
        </is>
      </c>
      <c r="B21" s="8" t="n">
        <v>84027.83</v>
      </c>
      <c r="E21" s="8" t="n">
        <v>84027.83</v>
      </c>
    </row>
    <row r="22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>
      <c r="A23" s="6" t="inlineStr">
        <is>
          <t>Security Lighting Poles</t>
        </is>
      </c>
      <c r="B23" s="8" t="n">
        <v>20401.97</v>
      </c>
      <c r="E23" s="8" t="n">
        <v>20401.97</v>
      </c>
    </row>
    <row r="24">
      <c r="A24" s="6" t="inlineStr">
        <is>
          <t>Exterior Fencing</t>
        </is>
      </c>
      <c r="B24" s="8" t="n">
        <v>1644.48</v>
      </c>
      <c r="E24" s="8" t="n">
        <v>1644.48</v>
      </c>
    </row>
    <row r="25">
      <c r="A25" s="6" t="inlineStr">
        <is>
          <t>Dumpster Enclosures</t>
        </is>
      </c>
      <c r="B25" s="8" t="n">
        <v>11153.66</v>
      </c>
      <c r="E25" s="8" t="n">
        <v>11153.66</v>
      </c>
    </row>
    <row r="26">
      <c r="A26" s="6" t="inlineStr">
        <is>
          <t>Swimming Pool</t>
        </is>
      </c>
      <c r="B26" s="8" t="n">
        <v>24156.38</v>
      </c>
      <c r="E26" s="8" t="n">
        <v>24156.38</v>
      </c>
    </row>
    <row r="27">
      <c r="A27" s="6" t="inlineStr">
        <is>
          <t>Fire Hydrants</t>
        </is>
      </c>
      <c r="B27" s="8" t="n">
        <v>8313.83</v>
      </c>
      <c r="E27" s="8" t="n">
        <v>8313.83</v>
      </c>
    </row>
    <row r="28">
      <c r="A28" s="6" t="inlineStr">
        <is>
          <t>Wood Bridge</t>
        </is>
      </c>
      <c r="B28" s="8" t="n">
        <v>424.82</v>
      </c>
      <c r="E28" s="8" t="n">
        <v>424.82</v>
      </c>
    </row>
    <row r="29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>
      <c r="A30" s="6" t="inlineStr">
        <is>
          <t>Mailboxes</t>
        </is>
      </c>
      <c r="B30" s="8" t="n">
        <v>10157.17</v>
      </c>
      <c r="E30" s="8" t="n">
        <v>10157.17</v>
      </c>
    </row>
    <row r="31">
      <c r="A31" s="11" t="inlineStr">
        <is>
          <t>Site Utilities</t>
        </is>
      </c>
    </row>
    <row r="32">
      <c r="A32" s="6" t="inlineStr">
        <is>
          <t>Site Utilities</t>
        </is>
      </c>
      <c r="B32" s="8" t="n">
        <v>313548.45</v>
      </c>
      <c r="F32" s="8" t="n">
        <v>313548.45</v>
      </c>
    </row>
    <row r="34">
      <c r="A34" s="9" t="inlineStr">
        <is>
          <t>Total Site Cost</t>
        </is>
      </c>
      <c r="B34" s="10" t="n">
        <v>697363.3</v>
      </c>
      <c r="D34" s="10" t="n">
        <v>1686.45</v>
      </c>
      <c r="E34" s="10" t="n">
        <v>382128.4</v>
      </c>
      <c r="F34" s="10" t="n">
        <v>313548.45</v>
      </c>
    </row>
    <row r="35">
      <c r="A35" s="3" t="inlineStr">
        <is>
          <t>% of Site Cost</t>
        </is>
      </c>
      <c r="D35" s="26" t="n">
        <v>0.002</v>
      </c>
      <c r="E35" s="26" t="n">
        <v>0.548</v>
      </c>
      <c r="F35" s="26" t="n">
        <v>0.45</v>
      </c>
    </row>
    <row r="36">
      <c r="A36" s="27" t="inlineStr">
        <is>
          <t>TOTALS</t>
        </is>
      </c>
      <c r="B36" s="13">
        <f>SUM(B16:B33)</f>
        <v/>
      </c>
      <c r="C36" s="13">
        <f>SUM(C16:C33)</f>
        <v/>
      </c>
      <c r="E36" s="27" t="inlineStr">
        <is>
          <t>TOTALS</t>
        </is>
      </c>
      <c r="F36" s="13">
        <f>SUM(F16:F33)</f>
        <v/>
      </c>
    </row>
    <row r="37">
      <c r="A37" s="24" t="inlineStr">
        <is>
          <t>Asset Allocation:</t>
        </is>
      </c>
    </row>
    <row r="38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>
      <c r="A41" s="18" t="inlineStr">
        <is>
          <t>Total Allocation:</t>
        </is>
      </c>
      <c r="B41" s="20" t="n">
        <v>697363.3</v>
      </c>
      <c r="D41" s="20" t="n">
        <v>1686.45</v>
      </c>
      <c r="E41" s="20" t="n">
        <v>382128.4</v>
      </c>
      <c r="F41" s="20" t="n">
        <v>313548.45</v>
      </c>
    </row>
    <row r="42">
      <c r="A42" s="27" t="inlineStr">
        <is>
          <t>TOTALS</t>
        </is>
      </c>
      <c r="B42" s="13">
        <f>SUM(B38:B40)</f>
        <v/>
      </c>
      <c r="C42" s="13">
        <f>SUM(C38:C40)</f>
        <v/>
      </c>
      <c r="E42" s="27" t="inlineStr">
        <is>
          <t>TOTALS</t>
        </is>
      </c>
      <c r="F42" s="13">
        <f>SUM(F38:F40)</f>
        <v/>
      </c>
    </row>
    <row r="46">
      <c r="A46" s="16" t="inlineStr">
        <is>
          <t>End Depreciation Reconciliation</t>
        </is>
      </c>
    </row>
    <row r="47">
      <c r="A47" s="9" t="inlineStr">
        <is>
          <t>Before Cost Segregation (As Previously Filed)</t>
        </is>
      </c>
    </row>
    <row r="48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>
      <c r="A52" s="9" t="inlineStr">
        <is>
          <t>Grand Total</t>
        </is>
      </c>
      <c r="B52" s="10" t="n">
        <v>697363.3</v>
      </c>
      <c r="C52" s="10" t="n">
        <v>166356.23</v>
      </c>
      <c r="D52" s="10" t="n">
        <v>210606.86</v>
      </c>
      <c r="E52" s="10" t="n">
        <v>19309.42</v>
      </c>
      <c r="F52" s="10" t="n">
        <v>229916.28</v>
      </c>
      <c r="G52" s="10" t="n">
        <v>467447.02</v>
      </c>
    </row>
    <row r="54">
      <c r="A54" s="18" t="inlineStr">
        <is>
          <t>After Cost Segregation Correction</t>
        </is>
      </c>
    </row>
    <row r="55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1284.15</v>
      </c>
      <c r="H56" s="5" t="inlineStr">
        <is>
          <t>200DB</t>
        </is>
      </c>
      <c r="I56" s="28" t="n">
        <v>7</v>
      </c>
    </row>
    <row r="57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290971.55</v>
      </c>
      <c r="H57" s="5" t="inlineStr">
        <is>
          <t>150DB</t>
        </is>
      </c>
      <c r="I57" s="28" t="n">
        <v>15</v>
      </c>
    </row>
    <row r="58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28577.82</v>
      </c>
      <c r="H58" s="5" t="inlineStr">
        <is>
          <t>S/L</t>
        </is>
      </c>
      <c r="I58" s="28" t="n">
        <v>27.5</v>
      </c>
    </row>
    <row r="59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139.93</v>
      </c>
      <c r="H59" s="5" t="inlineStr">
        <is>
          <t>200DB</t>
        </is>
      </c>
      <c r="I59" s="28" t="n">
        <v>7</v>
      </c>
    </row>
    <row r="60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31706.69</v>
      </c>
      <c r="H60" s="5" t="inlineStr">
        <is>
          <t>150DB</t>
        </is>
      </c>
      <c r="I60" s="28" t="n">
        <v>15</v>
      </c>
    </row>
    <row r="6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3114.08</v>
      </c>
      <c r="H61" s="5" t="inlineStr">
        <is>
          <t>S/L</t>
        </is>
      </c>
      <c r="I61" s="28" t="n">
        <v>27.5</v>
      </c>
    </row>
    <row r="62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262.37</v>
      </c>
      <c r="H62" s="5" t="inlineStr">
        <is>
          <t>200DB</t>
        </is>
      </c>
      <c r="I62" s="28" t="n">
        <v>7</v>
      </c>
    </row>
    <row r="63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59450.16</v>
      </c>
      <c r="H63" s="5" t="inlineStr">
        <is>
          <t>150DB</t>
        </is>
      </c>
      <c r="I63" s="28" t="n">
        <v>15</v>
      </c>
    </row>
    <row r="64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5838.89</v>
      </c>
      <c r="H64" s="5" t="inlineStr">
        <is>
          <t>S/L</t>
        </is>
      </c>
      <c r="I64" s="28" t="n">
        <v>27.5</v>
      </c>
    </row>
    <row r="65">
      <c r="A65" s="18" t="inlineStr">
        <is>
          <t>Grand Total</t>
        </is>
      </c>
      <c r="B65" s="20" t="n">
        <v>697363.3</v>
      </c>
      <c r="C65" s="20" t="n">
        <v>383814.85</v>
      </c>
      <c r="D65" s="20" t="n">
        <v>409943.88</v>
      </c>
      <c r="E65" s="20" t="n">
        <v>11401.76</v>
      </c>
      <c r="F65" s="20" t="n">
        <v>421345.64</v>
      </c>
      <c r="G65" s="20" t="n">
        <v>276017.66</v>
      </c>
    </row>
    <row r="67">
      <c r="A67" s="16" t="inlineStr">
        <is>
          <t>Section 481(a) Adjustment</t>
        </is>
      </c>
    </row>
    <row r="68">
      <c r="A68" s="25" t="inlineStr">
        <is>
          <t>Depreciation Reported Previously</t>
        </is>
      </c>
      <c r="B68" s="29" t="n">
        <v>229916.28</v>
      </c>
    </row>
    <row r="69">
      <c r="A69" s="25" t="inlineStr">
        <is>
          <t>Cost Segregation Corrected Depreciation</t>
        </is>
      </c>
      <c r="B69" s="29" t="n">
        <v>421345.64</v>
      </c>
    </row>
    <row r="70">
      <c r="A70" s="21" t="inlineStr">
        <is>
          <t>Section 481(a) Adjustment</t>
        </is>
      </c>
      <c r="B70" s="23" t="n">
        <v>-191429.36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1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26445.19</v>
      </c>
      <c r="C16" s="8" t="n">
        <v>26445.19</v>
      </c>
    </row>
    <row r="17">
      <c r="A17" s="6" t="inlineStr">
        <is>
          <t>Moldings</t>
        </is>
      </c>
      <c r="B17" s="8" t="n">
        <v>4635.69</v>
      </c>
      <c r="C17" s="8" t="n">
        <v>4635.69</v>
      </c>
    </row>
    <row r="18">
      <c r="A18" s="6" t="inlineStr">
        <is>
          <t>Flooring - Carpet</t>
        </is>
      </c>
      <c r="B18" s="8" t="n">
        <v>9118.09</v>
      </c>
      <c r="C18" s="8" t="n">
        <v>9118.09</v>
      </c>
    </row>
    <row r="19">
      <c r="A19" s="6" t="inlineStr">
        <is>
          <t>Flooring - Vinyl Plank</t>
        </is>
      </c>
      <c r="B19" s="8" t="n">
        <v>17166.07</v>
      </c>
      <c r="C19" s="8" t="n">
        <v>17166.07</v>
      </c>
    </row>
    <row r="20">
      <c r="A20" s="6" t="inlineStr">
        <is>
          <t>Door &amp; Window Guards</t>
        </is>
      </c>
      <c r="B20" s="8" t="n">
        <v>2842.52</v>
      </c>
      <c r="C20" s="8" t="n">
        <v>2842.52</v>
      </c>
    </row>
    <row r="21">
      <c r="A21" s="6" t="inlineStr">
        <is>
          <t>Window Treatments</t>
        </is>
      </c>
      <c r="B21" s="8" t="n">
        <v>2418.44</v>
      </c>
      <c r="C21" s="8" t="n">
        <v>2418.44</v>
      </c>
    </row>
    <row r="22">
      <c r="A22" s="6" t="inlineStr">
        <is>
          <t>Specialty HVAC - Dryer Vents</t>
        </is>
      </c>
      <c r="B22" s="8" t="n">
        <v>718.3</v>
      </c>
      <c r="C22" s="8" t="n">
        <v>718.3</v>
      </c>
    </row>
    <row r="23">
      <c r="A23" s="6" t="inlineStr">
        <is>
          <t>Building Signage</t>
        </is>
      </c>
      <c r="B23" s="8" t="n">
        <v>705.03</v>
      </c>
      <c r="C23" s="8" t="n">
        <v>705.03</v>
      </c>
    </row>
    <row r="24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>
      <c r="A25" s="6" t="inlineStr">
        <is>
          <t>Communication / Data</t>
        </is>
      </c>
      <c r="B25" s="8" t="n">
        <v>2600.58</v>
      </c>
      <c r="C25" s="8" t="n">
        <v>2600.58</v>
      </c>
    </row>
    <row r="26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>
      <c r="A27" s="6" t="inlineStr">
        <is>
          <t>Security / Exterior Lighting</t>
        </is>
      </c>
      <c r="B27" s="8" t="n">
        <v>1140.5</v>
      </c>
      <c r="C27" s="8" t="n">
        <v>1140.5</v>
      </c>
    </row>
    <row r="28">
      <c r="A28" s="6" t="inlineStr">
        <is>
          <t>Access Control</t>
        </is>
      </c>
      <c r="B28" s="8" t="n">
        <v>1360.86</v>
      </c>
      <c r="C28" s="8" t="n">
        <v>1360.86</v>
      </c>
    </row>
    <row r="29">
      <c r="A29" s="6" t="inlineStr">
        <is>
          <t>Appliances</t>
        </is>
      </c>
      <c r="B29" s="8" t="n">
        <v>14831.54</v>
      </c>
      <c r="C29" s="8" t="n">
        <v>14831.54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19166.81</v>
      </c>
      <c r="F31" s="8" t="n">
        <v>19166.81</v>
      </c>
    </row>
    <row r="32">
      <c r="A32" s="6" t="inlineStr">
        <is>
          <t>HVAC</t>
        </is>
      </c>
      <c r="B32" s="8" t="n">
        <v>26894.18</v>
      </c>
      <c r="F32" s="8" t="n">
        <v>26894.18</v>
      </c>
    </row>
    <row r="33">
      <c r="A33" s="6" t="inlineStr">
        <is>
          <t>Electrical</t>
        </is>
      </c>
      <c r="B33" s="8" t="n">
        <v>19273.71</v>
      </c>
      <c r="F33" s="8" t="n">
        <v>19273.71</v>
      </c>
    </row>
    <row r="34">
      <c r="A34" s="6" t="inlineStr">
        <is>
          <t>Plumbing</t>
        </is>
      </c>
      <c r="B34" s="8" t="n">
        <v>24003.39</v>
      </c>
      <c r="F34" s="8" t="n">
        <v>24003.39</v>
      </c>
    </row>
    <row r="35">
      <c r="A35" s="6" t="inlineStr">
        <is>
          <t>Fire Protection &amp; Alarm</t>
        </is>
      </c>
      <c r="B35" s="8" t="n">
        <v>23233.4</v>
      </c>
      <c r="F35" s="8" t="n">
        <v>23233.4</v>
      </c>
    </row>
    <row r="36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>
      <c r="A37" s="6" t="inlineStr">
        <is>
          <t>Doors &amp; Frames</t>
        </is>
      </c>
      <c r="B37" s="8" t="n">
        <v>17315.31</v>
      </c>
      <c r="F37" s="8" t="n">
        <v>17315.31</v>
      </c>
    </row>
    <row r="38">
      <c r="A38" s="6" t="inlineStr">
        <is>
          <t>Windows</t>
        </is>
      </c>
      <c r="B38" s="8" t="n">
        <v>10659.46</v>
      </c>
      <c r="F38" s="8" t="n">
        <v>10659.46</v>
      </c>
    </row>
    <row r="39">
      <c r="A39" s="6" t="inlineStr">
        <is>
          <t>Ceiling Systems</t>
        </is>
      </c>
      <c r="B39" s="8" t="n">
        <v>12873.87</v>
      </c>
      <c r="F39" s="8" t="n">
        <v>12873.87</v>
      </c>
    </row>
    <row r="40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>
      <c r="A41" s="6" t="inlineStr">
        <is>
          <t>Painting</t>
        </is>
      </c>
      <c r="B41" s="8" t="n">
        <v>11976.41</v>
      </c>
      <c r="F41" s="8" t="n">
        <v>11976.41</v>
      </c>
    </row>
    <row r="42">
      <c r="A42" s="6" t="inlineStr">
        <is>
          <t>Gutter Systems</t>
        </is>
      </c>
      <c r="B42" s="8" t="n">
        <v>1737.32</v>
      </c>
      <c r="F42" s="8" t="n">
        <v>1737.32</v>
      </c>
    </row>
    <row r="43">
      <c r="A43" s="6" t="inlineStr">
        <is>
          <t>Structural Framing</t>
        </is>
      </c>
      <c r="B43" s="8" t="n">
        <v>45720.62</v>
      </c>
      <c r="F43" s="8" t="n">
        <v>45720.62</v>
      </c>
    </row>
    <row r="44">
      <c r="A44" s="6" t="inlineStr">
        <is>
          <t>Stairs / Balconies</t>
        </is>
      </c>
      <c r="B44" s="8" t="n">
        <v>10815.9</v>
      </c>
      <c r="F44" s="8" t="n">
        <v>10815.9</v>
      </c>
    </row>
    <row r="45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8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166008.92</v>
      </c>
    </row>
    <row r="80">
      <c r="A80" s="25" t="inlineStr">
        <is>
          <t>Cost Segregation Corrected Depreciation</t>
        </is>
      </c>
      <c r="B80" s="29" t="n">
        <v>170980.22</v>
      </c>
    </row>
    <row r="81">
      <c r="A81" s="21" t="inlineStr">
        <is>
          <t>Section 481(a) Adjustment</t>
        </is>
      </c>
      <c r="B81" s="23" t="n">
        <v>-4971.3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2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20854.1</v>
      </c>
      <c r="C16" s="8" t="n">
        <v>20854.1</v>
      </c>
    </row>
    <row r="17">
      <c r="A17" s="6" t="inlineStr">
        <is>
          <t>Moldings</t>
        </is>
      </c>
      <c r="B17" s="8" t="n">
        <v>3659.01</v>
      </c>
      <c r="C17" s="8" t="n">
        <v>3659.01</v>
      </c>
    </row>
    <row r="18">
      <c r="A18" s="6" t="inlineStr">
        <is>
          <t>Flooring - Carpet</t>
        </is>
      </c>
      <c r="B18" s="8" t="n">
        <v>7197.38</v>
      </c>
      <c r="C18" s="8" t="n">
        <v>7197.38</v>
      </c>
    </row>
    <row r="19">
      <c r="A19" s="6" t="inlineStr">
        <is>
          <t>Flooring - Vinyl Plank</t>
        </is>
      </c>
      <c r="B19" s="8" t="n">
        <v>13553.55</v>
      </c>
      <c r="C19" s="8" t="n">
        <v>13553.55</v>
      </c>
    </row>
    <row r="20">
      <c r="A20" s="6" t="inlineStr">
        <is>
          <t>Door &amp; Window Guards</t>
        </is>
      </c>
      <c r="B20" s="8" t="n">
        <v>2244.55</v>
      </c>
      <c r="C20" s="8" t="n">
        <v>2244.55</v>
      </c>
    </row>
    <row r="21">
      <c r="A21" s="6" t="inlineStr">
        <is>
          <t>Window Treatments</t>
        </is>
      </c>
      <c r="B21" s="8" t="n">
        <v>1909.28</v>
      </c>
      <c r="C21" s="8" t="n">
        <v>1909.28</v>
      </c>
    </row>
    <row r="22">
      <c r="A22" s="6" t="inlineStr">
        <is>
          <t>Specialty HVAC - Dryer Vents</t>
        </is>
      </c>
      <c r="B22" s="8" t="n">
        <v>567.1</v>
      </c>
      <c r="C22" s="8" t="n">
        <v>567.1</v>
      </c>
    </row>
    <row r="23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>
      <c r="A25" s="6" t="inlineStr">
        <is>
          <t>Communication / Data</t>
        </is>
      </c>
      <c r="B25" s="8" t="n">
        <v>2054.21</v>
      </c>
      <c r="C25" s="8" t="n">
        <v>2054.21</v>
      </c>
    </row>
    <row r="26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>
      <c r="A27" s="6" t="inlineStr">
        <is>
          <t>Security / Exterior Lighting</t>
        </is>
      </c>
      <c r="B27" s="8" t="n">
        <v>900.48</v>
      </c>
      <c r="C27" s="8" t="n">
        <v>900.48</v>
      </c>
    </row>
    <row r="28">
      <c r="A28" s="6" t="inlineStr">
        <is>
          <t>Access Control</t>
        </is>
      </c>
      <c r="B28" s="8" t="n">
        <v>1074.91</v>
      </c>
      <c r="C28" s="8" t="n">
        <v>1074.91</v>
      </c>
    </row>
    <row r="29">
      <c r="A29" s="6" t="inlineStr">
        <is>
          <t>Appliances</t>
        </is>
      </c>
      <c r="B29" s="8" t="n">
        <v>11710.29</v>
      </c>
      <c r="C29" s="8" t="n">
        <v>11710.29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15135.94</v>
      </c>
      <c r="F31" s="8" t="n">
        <v>15135.94</v>
      </c>
    </row>
    <row r="32">
      <c r="A32" s="6" t="inlineStr">
        <is>
          <t>HVAC</t>
        </is>
      </c>
      <c r="B32" s="8" t="n">
        <v>21239.23</v>
      </c>
      <c r="F32" s="8" t="n">
        <v>21239.23</v>
      </c>
    </row>
    <row r="33">
      <c r="A33" s="6" t="inlineStr">
        <is>
          <t>Electrical</t>
        </is>
      </c>
      <c r="B33" s="8" t="n">
        <v>15228.12</v>
      </c>
      <c r="F33" s="8" t="n">
        <v>15228.12</v>
      </c>
    </row>
    <row r="34">
      <c r="A34" s="6" t="inlineStr">
        <is>
          <t>Plumbing</t>
        </is>
      </c>
      <c r="B34" s="8" t="n">
        <v>18965.37</v>
      </c>
      <c r="F34" s="8" t="n">
        <v>18965.37</v>
      </c>
    </row>
    <row r="35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>
      <c r="A37" s="6" t="inlineStr">
        <is>
          <t>Doors &amp; Frames</t>
        </is>
      </c>
      <c r="B37" s="8" t="n">
        <v>13682.17</v>
      </c>
      <c r="F37" s="8" t="n">
        <v>13682.17</v>
      </c>
    </row>
    <row r="38">
      <c r="A38" s="6" t="inlineStr">
        <is>
          <t>Windows</t>
        </is>
      </c>
      <c r="B38" s="8" t="n">
        <v>8421.6</v>
      </c>
      <c r="F38" s="8" t="n">
        <v>8421.6</v>
      </c>
    </row>
    <row r="39">
      <c r="A39" s="6" t="inlineStr">
        <is>
          <t>Ceiling Systems</t>
        </is>
      </c>
      <c r="B39" s="8" t="n">
        <v>10172.24</v>
      </c>
      <c r="F39" s="8" t="n">
        <v>10172.24</v>
      </c>
    </row>
    <row r="40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>
      <c r="A41" s="6" t="inlineStr">
        <is>
          <t>Painting</t>
        </is>
      </c>
      <c r="B41" s="8" t="n">
        <v>9461.68</v>
      </c>
      <c r="F41" s="8" t="n">
        <v>9461.68</v>
      </c>
    </row>
    <row r="42">
      <c r="A42" s="6" t="inlineStr">
        <is>
          <t>Gutter Systems</t>
        </is>
      </c>
      <c r="B42" s="8" t="n">
        <v>1372.33</v>
      </c>
      <c r="F42" s="8" t="n">
        <v>1372.33</v>
      </c>
    </row>
    <row r="43">
      <c r="A43" s="6" t="inlineStr">
        <is>
          <t>Structural Framing</t>
        </is>
      </c>
      <c r="B43" s="8" t="n">
        <v>36121.06</v>
      </c>
      <c r="F43" s="8" t="n">
        <v>36121.06</v>
      </c>
    </row>
    <row r="44">
      <c r="A44" s="6" t="inlineStr">
        <is>
          <t>Stairs / Balconies</t>
        </is>
      </c>
      <c r="B44" s="8" t="n">
        <v>8546.32</v>
      </c>
      <c r="F44" s="8" t="n">
        <v>8546.32</v>
      </c>
    </row>
    <row r="45">
      <c r="A45" s="6" t="inlineStr">
        <is>
          <t>Bathroom Accessories</t>
        </is>
      </c>
      <c r="B45" s="8" t="n">
        <v>7694.19</v>
      </c>
      <c r="F45" s="8" t="n">
        <v>7694.19</v>
      </c>
    </row>
    <row r="46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8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131053.31</v>
      </c>
    </row>
    <row r="80">
      <c r="A80" s="25" t="inlineStr">
        <is>
          <t>Cost Segregation Corrected Depreciation</t>
        </is>
      </c>
      <c r="B80" s="29" t="n">
        <v>144217.92</v>
      </c>
    </row>
    <row r="81">
      <c r="A81" s="21" t="inlineStr">
        <is>
          <t>Section 481(a) Adjustment</t>
        </is>
      </c>
      <c r="B81" s="23" t="n">
        <v>-13164.61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3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26445.19</v>
      </c>
      <c r="C16" s="8" t="n">
        <v>26445.19</v>
      </c>
    </row>
    <row r="17">
      <c r="A17" s="6" t="inlineStr">
        <is>
          <t>Moldings</t>
        </is>
      </c>
      <c r="B17" s="8" t="n">
        <v>4635.69</v>
      </c>
      <c r="C17" s="8" t="n">
        <v>4635.69</v>
      </c>
    </row>
    <row r="18">
      <c r="A18" s="6" t="inlineStr">
        <is>
          <t>Flooring - Carpet</t>
        </is>
      </c>
      <c r="B18" s="8" t="n">
        <v>9118.09</v>
      </c>
      <c r="C18" s="8" t="n">
        <v>9118.09</v>
      </c>
    </row>
    <row r="19">
      <c r="A19" s="6" t="inlineStr">
        <is>
          <t>Flooring - Vinyl Plank</t>
        </is>
      </c>
      <c r="B19" s="8" t="n">
        <v>17166.07</v>
      </c>
      <c r="C19" s="8" t="n">
        <v>17166.07</v>
      </c>
    </row>
    <row r="20">
      <c r="A20" s="6" t="inlineStr">
        <is>
          <t>Door &amp; Window Guards</t>
        </is>
      </c>
      <c r="B20" s="8" t="n">
        <v>2842.52</v>
      </c>
      <c r="C20" s="8" t="n">
        <v>2842.52</v>
      </c>
    </row>
    <row r="21">
      <c r="A21" s="6" t="inlineStr">
        <is>
          <t>Window Treatments</t>
        </is>
      </c>
      <c r="B21" s="8" t="n">
        <v>2418.44</v>
      </c>
      <c r="C21" s="8" t="n">
        <v>2418.44</v>
      </c>
    </row>
    <row r="22">
      <c r="A22" s="6" t="inlineStr">
        <is>
          <t>Specialty HVAC - Dryer Vents</t>
        </is>
      </c>
      <c r="B22" s="8" t="n">
        <v>718.3</v>
      </c>
      <c r="C22" s="8" t="n">
        <v>718.3</v>
      </c>
    </row>
    <row r="23">
      <c r="A23" s="6" t="inlineStr">
        <is>
          <t>Building Signage</t>
        </is>
      </c>
      <c r="B23" s="8" t="n">
        <v>705.03</v>
      </c>
      <c r="C23" s="8" t="n">
        <v>705.03</v>
      </c>
    </row>
    <row r="24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>
      <c r="A25" s="6" t="inlineStr">
        <is>
          <t>Communication / Data</t>
        </is>
      </c>
      <c r="B25" s="8" t="n">
        <v>2600.58</v>
      </c>
      <c r="C25" s="8" t="n">
        <v>2600.58</v>
      </c>
    </row>
    <row r="26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>
      <c r="A27" s="6" t="inlineStr">
        <is>
          <t>Security / Exterior Lighting</t>
        </is>
      </c>
      <c r="B27" s="8" t="n">
        <v>1140.5</v>
      </c>
      <c r="C27" s="8" t="n">
        <v>1140.5</v>
      </c>
    </row>
    <row r="28">
      <c r="A28" s="6" t="inlineStr">
        <is>
          <t>Access Control</t>
        </is>
      </c>
      <c r="B28" s="8" t="n">
        <v>1360.86</v>
      </c>
      <c r="C28" s="8" t="n">
        <v>1360.86</v>
      </c>
    </row>
    <row r="29">
      <c r="A29" s="6" t="inlineStr">
        <is>
          <t>Appliances</t>
        </is>
      </c>
      <c r="B29" s="8" t="n">
        <v>14831.54</v>
      </c>
      <c r="C29" s="8" t="n">
        <v>14831.54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19166.81</v>
      </c>
      <c r="F31" s="8" t="n">
        <v>19166.81</v>
      </c>
    </row>
    <row r="32">
      <c r="A32" s="6" t="inlineStr">
        <is>
          <t>HVAC</t>
        </is>
      </c>
      <c r="B32" s="8" t="n">
        <v>26894.18</v>
      </c>
      <c r="F32" s="8" t="n">
        <v>26894.18</v>
      </c>
    </row>
    <row r="33">
      <c r="A33" s="6" t="inlineStr">
        <is>
          <t>Electrical</t>
        </is>
      </c>
      <c r="B33" s="8" t="n">
        <v>19273.71</v>
      </c>
      <c r="F33" s="8" t="n">
        <v>19273.71</v>
      </c>
    </row>
    <row r="34">
      <c r="A34" s="6" t="inlineStr">
        <is>
          <t>Plumbing</t>
        </is>
      </c>
      <c r="B34" s="8" t="n">
        <v>24003.39</v>
      </c>
      <c r="F34" s="8" t="n">
        <v>24003.39</v>
      </c>
    </row>
    <row r="35">
      <c r="A35" s="6" t="inlineStr">
        <is>
          <t>Fire Protection &amp; Alarm</t>
        </is>
      </c>
      <c r="B35" s="8" t="n">
        <v>23233.4</v>
      </c>
      <c r="F35" s="8" t="n">
        <v>23233.4</v>
      </c>
    </row>
    <row r="36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>
      <c r="A37" s="6" t="inlineStr">
        <is>
          <t>Doors &amp; Frames</t>
        </is>
      </c>
      <c r="B37" s="8" t="n">
        <v>17315.31</v>
      </c>
      <c r="F37" s="8" t="n">
        <v>17315.31</v>
      </c>
    </row>
    <row r="38">
      <c r="A38" s="6" t="inlineStr">
        <is>
          <t>Windows</t>
        </is>
      </c>
      <c r="B38" s="8" t="n">
        <v>10659.46</v>
      </c>
      <c r="F38" s="8" t="n">
        <v>10659.46</v>
      </c>
    </row>
    <row r="39">
      <c r="A39" s="6" t="inlineStr">
        <is>
          <t>Ceiling Systems</t>
        </is>
      </c>
      <c r="B39" s="8" t="n">
        <v>12873.87</v>
      </c>
      <c r="F39" s="8" t="n">
        <v>12873.87</v>
      </c>
    </row>
    <row r="40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>
      <c r="A41" s="6" t="inlineStr">
        <is>
          <t>Painting</t>
        </is>
      </c>
      <c r="B41" s="8" t="n">
        <v>11976.41</v>
      </c>
      <c r="F41" s="8" t="n">
        <v>11976.41</v>
      </c>
    </row>
    <row r="42">
      <c r="A42" s="6" t="inlineStr">
        <is>
          <t>Gutter Systems</t>
        </is>
      </c>
      <c r="B42" s="8" t="n">
        <v>1737.32</v>
      </c>
      <c r="F42" s="8" t="n">
        <v>1737.32</v>
      </c>
    </row>
    <row r="43">
      <c r="A43" s="6" t="inlineStr">
        <is>
          <t>Structural Framing</t>
        </is>
      </c>
      <c r="B43" s="8" t="n">
        <v>45720.62</v>
      </c>
      <c r="F43" s="8" t="n">
        <v>45720.62</v>
      </c>
    </row>
    <row r="44">
      <c r="A44" s="6" t="inlineStr">
        <is>
          <t>Stairs / Balconies</t>
        </is>
      </c>
      <c r="B44" s="8" t="n">
        <v>10815.9</v>
      </c>
      <c r="F44" s="8" t="n">
        <v>10815.9</v>
      </c>
    </row>
    <row r="45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8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166008.92</v>
      </c>
    </row>
    <row r="80">
      <c r="A80" s="25" t="inlineStr">
        <is>
          <t>Cost Segregation Corrected Depreciation</t>
        </is>
      </c>
      <c r="B80" s="29" t="n">
        <v>170980.22</v>
      </c>
    </row>
    <row r="81">
      <c r="A81" s="21" t="inlineStr">
        <is>
          <t>Section 481(a) Adjustment</t>
        </is>
      </c>
      <c r="B81" s="23" t="n">
        <v>-4971.3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4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20854.1</v>
      </c>
      <c r="C16" s="8" t="n">
        <v>20854.1</v>
      </c>
    </row>
    <row r="17">
      <c r="A17" s="6" t="inlineStr">
        <is>
          <t>Moldings</t>
        </is>
      </c>
      <c r="B17" s="8" t="n">
        <v>3659.01</v>
      </c>
      <c r="C17" s="8" t="n">
        <v>3659.01</v>
      </c>
    </row>
    <row r="18">
      <c r="A18" s="6" t="inlineStr">
        <is>
          <t>Flooring - Carpet</t>
        </is>
      </c>
      <c r="B18" s="8" t="n">
        <v>7197.38</v>
      </c>
      <c r="C18" s="8" t="n">
        <v>7197.38</v>
      </c>
    </row>
    <row r="19">
      <c r="A19" s="6" t="inlineStr">
        <is>
          <t>Flooring - Vinyl Plank</t>
        </is>
      </c>
      <c r="B19" s="8" t="n">
        <v>13553.55</v>
      </c>
      <c r="C19" s="8" t="n">
        <v>13553.55</v>
      </c>
    </row>
    <row r="20">
      <c r="A20" s="6" t="inlineStr">
        <is>
          <t>Door &amp; Window Guards</t>
        </is>
      </c>
      <c r="B20" s="8" t="n">
        <v>2244.55</v>
      </c>
      <c r="C20" s="8" t="n">
        <v>2244.55</v>
      </c>
    </row>
    <row r="21">
      <c r="A21" s="6" t="inlineStr">
        <is>
          <t>Window Treatments</t>
        </is>
      </c>
      <c r="B21" s="8" t="n">
        <v>1909.28</v>
      </c>
      <c r="C21" s="8" t="n">
        <v>1909.28</v>
      </c>
    </row>
    <row r="22">
      <c r="A22" s="6" t="inlineStr">
        <is>
          <t>Specialty HVAC - Dryer Vents</t>
        </is>
      </c>
      <c r="B22" s="8" t="n">
        <v>567.1</v>
      </c>
      <c r="C22" s="8" t="n">
        <v>567.1</v>
      </c>
    </row>
    <row r="23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>
      <c r="A25" s="6" t="inlineStr">
        <is>
          <t>Communication / Data</t>
        </is>
      </c>
      <c r="B25" s="8" t="n">
        <v>2054.21</v>
      </c>
      <c r="C25" s="8" t="n">
        <v>2054.21</v>
      </c>
    </row>
    <row r="26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>
      <c r="A27" s="6" t="inlineStr">
        <is>
          <t>Security / Exterior Lighting</t>
        </is>
      </c>
      <c r="B27" s="8" t="n">
        <v>900.48</v>
      </c>
      <c r="C27" s="8" t="n">
        <v>900.48</v>
      </c>
    </row>
    <row r="28">
      <c r="A28" s="6" t="inlineStr">
        <is>
          <t>Access Control</t>
        </is>
      </c>
      <c r="B28" s="8" t="n">
        <v>1074.91</v>
      </c>
      <c r="C28" s="8" t="n">
        <v>1074.91</v>
      </c>
    </row>
    <row r="29">
      <c r="A29" s="6" t="inlineStr">
        <is>
          <t>Appliances</t>
        </is>
      </c>
      <c r="B29" s="8" t="n">
        <v>11710.29</v>
      </c>
      <c r="C29" s="8" t="n">
        <v>11710.29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15135.94</v>
      </c>
      <c r="F31" s="8" t="n">
        <v>15135.94</v>
      </c>
    </row>
    <row r="32">
      <c r="A32" s="6" t="inlineStr">
        <is>
          <t>HVAC</t>
        </is>
      </c>
      <c r="B32" s="8" t="n">
        <v>21239.23</v>
      </c>
      <c r="F32" s="8" t="n">
        <v>21239.23</v>
      </c>
    </row>
    <row r="33">
      <c r="A33" s="6" t="inlineStr">
        <is>
          <t>Electrical</t>
        </is>
      </c>
      <c r="B33" s="8" t="n">
        <v>15228.12</v>
      </c>
      <c r="F33" s="8" t="n">
        <v>15228.12</v>
      </c>
    </row>
    <row r="34">
      <c r="A34" s="6" t="inlineStr">
        <is>
          <t>Plumbing</t>
        </is>
      </c>
      <c r="B34" s="8" t="n">
        <v>18965.37</v>
      </c>
      <c r="F34" s="8" t="n">
        <v>18965.37</v>
      </c>
    </row>
    <row r="35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>
      <c r="A37" s="6" t="inlineStr">
        <is>
          <t>Doors &amp; Frames</t>
        </is>
      </c>
      <c r="B37" s="8" t="n">
        <v>13682.17</v>
      </c>
      <c r="F37" s="8" t="n">
        <v>13682.17</v>
      </c>
    </row>
    <row r="38">
      <c r="A38" s="6" t="inlineStr">
        <is>
          <t>Windows</t>
        </is>
      </c>
      <c r="B38" s="8" t="n">
        <v>8421.6</v>
      </c>
      <c r="F38" s="8" t="n">
        <v>8421.6</v>
      </c>
    </row>
    <row r="39">
      <c r="A39" s="6" t="inlineStr">
        <is>
          <t>Ceiling Systems</t>
        </is>
      </c>
      <c r="B39" s="8" t="n">
        <v>10172.24</v>
      </c>
      <c r="F39" s="8" t="n">
        <v>10172.24</v>
      </c>
    </row>
    <row r="40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>
      <c r="A41" s="6" t="inlineStr">
        <is>
          <t>Painting</t>
        </is>
      </c>
      <c r="B41" s="8" t="n">
        <v>9461.68</v>
      </c>
      <c r="F41" s="8" t="n">
        <v>9461.68</v>
      </c>
    </row>
    <row r="42">
      <c r="A42" s="6" t="inlineStr">
        <is>
          <t>Gutter Systems</t>
        </is>
      </c>
      <c r="B42" s="8" t="n">
        <v>1372.33</v>
      </c>
      <c r="F42" s="8" t="n">
        <v>1372.33</v>
      </c>
    </row>
    <row r="43">
      <c r="A43" s="6" t="inlineStr">
        <is>
          <t>Structural Framing</t>
        </is>
      </c>
      <c r="B43" s="8" t="n">
        <v>36121.06</v>
      </c>
      <c r="F43" s="8" t="n">
        <v>36121.06</v>
      </c>
    </row>
    <row r="44">
      <c r="A44" s="6" t="inlineStr">
        <is>
          <t>Stairs / Balconies</t>
        </is>
      </c>
      <c r="B44" s="8" t="n">
        <v>8546.32</v>
      </c>
      <c r="F44" s="8" t="n">
        <v>8546.32</v>
      </c>
    </row>
    <row r="45">
      <c r="A45" s="6" t="inlineStr">
        <is>
          <t>Bathroom Accessories</t>
        </is>
      </c>
      <c r="B45" s="8" t="n">
        <v>7694.19</v>
      </c>
      <c r="F45" s="8" t="n">
        <v>7694.19</v>
      </c>
    </row>
    <row r="46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8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131053.31</v>
      </c>
    </row>
    <row r="80">
      <c r="A80" s="25" t="inlineStr">
        <is>
          <t>Cost Segregation Corrected Depreciation</t>
        </is>
      </c>
      <c r="B80" s="29" t="n">
        <v>144217.92</v>
      </c>
    </row>
    <row r="81">
      <c r="A81" s="21" t="inlineStr">
        <is>
          <t>Section 481(a) Adjustment</t>
        </is>
      </c>
      <c r="B81" s="23" t="n">
        <v>-13164.61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5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26445.19</v>
      </c>
      <c r="C16" s="8" t="n">
        <v>26445.19</v>
      </c>
    </row>
    <row r="17">
      <c r="A17" s="6" t="inlineStr">
        <is>
          <t>Moldings</t>
        </is>
      </c>
      <c r="B17" s="8" t="n">
        <v>4635.69</v>
      </c>
      <c r="C17" s="8" t="n">
        <v>4635.69</v>
      </c>
    </row>
    <row r="18">
      <c r="A18" s="6" t="inlineStr">
        <is>
          <t>Flooring - Carpet</t>
        </is>
      </c>
      <c r="B18" s="8" t="n">
        <v>9118.09</v>
      </c>
      <c r="C18" s="8" t="n">
        <v>9118.09</v>
      </c>
    </row>
    <row r="19">
      <c r="A19" s="6" t="inlineStr">
        <is>
          <t>Flooring - Vinyl Plank</t>
        </is>
      </c>
      <c r="B19" s="8" t="n">
        <v>17166.07</v>
      </c>
      <c r="C19" s="8" t="n">
        <v>17166.07</v>
      </c>
    </row>
    <row r="20">
      <c r="A20" s="6" t="inlineStr">
        <is>
          <t>Door &amp; Window Guards</t>
        </is>
      </c>
      <c r="B20" s="8" t="n">
        <v>2842.52</v>
      </c>
      <c r="C20" s="8" t="n">
        <v>2842.52</v>
      </c>
    </row>
    <row r="21">
      <c r="A21" s="6" t="inlineStr">
        <is>
          <t>Window Treatments</t>
        </is>
      </c>
      <c r="B21" s="8" t="n">
        <v>2418.44</v>
      </c>
      <c r="C21" s="8" t="n">
        <v>2418.44</v>
      </c>
    </row>
    <row r="22">
      <c r="A22" s="6" t="inlineStr">
        <is>
          <t>Specialty HVAC - Dryer Vents</t>
        </is>
      </c>
      <c r="B22" s="8" t="n">
        <v>718.3</v>
      </c>
      <c r="C22" s="8" t="n">
        <v>718.3</v>
      </c>
    </row>
    <row r="23">
      <c r="A23" s="6" t="inlineStr">
        <is>
          <t>Building Signage</t>
        </is>
      </c>
      <c r="B23" s="8" t="n">
        <v>705.03</v>
      </c>
      <c r="C23" s="8" t="n">
        <v>705.03</v>
      </c>
    </row>
    <row r="24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>
      <c r="A25" s="6" t="inlineStr">
        <is>
          <t>Communication / Data</t>
        </is>
      </c>
      <c r="B25" s="8" t="n">
        <v>2600.58</v>
      </c>
      <c r="C25" s="8" t="n">
        <v>2600.58</v>
      </c>
    </row>
    <row r="26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>
      <c r="A27" s="6" t="inlineStr">
        <is>
          <t>Security / Exterior Lighting</t>
        </is>
      </c>
      <c r="B27" s="8" t="n">
        <v>1140.5</v>
      </c>
      <c r="C27" s="8" t="n">
        <v>1140.5</v>
      </c>
    </row>
    <row r="28">
      <c r="A28" s="6" t="inlineStr">
        <is>
          <t>Access Control</t>
        </is>
      </c>
      <c r="B28" s="8" t="n">
        <v>1360.86</v>
      </c>
      <c r="C28" s="8" t="n">
        <v>1360.86</v>
      </c>
    </row>
    <row r="29">
      <c r="A29" s="6" t="inlineStr">
        <is>
          <t>Appliances</t>
        </is>
      </c>
      <c r="B29" s="8" t="n">
        <v>14831.54</v>
      </c>
      <c r="C29" s="8" t="n">
        <v>14831.54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19166.81</v>
      </c>
      <c r="F31" s="8" t="n">
        <v>19166.81</v>
      </c>
    </row>
    <row r="32">
      <c r="A32" s="6" t="inlineStr">
        <is>
          <t>HVAC</t>
        </is>
      </c>
      <c r="B32" s="8" t="n">
        <v>26894.18</v>
      </c>
      <c r="F32" s="8" t="n">
        <v>26894.18</v>
      </c>
    </row>
    <row r="33">
      <c r="A33" s="6" t="inlineStr">
        <is>
          <t>Electrical</t>
        </is>
      </c>
      <c r="B33" s="8" t="n">
        <v>19273.71</v>
      </c>
      <c r="F33" s="8" t="n">
        <v>19273.71</v>
      </c>
    </row>
    <row r="34">
      <c r="A34" s="6" t="inlineStr">
        <is>
          <t>Plumbing</t>
        </is>
      </c>
      <c r="B34" s="8" t="n">
        <v>24003.39</v>
      </c>
      <c r="F34" s="8" t="n">
        <v>24003.39</v>
      </c>
    </row>
    <row r="35">
      <c r="A35" s="6" t="inlineStr">
        <is>
          <t>Fire Protection &amp; Alarm</t>
        </is>
      </c>
      <c r="B35" s="8" t="n">
        <v>23233.4</v>
      </c>
      <c r="F35" s="8" t="n">
        <v>23233.4</v>
      </c>
    </row>
    <row r="36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>
      <c r="A37" s="6" t="inlineStr">
        <is>
          <t>Doors &amp; Frames</t>
        </is>
      </c>
      <c r="B37" s="8" t="n">
        <v>17315.31</v>
      </c>
      <c r="F37" s="8" t="n">
        <v>17315.31</v>
      </c>
    </row>
    <row r="38">
      <c r="A38" s="6" t="inlineStr">
        <is>
          <t>Windows</t>
        </is>
      </c>
      <c r="B38" s="8" t="n">
        <v>10659.46</v>
      </c>
      <c r="F38" s="8" t="n">
        <v>10659.46</v>
      </c>
    </row>
    <row r="39">
      <c r="A39" s="6" t="inlineStr">
        <is>
          <t>Ceiling Systems</t>
        </is>
      </c>
      <c r="B39" s="8" t="n">
        <v>12873.87</v>
      </c>
      <c r="F39" s="8" t="n">
        <v>12873.87</v>
      </c>
    </row>
    <row r="40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>
      <c r="A41" s="6" t="inlineStr">
        <is>
          <t>Painting</t>
        </is>
      </c>
      <c r="B41" s="8" t="n">
        <v>11976.41</v>
      </c>
      <c r="F41" s="8" t="n">
        <v>11976.41</v>
      </c>
    </row>
    <row r="42">
      <c r="A42" s="6" t="inlineStr">
        <is>
          <t>Gutter Systems</t>
        </is>
      </c>
      <c r="B42" s="8" t="n">
        <v>1737.32</v>
      </c>
      <c r="F42" s="8" t="n">
        <v>1737.32</v>
      </c>
    </row>
    <row r="43">
      <c r="A43" s="6" t="inlineStr">
        <is>
          <t>Structural Framing</t>
        </is>
      </c>
      <c r="B43" s="8" t="n">
        <v>45720.62</v>
      </c>
      <c r="F43" s="8" t="n">
        <v>45720.62</v>
      </c>
    </row>
    <row r="44">
      <c r="A44" s="6" t="inlineStr">
        <is>
          <t>Stairs / Balconies</t>
        </is>
      </c>
      <c r="B44" s="8" t="n">
        <v>10815.9</v>
      </c>
      <c r="F44" s="8" t="n">
        <v>10815.9</v>
      </c>
    </row>
    <row r="45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8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166008.92</v>
      </c>
    </row>
    <row r="80">
      <c r="A80" s="25" t="inlineStr">
        <is>
          <t>Cost Segregation Corrected Depreciation</t>
        </is>
      </c>
      <c r="B80" s="29" t="n">
        <v>170980.22</v>
      </c>
    </row>
    <row r="81">
      <c r="A81" s="21" t="inlineStr">
        <is>
          <t>Section 481(a) Adjustment</t>
        </is>
      </c>
      <c r="B81" s="23" t="n">
        <v>-4971.3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6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20854.1</v>
      </c>
      <c r="C16" s="8" t="n">
        <v>20854.1</v>
      </c>
    </row>
    <row r="17">
      <c r="A17" s="6" t="inlineStr">
        <is>
          <t>Moldings</t>
        </is>
      </c>
      <c r="B17" s="8" t="n">
        <v>3659.01</v>
      </c>
      <c r="C17" s="8" t="n">
        <v>3659.01</v>
      </c>
    </row>
    <row r="18">
      <c r="A18" s="6" t="inlineStr">
        <is>
          <t>Flooring - Carpet</t>
        </is>
      </c>
      <c r="B18" s="8" t="n">
        <v>7197.38</v>
      </c>
      <c r="C18" s="8" t="n">
        <v>7197.38</v>
      </c>
    </row>
    <row r="19">
      <c r="A19" s="6" t="inlineStr">
        <is>
          <t>Flooring - Vinyl Plank</t>
        </is>
      </c>
      <c r="B19" s="8" t="n">
        <v>13553.55</v>
      </c>
      <c r="C19" s="8" t="n">
        <v>13553.55</v>
      </c>
    </row>
    <row r="20">
      <c r="A20" s="6" t="inlineStr">
        <is>
          <t>Door &amp; Window Guards</t>
        </is>
      </c>
      <c r="B20" s="8" t="n">
        <v>2244.55</v>
      </c>
      <c r="C20" s="8" t="n">
        <v>2244.55</v>
      </c>
    </row>
    <row r="21">
      <c r="A21" s="6" t="inlineStr">
        <is>
          <t>Window Treatments</t>
        </is>
      </c>
      <c r="B21" s="8" t="n">
        <v>1909.28</v>
      </c>
      <c r="C21" s="8" t="n">
        <v>1909.28</v>
      </c>
    </row>
    <row r="22">
      <c r="A22" s="6" t="inlineStr">
        <is>
          <t>Specialty HVAC - Dryer Vents</t>
        </is>
      </c>
      <c r="B22" s="8" t="n">
        <v>567.1</v>
      </c>
      <c r="C22" s="8" t="n">
        <v>567.1</v>
      </c>
    </row>
    <row r="23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>
      <c r="A25" s="6" t="inlineStr">
        <is>
          <t>Communication / Data</t>
        </is>
      </c>
      <c r="B25" s="8" t="n">
        <v>2054.21</v>
      </c>
      <c r="C25" s="8" t="n">
        <v>2054.21</v>
      </c>
    </row>
    <row r="26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>
      <c r="A27" s="6" t="inlineStr">
        <is>
          <t>Security / Exterior Lighting</t>
        </is>
      </c>
      <c r="B27" s="8" t="n">
        <v>900.48</v>
      </c>
      <c r="C27" s="8" t="n">
        <v>900.48</v>
      </c>
    </row>
    <row r="28">
      <c r="A28" s="6" t="inlineStr">
        <is>
          <t>Access Control</t>
        </is>
      </c>
      <c r="B28" s="8" t="n">
        <v>1074.91</v>
      </c>
      <c r="C28" s="8" t="n">
        <v>1074.91</v>
      </c>
    </row>
    <row r="29">
      <c r="A29" s="6" t="inlineStr">
        <is>
          <t>Appliances</t>
        </is>
      </c>
      <c r="B29" s="8" t="n">
        <v>11710.29</v>
      </c>
      <c r="C29" s="8" t="n">
        <v>11710.29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15135.94</v>
      </c>
      <c r="F31" s="8" t="n">
        <v>15135.94</v>
      </c>
    </row>
    <row r="32">
      <c r="A32" s="6" t="inlineStr">
        <is>
          <t>HVAC</t>
        </is>
      </c>
      <c r="B32" s="8" t="n">
        <v>21239.23</v>
      </c>
      <c r="F32" s="8" t="n">
        <v>21239.23</v>
      </c>
    </row>
    <row r="33">
      <c r="A33" s="6" t="inlineStr">
        <is>
          <t>Electrical</t>
        </is>
      </c>
      <c r="B33" s="8" t="n">
        <v>15228.12</v>
      </c>
      <c r="F33" s="8" t="n">
        <v>15228.12</v>
      </c>
    </row>
    <row r="34">
      <c r="A34" s="6" t="inlineStr">
        <is>
          <t>Plumbing</t>
        </is>
      </c>
      <c r="B34" s="8" t="n">
        <v>18965.37</v>
      </c>
      <c r="F34" s="8" t="n">
        <v>18965.37</v>
      </c>
    </row>
    <row r="35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>
      <c r="A37" s="6" t="inlineStr">
        <is>
          <t>Doors &amp; Frames</t>
        </is>
      </c>
      <c r="B37" s="8" t="n">
        <v>13682.17</v>
      </c>
      <c r="F37" s="8" t="n">
        <v>13682.17</v>
      </c>
    </row>
    <row r="38">
      <c r="A38" s="6" t="inlineStr">
        <is>
          <t>Windows</t>
        </is>
      </c>
      <c r="B38" s="8" t="n">
        <v>8421.6</v>
      </c>
      <c r="F38" s="8" t="n">
        <v>8421.6</v>
      </c>
    </row>
    <row r="39">
      <c r="A39" s="6" t="inlineStr">
        <is>
          <t>Ceiling Systems</t>
        </is>
      </c>
      <c r="B39" s="8" t="n">
        <v>10172.24</v>
      </c>
      <c r="F39" s="8" t="n">
        <v>10172.24</v>
      </c>
    </row>
    <row r="40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>
      <c r="A41" s="6" t="inlineStr">
        <is>
          <t>Painting</t>
        </is>
      </c>
      <c r="B41" s="8" t="n">
        <v>9461.68</v>
      </c>
      <c r="F41" s="8" t="n">
        <v>9461.68</v>
      </c>
    </row>
    <row r="42">
      <c r="A42" s="6" t="inlineStr">
        <is>
          <t>Gutter Systems</t>
        </is>
      </c>
      <c r="B42" s="8" t="n">
        <v>1372.33</v>
      </c>
      <c r="F42" s="8" t="n">
        <v>1372.33</v>
      </c>
    </row>
    <row r="43">
      <c r="A43" s="6" t="inlineStr">
        <is>
          <t>Structural Framing</t>
        </is>
      </c>
      <c r="B43" s="8" t="n">
        <v>36121.06</v>
      </c>
      <c r="F43" s="8" t="n">
        <v>36121.06</v>
      </c>
    </row>
    <row r="44">
      <c r="A44" s="6" t="inlineStr">
        <is>
          <t>Stairs / Balconies</t>
        </is>
      </c>
      <c r="B44" s="8" t="n">
        <v>8546.32</v>
      </c>
      <c r="F44" s="8" t="n">
        <v>8546.32</v>
      </c>
    </row>
    <row r="45">
      <c r="A45" s="6" t="inlineStr">
        <is>
          <t>Bathroom Accessories</t>
        </is>
      </c>
      <c r="B45" s="8" t="n">
        <v>7694.19</v>
      </c>
      <c r="F45" s="8" t="n">
        <v>7694.19</v>
      </c>
    </row>
    <row r="46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8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131053.31</v>
      </c>
    </row>
    <row r="80">
      <c r="A80" s="25" t="inlineStr">
        <is>
          <t>Cost Segregation Corrected Depreciation</t>
        </is>
      </c>
      <c r="B80" s="29" t="n">
        <v>144217.92</v>
      </c>
    </row>
    <row r="81">
      <c r="A81" s="21" t="inlineStr">
        <is>
          <t>Section 481(a) Adjustment</t>
        </is>
      </c>
      <c r="B81" s="23" t="n">
        <v>-13164.61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7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26445.19</v>
      </c>
      <c r="C16" s="8" t="n">
        <v>26445.19</v>
      </c>
    </row>
    <row r="17">
      <c r="A17" s="6" t="inlineStr">
        <is>
          <t>Moldings</t>
        </is>
      </c>
      <c r="B17" s="8" t="n">
        <v>4635.69</v>
      </c>
      <c r="C17" s="8" t="n">
        <v>4635.69</v>
      </c>
    </row>
    <row r="18">
      <c r="A18" s="6" t="inlineStr">
        <is>
          <t>Flooring - Carpet</t>
        </is>
      </c>
      <c r="B18" s="8" t="n">
        <v>9118.09</v>
      </c>
      <c r="C18" s="8" t="n">
        <v>9118.09</v>
      </c>
    </row>
    <row r="19">
      <c r="A19" s="6" t="inlineStr">
        <is>
          <t>Flooring - Vinyl Plank</t>
        </is>
      </c>
      <c r="B19" s="8" t="n">
        <v>17166.07</v>
      </c>
      <c r="C19" s="8" t="n">
        <v>17166.07</v>
      </c>
    </row>
    <row r="20">
      <c r="A20" s="6" t="inlineStr">
        <is>
          <t>Door &amp; Window Guards</t>
        </is>
      </c>
      <c r="B20" s="8" t="n">
        <v>2842.52</v>
      </c>
      <c r="C20" s="8" t="n">
        <v>2842.52</v>
      </c>
    </row>
    <row r="21">
      <c r="A21" s="6" t="inlineStr">
        <is>
          <t>Window Treatments</t>
        </is>
      </c>
      <c r="B21" s="8" t="n">
        <v>2418.44</v>
      </c>
      <c r="C21" s="8" t="n">
        <v>2418.44</v>
      </c>
    </row>
    <row r="22">
      <c r="A22" s="6" t="inlineStr">
        <is>
          <t>Specialty HVAC - Dryer Vents</t>
        </is>
      </c>
      <c r="B22" s="8" t="n">
        <v>718.3</v>
      </c>
      <c r="C22" s="8" t="n">
        <v>718.3</v>
      </c>
    </row>
    <row r="23">
      <c r="A23" s="6" t="inlineStr">
        <is>
          <t>Building Signage</t>
        </is>
      </c>
      <c r="B23" s="8" t="n">
        <v>705.03</v>
      </c>
      <c r="C23" s="8" t="n">
        <v>705.03</v>
      </c>
    </row>
    <row r="24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>
      <c r="A25" s="6" t="inlineStr">
        <is>
          <t>Communication / Data</t>
        </is>
      </c>
      <c r="B25" s="8" t="n">
        <v>2600.58</v>
      </c>
      <c r="C25" s="8" t="n">
        <v>2600.58</v>
      </c>
    </row>
    <row r="26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>
      <c r="A27" s="6" t="inlineStr">
        <is>
          <t>Security / Exterior Lighting</t>
        </is>
      </c>
      <c r="B27" s="8" t="n">
        <v>1140.5</v>
      </c>
      <c r="C27" s="8" t="n">
        <v>1140.5</v>
      </c>
    </row>
    <row r="28">
      <c r="A28" s="6" t="inlineStr">
        <is>
          <t>Access Control</t>
        </is>
      </c>
      <c r="B28" s="8" t="n">
        <v>1360.86</v>
      </c>
      <c r="C28" s="8" t="n">
        <v>1360.86</v>
      </c>
    </row>
    <row r="29">
      <c r="A29" s="6" t="inlineStr">
        <is>
          <t>Appliances</t>
        </is>
      </c>
      <c r="B29" s="8" t="n">
        <v>14831.54</v>
      </c>
      <c r="C29" s="8" t="n">
        <v>14831.54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19166.81</v>
      </c>
      <c r="F31" s="8" t="n">
        <v>19166.81</v>
      </c>
    </row>
    <row r="32">
      <c r="A32" s="6" t="inlineStr">
        <is>
          <t>HVAC</t>
        </is>
      </c>
      <c r="B32" s="8" t="n">
        <v>26894.18</v>
      </c>
      <c r="F32" s="8" t="n">
        <v>26894.18</v>
      </c>
    </row>
    <row r="33">
      <c r="A33" s="6" t="inlineStr">
        <is>
          <t>Electrical</t>
        </is>
      </c>
      <c r="B33" s="8" t="n">
        <v>19273.71</v>
      </c>
      <c r="F33" s="8" t="n">
        <v>19273.71</v>
      </c>
    </row>
    <row r="34">
      <c r="A34" s="6" t="inlineStr">
        <is>
          <t>Plumbing</t>
        </is>
      </c>
      <c r="B34" s="8" t="n">
        <v>24003.39</v>
      </c>
      <c r="F34" s="8" t="n">
        <v>24003.39</v>
      </c>
    </row>
    <row r="35">
      <c r="A35" s="6" t="inlineStr">
        <is>
          <t>Fire Protection &amp; Alarm</t>
        </is>
      </c>
      <c r="B35" s="8" t="n">
        <v>23233.4</v>
      </c>
      <c r="F35" s="8" t="n">
        <v>23233.4</v>
      </c>
    </row>
    <row r="36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>
      <c r="A37" s="6" t="inlineStr">
        <is>
          <t>Doors &amp; Frames</t>
        </is>
      </c>
      <c r="B37" s="8" t="n">
        <v>17315.31</v>
      </c>
      <c r="F37" s="8" t="n">
        <v>17315.31</v>
      </c>
    </row>
    <row r="38">
      <c r="A38" s="6" t="inlineStr">
        <is>
          <t>Windows</t>
        </is>
      </c>
      <c r="B38" s="8" t="n">
        <v>10659.46</v>
      </c>
      <c r="F38" s="8" t="n">
        <v>10659.46</v>
      </c>
    </row>
    <row r="39">
      <c r="A39" s="6" t="inlineStr">
        <is>
          <t>Ceiling Systems</t>
        </is>
      </c>
      <c r="B39" s="8" t="n">
        <v>12873.87</v>
      </c>
      <c r="F39" s="8" t="n">
        <v>12873.87</v>
      </c>
    </row>
    <row r="40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>
      <c r="A41" s="6" t="inlineStr">
        <is>
          <t>Painting</t>
        </is>
      </c>
      <c r="B41" s="8" t="n">
        <v>11976.41</v>
      </c>
      <c r="F41" s="8" t="n">
        <v>11976.41</v>
      </c>
    </row>
    <row r="42">
      <c r="A42" s="6" t="inlineStr">
        <is>
          <t>Gutter Systems</t>
        </is>
      </c>
      <c r="B42" s="8" t="n">
        <v>1737.32</v>
      </c>
      <c r="F42" s="8" t="n">
        <v>1737.32</v>
      </c>
    </row>
    <row r="43">
      <c r="A43" s="6" t="inlineStr">
        <is>
          <t>Structural Framing</t>
        </is>
      </c>
      <c r="B43" s="8" t="n">
        <v>45720.62</v>
      </c>
      <c r="F43" s="8" t="n">
        <v>45720.62</v>
      </c>
    </row>
    <row r="44">
      <c r="A44" s="6" t="inlineStr">
        <is>
          <t>Stairs / Balconies</t>
        </is>
      </c>
      <c r="B44" s="8" t="n">
        <v>10815.9</v>
      </c>
      <c r="F44" s="8" t="n">
        <v>10815.9</v>
      </c>
    </row>
    <row r="45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8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166008.92</v>
      </c>
    </row>
    <row r="80">
      <c r="A80" s="25" t="inlineStr">
        <is>
          <t>Cost Segregation Corrected Depreciation</t>
        </is>
      </c>
      <c r="B80" s="29" t="n">
        <v>170980.22</v>
      </c>
    </row>
    <row r="81">
      <c r="A81" s="21" t="inlineStr">
        <is>
          <t>Section 481(a) Adjustment</t>
        </is>
      </c>
      <c r="B81" s="23" t="n">
        <v>-4971.3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8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20854.1</v>
      </c>
      <c r="C16" s="8" t="n">
        <v>20854.1</v>
      </c>
    </row>
    <row r="17">
      <c r="A17" s="6" t="inlineStr">
        <is>
          <t>Moldings</t>
        </is>
      </c>
      <c r="B17" s="8" t="n">
        <v>3659.01</v>
      </c>
      <c r="C17" s="8" t="n">
        <v>3659.01</v>
      </c>
    </row>
    <row r="18">
      <c r="A18" s="6" t="inlineStr">
        <is>
          <t>Flooring - Carpet</t>
        </is>
      </c>
      <c r="B18" s="8" t="n">
        <v>7197.38</v>
      </c>
      <c r="C18" s="8" t="n">
        <v>7197.38</v>
      </c>
    </row>
    <row r="19">
      <c r="A19" s="6" t="inlineStr">
        <is>
          <t>Flooring - Vinyl Plank</t>
        </is>
      </c>
      <c r="B19" s="8" t="n">
        <v>13553.55</v>
      </c>
      <c r="C19" s="8" t="n">
        <v>13553.55</v>
      </c>
    </row>
    <row r="20">
      <c r="A20" s="6" t="inlineStr">
        <is>
          <t>Door &amp; Window Guards</t>
        </is>
      </c>
      <c r="B20" s="8" t="n">
        <v>2244.55</v>
      </c>
      <c r="C20" s="8" t="n">
        <v>2244.55</v>
      </c>
    </row>
    <row r="21">
      <c r="A21" s="6" t="inlineStr">
        <is>
          <t>Window Treatments</t>
        </is>
      </c>
      <c r="B21" s="8" t="n">
        <v>1909.28</v>
      </c>
      <c r="C21" s="8" t="n">
        <v>1909.28</v>
      </c>
    </row>
    <row r="22">
      <c r="A22" s="6" t="inlineStr">
        <is>
          <t>Specialty HVAC - Dryer Vents</t>
        </is>
      </c>
      <c r="B22" s="8" t="n">
        <v>567.1</v>
      </c>
      <c r="C22" s="8" t="n">
        <v>567.1</v>
      </c>
    </row>
    <row r="23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>
      <c r="A25" s="6" t="inlineStr">
        <is>
          <t>Communication / Data</t>
        </is>
      </c>
      <c r="B25" s="8" t="n">
        <v>2054.21</v>
      </c>
      <c r="C25" s="8" t="n">
        <v>2054.21</v>
      </c>
    </row>
    <row r="26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>
      <c r="A27" s="6" t="inlineStr">
        <is>
          <t>Security / Exterior Lighting</t>
        </is>
      </c>
      <c r="B27" s="8" t="n">
        <v>900.48</v>
      </c>
      <c r="C27" s="8" t="n">
        <v>900.48</v>
      </c>
    </row>
    <row r="28">
      <c r="A28" s="6" t="inlineStr">
        <is>
          <t>Access Control</t>
        </is>
      </c>
      <c r="B28" s="8" t="n">
        <v>1074.91</v>
      </c>
      <c r="C28" s="8" t="n">
        <v>1074.91</v>
      </c>
    </row>
    <row r="29">
      <c r="A29" s="6" t="inlineStr">
        <is>
          <t>Appliances</t>
        </is>
      </c>
      <c r="B29" s="8" t="n">
        <v>11710.29</v>
      </c>
      <c r="C29" s="8" t="n">
        <v>11710.29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15135.94</v>
      </c>
      <c r="F31" s="8" t="n">
        <v>15135.94</v>
      </c>
    </row>
    <row r="32">
      <c r="A32" s="6" t="inlineStr">
        <is>
          <t>HVAC</t>
        </is>
      </c>
      <c r="B32" s="8" t="n">
        <v>21239.23</v>
      </c>
      <c r="F32" s="8" t="n">
        <v>21239.23</v>
      </c>
    </row>
    <row r="33">
      <c r="A33" s="6" t="inlineStr">
        <is>
          <t>Electrical</t>
        </is>
      </c>
      <c r="B33" s="8" t="n">
        <v>15228.12</v>
      </c>
      <c r="F33" s="8" t="n">
        <v>15228.12</v>
      </c>
    </row>
    <row r="34">
      <c r="A34" s="6" t="inlineStr">
        <is>
          <t>Plumbing</t>
        </is>
      </c>
      <c r="B34" s="8" t="n">
        <v>18965.37</v>
      </c>
      <c r="F34" s="8" t="n">
        <v>18965.37</v>
      </c>
    </row>
    <row r="35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>
      <c r="A37" s="6" t="inlineStr">
        <is>
          <t>Doors &amp; Frames</t>
        </is>
      </c>
      <c r="B37" s="8" t="n">
        <v>13682.17</v>
      </c>
      <c r="F37" s="8" t="n">
        <v>13682.17</v>
      </c>
    </row>
    <row r="38">
      <c r="A38" s="6" t="inlineStr">
        <is>
          <t>Windows</t>
        </is>
      </c>
      <c r="B38" s="8" t="n">
        <v>8421.6</v>
      </c>
      <c r="F38" s="8" t="n">
        <v>8421.6</v>
      </c>
    </row>
    <row r="39">
      <c r="A39" s="6" t="inlineStr">
        <is>
          <t>Ceiling Systems</t>
        </is>
      </c>
      <c r="B39" s="8" t="n">
        <v>10172.24</v>
      </c>
      <c r="F39" s="8" t="n">
        <v>10172.24</v>
      </c>
    </row>
    <row r="40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>
      <c r="A41" s="6" t="inlineStr">
        <is>
          <t>Painting</t>
        </is>
      </c>
      <c r="B41" s="8" t="n">
        <v>9461.68</v>
      </c>
      <c r="F41" s="8" t="n">
        <v>9461.68</v>
      </c>
    </row>
    <row r="42">
      <c r="A42" s="6" t="inlineStr">
        <is>
          <t>Gutter Systems</t>
        </is>
      </c>
      <c r="B42" s="8" t="n">
        <v>1372.33</v>
      </c>
      <c r="F42" s="8" t="n">
        <v>1372.33</v>
      </c>
    </row>
    <row r="43">
      <c r="A43" s="6" t="inlineStr">
        <is>
          <t>Structural Framing</t>
        </is>
      </c>
      <c r="B43" s="8" t="n">
        <v>36121.06</v>
      </c>
      <c r="F43" s="8" t="n">
        <v>36121.06</v>
      </c>
    </row>
    <row r="44">
      <c r="A44" s="6" t="inlineStr">
        <is>
          <t>Stairs / Balconies</t>
        </is>
      </c>
      <c r="B44" s="8" t="n">
        <v>8546.32</v>
      </c>
      <c r="F44" s="8" t="n">
        <v>8546.32</v>
      </c>
    </row>
    <row r="45">
      <c r="A45" s="6" t="inlineStr">
        <is>
          <t>Bathroom Accessories</t>
        </is>
      </c>
      <c r="B45" s="8" t="n">
        <v>7694.19</v>
      </c>
      <c r="F45" s="8" t="n">
        <v>7694.19</v>
      </c>
    </row>
    <row r="46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8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131053.31</v>
      </c>
    </row>
    <row r="80">
      <c r="A80" s="25" t="inlineStr">
        <is>
          <t>Cost Segregation Corrected Depreciation</t>
        </is>
      </c>
      <c r="B80" s="29" t="n">
        <v>144217.92</v>
      </c>
    </row>
    <row r="81">
      <c r="A81" s="21" t="inlineStr">
        <is>
          <t>Section 481(a) Adjustment</t>
        </is>
      </c>
      <c r="B81" s="23" t="n">
        <v>-13164.61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Building 9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20854.1</v>
      </c>
      <c r="C16" s="8" t="n">
        <v>20854.1</v>
      </c>
    </row>
    <row r="17">
      <c r="A17" s="6" t="inlineStr">
        <is>
          <t>Moldings</t>
        </is>
      </c>
      <c r="B17" s="8" t="n">
        <v>3659.01</v>
      </c>
      <c r="C17" s="8" t="n">
        <v>3659.01</v>
      </c>
    </row>
    <row r="18">
      <c r="A18" s="6" t="inlineStr">
        <is>
          <t>Flooring - Carpet</t>
        </is>
      </c>
      <c r="B18" s="8" t="n">
        <v>7197.38</v>
      </c>
      <c r="C18" s="8" t="n">
        <v>7197.38</v>
      </c>
    </row>
    <row r="19">
      <c r="A19" s="6" t="inlineStr">
        <is>
          <t>Flooring - Vinyl Plank</t>
        </is>
      </c>
      <c r="B19" s="8" t="n">
        <v>13553.55</v>
      </c>
      <c r="C19" s="8" t="n">
        <v>13553.55</v>
      </c>
    </row>
    <row r="20">
      <c r="A20" s="6" t="inlineStr">
        <is>
          <t>Door &amp; Window Guards</t>
        </is>
      </c>
      <c r="B20" s="8" t="n">
        <v>2244.55</v>
      </c>
      <c r="C20" s="8" t="n">
        <v>2244.55</v>
      </c>
    </row>
    <row r="21">
      <c r="A21" s="6" t="inlineStr">
        <is>
          <t>Window Treatments</t>
        </is>
      </c>
      <c r="B21" s="8" t="n">
        <v>1909.28</v>
      </c>
      <c r="C21" s="8" t="n">
        <v>1909.28</v>
      </c>
    </row>
    <row r="22">
      <c r="A22" s="6" t="inlineStr">
        <is>
          <t>Specialty HVAC - Dryer Vents</t>
        </is>
      </c>
      <c r="B22" s="8" t="n">
        <v>567.1</v>
      </c>
      <c r="C22" s="8" t="n">
        <v>567.1</v>
      </c>
    </row>
    <row r="23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>
      <c r="A25" s="6" t="inlineStr">
        <is>
          <t>Communication / Data</t>
        </is>
      </c>
      <c r="B25" s="8" t="n">
        <v>2054.21</v>
      </c>
      <c r="C25" s="8" t="n">
        <v>2054.21</v>
      </c>
    </row>
    <row r="26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>
      <c r="A27" s="6" t="inlineStr">
        <is>
          <t>Security / Exterior Lighting</t>
        </is>
      </c>
      <c r="B27" s="8" t="n">
        <v>900.48</v>
      </c>
      <c r="C27" s="8" t="n">
        <v>900.48</v>
      </c>
    </row>
    <row r="28">
      <c r="A28" s="6" t="inlineStr">
        <is>
          <t>Access Control</t>
        </is>
      </c>
      <c r="B28" s="8" t="n">
        <v>1074.91</v>
      </c>
      <c r="C28" s="8" t="n">
        <v>1074.91</v>
      </c>
    </row>
    <row r="29">
      <c r="A29" s="6" t="inlineStr">
        <is>
          <t>Appliances</t>
        </is>
      </c>
      <c r="B29" s="8" t="n">
        <v>11710.29</v>
      </c>
      <c r="C29" s="8" t="n">
        <v>11710.29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15135.94</v>
      </c>
      <c r="F31" s="8" t="n">
        <v>15135.94</v>
      </c>
    </row>
    <row r="32">
      <c r="A32" s="6" t="inlineStr">
        <is>
          <t>HVAC</t>
        </is>
      </c>
      <c r="B32" s="8" t="n">
        <v>21239.23</v>
      </c>
      <c r="F32" s="8" t="n">
        <v>21239.23</v>
      </c>
    </row>
    <row r="33">
      <c r="A33" s="6" t="inlineStr">
        <is>
          <t>Electrical</t>
        </is>
      </c>
      <c r="B33" s="8" t="n">
        <v>15228.12</v>
      </c>
      <c r="F33" s="8" t="n">
        <v>15228.12</v>
      </c>
    </row>
    <row r="34">
      <c r="A34" s="6" t="inlineStr">
        <is>
          <t>Plumbing</t>
        </is>
      </c>
      <c r="B34" s="8" t="n">
        <v>18965.37</v>
      </c>
      <c r="F34" s="8" t="n">
        <v>18965.37</v>
      </c>
    </row>
    <row r="35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>
      <c r="A37" s="6" t="inlineStr">
        <is>
          <t>Doors &amp; Frames</t>
        </is>
      </c>
      <c r="B37" s="8" t="n">
        <v>13682.17</v>
      </c>
      <c r="F37" s="8" t="n">
        <v>13682.17</v>
      </c>
    </row>
    <row r="38">
      <c r="A38" s="6" t="inlineStr">
        <is>
          <t>Windows</t>
        </is>
      </c>
      <c r="B38" s="8" t="n">
        <v>8421.6</v>
      </c>
      <c r="F38" s="8" t="n">
        <v>8421.6</v>
      </c>
    </row>
    <row r="39">
      <c r="A39" s="6" t="inlineStr">
        <is>
          <t>Ceiling Systems</t>
        </is>
      </c>
      <c r="B39" s="8" t="n">
        <v>10172.24</v>
      </c>
      <c r="F39" s="8" t="n">
        <v>10172.24</v>
      </c>
    </row>
    <row r="40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>
      <c r="A41" s="6" t="inlineStr">
        <is>
          <t>Painting</t>
        </is>
      </c>
      <c r="B41" s="8" t="n">
        <v>9461.68</v>
      </c>
      <c r="F41" s="8" t="n">
        <v>9461.68</v>
      </c>
    </row>
    <row r="42">
      <c r="A42" s="6" t="inlineStr">
        <is>
          <t>Gutter Systems</t>
        </is>
      </c>
      <c r="B42" s="8" t="n">
        <v>1372.33</v>
      </c>
      <c r="F42" s="8" t="n">
        <v>1372.33</v>
      </c>
    </row>
    <row r="43">
      <c r="A43" s="6" t="inlineStr">
        <is>
          <t>Structural Framing</t>
        </is>
      </c>
      <c r="B43" s="8" t="n">
        <v>36121.06</v>
      </c>
      <c r="F43" s="8" t="n">
        <v>36121.06</v>
      </c>
    </row>
    <row r="44">
      <c r="A44" s="6" t="inlineStr">
        <is>
          <t>Stairs / Balconies</t>
        </is>
      </c>
      <c r="B44" s="8" t="n">
        <v>8546.32</v>
      </c>
      <c r="F44" s="8" t="n">
        <v>8546.32</v>
      </c>
    </row>
    <row r="45">
      <c r="A45" s="6" t="inlineStr">
        <is>
          <t>Bathroom Accessories</t>
        </is>
      </c>
      <c r="B45" s="8" t="n">
        <v>7694.19</v>
      </c>
      <c r="F45" s="8" t="n">
        <v>7694.19</v>
      </c>
    </row>
    <row r="46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8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>
      <c r="A49" s="3" t="inlineStr">
        <is>
          <t>% of Building Cost</t>
        </is>
      </c>
      <c r="C49" s="26" t="n">
        <v>0.25</v>
      </c>
      <c r="F49" s="26" t="n">
        <v>0.75</v>
      </c>
    </row>
    <row r="50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>
      <c r="A51" s="24" t="inlineStr">
        <is>
          <t>Asset Allocation:</t>
        </is>
      </c>
    </row>
    <row r="52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60">
      <c r="A60" s="16" t="inlineStr">
        <is>
          <t>End Depreciation Reconciliation</t>
        </is>
      </c>
    </row>
    <row r="61">
      <c r="A61" s="9" t="inlineStr">
        <is>
          <t>Before Cost Segregation (As Previously Filed)</t>
        </is>
      </c>
    </row>
    <row r="62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8">
      <c r="A68" s="18" t="inlineStr">
        <is>
          <t>After Cost Segregation Correction</t>
        </is>
      </c>
    </row>
    <row r="69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8">
      <c r="A78" s="16" t="inlineStr">
        <is>
          <t>Section 481(a) Adjustment</t>
        </is>
      </c>
    </row>
    <row r="79">
      <c r="A79" s="25" t="inlineStr">
        <is>
          <t>Depreciation Reported Previously</t>
        </is>
      </c>
      <c r="B79" s="29" t="n">
        <v>131053.31</v>
      </c>
    </row>
    <row r="80">
      <c r="A80" s="25" t="inlineStr">
        <is>
          <t>Cost Segregation Corrected Depreciation</t>
        </is>
      </c>
      <c r="B80" s="29" t="n">
        <v>144217.92</v>
      </c>
    </row>
    <row r="81">
      <c r="A81" s="21" t="inlineStr">
        <is>
          <t>Section 481(a) Adjustment</t>
        </is>
      </c>
      <c r="B81" s="23" t="n">
        <v>-13164.61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5">
      <c r="A5" s="24" t="inlineStr">
        <is>
          <t>Acquisition Date:</t>
        </is>
      </c>
      <c r="B5" s="25" t="inlineStr">
        <is>
          <t>9/22/21</t>
        </is>
      </c>
    </row>
    <row r="8">
      <c r="A8" s="16" t="inlineStr">
        <is>
          <t>Coral Village Housing LP - Office</t>
        </is>
      </c>
    </row>
    <row r="13" ht="30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1" t="inlineStr">
        <is>
          <t>Building Components</t>
        </is>
      </c>
    </row>
    <row r="16">
      <c r="A16" s="6" t="inlineStr">
        <is>
          <t>Cabinets / Millwork</t>
        </is>
      </c>
      <c r="B16" s="8" t="n">
        <v>2291.97</v>
      </c>
      <c r="C16" s="8" t="n">
        <v>2291.97</v>
      </c>
    </row>
    <row r="17">
      <c r="A17" s="6" t="inlineStr">
        <is>
          <t>Moldings</t>
        </is>
      </c>
      <c r="B17" s="8" t="n">
        <v>2430.16</v>
      </c>
      <c r="C17" s="8" t="n">
        <v>2430.16</v>
      </c>
    </row>
    <row r="18">
      <c r="A18" s="6" t="inlineStr">
        <is>
          <t>Flooring - Carpet</t>
        </is>
      </c>
      <c r="B18" s="8" t="n">
        <v>2419.4</v>
      </c>
      <c r="C18" s="8" t="n">
        <v>2419.4</v>
      </c>
    </row>
    <row r="19">
      <c r="A19" s="6" t="inlineStr">
        <is>
          <t>Flooring - Vinyl Plank</t>
        </is>
      </c>
      <c r="B19" s="8" t="n">
        <v>555.89</v>
      </c>
      <c r="C19" s="8" t="n">
        <v>555.89</v>
      </c>
    </row>
    <row r="20">
      <c r="A20" s="6" t="inlineStr">
        <is>
          <t>Security System</t>
        </is>
      </c>
      <c r="B20" s="8" t="n">
        <v>599.12</v>
      </c>
      <c r="C20" s="8" t="n">
        <v>599.12</v>
      </c>
    </row>
    <row r="21">
      <c r="A21" s="6" t="inlineStr">
        <is>
          <t>Window Treatments</t>
        </is>
      </c>
      <c r="B21" s="8" t="n">
        <v>1112.48</v>
      </c>
      <c r="C21" s="8" t="n">
        <v>1112.48</v>
      </c>
    </row>
    <row r="22">
      <c r="A22" s="6" t="inlineStr">
        <is>
          <t>Specialty HVAC - Dryer Vents</t>
        </is>
      </c>
      <c r="B22" s="8" t="n">
        <v>269.36</v>
      </c>
      <c r="C22" s="8" t="n">
        <v>269.36</v>
      </c>
    </row>
    <row r="23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>
      <c r="A25" s="6" t="inlineStr">
        <is>
          <t>Communication / Data</t>
        </is>
      </c>
      <c r="B25" s="8" t="n">
        <v>3490.05</v>
      </c>
      <c r="C25" s="8" t="n">
        <v>3490.05</v>
      </c>
    </row>
    <row r="26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>
      <c r="A27" s="6" t="inlineStr">
        <is>
          <t>Security / Exterior Lighting</t>
        </is>
      </c>
      <c r="B27" s="8" t="n">
        <v>554.78</v>
      </c>
      <c r="C27" s="8" t="n">
        <v>554.78</v>
      </c>
    </row>
    <row r="28">
      <c r="A28" s="6" t="inlineStr">
        <is>
          <t>Canopies / Awnings</t>
        </is>
      </c>
      <c r="B28" s="8" t="n">
        <v>2385.48</v>
      </c>
      <c r="C28" s="8" t="n">
        <v>2385.48</v>
      </c>
    </row>
    <row r="29">
      <c r="A29" s="6" t="inlineStr">
        <is>
          <t>Appliances</t>
        </is>
      </c>
      <c r="B29" s="8" t="n">
        <v>3435.67</v>
      </c>
      <c r="C29" s="8" t="n">
        <v>3435.67</v>
      </c>
    </row>
    <row r="30">
      <c r="A30" s="11" t="inlineStr">
        <is>
          <t>Building Structure</t>
        </is>
      </c>
    </row>
    <row r="31">
      <c r="A31" s="6" t="inlineStr">
        <is>
          <t>Foundations</t>
        </is>
      </c>
      <c r="B31" s="8" t="n">
        <v>14287.74</v>
      </c>
      <c r="F31" s="8" t="n">
        <v>14287.74</v>
      </c>
    </row>
    <row r="32">
      <c r="A32" s="6" t="inlineStr">
        <is>
          <t>HVAC</t>
        </is>
      </c>
      <c r="B32" s="8" t="n">
        <v>9649.9</v>
      </c>
      <c r="F32" s="8" t="n">
        <v>9649.9</v>
      </c>
    </row>
    <row r="33">
      <c r="A33" s="6" t="inlineStr">
        <is>
          <t>Electrical</t>
        </is>
      </c>
      <c r="B33" s="8" t="n">
        <v>10065.83</v>
      </c>
      <c r="F33" s="8" t="n">
        <v>10065.83</v>
      </c>
    </row>
    <row r="34">
      <c r="A34" s="6" t="inlineStr">
        <is>
          <t>Plumbing</t>
        </is>
      </c>
      <c r="B34" s="8" t="n">
        <v>5264.8</v>
      </c>
      <c r="F34" s="8" t="n">
        <v>5264.8</v>
      </c>
    </row>
    <row r="35">
      <c r="A35" s="6" t="inlineStr">
        <is>
          <t>Fire Protection &amp; Alarm</t>
        </is>
      </c>
      <c r="B35" s="8" t="n">
        <v>12711.3</v>
      </c>
      <c r="F35" s="8" t="n">
        <v>12711.3</v>
      </c>
    </row>
    <row r="36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>
      <c r="A37" s="6" t="inlineStr">
        <is>
          <t>Doors &amp; Frames</t>
        </is>
      </c>
      <c r="B37" s="8" t="n">
        <v>6989.18</v>
      </c>
      <c r="F37" s="8" t="n">
        <v>6989.18</v>
      </c>
    </row>
    <row r="38">
      <c r="A38" s="6" t="inlineStr">
        <is>
          <t>Windows</t>
        </is>
      </c>
      <c r="B38" s="8" t="n">
        <v>4903.35</v>
      </c>
      <c r="F38" s="8" t="n">
        <v>4903.35</v>
      </c>
    </row>
    <row r="39">
      <c r="A39" s="6" t="inlineStr">
        <is>
          <t>Ceiling Systems</t>
        </is>
      </c>
      <c r="B39" s="8" t="n">
        <v>4624.69</v>
      </c>
      <c r="F39" s="8" t="n">
        <v>4624.69</v>
      </c>
    </row>
    <row r="40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>
      <c r="A41" s="6" t="inlineStr">
        <is>
          <t>Painting</t>
        </is>
      </c>
      <c r="B41" s="8" t="n">
        <v>5494.23</v>
      </c>
      <c r="F41" s="8" t="n">
        <v>5494.23</v>
      </c>
    </row>
    <row r="42">
      <c r="A42" s="6" t="inlineStr">
        <is>
          <t>Gutter Systems</t>
        </is>
      </c>
      <c r="B42" s="8" t="n">
        <v>966.23</v>
      </c>
      <c r="F42" s="8" t="n">
        <v>966.23</v>
      </c>
    </row>
    <row r="43">
      <c r="A43" s="6" t="inlineStr">
        <is>
          <t>Emergency Lighting</t>
        </is>
      </c>
      <c r="B43" s="8" t="n">
        <v>569.85</v>
      </c>
      <c r="F43" s="8" t="n">
        <v>569.85</v>
      </c>
    </row>
    <row r="44">
      <c r="A44" s="6" t="inlineStr">
        <is>
          <t>Structural Framing</t>
        </is>
      </c>
      <c r="B44" s="8" t="n">
        <v>27454.27</v>
      </c>
      <c r="F44" s="8" t="n">
        <v>27454.27</v>
      </c>
    </row>
    <row r="45">
      <c r="A45" s="6" t="inlineStr">
        <is>
          <t>Bathroom Accessories</t>
        </is>
      </c>
      <c r="B45" s="8" t="n">
        <v>3061.44</v>
      </c>
      <c r="F45" s="8" t="n">
        <v>3061.44</v>
      </c>
    </row>
    <row r="46">
      <c r="A46" s="6" t="inlineStr">
        <is>
          <t>Ceramic Tile Flooring</t>
        </is>
      </c>
      <c r="B46" s="8" t="n">
        <v>6574.58</v>
      </c>
      <c r="F46" s="8" t="n">
        <v>6574.58</v>
      </c>
    </row>
    <row r="47">
      <c r="A47" s="6" t="inlineStr">
        <is>
          <t>Cabinets / Millwork - Restrooms</t>
        </is>
      </c>
      <c r="B47" s="8" t="n">
        <v>134.1</v>
      </c>
      <c r="F47" s="8" t="n">
        <v>134.1</v>
      </c>
    </row>
    <row r="49">
      <c r="A49" s="9" t="inlineStr">
        <is>
          <t>Total Building Cost</t>
        </is>
      </c>
      <c r="B49" s="10" t="n">
        <v>157198.91</v>
      </c>
      <c r="C49" s="10" t="n">
        <v>24293.85</v>
      </c>
      <c r="F49" s="10" t="n">
        <v>132905.06</v>
      </c>
    </row>
    <row r="50">
      <c r="A50" s="3" t="inlineStr">
        <is>
          <t>% of Building Cost</t>
        </is>
      </c>
      <c r="C50" s="26" t="n">
        <v>0.155</v>
      </c>
      <c r="F50" s="26" t="n">
        <v>0.845</v>
      </c>
    </row>
    <row r="51">
      <c r="A51" s="27" t="inlineStr">
        <is>
          <t>TOTALS</t>
        </is>
      </c>
      <c r="B51" s="13">
        <f>SUM(B16:B48)</f>
        <v/>
      </c>
      <c r="C51" s="13">
        <f>SUM(C16:C48)</f>
        <v/>
      </c>
      <c r="E51" s="27" t="inlineStr">
        <is>
          <t>TOTALS</t>
        </is>
      </c>
      <c r="F51" s="13">
        <f>SUM(F16:F48)</f>
        <v/>
      </c>
    </row>
    <row r="52">
      <c r="A52" s="24" t="inlineStr">
        <is>
          <t>Asset Allocation:</t>
        </is>
      </c>
    </row>
    <row r="53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>
      <c r="A56" s="18" t="inlineStr">
        <is>
          <t>Total Allocation:</t>
        </is>
      </c>
      <c r="B56" s="20" t="n">
        <v>157198.91</v>
      </c>
      <c r="C56" s="20" t="n">
        <v>24293.85</v>
      </c>
      <c r="F56" s="20" t="n">
        <v>132905.06</v>
      </c>
    </row>
    <row r="57">
      <c r="A57" s="27" t="inlineStr">
        <is>
          <t>TOTALS</t>
        </is>
      </c>
      <c r="B57" s="13">
        <f>SUM(B53:B55)</f>
        <v/>
      </c>
      <c r="C57" s="13">
        <f>SUM(C53:C55)</f>
        <v/>
      </c>
      <c r="E57" s="27" t="inlineStr">
        <is>
          <t>TOTALS</t>
        </is>
      </c>
      <c r="F57" s="13">
        <f>SUM(F53:F55)</f>
        <v/>
      </c>
    </row>
    <row r="61">
      <c r="A61" s="16" t="inlineStr">
        <is>
          <t>End Depreciation Reconciliation</t>
        </is>
      </c>
    </row>
    <row r="62">
      <c r="A62" s="9" t="inlineStr">
        <is>
          <t>Before Cost Segregation (As Previously Filed)</t>
        </is>
      </c>
    </row>
    <row r="63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9974.940000000001</v>
      </c>
      <c r="F64" s="8" t="n">
        <v>9974.940000000001</v>
      </c>
      <c r="G64" s="8" t="n">
        <v>14327.64</v>
      </c>
      <c r="H64" s="5" t="inlineStr">
        <is>
          <t>S/L</t>
        </is>
      </c>
      <c r="I64" s="28" t="n">
        <v>27.5</v>
      </c>
    </row>
    <row r="65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>
      <c r="A67" s="9" t="inlineStr">
        <is>
          <t>Grand Total</t>
        </is>
      </c>
      <c r="B67" s="10" t="n">
        <v>157198.91</v>
      </c>
      <c r="C67" s="10" t="n">
        <v>37499.85</v>
      </c>
      <c r="D67" s="10" t="n">
        <v>47474.79</v>
      </c>
      <c r="E67" s="10" t="n">
        <v>4352.7</v>
      </c>
      <c r="F67" s="10" t="n">
        <v>51827.49</v>
      </c>
      <c r="G67" s="10" t="n">
        <v>105371.42</v>
      </c>
    </row>
    <row r="69">
      <c r="A69" s="18" t="inlineStr">
        <is>
          <t>After Cost Segregation Correction</t>
        </is>
      </c>
    </row>
    <row r="70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18498.54</v>
      </c>
      <c r="H71" s="5" t="inlineStr">
        <is>
          <t>200DB</t>
        </is>
      </c>
      <c r="I71" s="28" t="n">
        <v>5</v>
      </c>
    </row>
    <row r="72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12113.4</v>
      </c>
      <c r="H72" s="5" t="inlineStr">
        <is>
          <t>S/L</t>
        </is>
      </c>
      <c r="I72" s="28" t="n">
        <v>27.5</v>
      </c>
    </row>
    <row r="73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2015.76</v>
      </c>
      <c r="H73" s="5" t="inlineStr">
        <is>
          <t>200DB</t>
        </is>
      </c>
      <c r="I73" s="28" t="n">
        <v>5</v>
      </c>
    </row>
    <row r="74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1319.99</v>
      </c>
      <c r="H74" s="5" t="inlineStr">
        <is>
          <t>S/L</t>
        </is>
      </c>
      <c r="I74" s="28" t="n">
        <v>27.5</v>
      </c>
    </row>
    <row r="75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3779.55</v>
      </c>
      <c r="H75" s="5" t="inlineStr">
        <is>
          <t>200DB</t>
        </is>
      </c>
      <c r="I75" s="28" t="n">
        <v>5</v>
      </c>
    </row>
    <row r="76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2474.97</v>
      </c>
      <c r="H76" s="5" t="inlineStr">
        <is>
          <t>S/L</t>
        </is>
      </c>
      <c r="I76" s="28" t="n">
        <v>27.5</v>
      </c>
    </row>
    <row r="77">
      <c r="A77" s="18" t="inlineStr">
        <is>
          <t>Grand Total</t>
        </is>
      </c>
      <c r="B77" s="20" t="n">
        <v>157198.91</v>
      </c>
      <c r="C77" s="20" t="n">
        <v>24293.85</v>
      </c>
      <c r="D77" s="20" t="n">
        <v>35369.29</v>
      </c>
      <c r="E77" s="20" t="n">
        <v>4832.92</v>
      </c>
      <c r="F77" s="20" t="n">
        <v>40202.21</v>
      </c>
      <c r="G77" s="20" t="n">
        <v>116996.7</v>
      </c>
    </row>
    <row r="79">
      <c r="A79" s="16" t="inlineStr">
        <is>
          <t>Section 481(a) Adjustment</t>
        </is>
      </c>
    </row>
    <row r="80">
      <c r="A80" s="25" t="inlineStr">
        <is>
          <t>Depreciation Reported Previously</t>
        </is>
      </c>
      <c r="B80" s="29" t="n">
        <v>51827.49</v>
      </c>
    </row>
    <row r="81">
      <c r="A81" s="25" t="inlineStr">
        <is>
          <t>Cost Segregation Corrected Depreciation</t>
        </is>
      </c>
      <c r="B81" s="29" t="n">
        <v>40202.21</v>
      </c>
    </row>
    <row r="82">
      <c r="A82" s="21" t="inlineStr">
        <is>
          <t>Section 481(a) Adjustment</t>
        </is>
      </c>
      <c r="B82" s="23" t="n">
        <v>11625.28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2026-07-07T17:44:29Z</dcterms:created>
  <dcterms:modified xmlns:dcterms="http://purl.org/dc/terms/" xmlns:xsi="http://www.w3.org/2001/XMLSchema-instance" xsi:type="dcterms:W3CDTF">2026-07-07T17:44:30Z</dcterms:modified>
</cp:coreProperties>
</file>