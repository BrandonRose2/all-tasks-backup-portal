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il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  <xf numFmtId="39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8" max="8"/>
    <col width="16" customWidth="1" min="10" max="10"/>
    <col width="16" customWidth="1" min="12" max="12"/>
  </cols>
  <sheetData>
    <row r="1">
      <c r="A1" s="1" t="inlineStr">
        <is>
          <t>Fairfax Senior Apartments, LLC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J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building</t>
        </is>
      </c>
      <c r="H10" s="3" t="inlineStr">
        <is>
          <t>total cost</t>
        </is>
      </c>
      <c r="J10" s="3" t="inlineStr">
        <is>
          <t>building</t>
        </is>
      </c>
      <c r="L10" s="3" t="inlineStr">
        <is>
          <t>total</t>
        </is>
      </c>
    </row>
    <row r="11">
      <c r="B11" s="2" t="inlineStr">
        <is>
          <t>5 Year Property</t>
        </is>
      </c>
      <c r="F11" s="2" t="n">
        <v>163089.67</v>
      </c>
      <c r="H11" s="2" t="n">
        <v>163089.67</v>
      </c>
    </row>
    <row r="12">
      <c r="B12" s="2" t="inlineStr">
        <is>
          <t>15 Year Property</t>
        </is>
      </c>
      <c r="F12" s="2" t="n">
        <v>20065.85</v>
      </c>
      <c r="H12" s="2" t="n">
        <v>20065.85</v>
      </c>
    </row>
    <row r="13">
      <c r="B13" s="2" t="inlineStr">
        <is>
          <t>27.5 Year Property</t>
        </is>
      </c>
      <c r="F13" s="2" t="n">
        <v>641684.48</v>
      </c>
      <c r="H13" s="2" t="n">
        <v>641684.48</v>
      </c>
    </row>
    <row r="14">
      <c r="B14" s="2" t="inlineStr">
        <is>
          <t>Total</t>
        </is>
      </c>
      <c r="F14" s="2" t="n">
        <v>824840</v>
      </c>
      <c r="H14" s="2" t="n">
        <v>824840</v>
      </c>
    </row>
    <row r="15">
      <c r="F15" s="4">
        <f>SUM(F11:F14)</f>
        <v/>
      </c>
    </row>
    <row r="16">
      <c r="B16" s="1" t="inlineStr">
        <is>
          <t>Total</t>
        </is>
      </c>
      <c r="F16" s="2" t="n">
        <v>824840</v>
      </c>
      <c r="H16" s="2" t="n">
        <v>824840</v>
      </c>
      <c r="J16" s="5" t="n">
        <v>149699</v>
      </c>
      <c r="L16" s="5" t="n">
        <v>149699</v>
      </c>
    </row>
    <row r="17">
      <c r="J17" s="5" t="n">
        <v>149699</v>
      </c>
      <c r="L17" s="5" t="n">
        <v>149699</v>
      </c>
    </row>
    <row r="18">
      <c r="B18" s="1" t="inlineStr">
        <is>
          <t>MACRS Reclassification</t>
        </is>
      </c>
    </row>
    <row r="20">
      <c r="B20" s="2" t="inlineStr">
        <is>
          <t>17 - Building &amp; improvements - Fairfax Senior Apartments, LLC - 5yr</t>
        </is>
      </c>
      <c r="F20" s="2" t="n">
        <v>4419.59</v>
      </c>
      <c r="H20" s="2" t="n">
        <v>4419.59</v>
      </c>
      <c r="J20" s="5" t="n">
        <v>4419.59</v>
      </c>
      <c r="L20" s="5" t="n">
        <v>4419.59</v>
      </c>
    </row>
    <row r="21">
      <c r="B21" s="2" t="inlineStr">
        <is>
          <t>17 - Building &amp; improvements - Fairfax Senior Apartments, LLC - 15yr</t>
        </is>
      </c>
      <c r="F21" s="2" t="n">
        <v>563.4</v>
      </c>
      <c r="H21" s="2" t="n">
        <v>563.4</v>
      </c>
      <c r="J21" s="5" t="n">
        <v>563.4</v>
      </c>
      <c r="L21" s="5" t="n">
        <v>563.4</v>
      </c>
    </row>
    <row r="22">
      <c r="B22" s="2" t="inlineStr">
        <is>
          <t>17 - Building &amp; improvements - Fairfax Senior Apartments, LLC - 27.5yr</t>
        </is>
      </c>
      <c r="F22" s="2" t="n">
        <v>18017.01</v>
      </c>
      <c r="H22" s="2" t="n">
        <v>18017.01</v>
      </c>
      <c r="J22" s="5" t="n">
        <v>18017.01</v>
      </c>
      <c r="L22" s="5" t="n">
        <v>18017.01</v>
      </c>
    </row>
    <row r="23">
      <c r="B23" s="2" t="inlineStr">
        <is>
          <t>21 - Building Step Up 754 - Fairfax Senior Apartments, LLC - 5yr</t>
        </is>
      </c>
      <c r="F23" s="2" t="n">
        <v>139531.13</v>
      </c>
      <c r="H23" s="2" t="n">
        <v>139531.13</v>
      </c>
      <c r="J23" s="5" t="n">
        <v>139531.13</v>
      </c>
      <c r="L23" s="5" t="n">
        <v>139531.13</v>
      </c>
    </row>
    <row r="24">
      <c r="B24" s="2" t="inlineStr">
        <is>
          <t>21 - Building Step Up 754 - Fairfax Senior Apartments, LLC - 15yr</t>
        </is>
      </c>
      <c r="F24" s="2" t="n">
        <v>17787.23</v>
      </c>
      <c r="H24" s="2" t="n">
        <v>17787.23</v>
      </c>
      <c r="J24" s="5" t="n">
        <v>17787.23</v>
      </c>
      <c r="L24" s="5" t="n">
        <v>17787.23</v>
      </c>
    </row>
    <row r="25">
      <c r="B25" s="2" t="inlineStr">
        <is>
          <t>21 - Building Step Up 754 - Fairfax Senior Apartments, LLC - 27.5yr</t>
        </is>
      </c>
      <c r="F25" s="2" t="n">
        <v>568816.64</v>
      </c>
      <c r="H25" s="2" t="n">
        <v>568816.64</v>
      </c>
      <c r="J25" s="5" t="n">
        <v>568816.64</v>
      </c>
      <c r="L25" s="5" t="n">
        <v>568816.64</v>
      </c>
    </row>
    <row r="26">
      <c r="B26" s="2" t="inlineStr">
        <is>
          <t>22 - Bldg Improv 754 - Fairfax Senior Apartments, LLC - 5yr</t>
        </is>
      </c>
      <c r="F26" s="2" t="n">
        <v>13454.95</v>
      </c>
      <c r="H26" s="2" t="n">
        <v>13454.95</v>
      </c>
      <c r="J26" s="5" t="n">
        <v>13454.95</v>
      </c>
      <c r="L26" s="5" t="n">
        <v>13454.95</v>
      </c>
    </row>
    <row r="27">
      <c r="B27" s="2" t="inlineStr">
        <is>
          <t>22 - Bldg Improv 754 - Fairfax Senior Apartments, LLC - 15yr</t>
        </is>
      </c>
      <c r="F27" s="2" t="n">
        <v>1715.22</v>
      </c>
      <c r="H27" s="2" t="n">
        <v>1715.22</v>
      </c>
      <c r="J27" s="5" t="n">
        <v>1715.22</v>
      </c>
      <c r="L27" s="5" t="n">
        <v>1715.22</v>
      </c>
    </row>
    <row r="28">
      <c r="B28" s="2" t="inlineStr">
        <is>
          <t>22 - Bldg Improv 754 - Fairfax Senior Apartments, LLC - 27.5yr</t>
        </is>
      </c>
      <c r="F28" s="2" t="n">
        <v>54850.83</v>
      </c>
      <c r="H28" s="2" t="n">
        <v>54850.83</v>
      </c>
      <c r="J28" s="5" t="n">
        <v>54850.83</v>
      </c>
      <c r="L28" s="5" t="n">
        <v>54850.83</v>
      </c>
    </row>
    <row r="29">
      <c r="B29" s="2" t="inlineStr">
        <is>
          <t>24 - Appliances &amp; Equip 754 - Fairfax Senior Apartments, LLC - 5yr</t>
        </is>
      </c>
      <c r="F29" s="2" t="n">
        <v>5684</v>
      </c>
      <c r="H29" s="2" t="n">
        <v>5684</v>
      </c>
      <c r="J29" s="5" t="n">
        <v>5684</v>
      </c>
      <c r="L29" s="5" t="n">
        <v>5684</v>
      </c>
    </row>
    <row r="32">
      <c r="F32" s="4">
        <f>SUM(F20:F31)</f>
        <v/>
      </c>
    </row>
    <row r="33">
      <c r="B33" s="6" t="inlineStr">
        <is>
          <t>Total MACRS Reclassification</t>
        </is>
      </c>
      <c r="F33" s="7">
        <f>SUM(F20:F31)</f>
        <v/>
      </c>
      <c r="H33" s="7" t="n">
        <v>824840</v>
      </c>
    </row>
    <row r="35">
      <c r="B35" s="1" t="inlineStr">
        <is>
          <t>Difference (should be zero)</t>
        </is>
      </c>
      <c r="F35" s="8">
        <f>+F16-F33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149699</v>
      </c>
      <c r="H38" s="5" t="n">
        <v>149699</v>
      </c>
    </row>
    <row r="39">
      <c r="B39" s="2" t="inlineStr">
        <is>
          <t>17 - Building &amp; improvements - Fairfax Senior Apartments, LLC - 5yr</t>
        </is>
      </c>
      <c r="F39" s="5" t="n">
        <v>1579.019192315964</v>
      </c>
      <c r="H39" s="5" t="n">
        <v>1579.019192315964</v>
      </c>
    </row>
    <row r="40">
      <c r="B40" s="2" t="inlineStr">
        <is>
          <t>17 - Building &amp; improvements - Fairfax Senior Apartments, LLC - 15yr</t>
        </is>
      </c>
      <c r="F40" s="5" t="n">
        <v>201.2900320959216</v>
      </c>
      <c r="H40" s="5" t="n">
        <v>201.2900320959216</v>
      </c>
    </row>
    <row r="41">
      <c r="B41" s="2" t="inlineStr">
        <is>
          <t>17 - Building &amp; improvements - Fairfax Senior Apartments, LLC - 27.5yr</t>
        </is>
      </c>
      <c r="F41" s="5" t="n">
        <v>6437.068727675791</v>
      </c>
      <c r="H41" s="5" t="n">
        <v>6437.068727675791</v>
      </c>
    </row>
    <row r="42">
      <c r="B42" s="2" t="inlineStr">
        <is>
          <t>21 - Building Step Up 754 - Fairfax Senior Apartments, LLC - 5yr</t>
        </is>
      </c>
      <c r="F42" s="5" t="n">
        <v>49851.30570834259</v>
      </c>
      <c r="H42" s="5" t="n">
        <v>49851.30570834259</v>
      </c>
    </row>
    <row r="43">
      <c r="B43" s="2" t="inlineStr">
        <is>
          <t>21 - Building Step Up 754 - Fairfax Senior Apartments, LLC - 15yr</t>
        </is>
      </c>
      <c r="F43" s="5" t="n">
        <v>6354.973549161413</v>
      </c>
      <c r="H43" s="5" t="n">
        <v>6354.973549161413</v>
      </c>
    </row>
    <row r="44">
      <c r="B44" s="2" t="inlineStr">
        <is>
          <t>21 - Building Step Up 754 - Fairfax Senior Apartments, LLC - 27.5yr</t>
        </is>
      </c>
      <c r="F44" s="5" t="n">
        <v>203225.2746224606</v>
      </c>
      <c r="H44" s="5" t="n">
        <v>203225.2746224606</v>
      </c>
    </row>
    <row r="45">
      <c r="B45" s="2" t="inlineStr">
        <is>
          <t>22 - Bldg Improv 754 - Fairfax Senior Apartments, LLC - 5yr</t>
        </is>
      </c>
      <c r="F45" s="5" t="n">
        <v>4807.148238106179</v>
      </c>
      <c r="H45" s="5" t="n">
        <v>4807.148238106179</v>
      </c>
    </row>
    <row r="46">
      <c r="B46" s="2" t="inlineStr">
        <is>
          <t>22 - Bldg Improv 754 - Fairfax Senior Apartments, LLC - 15yr</t>
        </is>
      </c>
      <c r="F46" s="5" t="n">
        <v>612.8091743904272</v>
      </c>
      <c r="H46" s="5" t="n">
        <v>612.8091743904272</v>
      </c>
    </row>
    <row r="47">
      <c r="B47" s="2" t="inlineStr">
        <is>
          <t>22 - Bldg Improv 754 - Fairfax Senior Apartments, LLC - 27.5yr</t>
        </is>
      </c>
      <c r="F47" s="5" t="n">
        <v>19596.95656937867</v>
      </c>
      <c r="H47" s="5" t="n">
        <v>19596.95656937867</v>
      </c>
    </row>
    <row r="48">
      <c r="B48" s="2" t="inlineStr">
        <is>
          <t>24 - Appliances &amp; Equip 754 - Fairfax Senior Apartments, LLC - 5yr</t>
        </is>
      </c>
      <c r="F48" s="5" t="n">
        <v>2030.76418607245</v>
      </c>
      <c r="H48" s="5" t="n">
        <v>2030.76418607245</v>
      </c>
    </row>
    <row r="51">
      <c r="B51" s="2" t="inlineStr">
        <is>
          <t>After Cost Segregation (Corrected)</t>
        </is>
      </c>
      <c r="F51" s="9" t="n">
        <v>294696.61</v>
      </c>
      <c r="H51" s="9" t="n">
        <v>294696.61</v>
      </c>
    </row>
    <row r="52">
      <c r="B52" s="10" t="inlineStr">
        <is>
          <t>Section 481(a) Adjustment</t>
        </is>
      </c>
      <c r="F52" s="11" t="n">
        <v>-144997.61</v>
      </c>
      <c r="H52" s="11" t="n">
        <v>-144997.61</v>
      </c>
    </row>
    <row r="53">
      <c r="F53">
        <f>SUM(F39:F50)</f>
        <v/>
      </c>
    </row>
    <row r="54">
      <c r="F54" s="12">
        <f>F53-F51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Fairfax Senior Apartments, LLC</t>
        </is>
      </c>
    </row>
    <row r="2">
      <c r="A2" s="2" t="inlineStr">
        <is>
          <t>Cost Segregation Study - Building</t>
        </is>
      </c>
    </row>
    <row r="3">
      <c r="A3" s="2" t="inlineStr">
        <is>
          <t>Report #107752-35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Fairfax Senior Apartments, LLC - Building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28850.51</v>
      </c>
      <c r="C11" s="13" t="n">
        <v>28850.51</v>
      </c>
    </row>
    <row r="12">
      <c r="A12" s="2" t="inlineStr">
        <is>
          <t>Moldings</t>
        </is>
      </c>
      <c r="B12" s="13" t="n">
        <v>10378.63</v>
      </c>
      <c r="C12" s="13" t="n">
        <v>10378.63</v>
      </c>
    </row>
    <row r="13">
      <c r="A13" s="2" t="inlineStr">
        <is>
          <t>Wood Flooring</t>
        </is>
      </c>
      <c r="B13" s="13" t="n">
        <v>61366.84</v>
      </c>
      <c r="C13" s="13" t="n">
        <v>61366.84</v>
      </c>
    </row>
    <row r="14">
      <c r="A14" s="2" t="inlineStr">
        <is>
          <t>Wall Coverings</t>
        </is>
      </c>
      <c r="B14" s="13" t="n">
        <v>2705.2</v>
      </c>
      <c r="C14" s="13" t="n">
        <v>2705.2</v>
      </c>
    </row>
    <row r="15">
      <c r="A15" s="2" t="inlineStr">
        <is>
          <t>Security System</t>
        </is>
      </c>
      <c r="B15" s="13" t="n">
        <v>1047.7</v>
      </c>
      <c r="C15" s="13" t="n">
        <v>1047.7</v>
      </c>
    </row>
    <row r="16">
      <c r="A16" s="2" t="inlineStr">
        <is>
          <t>Window Treatments</t>
        </is>
      </c>
      <c r="B16" s="13" t="n">
        <v>4835.55</v>
      </c>
      <c r="C16" s="13" t="n">
        <v>4835.55</v>
      </c>
    </row>
    <row r="17">
      <c r="A17" s="2" t="inlineStr">
        <is>
          <t>Specialty HVAC - Dryer Vents</t>
        </is>
      </c>
      <c r="B17" s="13" t="n">
        <v>101.65</v>
      </c>
      <c r="C17" s="13" t="n">
        <v>101.65</v>
      </c>
    </row>
    <row r="18">
      <c r="A18" s="2" t="inlineStr">
        <is>
          <t>Building Signage</t>
        </is>
      </c>
      <c r="B18" s="13" t="n">
        <v>667.13</v>
      </c>
      <c r="C18" s="13" t="n">
        <v>667.13</v>
      </c>
    </row>
    <row r="19">
      <c r="A19" s="2" t="inlineStr">
        <is>
          <t>Specialty Electrical - Appliances</t>
        </is>
      </c>
      <c r="B19" s="13" t="n">
        <v>10926.3</v>
      </c>
      <c r="C19" s="13" t="n">
        <v>10926.3</v>
      </c>
    </row>
    <row r="20">
      <c r="A20" s="2" t="inlineStr">
        <is>
          <t>Communication / Data</t>
        </is>
      </c>
      <c r="B20" s="13" t="n">
        <v>5431.06</v>
      </c>
      <c r="C20" s="13" t="n">
        <v>5431.06</v>
      </c>
    </row>
    <row r="21">
      <c r="A21" s="2" t="inlineStr">
        <is>
          <t>Specialty Plumbing - Kitchen Sinks / Laundry</t>
        </is>
      </c>
      <c r="B21" s="13" t="n">
        <v>17560.96</v>
      </c>
      <c r="C21" s="13" t="n">
        <v>17560.96</v>
      </c>
    </row>
    <row r="22">
      <c r="A22" s="2" t="inlineStr">
        <is>
          <t>Security / Exterior Lighting</t>
        </is>
      </c>
      <c r="B22" s="13" t="n">
        <v>242.58</v>
      </c>
      <c r="C22" s="13" t="n">
        <v>242.58</v>
      </c>
    </row>
    <row r="23">
      <c r="A23" s="2" t="inlineStr">
        <is>
          <t>Access Control</t>
        </is>
      </c>
      <c r="B23" s="13" t="n">
        <v>506.41</v>
      </c>
      <c r="C23" s="13" t="n">
        <v>506.41</v>
      </c>
    </row>
    <row r="24">
      <c r="A24" s="2" t="inlineStr">
        <is>
          <t>Interior Windows</t>
        </is>
      </c>
      <c r="B24" s="13" t="n">
        <v>611.85</v>
      </c>
      <c r="C24" s="13" t="n">
        <v>611.85</v>
      </c>
    </row>
    <row r="25">
      <c r="A25" s="2" t="inlineStr">
        <is>
          <t>Mailboxes</t>
        </is>
      </c>
      <c r="B25" s="13" t="n">
        <v>985.87</v>
      </c>
      <c r="C25" s="13" t="n">
        <v>985.87</v>
      </c>
    </row>
    <row r="26">
      <c r="A26" s="2" t="inlineStr">
        <is>
          <t>Appliances</t>
        </is>
      </c>
      <c r="B26" s="13" t="n">
        <v>16067.34</v>
      </c>
      <c r="C26" s="13" t="n">
        <v>16067.34</v>
      </c>
    </row>
    <row r="27">
      <c r="A27" s="2" t="inlineStr">
        <is>
          <t>Security Gate</t>
        </is>
      </c>
      <c r="B27" s="13" t="n">
        <v>804.09</v>
      </c>
      <c r="C27" s="13" t="n">
        <v>804.09</v>
      </c>
    </row>
    <row r="29">
      <c r="A29" s="1" t="inlineStr">
        <is>
          <t>Site Work / Improvements</t>
        </is>
      </c>
    </row>
    <row r="30">
      <c r="A30" s="2" t="inlineStr">
        <is>
          <t>Driveways</t>
        </is>
      </c>
      <c r="B30" s="13" t="n">
        <v>1368.13</v>
      </c>
      <c r="E30" s="13" t="n">
        <v>1368.13</v>
      </c>
    </row>
    <row r="31">
      <c r="A31" s="2" t="inlineStr">
        <is>
          <t>Sidewalks / Curbs</t>
        </is>
      </c>
      <c r="B31" s="13" t="n">
        <v>5118.6</v>
      </c>
      <c r="E31" s="13" t="n">
        <v>5118.6</v>
      </c>
    </row>
    <row r="32">
      <c r="A32" s="2" t="inlineStr">
        <is>
          <t>Landscaping</t>
        </is>
      </c>
      <c r="B32" s="13" t="n">
        <v>1618.07</v>
      </c>
      <c r="E32" s="13" t="n">
        <v>1618.07</v>
      </c>
    </row>
    <row r="33">
      <c r="A33" s="2" t="inlineStr">
        <is>
          <t>Exterior Fencing</t>
        </is>
      </c>
      <c r="B33" s="13" t="n">
        <v>7346.96</v>
      </c>
      <c r="E33" s="13" t="n">
        <v>7346.96</v>
      </c>
    </row>
    <row r="34">
      <c r="A34" s="2" t="inlineStr">
        <is>
          <t>Retaining Walls</t>
        </is>
      </c>
      <c r="B34" s="13" t="n">
        <v>3341.33</v>
      </c>
      <c r="E34" s="13" t="n">
        <v>3341.33</v>
      </c>
    </row>
    <row r="35">
      <c r="A35" s="2" t="inlineStr">
        <is>
          <t>Wood Deck</t>
        </is>
      </c>
      <c r="B35" s="13" t="n">
        <v>1272.76</v>
      </c>
      <c r="E35" s="13" t="n">
        <v>1272.76</v>
      </c>
    </row>
    <row r="37">
      <c r="A37" s="1" t="inlineStr">
        <is>
          <t>Building Structure</t>
        </is>
      </c>
    </row>
    <row r="38">
      <c r="A38" s="2" t="inlineStr">
        <is>
          <t>Roofing Systems</t>
        </is>
      </c>
      <c r="B38" s="13" t="n">
        <v>19604.1</v>
      </c>
      <c r="F38" s="13" t="n">
        <v>19604.1</v>
      </c>
    </row>
    <row r="39">
      <c r="A39" s="2" t="inlineStr">
        <is>
          <t>Foundations</t>
        </is>
      </c>
      <c r="B39" s="13" t="n">
        <v>105929.61</v>
      </c>
      <c r="F39" s="13" t="n">
        <v>105929.61</v>
      </c>
    </row>
    <row r="40">
      <c r="A40" s="2" t="inlineStr">
        <is>
          <t>HVAC</t>
        </is>
      </c>
      <c r="B40" s="13" t="n">
        <v>25102.59</v>
      </c>
      <c r="F40" s="13" t="n">
        <v>25102.59</v>
      </c>
    </row>
    <row r="41">
      <c r="A41" s="2" t="inlineStr">
        <is>
          <t>Electrical</t>
        </is>
      </c>
      <c r="B41" s="13" t="n">
        <v>59332.69</v>
      </c>
      <c r="F41" s="13" t="n">
        <v>59332.69</v>
      </c>
    </row>
    <row r="42">
      <c r="A42" s="2" t="inlineStr">
        <is>
          <t>Plumbing</t>
        </is>
      </c>
      <c r="B42" s="13" t="n">
        <v>30211.53</v>
      </c>
      <c r="F42" s="13" t="n">
        <v>30211.53</v>
      </c>
    </row>
    <row r="43">
      <c r="A43" s="2" t="inlineStr">
        <is>
          <t>Fire Protection &amp; Alarm</t>
        </is>
      </c>
      <c r="B43" s="13" t="n">
        <v>25280.12</v>
      </c>
      <c r="F43" s="13" t="n">
        <v>25280.12</v>
      </c>
    </row>
    <row r="44">
      <c r="A44" s="2" t="inlineStr">
        <is>
          <t>Exterior Façade / Building Skin</t>
        </is>
      </c>
      <c r="B44" s="13" t="n">
        <v>13616.25</v>
      </c>
      <c r="F44" s="13" t="n">
        <v>13616.25</v>
      </c>
    </row>
    <row r="45">
      <c r="A45" s="2" t="inlineStr">
        <is>
          <t>Doors &amp; Frames</t>
        </is>
      </c>
      <c r="B45" s="13" t="n">
        <v>55486.35</v>
      </c>
      <c r="F45" s="13" t="n">
        <v>55486.35</v>
      </c>
    </row>
    <row r="46">
      <c r="A46" s="2" t="inlineStr">
        <is>
          <t>Windows</t>
        </is>
      </c>
      <c r="B46" s="13" t="n">
        <v>14805.15</v>
      </c>
      <c r="F46" s="13" t="n">
        <v>14805.15</v>
      </c>
    </row>
    <row r="47">
      <c r="A47" s="2" t="inlineStr">
        <is>
          <t>Ceiling Systems</t>
        </is>
      </c>
      <c r="B47" s="13" t="n">
        <v>25659.09</v>
      </c>
      <c r="F47" s="13" t="n">
        <v>25659.09</v>
      </c>
    </row>
    <row r="48">
      <c r="A48" s="2" t="inlineStr">
        <is>
          <t>Interior Framing / Partitions</t>
        </is>
      </c>
      <c r="B48" s="13" t="n">
        <v>64531.58</v>
      </c>
      <c r="F48" s="13" t="n">
        <v>64531.58</v>
      </c>
    </row>
    <row r="49">
      <c r="A49" s="2" t="inlineStr">
        <is>
          <t>Elevators</t>
        </is>
      </c>
      <c r="B49" s="13" t="n">
        <v>17105.36</v>
      </c>
      <c r="F49" s="13" t="n">
        <v>17105.36</v>
      </c>
    </row>
    <row r="50">
      <c r="A50" s="2" t="inlineStr">
        <is>
          <t>Painting</t>
        </is>
      </c>
      <c r="B50" s="13" t="n">
        <v>22515.73</v>
      </c>
      <c r="F50" s="13" t="n">
        <v>22515.73</v>
      </c>
    </row>
    <row r="51">
      <c r="A51" s="2" t="inlineStr">
        <is>
          <t>Emergency Lighting</t>
        </is>
      </c>
      <c r="B51" s="13" t="n">
        <v>492.59</v>
      </c>
      <c r="F51" s="13" t="n">
        <v>492.59</v>
      </c>
    </row>
    <row r="52">
      <c r="A52" s="2" t="inlineStr">
        <is>
          <t>Structural Framing</t>
        </is>
      </c>
      <c r="B52" s="13" t="n">
        <v>112949.57</v>
      </c>
      <c r="F52" s="13" t="n">
        <v>112949.57</v>
      </c>
    </row>
    <row r="53">
      <c r="A53" s="2" t="inlineStr">
        <is>
          <t>Site Utilities</t>
        </is>
      </c>
      <c r="B53" s="13" t="n">
        <v>11017.33</v>
      </c>
      <c r="F53" s="13" t="n">
        <v>11017.33</v>
      </c>
    </row>
    <row r="54">
      <c r="A54" s="2" t="inlineStr">
        <is>
          <t>Stairs / Balconies</t>
        </is>
      </c>
      <c r="B54" s="13" t="n">
        <v>8710.57</v>
      </c>
      <c r="F54" s="13" t="n">
        <v>8710.57</v>
      </c>
    </row>
    <row r="55">
      <c r="A55" s="2" t="inlineStr">
        <is>
          <t>Bathroom Accessories</t>
        </is>
      </c>
      <c r="B55" s="13" t="n">
        <v>9708.48</v>
      </c>
      <c r="F55" s="13" t="n">
        <v>9708.48</v>
      </c>
    </row>
    <row r="56">
      <c r="A56" s="2" t="inlineStr">
        <is>
          <t>Ceramic Tile &amp; Marble Flooring</t>
        </is>
      </c>
      <c r="B56" s="13" t="n">
        <v>16047.3</v>
      </c>
      <c r="F56" s="13" t="n">
        <v>16047.3</v>
      </c>
    </row>
    <row r="57">
      <c r="A57" s="2" t="inlineStr">
        <is>
          <t>Cabinets / Millwork - Restrooms</t>
        </is>
      </c>
      <c r="B57" s="13" t="n">
        <v>3578.49</v>
      </c>
      <c r="F57" s="13" t="n">
        <v>3578.49</v>
      </c>
    </row>
    <row r="59">
      <c r="A59" s="6" t="inlineStr">
        <is>
          <t>Total Building Cost</t>
        </is>
      </c>
      <c r="B59" s="14" t="n">
        <v>824840</v>
      </c>
      <c r="C59" s="14" t="n">
        <v>163089.67</v>
      </c>
      <c r="E59" s="14" t="n">
        <v>20065.85</v>
      </c>
      <c r="F59" s="14" t="n">
        <v>641684.48</v>
      </c>
    </row>
    <row r="60">
      <c r="A60" s="2" t="inlineStr">
        <is>
          <t>% of Building Cost</t>
        </is>
      </c>
      <c r="C60" s="15" t="n">
        <v>0.198</v>
      </c>
      <c r="E60" s="15" t="n">
        <v>0.024</v>
      </c>
      <c r="F60" s="15" t="n">
        <v>0.778</v>
      </c>
    </row>
    <row r="62">
      <c r="A62" s="1" t="inlineStr">
        <is>
          <t>Asset Allocation:</t>
        </is>
      </c>
    </row>
    <row r="63">
      <c r="A63" s="2" t="inlineStr">
        <is>
          <t>Asset #17 - Building &amp; improvements</t>
        </is>
      </c>
      <c r="B63" s="13" t="n">
        <v>23000</v>
      </c>
      <c r="C63" s="13" t="n">
        <v>4419.59</v>
      </c>
      <c r="E63" s="13" t="n">
        <v>563.4</v>
      </c>
      <c r="F63" s="13" t="n">
        <v>18017.01</v>
      </c>
    </row>
    <row r="64">
      <c r="A64" s="2" t="inlineStr">
        <is>
          <t>Asset #21 - Building Step Up 754 Election</t>
        </is>
      </c>
      <c r="B64" s="13" t="n">
        <v>726135</v>
      </c>
      <c r="C64" s="13" t="n">
        <v>139531.13</v>
      </c>
      <c r="E64" s="13" t="n">
        <v>17787.23</v>
      </c>
      <c r="F64" s="13" t="n">
        <v>568816.64</v>
      </c>
    </row>
    <row r="65">
      <c r="A65" s="2" t="inlineStr">
        <is>
          <t>Asset #22 Building Improv 754 Step up election</t>
        </is>
      </c>
      <c r="B65" s="13" t="n">
        <v>70021</v>
      </c>
      <c r="C65" s="13" t="n">
        <v>13454.95</v>
      </c>
      <c r="E65" s="13" t="n">
        <v>1715.22</v>
      </c>
      <c r="F65" s="13" t="n">
        <v>54850.83</v>
      </c>
    </row>
    <row r="66">
      <c r="A66" s="2" t="inlineStr">
        <is>
          <t>Asset #24 Appliances &amp; EquiP Stepup 754 Election</t>
        </is>
      </c>
      <c r="B66" s="13" t="n">
        <v>5684</v>
      </c>
      <c r="C66" s="13" t="n">
        <v>5684</v>
      </c>
    </row>
    <row r="67">
      <c r="A67" s="6" t="inlineStr">
        <is>
          <t>Total Allocation:</t>
        </is>
      </c>
      <c r="B67" s="14" t="n">
        <v>824840</v>
      </c>
      <c r="C67" s="14" t="n">
        <v>163089.67</v>
      </c>
      <c r="E67" s="14" t="n">
        <v>20065.85</v>
      </c>
      <c r="F67" s="14" t="n">
        <v>641684.48</v>
      </c>
    </row>
    <row r="69">
      <c r="A69" s="1" t="inlineStr">
        <is>
          <t>End Depreciation Reconciliation</t>
        </is>
      </c>
    </row>
    <row r="70">
      <c r="A70" s="2" t="inlineStr">
        <is>
          <t>Before Cost Segregation (As Previously Filed)</t>
        </is>
      </c>
      <c r="B70" s="5" t="n">
        <v>149699</v>
      </c>
    </row>
    <row r="71">
      <c r="A71" s="2" t="inlineStr">
        <is>
          <t>After Cost Segregation (Corrected)</t>
        </is>
      </c>
      <c r="B71" s="9" t="n">
        <v>294696.61</v>
      </c>
    </row>
    <row r="72">
      <c r="A72" s="10" t="inlineStr">
        <is>
          <t>Section 481(a) Adjustment</t>
        </is>
      </c>
      <c r="B72" s="16" t="n">
        <v>-144997.61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2026-06-28T04:47:50Z</dcterms:created>
  <dcterms:modified xmlns:dcterms="http://purl.org/dc/terms/" xmlns:xsi="http://www.w3.org/2001/XMLSchema-instance" xsi:type="dcterms:W3CDTF">2026-06-28T04:47:50Z</dcterms:modified>
</cp:coreProperties>
</file>