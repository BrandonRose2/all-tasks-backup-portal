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bldg 1" sheetId="3" state="visible" r:id="rId3"/>
    <sheet xmlns:r="http://schemas.openxmlformats.org/officeDocument/2006/relationships" name="bldg 2" sheetId="4" state="visible" r:id="rId4"/>
    <sheet xmlns:r="http://schemas.openxmlformats.org/officeDocument/2006/relationships" name="kh_bldg 3" sheetId="5" state="visible" r:id="rId5"/>
    <sheet xmlns:r="http://schemas.openxmlformats.org/officeDocument/2006/relationships" name="bldg 4" sheetId="6" state="visible" r:id="rId6"/>
    <sheet xmlns:r="http://schemas.openxmlformats.org/officeDocument/2006/relationships" name="bldg 5" sheetId="7" state="visible" r:id="rId7"/>
    <sheet xmlns:r="http://schemas.openxmlformats.org/officeDocument/2006/relationships" name="bldg 6" sheetId="8" state="visible" r:id="rId8"/>
    <sheet xmlns:r="http://schemas.openxmlformats.org/officeDocument/2006/relationships" name="bldg 7" sheetId="9" state="visible" r:id="rId9"/>
    <sheet xmlns:r="http://schemas.openxmlformats.org/officeDocument/2006/relationships" name="bldg 8" sheetId="10" state="visible" r:id="rId10"/>
    <sheet xmlns:r="http://schemas.openxmlformats.org/officeDocument/2006/relationships" name="bldg 9" sheetId="11" state="visible" r:id="rId11"/>
    <sheet xmlns:r="http://schemas.openxmlformats.org/officeDocument/2006/relationships" name="bldg 10" sheetId="12" state="visible" r:id="rId12"/>
    <sheet xmlns:r="http://schemas.openxmlformats.org/officeDocument/2006/relationships" name="bldg 11" sheetId="13" state="visible" r:id="rId13"/>
    <sheet xmlns:r="http://schemas.openxmlformats.org/officeDocument/2006/relationships" name="bldg 12" sheetId="14" state="visible" r:id="rId14"/>
    <sheet xmlns:r="http://schemas.openxmlformats.org/officeDocument/2006/relationships" name="bldg 13" sheetId="15" state="visible" r:id="rId15"/>
    <sheet xmlns:r="http://schemas.openxmlformats.org/officeDocument/2006/relationships" name="bldg 14" sheetId="16" state="visible" r:id="rId16"/>
    <sheet xmlns:r="http://schemas.openxmlformats.org/officeDocument/2006/relationships" name="bldg 15" sheetId="17" state="visible" r:id="rId17"/>
    <sheet xmlns:r="http://schemas.openxmlformats.org/officeDocument/2006/relationships" name="bldg 16" sheetId="18" state="visible" r:id="rId18"/>
    <sheet xmlns:r="http://schemas.openxmlformats.org/officeDocument/2006/relationships" name="offi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4" fontId="2" fillId="0" borderId="0" pivotButton="0" quotePrefix="0" xfId="0"/>
    <xf numFmtId="4" fontId="1" fillId="0" borderId="0" pivotButton="0" quotePrefix="0" xfId="0"/>
    <xf numFmtId="39" fontId="2" fillId="0" borderId="0" pivotButton="0" quotePrefix="0" xfId="0"/>
    <xf numFmtId="0" fontId="1" fillId="3" borderId="0" pivotButton="0" quotePrefix="0" xfId="0"/>
    <xf numFmtId="39" fontId="2" fillId="3" borderId="0" pivotButton="0" quotePrefix="0" xfId="0"/>
    <xf numFmtId="39" fontId="0" fillId="0" borderId="0" pivotButton="0" quotePrefix="0" xfId="0"/>
    <xf numFmtId="0" fontId="1" fillId="4" borderId="0" pivotButton="0" quotePrefix="0" xfId="0"/>
    <xf numFmtId="164" fontId="2" fillId="0" borderId="0" pivotButton="0" quotePrefix="0" xfId="0"/>
    <xf numFmtId="164" fontId="1" fillId="2" borderId="0" pivotButton="0" quotePrefix="0" xfId="0"/>
    <xf numFmtId="165" fontId="2" fillId="0" borderId="0" pivotButton="0" quotePrefix="0" xfId="0"/>
    <xf numFmtId="39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  <col width="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5" max="25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6" max="46"/>
  </cols>
  <sheetData>
    <row r="1">
      <c r="A1" s="1" t="inlineStr">
        <is>
          <t>St. Charles Housing, LP</t>
        </is>
      </c>
    </row>
    <row r="2">
      <c r="A2" s="2" t="inlineStr">
        <is>
          <t>Summary of Cost Seg Adjustments</t>
        </is>
      </c>
    </row>
    <row r="3">
      <c r="A3" s="2" t="inlineStr">
        <is>
          <t>As of December 31, 2024</t>
        </is>
      </c>
    </row>
    <row r="9">
      <c r="AA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3" t="inlineStr">
        <is>
          <t>#</t>
        </is>
      </c>
      <c r="F10" s="3" t="inlineStr">
        <is>
          <t>Site</t>
        </is>
      </c>
      <c r="G10" s="3" t="inlineStr">
        <is>
          <t>Bldg 1</t>
        </is>
      </c>
      <c r="H10" s="3" t="inlineStr">
        <is>
          <t>Bldg 2</t>
        </is>
      </c>
      <c r="I10" s="3" t="inlineStr">
        <is>
          <t>KH Bldg3</t>
        </is>
      </c>
      <c r="J10" s="3" t="inlineStr">
        <is>
          <t>Bldg 4</t>
        </is>
      </c>
      <c r="K10" s="3" t="inlineStr">
        <is>
          <t>Bldg 5</t>
        </is>
      </c>
      <c r="L10" s="3" t="inlineStr">
        <is>
          <t>Bldg 6</t>
        </is>
      </c>
      <c r="M10" s="3" t="inlineStr">
        <is>
          <t>Bldg 7</t>
        </is>
      </c>
      <c r="N10" s="3" t="inlineStr">
        <is>
          <t>Bldg 8</t>
        </is>
      </c>
      <c r="O10" s="3" t="inlineStr">
        <is>
          <t>Bldg 9</t>
        </is>
      </c>
      <c r="P10" s="3" t="inlineStr">
        <is>
          <t>Bldg 10</t>
        </is>
      </c>
      <c r="Q10" s="3" t="inlineStr">
        <is>
          <t>Bldg 11</t>
        </is>
      </c>
      <c r="R10" s="3" t="inlineStr">
        <is>
          <t>Bldg 12</t>
        </is>
      </c>
      <c r="S10" s="3" t="inlineStr">
        <is>
          <t>Bldg 13</t>
        </is>
      </c>
      <c r="T10" s="3" t="inlineStr">
        <is>
          <t>Bldg 14</t>
        </is>
      </c>
      <c r="U10" s="3" t="inlineStr">
        <is>
          <t>Bldg 15</t>
        </is>
      </c>
      <c r="V10" s="3" t="inlineStr">
        <is>
          <t>Bldg 16</t>
        </is>
      </c>
      <c r="W10" s="3" t="inlineStr">
        <is>
          <t>Office</t>
        </is>
      </c>
      <c r="Y10" s="3" t="inlineStr">
        <is>
          <t>total cost</t>
        </is>
      </c>
      <c r="AA10" s="3" t="inlineStr">
        <is>
          <t>Site</t>
        </is>
      </c>
      <c r="AB10" s="3" t="inlineStr">
        <is>
          <t>Bldg 1</t>
        </is>
      </c>
      <c r="AC10" s="3" t="inlineStr">
        <is>
          <t>Bldg 2</t>
        </is>
      </c>
      <c r="AD10" s="3" t="inlineStr">
        <is>
          <t>KH Bldg3</t>
        </is>
      </c>
      <c r="AE10" s="3" t="inlineStr">
        <is>
          <t>Bldg 4</t>
        </is>
      </c>
      <c r="AF10" s="3" t="inlineStr">
        <is>
          <t>Bldg 5</t>
        </is>
      </c>
      <c r="AG10" s="3" t="inlineStr">
        <is>
          <t>Bldg 6</t>
        </is>
      </c>
      <c r="AH10" s="3" t="inlineStr">
        <is>
          <t>Bldg 7</t>
        </is>
      </c>
      <c r="AI10" s="3" t="inlineStr">
        <is>
          <t>Bldg 8</t>
        </is>
      </c>
      <c r="AJ10" s="3" t="inlineStr">
        <is>
          <t>Bldg 9</t>
        </is>
      </c>
      <c r="AK10" s="3" t="inlineStr">
        <is>
          <t>Bldg 10</t>
        </is>
      </c>
      <c r="AL10" s="3" t="inlineStr">
        <is>
          <t>Bldg 11</t>
        </is>
      </c>
      <c r="AM10" s="3" t="inlineStr">
        <is>
          <t>Bldg 12</t>
        </is>
      </c>
      <c r="AN10" s="3" t="inlineStr">
        <is>
          <t>Bldg 13</t>
        </is>
      </c>
      <c r="AO10" s="3" t="inlineStr">
        <is>
          <t>Bldg 14</t>
        </is>
      </c>
      <c r="AP10" s="3" t="inlineStr">
        <is>
          <t>Bldg 15</t>
        </is>
      </c>
      <c r="AQ10" s="3" t="inlineStr">
        <is>
          <t>Bldg 16</t>
        </is>
      </c>
      <c r="AR10" s="3" t="inlineStr">
        <is>
          <t>Office</t>
        </is>
      </c>
      <c r="AT10" s="3" t="inlineStr">
        <is>
          <t>total</t>
        </is>
      </c>
    </row>
    <row r="11">
      <c r="A11" s="2" t="inlineStr">
        <is>
          <t>12/28/15</t>
        </is>
      </c>
      <c r="B11" s="2" t="inlineStr">
        <is>
          <t>Building - St. Charles Housing, LP</t>
        </is>
      </c>
      <c r="E11" s="2" t="n">
        <v>3</v>
      </c>
      <c r="F11" s="2" t="n">
        <v>598593.4199999999</v>
      </c>
      <c r="G11" s="2" t="n">
        <v>331328.0499999999</v>
      </c>
      <c r="H11" s="2" t="n">
        <v>331406.1</v>
      </c>
      <c r="I11" s="2" t="n">
        <v>331417.25</v>
      </c>
      <c r="J11" s="2" t="n">
        <v>329887.81</v>
      </c>
      <c r="K11" s="2" t="n">
        <v>371174.94</v>
      </c>
      <c r="L11" s="2" t="n">
        <v>331637.23</v>
      </c>
      <c r="M11" s="2" t="n">
        <v>372924.35</v>
      </c>
      <c r="N11" s="2" t="n">
        <v>331637.23</v>
      </c>
      <c r="O11" s="2" t="n">
        <v>147663.51</v>
      </c>
      <c r="P11" s="2" t="n">
        <v>372704.37</v>
      </c>
      <c r="Q11" s="2" t="n">
        <v>331637.23</v>
      </c>
      <c r="R11" s="2" t="n">
        <v>372924.35</v>
      </c>
      <c r="S11" s="2" t="n">
        <v>331637.23</v>
      </c>
      <c r="T11" s="2" t="n">
        <v>372704.37</v>
      </c>
      <c r="U11" s="2" t="n">
        <v>329887.81</v>
      </c>
      <c r="V11" s="2" t="n">
        <v>331637.23</v>
      </c>
      <c r="W11" s="2" t="n">
        <v>111730.52</v>
      </c>
      <c r="Y11" s="2" t="n">
        <v>6032533</v>
      </c>
      <c r="AA11" s="4" t="n">
        <v>317920.1170683467</v>
      </c>
      <c r="AB11" s="4" t="n">
        <v>102314.9760568155</v>
      </c>
      <c r="AC11" s="4" t="n">
        <v>102387.7327201545</v>
      </c>
      <c r="AD11" s="4" t="n">
        <v>102398.1220571618</v>
      </c>
      <c r="AE11" s="4" t="n">
        <v>102265.1045823311</v>
      </c>
      <c r="AF11" s="4" t="n">
        <v>110909.7414759675</v>
      </c>
      <c r="AG11" s="4" t="n">
        <v>102417.2902032695</v>
      </c>
      <c r="AH11" s="4" t="n">
        <v>111061.9233284451</v>
      </c>
      <c r="AI11" s="4" t="n">
        <v>102417.2902032695</v>
      </c>
      <c r="AJ11" s="4" t="n">
        <v>48583.49426272434</v>
      </c>
      <c r="AK11" s="4" t="n">
        <v>111042.7692694295</v>
      </c>
      <c r="AL11" s="4" t="n">
        <v>102417.2902032695</v>
      </c>
      <c r="AM11" s="4" t="n">
        <v>111061.9233284451</v>
      </c>
      <c r="AN11" s="4" t="n">
        <v>102417.2902032695</v>
      </c>
      <c r="AO11" s="4" t="n">
        <v>111042.7692694295</v>
      </c>
      <c r="AP11" s="4" t="n">
        <v>102265.1045823311</v>
      </c>
      <c r="AQ11" s="4" t="n">
        <v>102417.2902032695</v>
      </c>
      <c r="AR11" s="4" t="n">
        <v>18343.47486073211</v>
      </c>
      <c r="AT11" s="4" t="n">
        <v>1963683.703878662</v>
      </c>
    </row>
    <row r="12">
      <c r="A12" s="2" t="inlineStr">
        <is>
          <t>12/28/15</t>
        </is>
      </c>
      <c r="B12" s="2" t="inlineStr">
        <is>
          <t>Land Improvements - St. Charles Housing, LP</t>
        </is>
      </c>
      <c r="E12" s="2" t="n">
        <v>2</v>
      </c>
      <c r="F12" s="2" t="n">
        <v>15876.41</v>
      </c>
      <c r="G12" s="2" t="n">
        <v>8787.77</v>
      </c>
      <c r="H12" s="2" t="n">
        <v>8789.84</v>
      </c>
      <c r="I12" s="2" t="n">
        <v>8790.129999999999</v>
      </c>
      <c r="J12" s="2" t="n">
        <v>8749.57</v>
      </c>
      <c r="K12" s="2" t="n">
        <v>9844.620000000001</v>
      </c>
      <c r="L12" s="2" t="n">
        <v>8795.969999999999</v>
      </c>
      <c r="M12" s="2" t="n">
        <v>9891.01</v>
      </c>
      <c r="N12" s="2" t="n">
        <v>8795.969999999999</v>
      </c>
      <c r="O12" s="2" t="n">
        <v>3916.46</v>
      </c>
      <c r="P12" s="2" t="n">
        <v>9885.18</v>
      </c>
      <c r="Q12" s="2" t="n">
        <v>8795.969999999999</v>
      </c>
      <c r="R12" s="2" t="n">
        <v>9891.01</v>
      </c>
      <c r="S12" s="2" t="n">
        <v>8795.969999999999</v>
      </c>
      <c r="T12" s="2" t="n">
        <v>9885.18</v>
      </c>
      <c r="U12" s="2" t="n">
        <v>8749.57</v>
      </c>
      <c r="V12" s="2" t="n">
        <v>8795.969999999999</v>
      </c>
      <c r="W12" s="2" t="n">
        <v>2963.4</v>
      </c>
      <c r="Y12" s="2" t="n">
        <v>160000</v>
      </c>
      <c r="AA12" s="4" t="n">
        <v>8432.15103471246</v>
      </c>
      <c r="AB12" s="4" t="n">
        <v>2713.686562736846</v>
      </c>
      <c r="AC12" s="4" t="n">
        <v>2715.616244157616</v>
      </c>
      <c r="AD12" s="4" t="n">
        <v>2715.890028772851</v>
      </c>
      <c r="AE12" s="4" t="n">
        <v>2712.363609617544</v>
      </c>
      <c r="AF12" s="4" t="n">
        <v>2941.643256220743</v>
      </c>
      <c r="AG12" s="4" t="n">
        <v>2716.400122233721</v>
      </c>
      <c r="AH12" s="4" t="n">
        <v>2945.676768655317</v>
      </c>
      <c r="AI12" s="4" t="n">
        <v>2716.400122233721</v>
      </c>
      <c r="AJ12" s="4" t="n">
        <v>1288.573676327952</v>
      </c>
      <c r="AK12" s="4" t="n">
        <v>2945.170087291382</v>
      </c>
      <c r="AL12" s="4" t="n">
        <v>2716.400122233721</v>
      </c>
      <c r="AM12" s="4" t="n">
        <v>2945.676768655317</v>
      </c>
      <c r="AN12" s="4" t="n">
        <v>2716.400122233721</v>
      </c>
      <c r="AO12" s="4" t="n">
        <v>2945.170087291382</v>
      </c>
      <c r="AP12" s="4" t="n">
        <v>2712.363609617544</v>
      </c>
      <c r="AQ12" s="4" t="n">
        <v>2716.400122233721</v>
      </c>
      <c r="AR12" s="4" t="n">
        <v>486.5192912580513</v>
      </c>
      <c r="AT12" s="4" t="n">
        <v>52082.5016364836</v>
      </c>
    </row>
    <row r="13">
      <c r="A13" s="2" t="inlineStr">
        <is>
          <t>12/28/15</t>
        </is>
      </c>
      <c r="B13" s="2" t="inlineStr">
        <is>
          <t>Equipment - St. Charles Housing, LP</t>
        </is>
      </c>
      <c r="E13" s="2" t="n">
        <v>4</v>
      </c>
      <c r="F13" s="2" t="n">
        <v>105274.57</v>
      </c>
      <c r="G13" s="2" t="n">
        <v>58270.64</v>
      </c>
      <c r="H13" s="2" t="n">
        <v>58284.36</v>
      </c>
      <c r="I13" s="2" t="n">
        <v>58286.32</v>
      </c>
      <c r="J13" s="2" t="n">
        <v>58017.33</v>
      </c>
      <c r="K13" s="2" t="n">
        <v>65278.5</v>
      </c>
      <c r="L13" s="2" t="n">
        <v>58325.00999999999</v>
      </c>
      <c r="M13" s="2" t="n">
        <v>65586.17</v>
      </c>
      <c r="N13" s="2" t="n">
        <v>58325.00999999999</v>
      </c>
      <c r="O13" s="2" t="n">
        <v>25969.56</v>
      </c>
      <c r="P13" s="2" t="n">
        <v>65547.48</v>
      </c>
      <c r="Q13" s="2" t="n">
        <v>58325.00999999999</v>
      </c>
      <c r="R13" s="2" t="n">
        <v>65586.17</v>
      </c>
      <c r="S13" s="2" t="n">
        <v>58325.00999999999</v>
      </c>
      <c r="T13" s="2" t="n">
        <v>65547.48</v>
      </c>
      <c r="U13" s="2" t="n">
        <v>58017.33</v>
      </c>
      <c r="V13" s="2" t="n">
        <v>58325.00999999999</v>
      </c>
      <c r="W13" s="2" t="n">
        <v>19650.04</v>
      </c>
      <c r="Y13" s="2" t="n">
        <v>1060941</v>
      </c>
      <c r="AA13" s="4" t="n">
        <v>55912.58189694078</v>
      </c>
      <c r="AB13" s="4" t="n">
        <v>17994.12738044761</v>
      </c>
      <c r="AC13" s="4" t="n">
        <v>18006.92103568784</v>
      </c>
      <c r="AD13" s="4" t="n">
        <v>18008.74791406539</v>
      </c>
      <c r="AE13" s="4" t="n">
        <v>17985.35180805139</v>
      </c>
      <c r="AF13" s="4" t="n">
        <v>19505.68526781183</v>
      </c>
      <c r="AG13" s="4" t="n">
        <v>18012.11967449673</v>
      </c>
      <c r="AH13" s="4" t="n">
        <v>19532.44990289953</v>
      </c>
      <c r="AI13" s="4" t="n">
        <v>18012.11967449673</v>
      </c>
      <c r="AJ13" s="4" t="n">
        <v>8544.372060947728</v>
      </c>
      <c r="AK13" s="4" t="n">
        <v>19529.08064327914</v>
      </c>
      <c r="AL13" s="4" t="n">
        <v>18012.11967449673</v>
      </c>
      <c r="AM13" s="4" t="n">
        <v>19532.44990289953</v>
      </c>
      <c r="AN13" s="4" t="n">
        <v>18012.11967449673</v>
      </c>
      <c r="AO13" s="4" t="n">
        <v>19529.08064327914</v>
      </c>
      <c r="AP13" s="4" t="n">
        <v>17985.35180805139</v>
      </c>
      <c r="AQ13" s="4" t="n">
        <v>18012.11967449673</v>
      </c>
      <c r="AR13" s="4" t="n">
        <v>3226.06584800984</v>
      </c>
      <c r="AT13" s="4" t="n">
        <v>345352.8644848548</v>
      </c>
    </row>
    <row r="16">
      <c r="B16" s="1" t="inlineStr">
        <is>
          <t>Grand Total</t>
        </is>
      </c>
      <c r="F16" s="1" t="n">
        <v>719744.4</v>
      </c>
      <c r="G16" s="1" t="n">
        <v>398386.46</v>
      </c>
      <c r="H16" s="1" t="n">
        <v>398480.3</v>
      </c>
      <c r="I16" s="1" t="n">
        <v>398493.7</v>
      </c>
      <c r="J16" s="1" t="n">
        <v>396654.71</v>
      </c>
      <c r="K16" s="1" t="n">
        <v>446298.0599999999</v>
      </c>
      <c r="L16" s="1" t="n">
        <v>398758.21</v>
      </c>
      <c r="M16" s="1" t="n">
        <v>448401.5299999999</v>
      </c>
      <c r="N16" s="1" t="n">
        <v>398758.21</v>
      </c>
      <c r="O16" s="1" t="n">
        <v>177549.53</v>
      </c>
      <c r="P16" s="1" t="n">
        <v>448137.0299999999</v>
      </c>
      <c r="Q16" s="1" t="n">
        <v>398758.21</v>
      </c>
      <c r="R16" s="1" t="n">
        <v>448401.5299999999</v>
      </c>
      <c r="S16" s="1" t="n">
        <v>398758.21</v>
      </c>
      <c r="T16" s="1" t="n">
        <v>448137.0299999999</v>
      </c>
      <c r="U16" s="1" t="n">
        <v>396654.71</v>
      </c>
      <c r="V16" s="1" t="n">
        <v>398758.21</v>
      </c>
      <c r="W16" s="1" t="n">
        <v>134343.96</v>
      </c>
      <c r="Y16" s="1" t="n">
        <v>7253474</v>
      </c>
      <c r="AA16" s="5" t="n">
        <v>382264.85</v>
      </c>
      <c r="AB16" s="5" t="n">
        <v>123022.79</v>
      </c>
      <c r="AC16" s="5" t="n">
        <v>123110.27</v>
      </c>
      <c r="AD16" s="5" t="n">
        <v>123122.76</v>
      </c>
      <c r="AE16" s="5" t="n">
        <v>122962.82</v>
      </c>
      <c r="AF16" s="5" t="n">
        <v>133357.07</v>
      </c>
      <c r="AG16" s="5" t="n">
        <v>123145.81</v>
      </c>
      <c r="AH16" s="5" t="n">
        <v>133540.05</v>
      </c>
      <c r="AI16" s="5" t="n">
        <v>123145.81</v>
      </c>
      <c r="AJ16" s="5" t="n">
        <v>58416.44</v>
      </c>
      <c r="AK16" s="5" t="n">
        <v>133517.02</v>
      </c>
      <c r="AL16" s="5" t="n">
        <v>123145.81</v>
      </c>
      <c r="AM16" s="5" t="n">
        <v>133540.05</v>
      </c>
      <c r="AN16" s="5" t="n">
        <v>123145.81</v>
      </c>
      <c r="AO16" s="5" t="n">
        <v>133517.02</v>
      </c>
      <c r="AP16" s="5" t="n">
        <v>122962.82</v>
      </c>
      <c r="AQ16" s="5" t="n">
        <v>123145.81</v>
      </c>
      <c r="AR16" s="5" t="n">
        <v>22056.06</v>
      </c>
      <c r="AT16" s="5" t="n">
        <v>2361119.07</v>
      </c>
    </row>
    <row r="18">
      <c r="B18" s="2" t="inlineStr">
        <is>
          <t>MACRS Reclassification</t>
        </is>
      </c>
    </row>
    <row r="20">
      <c r="B20" s="2" t="inlineStr">
        <is>
          <t>Building - St. Charles Housing, LP - 5yr</t>
        </is>
      </c>
      <c r="G20" s="4" t="n">
        <v>86961.16999999998</v>
      </c>
      <c r="H20" s="4" t="n">
        <v>87039.20999999999</v>
      </c>
      <c r="I20" s="4" t="n">
        <v>87050.35999999999</v>
      </c>
      <c r="J20" s="4" t="n">
        <v>87050.34999999999</v>
      </c>
      <c r="K20" s="4" t="n">
        <v>93029.53999999999</v>
      </c>
      <c r="L20" s="4" t="n">
        <v>87050.34999999999</v>
      </c>
      <c r="M20" s="4" t="n">
        <v>93029.53999999999</v>
      </c>
      <c r="N20" s="4" t="n">
        <v>87050.34999999999</v>
      </c>
      <c r="O20" s="4" t="n">
        <v>42287.7</v>
      </c>
      <c r="P20" s="4" t="n">
        <v>93029.53999999999</v>
      </c>
      <c r="Q20" s="4" t="n">
        <v>87050.34999999999</v>
      </c>
      <c r="R20" s="4" t="n">
        <v>93029.53999999999</v>
      </c>
      <c r="S20" s="4" t="n">
        <v>87050.34999999999</v>
      </c>
      <c r="T20" s="4" t="n">
        <v>93029.53999999999</v>
      </c>
      <c r="U20" s="4" t="n">
        <v>87050.34999999999</v>
      </c>
      <c r="V20" s="4" t="n">
        <v>87050.34999999999</v>
      </c>
      <c r="W20" s="4" t="n">
        <v>10204.71</v>
      </c>
      <c r="Y20" s="4" t="n">
        <v>1388043.3</v>
      </c>
    </row>
    <row r="21">
      <c r="B21" s="2" t="inlineStr">
        <is>
          <t>Building - St. Charles Housing, LP - 15yr</t>
        </is>
      </c>
      <c r="F21" s="4" t="n">
        <v>335627.04</v>
      </c>
      <c r="Y21" s="4" t="n">
        <v>335627.04</v>
      </c>
    </row>
    <row r="22">
      <c r="B22" s="1" t="inlineStr">
        <is>
          <t>Building - St. Charles Housing, LP - 27.5yr</t>
        </is>
      </c>
      <c r="F22" s="4" t="n">
        <v>262966.38</v>
      </c>
      <c r="G22" s="4" t="n">
        <v>244366.88</v>
      </c>
      <c r="H22" s="4" t="n">
        <v>244366.89</v>
      </c>
      <c r="I22" s="4" t="n">
        <v>244366.89</v>
      </c>
      <c r="J22" s="4" t="n">
        <v>242837.46</v>
      </c>
      <c r="K22" s="4" t="n">
        <v>278145.4</v>
      </c>
      <c r="L22" s="4" t="n">
        <v>244586.88</v>
      </c>
      <c r="M22" s="4" t="n">
        <v>279894.81</v>
      </c>
      <c r="N22" s="4" t="n">
        <v>244586.88</v>
      </c>
      <c r="O22" s="4" t="n">
        <v>105375.81</v>
      </c>
      <c r="P22" s="4" t="n">
        <v>279674.83</v>
      </c>
      <c r="Q22" s="4" t="n">
        <v>244586.88</v>
      </c>
      <c r="R22" s="4" t="n">
        <v>279894.81</v>
      </c>
      <c r="S22" s="4" t="n">
        <v>244586.88</v>
      </c>
      <c r="T22" s="4" t="n">
        <v>279674.83</v>
      </c>
      <c r="U22" s="4" t="n">
        <v>242837.46</v>
      </c>
      <c r="V22" s="4" t="n">
        <v>244586.88</v>
      </c>
      <c r="W22" s="4" t="n">
        <v>101525.81</v>
      </c>
      <c r="Y22" s="4" t="n">
        <v>4308862.659999999</v>
      </c>
    </row>
    <row r="23">
      <c r="B23" s="2" t="inlineStr">
        <is>
          <t>Land Imp - St. Charles Housing, LP - 5yr</t>
        </is>
      </c>
      <c r="G23" s="4" t="n">
        <v>2306.46</v>
      </c>
      <c r="H23" s="4" t="n">
        <v>2308.53</v>
      </c>
      <c r="I23" s="4" t="n">
        <v>2308.82</v>
      </c>
      <c r="J23" s="4" t="n">
        <v>2308.82</v>
      </c>
      <c r="K23" s="4" t="n">
        <v>2467.41</v>
      </c>
      <c r="L23" s="4" t="n">
        <v>2308.83</v>
      </c>
      <c r="M23" s="4" t="n">
        <v>2467.41</v>
      </c>
      <c r="N23" s="4" t="n">
        <v>2308.83</v>
      </c>
      <c r="O23" s="4" t="n">
        <v>1121.59</v>
      </c>
      <c r="P23" s="4" t="n">
        <v>2467.41</v>
      </c>
      <c r="Q23" s="4" t="n">
        <v>2308.83</v>
      </c>
      <c r="R23" s="4" t="n">
        <v>2467.41</v>
      </c>
      <c r="S23" s="4" t="n">
        <v>2308.83</v>
      </c>
      <c r="T23" s="4" t="n">
        <v>2467.41</v>
      </c>
      <c r="U23" s="4" t="n">
        <v>2308.82</v>
      </c>
      <c r="V23" s="4" t="n">
        <v>2308.83</v>
      </c>
      <c r="W23" s="4" t="n">
        <v>270.66</v>
      </c>
      <c r="Y23" s="4" t="n">
        <v>36814.90000000001</v>
      </c>
    </row>
    <row r="24">
      <c r="B24" s="2" t="inlineStr">
        <is>
          <t>Land Imp - St. Charles Housing, LP - 15yr</t>
        </is>
      </c>
      <c r="F24" s="4" t="n">
        <v>8901.790000000001</v>
      </c>
      <c r="Y24" s="4" t="n">
        <v>8901.790000000001</v>
      </c>
    </row>
    <row r="25">
      <c r="B25" s="1" t="inlineStr">
        <is>
          <t>Land Imp - St. Charles Housing, LP - 27.5yr</t>
        </is>
      </c>
      <c r="F25" s="4" t="n">
        <v>6974.619999999999</v>
      </c>
      <c r="G25" s="4" t="n">
        <v>6481.31</v>
      </c>
      <c r="H25" s="4" t="n">
        <v>6481.309999999999</v>
      </c>
      <c r="I25" s="4" t="n">
        <v>6481.309999999999</v>
      </c>
      <c r="J25" s="4" t="n">
        <v>6440.75</v>
      </c>
      <c r="K25" s="4" t="n">
        <v>7377.210000000001</v>
      </c>
      <c r="L25" s="4" t="n">
        <v>6487.139999999999</v>
      </c>
      <c r="M25" s="4" t="n">
        <v>7423.6</v>
      </c>
      <c r="N25" s="4" t="n">
        <v>6487.139999999999</v>
      </c>
      <c r="O25" s="4" t="n">
        <v>2794.87</v>
      </c>
      <c r="P25" s="4" t="n">
        <v>7417.77</v>
      </c>
      <c r="Q25" s="4" t="n">
        <v>6487.139999999999</v>
      </c>
      <c r="R25" s="4" t="n">
        <v>7423.6</v>
      </c>
      <c r="S25" s="4" t="n">
        <v>6487.139999999999</v>
      </c>
      <c r="T25" s="4" t="n">
        <v>7417.77</v>
      </c>
      <c r="U25" s="4" t="n">
        <v>6440.75</v>
      </c>
      <c r="V25" s="4" t="n">
        <v>6487.139999999999</v>
      </c>
      <c r="W25" s="4" t="n">
        <v>2692.74</v>
      </c>
      <c r="Y25" s="4" t="n">
        <v>114283.31</v>
      </c>
    </row>
    <row r="26">
      <c r="B26" s="2" t="inlineStr">
        <is>
          <t>Equipment - St. Charles Housing, LP - 5yr</t>
        </is>
      </c>
      <c r="G26" s="4" t="n">
        <v>15293.85</v>
      </c>
      <c r="H26" s="4" t="n">
        <v>15307.58</v>
      </c>
      <c r="I26" s="4" t="n">
        <v>15309.54</v>
      </c>
      <c r="J26" s="4" t="n">
        <v>15309.55</v>
      </c>
      <c r="K26" s="4" t="n">
        <v>16361.08</v>
      </c>
      <c r="L26" s="4" t="n">
        <v>15309.55</v>
      </c>
      <c r="M26" s="4" t="n">
        <v>16361.08</v>
      </c>
      <c r="N26" s="4" t="n">
        <v>15309.55</v>
      </c>
      <c r="O26" s="4" t="n">
        <v>7437.12</v>
      </c>
      <c r="P26" s="4" t="n">
        <v>16361.08</v>
      </c>
      <c r="Q26" s="4" t="n">
        <v>15309.55</v>
      </c>
      <c r="R26" s="4" t="n">
        <v>16361.08</v>
      </c>
      <c r="S26" s="4" t="n">
        <v>15309.55</v>
      </c>
      <c r="T26" s="4" t="n">
        <v>16361.08</v>
      </c>
      <c r="U26" s="4" t="n">
        <v>15309.55</v>
      </c>
      <c r="V26" s="4" t="n">
        <v>15309.55</v>
      </c>
      <c r="W26" s="4" t="n">
        <v>1794.69</v>
      </c>
      <c r="Y26" s="4" t="n">
        <v>244115.0299999999</v>
      </c>
    </row>
    <row r="27">
      <c r="B27" s="2" t="inlineStr">
        <is>
          <t>Equipment - St. Charles Housing, LP - 15yr</t>
        </is>
      </c>
      <c r="F27" s="4" t="n">
        <v>59026.7</v>
      </c>
      <c r="Y27" s="4" t="n">
        <v>59026.7</v>
      </c>
    </row>
    <row r="28">
      <c r="B28" s="1" t="inlineStr">
        <is>
          <t>Equipment - St. Charles Housing, LP - 27.5yr</t>
        </is>
      </c>
      <c r="F28" s="4" t="n">
        <v>46247.87</v>
      </c>
      <c r="G28" s="4" t="n">
        <v>42976.79</v>
      </c>
      <c r="H28" s="4" t="n">
        <v>42976.78000000001</v>
      </c>
      <c r="I28" s="4" t="n">
        <v>42976.78</v>
      </c>
      <c r="J28" s="4" t="n">
        <v>42707.78</v>
      </c>
      <c r="K28" s="4" t="n">
        <v>48917.42000000001</v>
      </c>
      <c r="L28" s="4" t="n">
        <v>43015.46</v>
      </c>
      <c r="M28" s="4" t="n">
        <v>49225.09</v>
      </c>
      <c r="N28" s="4" t="n">
        <v>43015.46</v>
      </c>
      <c r="O28" s="4" t="n">
        <v>18532.44</v>
      </c>
      <c r="P28" s="4" t="n">
        <v>49186.4</v>
      </c>
      <c r="Q28" s="4" t="n">
        <v>43015.46</v>
      </c>
      <c r="R28" s="4" t="n">
        <v>49225.09</v>
      </c>
      <c r="S28" s="4" t="n">
        <v>43015.46</v>
      </c>
      <c r="T28" s="4" t="n">
        <v>49186.4</v>
      </c>
      <c r="U28" s="4" t="n">
        <v>42707.78</v>
      </c>
      <c r="V28" s="4" t="n">
        <v>43015.46</v>
      </c>
      <c r="W28" s="4" t="n">
        <v>17855.35</v>
      </c>
      <c r="Y28" s="4" t="n">
        <v>757799.27</v>
      </c>
    </row>
    <row r="32">
      <c r="B32" s="1" t="inlineStr">
        <is>
          <t>Total MACRS Reclassification</t>
        </is>
      </c>
      <c r="F32" s="5" t="n">
        <v>719744.4</v>
      </c>
      <c r="G32" s="5" t="n">
        <v>398386.46</v>
      </c>
      <c r="H32" s="5" t="n">
        <v>398480.3</v>
      </c>
      <c r="I32" s="5" t="n">
        <v>398493.7</v>
      </c>
      <c r="J32" s="5" t="n">
        <v>396654.71</v>
      </c>
      <c r="K32" s="5" t="n">
        <v>446298.0599999999</v>
      </c>
      <c r="L32" s="5" t="n">
        <v>398758.21</v>
      </c>
      <c r="M32" s="5" t="n">
        <v>448401.5299999999</v>
      </c>
      <c r="N32" s="5" t="n">
        <v>398758.21</v>
      </c>
      <c r="O32" s="5" t="n">
        <v>177549.53</v>
      </c>
      <c r="P32" s="5" t="n">
        <v>448137.0299999999</v>
      </c>
      <c r="Q32" s="5" t="n">
        <v>398758.21</v>
      </c>
      <c r="R32" s="5" t="n">
        <v>448401.5299999999</v>
      </c>
      <c r="S32" s="5" t="n">
        <v>398758.21</v>
      </c>
      <c r="T32" s="5" t="n">
        <v>448137.0299999999</v>
      </c>
      <c r="U32" s="5" t="n">
        <v>396654.71</v>
      </c>
      <c r="V32" s="5" t="n">
        <v>398758.21</v>
      </c>
      <c r="W32" s="5" t="n">
        <v>134343.96</v>
      </c>
      <c r="Y32" s="5" t="n">
        <v>7253474</v>
      </c>
    </row>
    <row r="35">
      <c r="B35" s="2" t="inlineStr">
        <is>
          <t>Difference (should be zero)</t>
        </is>
      </c>
      <c r="F35">
        <f>F16-F32</f>
        <v/>
      </c>
      <c r="G35">
        <f>G16-G32</f>
        <v/>
      </c>
      <c r="H35">
        <f>H16-H32</f>
        <v/>
      </c>
      <c r="I35">
        <f>I16-I32</f>
        <v/>
      </c>
      <c r="J35">
        <f>J16-J32</f>
        <v/>
      </c>
      <c r="K35">
        <f>K16-K32</f>
        <v/>
      </c>
      <c r="L35">
        <f>L16-L32</f>
        <v/>
      </c>
      <c r="M35">
        <f>M16-M32</f>
        <v/>
      </c>
      <c r="N35">
        <f>N16-N32</f>
        <v/>
      </c>
      <c r="O35">
        <f>O16-O32</f>
        <v/>
      </c>
      <c r="P35">
        <f>P16-P32</f>
        <v/>
      </c>
      <c r="Q35">
        <f>Q16-Q32</f>
        <v/>
      </c>
      <c r="R35">
        <f>R16-R32</f>
        <v/>
      </c>
      <c r="S35">
        <f>S16-S32</f>
        <v/>
      </c>
      <c r="T35">
        <f>T16-T32</f>
        <v/>
      </c>
      <c r="U35">
        <f>U16-U32</f>
        <v/>
      </c>
      <c r="V35">
        <f>V16-V32</f>
        <v/>
      </c>
      <c r="W35">
        <f>W16-W32</f>
        <v/>
      </c>
    </row>
    <row r="37">
      <c r="B37" s="2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4" t="n">
        <v>59360.49</v>
      </c>
      <c r="G38" s="4" t="n">
        <v>32856.69</v>
      </c>
      <c r="H38" s="4" t="n">
        <v>32864.43</v>
      </c>
      <c r="I38" s="4" t="n">
        <v>32865.52</v>
      </c>
      <c r="J38" s="4" t="n">
        <v>32713.87</v>
      </c>
      <c r="K38" s="4" t="n">
        <v>36808.17</v>
      </c>
      <c r="L38" s="4" t="n">
        <v>32887.35</v>
      </c>
      <c r="M38" s="4" t="n">
        <v>36981.64</v>
      </c>
      <c r="N38" s="4" t="n">
        <v>32887.35</v>
      </c>
      <c r="O38" s="4" t="n">
        <v>14643.29</v>
      </c>
      <c r="P38" s="4" t="n">
        <v>36959.83</v>
      </c>
      <c r="Q38" s="4" t="n">
        <v>32887.35</v>
      </c>
      <c r="R38" s="4" t="n">
        <v>36981.64</v>
      </c>
      <c r="S38" s="4" t="n">
        <v>32887.35</v>
      </c>
      <c r="T38" s="4" t="n">
        <v>36959.83</v>
      </c>
      <c r="U38" s="4" t="n">
        <v>32713.87</v>
      </c>
      <c r="V38" s="4" t="n">
        <v>32887.35</v>
      </c>
      <c r="W38" s="4" t="n">
        <v>11079.92</v>
      </c>
      <c r="Y38" s="4" t="n">
        <v>598225.9399999999</v>
      </c>
    </row>
    <row r="39">
      <c r="B39" s="2" t="inlineStr">
        <is>
          <t>Building - St. Charles Housing, LP - 5yr</t>
        </is>
      </c>
      <c r="G39" s="4" t="n">
        <v>26853.83874508259</v>
      </c>
      <c r="H39" s="4" t="n">
        <v>26890.71616259749</v>
      </c>
      <c r="I39" s="4" t="n">
        <v>26895.98501103932</v>
      </c>
      <c r="J39" s="4" t="n">
        <v>26985.5777534748</v>
      </c>
      <c r="K39" s="4" t="n">
        <v>27797.89559884666</v>
      </c>
      <c r="L39" s="4" t="n">
        <v>26883.17279168621</v>
      </c>
      <c r="M39" s="4" t="n">
        <v>27705.45725630553</v>
      </c>
      <c r="N39" s="4" t="n">
        <v>26883.17279168621</v>
      </c>
      <c r="O39" s="4" t="n">
        <v>13913.28318237734</v>
      </c>
      <c r="P39" s="4" t="n">
        <v>27717.02876856841</v>
      </c>
      <c r="Q39" s="4" t="n">
        <v>26883.17279168621</v>
      </c>
      <c r="R39" s="4" t="n">
        <v>27705.45725630553</v>
      </c>
      <c r="S39" s="4" t="n">
        <v>26883.17279168621</v>
      </c>
      <c r="T39" s="4" t="n">
        <v>27717.02876856841</v>
      </c>
      <c r="U39" s="4" t="n">
        <v>26985.5777534748</v>
      </c>
      <c r="V39" s="4" t="n">
        <v>26883.17279168621</v>
      </c>
      <c r="W39" s="4" t="n">
        <v>1675.368926467554</v>
      </c>
      <c r="Y39" s="4" t="n">
        <v>423259.0791415395</v>
      </c>
    </row>
    <row r="40">
      <c r="B40" s="2" t="inlineStr">
        <is>
          <t>Building - St. Charles Housing, LP - 15yr</t>
        </is>
      </c>
      <c r="F40" s="4" t="n">
        <v>178255.5308544867</v>
      </c>
      <c r="Y40" s="4" t="n">
        <v>178255.5308544867</v>
      </c>
    </row>
    <row r="41">
      <c r="B41" s="2" t="inlineStr">
        <is>
          <t>Building - St. Charles Housing, LP - 27.5yr</t>
        </is>
      </c>
      <c r="F41" s="4" t="n">
        <v>139664.5862138601</v>
      </c>
      <c r="G41" s="4" t="n">
        <v>75461.13731173292</v>
      </c>
      <c r="H41" s="4" t="n">
        <v>75497.01655755703</v>
      </c>
      <c r="I41" s="4" t="n">
        <v>75502.13704612244</v>
      </c>
      <c r="J41" s="4" t="n">
        <v>75279.52682885627</v>
      </c>
      <c r="K41" s="4" t="n">
        <v>83111.8458771208</v>
      </c>
      <c r="L41" s="4" t="n">
        <v>75534.11741158331</v>
      </c>
      <c r="M41" s="4" t="n">
        <v>83356.46607213964</v>
      </c>
      <c r="N41" s="4" t="n">
        <v>75534.11741158331</v>
      </c>
      <c r="O41" s="4" t="n">
        <v>34670.21108034701</v>
      </c>
      <c r="P41" s="4" t="n">
        <v>83325.74050086111</v>
      </c>
      <c r="Q41" s="4" t="n">
        <v>75534.11741158331</v>
      </c>
      <c r="R41" s="4" t="n">
        <v>83356.46607213964</v>
      </c>
      <c r="S41" s="4" t="n">
        <v>75534.11741158331</v>
      </c>
      <c r="T41" s="4" t="n">
        <v>83325.74050086111</v>
      </c>
      <c r="U41" s="4" t="n">
        <v>75279.52682885627</v>
      </c>
      <c r="V41" s="4" t="n">
        <v>75534.11741158331</v>
      </c>
      <c r="W41" s="4" t="n">
        <v>16668.10593426456</v>
      </c>
      <c r="Y41" s="4" t="n">
        <v>1362169.093882635</v>
      </c>
    </row>
    <row r="42">
      <c r="B42" s="2" t="inlineStr">
        <is>
          <t>Land Imp - St. Charles Housing, LP - 5yr</t>
        </is>
      </c>
      <c r="G42" s="4" t="n">
        <v>712.2409336486987</v>
      </c>
      <c r="H42" s="4" t="n">
        <v>713.2190765844634</v>
      </c>
      <c r="I42" s="4" t="n">
        <v>713.3570511734564</v>
      </c>
      <c r="J42" s="4" t="n">
        <v>715.7333845157165</v>
      </c>
      <c r="K42" s="4" t="n">
        <v>737.2798530396929</v>
      </c>
      <c r="L42" s="4" t="n">
        <v>713.0204052784267</v>
      </c>
      <c r="M42" s="4" t="n">
        <v>734.8281232905249</v>
      </c>
      <c r="N42" s="4" t="n">
        <v>713.0204052784267</v>
      </c>
      <c r="O42" s="4" t="n">
        <v>369.0198162709865</v>
      </c>
      <c r="P42" s="4" t="n">
        <v>735.1350329567723</v>
      </c>
      <c r="Q42" s="4" t="n">
        <v>713.0204052784267</v>
      </c>
      <c r="R42" s="4" t="n">
        <v>734.8281232905249</v>
      </c>
      <c r="S42" s="4" t="n">
        <v>713.0204052784267</v>
      </c>
      <c r="T42" s="4" t="n">
        <v>735.1350329567723</v>
      </c>
      <c r="U42" s="4" t="n">
        <v>715.7333845157165</v>
      </c>
      <c r="V42" s="4" t="n">
        <v>713.0204052784267</v>
      </c>
      <c r="W42" s="4" t="n">
        <v>44.43588829449423</v>
      </c>
      <c r="Y42" s="4" t="n">
        <v>11226.04772692995</v>
      </c>
    </row>
    <row r="43">
      <c r="B43" s="2" t="inlineStr">
        <is>
          <t>Land Imp - St. Charles Housing, LP - 15yr</t>
        </is>
      </c>
      <c r="F43" s="4" t="n">
        <v>4727.847023306468</v>
      </c>
      <c r="Y43" s="4" t="n">
        <v>4727.847023306468</v>
      </c>
    </row>
    <row r="44">
      <c r="B44" s="2" t="inlineStr">
        <is>
          <t>Land Imp - St. Charles Housing, LP - 27.5yr</t>
        </is>
      </c>
      <c r="F44" s="4" t="n">
        <v>3704.304011405993</v>
      </c>
      <c r="G44" s="4" t="n">
        <v>2001.445629088147</v>
      </c>
      <c r="H44" s="4" t="n">
        <v>2002.397167573152</v>
      </c>
      <c r="I44" s="4" t="n">
        <v>2002.532977599395</v>
      </c>
      <c r="J44" s="4" t="n">
        <v>1996.630225101827</v>
      </c>
      <c r="K44" s="4" t="n">
        <v>2204.36340318105</v>
      </c>
      <c r="L44" s="4" t="n">
        <v>2003.379716955294</v>
      </c>
      <c r="M44" s="4" t="n">
        <v>2210.848645364792</v>
      </c>
      <c r="N44" s="4" t="n">
        <v>2003.379716955294</v>
      </c>
      <c r="O44" s="4" t="n">
        <v>919.5538600569657</v>
      </c>
      <c r="P44" s="4" t="n">
        <v>2210.035054334609</v>
      </c>
      <c r="Q44" s="4" t="n">
        <v>2003.379716955294</v>
      </c>
      <c r="R44" s="4" t="n">
        <v>2210.848645364792</v>
      </c>
      <c r="S44" s="4" t="n">
        <v>2003.379716955294</v>
      </c>
      <c r="T44" s="4" t="n">
        <v>2210.035054334609</v>
      </c>
      <c r="U44" s="4" t="n">
        <v>1996.630225101827</v>
      </c>
      <c r="V44" s="4" t="n">
        <v>2003.379716955294</v>
      </c>
      <c r="W44" s="4" t="n">
        <v>442.0834029635571</v>
      </c>
      <c r="Y44" s="4" t="n">
        <v>36128.60688624719</v>
      </c>
    </row>
    <row r="45">
      <c r="B45" s="2" t="inlineStr">
        <is>
          <t>Equipment - St. Charles Housing, LP - 5yr</t>
        </is>
      </c>
      <c r="G45" s="4" t="n">
        <v>4722.781233181218</v>
      </c>
      <c r="H45" s="4" t="n">
        <v>4729.268440238074</v>
      </c>
      <c r="I45" s="4" t="n">
        <v>4730.19477881432</v>
      </c>
      <c r="J45" s="4" t="n">
        <v>4745.955092606867</v>
      </c>
      <c r="K45" s="4" t="n">
        <v>4888.80836908769</v>
      </c>
      <c r="L45" s="4" t="n">
        <v>4727.945126159283</v>
      </c>
      <c r="M45" s="4" t="n">
        <v>4872.551262824639</v>
      </c>
      <c r="N45" s="4" t="n">
        <v>4727.945126159283</v>
      </c>
      <c r="O45" s="4" t="n">
        <v>2446.923257148583</v>
      </c>
      <c r="P45" s="4" t="n">
        <v>4874.586341551824</v>
      </c>
      <c r="Q45" s="4" t="n">
        <v>4727.945126159283</v>
      </c>
      <c r="R45" s="4" t="n">
        <v>4872.551262824639</v>
      </c>
      <c r="S45" s="4" t="n">
        <v>4727.945126159283</v>
      </c>
      <c r="T45" s="4" t="n">
        <v>4874.586341551824</v>
      </c>
      <c r="U45" s="4" t="n">
        <v>4745.955092606867</v>
      </c>
      <c r="V45" s="4" t="n">
        <v>4727.945126159283</v>
      </c>
      <c r="W45" s="4" t="n">
        <v>294.6451059012999</v>
      </c>
      <c r="Y45" s="4" t="n">
        <v>74438.53220913425</v>
      </c>
    </row>
    <row r="46">
      <c r="B46" s="2" t="inlineStr">
        <is>
          <t>Equipment - St. Charles Housing, LP - 15yr</t>
        </is>
      </c>
      <c r="F46" s="4" t="n">
        <v>31349.78559262844</v>
      </c>
      <c r="Y46" s="4" t="n">
        <v>31349.78559262844</v>
      </c>
    </row>
    <row r="47">
      <c r="B47" s="2" t="inlineStr">
        <is>
          <t>Equipment - St. Charles Housing, LP - 27.5yr</t>
        </is>
      </c>
      <c r="F47" s="4" t="n">
        <v>24562.79630431233</v>
      </c>
      <c r="G47" s="4" t="n">
        <v>13271.3461472664</v>
      </c>
      <c r="H47" s="4" t="n">
        <v>13277.65259544976</v>
      </c>
      <c r="I47" s="4" t="n">
        <v>13278.55313525107</v>
      </c>
      <c r="J47" s="4" t="n">
        <v>13239.39671544452</v>
      </c>
      <c r="K47" s="4" t="n">
        <v>14616.87689872414</v>
      </c>
      <c r="L47" s="4" t="n">
        <v>13284.17454833745</v>
      </c>
      <c r="M47" s="4" t="n">
        <v>14659.89864007489</v>
      </c>
      <c r="N47" s="4" t="n">
        <v>13284.17454833745</v>
      </c>
      <c r="O47" s="4" t="n">
        <v>6097.448803799144</v>
      </c>
      <c r="P47" s="4" t="n">
        <v>14654.49430172731</v>
      </c>
      <c r="Q47" s="4" t="n">
        <v>13284.17454833745</v>
      </c>
      <c r="R47" s="4" t="n">
        <v>14659.89864007489</v>
      </c>
      <c r="S47" s="4" t="n">
        <v>13284.17454833745</v>
      </c>
      <c r="T47" s="4" t="n">
        <v>14654.49430172731</v>
      </c>
      <c r="U47" s="4" t="n">
        <v>13239.39671544452</v>
      </c>
      <c r="V47" s="4" t="n">
        <v>13284.17454833745</v>
      </c>
      <c r="W47" s="4" t="n">
        <v>2931.420742108539</v>
      </c>
      <c r="Y47" s="4" t="n">
        <v>239564.546683092</v>
      </c>
    </row>
    <row r="51">
      <c r="B51" s="2" t="inlineStr">
        <is>
          <t>After Cost Segregation (Corrected)</t>
        </is>
      </c>
      <c r="F51" s="6" t="n">
        <v>382264.85</v>
      </c>
      <c r="G51" s="6" t="n">
        <v>123022.79</v>
      </c>
      <c r="H51" s="6" t="n">
        <v>123110.27</v>
      </c>
      <c r="I51" s="6" t="n">
        <v>123122.76</v>
      </c>
      <c r="J51" s="6" t="n">
        <v>122962.82</v>
      </c>
      <c r="K51" s="6" t="n">
        <v>133357.07</v>
      </c>
      <c r="L51" s="6" t="n">
        <v>123145.81</v>
      </c>
      <c r="M51" s="6" t="n">
        <v>133540.05</v>
      </c>
      <c r="N51" s="6" t="n">
        <v>123145.81</v>
      </c>
      <c r="O51" s="6" t="n">
        <v>58416.44</v>
      </c>
      <c r="P51" s="6" t="n">
        <v>133517.02</v>
      </c>
      <c r="Q51" s="6" t="n">
        <v>123145.81</v>
      </c>
      <c r="R51" s="6" t="n">
        <v>133540.05</v>
      </c>
      <c r="S51" s="6" t="n">
        <v>123145.81</v>
      </c>
      <c r="T51" s="6" t="n">
        <v>133517.02</v>
      </c>
      <c r="U51" s="6" t="n">
        <v>122962.82</v>
      </c>
      <c r="V51" s="6" t="n">
        <v>123145.81</v>
      </c>
      <c r="W51" s="6" t="n">
        <v>22056.06</v>
      </c>
      <c r="Y51" s="6" t="n">
        <v>2361119.07</v>
      </c>
    </row>
    <row r="52">
      <c r="B52" s="7" t="inlineStr">
        <is>
          <t>Section 481(a) Adjustment</t>
        </is>
      </c>
      <c r="F52" s="8" t="n">
        <v>-322904.36</v>
      </c>
      <c r="G52" s="8" t="n">
        <v>-90166.10000000001</v>
      </c>
      <c r="H52" s="8" t="n">
        <v>-90245.84</v>
      </c>
      <c r="I52" s="8" t="n">
        <v>-90257.24000000001</v>
      </c>
      <c r="J52" s="8" t="n">
        <v>-90248.95</v>
      </c>
      <c r="K52" s="8" t="n">
        <v>-96548.89999999999</v>
      </c>
      <c r="L52" s="8" t="n">
        <v>-90258.46000000001</v>
      </c>
      <c r="M52" s="8" t="n">
        <v>-96558.41</v>
      </c>
      <c r="N52" s="8" t="n">
        <v>-90258.46000000001</v>
      </c>
      <c r="O52" s="8" t="n">
        <v>-43773.15</v>
      </c>
      <c r="P52" s="8" t="n">
        <v>-96557.19</v>
      </c>
      <c r="Q52" s="8" t="n">
        <v>-90258.46000000001</v>
      </c>
      <c r="R52" s="8" t="n">
        <v>-96558.41</v>
      </c>
      <c r="S52" s="8" t="n">
        <v>-90258.46000000001</v>
      </c>
      <c r="T52" s="8" t="n">
        <v>-96557.19</v>
      </c>
      <c r="U52" s="8" t="n">
        <v>-90248.95</v>
      </c>
      <c r="V52" s="8" t="n">
        <v>-90258.46000000001</v>
      </c>
      <c r="W52" s="8" t="n">
        <v>-10976.14</v>
      </c>
      <c r="Y52" s="8" t="n">
        <v>-1762893.129999999</v>
      </c>
    </row>
    <row r="53">
      <c r="F53">
        <f>SUM(F39:F50)</f>
        <v/>
      </c>
      <c r="G53">
        <f>SUM(G39:G50)</f>
        <v/>
      </c>
      <c r="H53">
        <f>SUM(H39:H50)</f>
        <v/>
      </c>
      <c r="I53">
        <f>SUM(I39:I50)</f>
        <v/>
      </c>
      <c r="J53">
        <f>SUM(J39:J50)</f>
        <v/>
      </c>
      <c r="K53">
        <f>SUM(K39:K50)</f>
        <v/>
      </c>
      <c r="L53">
        <f>SUM(L39:L50)</f>
        <v/>
      </c>
      <c r="M53">
        <f>SUM(M39:M50)</f>
        <v/>
      </c>
      <c r="N53">
        <f>SUM(N39:N50)</f>
        <v/>
      </c>
      <c r="O53">
        <f>SUM(O39:O50)</f>
        <v/>
      </c>
      <c r="P53">
        <f>SUM(P39:P50)</f>
        <v/>
      </c>
      <c r="Q53">
        <f>SUM(Q39:Q50)</f>
        <v/>
      </c>
      <c r="R53">
        <f>SUM(R39:R50)</f>
        <v/>
      </c>
      <c r="S53">
        <f>SUM(S39:S50)</f>
        <v/>
      </c>
      <c r="T53">
        <f>SUM(T39:T50)</f>
        <v/>
      </c>
      <c r="U53">
        <f>SUM(U39:U50)</f>
        <v/>
      </c>
      <c r="V53">
        <f>SUM(V39:V50)</f>
        <v/>
      </c>
      <c r="W53">
        <f>SUM(W39:W50)</f>
        <v/>
      </c>
    </row>
    <row r="54">
      <c r="F54" s="9">
        <f>F53-F51</f>
        <v/>
      </c>
      <c r="G54" s="9">
        <f>G53-G51</f>
        <v/>
      </c>
      <c r="H54" s="9">
        <f>H53-H51</f>
        <v/>
      </c>
      <c r="I54" s="9">
        <f>I53-I51</f>
        <v/>
      </c>
      <c r="J54" s="9">
        <f>J53-J51</f>
        <v/>
      </c>
      <c r="K54" s="9">
        <f>K53-K51</f>
        <v/>
      </c>
      <c r="L54" s="9">
        <f>L53-L51</f>
        <v/>
      </c>
      <c r="M54" s="9">
        <f>M53-M51</f>
        <v/>
      </c>
      <c r="N54" s="9">
        <f>N53-N51</f>
        <v/>
      </c>
      <c r="O54" s="9">
        <f>O53-O51</f>
        <v/>
      </c>
      <c r="P54" s="9">
        <f>P53-P51</f>
        <v/>
      </c>
      <c r="Q54" s="9">
        <f>Q53-Q51</f>
        <v/>
      </c>
      <c r="R54" s="9">
        <f>R53-R51</f>
        <v/>
      </c>
      <c r="S54" s="9">
        <f>S53-S51</f>
        <v/>
      </c>
      <c r="T54" s="9">
        <f>T53-T51</f>
        <v/>
      </c>
      <c r="U54" s="9">
        <f>U53-U51</f>
        <v/>
      </c>
      <c r="V54" s="9">
        <f>V53-V51</f>
        <v/>
      </c>
      <c r="W54" s="9">
        <f>W53-W51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Site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Site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Site Components</t>
        </is>
      </c>
    </row>
    <row r="17">
      <c r="A17" s="10" t="inlineStr">
        <is>
          <t>Site Work / Improvements</t>
        </is>
      </c>
    </row>
    <row r="18">
      <c r="A18" s="2" t="inlineStr">
        <is>
          <t>Parking Lot</t>
        </is>
      </c>
      <c r="B18" s="11" t="n">
        <v>195356.18</v>
      </c>
      <c r="E18" s="11" t="n">
        <v>195356.18</v>
      </c>
    </row>
    <row r="19">
      <c r="A19" s="2" t="inlineStr">
        <is>
          <t>Parking Lot Striping / Barriers</t>
        </is>
      </c>
      <c r="B19" s="11" t="n">
        <v>4120.58</v>
      </c>
      <c r="E19" s="11" t="n">
        <v>4120.58</v>
      </c>
    </row>
    <row r="20">
      <c r="A20" s="2" t="inlineStr">
        <is>
          <t>Sidewalks / Curbs</t>
        </is>
      </c>
      <c r="B20" s="11" t="n">
        <v>136600.91</v>
      </c>
      <c r="E20" s="11" t="n">
        <v>136600.91</v>
      </c>
    </row>
    <row r="21">
      <c r="A21" s="2" t="inlineStr">
        <is>
          <t>Landscaping</t>
        </is>
      </c>
      <c r="B21" s="11" t="n">
        <v>4236.31</v>
      </c>
      <c r="E21" s="11" t="n">
        <v>4236.31</v>
      </c>
    </row>
    <row r="22">
      <c r="A22" s="2" t="inlineStr">
        <is>
          <t>Exterior Fencing</t>
        </is>
      </c>
      <c r="B22" s="11" t="n">
        <v>53960.1</v>
      </c>
      <c r="E22" s="11" t="n">
        <v>53960.1</v>
      </c>
    </row>
    <row r="23">
      <c r="A23" s="2" t="inlineStr">
        <is>
          <t>Exterior Equipment Concrete Pads</t>
        </is>
      </c>
      <c r="B23" s="11" t="n">
        <v>6941.9</v>
      </c>
      <c r="E23" s="11" t="n">
        <v>6941.9</v>
      </c>
    </row>
    <row r="24">
      <c r="A24" s="2" t="inlineStr">
        <is>
          <t>Playground</t>
        </is>
      </c>
      <c r="B24" s="11" t="n">
        <v>2339.55</v>
      </c>
      <c r="E24" s="11" t="n">
        <v>2339.55</v>
      </c>
    </row>
    <row r="26">
      <c r="A26" s="3" t="inlineStr">
        <is>
          <t>Total Site Cost</t>
        </is>
      </c>
      <c r="B26" s="12" t="n">
        <v>719744.4</v>
      </c>
      <c r="E26" s="12" t="n">
        <v>403555.53</v>
      </c>
      <c r="F26" s="12" t="n">
        <v>316188.87</v>
      </c>
    </row>
    <row r="27">
      <c r="A27" s="2" t="inlineStr">
        <is>
          <t>% of Site Cost</t>
        </is>
      </c>
      <c r="E27" s="13" t="n">
        <v>0.5610000000000001</v>
      </c>
      <c r="F27" s="13" t="n">
        <v>0.439</v>
      </c>
    </row>
    <row r="29">
      <c r="A29" s="1" t="inlineStr">
        <is>
          <t>Asset Allocation:</t>
        </is>
      </c>
    </row>
    <row r="30">
      <c r="A30" s="2" t="inlineStr">
        <is>
          <t>Asset # 10-Building (Post Casualty Loss Basis)</t>
        </is>
      </c>
      <c r="B30" s="11" t="n">
        <v>116091.65</v>
      </c>
      <c r="E30" s="11" t="n">
        <v>65091.76</v>
      </c>
      <c r="F30" s="11" t="n">
        <v>50999.89000000001</v>
      </c>
    </row>
    <row r="31">
      <c r="A31" s="2" t="inlineStr">
        <is>
          <t>Asset # 12-New Building (16 Units)</t>
        </is>
      </c>
      <c r="B31" s="11" t="n">
        <v>62263.6</v>
      </c>
      <c r="E31" s="11" t="n">
        <v>34910.75</v>
      </c>
      <c r="F31" s="11" t="n">
        <v>27352.85</v>
      </c>
    </row>
    <row r="32">
      <c r="A32" s="2" t="inlineStr">
        <is>
          <t>Asset # 14-New Buildings (105 Units)</t>
        </is>
      </c>
      <c r="B32" s="11" t="n">
        <v>417320.48</v>
      </c>
      <c r="E32" s="11" t="n">
        <v>233988.6</v>
      </c>
      <c r="F32" s="11" t="n">
        <v>183331.88</v>
      </c>
    </row>
    <row r="33">
      <c r="A33" s="2" t="inlineStr">
        <is>
          <t>Asset # 111-Building Imp(Post Casualty Loss Basis)</t>
        </is>
      </c>
      <c r="B33" s="11" t="n">
        <v>2917.69</v>
      </c>
      <c r="E33" s="11" t="n">
        <v>1635.93</v>
      </c>
      <c r="F33" s="11" t="n">
        <v>1281.76</v>
      </c>
    </row>
    <row r="34">
      <c r="A34" s="2" t="inlineStr">
        <is>
          <t>Asset # 2-Land Improvements</t>
        </is>
      </c>
      <c r="B34" s="11" t="n">
        <v>15876.41</v>
      </c>
      <c r="E34" s="11" t="n">
        <v>8901.790000000001</v>
      </c>
      <c r="F34" s="11" t="n">
        <v>6974.619999999999</v>
      </c>
    </row>
    <row r="35">
      <c r="A35" s="2" t="inlineStr">
        <is>
          <t>Asset # 13-New Equipment (16 Units)</t>
        </is>
      </c>
      <c r="B35" s="11" t="n">
        <v>13667.6</v>
      </c>
      <c r="E35" s="11" t="n">
        <v>7663.33</v>
      </c>
      <c r="F35" s="11" t="n">
        <v>6004.27</v>
      </c>
    </row>
    <row r="36">
      <c r="A36" s="2" t="inlineStr">
        <is>
          <t>Asset # 15-New Equipment (105 Units)</t>
        </is>
      </c>
      <c r="B36" s="11" t="n">
        <v>91606.97</v>
      </c>
      <c r="E36" s="11" t="n">
        <v>51363.37</v>
      </c>
      <c r="F36" s="11" t="n">
        <v>40243.6</v>
      </c>
    </row>
    <row r="37">
      <c r="A37" s="3" t="inlineStr">
        <is>
          <t>Total Allocation:</t>
        </is>
      </c>
      <c r="B37" s="12" t="n">
        <v>719744.3999999999</v>
      </c>
      <c r="E37" s="12" t="n">
        <v>403555.53</v>
      </c>
      <c r="F37" s="12" t="n">
        <v>316188.87</v>
      </c>
    </row>
    <row r="39">
      <c r="A39" s="1" t="inlineStr">
        <is>
          <t>End Depreciation Reconciliation</t>
        </is>
      </c>
    </row>
    <row r="40">
      <c r="A40" s="2" t="inlineStr">
        <is>
          <t>Before Cost Segregation (As Previously Filed)</t>
        </is>
      </c>
      <c r="B40" s="4" t="n">
        <v>59360.49</v>
      </c>
    </row>
    <row r="41">
      <c r="A41" s="2" t="inlineStr">
        <is>
          <t>After Cost Segregation (Corrected)</t>
        </is>
      </c>
      <c r="B41" s="6" t="n">
        <v>382264.85</v>
      </c>
    </row>
    <row r="42">
      <c r="A42" s="7" t="inlineStr">
        <is>
          <t>Section 481(a) Adjustment</t>
        </is>
      </c>
      <c r="B42" s="14" t="n">
        <v>-322904.36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Building 1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Building 1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31452.73</v>
      </c>
      <c r="C16" s="11" t="n">
        <v>31452.73</v>
      </c>
    </row>
    <row r="17">
      <c r="A17" s="2" t="inlineStr">
        <is>
          <t>Moldings</t>
        </is>
      </c>
      <c r="B17" s="11" t="n">
        <v>8394.17</v>
      </c>
      <c r="C17" s="11" t="n">
        <v>8394.17</v>
      </c>
    </row>
    <row r="18">
      <c r="A18" s="2" t="inlineStr">
        <is>
          <t>Flooring - Vinyl Plank</t>
        </is>
      </c>
      <c r="B18" s="11" t="n">
        <v>32815.89</v>
      </c>
      <c r="C18" s="11" t="n">
        <v>32815.89</v>
      </c>
    </row>
    <row r="19">
      <c r="A19" s="2" t="inlineStr">
        <is>
          <t>Window Treatments</t>
        </is>
      </c>
      <c r="B19" s="11" t="n">
        <v>2648.72</v>
      </c>
      <c r="C19" s="11" t="n">
        <v>2648.72</v>
      </c>
    </row>
    <row r="20">
      <c r="A20" s="2" t="inlineStr">
        <is>
          <t>Building Signage</t>
        </is>
      </c>
      <c r="B20" s="11" t="n">
        <v>287.16</v>
      </c>
      <c r="C20" s="11" t="n">
        <v>287.16</v>
      </c>
    </row>
    <row r="21">
      <c r="A21" s="2" t="inlineStr">
        <is>
          <t>Specialty Electrical - Appliances</t>
        </is>
      </c>
      <c r="B21" s="11" t="n">
        <v>5344.3</v>
      </c>
      <c r="C21" s="11" t="n">
        <v>5344.3</v>
      </c>
    </row>
    <row r="22">
      <c r="A22" s="2" t="inlineStr">
        <is>
          <t>Communication / Data</t>
        </is>
      </c>
      <c r="B22" s="11" t="n">
        <v>2858.97</v>
      </c>
      <c r="C22" s="11" t="n">
        <v>2858.97</v>
      </c>
    </row>
    <row r="23">
      <c r="A23" s="2" t="inlineStr">
        <is>
          <t>Specialty Plumbing - Kitchen Sinks</t>
        </is>
      </c>
      <c r="B23" s="11" t="n">
        <v>9687.68</v>
      </c>
      <c r="C23" s="11" t="n">
        <v>9687.68</v>
      </c>
    </row>
    <row r="24">
      <c r="A24" s="2" t="inlineStr">
        <is>
          <t>Security / Exterior Lighting</t>
        </is>
      </c>
      <c r="B24" s="11" t="n">
        <v>2139.23</v>
      </c>
      <c r="C24" s="11" t="n">
        <v>2139.23</v>
      </c>
    </row>
    <row r="25">
      <c r="A25" s="2" t="inlineStr">
        <is>
          <t>Canopies / Awnings</t>
        </is>
      </c>
      <c r="B25" s="11" t="n">
        <v>605.6900000000001</v>
      </c>
      <c r="C25" s="11" t="n">
        <v>605.6900000000001</v>
      </c>
    </row>
    <row r="26">
      <c r="A26" s="2" t="inlineStr">
        <is>
          <t>Appliances</t>
        </is>
      </c>
      <c r="B26" s="11" t="n">
        <v>8326.940000000001</v>
      </c>
      <c r="C26" s="11" t="n">
        <v>8326.940000000001</v>
      </c>
    </row>
    <row r="28">
      <c r="A28" s="10" t="inlineStr">
        <is>
          <t>Building Structure</t>
        </is>
      </c>
    </row>
    <row r="29">
      <c r="A29" s="2" t="inlineStr">
        <is>
          <t>Roofing Systems</t>
        </is>
      </c>
      <c r="B29" s="11" t="n">
        <v>16256.27</v>
      </c>
      <c r="F29" s="11" t="n">
        <v>16256.27</v>
      </c>
    </row>
    <row r="30">
      <c r="A30" s="2" t="inlineStr">
        <is>
          <t>Foundations</t>
        </is>
      </c>
      <c r="B30" s="11" t="n">
        <v>21691.78</v>
      </c>
      <c r="F30" s="11" t="n">
        <v>21691.78</v>
      </c>
    </row>
    <row r="31">
      <c r="A31" s="2" t="inlineStr">
        <is>
          <t>HVAC</t>
        </is>
      </c>
      <c r="B31" s="11" t="n">
        <v>31892.38</v>
      </c>
      <c r="F31" s="11" t="n">
        <v>31892.38</v>
      </c>
    </row>
    <row r="32">
      <c r="A32" s="2" t="inlineStr">
        <is>
          <t>Electrical</t>
        </is>
      </c>
      <c r="B32" s="11" t="n">
        <v>29436.62</v>
      </c>
      <c r="F32" s="11" t="n">
        <v>29436.62</v>
      </c>
    </row>
    <row r="33">
      <c r="A33" s="2" t="inlineStr">
        <is>
          <t>Plumbing</t>
        </is>
      </c>
      <c r="B33" s="11" t="n">
        <v>27723.88</v>
      </c>
      <c r="F33" s="11" t="n">
        <v>27723.88</v>
      </c>
    </row>
    <row r="34">
      <c r="A34" s="2" t="inlineStr">
        <is>
          <t>Fire Protection &amp; Alarm</t>
        </is>
      </c>
      <c r="B34" s="11" t="n">
        <v>1864.29</v>
      </c>
      <c r="F34" s="11" t="n">
        <v>1864.29</v>
      </c>
    </row>
    <row r="35">
      <c r="A35" s="2" t="inlineStr">
        <is>
          <t>Exterior Façade / Building Skin</t>
        </is>
      </c>
      <c r="B35" s="11" t="n">
        <v>21001.52</v>
      </c>
      <c r="F35" s="11" t="n">
        <v>21001.52</v>
      </c>
    </row>
    <row r="36">
      <c r="A36" s="2" t="inlineStr">
        <is>
          <t>Doors &amp; Frames</t>
        </is>
      </c>
      <c r="B36" s="11" t="n">
        <v>16292.68</v>
      </c>
      <c r="F36" s="11" t="n">
        <v>16292.68</v>
      </c>
    </row>
    <row r="37">
      <c r="A37" s="2" t="inlineStr">
        <is>
          <t>Windows</t>
        </is>
      </c>
      <c r="B37" s="11" t="n">
        <v>12258.17</v>
      </c>
      <c r="F37" s="11" t="n">
        <v>12258.17</v>
      </c>
    </row>
    <row r="38">
      <c r="A38" s="2" t="inlineStr">
        <is>
          <t>Ceiling Systems</t>
        </is>
      </c>
      <c r="B38" s="11" t="n">
        <v>14614.91</v>
      </c>
      <c r="F38" s="11" t="n">
        <v>14614.91</v>
      </c>
    </row>
    <row r="39">
      <c r="A39" s="2" t="inlineStr">
        <is>
          <t>Interior Framing / Partitions</t>
        </is>
      </c>
      <c r="B39" s="11" t="n">
        <v>38542.73</v>
      </c>
      <c r="F39" s="11" t="n">
        <v>38542.73</v>
      </c>
    </row>
    <row r="40">
      <c r="A40" s="2" t="inlineStr">
        <is>
          <t>Painting</t>
        </is>
      </c>
      <c r="B40" s="11" t="n">
        <v>15289.77</v>
      </c>
      <c r="F40" s="11" t="n">
        <v>15289.77</v>
      </c>
    </row>
    <row r="41">
      <c r="A41" s="2" t="inlineStr">
        <is>
          <t>Structural Framing</t>
        </is>
      </c>
      <c r="B41" s="11" t="n">
        <v>37823.34</v>
      </c>
      <c r="F41" s="11" t="n">
        <v>37823.34</v>
      </c>
    </row>
    <row r="42">
      <c r="A42" s="2" t="inlineStr">
        <is>
          <t>Stairs / Balconies</t>
        </is>
      </c>
      <c r="B42" s="11" t="n">
        <v>3514.89</v>
      </c>
      <c r="F42" s="11" t="n">
        <v>3514.89</v>
      </c>
    </row>
    <row r="43">
      <c r="A43" s="2" t="inlineStr">
        <is>
          <t>Bathroom Accessories</t>
        </is>
      </c>
      <c r="B43" s="11" t="n">
        <v>3740.86</v>
      </c>
      <c r="F43" s="11" t="n">
        <v>3740.86</v>
      </c>
    </row>
    <row r="44">
      <c r="A44" s="2" t="inlineStr">
        <is>
          <t>Cabinets / Millwork - Restrooms</t>
        </is>
      </c>
      <c r="B44" s="11" t="n">
        <v>1880.89</v>
      </c>
      <c r="F44" s="11" t="n">
        <v>1880.89</v>
      </c>
    </row>
    <row r="46">
      <c r="A46" s="3" t="inlineStr">
        <is>
          <t>Total Building Cost</t>
        </is>
      </c>
      <c r="B46" s="12" t="n">
        <v>398386.46</v>
      </c>
      <c r="C46" s="12" t="n">
        <v>104561.48</v>
      </c>
      <c r="F46" s="12" t="n">
        <v>293824.98</v>
      </c>
    </row>
    <row r="47">
      <c r="A47" s="2" t="inlineStr">
        <is>
          <t>% of Building Cost</t>
        </is>
      </c>
      <c r="C47" s="13" t="n">
        <v>0.262</v>
      </c>
      <c r="F47" s="13" t="n">
        <v>0.738</v>
      </c>
    </row>
    <row r="49">
      <c r="A49" s="1" t="inlineStr">
        <is>
          <t>Asset Allocation:</t>
        </is>
      </c>
    </row>
    <row r="50">
      <c r="A50" s="2" t="inlineStr">
        <is>
          <t>Asset # 10-Building (Post Casualty Loss Basis)</t>
        </is>
      </c>
      <c r="B50" s="11" t="n">
        <v>64257.99000000001</v>
      </c>
      <c r="C50" s="11" t="n">
        <v>16865.31</v>
      </c>
      <c r="F50" s="11" t="n">
        <v>47392.68000000001</v>
      </c>
    </row>
    <row r="51">
      <c r="A51" s="2" t="inlineStr">
        <is>
          <t>Asset # 12-New Building (16 Units)</t>
        </is>
      </c>
      <c r="B51" s="11" t="n">
        <v>34463.6</v>
      </c>
      <c r="C51" s="11" t="n">
        <v>9045.4</v>
      </c>
      <c r="F51" s="11" t="n">
        <v>25418.2</v>
      </c>
    </row>
    <row r="52">
      <c r="A52" s="2" t="inlineStr">
        <is>
          <t>Asset # 14-New Buildings (105 Units)</t>
        </is>
      </c>
      <c r="B52" s="11" t="n">
        <v>230991.49</v>
      </c>
      <c r="C52" s="11" t="n">
        <v>60626.59</v>
      </c>
      <c r="F52" s="11" t="n">
        <v>170364.9</v>
      </c>
    </row>
    <row r="53">
      <c r="A53" s="2" t="inlineStr">
        <is>
          <t>Asset # 111-Building Imp(Post Casualty Loss Basis)</t>
        </is>
      </c>
      <c r="B53" s="11" t="n">
        <v>1614.97</v>
      </c>
      <c r="C53" s="11" t="n">
        <v>423.87</v>
      </c>
      <c r="F53" s="11" t="n">
        <v>1191.1</v>
      </c>
    </row>
    <row r="54">
      <c r="A54" s="2" t="inlineStr">
        <is>
          <t>Asset # 2-Land Improvements</t>
        </is>
      </c>
      <c r="B54" s="11" t="n">
        <v>8787.77</v>
      </c>
      <c r="C54" s="11" t="n">
        <v>2306.46</v>
      </c>
      <c r="F54" s="11" t="n">
        <v>6481.31</v>
      </c>
    </row>
    <row r="55">
      <c r="A55" s="2" t="inlineStr">
        <is>
          <t>Asset # 13-New Equipment (16 Units)</t>
        </is>
      </c>
      <c r="B55" s="11" t="n">
        <v>7565.17</v>
      </c>
      <c r="C55" s="11" t="n">
        <v>1985.57</v>
      </c>
      <c r="F55" s="11" t="n">
        <v>5579.6</v>
      </c>
    </row>
    <row r="56">
      <c r="A56" s="2" t="inlineStr">
        <is>
          <t>Asset # 15-New Equipment (105 Units)</t>
        </is>
      </c>
      <c r="B56" s="11" t="n">
        <v>50705.47</v>
      </c>
      <c r="C56" s="11" t="n">
        <v>13308.28</v>
      </c>
      <c r="F56" s="11" t="n">
        <v>37397.19</v>
      </c>
    </row>
    <row r="57">
      <c r="A57" s="3" t="inlineStr">
        <is>
          <t>Total Allocation:</t>
        </is>
      </c>
      <c r="B57" s="12" t="n">
        <v>398386.46</v>
      </c>
      <c r="C57" s="12" t="n">
        <v>104561.48</v>
      </c>
      <c r="F57" s="12" t="n">
        <v>293824.98</v>
      </c>
    </row>
    <row r="59">
      <c r="A59" s="1" t="inlineStr">
        <is>
          <t>End Depreciation Reconciliation</t>
        </is>
      </c>
    </row>
    <row r="60">
      <c r="A60" s="2" t="inlineStr">
        <is>
          <t>Before Cost Segregation (As Previously Filed)</t>
        </is>
      </c>
      <c r="B60" s="4" t="n">
        <v>32856.69</v>
      </c>
    </row>
    <row r="61">
      <c r="A61" s="2" t="inlineStr">
        <is>
          <t>After Cost Segregation (Corrected)</t>
        </is>
      </c>
      <c r="B61" s="6" t="n">
        <v>123022.79</v>
      </c>
    </row>
    <row r="62">
      <c r="A62" s="7" t="inlineStr">
        <is>
          <t>Section 481(a) Adjustment</t>
        </is>
      </c>
      <c r="B62" s="14" t="n">
        <v>-90166.10000000001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Building 2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Building 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31452.73</v>
      </c>
      <c r="C16" s="11" t="n">
        <v>31452.73</v>
      </c>
    </row>
    <row r="17">
      <c r="A17" s="2" t="inlineStr">
        <is>
          <t>Moldings</t>
        </is>
      </c>
      <c r="B17" s="11" t="n">
        <v>8394.17</v>
      </c>
      <c r="C17" s="11" t="n">
        <v>8394.17</v>
      </c>
    </row>
    <row r="18">
      <c r="A18" s="2" t="inlineStr">
        <is>
          <t>Flooring - Vinyl Plank</t>
        </is>
      </c>
      <c r="B18" s="11" t="n">
        <v>32815.89</v>
      </c>
      <c r="C18" s="11" t="n">
        <v>32815.89</v>
      </c>
    </row>
    <row r="19">
      <c r="A19" s="2" t="inlineStr">
        <is>
          <t>Window Treatments</t>
        </is>
      </c>
      <c r="B19" s="11" t="n">
        <v>2648.72</v>
      </c>
      <c r="C19" s="11" t="n">
        <v>2648.72</v>
      </c>
    </row>
    <row r="20">
      <c r="A20" s="2" t="inlineStr">
        <is>
          <t>Building Signage</t>
        </is>
      </c>
      <c r="B20" s="11" t="n">
        <v>381</v>
      </c>
      <c r="C20" s="11" t="n">
        <v>381</v>
      </c>
    </row>
    <row r="21">
      <c r="A21" s="2" t="inlineStr">
        <is>
          <t>Specialty Electrical - Appliances</t>
        </is>
      </c>
      <c r="B21" s="11" t="n">
        <v>5344.3</v>
      </c>
      <c r="C21" s="11" t="n">
        <v>5344.3</v>
      </c>
    </row>
    <row r="22">
      <c r="A22" s="2" t="inlineStr">
        <is>
          <t>Communication / Data</t>
        </is>
      </c>
      <c r="B22" s="11" t="n">
        <v>2858.97</v>
      </c>
      <c r="C22" s="11" t="n">
        <v>2858.97</v>
      </c>
    </row>
    <row r="23">
      <c r="A23" s="2" t="inlineStr">
        <is>
          <t>Specialty Plumbing - Kitchen Sinks</t>
        </is>
      </c>
      <c r="B23" s="11" t="n">
        <v>9687.68</v>
      </c>
      <c r="C23" s="11" t="n">
        <v>9687.68</v>
      </c>
    </row>
    <row r="24">
      <c r="A24" s="2" t="inlineStr">
        <is>
          <t>Security / Exterior Lighting</t>
        </is>
      </c>
      <c r="B24" s="11" t="n">
        <v>2139.23</v>
      </c>
      <c r="C24" s="11" t="n">
        <v>2139.23</v>
      </c>
    </row>
    <row r="25">
      <c r="A25" s="2" t="inlineStr">
        <is>
          <t>Canopies / Awnings</t>
        </is>
      </c>
      <c r="B25" s="11" t="n">
        <v>605.6900000000001</v>
      </c>
      <c r="C25" s="11" t="n">
        <v>605.6900000000001</v>
      </c>
    </row>
    <row r="26">
      <c r="A26" s="2" t="inlineStr">
        <is>
          <t>Appliances</t>
        </is>
      </c>
      <c r="B26" s="11" t="n">
        <v>8326.940000000001</v>
      </c>
      <c r="C26" s="11" t="n">
        <v>8326.940000000001</v>
      </c>
    </row>
    <row r="28">
      <c r="A28" s="10" t="inlineStr">
        <is>
          <t>Building Structure</t>
        </is>
      </c>
    </row>
    <row r="29">
      <c r="A29" s="2" t="inlineStr">
        <is>
          <t>Roofing Systems</t>
        </is>
      </c>
      <c r="B29" s="11" t="n">
        <v>16256.28</v>
      </c>
      <c r="F29" s="11" t="n">
        <v>16256.28</v>
      </c>
    </row>
    <row r="30">
      <c r="A30" s="2" t="inlineStr">
        <is>
          <t>Foundations</t>
        </is>
      </c>
      <c r="B30" s="11" t="n">
        <v>21691.78</v>
      </c>
      <c r="F30" s="11" t="n">
        <v>21691.78</v>
      </c>
    </row>
    <row r="31">
      <c r="A31" s="2" t="inlineStr">
        <is>
          <t>HVAC</t>
        </is>
      </c>
      <c r="B31" s="11" t="n">
        <v>31892.38</v>
      </c>
      <c r="F31" s="11" t="n">
        <v>31892.38</v>
      </c>
    </row>
    <row r="32">
      <c r="A32" s="2" t="inlineStr">
        <is>
          <t>Electrical</t>
        </is>
      </c>
      <c r="B32" s="11" t="n">
        <v>29436.62</v>
      </c>
      <c r="F32" s="11" t="n">
        <v>29436.62</v>
      </c>
    </row>
    <row r="33">
      <c r="A33" s="2" t="inlineStr">
        <is>
          <t>Plumbing</t>
        </is>
      </c>
      <c r="B33" s="11" t="n">
        <v>27723.88</v>
      </c>
      <c r="F33" s="11" t="n">
        <v>27723.88</v>
      </c>
    </row>
    <row r="34">
      <c r="A34" s="2" t="inlineStr">
        <is>
          <t>Fire Protection &amp; Alarm</t>
        </is>
      </c>
      <c r="B34" s="11" t="n">
        <v>1864.29</v>
      </c>
      <c r="F34" s="11" t="n">
        <v>1864.29</v>
      </c>
    </row>
    <row r="35">
      <c r="A35" s="2" t="inlineStr">
        <is>
          <t>Exterior Façade / Building Skin</t>
        </is>
      </c>
      <c r="B35" s="11" t="n">
        <v>21001.51</v>
      </c>
      <c r="F35" s="11" t="n">
        <v>21001.51</v>
      </c>
    </row>
    <row r="36">
      <c r="A36" s="2" t="inlineStr">
        <is>
          <t>Doors &amp; Frames</t>
        </is>
      </c>
      <c r="B36" s="11" t="n">
        <v>16292.68</v>
      </c>
      <c r="F36" s="11" t="n">
        <v>16292.68</v>
      </c>
    </row>
    <row r="37">
      <c r="A37" s="2" t="inlineStr">
        <is>
          <t>Windows</t>
        </is>
      </c>
      <c r="B37" s="11" t="n">
        <v>12258.17</v>
      </c>
      <c r="F37" s="11" t="n">
        <v>12258.17</v>
      </c>
    </row>
    <row r="38">
      <c r="A38" s="2" t="inlineStr">
        <is>
          <t>Ceiling Systems</t>
        </is>
      </c>
      <c r="B38" s="11" t="n">
        <v>14614.91</v>
      </c>
      <c r="F38" s="11" t="n">
        <v>14614.91</v>
      </c>
    </row>
    <row r="39">
      <c r="A39" s="2" t="inlineStr">
        <is>
          <t>Interior Framing / Partitions</t>
        </is>
      </c>
      <c r="B39" s="11" t="n">
        <v>38542.73</v>
      </c>
      <c r="F39" s="11" t="n">
        <v>38542.73</v>
      </c>
    </row>
    <row r="40">
      <c r="A40" s="2" t="inlineStr">
        <is>
          <t>Painting</t>
        </is>
      </c>
      <c r="B40" s="11" t="n">
        <v>15289.77</v>
      </c>
      <c r="F40" s="11" t="n">
        <v>15289.77</v>
      </c>
    </row>
    <row r="41">
      <c r="A41" s="2" t="inlineStr">
        <is>
          <t>Structural Framing</t>
        </is>
      </c>
      <c r="B41" s="11" t="n">
        <v>37823.34</v>
      </c>
      <c r="F41" s="11" t="n">
        <v>37823.34</v>
      </c>
    </row>
    <row r="42">
      <c r="A42" s="2" t="inlineStr">
        <is>
          <t>Stairs / Balconies</t>
        </is>
      </c>
      <c r="B42" s="11" t="n">
        <v>3514.89</v>
      </c>
      <c r="F42" s="11" t="n">
        <v>3514.89</v>
      </c>
    </row>
    <row r="43">
      <c r="A43" s="2" t="inlineStr">
        <is>
          <t>Bathroom Accessories</t>
        </is>
      </c>
      <c r="B43" s="11" t="n">
        <v>3740.86</v>
      </c>
      <c r="F43" s="11" t="n">
        <v>3740.86</v>
      </c>
    </row>
    <row r="44">
      <c r="A44" s="2" t="inlineStr">
        <is>
          <t>Cabinets / Millwork - Restrooms</t>
        </is>
      </c>
      <c r="B44" s="11" t="n">
        <v>1880.89</v>
      </c>
      <c r="F44" s="11" t="n">
        <v>1880.89</v>
      </c>
    </row>
    <row r="46">
      <c r="A46" s="3" t="inlineStr">
        <is>
          <t>Total Building Cost</t>
        </is>
      </c>
      <c r="B46" s="12" t="n">
        <v>398480.3</v>
      </c>
      <c r="C46" s="12" t="n">
        <v>104655.32</v>
      </c>
      <c r="F46" s="12" t="n">
        <v>293824.98</v>
      </c>
    </row>
    <row r="47">
      <c r="A47" s="2" t="inlineStr">
        <is>
          <t>% of Building Cost</t>
        </is>
      </c>
      <c r="C47" s="13" t="n">
        <v>0.263</v>
      </c>
      <c r="F47" s="13" t="n">
        <v>0.737</v>
      </c>
    </row>
    <row r="49">
      <c r="A49" s="1" t="inlineStr">
        <is>
          <t>Asset Allocation:</t>
        </is>
      </c>
    </row>
    <row r="50">
      <c r="A50" s="2" t="inlineStr">
        <is>
          <t>Asset # 10-Building (Post Casualty Loss Basis)</t>
        </is>
      </c>
      <c r="B50" s="11" t="n">
        <v>64273.15</v>
      </c>
      <c r="C50" s="11" t="n">
        <v>16880.45</v>
      </c>
      <c r="F50" s="11" t="n">
        <v>47392.7</v>
      </c>
    </row>
    <row r="51">
      <c r="A51" s="2" t="inlineStr">
        <is>
          <t>Asset # 12-New Building (16 Units)</t>
        </is>
      </c>
      <c r="B51" s="11" t="n">
        <v>34471.7</v>
      </c>
      <c r="C51" s="11" t="n">
        <v>9053.51</v>
      </c>
      <c r="F51" s="11" t="n">
        <v>25418.19</v>
      </c>
    </row>
    <row r="52">
      <c r="A52" s="2" t="inlineStr">
        <is>
          <t>Asset # 14-New Buildings (105 Units)</t>
        </is>
      </c>
      <c r="B52" s="11" t="n">
        <v>231045.9</v>
      </c>
      <c r="C52" s="11" t="n">
        <v>60681</v>
      </c>
      <c r="F52" s="11" t="n">
        <v>170364.9</v>
      </c>
    </row>
    <row r="53">
      <c r="A53" s="2" t="inlineStr">
        <is>
          <t>Asset # 111-Building Imp(Post Casualty Loss Basis)</t>
        </is>
      </c>
      <c r="B53" s="11" t="n">
        <v>1615.35</v>
      </c>
      <c r="C53" s="11" t="n">
        <v>424.25</v>
      </c>
      <c r="F53" s="11" t="n">
        <v>1191.1</v>
      </c>
    </row>
    <row r="54">
      <c r="A54" s="2" t="inlineStr">
        <is>
          <t>Asset # 2-Land Improvements</t>
        </is>
      </c>
      <c r="B54" s="11" t="n">
        <v>8789.84</v>
      </c>
      <c r="C54" s="11" t="n">
        <v>2308.53</v>
      </c>
      <c r="F54" s="11" t="n">
        <v>6481.309999999999</v>
      </c>
    </row>
    <row r="55">
      <c r="A55" s="2" t="inlineStr">
        <is>
          <t>Asset # 13-New Equipment (16 Units)</t>
        </is>
      </c>
      <c r="B55" s="11" t="n">
        <v>7566.95</v>
      </c>
      <c r="C55" s="11" t="n">
        <v>1987.35</v>
      </c>
      <c r="F55" s="11" t="n">
        <v>5579.6</v>
      </c>
    </row>
    <row r="56">
      <c r="A56" s="2" t="inlineStr">
        <is>
          <t>Asset # 15-New Equipment (105 Units)</t>
        </is>
      </c>
      <c r="B56" s="11" t="n">
        <v>50717.41</v>
      </c>
      <c r="C56" s="11" t="n">
        <v>13320.23</v>
      </c>
      <c r="F56" s="11" t="n">
        <v>37397.18000000001</v>
      </c>
    </row>
    <row r="57">
      <c r="A57" s="3" t="inlineStr">
        <is>
          <t>Total Allocation:</t>
        </is>
      </c>
      <c r="B57" s="12" t="n">
        <v>398480.3</v>
      </c>
      <c r="C57" s="12" t="n">
        <v>104655.32</v>
      </c>
      <c r="F57" s="12" t="n">
        <v>293824.98</v>
      </c>
    </row>
    <row r="59">
      <c r="A59" s="1" t="inlineStr">
        <is>
          <t>End Depreciation Reconciliation</t>
        </is>
      </c>
    </row>
    <row r="60">
      <c r="A60" s="2" t="inlineStr">
        <is>
          <t>Before Cost Segregation (As Previously Filed)</t>
        </is>
      </c>
      <c r="B60" s="4" t="n">
        <v>32864.43</v>
      </c>
    </row>
    <row r="61">
      <c r="A61" s="2" t="inlineStr">
        <is>
          <t>After Cost Segregation (Corrected)</t>
        </is>
      </c>
      <c r="B61" s="6" t="n">
        <v>123110.27</v>
      </c>
    </row>
    <row r="62">
      <c r="A62" s="7" t="inlineStr">
        <is>
          <t>Section 481(a) Adjustment</t>
        </is>
      </c>
      <c r="B62" s="14" t="n">
        <v>-90245.84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KH Building 3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KH Building 3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31452.73</v>
      </c>
      <c r="C16" s="11" t="n">
        <v>31452.73</v>
      </c>
    </row>
    <row r="17">
      <c r="A17" s="2" t="inlineStr">
        <is>
          <t>Moldings</t>
        </is>
      </c>
      <c r="B17" s="11" t="n">
        <v>8394.17</v>
      </c>
      <c r="C17" s="11" t="n">
        <v>8394.17</v>
      </c>
    </row>
    <row r="18">
      <c r="A18" s="2" t="inlineStr">
        <is>
          <t>Flooring - Vinyl Plank</t>
        </is>
      </c>
      <c r="B18" s="11" t="n">
        <v>32815.89</v>
      </c>
      <c r="C18" s="11" t="n">
        <v>32815.89</v>
      </c>
    </row>
    <row r="19">
      <c r="A19" s="2" t="inlineStr">
        <is>
          <t>Window Treatments</t>
        </is>
      </c>
      <c r="B19" s="11" t="n">
        <v>2648.72</v>
      </c>
      <c r="C19" s="11" t="n">
        <v>2648.72</v>
      </c>
    </row>
    <row r="20">
      <c r="A20" s="2" t="inlineStr">
        <is>
          <t>Building Signage</t>
        </is>
      </c>
      <c r="B20" s="11" t="n">
        <v>394.4</v>
      </c>
      <c r="C20" s="11" t="n">
        <v>394.4</v>
      </c>
    </row>
    <row r="21">
      <c r="A21" s="2" t="inlineStr">
        <is>
          <t>Specialty Electrical - Appliances</t>
        </is>
      </c>
      <c r="B21" s="11" t="n">
        <v>5344.3</v>
      </c>
      <c r="C21" s="11" t="n">
        <v>5344.3</v>
      </c>
    </row>
    <row r="22">
      <c r="A22" s="2" t="inlineStr">
        <is>
          <t>Communication / Data</t>
        </is>
      </c>
      <c r="B22" s="11" t="n">
        <v>2858.97</v>
      </c>
      <c r="C22" s="11" t="n">
        <v>2858.97</v>
      </c>
    </row>
    <row r="23">
      <c r="A23" s="2" t="inlineStr">
        <is>
          <t>Specialty Plumbing - Kitchen Sinks</t>
        </is>
      </c>
      <c r="B23" s="11" t="n">
        <v>9687.68</v>
      </c>
      <c r="C23" s="11" t="n">
        <v>9687.68</v>
      </c>
    </row>
    <row r="24">
      <c r="A24" s="2" t="inlineStr">
        <is>
          <t>Security / Exterior Lighting</t>
        </is>
      </c>
      <c r="B24" s="11" t="n">
        <v>2139.23</v>
      </c>
      <c r="C24" s="11" t="n">
        <v>2139.23</v>
      </c>
    </row>
    <row r="25">
      <c r="A25" s="2" t="inlineStr">
        <is>
          <t>Canopies / Awnings</t>
        </is>
      </c>
      <c r="B25" s="11" t="n">
        <v>605.6900000000001</v>
      </c>
      <c r="C25" s="11" t="n">
        <v>605.6900000000001</v>
      </c>
    </row>
    <row r="26">
      <c r="A26" s="2" t="inlineStr">
        <is>
          <t>Appliances</t>
        </is>
      </c>
      <c r="B26" s="11" t="n">
        <v>8326.940000000001</v>
      </c>
      <c r="C26" s="11" t="n">
        <v>8326.940000000001</v>
      </c>
    </row>
    <row r="28">
      <c r="A28" s="10" t="inlineStr">
        <is>
          <t>Building Structure</t>
        </is>
      </c>
    </row>
    <row r="29">
      <c r="A29" s="2" t="inlineStr">
        <is>
          <t>Roofing Systems</t>
        </is>
      </c>
      <c r="B29" s="11" t="n">
        <v>16256.27</v>
      </c>
      <c r="F29" s="11" t="n">
        <v>16256.27</v>
      </c>
    </row>
    <row r="30">
      <c r="A30" s="2" t="inlineStr">
        <is>
          <t>Foundations</t>
        </is>
      </c>
      <c r="B30" s="11" t="n">
        <v>21691.78</v>
      </c>
      <c r="F30" s="11" t="n">
        <v>21691.78</v>
      </c>
    </row>
    <row r="31">
      <c r="A31" s="2" t="inlineStr">
        <is>
          <t>HVAC</t>
        </is>
      </c>
      <c r="B31" s="11" t="n">
        <v>31892.38</v>
      </c>
      <c r="F31" s="11" t="n">
        <v>31892.38</v>
      </c>
    </row>
    <row r="32">
      <c r="A32" s="2" t="inlineStr">
        <is>
          <t>Electrical</t>
        </is>
      </c>
      <c r="B32" s="11" t="n">
        <v>29436.62</v>
      </c>
      <c r="F32" s="11" t="n">
        <v>29436.62</v>
      </c>
    </row>
    <row r="33">
      <c r="A33" s="2" t="inlineStr">
        <is>
          <t>Plumbing</t>
        </is>
      </c>
      <c r="B33" s="11" t="n">
        <v>27723.88</v>
      </c>
      <c r="F33" s="11" t="n">
        <v>27723.88</v>
      </c>
    </row>
    <row r="34">
      <c r="A34" s="2" t="inlineStr">
        <is>
          <t>Fire Protection &amp; Alarm</t>
        </is>
      </c>
      <c r="B34" s="11" t="n">
        <v>1864.29</v>
      </c>
      <c r="F34" s="11" t="n">
        <v>1864.29</v>
      </c>
    </row>
    <row r="35">
      <c r="A35" s="2" t="inlineStr">
        <is>
          <t>Exterior Façade / Building Skin</t>
        </is>
      </c>
      <c r="B35" s="11" t="n">
        <v>21001.52</v>
      </c>
      <c r="F35" s="11" t="n">
        <v>21001.52</v>
      </c>
    </row>
    <row r="36">
      <c r="A36" s="2" t="inlineStr">
        <is>
          <t>Doors &amp; Frames</t>
        </is>
      </c>
      <c r="B36" s="11" t="n">
        <v>16292.68</v>
      </c>
      <c r="F36" s="11" t="n">
        <v>16292.68</v>
      </c>
    </row>
    <row r="37">
      <c r="A37" s="2" t="inlineStr">
        <is>
          <t>Windows</t>
        </is>
      </c>
      <c r="B37" s="11" t="n">
        <v>12258.17</v>
      </c>
      <c r="F37" s="11" t="n">
        <v>12258.17</v>
      </c>
    </row>
    <row r="38">
      <c r="A38" s="2" t="inlineStr">
        <is>
          <t>Ceiling Systems</t>
        </is>
      </c>
      <c r="B38" s="11" t="n">
        <v>14614.91</v>
      </c>
      <c r="F38" s="11" t="n">
        <v>14614.91</v>
      </c>
    </row>
    <row r="39">
      <c r="A39" s="2" t="inlineStr">
        <is>
          <t>Interior Framing / Partitions</t>
        </is>
      </c>
      <c r="B39" s="11" t="n">
        <v>38542.73</v>
      </c>
      <c r="F39" s="11" t="n">
        <v>38542.73</v>
      </c>
    </row>
    <row r="40">
      <c r="A40" s="2" t="inlineStr">
        <is>
          <t>Painting</t>
        </is>
      </c>
      <c r="B40" s="11" t="n">
        <v>15289.77</v>
      </c>
      <c r="F40" s="11" t="n">
        <v>15289.77</v>
      </c>
    </row>
    <row r="41">
      <c r="A41" s="2" t="inlineStr">
        <is>
          <t>Structural Framing</t>
        </is>
      </c>
      <c r="B41" s="11" t="n">
        <v>37823.34</v>
      </c>
      <c r="F41" s="11" t="n">
        <v>37823.34</v>
      </c>
    </row>
    <row r="42">
      <c r="A42" s="2" t="inlineStr">
        <is>
          <t>Stairs / Balconies</t>
        </is>
      </c>
      <c r="B42" s="11" t="n">
        <v>3514.89</v>
      </c>
      <c r="F42" s="11" t="n">
        <v>3514.89</v>
      </c>
    </row>
    <row r="43">
      <c r="A43" s="2" t="inlineStr">
        <is>
          <t>Bathroom Accessories</t>
        </is>
      </c>
      <c r="B43" s="11" t="n">
        <v>3740.86</v>
      </c>
      <c r="F43" s="11" t="n">
        <v>3740.86</v>
      </c>
    </row>
    <row r="44">
      <c r="A44" s="2" t="inlineStr">
        <is>
          <t>Cabinets / Millwork - Restrooms</t>
        </is>
      </c>
      <c r="B44" s="11" t="n">
        <v>1880.89</v>
      </c>
      <c r="F44" s="11" t="n">
        <v>1880.89</v>
      </c>
    </row>
    <row r="46">
      <c r="A46" s="3" t="inlineStr">
        <is>
          <t>Total Building Cost</t>
        </is>
      </c>
      <c r="B46" s="12" t="n">
        <v>398493.7</v>
      </c>
      <c r="C46" s="12" t="n">
        <v>104668.72</v>
      </c>
      <c r="F46" s="12" t="n">
        <v>293824.98</v>
      </c>
    </row>
    <row r="47">
      <c r="A47" s="2" t="inlineStr">
        <is>
          <t>% of Building Cost</t>
        </is>
      </c>
      <c r="C47" s="13" t="n">
        <v>0.263</v>
      </c>
      <c r="F47" s="13" t="n">
        <v>0.737</v>
      </c>
    </row>
    <row r="49">
      <c r="A49" s="1" t="inlineStr">
        <is>
          <t>Asset Allocation:</t>
        </is>
      </c>
    </row>
    <row r="50">
      <c r="A50" s="2" t="inlineStr">
        <is>
          <t>Asset # 10-Building (Post Casualty Loss Basis)</t>
        </is>
      </c>
      <c r="B50" s="11" t="n">
        <v>64275.31</v>
      </c>
      <c r="C50" s="11" t="n">
        <v>16882.61</v>
      </c>
      <c r="F50" s="11" t="n">
        <v>47392.7</v>
      </c>
    </row>
    <row r="51">
      <c r="A51" s="2" t="inlineStr">
        <is>
          <t>Asset # 12-New Building (16 Units)</t>
        </is>
      </c>
      <c r="B51" s="11" t="n">
        <v>34472.86</v>
      </c>
      <c r="C51" s="11" t="n">
        <v>9054.67</v>
      </c>
      <c r="F51" s="11" t="n">
        <v>25418.19</v>
      </c>
    </row>
    <row r="52">
      <c r="A52" s="2" t="inlineStr">
        <is>
          <t>Asset # 14-New Buildings (105 Units)</t>
        </is>
      </c>
      <c r="B52" s="11" t="n">
        <v>231053.67</v>
      </c>
      <c r="C52" s="11" t="n">
        <v>60688.77</v>
      </c>
      <c r="F52" s="11" t="n">
        <v>170364.9</v>
      </c>
    </row>
    <row r="53">
      <c r="A53" s="2" t="inlineStr">
        <is>
          <t>Asset # 111-Building Imp(Post Casualty Loss Basis)</t>
        </is>
      </c>
      <c r="B53" s="11" t="n">
        <v>1615.41</v>
      </c>
      <c r="C53" s="11" t="n">
        <v>424.31</v>
      </c>
      <c r="F53" s="11" t="n">
        <v>1191.1</v>
      </c>
    </row>
    <row r="54">
      <c r="A54" s="2" t="inlineStr">
        <is>
          <t>Asset # 2-Land Improvements</t>
        </is>
      </c>
      <c r="B54" s="11" t="n">
        <v>8790.129999999999</v>
      </c>
      <c r="C54" s="11" t="n">
        <v>2308.82</v>
      </c>
      <c r="F54" s="11" t="n">
        <v>6481.309999999999</v>
      </c>
    </row>
    <row r="55">
      <c r="A55" s="2" t="inlineStr">
        <is>
          <t>Asset # 13-New Equipment (16 Units)</t>
        </is>
      </c>
      <c r="B55" s="11" t="n">
        <v>7567.2</v>
      </c>
      <c r="C55" s="11" t="n">
        <v>1987.61</v>
      </c>
      <c r="F55" s="11" t="n">
        <v>5579.59</v>
      </c>
    </row>
    <row r="56">
      <c r="A56" s="2" t="inlineStr">
        <is>
          <t>Asset # 15-New Equipment (105 Units)</t>
        </is>
      </c>
      <c r="B56" s="11" t="n">
        <v>50719.12</v>
      </c>
      <c r="C56" s="11" t="n">
        <v>13321.93</v>
      </c>
      <c r="F56" s="11" t="n">
        <v>37397.19</v>
      </c>
    </row>
    <row r="57">
      <c r="A57" s="3" t="inlineStr">
        <is>
          <t>Total Allocation:</t>
        </is>
      </c>
      <c r="B57" s="12" t="n">
        <v>398493.7</v>
      </c>
      <c r="C57" s="12" t="n">
        <v>104668.72</v>
      </c>
      <c r="F57" s="12" t="n">
        <v>293824.98</v>
      </c>
    </row>
    <row r="59">
      <c r="A59" s="1" t="inlineStr">
        <is>
          <t>End Depreciation Reconciliation</t>
        </is>
      </c>
    </row>
    <row r="60">
      <c r="A60" s="2" t="inlineStr">
        <is>
          <t>Before Cost Segregation (As Previously Filed)</t>
        </is>
      </c>
      <c r="B60" s="4" t="n">
        <v>32865.52</v>
      </c>
    </row>
    <row r="61">
      <c r="A61" s="2" t="inlineStr">
        <is>
          <t>After Cost Segregation (Corrected)</t>
        </is>
      </c>
      <c r="B61" s="6" t="n">
        <v>123122.76</v>
      </c>
    </row>
    <row r="62">
      <c r="A62" s="7" t="inlineStr">
        <is>
          <t>Section 481(a) Adjustment</t>
        </is>
      </c>
      <c r="B62" s="14" t="n">
        <v>-90257.24000000001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Building 4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Building 4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31452.73</v>
      </c>
      <c r="C16" s="11" t="n">
        <v>31452.73</v>
      </c>
    </row>
    <row r="17">
      <c r="A17" s="2" t="inlineStr">
        <is>
          <t>Moldings</t>
        </is>
      </c>
      <c r="B17" s="11" t="n">
        <v>8394.17</v>
      </c>
      <c r="C17" s="11" t="n">
        <v>8394.17</v>
      </c>
    </row>
    <row r="18">
      <c r="A18" s="2" t="inlineStr">
        <is>
          <t>Flooring - Vinyl Plank</t>
        </is>
      </c>
      <c r="B18" s="11" t="n">
        <v>32815.89</v>
      </c>
      <c r="C18" s="11" t="n">
        <v>32815.89</v>
      </c>
    </row>
    <row r="19">
      <c r="A19" s="2" t="inlineStr">
        <is>
          <t>Window Treatments</t>
        </is>
      </c>
      <c r="B19" s="11" t="n">
        <v>2648.72</v>
      </c>
      <c r="C19" s="11" t="n">
        <v>2648.72</v>
      </c>
    </row>
    <row r="20">
      <c r="A20" s="2" t="inlineStr">
        <is>
          <t>Building Signage</t>
        </is>
      </c>
      <c r="B20" s="11" t="n">
        <v>394.4</v>
      </c>
      <c r="C20" s="11" t="n">
        <v>394.4</v>
      </c>
    </row>
    <row r="21">
      <c r="A21" s="2" t="inlineStr">
        <is>
          <t>Specialty Electrical - Appliances</t>
        </is>
      </c>
      <c r="B21" s="11" t="n">
        <v>5344.3</v>
      </c>
      <c r="C21" s="11" t="n">
        <v>5344.3</v>
      </c>
    </row>
    <row r="22">
      <c r="A22" s="2" t="inlineStr">
        <is>
          <t>Communication / Data</t>
        </is>
      </c>
      <c r="B22" s="11" t="n">
        <v>2858.97</v>
      </c>
      <c r="C22" s="11" t="n">
        <v>2858.97</v>
      </c>
    </row>
    <row r="23">
      <c r="A23" s="2" t="inlineStr">
        <is>
          <t>Specialty Plumbing - Kitchen Sinks</t>
        </is>
      </c>
      <c r="B23" s="11" t="n">
        <v>9687.68</v>
      </c>
      <c r="C23" s="11" t="n">
        <v>9687.68</v>
      </c>
    </row>
    <row r="24">
      <c r="A24" s="2" t="inlineStr">
        <is>
          <t>Security / Exterior Lighting</t>
        </is>
      </c>
      <c r="B24" s="11" t="n">
        <v>2139.23</v>
      </c>
      <c r="C24" s="11" t="n">
        <v>2139.23</v>
      </c>
    </row>
    <row r="25">
      <c r="A25" s="2" t="inlineStr">
        <is>
          <t>Canopies / Awnings</t>
        </is>
      </c>
      <c r="B25" s="11" t="n">
        <v>605.6900000000001</v>
      </c>
      <c r="C25" s="11" t="n">
        <v>605.6900000000001</v>
      </c>
    </row>
    <row r="26">
      <c r="A26" s="2" t="inlineStr">
        <is>
          <t>Appliances</t>
        </is>
      </c>
      <c r="B26" s="11" t="n">
        <v>8326.940000000001</v>
      </c>
      <c r="C26" s="11" t="n">
        <v>8326.940000000001</v>
      </c>
    </row>
    <row r="28">
      <c r="A28" s="10" t="inlineStr">
        <is>
          <t>Building Structure</t>
        </is>
      </c>
    </row>
    <row r="29">
      <c r="A29" s="2" t="inlineStr">
        <is>
          <t>Roofing Systems</t>
        </is>
      </c>
      <c r="B29" s="11" t="n">
        <v>16256.27</v>
      </c>
      <c r="F29" s="11" t="n">
        <v>16256.27</v>
      </c>
    </row>
    <row r="30">
      <c r="A30" s="2" t="inlineStr">
        <is>
          <t>Foundations</t>
        </is>
      </c>
      <c r="B30" s="11" t="n">
        <v>21691.78</v>
      </c>
      <c r="F30" s="11" t="n">
        <v>21691.78</v>
      </c>
    </row>
    <row r="31">
      <c r="A31" s="2" t="inlineStr">
        <is>
          <t>HVAC</t>
        </is>
      </c>
      <c r="B31" s="11" t="n">
        <v>31892.38</v>
      </c>
      <c r="F31" s="11" t="n">
        <v>31892.38</v>
      </c>
    </row>
    <row r="32">
      <c r="A32" s="2" t="inlineStr">
        <is>
          <t>Electrical</t>
        </is>
      </c>
      <c r="B32" s="11" t="n">
        <v>29436.62</v>
      </c>
      <c r="F32" s="11" t="n">
        <v>29436.62</v>
      </c>
    </row>
    <row r="33">
      <c r="A33" s="2" t="inlineStr">
        <is>
          <t>Plumbing</t>
        </is>
      </c>
      <c r="B33" s="11" t="n">
        <v>27723.88</v>
      </c>
      <c r="F33" s="11" t="n">
        <v>27723.88</v>
      </c>
    </row>
    <row r="34">
      <c r="A34" s="2" t="inlineStr">
        <is>
          <t>Fire Protection &amp; Alarm</t>
        </is>
      </c>
      <c r="B34" s="11" t="n">
        <v>1864.29</v>
      </c>
      <c r="F34" s="11" t="n">
        <v>1864.29</v>
      </c>
    </row>
    <row r="35">
      <c r="A35" s="2" t="inlineStr">
        <is>
          <t>Exterior Façade / Building Skin</t>
        </is>
      </c>
      <c r="B35" s="11" t="n">
        <v>19256.3</v>
      </c>
      <c r="F35" s="11" t="n">
        <v>19256.3</v>
      </c>
    </row>
    <row r="36">
      <c r="A36" s="2" t="inlineStr">
        <is>
          <t>Doors &amp; Frames</t>
        </is>
      </c>
      <c r="B36" s="11" t="n">
        <v>16292.68</v>
      </c>
      <c r="F36" s="11" t="n">
        <v>16292.68</v>
      </c>
    </row>
    <row r="37">
      <c r="A37" s="2" t="inlineStr">
        <is>
          <t>Windows</t>
        </is>
      </c>
      <c r="B37" s="11" t="n">
        <v>12258.17</v>
      </c>
      <c r="F37" s="11" t="n">
        <v>12258.17</v>
      </c>
    </row>
    <row r="38">
      <c r="A38" s="2" t="inlineStr">
        <is>
          <t>Ceiling Systems</t>
        </is>
      </c>
      <c r="B38" s="11" t="n">
        <v>14614.91</v>
      </c>
      <c r="F38" s="11" t="n">
        <v>14614.91</v>
      </c>
    </row>
    <row r="39">
      <c r="A39" s="2" t="inlineStr">
        <is>
          <t>Interior Framing / Partitions</t>
        </is>
      </c>
      <c r="B39" s="11" t="n">
        <v>38542.73</v>
      </c>
      <c r="F39" s="11" t="n">
        <v>38542.73</v>
      </c>
    </row>
    <row r="40">
      <c r="A40" s="2" t="inlineStr">
        <is>
          <t>Painting</t>
        </is>
      </c>
      <c r="B40" s="11" t="n">
        <v>15196</v>
      </c>
      <c r="F40" s="11" t="n">
        <v>15196</v>
      </c>
    </row>
    <row r="41">
      <c r="A41" s="2" t="inlineStr">
        <is>
          <t>Structural Framing</t>
        </is>
      </c>
      <c r="B41" s="11" t="n">
        <v>37823.34</v>
      </c>
      <c r="F41" s="11" t="n">
        <v>37823.34</v>
      </c>
    </row>
    <row r="42">
      <c r="A42" s="2" t="inlineStr">
        <is>
          <t>Stairs / Balconies</t>
        </is>
      </c>
      <c r="B42" s="11" t="n">
        <v>3514.89</v>
      </c>
      <c r="F42" s="11" t="n">
        <v>3514.89</v>
      </c>
    </row>
    <row r="43">
      <c r="A43" s="2" t="inlineStr">
        <is>
          <t>Bathroom Accessories</t>
        </is>
      </c>
      <c r="B43" s="11" t="n">
        <v>3740.86</v>
      </c>
      <c r="F43" s="11" t="n">
        <v>3740.86</v>
      </c>
    </row>
    <row r="44">
      <c r="A44" s="2" t="inlineStr">
        <is>
          <t>Cabinets / Millwork - Restrooms</t>
        </is>
      </c>
      <c r="B44" s="11" t="n">
        <v>1880.89</v>
      </c>
      <c r="F44" s="11" t="n">
        <v>1880.89</v>
      </c>
    </row>
    <row r="46">
      <c r="A46" s="3" t="inlineStr">
        <is>
          <t>Total Building Cost</t>
        </is>
      </c>
      <c r="B46" s="12" t="n">
        <v>396654.71</v>
      </c>
      <c r="C46" s="12" t="n">
        <v>104668.72</v>
      </c>
      <c r="F46" s="12" t="n">
        <v>291985.99</v>
      </c>
    </row>
    <row r="47">
      <c r="A47" s="2" t="inlineStr">
        <is>
          <t>% of Building Cost</t>
        </is>
      </c>
      <c r="C47" s="13" t="n">
        <v>0.264</v>
      </c>
      <c r="F47" s="13" t="n">
        <v>0.736</v>
      </c>
    </row>
    <row r="49">
      <c r="A49" s="1" t="inlineStr">
        <is>
          <t>Asset Allocation:</t>
        </is>
      </c>
    </row>
    <row r="50">
      <c r="A50" s="2" t="inlineStr">
        <is>
          <t>Asset # 10-Building (Post Casualty Loss Basis)</t>
        </is>
      </c>
      <c r="B50" s="11" t="n">
        <v>63978.69</v>
      </c>
      <c r="C50" s="11" t="n">
        <v>16882.61</v>
      </c>
      <c r="F50" s="11" t="n">
        <v>47096.08</v>
      </c>
    </row>
    <row r="51">
      <c r="A51" s="2" t="inlineStr">
        <is>
          <t>Asset # 12-New Building (16 Units)</t>
        </is>
      </c>
      <c r="B51" s="11" t="n">
        <v>34313.78</v>
      </c>
      <c r="C51" s="11" t="n">
        <v>9054.67</v>
      </c>
      <c r="F51" s="11" t="n">
        <v>25259.11</v>
      </c>
    </row>
    <row r="52">
      <c r="A52" s="2" t="inlineStr">
        <is>
          <t>Asset # 14-New Buildings (105 Units)</t>
        </is>
      </c>
      <c r="B52" s="11" t="n">
        <v>229987.39</v>
      </c>
      <c r="C52" s="11" t="n">
        <v>60688.77</v>
      </c>
      <c r="F52" s="11" t="n">
        <v>169298.62</v>
      </c>
    </row>
    <row r="53">
      <c r="A53" s="2" t="inlineStr">
        <is>
          <t>Asset # 111-Building Imp(Post Casualty Loss Basis)</t>
        </is>
      </c>
      <c r="B53" s="11" t="n">
        <v>1607.95</v>
      </c>
      <c r="C53" s="11" t="n">
        <v>424.3</v>
      </c>
      <c r="F53" s="11" t="n">
        <v>1183.65</v>
      </c>
    </row>
    <row r="54">
      <c r="A54" s="2" t="inlineStr">
        <is>
          <t>Asset # 2-Land Improvements</t>
        </is>
      </c>
      <c r="B54" s="11" t="n">
        <v>8749.57</v>
      </c>
      <c r="C54" s="11" t="n">
        <v>2308.82</v>
      </c>
      <c r="F54" s="11" t="n">
        <v>6440.75</v>
      </c>
    </row>
    <row r="55">
      <c r="A55" s="2" t="inlineStr">
        <is>
          <t>Asset # 13-New Equipment (16 Units)</t>
        </is>
      </c>
      <c r="B55" s="11" t="n">
        <v>7532.28</v>
      </c>
      <c r="C55" s="11" t="n">
        <v>1987.61</v>
      </c>
      <c r="F55" s="11" t="n">
        <v>5544.67</v>
      </c>
    </row>
    <row r="56">
      <c r="A56" s="2" t="inlineStr">
        <is>
          <t>Asset # 15-New Equipment (105 Units)</t>
        </is>
      </c>
      <c r="B56" s="11" t="n">
        <v>50485.05</v>
      </c>
      <c r="C56" s="11" t="n">
        <v>13321.94</v>
      </c>
      <c r="F56" s="11" t="n">
        <v>37163.11</v>
      </c>
    </row>
    <row r="57">
      <c r="A57" s="3" t="inlineStr">
        <is>
          <t>Total Allocation:</t>
        </is>
      </c>
      <c r="B57" s="12" t="n">
        <v>396654.71</v>
      </c>
      <c r="C57" s="12" t="n">
        <v>104668.72</v>
      </c>
      <c r="F57" s="12" t="n">
        <v>291985.99</v>
      </c>
    </row>
    <row r="59">
      <c r="A59" s="1" t="inlineStr">
        <is>
          <t>End Depreciation Reconciliation</t>
        </is>
      </c>
    </row>
    <row r="60">
      <c r="A60" s="2" t="inlineStr">
        <is>
          <t>Before Cost Segregation (As Previously Filed)</t>
        </is>
      </c>
      <c r="B60" s="4" t="n">
        <v>32713.87</v>
      </c>
    </row>
    <row r="61">
      <c r="A61" s="2" t="inlineStr">
        <is>
          <t>After Cost Segregation (Corrected)</t>
        </is>
      </c>
      <c r="B61" s="6" t="n">
        <v>122962.82</v>
      </c>
    </row>
    <row r="62">
      <c r="A62" s="7" t="inlineStr">
        <is>
          <t>Section 481(a) Adjustment</t>
        </is>
      </c>
      <c r="B62" s="14" t="n">
        <v>-90248.95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Building 5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Building 5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31452.73</v>
      </c>
      <c r="C16" s="11" t="n">
        <v>31452.73</v>
      </c>
    </row>
    <row r="17">
      <c r="A17" s="2" t="inlineStr">
        <is>
          <t>Moldings</t>
        </is>
      </c>
      <c r="B17" s="11" t="n">
        <v>8975.5</v>
      </c>
      <c r="C17" s="11" t="n">
        <v>8975.5</v>
      </c>
    </row>
    <row r="18">
      <c r="A18" s="2" t="inlineStr">
        <is>
          <t>Flooring - Vinyl Plank</t>
        </is>
      </c>
      <c r="B18" s="11" t="n">
        <v>38285.2</v>
      </c>
      <c r="C18" s="11" t="n">
        <v>38285.2</v>
      </c>
    </row>
    <row r="19">
      <c r="A19" s="2" t="inlineStr">
        <is>
          <t>Window Treatments</t>
        </is>
      </c>
      <c r="B19" s="11" t="n">
        <v>3310.89</v>
      </c>
      <c r="C19" s="11" t="n">
        <v>3310.89</v>
      </c>
    </row>
    <row r="20">
      <c r="A20" s="2" t="inlineStr">
        <is>
          <t>Building Signage</t>
        </is>
      </c>
      <c r="B20" s="11" t="n">
        <v>394.4</v>
      </c>
      <c r="C20" s="11" t="n">
        <v>394.4</v>
      </c>
    </row>
    <row r="21">
      <c r="A21" s="2" t="inlineStr">
        <is>
          <t>Specialty Electrical - Appliances</t>
        </is>
      </c>
      <c r="B21" s="11" t="n">
        <v>5344.3</v>
      </c>
      <c r="C21" s="11" t="n">
        <v>5344.3</v>
      </c>
    </row>
    <row r="22">
      <c r="A22" s="2" t="inlineStr">
        <is>
          <t>Communication / Data</t>
        </is>
      </c>
      <c r="B22" s="11" t="n">
        <v>3335.47</v>
      </c>
      <c r="C22" s="11" t="n">
        <v>3335.47</v>
      </c>
    </row>
    <row r="23">
      <c r="A23" s="2" t="inlineStr">
        <is>
          <t>Specialty Plumbing - Kitchen Sinks</t>
        </is>
      </c>
      <c r="B23" s="11" t="n">
        <v>9687.68</v>
      </c>
      <c r="C23" s="11" t="n">
        <v>9687.68</v>
      </c>
    </row>
    <row r="24">
      <c r="A24" s="2" t="inlineStr">
        <is>
          <t>Security / Exterior Lighting</t>
        </is>
      </c>
      <c r="B24" s="11" t="n">
        <v>2139.23</v>
      </c>
      <c r="C24" s="11" t="n">
        <v>2139.23</v>
      </c>
    </row>
    <row r="25">
      <c r="A25" s="2" t="inlineStr">
        <is>
          <t>Canopies / Awnings</t>
        </is>
      </c>
      <c r="B25" s="11" t="n">
        <v>605.6900000000001</v>
      </c>
      <c r="C25" s="11" t="n">
        <v>605.6900000000001</v>
      </c>
    </row>
    <row r="26">
      <c r="A26" s="2" t="inlineStr">
        <is>
          <t>Appliances</t>
        </is>
      </c>
      <c r="B26" s="11" t="n">
        <v>8326.940000000001</v>
      </c>
      <c r="C26" s="11" t="n">
        <v>8326.940000000001</v>
      </c>
    </row>
    <row r="28">
      <c r="A28" s="10" t="inlineStr">
        <is>
          <t>Building Structure</t>
        </is>
      </c>
    </row>
    <row r="29">
      <c r="A29" s="2" t="inlineStr">
        <is>
          <t>Roofing Systems</t>
        </is>
      </c>
      <c r="B29" s="11" t="n">
        <v>18787.9</v>
      </c>
      <c r="F29" s="11" t="n">
        <v>18787.9</v>
      </c>
    </row>
    <row r="30">
      <c r="A30" s="2" t="inlineStr">
        <is>
          <t>Foundations</t>
        </is>
      </c>
      <c r="B30" s="11" t="n">
        <v>25094.53</v>
      </c>
      <c r="F30" s="11" t="n">
        <v>25094.53</v>
      </c>
    </row>
    <row r="31">
      <c r="A31" s="2" t="inlineStr">
        <is>
          <t>HVAC</t>
        </is>
      </c>
      <c r="B31" s="11" t="n">
        <v>37207.78</v>
      </c>
      <c r="F31" s="11" t="n">
        <v>37207.78</v>
      </c>
    </row>
    <row r="32">
      <c r="A32" s="2" t="inlineStr">
        <is>
          <t>Electrical</t>
        </is>
      </c>
      <c r="B32" s="11" t="n">
        <v>35233.43</v>
      </c>
      <c r="F32" s="11" t="n">
        <v>35233.43</v>
      </c>
    </row>
    <row r="33">
      <c r="A33" s="2" t="inlineStr">
        <is>
          <t>Plumbing</t>
        </is>
      </c>
      <c r="B33" s="11" t="n">
        <v>32344.52</v>
      </c>
      <c r="F33" s="11" t="n">
        <v>32344.52</v>
      </c>
    </row>
    <row r="34">
      <c r="A34" s="2" t="inlineStr">
        <is>
          <t>Fire Protection &amp; Alarm</t>
        </is>
      </c>
      <c r="B34" s="11" t="n">
        <v>2485.72</v>
      </c>
      <c r="F34" s="11" t="n">
        <v>2485.72</v>
      </c>
    </row>
    <row r="35">
      <c r="A35" s="2" t="inlineStr">
        <is>
          <t>Exterior Façade / Building Skin</t>
        </is>
      </c>
      <c r="B35" s="11" t="n">
        <v>22801.69</v>
      </c>
      <c r="F35" s="11" t="n">
        <v>22801.69</v>
      </c>
    </row>
    <row r="36">
      <c r="A36" s="2" t="inlineStr">
        <is>
          <t>Doors &amp; Frames</t>
        </is>
      </c>
      <c r="B36" s="11" t="n">
        <v>18966.91</v>
      </c>
      <c r="F36" s="11" t="n">
        <v>18966.91</v>
      </c>
    </row>
    <row r="37">
      <c r="A37" s="2" t="inlineStr">
        <is>
          <t>Windows</t>
        </is>
      </c>
      <c r="B37" s="11" t="n">
        <v>15176.79</v>
      </c>
      <c r="F37" s="11" t="n">
        <v>15176.79</v>
      </c>
    </row>
    <row r="38">
      <c r="A38" s="2" t="inlineStr">
        <is>
          <t>Ceiling Systems</t>
        </is>
      </c>
      <c r="B38" s="11" t="n">
        <v>17050.73</v>
      </c>
      <c r="F38" s="11" t="n">
        <v>17050.73</v>
      </c>
    </row>
    <row r="39">
      <c r="A39" s="2" t="inlineStr">
        <is>
          <t>Interior Framing / Partitions</t>
        </is>
      </c>
      <c r="B39" s="11" t="n">
        <v>40897.64999999999</v>
      </c>
      <c r="F39" s="11" t="n">
        <v>40897.64999999999</v>
      </c>
    </row>
    <row r="40">
      <c r="A40" s="2" t="inlineStr">
        <is>
          <t>Painting</t>
        </is>
      </c>
      <c r="B40" s="11" t="n">
        <v>16494.95</v>
      </c>
      <c r="F40" s="11" t="n">
        <v>16494.95</v>
      </c>
    </row>
    <row r="41">
      <c r="A41" s="2" t="inlineStr">
        <is>
          <t>Structural Framing</t>
        </is>
      </c>
      <c r="B41" s="11" t="n">
        <v>42760.79</v>
      </c>
      <c r="F41" s="11" t="n">
        <v>42760.79</v>
      </c>
    </row>
    <row r="42">
      <c r="A42" s="2" t="inlineStr">
        <is>
          <t>Stairs / Balconies</t>
        </is>
      </c>
      <c r="B42" s="11" t="n">
        <v>3514.89</v>
      </c>
      <c r="F42" s="11" t="n">
        <v>3514.89</v>
      </c>
    </row>
    <row r="43">
      <c r="A43" s="2" t="inlineStr">
        <is>
          <t>Bathroom Accessories</t>
        </is>
      </c>
      <c r="B43" s="11" t="n">
        <v>3740.86</v>
      </c>
      <c r="F43" s="11" t="n">
        <v>3740.86</v>
      </c>
    </row>
    <row r="44">
      <c r="A44" s="2" t="inlineStr">
        <is>
          <t>Cabinets / Millwork - Restrooms</t>
        </is>
      </c>
      <c r="B44" s="11" t="n">
        <v>1880.89</v>
      </c>
      <c r="F44" s="11" t="n">
        <v>1880.89</v>
      </c>
    </row>
    <row r="46">
      <c r="A46" s="3" t="inlineStr">
        <is>
          <t>Total Building Cost</t>
        </is>
      </c>
      <c r="B46" s="12" t="n">
        <v>446298.0599999999</v>
      </c>
      <c r="C46" s="12" t="n">
        <v>111858.03</v>
      </c>
      <c r="F46" s="12" t="n">
        <v>334440.03</v>
      </c>
    </row>
    <row r="47">
      <c r="A47" s="2" t="inlineStr">
        <is>
          <t>% of Building Cost</t>
        </is>
      </c>
      <c r="C47" s="13" t="n">
        <v>0.251</v>
      </c>
      <c r="F47" s="13" t="n">
        <v>0.749</v>
      </c>
    </row>
    <row r="49">
      <c r="A49" s="1" t="inlineStr">
        <is>
          <t>Asset Allocation:</t>
        </is>
      </c>
    </row>
    <row r="50">
      <c r="A50" s="2" t="inlineStr">
        <is>
          <t>Asset # 10-Building (Post Casualty Loss Basis)</t>
        </is>
      </c>
      <c r="B50" s="11" t="n">
        <v>71985.95</v>
      </c>
      <c r="C50" s="11" t="n">
        <v>18042.22</v>
      </c>
      <c r="F50" s="11" t="n">
        <v>53943.73</v>
      </c>
    </row>
    <row r="51">
      <c r="A51" s="2" t="inlineStr">
        <is>
          <t>Asset # 12-New Building (16 Units)</t>
        </is>
      </c>
      <c r="B51" s="11" t="n">
        <v>38608.32</v>
      </c>
      <c r="C51" s="11" t="n">
        <v>9676.610000000001</v>
      </c>
      <c r="F51" s="11" t="n">
        <v>28931.71</v>
      </c>
    </row>
    <row r="52">
      <c r="A52" s="2" t="inlineStr">
        <is>
          <t>Asset # 14-New Buildings (105 Units)</t>
        </is>
      </c>
      <c r="B52" s="11" t="n">
        <v>258771.48</v>
      </c>
      <c r="C52" s="11" t="n">
        <v>64857.26</v>
      </c>
      <c r="F52" s="11" t="n">
        <v>193914.22</v>
      </c>
    </row>
    <row r="53">
      <c r="A53" s="2" t="inlineStr">
        <is>
          <t>Asset # 111-Building Imp(Post Casualty Loss Basis)</t>
        </is>
      </c>
      <c r="B53" s="11" t="n">
        <v>1809.19</v>
      </c>
      <c r="C53" s="11" t="n">
        <v>453.45</v>
      </c>
      <c r="F53" s="11" t="n">
        <v>1355.74</v>
      </c>
    </row>
    <row r="54">
      <c r="A54" s="2" t="inlineStr">
        <is>
          <t>Asset # 2-Land Improvements</t>
        </is>
      </c>
      <c r="B54" s="11" t="n">
        <v>9844.620000000001</v>
      </c>
      <c r="C54" s="11" t="n">
        <v>2467.41</v>
      </c>
      <c r="F54" s="11" t="n">
        <v>7377.210000000001</v>
      </c>
    </row>
    <row r="55">
      <c r="A55" s="2" t="inlineStr">
        <is>
          <t>Asset # 13-New Equipment (16 Units)</t>
        </is>
      </c>
      <c r="B55" s="11" t="n">
        <v>8474.99</v>
      </c>
      <c r="C55" s="11" t="n">
        <v>2124.13</v>
      </c>
      <c r="F55" s="11" t="n">
        <v>6350.86</v>
      </c>
    </row>
    <row r="56">
      <c r="A56" s="2" t="inlineStr">
        <is>
          <t>Asset # 15-New Equipment (105 Units)</t>
        </is>
      </c>
      <c r="B56" s="11" t="n">
        <v>56803.51</v>
      </c>
      <c r="C56" s="11" t="n">
        <v>14236.95</v>
      </c>
      <c r="F56" s="11" t="n">
        <v>42566.56</v>
      </c>
    </row>
    <row r="57">
      <c r="A57" s="3" t="inlineStr">
        <is>
          <t>Total Allocation:</t>
        </is>
      </c>
      <c r="B57" s="12" t="n">
        <v>446298.06</v>
      </c>
      <c r="C57" s="12" t="n">
        <v>111858.03</v>
      </c>
      <c r="F57" s="12" t="n">
        <v>334440.03</v>
      </c>
    </row>
    <row r="59">
      <c r="A59" s="1" t="inlineStr">
        <is>
          <t>End Depreciation Reconciliation</t>
        </is>
      </c>
    </row>
    <row r="60">
      <c r="A60" s="2" t="inlineStr">
        <is>
          <t>Before Cost Segregation (As Previously Filed)</t>
        </is>
      </c>
      <c r="B60" s="4" t="n">
        <v>36808.17</v>
      </c>
    </row>
    <row r="61">
      <c r="A61" s="2" t="inlineStr">
        <is>
          <t>After Cost Segregation (Corrected)</t>
        </is>
      </c>
      <c r="B61" s="6" t="n">
        <v>133357.07</v>
      </c>
    </row>
    <row r="62">
      <c r="A62" s="7" t="inlineStr">
        <is>
          <t>Section 481(a) Adjustment</t>
        </is>
      </c>
      <c r="B62" s="14" t="n">
        <v>-96548.89999999999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Building 6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Building 6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31452.73</v>
      </c>
      <c r="C16" s="11" t="n">
        <v>31452.73</v>
      </c>
    </row>
    <row r="17">
      <c r="A17" s="2" t="inlineStr">
        <is>
          <t>Moldings</t>
        </is>
      </c>
      <c r="B17" s="11" t="n">
        <v>8394.17</v>
      </c>
      <c r="C17" s="11" t="n">
        <v>8394.17</v>
      </c>
    </row>
    <row r="18">
      <c r="A18" s="2" t="inlineStr">
        <is>
          <t>Flooring - Vinyl Plank</t>
        </is>
      </c>
      <c r="B18" s="11" t="n">
        <v>32815.9</v>
      </c>
      <c r="C18" s="11" t="n">
        <v>32815.9</v>
      </c>
    </row>
    <row r="19">
      <c r="A19" s="2" t="inlineStr">
        <is>
          <t>Window Treatments</t>
        </is>
      </c>
      <c r="B19" s="11" t="n">
        <v>2648.72</v>
      </c>
      <c r="C19" s="11" t="n">
        <v>2648.72</v>
      </c>
    </row>
    <row r="20">
      <c r="A20" s="2" t="inlineStr">
        <is>
          <t>Building Signage</t>
        </is>
      </c>
      <c r="B20" s="11" t="n">
        <v>394.4</v>
      </c>
      <c r="C20" s="11" t="n">
        <v>394.4</v>
      </c>
    </row>
    <row r="21">
      <c r="A21" s="2" t="inlineStr">
        <is>
          <t>Specialty Electrical - Appliances</t>
        </is>
      </c>
      <c r="B21" s="11" t="n">
        <v>5344.3</v>
      </c>
      <c r="C21" s="11" t="n">
        <v>5344.3</v>
      </c>
    </row>
    <row r="22">
      <c r="A22" s="2" t="inlineStr">
        <is>
          <t>Communication / Data</t>
        </is>
      </c>
      <c r="B22" s="11" t="n">
        <v>2858.97</v>
      </c>
      <c r="C22" s="11" t="n">
        <v>2858.97</v>
      </c>
    </row>
    <row r="23">
      <c r="A23" s="2" t="inlineStr">
        <is>
          <t>Specialty Plumbing - Kitchen Sinks</t>
        </is>
      </c>
      <c r="B23" s="11" t="n">
        <v>9687.68</v>
      </c>
      <c r="C23" s="11" t="n">
        <v>9687.68</v>
      </c>
    </row>
    <row r="24">
      <c r="A24" s="2" t="inlineStr">
        <is>
          <t>Security / Exterior Lighting</t>
        </is>
      </c>
      <c r="B24" s="11" t="n">
        <v>2139.23</v>
      </c>
      <c r="C24" s="11" t="n">
        <v>2139.23</v>
      </c>
    </row>
    <row r="25">
      <c r="A25" s="2" t="inlineStr">
        <is>
          <t>Canopies / Awnings</t>
        </is>
      </c>
      <c r="B25" s="11" t="n">
        <v>605.6900000000001</v>
      </c>
      <c r="C25" s="11" t="n">
        <v>605.6900000000001</v>
      </c>
    </row>
    <row r="26">
      <c r="A26" s="2" t="inlineStr">
        <is>
          <t>Appliances</t>
        </is>
      </c>
      <c r="B26" s="11" t="n">
        <v>8326.940000000001</v>
      </c>
      <c r="C26" s="11" t="n">
        <v>8326.940000000001</v>
      </c>
    </row>
    <row r="28">
      <c r="A28" s="10" t="inlineStr">
        <is>
          <t>Building Structure</t>
        </is>
      </c>
    </row>
    <row r="29">
      <c r="A29" s="2" t="inlineStr">
        <is>
          <t>Roofing Systems</t>
        </is>
      </c>
      <c r="B29" s="11" t="n">
        <v>16256.26</v>
      </c>
      <c r="F29" s="11" t="n">
        <v>16256.26</v>
      </c>
    </row>
    <row r="30">
      <c r="A30" s="2" t="inlineStr">
        <is>
          <t>Foundations</t>
        </is>
      </c>
      <c r="B30" s="11" t="n">
        <v>21691.79</v>
      </c>
      <c r="F30" s="11" t="n">
        <v>21691.79</v>
      </c>
    </row>
    <row r="31">
      <c r="A31" s="2" t="inlineStr">
        <is>
          <t>HVAC</t>
        </is>
      </c>
      <c r="B31" s="11" t="n">
        <v>31892.38</v>
      </c>
      <c r="F31" s="11" t="n">
        <v>31892.38</v>
      </c>
    </row>
    <row r="32">
      <c r="A32" s="2" t="inlineStr">
        <is>
          <t>Electrical</t>
        </is>
      </c>
      <c r="B32" s="11" t="n">
        <v>29436.62</v>
      </c>
      <c r="F32" s="11" t="n">
        <v>29436.62</v>
      </c>
    </row>
    <row r="33">
      <c r="A33" s="2" t="inlineStr">
        <is>
          <t>Plumbing</t>
        </is>
      </c>
      <c r="B33" s="11" t="n">
        <v>27723.88</v>
      </c>
      <c r="F33" s="11" t="n">
        <v>27723.88</v>
      </c>
    </row>
    <row r="34">
      <c r="A34" s="2" t="inlineStr">
        <is>
          <t>Fire Protection &amp; Alarm</t>
        </is>
      </c>
      <c r="B34" s="11" t="n">
        <v>1864.29</v>
      </c>
      <c r="F34" s="11" t="n">
        <v>1864.29</v>
      </c>
    </row>
    <row r="35">
      <c r="A35" s="2" t="inlineStr">
        <is>
          <t>Exterior Façade / Building Skin</t>
        </is>
      </c>
      <c r="B35" s="11" t="n">
        <v>21222.77</v>
      </c>
      <c r="F35" s="11" t="n">
        <v>21222.77</v>
      </c>
    </row>
    <row r="36">
      <c r="A36" s="2" t="inlineStr">
        <is>
          <t>Doors &amp; Frames</t>
        </is>
      </c>
      <c r="B36" s="11" t="n">
        <v>16292.68</v>
      </c>
      <c r="F36" s="11" t="n">
        <v>16292.68</v>
      </c>
    </row>
    <row r="37">
      <c r="A37" s="2" t="inlineStr">
        <is>
          <t>Windows</t>
        </is>
      </c>
      <c r="B37" s="11" t="n">
        <v>12258.17</v>
      </c>
      <c r="F37" s="11" t="n">
        <v>12258.17</v>
      </c>
    </row>
    <row r="38">
      <c r="A38" s="2" t="inlineStr">
        <is>
          <t>Ceiling Systems</t>
        </is>
      </c>
      <c r="B38" s="11" t="n">
        <v>14614.91</v>
      </c>
      <c r="F38" s="11" t="n">
        <v>14614.91</v>
      </c>
    </row>
    <row r="39">
      <c r="A39" s="2" t="inlineStr">
        <is>
          <t>Interior Framing / Partitions</t>
        </is>
      </c>
      <c r="B39" s="11" t="n">
        <v>38542.73</v>
      </c>
      <c r="F39" s="11" t="n">
        <v>38542.73</v>
      </c>
    </row>
    <row r="40">
      <c r="A40" s="2" t="inlineStr">
        <is>
          <t>Painting</t>
        </is>
      </c>
      <c r="B40" s="11" t="n">
        <v>15289.77</v>
      </c>
      <c r="F40" s="11" t="n">
        <v>15289.77</v>
      </c>
    </row>
    <row r="41">
      <c r="A41" s="2" t="inlineStr">
        <is>
          <t>Structural Framing</t>
        </is>
      </c>
      <c r="B41" s="11" t="n">
        <v>37866.59</v>
      </c>
      <c r="F41" s="11" t="n">
        <v>37866.59</v>
      </c>
    </row>
    <row r="42">
      <c r="A42" s="2" t="inlineStr">
        <is>
          <t>Stairs / Balconies</t>
        </is>
      </c>
      <c r="B42" s="11" t="n">
        <v>3514.89</v>
      </c>
      <c r="F42" s="11" t="n">
        <v>3514.89</v>
      </c>
    </row>
    <row r="43">
      <c r="A43" s="2" t="inlineStr">
        <is>
          <t>Bathroom Accessories</t>
        </is>
      </c>
      <c r="B43" s="11" t="n">
        <v>3740.86</v>
      </c>
      <c r="F43" s="11" t="n">
        <v>3740.86</v>
      </c>
    </row>
    <row r="44">
      <c r="A44" s="2" t="inlineStr">
        <is>
          <t>Cabinets / Millwork - Restrooms</t>
        </is>
      </c>
      <c r="B44" s="11" t="n">
        <v>1880.89</v>
      </c>
      <c r="F44" s="11" t="n">
        <v>1880.89</v>
      </c>
    </row>
    <row r="46">
      <c r="A46" s="3" t="inlineStr">
        <is>
          <t>Total Building Cost</t>
        </is>
      </c>
      <c r="B46" s="12" t="n">
        <v>398758.21</v>
      </c>
      <c r="C46" s="12" t="n">
        <v>104668.73</v>
      </c>
      <c r="F46" s="12" t="n">
        <v>294089.48</v>
      </c>
    </row>
    <row r="47">
      <c r="A47" s="2" t="inlineStr">
        <is>
          <t>% of Building Cost</t>
        </is>
      </c>
      <c r="C47" s="13" t="n">
        <v>0.262</v>
      </c>
      <c r="F47" s="13" t="n">
        <v>0.738</v>
      </c>
    </row>
    <row r="49">
      <c r="A49" s="1" t="inlineStr">
        <is>
          <t>Asset Allocation:</t>
        </is>
      </c>
    </row>
    <row r="50">
      <c r="A50" s="2" t="inlineStr">
        <is>
          <t>Asset # 10-Building (Post Casualty Loss Basis)</t>
        </is>
      </c>
      <c r="B50" s="11" t="n">
        <v>64317.98</v>
      </c>
      <c r="C50" s="11" t="n">
        <v>16882.61</v>
      </c>
      <c r="F50" s="11" t="n">
        <v>47435.37</v>
      </c>
    </row>
    <row r="51">
      <c r="A51" s="2" t="inlineStr">
        <is>
          <t>Asset # 12-New Building (16 Units)</t>
        </is>
      </c>
      <c r="B51" s="11" t="n">
        <v>34495.74</v>
      </c>
      <c r="C51" s="11" t="n">
        <v>9054.67</v>
      </c>
      <c r="F51" s="11" t="n">
        <v>25441.07</v>
      </c>
    </row>
    <row r="52">
      <c r="A52" s="2" t="inlineStr">
        <is>
          <t>Asset # 14-New Buildings (105 Units)</t>
        </is>
      </c>
      <c r="B52" s="11" t="n">
        <v>231207.03</v>
      </c>
      <c r="C52" s="11" t="n">
        <v>60688.77</v>
      </c>
      <c r="F52" s="11" t="n">
        <v>170518.26</v>
      </c>
    </row>
    <row r="53">
      <c r="A53" s="2" t="inlineStr">
        <is>
          <t>Asset # 111-Building Imp(Post Casualty Loss Basis)</t>
        </is>
      </c>
      <c r="B53" s="11" t="n">
        <v>1616.48</v>
      </c>
      <c r="C53" s="11" t="n">
        <v>424.3</v>
      </c>
      <c r="F53" s="11" t="n">
        <v>1192.18</v>
      </c>
    </row>
    <row r="54">
      <c r="A54" s="2" t="inlineStr">
        <is>
          <t>Asset # 2-Land Improvements</t>
        </is>
      </c>
      <c r="B54" s="11" t="n">
        <v>8795.969999999999</v>
      </c>
      <c r="C54" s="11" t="n">
        <v>2308.83</v>
      </c>
      <c r="F54" s="11" t="n">
        <v>6487.139999999999</v>
      </c>
    </row>
    <row r="55">
      <c r="A55" s="2" t="inlineStr">
        <is>
          <t>Asset # 13-New Equipment (16 Units)</t>
        </is>
      </c>
      <c r="B55" s="11" t="n">
        <v>7572.23</v>
      </c>
      <c r="C55" s="11" t="n">
        <v>1987.61</v>
      </c>
      <c r="F55" s="11" t="n">
        <v>5584.62</v>
      </c>
    </row>
    <row r="56">
      <c r="A56" s="2" t="inlineStr">
        <is>
          <t>Asset # 15-New Equipment (105 Units)</t>
        </is>
      </c>
      <c r="B56" s="11" t="n">
        <v>50752.78</v>
      </c>
      <c r="C56" s="11" t="n">
        <v>13321.94</v>
      </c>
      <c r="F56" s="11" t="n">
        <v>37430.84</v>
      </c>
    </row>
    <row r="57">
      <c r="A57" s="3" t="inlineStr">
        <is>
          <t>Total Allocation:</t>
        </is>
      </c>
      <c r="B57" s="12" t="n">
        <v>398758.21</v>
      </c>
      <c r="C57" s="12" t="n">
        <v>104668.73</v>
      </c>
      <c r="F57" s="12" t="n">
        <v>294089.48</v>
      </c>
    </row>
    <row r="59">
      <c r="A59" s="1" t="inlineStr">
        <is>
          <t>End Depreciation Reconciliation</t>
        </is>
      </c>
    </row>
    <row r="60">
      <c r="A60" s="2" t="inlineStr">
        <is>
          <t>Before Cost Segregation (As Previously Filed)</t>
        </is>
      </c>
      <c r="B60" s="4" t="n">
        <v>32887.35</v>
      </c>
    </row>
    <row r="61">
      <c r="A61" s="2" t="inlineStr">
        <is>
          <t>After Cost Segregation (Corrected)</t>
        </is>
      </c>
      <c r="B61" s="6" t="n">
        <v>123145.81</v>
      </c>
    </row>
    <row r="62">
      <c r="A62" s="7" t="inlineStr">
        <is>
          <t>Section 481(a) Adjustment</t>
        </is>
      </c>
      <c r="B62" s="14" t="n">
        <v>-90258.46000000001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Building 7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Building 7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31452.73</v>
      </c>
      <c r="C16" s="11" t="n">
        <v>31452.73</v>
      </c>
    </row>
    <row r="17">
      <c r="A17" s="2" t="inlineStr">
        <is>
          <t>Moldings</t>
        </is>
      </c>
      <c r="B17" s="11" t="n">
        <v>8975.5</v>
      </c>
      <c r="C17" s="11" t="n">
        <v>8975.5</v>
      </c>
    </row>
    <row r="18">
      <c r="A18" s="2" t="inlineStr">
        <is>
          <t>Flooring - Vinyl Plank</t>
        </is>
      </c>
      <c r="B18" s="11" t="n">
        <v>38285.2</v>
      </c>
      <c r="C18" s="11" t="n">
        <v>38285.2</v>
      </c>
    </row>
    <row r="19">
      <c r="A19" s="2" t="inlineStr">
        <is>
          <t>Window Treatments</t>
        </is>
      </c>
      <c r="B19" s="11" t="n">
        <v>3310.89</v>
      </c>
      <c r="C19" s="11" t="n">
        <v>3310.89</v>
      </c>
    </row>
    <row r="20">
      <c r="A20" s="2" t="inlineStr">
        <is>
          <t>Building Signage</t>
        </is>
      </c>
      <c r="B20" s="11" t="n">
        <v>394.4</v>
      </c>
      <c r="C20" s="11" t="n">
        <v>394.4</v>
      </c>
    </row>
    <row r="21">
      <c r="A21" s="2" t="inlineStr">
        <is>
          <t>Specialty Electrical - Appliances</t>
        </is>
      </c>
      <c r="B21" s="11" t="n">
        <v>5344.3</v>
      </c>
      <c r="C21" s="11" t="n">
        <v>5344.3</v>
      </c>
    </row>
    <row r="22">
      <c r="A22" s="2" t="inlineStr">
        <is>
          <t>Communication / Data</t>
        </is>
      </c>
      <c r="B22" s="11" t="n">
        <v>3335.47</v>
      </c>
      <c r="C22" s="11" t="n">
        <v>3335.47</v>
      </c>
    </row>
    <row r="23">
      <c r="A23" s="2" t="inlineStr">
        <is>
          <t>Specialty Plumbing - Kitchen Sinks</t>
        </is>
      </c>
      <c r="B23" s="11" t="n">
        <v>9687.68</v>
      </c>
      <c r="C23" s="11" t="n">
        <v>9687.68</v>
      </c>
    </row>
    <row r="24">
      <c r="A24" s="2" t="inlineStr">
        <is>
          <t>Security / Exterior Lighting</t>
        </is>
      </c>
      <c r="B24" s="11" t="n">
        <v>2139.23</v>
      </c>
      <c r="C24" s="11" t="n">
        <v>2139.23</v>
      </c>
    </row>
    <row r="25">
      <c r="A25" s="2" t="inlineStr">
        <is>
          <t>Canopies / Awnings</t>
        </is>
      </c>
      <c r="B25" s="11" t="n">
        <v>605.6900000000001</v>
      </c>
      <c r="C25" s="11" t="n">
        <v>605.6900000000001</v>
      </c>
    </row>
    <row r="26">
      <c r="A26" s="2" t="inlineStr">
        <is>
          <t>Appliances</t>
        </is>
      </c>
      <c r="B26" s="11" t="n">
        <v>8326.940000000001</v>
      </c>
      <c r="C26" s="11" t="n">
        <v>8326.940000000001</v>
      </c>
    </row>
    <row r="28">
      <c r="A28" s="10" t="inlineStr">
        <is>
          <t>Building Structure</t>
        </is>
      </c>
    </row>
    <row r="29">
      <c r="A29" s="2" t="inlineStr">
        <is>
          <t>Roofing Systems</t>
        </is>
      </c>
      <c r="B29" s="11" t="n">
        <v>18787.91</v>
      </c>
      <c r="F29" s="11" t="n">
        <v>18787.91</v>
      </c>
    </row>
    <row r="30">
      <c r="A30" s="2" t="inlineStr">
        <is>
          <t>Foundations</t>
        </is>
      </c>
      <c r="B30" s="11" t="n">
        <v>25094.53</v>
      </c>
      <c r="F30" s="11" t="n">
        <v>25094.53</v>
      </c>
    </row>
    <row r="31">
      <c r="A31" s="2" t="inlineStr">
        <is>
          <t>HVAC</t>
        </is>
      </c>
      <c r="B31" s="11" t="n">
        <v>37207.78</v>
      </c>
      <c r="F31" s="11" t="n">
        <v>37207.78</v>
      </c>
    </row>
    <row r="32">
      <c r="A32" s="2" t="inlineStr">
        <is>
          <t>Electrical</t>
        </is>
      </c>
      <c r="B32" s="11" t="n">
        <v>35233.43</v>
      </c>
      <c r="F32" s="11" t="n">
        <v>35233.43</v>
      </c>
    </row>
    <row r="33">
      <c r="A33" s="2" t="inlineStr">
        <is>
          <t>Plumbing</t>
        </is>
      </c>
      <c r="B33" s="11" t="n">
        <v>32344.52</v>
      </c>
      <c r="F33" s="11" t="n">
        <v>32344.52</v>
      </c>
    </row>
    <row r="34">
      <c r="A34" s="2" t="inlineStr">
        <is>
          <t>Fire Protection &amp; Alarm</t>
        </is>
      </c>
      <c r="B34" s="11" t="n">
        <v>2485.72</v>
      </c>
      <c r="F34" s="11" t="n">
        <v>2485.72</v>
      </c>
    </row>
    <row r="35">
      <c r="A35" s="2" t="inlineStr">
        <is>
          <t>Exterior Façade / Building Skin</t>
        </is>
      </c>
      <c r="B35" s="11" t="n">
        <v>24768.13</v>
      </c>
      <c r="F35" s="11" t="n">
        <v>24768.13</v>
      </c>
    </row>
    <row r="36">
      <c r="A36" s="2" t="inlineStr">
        <is>
          <t>Doors &amp; Frames</t>
        </is>
      </c>
      <c r="B36" s="11" t="n">
        <v>18966.91</v>
      </c>
      <c r="F36" s="11" t="n">
        <v>18966.91</v>
      </c>
    </row>
    <row r="37">
      <c r="A37" s="2" t="inlineStr">
        <is>
          <t>Windows</t>
        </is>
      </c>
      <c r="B37" s="11" t="n">
        <v>15176.79</v>
      </c>
      <c r="F37" s="11" t="n">
        <v>15176.79</v>
      </c>
    </row>
    <row r="38">
      <c r="A38" s="2" t="inlineStr">
        <is>
          <t>Ceiling Systems</t>
        </is>
      </c>
      <c r="B38" s="11" t="n">
        <v>17050.73</v>
      </c>
      <c r="F38" s="11" t="n">
        <v>17050.73</v>
      </c>
    </row>
    <row r="39">
      <c r="A39" s="2" t="inlineStr">
        <is>
          <t>Interior Framing / Partitions</t>
        </is>
      </c>
      <c r="B39" s="11" t="n">
        <v>40897.64999999999</v>
      </c>
      <c r="F39" s="11" t="n">
        <v>40897.64999999999</v>
      </c>
    </row>
    <row r="40">
      <c r="A40" s="2" t="inlineStr">
        <is>
          <t>Painting</t>
        </is>
      </c>
      <c r="B40" s="11" t="n">
        <v>16588.72</v>
      </c>
      <c r="F40" s="11" t="n">
        <v>16588.72</v>
      </c>
    </row>
    <row r="41">
      <c r="A41" s="2" t="inlineStr">
        <is>
          <t>Structural Framing</t>
        </is>
      </c>
      <c r="B41" s="11" t="n">
        <v>42804.04000000001</v>
      </c>
      <c r="F41" s="11" t="n">
        <v>42804.04000000001</v>
      </c>
    </row>
    <row r="42">
      <c r="A42" s="2" t="inlineStr">
        <is>
          <t>Stairs / Balconies</t>
        </is>
      </c>
      <c r="B42" s="11" t="n">
        <v>3514.89</v>
      </c>
      <c r="F42" s="11" t="n">
        <v>3514.89</v>
      </c>
    </row>
    <row r="43">
      <c r="A43" s="2" t="inlineStr">
        <is>
          <t>Bathroom Accessories</t>
        </is>
      </c>
      <c r="B43" s="11" t="n">
        <v>3740.86</v>
      </c>
      <c r="F43" s="11" t="n">
        <v>3740.86</v>
      </c>
    </row>
    <row r="44">
      <c r="A44" s="2" t="inlineStr">
        <is>
          <t>Cabinets / Millwork - Restrooms</t>
        </is>
      </c>
      <c r="B44" s="11" t="n">
        <v>1880.89</v>
      </c>
      <c r="F44" s="11" t="n">
        <v>1880.89</v>
      </c>
    </row>
    <row r="46">
      <c r="A46" s="3" t="inlineStr">
        <is>
          <t>Total Building Cost</t>
        </is>
      </c>
      <c r="B46" s="12" t="n">
        <v>448401.5299999999</v>
      </c>
      <c r="C46" s="12" t="n">
        <v>111858.03</v>
      </c>
      <c r="F46" s="12" t="n">
        <v>336543.5</v>
      </c>
    </row>
    <row r="47">
      <c r="A47" s="2" t="inlineStr">
        <is>
          <t>% of Building Cost</t>
        </is>
      </c>
      <c r="C47" s="13" t="n">
        <v>0.249</v>
      </c>
      <c r="F47" s="13" t="n">
        <v>0.751</v>
      </c>
    </row>
    <row r="49">
      <c r="A49" s="1" t="inlineStr">
        <is>
          <t>Asset Allocation:</t>
        </is>
      </c>
    </row>
    <row r="50">
      <c r="A50" s="2" t="inlineStr">
        <is>
          <t>Asset # 10-Building (Post Casualty Loss Basis)</t>
        </is>
      </c>
      <c r="B50" s="11" t="n">
        <v>72325.23</v>
      </c>
      <c r="C50" s="11" t="n">
        <v>18042.22</v>
      </c>
      <c r="F50" s="11" t="n">
        <v>54283.00999999999</v>
      </c>
    </row>
    <row r="51">
      <c r="A51" s="2" t="inlineStr">
        <is>
          <t>Asset # 12-New Building (16 Units)</t>
        </is>
      </c>
      <c r="B51" s="11" t="n">
        <v>38790.29</v>
      </c>
      <c r="C51" s="11" t="n">
        <v>9676.610000000001</v>
      </c>
      <c r="F51" s="11" t="n">
        <v>29113.68</v>
      </c>
    </row>
    <row r="52">
      <c r="A52" s="2" t="inlineStr">
        <is>
          <t>Asset # 14-New Buildings (105 Units)</t>
        </is>
      </c>
      <c r="B52" s="11" t="n">
        <v>259991.11</v>
      </c>
      <c r="C52" s="11" t="n">
        <v>64857.26</v>
      </c>
      <c r="F52" s="11" t="n">
        <v>195133.85</v>
      </c>
    </row>
    <row r="53">
      <c r="A53" s="2" t="inlineStr">
        <is>
          <t>Asset # 111-Building Imp(Post Casualty Loss Basis)</t>
        </is>
      </c>
      <c r="B53" s="11" t="n">
        <v>1817.72</v>
      </c>
      <c r="C53" s="11" t="n">
        <v>453.45</v>
      </c>
      <c r="F53" s="11" t="n">
        <v>1364.27</v>
      </c>
    </row>
    <row r="54">
      <c r="A54" s="2" t="inlineStr">
        <is>
          <t>Asset # 2-Land Improvements</t>
        </is>
      </c>
      <c r="B54" s="11" t="n">
        <v>9891.01</v>
      </c>
      <c r="C54" s="11" t="n">
        <v>2467.41</v>
      </c>
      <c r="F54" s="11" t="n">
        <v>7423.6</v>
      </c>
    </row>
    <row r="55">
      <c r="A55" s="2" t="inlineStr">
        <is>
          <t>Asset # 13-New Equipment (16 Units)</t>
        </is>
      </c>
      <c r="B55" s="11" t="n">
        <v>8514.93</v>
      </c>
      <c r="C55" s="11" t="n">
        <v>2124.13</v>
      </c>
      <c r="F55" s="11" t="n">
        <v>6390.8</v>
      </c>
    </row>
    <row r="56">
      <c r="A56" s="2" t="inlineStr">
        <is>
          <t>Asset # 15-New Equipment (105 Units)</t>
        </is>
      </c>
      <c r="B56" s="11" t="n">
        <v>57071.24</v>
      </c>
      <c r="C56" s="11" t="n">
        <v>14236.95</v>
      </c>
      <c r="F56" s="11" t="n">
        <v>42834.29</v>
      </c>
    </row>
    <row r="57">
      <c r="A57" s="3" t="inlineStr">
        <is>
          <t>Total Allocation:</t>
        </is>
      </c>
      <c r="B57" s="12" t="n">
        <v>448401.53</v>
      </c>
      <c r="C57" s="12" t="n">
        <v>111858.03</v>
      </c>
      <c r="F57" s="12" t="n">
        <v>336543.4999999999</v>
      </c>
    </row>
    <row r="59">
      <c r="A59" s="1" t="inlineStr">
        <is>
          <t>End Depreciation Reconciliation</t>
        </is>
      </c>
    </row>
    <row r="60">
      <c r="A60" s="2" t="inlineStr">
        <is>
          <t>Before Cost Segregation (As Previously Filed)</t>
        </is>
      </c>
      <c r="B60" s="4" t="n">
        <v>36981.64</v>
      </c>
    </row>
    <row r="61">
      <c r="A61" s="2" t="inlineStr">
        <is>
          <t>After Cost Segregation (Corrected)</t>
        </is>
      </c>
      <c r="B61" s="6" t="n">
        <v>133540.05</v>
      </c>
    </row>
    <row r="62">
      <c r="A62" s="7" t="inlineStr">
        <is>
          <t>Section 481(a) Adjustment</t>
        </is>
      </c>
      <c r="B62" s="14" t="n">
        <v>-96558.41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Building 8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Building 8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31452.73</v>
      </c>
      <c r="C16" s="11" t="n">
        <v>31452.73</v>
      </c>
    </row>
    <row r="17">
      <c r="A17" s="2" t="inlineStr">
        <is>
          <t>Moldings</t>
        </is>
      </c>
      <c r="B17" s="11" t="n">
        <v>8394.17</v>
      </c>
      <c r="C17" s="11" t="n">
        <v>8394.17</v>
      </c>
    </row>
    <row r="18">
      <c r="A18" s="2" t="inlineStr">
        <is>
          <t>Flooring - Vinyl Plank</t>
        </is>
      </c>
      <c r="B18" s="11" t="n">
        <v>32815.9</v>
      </c>
      <c r="C18" s="11" t="n">
        <v>32815.9</v>
      </c>
    </row>
    <row r="19">
      <c r="A19" s="2" t="inlineStr">
        <is>
          <t>Window Treatments</t>
        </is>
      </c>
      <c r="B19" s="11" t="n">
        <v>2648.72</v>
      </c>
      <c r="C19" s="11" t="n">
        <v>2648.72</v>
      </c>
    </row>
    <row r="20">
      <c r="A20" s="2" t="inlineStr">
        <is>
          <t>Building Signage</t>
        </is>
      </c>
      <c r="B20" s="11" t="n">
        <v>394.4</v>
      </c>
      <c r="C20" s="11" t="n">
        <v>394.4</v>
      </c>
    </row>
    <row r="21">
      <c r="A21" s="2" t="inlineStr">
        <is>
          <t>Specialty Electrical - Appliances</t>
        </is>
      </c>
      <c r="B21" s="11" t="n">
        <v>5344.3</v>
      </c>
      <c r="C21" s="11" t="n">
        <v>5344.3</v>
      </c>
    </row>
    <row r="22">
      <c r="A22" s="2" t="inlineStr">
        <is>
          <t>Communication / Data</t>
        </is>
      </c>
      <c r="B22" s="11" t="n">
        <v>2858.97</v>
      </c>
      <c r="C22" s="11" t="n">
        <v>2858.97</v>
      </c>
    </row>
    <row r="23">
      <c r="A23" s="2" t="inlineStr">
        <is>
          <t>Specialty Plumbing - Kitchen Sinks</t>
        </is>
      </c>
      <c r="B23" s="11" t="n">
        <v>9687.68</v>
      </c>
      <c r="C23" s="11" t="n">
        <v>9687.68</v>
      </c>
    </row>
    <row r="24">
      <c r="A24" s="2" t="inlineStr">
        <is>
          <t>Security / Exterior Lighting</t>
        </is>
      </c>
      <c r="B24" s="11" t="n">
        <v>2139.23</v>
      </c>
      <c r="C24" s="11" t="n">
        <v>2139.23</v>
      </c>
    </row>
    <row r="25">
      <c r="A25" s="2" t="inlineStr">
        <is>
          <t>Canopies / Awnings</t>
        </is>
      </c>
      <c r="B25" s="11" t="n">
        <v>605.6900000000001</v>
      </c>
      <c r="C25" s="11" t="n">
        <v>605.6900000000001</v>
      </c>
    </row>
    <row r="26">
      <c r="A26" s="2" t="inlineStr">
        <is>
          <t>Appliances</t>
        </is>
      </c>
      <c r="B26" s="11" t="n">
        <v>8326.940000000001</v>
      </c>
      <c r="C26" s="11" t="n">
        <v>8326.940000000001</v>
      </c>
    </row>
    <row r="28">
      <c r="A28" s="10" t="inlineStr">
        <is>
          <t>Building Structure</t>
        </is>
      </c>
    </row>
    <row r="29">
      <c r="A29" s="2" t="inlineStr">
        <is>
          <t>Roofing Systems</t>
        </is>
      </c>
      <c r="B29" s="11" t="n">
        <v>16256.26</v>
      </c>
      <c r="F29" s="11" t="n">
        <v>16256.26</v>
      </c>
    </row>
    <row r="30">
      <c r="A30" s="2" t="inlineStr">
        <is>
          <t>Foundations</t>
        </is>
      </c>
      <c r="B30" s="11" t="n">
        <v>21691.79</v>
      </c>
      <c r="F30" s="11" t="n">
        <v>21691.79</v>
      </c>
    </row>
    <row r="31">
      <c r="A31" s="2" t="inlineStr">
        <is>
          <t>HVAC</t>
        </is>
      </c>
      <c r="B31" s="11" t="n">
        <v>31892.38</v>
      </c>
      <c r="F31" s="11" t="n">
        <v>31892.38</v>
      </c>
    </row>
    <row r="32">
      <c r="A32" s="2" t="inlineStr">
        <is>
          <t>Electrical</t>
        </is>
      </c>
      <c r="B32" s="11" t="n">
        <v>29436.62</v>
      </c>
      <c r="F32" s="11" t="n">
        <v>29436.62</v>
      </c>
    </row>
    <row r="33">
      <c r="A33" s="2" t="inlineStr">
        <is>
          <t>Plumbing</t>
        </is>
      </c>
      <c r="B33" s="11" t="n">
        <v>27723.88</v>
      </c>
      <c r="F33" s="11" t="n">
        <v>27723.88</v>
      </c>
    </row>
    <row r="34">
      <c r="A34" s="2" t="inlineStr">
        <is>
          <t>Fire Protection &amp; Alarm</t>
        </is>
      </c>
      <c r="B34" s="11" t="n">
        <v>1864.29</v>
      </c>
      <c r="F34" s="11" t="n">
        <v>1864.29</v>
      </c>
    </row>
    <row r="35">
      <c r="A35" s="2" t="inlineStr">
        <is>
          <t>Exterior Façade / Building Skin</t>
        </is>
      </c>
      <c r="B35" s="11" t="n">
        <v>21222.77</v>
      </c>
      <c r="F35" s="11" t="n">
        <v>21222.77</v>
      </c>
    </row>
    <row r="36">
      <c r="A36" s="2" t="inlineStr">
        <is>
          <t>Doors &amp; Frames</t>
        </is>
      </c>
      <c r="B36" s="11" t="n">
        <v>16292.68</v>
      </c>
      <c r="F36" s="11" t="n">
        <v>16292.68</v>
      </c>
    </row>
    <row r="37">
      <c r="A37" s="2" t="inlineStr">
        <is>
          <t>Windows</t>
        </is>
      </c>
      <c r="B37" s="11" t="n">
        <v>12258.17</v>
      </c>
      <c r="F37" s="11" t="n">
        <v>12258.17</v>
      </c>
    </row>
    <row r="38">
      <c r="A38" s="2" t="inlineStr">
        <is>
          <t>Ceiling Systems</t>
        </is>
      </c>
      <c r="B38" s="11" t="n">
        <v>14614.91</v>
      </c>
      <c r="F38" s="11" t="n">
        <v>14614.91</v>
      </c>
    </row>
    <row r="39">
      <c r="A39" s="2" t="inlineStr">
        <is>
          <t>Interior Framing / Partitions</t>
        </is>
      </c>
      <c r="B39" s="11" t="n">
        <v>38542.73</v>
      </c>
      <c r="F39" s="11" t="n">
        <v>38542.73</v>
      </c>
    </row>
    <row r="40">
      <c r="A40" s="2" t="inlineStr">
        <is>
          <t>Painting</t>
        </is>
      </c>
      <c r="B40" s="11" t="n">
        <v>15289.77</v>
      </c>
      <c r="F40" s="11" t="n">
        <v>15289.77</v>
      </c>
    </row>
    <row r="41">
      <c r="A41" s="2" t="inlineStr">
        <is>
          <t>Structural Framing</t>
        </is>
      </c>
      <c r="B41" s="11" t="n">
        <v>37866.59</v>
      </c>
      <c r="F41" s="11" t="n">
        <v>37866.59</v>
      </c>
    </row>
    <row r="42">
      <c r="A42" s="2" t="inlineStr">
        <is>
          <t>Stairs / Balconies</t>
        </is>
      </c>
      <c r="B42" s="11" t="n">
        <v>3514.89</v>
      </c>
      <c r="F42" s="11" t="n">
        <v>3514.89</v>
      </c>
    </row>
    <row r="43">
      <c r="A43" s="2" t="inlineStr">
        <is>
          <t>Bathroom Accessories</t>
        </is>
      </c>
      <c r="B43" s="11" t="n">
        <v>3740.86</v>
      </c>
      <c r="F43" s="11" t="n">
        <v>3740.86</v>
      </c>
    </row>
    <row r="44">
      <c r="A44" s="2" t="inlineStr">
        <is>
          <t>Cabinets / Millwork - Restrooms</t>
        </is>
      </c>
      <c r="B44" s="11" t="n">
        <v>1880.89</v>
      </c>
      <c r="F44" s="11" t="n">
        <v>1880.89</v>
      </c>
    </row>
    <row r="46">
      <c r="A46" s="3" t="inlineStr">
        <is>
          <t>Total Building Cost</t>
        </is>
      </c>
      <c r="B46" s="12" t="n">
        <v>398758.21</v>
      </c>
      <c r="C46" s="12" t="n">
        <v>104668.73</v>
      </c>
      <c r="F46" s="12" t="n">
        <v>294089.48</v>
      </c>
    </row>
    <row r="47">
      <c r="A47" s="2" t="inlineStr">
        <is>
          <t>% of Building Cost</t>
        </is>
      </c>
      <c r="C47" s="13" t="n">
        <v>0.262</v>
      </c>
      <c r="F47" s="13" t="n">
        <v>0.738</v>
      </c>
    </row>
    <row r="49">
      <c r="A49" s="1" t="inlineStr">
        <is>
          <t>Asset Allocation:</t>
        </is>
      </c>
    </row>
    <row r="50">
      <c r="A50" s="2" t="inlineStr">
        <is>
          <t>Asset # 10-Building (Post Casualty Loss Basis)</t>
        </is>
      </c>
      <c r="B50" s="11" t="n">
        <v>64317.98</v>
      </c>
      <c r="C50" s="11" t="n">
        <v>16882.61</v>
      </c>
      <c r="F50" s="11" t="n">
        <v>47435.37</v>
      </c>
    </row>
    <row r="51">
      <c r="A51" s="2" t="inlineStr">
        <is>
          <t>Asset # 12-New Building (16 Units)</t>
        </is>
      </c>
      <c r="B51" s="11" t="n">
        <v>34495.74</v>
      </c>
      <c r="C51" s="11" t="n">
        <v>9054.67</v>
      </c>
      <c r="F51" s="11" t="n">
        <v>25441.07</v>
      </c>
    </row>
    <row r="52">
      <c r="A52" s="2" t="inlineStr">
        <is>
          <t>Asset # 14-New Buildings (105 Units)</t>
        </is>
      </c>
      <c r="B52" s="11" t="n">
        <v>231207.03</v>
      </c>
      <c r="C52" s="11" t="n">
        <v>60688.77</v>
      </c>
      <c r="F52" s="11" t="n">
        <v>170518.26</v>
      </c>
    </row>
    <row r="53">
      <c r="A53" s="2" t="inlineStr">
        <is>
          <t>Asset # 111-Building Imp(Post Casualty Loss Basis)</t>
        </is>
      </c>
      <c r="B53" s="11" t="n">
        <v>1616.48</v>
      </c>
      <c r="C53" s="11" t="n">
        <v>424.3</v>
      </c>
      <c r="F53" s="11" t="n">
        <v>1192.18</v>
      </c>
    </row>
    <row r="54">
      <c r="A54" s="2" t="inlineStr">
        <is>
          <t>Asset # 2-Land Improvements</t>
        </is>
      </c>
      <c r="B54" s="11" t="n">
        <v>8795.969999999999</v>
      </c>
      <c r="C54" s="11" t="n">
        <v>2308.83</v>
      </c>
      <c r="F54" s="11" t="n">
        <v>6487.139999999999</v>
      </c>
    </row>
    <row r="55">
      <c r="A55" s="2" t="inlineStr">
        <is>
          <t>Asset # 13-New Equipment (16 Units)</t>
        </is>
      </c>
      <c r="B55" s="11" t="n">
        <v>7572.23</v>
      </c>
      <c r="C55" s="11" t="n">
        <v>1987.61</v>
      </c>
      <c r="F55" s="11" t="n">
        <v>5584.62</v>
      </c>
    </row>
    <row r="56">
      <c r="A56" s="2" t="inlineStr">
        <is>
          <t>Asset # 15-New Equipment (105 Units)</t>
        </is>
      </c>
      <c r="B56" s="11" t="n">
        <v>50752.78</v>
      </c>
      <c r="C56" s="11" t="n">
        <v>13321.94</v>
      </c>
      <c r="F56" s="11" t="n">
        <v>37430.84</v>
      </c>
    </row>
    <row r="57">
      <c r="A57" s="3" t="inlineStr">
        <is>
          <t>Total Allocation:</t>
        </is>
      </c>
      <c r="B57" s="12" t="n">
        <v>398758.21</v>
      </c>
      <c r="C57" s="12" t="n">
        <v>104668.73</v>
      </c>
      <c r="F57" s="12" t="n">
        <v>294089.48</v>
      </c>
    </row>
    <row r="59">
      <c r="A59" s="1" t="inlineStr">
        <is>
          <t>End Depreciation Reconciliation</t>
        </is>
      </c>
    </row>
    <row r="60">
      <c r="A60" s="2" t="inlineStr">
        <is>
          <t>Before Cost Segregation (As Previously Filed)</t>
        </is>
      </c>
      <c r="B60" s="4" t="n">
        <v>32887.35</v>
      </c>
    </row>
    <row r="61">
      <c r="A61" s="2" t="inlineStr">
        <is>
          <t>After Cost Segregation (Corrected)</t>
        </is>
      </c>
      <c r="B61" s="6" t="n">
        <v>123145.81</v>
      </c>
    </row>
    <row r="62">
      <c r="A62" s="7" t="inlineStr">
        <is>
          <t>Section 481(a) Adjustment</t>
        </is>
      </c>
      <c r="B62" s="14" t="n">
        <v>-90258.46000000001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Building 9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Building 9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3931.6</v>
      </c>
      <c r="C16" s="11" t="n">
        <v>3931.6</v>
      </c>
    </row>
    <row r="17">
      <c r="A17" s="2" t="inlineStr">
        <is>
          <t>Moldings</t>
        </is>
      </c>
      <c r="B17" s="11" t="n">
        <v>3025.61</v>
      </c>
      <c r="C17" s="11" t="n">
        <v>3025.61</v>
      </c>
    </row>
    <row r="18">
      <c r="A18" s="2" t="inlineStr">
        <is>
          <t>Flooring - Vinyl Tile</t>
        </is>
      </c>
      <c r="B18" s="11" t="n">
        <v>2941.12</v>
      </c>
      <c r="C18" s="11" t="n">
        <v>2941.12</v>
      </c>
    </row>
    <row r="19">
      <c r="A19" s="2" t="inlineStr">
        <is>
          <t>Flooring - Vinyl Plank</t>
        </is>
      </c>
      <c r="B19" s="11" t="n">
        <v>3937.09</v>
      </c>
      <c r="C19" s="11" t="n">
        <v>3937.09</v>
      </c>
    </row>
    <row r="20">
      <c r="A20" s="2" t="inlineStr">
        <is>
          <t>Window Treatments</t>
        </is>
      </c>
      <c r="B20" s="11" t="n">
        <v>496.64</v>
      </c>
      <c r="C20" s="11" t="n">
        <v>496.64</v>
      </c>
    </row>
    <row r="21">
      <c r="A21" s="2" t="inlineStr">
        <is>
          <t>Specialty HVAC - Dryer Vents</t>
        </is>
      </c>
      <c r="B21" s="11" t="n">
        <v>833.73</v>
      </c>
      <c r="C21" s="11" t="n">
        <v>833.73</v>
      </c>
    </row>
    <row r="22">
      <c r="A22" s="2" t="inlineStr">
        <is>
          <t>Building Signage</t>
        </is>
      </c>
      <c r="B22" s="11" t="n">
        <v>71.8</v>
      </c>
      <c r="C22" s="11" t="n">
        <v>71.8</v>
      </c>
    </row>
    <row r="23">
      <c r="A23" s="2" t="inlineStr">
        <is>
          <t>Specialty Electrical - Appliances</t>
        </is>
      </c>
      <c r="B23" s="11" t="n">
        <v>5223.52</v>
      </c>
      <c r="C23" s="11" t="n">
        <v>5223.52</v>
      </c>
    </row>
    <row r="24">
      <c r="A24" s="2" t="inlineStr">
        <is>
          <t>Communication / Data</t>
        </is>
      </c>
      <c r="B24" s="11" t="n">
        <v>1051.12</v>
      </c>
      <c r="C24" s="11" t="n">
        <v>1051.12</v>
      </c>
    </row>
    <row r="25">
      <c r="A25" s="2" t="inlineStr">
        <is>
          <t>Specialty Plumbing - Kitchen Sink / Laundry</t>
        </is>
      </c>
      <c r="B25" s="11" t="n">
        <v>4691.93</v>
      </c>
      <c r="C25" s="11" t="n">
        <v>4691.93</v>
      </c>
    </row>
    <row r="26">
      <c r="A26" s="2" t="inlineStr">
        <is>
          <t>Security / Exterior Lighting</t>
        </is>
      </c>
      <c r="B26" s="11" t="n">
        <v>316.82</v>
      </c>
      <c r="C26" s="11" t="n">
        <v>316.82</v>
      </c>
    </row>
    <row r="27">
      <c r="A27" s="2" t="inlineStr">
        <is>
          <t>Mailboxes</t>
        </is>
      </c>
      <c r="B27" s="11" t="n">
        <v>11202.14</v>
      </c>
      <c r="C27" s="11" t="n">
        <v>11202.14</v>
      </c>
    </row>
    <row r="28">
      <c r="A28" s="2" t="inlineStr">
        <is>
          <t>Appliances</t>
        </is>
      </c>
      <c r="B28" s="11" t="n">
        <v>13123.29</v>
      </c>
      <c r="C28" s="11" t="n">
        <v>13123.29</v>
      </c>
    </row>
    <row r="30">
      <c r="A30" s="10" t="inlineStr">
        <is>
          <t>Building Structure</t>
        </is>
      </c>
    </row>
    <row r="31">
      <c r="A31" s="2" t="inlineStr">
        <is>
          <t>Roofing Systems</t>
        </is>
      </c>
      <c r="B31" s="11" t="n">
        <v>12188.65</v>
      </c>
      <c r="F31" s="11" t="n">
        <v>12188.65</v>
      </c>
    </row>
    <row r="32">
      <c r="A32" s="2" t="inlineStr">
        <is>
          <t>Foundations</t>
        </is>
      </c>
      <c r="B32" s="11" t="n">
        <v>16410.11</v>
      </c>
      <c r="F32" s="11" t="n">
        <v>16410.11</v>
      </c>
    </row>
    <row r="33">
      <c r="A33" s="2" t="inlineStr">
        <is>
          <t>HVAC</t>
        </is>
      </c>
      <c r="B33" s="11" t="n">
        <v>11725.43</v>
      </c>
      <c r="F33" s="11" t="n">
        <v>11725.43</v>
      </c>
    </row>
    <row r="34">
      <c r="A34" s="2" t="inlineStr">
        <is>
          <t>Electrical</t>
        </is>
      </c>
      <c r="B34" s="11" t="n">
        <v>12787.42</v>
      </c>
      <c r="F34" s="11" t="n">
        <v>12787.42</v>
      </c>
    </row>
    <row r="35">
      <c r="A35" s="2" t="inlineStr">
        <is>
          <t>Plumbing</t>
        </is>
      </c>
      <c r="B35" s="11" t="n">
        <v>10192.86</v>
      </c>
      <c r="F35" s="11" t="n">
        <v>10192.86</v>
      </c>
    </row>
    <row r="36">
      <c r="A36" s="2" t="inlineStr">
        <is>
          <t>Fire Protection &amp; Alarm</t>
        </is>
      </c>
      <c r="B36" s="11" t="n">
        <v>233.04</v>
      </c>
      <c r="F36" s="11" t="n">
        <v>233.04</v>
      </c>
    </row>
    <row r="37">
      <c r="A37" s="2" t="inlineStr">
        <is>
          <t>Exterior Façade / Building Skin</t>
        </is>
      </c>
      <c r="B37" s="11" t="n">
        <v>21043.31</v>
      </c>
      <c r="F37" s="11" t="n">
        <v>21043.31</v>
      </c>
    </row>
    <row r="38">
      <c r="A38" s="2" t="inlineStr">
        <is>
          <t>Doors &amp; Frames</t>
        </is>
      </c>
      <c r="B38" s="11" t="n">
        <v>2797.83</v>
      </c>
      <c r="F38" s="11" t="n">
        <v>2797.83</v>
      </c>
    </row>
    <row r="39">
      <c r="A39" s="2" t="inlineStr">
        <is>
          <t>Windows</t>
        </is>
      </c>
      <c r="B39" s="11" t="n">
        <v>2188.95</v>
      </c>
      <c r="F39" s="11" t="n">
        <v>2188.95</v>
      </c>
    </row>
    <row r="40">
      <c r="A40" s="2" t="inlineStr">
        <is>
          <t>Ceiling Systems</t>
        </is>
      </c>
      <c r="B40" s="11" t="n">
        <v>5373.26</v>
      </c>
      <c r="F40" s="11" t="n">
        <v>5373.26</v>
      </c>
    </row>
    <row r="41">
      <c r="A41" s="2" t="inlineStr">
        <is>
          <t>Interior Framing / Partitions</t>
        </is>
      </c>
      <c r="B41" s="11" t="n">
        <v>13233.31</v>
      </c>
      <c r="F41" s="11" t="n">
        <v>13233.31</v>
      </c>
    </row>
    <row r="42">
      <c r="A42" s="2" t="inlineStr">
        <is>
          <t>Painting</t>
        </is>
      </c>
      <c r="B42" s="11" t="n">
        <v>5712.33</v>
      </c>
      <c r="F42" s="11" t="n">
        <v>5712.33</v>
      </c>
    </row>
    <row r="43">
      <c r="A43" s="2" t="inlineStr">
        <is>
          <t>Emergency Lighting</t>
        </is>
      </c>
      <c r="B43" s="11" t="n">
        <v>112.76</v>
      </c>
      <c r="F43" s="11" t="n">
        <v>112.76</v>
      </c>
    </row>
    <row r="44">
      <c r="A44" s="2" t="inlineStr">
        <is>
          <t>Structural Framing</t>
        </is>
      </c>
      <c r="B44" s="11" t="n">
        <v>11883.99</v>
      </c>
      <c r="F44" s="11" t="n">
        <v>11883.99</v>
      </c>
    </row>
    <row r="45">
      <c r="A45" s="2" t="inlineStr">
        <is>
          <t>Bathroom Accessories</t>
        </is>
      </c>
      <c r="B45" s="11" t="n">
        <v>584.77</v>
      </c>
      <c r="F45" s="11" t="n">
        <v>584.77</v>
      </c>
    </row>
    <row r="46">
      <c r="A46" s="2" t="inlineStr">
        <is>
          <t>Cabinets / Millwork - Restrooms</t>
        </is>
      </c>
      <c r="B46" s="11" t="n">
        <v>235.1</v>
      </c>
      <c r="F46" s="11" t="n">
        <v>235.1</v>
      </c>
    </row>
    <row r="48">
      <c r="A48" s="3" t="inlineStr">
        <is>
          <t>Total Building Cost</t>
        </is>
      </c>
      <c r="B48" s="12" t="n">
        <v>177549.53</v>
      </c>
      <c r="C48" s="12" t="n">
        <v>50846.41</v>
      </c>
      <c r="F48" s="12" t="n">
        <v>126703.12</v>
      </c>
    </row>
    <row r="49">
      <c r="A49" s="2" t="inlineStr">
        <is>
          <t>% of Building Cost</t>
        </is>
      </c>
      <c r="C49" s="13" t="n">
        <v>0.286</v>
      </c>
      <c r="F49" s="13" t="n">
        <v>0.714</v>
      </c>
    </row>
    <row r="51">
      <c r="A51" s="1" t="inlineStr">
        <is>
          <t>Asset Allocation:</t>
        </is>
      </c>
    </row>
    <row r="52">
      <c r="A52" s="2" t="inlineStr">
        <is>
          <t>Asset # 10-Building (Post Casualty Loss Basis)</t>
        </is>
      </c>
      <c r="B52" s="11" t="n">
        <v>28637.97</v>
      </c>
      <c r="C52" s="11" t="n">
        <v>8201.309999999999</v>
      </c>
      <c r="F52" s="11" t="n">
        <v>20436.66</v>
      </c>
    </row>
    <row r="53">
      <c r="A53" s="2" t="inlineStr">
        <is>
          <t>Asset # 12-New Building (16 Units)</t>
        </is>
      </c>
      <c r="B53" s="11" t="n">
        <v>15359.44</v>
      </c>
      <c r="C53" s="11" t="n">
        <v>4398.62</v>
      </c>
      <c r="F53" s="11" t="n">
        <v>10960.82</v>
      </c>
    </row>
    <row r="54">
      <c r="A54" s="2" t="inlineStr">
        <is>
          <t>Asset # 14-New Buildings (105 Units)</t>
        </is>
      </c>
      <c r="B54" s="11" t="n">
        <v>102946.35</v>
      </c>
      <c r="C54" s="11" t="n">
        <v>29481.65</v>
      </c>
      <c r="F54" s="11" t="n">
        <v>73464.70000000001</v>
      </c>
    </row>
    <row r="55">
      <c r="A55" s="2" t="inlineStr">
        <is>
          <t>Asset # 111-Building Imp(Post Casualty Loss Basis)</t>
        </is>
      </c>
      <c r="B55" s="11" t="n">
        <v>719.75</v>
      </c>
      <c r="C55" s="11" t="n">
        <v>206.12</v>
      </c>
      <c r="F55" s="11" t="n">
        <v>513.63</v>
      </c>
    </row>
    <row r="56">
      <c r="A56" s="2" t="inlineStr">
        <is>
          <t>Asset # 2-Land Improvements</t>
        </is>
      </c>
      <c r="B56" s="11" t="n">
        <v>3916.46</v>
      </c>
      <c r="C56" s="11" t="n">
        <v>1121.59</v>
      </c>
      <c r="F56" s="11" t="n">
        <v>2794.87</v>
      </c>
    </row>
    <row r="57">
      <c r="A57" s="2" t="inlineStr">
        <is>
          <t>Asset # 13-New Equipment (16 Units)</t>
        </is>
      </c>
      <c r="B57" s="11" t="n">
        <v>3371.57</v>
      </c>
      <c r="C57" s="11" t="n">
        <v>965.55</v>
      </c>
      <c r="F57" s="11" t="n">
        <v>2406.02</v>
      </c>
    </row>
    <row r="58">
      <c r="A58" s="2" t="inlineStr">
        <is>
          <t>Asset # 15-New Equipment (105 Units)</t>
        </is>
      </c>
      <c r="B58" s="11" t="n">
        <v>22597.99</v>
      </c>
      <c r="C58" s="11" t="n">
        <v>6471.57</v>
      </c>
      <c r="F58" s="11" t="n">
        <v>16126.42</v>
      </c>
    </row>
    <row r="59">
      <c r="A59" s="3" t="inlineStr">
        <is>
          <t>Total Allocation:</t>
        </is>
      </c>
      <c r="B59" s="12" t="n">
        <v>177549.53</v>
      </c>
      <c r="C59" s="12" t="n">
        <v>50846.41</v>
      </c>
      <c r="F59" s="12" t="n">
        <v>126703.12</v>
      </c>
    </row>
    <row r="61">
      <c r="A61" s="1" t="inlineStr">
        <is>
          <t>End Depreciation Reconciliation</t>
        </is>
      </c>
    </row>
    <row r="62">
      <c r="A62" s="2" t="inlineStr">
        <is>
          <t>Before Cost Segregation (As Previously Filed)</t>
        </is>
      </c>
      <c r="B62" s="4" t="n">
        <v>14643.29</v>
      </c>
    </row>
    <row r="63">
      <c r="A63" s="2" t="inlineStr">
        <is>
          <t>After Cost Segregation (Corrected)</t>
        </is>
      </c>
      <c r="B63" s="6" t="n">
        <v>58416.44</v>
      </c>
    </row>
    <row r="64">
      <c r="A64" s="7" t="inlineStr">
        <is>
          <t>Section 481(a) Adjustment</t>
        </is>
      </c>
      <c r="B64" s="14" t="n">
        <v>-43773.15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Building 10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Building 10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31452.73</v>
      </c>
      <c r="C16" s="11" t="n">
        <v>31452.73</v>
      </c>
    </row>
    <row r="17">
      <c r="A17" s="2" t="inlineStr">
        <is>
          <t>Moldings</t>
        </is>
      </c>
      <c r="B17" s="11" t="n">
        <v>8975.5</v>
      </c>
      <c r="C17" s="11" t="n">
        <v>8975.5</v>
      </c>
    </row>
    <row r="18">
      <c r="A18" s="2" t="inlineStr">
        <is>
          <t>Flooring - Vinyl Plank</t>
        </is>
      </c>
      <c r="B18" s="11" t="n">
        <v>38285.2</v>
      </c>
      <c r="C18" s="11" t="n">
        <v>38285.2</v>
      </c>
    </row>
    <row r="19">
      <c r="A19" s="2" t="inlineStr">
        <is>
          <t>Window Treatments</t>
        </is>
      </c>
      <c r="B19" s="11" t="n">
        <v>3310.89</v>
      </c>
      <c r="C19" s="11" t="n">
        <v>3310.89</v>
      </c>
    </row>
    <row r="20">
      <c r="A20" s="2" t="inlineStr">
        <is>
          <t>Building Signage</t>
        </is>
      </c>
      <c r="B20" s="11" t="n">
        <v>394.4</v>
      </c>
      <c r="C20" s="11" t="n">
        <v>394.4</v>
      </c>
    </row>
    <row r="21">
      <c r="A21" s="2" t="inlineStr">
        <is>
          <t>Specialty Electrical - Appliances</t>
        </is>
      </c>
      <c r="B21" s="11" t="n">
        <v>5344.3</v>
      </c>
      <c r="C21" s="11" t="n">
        <v>5344.3</v>
      </c>
    </row>
    <row r="22">
      <c r="A22" s="2" t="inlineStr">
        <is>
          <t>Communication / Data</t>
        </is>
      </c>
      <c r="B22" s="11" t="n">
        <v>3335.47</v>
      </c>
      <c r="C22" s="11" t="n">
        <v>3335.47</v>
      </c>
    </row>
    <row r="23">
      <c r="A23" s="2" t="inlineStr">
        <is>
          <t>Specialty Plumbing - Kitchen Sinks</t>
        </is>
      </c>
      <c r="B23" s="11" t="n">
        <v>9687.68</v>
      </c>
      <c r="C23" s="11" t="n">
        <v>9687.68</v>
      </c>
    </row>
    <row r="24">
      <c r="A24" s="2" t="inlineStr">
        <is>
          <t>Security / Exterior Lighting</t>
        </is>
      </c>
      <c r="B24" s="11" t="n">
        <v>2139.23</v>
      </c>
      <c r="C24" s="11" t="n">
        <v>2139.23</v>
      </c>
    </row>
    <row r="25">
      <c r="A25" s="2" t="inlineStr">
        <is>
          <t>Canopies / Awnings</t>
        </is>
      </c>
      <c r="B25" s="11" t="n">
        <v>605.6900000000001</v>
      </c>
      <c r="C25" s="11" t="n">
        <v>605.6900000000001</v>
      </c>
    </row>
    <row r="26">
      <c r="A26" s="2" t="inlineStr">
        <is>
          <t>Appliances</t>
        </is>
      </c>
      <c r="B26" s="11" t="n">
        <v>8326.940000000001</v>
      </c>
      <c r="C26" s="11" t="n">
        <v>8326.940000000001</v>
      </c>
    </row>
    <row r="28">
      <c r="A28" s="10" t="inlineStr">
        <is>
          <t>Building Structure</t>
        </is>
      </c>
    </row>
    <row r="29">
      <c r="A29" s="2" t="inlineStr">
        <is>
          <t>Roofing Systems</t>
        </is>
      </c>
      <c r="B29" s="11" t="n">
        <v>18787.87</v>
      </c>
      <c r="F29" s="11" t="n">
        <v>18787.87</v>
      </c>
    </row>
    <row r="30">
      <c r="A30" s="2" t="inlineStr">
        <is>
          <t>Foundations</t>
        </is>
      </c>
      <c r="B30" s="11" t="n">
        <v>25094.55</v>
      </c>
      <c r="F30" s="11" t="n">
        <v>25094.55</v>
      </c>
    </row>
    <row r="31">
      <c r="A31" s="2" t="inlineStr">
        <is>
          <t>HVAC</t>
        </is>
      </c>
      <c r="B31" s="11" t="n">
        <v>37207.78</v>
      </c>
      <c r="F31" s="11" t="n">
        <v>37207.78</v>
      </c>
    </row>
    <row r="32">
      <c r="A32" s="2" t="inlineStr">
        <is>
          <t>Electrical</t>
        </is>
      </c>
      <c r="B32" s="11" t="n">
        <v>35233.43</v>
      </c>
      <c r="F32" s="11" t="n">
        <v>35233.43</v>
      </c>
    </row>
    <row r="33">
      <c r="A33" s="2" t="inlineStr">
        <is>
          <t>Plumbing</t>
        </is>
      </c>
      <c r="B33" s="11" t="n">
        <v>32344.52</v>
      </c>
      <c r="F33" s="11" t="n">
        <v>32344.52</v>
      </c>
    </row>
    <row r="34">
      <c r="A34" s="2" t="inlineStr">
        <is>
          <t>Fire Protection &amp; Alarm</t>
        </is>
      </c>
      <c r="B34" s="11" t="n">
        <v>2485.72</v>
      </c>
      <c r="F34" s="11" t="n">
        <v>2485.72</v>
      </c>
    </row>
    <row r="35">
      <c r="A35" s="2" t="inlineStr">
        <is>
          <t>Exterior Façade / Building Skin</t>
        </is>
      </c>
      <c r="B35" s="11" t="n">
        <v>24546.88</v>
      </c>
      <c r="F35" s="11" t="n">
        <v>24546.88</v>
      </c>
    </row>
    <row r="36">
      <c r="A36" s="2" t="inlineStr">
        <is>
          <t>Doors &amp; Frames</t>
        </is>
      </c>
      <c r="B36" s="11" t="n">
        <v>18966.92</v>
      </c>
      <c r="F36" s="11" t="n">
        <v>18966.92</v>
      </c>
    </row>
    <row r="37">
      <c r="A37" s="2" t="inlineStr">
        <is>
          <t>Windows</t>
        </is>
      </c>
      <c r="B37" s="11" t="n">
        <v>15176.79</v>
      </c>
      <c r="F37" s="11" t="n">
        <v>15176.79</v>
      </c>
    </row>
    <row r="38">
      <c r="A38" s="2" t="inlineStr">
        <is>
          <t>Ceiling Systems</t>
        </is>
      </c>
      <c r="B38" s="11" t="n">
        <v>17050.73</v>
      </c>
      <c r="F38" s="11" t="n">
        <v>17050.73</v>
      </c>
    </row>
    <row r="39">
      <c r="A39" s="2" t="inlineStr">
        <is>
          <t>Interior Framing / Partitions</t>
        </is>
      </c>
      <c r="B39" s="11" t="n">
        <v>40897.64999999999</v>
      </c>
      <c r="F39" s="11" t="n">
        <v>40897.64999999999</v>
      </c>
    </row>
    <row r="40">
      <c r="A40" s="2" t="inlineStr">
        <is>
          <t>Painting</t>
        </is>
      </c>
      <c r="B40" s="11" t="n">
        <v>16588.72</v>
      </c>
      <c r="F40" s="11" t="n">
        <v>16588.72</v>
      </c>
    </row>
    <row r="41">
      <c r="A41" s="2" t="inlineStr">
        <is>
          <t>Structural Framing</t>
        </is>
      </c>
      <c r="B41" s="11" t="n">
        <v>42760.8</v>
      </c>
      <c r="F41" s="11" t="n">
        <v>42760.8</v>
      </c>
    </row>
    <row r="42">
      <c r="A42" s="2" t="inlineStr">
        <is>
          <t>Stairs / Balconies</t>
        </is>
      </c>
      <c r="B42" s="11" t="n">
        <v>3514.89</v>
      </c>
      <c r="F42" s="11" t="n">
        <v>3514.89</v>
      </c>
    </row>
    <row r="43">
      <c r="A43" s="2" t="inlineStr">
        <is>
          <t>Bathroom Accessories</t>
        </is>
      </c>
      <c r="B43" s="11" t="n">
        <v>3740.86</v>
      </c>
      <c r="F43" s="11" t="n">
        <v>3740.86</v>
      </c>
    </row>
    <row r="44">
      <c r="A44" s="2" t="inlineStr">
        <is>
          <t>Cabinets / Millwork - Restrooms</t>
        </is>
      </c>
      <c r="B44" s="11" t="n">
        <v>1880.89</v>
      </c>
      <c r="F44" s="11" t="n">
        <v>1880.89</v>
      </c>
    </row>
    <row r="46">
      <c r="A46" s="3" t="inlineStr">
        <is>
          <t>Total Building Cost</t>
        </is>
      </c>
      <c r="B46" s="12" t="n">
        <v>448137.0299999999</v>
      </c>
      <c r="C46" s="12" t="n">
        <v>111858.03</v>
      </c>
      <c r="F46" s="12" t="n">
        <v>336278.9999999999</v>
      </c>
    </row>
    <row r="47">
      <c r="A47" s="2" t="inlineStr">
        <is>
          <t>% of Building Cost</t>
        </is>
      </c>
      <c r="C47" s="13" t="n">
        <v>0.25</v>
      </c>
      <c r="F47" s="13" t="n">
        <v>0.75</v>
      </c>
    </row>
    <row r="49">
      <c r="A49" s="1" t="inlineStr">
        <is>
          <t>Asset Allocation:</t>
        </is>
      </c>
    </row>
    <row r="50">
      <c r="A50" s="2" t="inlineStr">
        <is>
          <t>Asset # 10-Building (Post Casualty Loss Basis)</t>
        </is>
      </c>
      <c r="B50" s="11" t="n">
        <v>72282.57000000001</v>
      </c>
      <c r="C50" s="11" t="n">
        <v>18042.22</v>
      </c>
      <c r="F50" s="11" t="n">
        <v>54240.35000000001</v>
      </c>
    </row>
    <row r="51">
      <c r="A51" s="2" t="inlineStr">
        <is>
          <t>Asset # 12-New Building (16 Units)</t>
        </is>
      </c>
      <c r="B51" s="11" t="n">
        <v>38767.41</v>
      </c>
      <c r="C51" s="11" t="n">
        <v>9676.610000000001</v>
      </c>
      <c r="F51" s="11" t="n">
        <v>29090.8</v>
      </c>
    </row>
    <row r="52">
      <c r="A52" s="2" t="inlineStr">
        <is>
          <t>Asset # 14-New Buildings (105 Units)</t>
        </is>
      </c>
      <c r="B52" s="11" t="n">
        <v>259837.74</v>
      </c>
      <c r="C52" s="11" t="n">
        <v>64857.26</v>
      </c>
      <c r="F52" s="11" t="n">
        <v>194980.48</v>
      </c>
    </row>
    <row r="53">
      <c r="A53" s="2" t="inlineStr">
        <is>
          <t>Asset # 111-Building Imp(Post Casualty Loss Basis)</t>
        </is>
      </c>
      <c r="B53" s="11" t="n">
        <v>1816.65</v>
      </c>
      <c r="C53" s="11" t="n">
        <v>453.45</v>
      </c>
      <c r="F53" s="11" t="n">
        <v>1363.2</v>
      </c>
    </row>
    <row r="54">
      <c r="A54" s="2" t="inlineStr">
        <is>
          <t>Asset # 2-Land Improvements</t>
        </is>
      </c>
      <c r="B54" s="11" t="n">
        <v>9885.18</v>
      </c>
      <c r="C54" s="11" t="n">
        <v>2467.41</v>
      </c>
      <c r="F54" s="11" t="n">
        <v>7417.77</v>
      </c>
    </row>
    <row r="55">
      <c r="A55" s="2" t="inlineStr">
        <is>
          <t>Asset # 13-New Equipment (16 Units)</t>
        </is>
      </c>
      <c r="B55" s="11" t="n">
        <v>8509.91</v>
      </c>
      <c r="C55" s="11" t="n">
        <v>2124.13</v>
      </c>
      <c r="F55" s="11" t="n">
        <v>6385.78</v>
      </c>
    </row>
    <row r="56">
      <c r="A56" s="2" t="inlineStr">
        <is>
          <t>Asset # 15-New Equipment (105 Units)</t>
        </is>
      </c>
      <c r="B56" s="11" t="n">
        <v>57037.57</v>
      </c>
      <c r="C56" s="11" t="n">
        <v>14236.95</v>
      </c>
      <c r="F56" s="11" t="n">
        <v>42800.62</v>
      </c>
    </row>
    <row r="57">
      <c r="A57" s="3" t="inlineStr">
        <is>
          <t>Total Allocation:</t>
        </is>
      </c>
      <c r="B57" s="12" t="n">
        <v>448137.03</v>
      </c>
      <c r="C57" s="12" t="n">
        <v>111858.03</v>
      </c>
      <c r="F57" s="12" t="n">
        <v>336279.0000000001</v>
      </c>
    </row>
    <row r="59">
      <c r="A59" s="1" t="inlineStr">
        <is>
          <t>End Depreciation Reconciliation</t>
        </is>
      </c>
    </row>
    <row r="60">
      <c r="A60" s="2" t="inlineStr">
        <is>
          <t>Before Cost Segregation (As Previously Filed)</t>
        </is>
      </c>
      <c r="B60" s="4" t="n">
        <v>36959.83</v>
      </c>
    </row>
    <row r="61">
      <c r="A61" s="2" t="inlineStr">
        <is>
          <t>After Cost Segregation (Corrected)</t>
        </is>
      </c>
      <c r="B61" s="6" t="n">
        <v>133517.02</v>
      </c>
    </row>
    <row r="62">
      <c r="A62" s="7" t="inlineStr">
        <is>
          <t>Section 481(a) Adjustment</t>
        </is>
      </c>
      <c r="B62" s="14" t="n">
        <v>-96557.19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Building 11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Building 11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31452.73</v>
      </c>
      <c r="C16" s="11" t="n">
        <v>31452.73</v>
      </c>
    </row>
    <row r="17">
      <c r="A17" s="2" t="inlineStr">
        <is>
          <t>Moldings</t>
        </is>
      </c>
      <c r="B17" s="11" t="n">
        <v>8394.17</v>
      </c>
      <c r="C17" s="11" t="n">
        <v>8394.17</v>
      </c>
    </row>
    <row r="18">
      <c r="A18" s="2" t="inlineStr">
        <is>
          <t>Flooring - Vinyl Plank</t>
        </is>
      </c>
      <c r="B18" s="11" t="n">
        <v>32815.9</v>
      </c>
      <c r="C18" s="11" t="n">
        <v>32815.9</v>
      </c>
    </row>
    <row r="19">
      <c r="A19" s="2" t="inlineStr">
        <is>
          <t>Window Treatments</t>
        </is>
      </c>
      <c r="B19" s="11" t="n">
        <v>2648.72</v>
      </c>
      <c r="C19" s="11" t="n">
        <v>2648.72</v>
      </c>
    </row>
    <row r="20">
      <c r="A20" s="2" t="inlineStr">
        <is>
          <t>Building Signage</t>
        </is>
      </c>
      <c r="B20" s="11" t="n">
        <v>394.4</v>
      </c>
      <c r="C20" s="11" t="n">
        <v>394.4</v>
      </c>
    </row>
    <row r="21">
      <c r="A21" s="2" t="inlineStr">
        <is>
          <t>Specialty Electrical - Appliances</t>
        </is>
      </c>
      <c r="B21" s="11" t="n">
        <v>5344.3</v>
      </c>
      <c r="C21" s="11" t="n">
        <v>5344.3</v>
      </c>
    </row>
    <row r="22">
      <c r="A22" s="2" t="inlineStr">
        <is>
          <t>Communication / Data</t>
        </is>
      </c>
      <c r="B22" s="11" t="n">
        <v>2858.97</v>
      </c>
      <c r="C22" s="11" t="n">
        <v>2858.97</v>
      </c>
    </row>
    <row r="23">
      <c r="A23" s="2" t="inlineStr">
        <is>
          <t>Specialty Plumbing - Kitchen Sinks</t>
        </is>
      </c>
      <c r="B23" s="11" t="n">
        <v>9687.68</v>
      </c>
      <c r="C23" s="11" t="n">
        <v>9687.68</v>
      </c>
    </row>
    <row r="24">
      <c r="A24" s="2" t="inlineStr">
        <is>
          <t>Security / Exterior Lighting</t>
        </is>
      </c>
      <c r="B24" s="11" t="n">
        <v>2139.23</v>
      </c>
      <c r="C24" s="11" t="n">
        <v>2139.23</v>
      </c>
    </row>
    <row r="25">
      <c r="A25" s="2" t="inlineStr">
        <is>
          <t>Canopies / Awnings</t>
        </is>
      </c>
      <c r="B25" s="11" t="n">
        <v>605.6900000000001</v>
      </c>
      <c r="C25" s="11" t="n">
        <v>605.6900000000001</v>
      </c>
    </row>
    <row r="26">
      <c r="A26" s="2" t="inlineStr">
        <is>
          <t>Appliances</t>
        </is>
      </c>
      <c r="B26" s="11" t="n">
        <v>8326.940000000001</v>
      </c>
      <c r="C26" s="11" t="n">
        <v>8326.940000000001</v>
      </c>
    </row>
    <row r="28">
      <c r="A28" s="10" t="inlineStr">
        <is>
          <t>Building Structure</t>
        </is>
      </c>
    </row>
    <row r="29">
      <c r="A29" s="2" t="inlineStr">
        <is>
          <t>Roofing Systems</t>
        </is>
      </c>
      <c r="B29" s="11" t="n">
        <v>16256.26</v>
      </c>
      <c r="F29" s="11" t="n">
        <v>16256.26</v>
      </c>
    </row>
    <row r="30">
      <c r="A30" s="2" t="inlineStr">
        <is>
          <t>Foundations</t>
        </is>
      </c>
      <c r="B30" s="11" t="n">
        <v>21691.79</v>
      </c>
      <c r="F30" s="11" t="n">
        <v>21691.79</v>
      </c>
    </row>
    <row r="31">
      <c r="A31" s="2" t="inlineStr">
        <is>
          <t>HVAC</t>
        </is>
      </c>
      <c r="B31" s="11" t="n">
        <v>31892.38</v>
      </c>
      <c r="F31" s="11" t="n">
        <v>31892.38</v>
      </c>
    </row>
    <row r="32">
      <c r="A32" s="2" t="inlineStr">
        <is>
          <t>Electrical</t>
        </is>
      </c>
      <c r="B32" s="11" t="n">
        <v>29436.62</v>
      </c>
      <c r="F32" s="11" t="n">
        <v>29436.62</v>
      </c>
    </row>
    <row r="33">
      <c r="A33" s="2" t="inlineStr">
        <is>
          <t>Plumbing</t>
        </is>
      </c>
      <c r="B33" s="11" t="n">
        <v>27723.88</v>
      </c>
      <c r="F33" s="11" t="n">
        <v>27723.88</v>
      </c>
    </row>
    <row r="34">
      <c r="A34" s="2" t="inlineStr">
        <is>
          <t>Fire Protection &amp; Alarm</t>
        </is>
      </c>
      <c r="B34" s="11" t="n">
        <v>1864.29</v>
      </c>
      <c r="F34" s="11" t="n">
        <v>1864.29</v>
      </c>
    </row>
    <row r="35">
      <c r="A35" s="2" t="inlineStr">
        <is>
          <t>Exterior Façade / Building Skin</t>
        </is>
      </c>
      <c r="B35" s="11" t="n">
        <v>21222.77</v>
      </c>
      <c r="F35" s="11" t="n">
        <v>21222.77</v>
      </c>
    </row>
    <row r="36">
      <c r="A36" s="2" t="inlineStr">
        <is>
          <t>Doors &amp; Frames</t>
        </is>
      </c>
      <c r="B36" s="11" t="n">
        <v>16292.68</v>
      </c>
      <c r="F36" s="11" t="n">
        <v>16292.68</v>
      </c>
    </row>
    <row r="37">
      <c r="A37" s="2" t="inlineStr">
        <is>
          <t>Windows</t>
        </is>
      </c>
      <c r="B37" s="11" t="n">
        <v>12258.17</v>
      </c>
      <c r="F37" s="11" t="n">
        <v>12258.17</v>
      </c>
    </row>
    <row r="38">
      <c r="A38" s="2" t="inlineStr">
        <is>
          <t>Ceiling Systems</t>
        </is>
      </c>
      <c r="B38" s="11" t="n">
        <v>14614.91</v>
      </c>
      <c r="F38" s="11" t="n">
        <v>14614.91</v>
      </c>
    </row>
    <row r="39">
      <c r="A39" s="2" t="inlineStr">
        <is>
          <t>Interior Framing / Partitions</t>
        </is>
      </c>
      <c r="B39" s="11" t="n">
        <v>38542.73</v>
      </c>
      <c r="F39" s="11" t="n">
        <v>38542.73</v>
      </c>
    </row>
    <row r="40">
      <c r="A40" s="2" t="inlineStr">
        <is>
          <t>Painting</t>
        </is>
      </c>
      <c r="B40" s="11" t="n">
        <v>15289.77</v>
      </c>
      <c r="F40" s="11" t="n">
        <v>15289.77</v>
      </c>
    </row>
    <row r="41">
      <c r="A41" s="2" t="inlineStr">
        <is>
          <t>Structural Framing</t>
        </is>
      </c>
      <c r="B41" s="11" t="n">
        <v>37866.59</v>
      </c>
      <c r="F41" s="11" t="n">
        <v>37866.59</v>
      </c>
    </row>
    <row r="42">
      <c r="A42" s="2" t="inlineStr">
        <is>
          <t>Stairs / Balconies</t>
        </is>
      </c>
      <c r="B42" s="11" t="n">
        <v>3514.89</v>
      </c>
      <c r="F42" s="11" t="n">
        <v>3514.89</v>
      </c>
    </row>
    <row r="43">
      <c r="A43" s="2" t="inlineStr">
        <is>
          <t>Bathroom Accessories</t>
        </is>
      </c>
      <c r="B43" s="11" t="n">
        <v>3740.86</v>
      </c>
      <c r="F43" s="11" t="n">
        <v>3740.86</v>
      </c>
    </row>
    <row r="44">
      <c r="A44" s="2" t="inlineStr">
        <is>
          <t>Cabinets / Millwork - Restrooms</t>
        </is>
      </c>
      <c r="B44" s="11" t="n">
        <v>1880.89</v>
      </c>
      <c r="F44" s="11" t="n">
        <v>1880.89</v>
      </c>
    </row>
    <row r="46">
      <c r="A46" s="3" t="inlineStr">
        <is>
          <t>Total Building Cost</t>
        </is>
      </c>
      <c r="B46" s="12" t="n">
        <v>398758.21</v>
      </c>
      <c r="C46" s="12" t="n">
        <v>104668.73</v>
      </c>
      <c r="F46" s="12" t="n">
        <v>294089.48</v>
      </c>
    </row>
    <row r="47">
      <c r="A47" s="2" t="inlineStr">
        <is>
          <t>% of Building Cost</t>
        </is>
      </c>
      <c r="C47" s="13" t="n">
        <v>0.262</v>
      </c>
      <c r="F47" s="13" t="n">
        <v>0.738</v>
      </c>
    </row>
    <row r="49">
      <c r="A49" s="1" t="inlineStr">
        <is>
          <t>Asset Allocation:</t>
        </is>
      </c>
    </row>
    <row r="50">
      <c r="A50" s="2" t="inlineStr">
        <is>
          <t>Asset # 10-Building (Post Casualty Loss Basis)</t>
        </is>
      </c>
      <c r="B50" s="11" t="n">
        <v>64317.98</v>
      </c>
      <c r="C50" s="11" t="n">
        <v>16882.61</v>
      </c>
      <c r="F50" s="11" t="n">
        <v>47435.37</v>
      </c>
    </row>
    <row r="51">
      <c r="A51" s="2" t="inlineStr">
        <is>
          <t>Asset # 12-New Building (16 Units)</t>
        </is>
      </c>
      <c r="B51" s="11" t="n">
        <v>34495.74</v>
      </c>
      <c r="C51" s="11" t="n">
        <v>9054.67</v>
      </c>
      <c r="F51" s="11" t="n">
        <v>25441.07</v>
      </c>
    </row>
    <row r="52">
      <c r="A52" s="2" t="inlineStr">
        <is>
          <t>Asset # 14-New Buildings (105 Units)</t>
        </is>
      </c>
      <c r="B52" s="11" t="n">
        <v>231207.03</v>
      </c>
      <c r="C52" s="11" t="n">
        <v>60688.77</v>
      </c>
      <c r="F52" s="11" t="n">
        <v>170518.26</v>
      </c>
    </row>
    <row r="53">
      <c r="A53" s="2" t="inlineStr">
        <is>
          <t>Asset # 111-Building Imp(Post Casualty Loss Basis)</t>
        </is>
      </c>
      <c r="B53" s="11" t="n">
        <v>1616.48</v>
      </c>
      <c r="C53" s="11" t="n">
        <v>424.3</v>
      </c>
      <c r="F53" s="11" t="n">
        <v>1192.18</v>
      </c>
    </row>
    <row r="54">
      <c r="A54" s="2" t="inlineStr">
        <is>
          <t>Asset # 2-Land Improvements</t>
        </is>
      </c>
      <c r="B54" s="11" t="n">
        <v>8795.969999999999</v>
      </c>
      <c r="C54" s="11" t="n">
        <v>2308.83</v>
      </c>
      <c r="F54" s="11" t="n">
        <v>6487.139999999999</v>
      </c>
    </row>
    <row r="55">
      <c r="A55" s="2" t="inlineStr">
        <is>
          <t>Asset # 13-New Equipment (16 Units)</t>
        </is>
      </c>
      <c r="B55" s="11" t="n">
        <v>7572.23</v>
      </c>
      <c r="C55" s="11" t="n">
        <v>1987.61</v>
      </c>
      <c r="F55" s="11" t="n">
        <v>5584.62</v>
      </c>
    </row>
    <row r="56">
      <c r="A56" s="2" t="inlineStr">
        <is>
          <t>Asset # 15-New Equipment (105 Units)</t>
        </is>
      </c>
      <c r="B56" s="11" t="n">
        <v>50752.78</v>
      </c>
      <c r="C56" s="11" t="n">
        <v>13321.94</v>
      </c>
      <c r="F56" s="11" t="n">
        <v>37430.84</v>
      </c>
    </row>
    <row r="57">
      <c r="A57" s="3" t="inlineStr">
        <is>
          <t>Total Allocation:</t>
        </is>
      </c>
      <c r="B57" s="12" t="n">
        <v>398758.21</v>
      </c>
      <c r="C57" s="12" t="n">
        <v>104668.73</v>
      </c>
      <c r="F57" s="12" t="n">
        <v>294089.48</v>
      </c>
    </row>
    <row r="59">
      <c r="A59" s="1" t="inlineStr">
        <is>
          <t>End Depreciation Reconciliation</t>
        </is>
      </c>
    </row>
    <row r="60">
      <c r="A60" s="2" t="inlineStr">
        <is>
          <t>Before Cost Segregation (As Previously Filed)</t>
        </is>
      </c>
      <c r="B60" s="4" t="n">
        <v>32887.35</v>
      </c>
    </row>
    <row r="61">
      <c r="A61" s="2" t="inlineStr">
        <is>
          <t>After Cost Segregation (Corrected)</t>
        </is>
      </c>
      <c r="B61" s="6" t="n">
        <v>123145.81</v>
      </c>
    </row>
    <row r="62">
      <c r="A62" s="7" t="inlineStr">
        <is>
          <t>Section 481(a) Adjustment</t>
        </is>
      </c>
      <c r="B62" s="14" t="n">
        <v>-90258.46000000001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Building 12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Building 12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31452.73</v>
      </c>
      <c r="C16" s="11" t="n">
        <v>31452.73</v>
      </c>
    </row>
    <row r="17">
      <c r="A17" s="2" t="inlineStr">
        <is>
          <t>Moldings</t>
        </is>
      </c>
      <c r="B17" s="11" t="n">
        <v>8975.5</v>
      </c>
      <c r="C17" s="11" t="n">
        <v>8975.5</v>
      </c>
    </row>
    <row r="18">
      <c r="A18" s="2" t="inlineStr">
        <is>
          <t>Flooring - Vinyl Plank</t>
        </is>
      </c>
      <c r="B18" s="11" t="n">
        <v>38285.2</v>
      </c>
      <c r="C18" s="11" t="n">
        <v>38285.2</v>
      </c>
    </row>
    <row r="19">
      <c r="A19" s="2" t="inlineStr">
        <is>
          <t>Window Treatments</t>
        </is>
      </c>
      <c r="B19" s="11" t="n">
        <v>3310.89</v>
      </c>
      <c r="C19" s="11" t="n">
        <v>3310.89</v>
      </c>
    </row>
    <row r="20">
      <c r="A20" s="2" t="inlineStr">
        <is>
          <t>Building Signage</t>
        </is>
      </c>
      <c r="B20" s="11" t="n">
        <v>394.4</v>
      </c>
      <c r="C20" s="11" t="n">
        <v>394.4</v>
      </c>
    </row>
    <row r="21">
      <c r="A21" s="2" t="inlineStr">
        <is>
          <t>Specialty Electrical - Appliances</t>
        </is>
      </c>
      <c r="B21" s="11" t="n">
        <v>5344.3</v>
      </c>
      <c r="C21" s="11" t="n">
        <v>5344.3</v>
      </c>
    </row>
    <row r="22">
      <c r="A22" s="2" t="inlineStr">
        <is>
          <t>Communication / Data</t>
        </is>
      </c>
      <c r="B22" s="11" t="n">
        <v>3335.47</v>
      </c>
      <c r="C22" s="11" t="n">
        <v>3335.47</v>
      </c>
    </row>
    <row r="23">
      <c r="A23" s="2" t="inlineStr">
        <is>
          <t>Specialty Plumbing - Kitchen Sinks</t>
        </is>
      </c>
      <c r="B23" s="11" t="n">
        <v>9687.68</v>
      </c>
      <c r="C23" s="11" t="n">
        <v>9687.68</v>
      </c>
    </row>
    <row r="24">
      <c r="A24" s="2" t="inlineStr">
        <is>
          <t>Security / Exterior Lighting</t>
        </is>
      </c>
      <c r="B24" s="11" t="n">
        <v>2139.23</v>
      </c>
      <c r="C24" s="11" t="n">
        <v>2139.23</v>
      </c>
    </row>
    <row r="25">
      <c r="A25" s="2" t="inlineStr">
        <is>
          <t>Canopies / Awnings</t>
        </is>
      </c>
      <c r="B25" s="11" t="n">
        <v>605.6900000000001</v>
      </c>
      <c r="C25" s="11" t="n">
        <v>605.6900000000001</v>
      </c>
    </row>
    <row r="26">
      <c r="A26" s="2" t="inlineStr">
        <is>
          <t>Appliances</t>
        </is>
      </c>
      <c r="B26" s="11" t="n">
        <v>8326.940000000001</v>
      </c>
      <c r="C26" s="11" t="n">
        <v>8326.940000000001</v>
      </c>
    </row>
    <row r="28">
      <c r="A28" s="10" t="inlineStr">
        <is>
          <t>Building Structure</t>
        </is>
      </c>
    </row>
    <row r="29">
      <c r="A29" s="2" t="inlineStr">
        <is>
          <t>Roofing Systems</t>
        </is>
      </c>
      <c r="B29" s="11" t="n">
        <v>18787.91</v>
      </c>
      <c r="F29" s="11" t="n">
        <v>18787.91</v>
      </c>
    </row>
    <row r="30">
      <c r="A30" s="2" t="inlineStr">
        <is>
          <t>Foundations</t>
        </is>
      </c>
      <c r="B30" s="11" t="n">
        <v>25094.53</v>
      </c>
      <c r="F30" s="11" t="n">
        <v>25094.53</v>
      </c>
    </row>
    <row r="31">
      <c r="A31" s="2" t="inlineStr">
        <is>
          <t>HVAC</t>
        </is>
      </c>
      <c r="B31" s="11" t="n">
        <v>37207.78</v>
      </c>
      <c r="F31" s="11" t="n">
        <v>37207.78</v>
      </c>
    </row>
    <row r="32">
      <c r="A32" s="2" t="inlineStr">
        <is>
          <t>Electrical</t>
        </is>
      </c>
      <c r="B32" s="11" t="n">
        <v>35233.43</v>
      </c>
      <c r="F32" s="11" t="n">
        <v>35233.43</v>
      </c>
    </row>
    <row r="33">
      <c r="A33" s="2" t="inlineStr">
        <is>
          <t>Plumbing</t>
        </is>
      </c>
      <c r="B33" s="11" t="n">
        <v>32344.52</v>
      </c>
      <c r="F33" s="11" t="n">
        <v>32344.52</v>
      </c>
    </row>
    <row r="34">
      <c r="A34" s="2" t="inlineStr">
        <is>
          <t>Fire Protection &amp; Alarm</t>
        </is>
      </c>
      <c r="B34" s="11" t="n">
        <v>2485.72</v>
      </c>
      <c r="F34" s="11" t="n">
        <v>2485.72</v>
      </c>
    </row>
    <row r="35">
      <c r="A35" s="2" t="inlineStr">
        <is>
          <t>Exterior Façade / Building Skin</t>
        </is>
      </c>
      <c r="B35" s="11" t="n">
        <v>24768.13</v>
      </c>
      <c r="F35" s="11" t="n">
        <v>24768.13</v>
      </c>
    </row>
    <row r="36">
      <c r="A36" s="2" t="inlineStr">
        <is>
          <t>Doors &amp; Frames</t>
        </is>
      </c>
      <c r="B36" s="11" t="n">
        <v>18966.91</v>
      </c>
      <c r="F36" s="11" t="n">
        <v>18966.91</v>
      </c>
    </row>
    <row r="37">
      <c r="A37" s="2" t="inlineStr">
        <is>
          <t>Windows</t>
        </is>
      </c>
      <c r="B37" s="11" t="n">
        <v>15176.79</v>
      </c>
      <c r="F37" s="11" t="n">
        <v>15176.79</v>
      </c>
    </row>
    <row r="38">
      <c r="A38" s="2" t="inlineStr">
        <is>
          <t>Ceiling Systems</t>
        </is>
      </c>
      <c r="B38" s="11" t="n">
        <v>17050.73</v>
      </c>
      <c r="F38" s="11" t="n">
        <v>17050.73</v>
      </c>
    </row>
    <row r="39">
      <c r="A39" s="2" t="inlineStr">
        <is>
          <t>Interior Framing / Partitions</t>
        </is>
      </c>
      <c r="B39" s="11" t="n">
        <v>40897.64999999999</v>
      </c>
      <c r="F39" s="11" t="n">
        <v>40897.64999999999</v>
      </c>
    </row>
    <row r="40">
      <c r="A40" s="2" t="inlineStr">
        <is>
          <t>Painting</t>
        </is>
      </c>
      <c r="B40" s="11" t="n">
        <v>16588.72</v>
      </c>
      <c r="F40" s="11" t="n">
        <v>16588.72</v>
      </c>
    </row>
    <row r="41">
      <c r="A41" s="2" t="inlineStr">
        <is>
          <t>Structural Framing</t>
        </is>
      </c>
      <c r="B41" s="11" t="n">
        <v>42804.04000000001</v>
      </c>
      <c r="F41" s="11" t="n">
        <v>42804.04000000001</v>
      </c>
    </row>
    <row r="42">
      <c r="A42" s="2" t="inlineStr">
        <is>
          <t>Stairs / Balconies</t>
        </is>
      </c>
      <c r="B42" s="11" t="n">
        <v>3514.89</v>
      </c>
      <c r="F42" s="11" t="n">
        <v>3514.89</v>
      </c>
    </row>
    <row r="43">
      <c r="A43" s="2" t="inlineStr">
        <is>
          <t>Bathroom Accessories</t>
        </is>
      </c>
      <c r="B43" s="11" t="n">
        <v>3740.86</v>
      </c>
      <c r="F43" s="11" t="n">
        <v>3740.86</v>
      </c>
    </row>
    <row r="44">
      <c r="A44" s="2" t="inlineStr">
        <is>
          <t>Cabinets / Millwork - Restrooms</t>
        </is>
      </c>
      <c r="B44" s="11" t="n">
        <v>1880.89</v>
      </c>
      <c r="F44" s="11" t="n">
        <v>1880.89</v>
      </c>
    </row>
    <row r="46">
      <c r="A46" s="3" t="inlineStr">
        <is>
          <t>Total Building Cost</t>
        </is>
      </c>
      <c r="B46" s="12" t="n">
        <v>448401.5299999999</v>
      </c>
      <c r="C46" s="12" t="n">
        <v>111858.03</v>
      </c>
      <c r="F46" s="12" t="n">
        <v>336543.5</v>
      </c>
    </row>
    <row r="47">
      <c r="A47" s="2" t="inlineStr">
        <is>
          <t>% of Building Cost</t>
        </is>
      </c>
      <c r="C47" s="13" t="n">
        <v>0.249</v>
      </c>
      <c r="F47" s="13" t="n">
        <v>0.751</v>
      </c>
    </row>
    <row r="49">
      <c r="A49" s="1" t="inlineStr">
        <is>
          <t>Asset Allocation:</t>
        </is>
      </c>
    </row>
    <row r="50">
      <c r="A50" s="2" t="inlineStr">
        <is>
          <t>Asset # 10-Building (Post Casualty Loss Basis)</t>
        </is>
      </c>
      <c r="B50" s="11" t="n">
        <v>72325.23</v>
      </c>
      <c r="C50" s="11" t="n">
        <v>18042.22</v>
      </c>
      <c r="F50" s="11" t="n">
        <v>54283.00999999999</v>
      </c>
    </row>
    <row r="51">
      <c r="A51" s="2" t="inlineStr">
        <is>
          <t>Asset # 12-New Building (16 Units)</t>
        </is>
      </c>
      <c r="B51" s="11" t="n">
        <v>38790.29</v>
      </c>
      <c r="C51" s="11" t="n">
        <v>9676.610000000001</v>
      </c>
      <c r="F51" s="11" t="n">
        <v>29113.68</v>
      </c>
    </row>
    <row r="52">
      <c r="A52" s="2" t="inlineStr">
        <is>
          <t>Asset # 14-New Buildings (105 Units)</t>
        </is>
      </c>
      <c r="B52" s="11" t="n">
        <v>259991.11</v>
      </c>
      <c r="C52" s="11" t="n">
        <v>64857.26</v>
      </c>
      <c r="F52" s="11" t="n">
        <v>195133.85</v>
      </c>
    </row>
    <row r="53">
      <c r="A53" s="2" t="inlineStr">
        <is>
          <t>Asset # 111-Building Imp(Post Casualty Loss Basis)</t>
        </is>
      </c>
      <c r="B53" s="11" t="n">
        <v>1817.72</v>
      </c>
      <c r="C53" s="11" t="n">
        <v>453.45</v>
      </c>
      <c r="F53" s="11" t="n">
        <v>1364.27</v>
      </c>
    </row>
    <row r="54">
      <c r="A54" s="2" t="inlineStr">
        <is>
          <t>Asset # 2-Land Improvements</t>
        </is>
      </c>
      <c r="B54" s="11" t="n">
        <v>9891.01</v>
      </c>
      <c r="C54" s="11" t="n">
        <v>2467.41</v>
      </c>
      <c r="F54" s="11" t="n">
        <v>7423.6</v>
      </c>
    </row>
    <row r="55">
      <c r="A55" s="2" t="inlineStr">
        <is>
          <t>Asset # 13-New Equipment (16 Units)</t>
        </is>
      </c>
      <c r="B55" s="11" t="n">
        <v>8514.93</v>
      </c>
      <c r="C55" s="11" t="n">
        <v>2124.13</v>
      </c>
      <c r="F55" s="11" t="n">
        <v>6390.8</v>
      </c>
    </row>
    <row r="56">
      <c r="A56" s="2" t="inlineStr">
        <is>
          <t>Asset # 15-New Equipment (105 Units)</t>
        </is>
      </c>
      <c r="B56" s="11" t="n">
        <v>57071.24</v>
      </c>
      <c r="C56" s="11" t="n">
        <v>14236.95</v>
      </c>
      <c r="F56" s="11" t="n">
        <v>42834.29</v>
      </c>
    </row>
    <row r="57">
      <c r="A57" s="3" t="inlineStr">
        <is>
          <t>Total Allocation:</t>
        </is>
      </c>
      <c r="B57" s="12" t="n">
        <v>448401.53</v>
      </c>
      <c r="C57" s="12" t="n">
        <v>111858.03</v>
      </c>
      <c r="F57" s="12" t="n">
        <v>336543.4999999999</v>
      </c>
    </row>
    <row r="59">
      <c r="A59" s="1" t="inlineStr">
        <is>
          <t>End Depreciation Reconciliation</t>
        </is>
      </c>
    </row>
    <row r="60">
      <c r="A60" s="2" t="inlineStr">
        <is>
          <t>Before Cost Segregation (As Previously Filed)</t>
        </is>
      </c>
      <c r="B60" s="4" t="n">
        <v>36981.64</v>
      </c>
    </row>
    <row r="61">
      <c r="A61" s="2" t="inlineStr">
        <is>
          <t>After Cost Segregation (Corrected)</t>
        </is>
      </c>
      <c r="B61" s="6" t="n">
        <v>133540.05</v>
      </c>
    </row>
    <row r="62">
      <c r="A62" s="7" t="inlineStr">
        <is>
          <t>Section 481(a) Adjustment</t>
        </is>
      </c>
      <c r="B62" s="14" t="n">
        <v>-96558.41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Building 13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Building 13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31452.73</v>
      </c>
      <c r="C16" s="11" t="n">
        <v>31452.73</v>
      </c>
    </row>
    <row r="17">
      <c r="A17" s="2" t="inlineStr">
        <is>
          <t>Moldings</t>
        </is>
      </c>
      <c r="B17" s="11" t="n">
        <v>8394.17</v>
      </c>
      <c r="C17" s="11" t="n">
        <v>8394.17</v>
      </c>
    </row>
    <row r="18">
      <c r="A18" s="2" t="inlineStr">
        <is>
          <t>Flooring - Vinyl Plank</t>
        </is>
      </c>
      <c r="B18" s="11" t="n">
        <v>32815.9</v>
      </c>
      <c r="C18" s="11" t="n">
        <v>32815.9</v>
      </c>
    </row>
    <row r="19">
      <c r="A19" s="2" t="inlineStr">
        <is>
          <t>Window Treatments</t>
        </is>
      </c>
      <c r="B19" s="11" t="n">
        <v>2648.72</v>
      </c>
      <c r="C19" s="11" t="n">
        <v>2648.72</v>
      </c>
    </row>
    <row r="20">
      <c r="A20" s="2" t="inlineStr">
        <is>
          <t>Building Signage</t>
        </is>
      </c>
      <c r="B20" s="11" t="n">
        <v>394.4</v>
      </c>
      <c r="C20" s="11" t="n">
        <v>394.4</v>
      </c>
    </row>
    <row r="21">
      <c r="A21" s="2" t="inlineStr">
        <is>
          <t>Specialty Electrical - Appliances</t>
        </is>
      </c>
      <c r="B21" s="11" t="n">
        <v>5344.3</v>
      </c>
      <c r="C21" s="11" t="n">
        <v>5344.3</v>
      </c>
    </row>
    <row r="22">
      <c r="A22" s="2" t="inlineStr">
        <is>
          <t>Communication / Data</t>
        </is>
      </c>
      <c r="B22" s="11" t="n">
        <v>2858.97</v>
      </c>
      <c r="C22" s="11" t="n">
        <v>2858.97</v>
      </c>
    </row>
    <row r="23">
      <c r="A23" s="2" t="inlineStr">
        <is>
          <t>Specialty Plumbing - Kitchen Sinks</t>
        </is>
      </c>
      <c r="B23" s="11" t="n">
        <v>9687.68</v>
      </c>
      <c r="C23" s="11" t="n">
        <v>9687.68</v>
      </c>
    </row>
    <row r="24">
      <c r="A24" s="2" t="inlineStr">
        <is>
          <t>Security / Exterior Lighting</t>
        </is>
      </c>
      <c r="B24" s="11" t="n">
        <v>2139.23</v>
      </c>
      <c r="C24" s="11" t="n">
        <v>2139.23</v>
      </c>
    </row>
    <row r="25">
      <c r="A25" s="2" t="inlineStr">
        <is>
          <t>Canopies / Awnings</t>
        </is>
      </c>
      <c r="B25" s="11" t="n">
        <v>605.6900000000001</v>
      </c>
      <c r="C25" s="11" t="n">
        <v>605.6900000000001</v>
      </c>
    </row>
    <row r="26">
      <c r="A26" s="2" t="inlineStr">
        <is>
          <t>Appliances</t>
        </is>
      </c>
      <c r="B26" s="11" t="n">
        <v>8326.940000000001</v>
      </c>
      <c r="C26" s="11" t="n">
        <v>8326.940000000001</v>
      </c>
    </row>
    <row r="28">
      <c r="A28" s="10" t="inlineStr">
        <is>
          <t>Building Structure</t>
        </is>
      </c>
    </row>
    <row r="29">
      <c r="A29" s="2" t="inlineStr">
        <is>
          <t>Roofing Systems</t>
        </is>
      </c>
      <c r="B29" s="11" t="n">
        <v>16256.26</v>
      </c>
      <c r="F29" s="11" t="n">
        <v>16256.26</v>
      </c>
    </row>
    <row r="30">
      <c r="A30" s="2" t="inlineStr">
        <is>
          <t>Foundations</t>
        </is>
      </c>
      <c r="B30" s="11" t="n">
        <v>21691.79</v>
      </c>
      <c r="F30" s="11" t="n">
        <v>21691.79</v>
      </c>
    </row>
    <row r="31">
      <c r="A31" s="2" t="inlineStr">
        <is>
          <t>HVAC</t>
        </is>
      </c>
      <c r="B31" s="11" t="n">
        <v>31892.38</v>
      </c>
      <c r="F31" s="11" t="n">
        <v>31892.38</v>
      </c>
    </row>
    <row r="32">
      <c r="A32" s="2" t="inlineStr">
        <is>
          <t>Electrical</t>
        </is>
      </c>
      <c r="B32" s="11" t="n">
        <v>29436.62</v>
      </c>
      <c r="F32" s="11" t="n">
        <v>29436.62</v>
      </c>
    </row>
    <row r="33">
      <c r="A33" s="2" t="inlineStr">
        <is>
          <t>Plumbing</t>
        </is>
      </c>
      <c r="B33" s="11" t="n">
        <v>27723.88</v>
      </c>
      <c r="F33" s="11" t="n">
        <v>27723.88</v>
      </c>
    </row>
    <row r="34">
      <c r="A34" s="2" t="inlineStr">
        <is>
          <t>Fire Protection &amp; Alarm</t>
        </is>
      </c>
      <c r="B34" s="11" t="n">
        <v>1864.29</v>
      </c>
      <c r="F34" s="11" t="n">
        <v>1864.29</v>
      </c>
    </row>
    <row r="35">
      <c r="A35" s="2" t="inlineStr">
        <is>
          <t>Exterior Façade / Building Skin</t>
        </is>
      </c>
      <c r="B35" s="11" t="n">
        <v>21222.77</v>
      </c>
      <c r="F35" s="11" t="n">
        <v>21222.77</v>
      </c>
    </row>
    <row r="36">
      <c r="A36" s="2" t="inlineStr">
        <is>
          <t>Doors &amp; Frames</t>
        </is>
      </c>
      <c r="B36" s="11" t="n">
        <v>16292.68</v>
      </c>
      <c r="F36" s="11" t="n">
        <v>16292.68</v>
      </c>
    </row>
    <row r="37">
      <c r="A37" s="2" t="inlineStr">
        <is>
          <t>Windows</t>
        </is>
      </c>
      <c r="B37" s="11" t="n">
        <v>12258.17</v>
      </c>
      <c r="F37" s="11" t="n">
        <v>12258.17</v>
      </c>
    </row>
    <row r="38">
      <c r="A38" s="2" t="inlineStr">
        <is>
          <t>Ceiling Systems</t>
        </is>
      </c>
      <c r="B38" s="11" t="n">
        <v>14614.91</v>
      </c>
      <c r="F38" s="11" t="n">
        <v>14614.91</v>
      </c>
    </row>
    <row r="39">
      <c r="A39" s="2" t="inlineStr">
        <is>
          <t>Interior Framing / Partitions</t>
        </is>
      </c>
      <c r="B39" s="11" t="n">
        <v>38542.73</v>
      </c>
      <c r="F39" s="11" t="n">
        <v>38542.73</v>
      </c>
    </row>
    <row r="40">
      <c r="A40" s="2" t="inlineStr">
        <is>
          <t>Painting</t>
        </is>
      </c>
      <c r="B40" s="11" t="n">
        <v>15289.77</v>
      </c>
      <c r="F40" s="11" t="n">
        <v>15289.77</v>
      </c>
    </row>
    <row r="41">
      <c r="A41" s="2" t="inlineStr">
        <is>
          <t>Structural Framing</t>
        </is>
      </c>
      <c r="B41" s="11" t="n">
        <v>37866.59</v>
      </c>
      <c r="F41" s="11" t="n">
        <v>37866.59</v>
      </c>
    </row>
    <row r="42">
      <c r="A42" s="2" t="inlineStr">
        <is>
          <t>Stairs / Balconies</t>
        </is>
      </c>
      <c r="B42" s="11" t="n">
        <v>3514.89</v>
      </c>
      <c r="F42" s="11" t="n">
        <v>3514.89</v>
      </c>
    </row>
    <row r="43">
      <c r="A43" s="2" t="inlineStr">
        <is>
          <t>Bathroom Accessories</t>
        </is>
      </c>
      <c r="B43" s="11" t="n">
        <v>3740.86</v>
      </c>
      <c r="F43" s="11" t="n">
        <v>3740.86</v>
      </c>
    </row>
    <row r="44">
      <c r="A44" s="2" t="inlineStr">
        <is>
          <t>Cabinets / Millwork - Restrooms</t>
        </is>
      </c>
      <c r="B44" s="11" t="n">
        <v>1880.89</v>
      </c>
      <c r="F44" s="11" t="n">
        <v>1880.89</v>
      </c>
    </row>
    <row r="46">
      <c r="A46" s="3" t="inlineStr">
        <is>
          <t>Total Building Cost</t>
        </is>
      </c>
      <c r="B46" s="12" t="n">
        <v>398758.21</v>
      </c>
      <c r="C46" s="12" t="n">
        <v>104668.73</v>
      </c>
      <c r="F46" s="12" t="n">
        <v>294089.48</v>
      </c>
    </row>
    <row r="47">
      <c r="A47" s="2" t="inlineStr">
        <is>
          <t>% of Building Cost</t>
        </is>
      </c>
      <c r="C47" s="13" t="n">
        <v>0.262</v>
      </c>
      <c r="F47" s="13" t="n">
        <v>0.738</v>
      </c>
    </row>
    <row r="49">
      <c r="A49" s="1" t="inlineStr">
        <is>
          <t>Asset Allocation:</t>
        </is>
      </c>
    </row>
    <row r="50">
      <c r="A50" s="2" t="inlineStr">
        <is>
          <t>Asset # 10-Building (Post Casualty Loss Basis)</t>
        </is>
      </c>
      <c r="B50" s="11" t="n">
        <v>64317.98</v>
      </c>
      <c r="C50" s="11" t="n">
        <v>16882.61</v>
      </c>
      <c r="F50" s="11" t="n">
        <v>47435.37</v>
      </c>
    </row>
    <row r="51">
      <c r="A51" s="2" t="inlineStr">
        <is>
          <t>Asset # 12-New Building (16 Units)</t>
        </is>
      </c>
      <c r="B51" s="11" t="n">
        <v>34495.74</v>
      </c>
      <c r="C51" s="11" t="n">
        <v>9054.67</v>
      </c>
      <c r="F51" s="11" t="n">
        <v>25441.07</v>
      </c>
    </row>
    <row r="52">
      <c r="A52" s="2" t="inlineStr">
        <is>
          <t>Asset # 14-New Buildings (105 Units)</t>
        </is>
      </c>
      <c r="B52" s="11" t="n">
        <v>231207.03</v>
      </c>
      <c r="C52" s="11" t="n">
        <v>60688.77</v>
      </c>
      <c r="F52" s="11" t="n">
        <v>170518.26</v>
      </c>
    </row>
    <row r="53">
      <c r="A53" s="2" t="inlineStr">
        <is>
          <t>Asset # 111-Building Imp(Post Casualty Loss Basis)</t>
        </is>
      </c>
      <c r="B53" s="11" t="n">
        <v>1616.48</v>
      </c>
      <c r="C53" s="11" t="n">
        <v>424.3</v>
      </c>
      <c r="F53" s="11" t="n">
        <v>1192.18</v>
      </c>
    </row>
    <row r="54">
      <c r="A54" s="2" t="inlineStr">
        <is>
          <t>Asset # 2-Land Improvements</t>
        </is>
      </c>
      <c r="B54" s="11" t="n">
        <v>8795.969999999999</v>
      </c>
      <c r="C54" s="11" t="n">
        <v>2308.83</v>
      </c>
      <c r="F54" s="11" t="n">
        <v>6487.139999999999</v>
      </c>
    </row>
    <row r="55">
      <c r="A55" s="2" t="inlineStr">
        <is>
          <t>Asset # 13-New Equipment (16 Units)</t>
        </is>
      </c>
      <c r="B55" s="11" t="n">
        <v>7572.23</v>
      </c>
      <c r="C55" s="11" t="n">
        <v>1987.61</v>
      </c>
      <c r="F55" s="11" t="n">
        <v>5584.62</v>
      </c>
    </row>
    <row r="56">
      <c r="A56" s="2" t="inlineStr">
        <is>
          <t>Asset # 15-New Equipment (105 Units)</t>
        </is>
      </c>
      <c r="B56" s="11" t="n">
        <v>50752.78</v>
      </c>
      <c r="C56" s="11" t="n">
        <v>13321.94</v>
      </c>
      <c r="F56" s="11" t="n">
        <v>37430.84</v>
      </c>
    </row>
    <row r="57">
      <c r="A57" s="3" t="inlineStr">
        <is>
          <t>Total Allocation:</t>
        </is>
      </c>
      <c r="B57" s="12" t="n">
        <v>398758.21</v>
      </c>
      <c r="C57" s="12" t="n">
        <v>104668.73</v>
      </c>
      <c r="F57" s="12" t="n">
        <v>294089.48</v>
      </c>
    </row>
    <row r="59">
      <c r="A59" s="1" t="inlineStr">
        <is>
          <t>End Depreciation Reconciliation</t>
        </is>
      </c>
    </row>
    <row r="60">
      <c r="A60" s="2" t="inlineStr">
        <is>
          <t>Before Cost Segregation (As Previously Filed)</t>
        </is>
      </c>
      <c r="B60" s="4" t="n">
        <v>32887.35</v>
      </c>
    </row>
    <row r="61">
      <c r="A61" s="2" t="inlineStr">
        <is>
          <t>After Cost Segregation (Corrected)</t>
        </is>
      </c>
      <c r="B61" s="6" t="n">
        <v>123145.81</v>
      </c>
    </row>
    <row r="62">
      <c r="A62" s="7" t="inlineStr">
        <is>
          <t>Section 481(a) Adjustment</t>
        </is>
      </c>
      <c r="B62" s="14" t="n">
        <v>-90258.46000000001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Building 14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Building 14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31452.73</v>
      </c>
      <c r="C16" s="11" t="n">
        <v>31452.73</v>
      </c>
    </row>
    <row r="17">
      <c r="A17" s="2" t="inlineStr">
        <is>
          <t>Moldings</t>
        </is>
      </c>
      <c r="B17" s="11" t="n">
        <v>8975.5</v>
      </c>
      <c r="C17" s="11" t="n">
        <v>8975.5</v>
      </c>
    </row>
    <row r="18">
      <c r="A18" s="2" t="inlineStr">
        <is>
          <t>Flooring - Vinyl Plank</t>
        </is>
      </c>
      <c r="B18" s="11" t="n">
        <v>38285.2</v>
      </c>
      <c r="C18" s="11" t="n">
        <v>38285.2</v>
      </c>
    </row>
    <row r="19">
      <c r="A19" s="2" t="inlineStr">
        <is>
          <t>Window Treatments</t>
        </is>
      </c>
      <c r="B19" s="11" t="n">
        <v>3310.89</v>
      </c>
      <c r="C19" s="11" t="n">
        <v>3310.89</v>
      </c>
    </row>
    <row r="20">
      <c r="A20" s="2" t="inlineStr">
        <is>
          <t>Building Signage</t>
        </is>
      </c>
      <c r="B20" s="11" t="n">
        <v>394.4</v>
      </c>
      <c r="C20" s="11" t="n">
        <v>394.4</v>
      </c>
    </row>
    <row r="21">
      <c r="A21" s="2" t="inlineStr">
        <is>
          <t>Specialty Electrical - Appliances</t>
        </is>
      </c>
      <c r="B21" s="11" t="n">
        <v>5344.3</v>
      </c>
      <c r="C21" s="11" t="n">
        <v>5344.3</v>
      </c>
    </row>
    <row r="22">
      <c r="A22" s="2" t="inlineStr">
        <is>
          <t>Communication / Data</t>
        </is>
      </c>
      <c r="B22" s="11" t="n">
        <v>3335.47</v>
      </c>
      <c r="C22" s="11" t="n">
        <v>3335.47</v>
      </c>
    </row>
    <row r="23">
      <c r="A23" s="2" t="inlineStr">
        <is>
          <t>Specialty Plumbing - Kitchen Sinks</t>
        </is>
      </c>
      <c r="B23" s="11" t="n">
        <v>9687.68</v>
      </c>
      <c r="C23" s="11" t="n">
        <v>9687.68</v>
      </c>
    </row>
    <row r="24">
      <c r="A24" s="2" t="inlineStr">
        <is>
          <t>Security / Exterior Lighting</t>
        </is>
      </c>
      <c r="B24" s="11" t="n">
        <v>2139.23</v>
      </c>
      <c r="C24" s="11" t="n">
        <v>2139.23</v>
      </c>
    </row>
    <row r="25">
      <c r="A25" s="2" t="inlineStr">
        <is>
          <t>Canopies / Awnings</t>
        </is>
      </c>
      <c r="B25" s="11" t="n">
        <v>605.6900000000001</v>
      </c>
      <c r="C25" s="11" t="n">
        <v>605.6900000000001</v>
      </c>
    </row>
    <row r="26">
      <c r="A26" s="2" t="inlineStr">
        <is>
          <t>Appliances</t>
        </is>
      </c>
      <c r="B26" s="11" t="n">
        <v>8326.940000000001</v>
      </c>
      <c r="C26" s="11" t="n">
        <v>8326.940000000001</v>
      </c>
    </row>
    <row r="28">
      <c r="A28" s="10" t="inlineStr">
        <is>
          <t>Building Structure</t>
        </is>
      </c>
    </row>
    <row r="29">
      <c r="A29" s="2" t="inlineStr">
        <is>
          <t>Roofing Systems</t>
        </is>
      </c>
      <c r="B29" s="11" t="n">
        <v>18787.87</v>
      </c>
      <c r="F29" s="11" t="n">
        <v>18787.87</v>
      </c>
    </row>
    <row r="30">
      <c r="A30" s="2" t="inlineStr">
        <is>
          <t>Foundations</t>
        </is>
      </c>
      <c r="B30" s="11" t="n">
        <v>25094.55</v>
      </c>
      <c r="F30" s="11" t="n">
        <v>25094.55</v>
      </c>
    </row>
    <row r="31">
      <c r="A31" s="2" t="inlineStr">
        <is>
          <t>HVAC</t>
        </is>
      </c>
      <c r="B31" s="11" t="n">
        <v>37207.78</v>
      </c>
      <c r="F31" s="11" t="n">
        <v>37207.78</v>
      </c>
    </row>
    <row r="32">
      <c r="A32" s="2" t="inlineStr">
        <is>
          <t>Electrical</t>
        </is>
      </c>
      <c r="B32" s="11" t="n">
        <v>35233.43</v>
      </c>
      <c r="F32" s="11" t="n">
        <v>35233.43</v>
      </c>
    </row>
    <row r="33">
      <c r="A33" s="2" t="inlineStr">
        <is>
          <t>Plumbing</t>
        </is>
      </c>
      <c r="B33" s="11" t="n">
        <v>32344.52</v>
      </c>
      <c r="F33" s="11" t="n">
        <v>32344.52</v>
      </c>
    </row>
    <row r="34">
      <c r="A34" s="2" t="inlineStr">
        <is>
          <t>Fire Protection &amp; Alarm</t>
        </is>
      </c>
      <c r="B34" s="11" t="n">
        <v>2485.72</v>
      </c>
      <c r="F34" s="11" t="n">
        <v>2485.72</v>
      </c>
    </row>
    <row r="35">
      <c r="A35" s="2" t="inlineStr">
        <is>
          <t>Exterior Façade / Building Skin</t>
        </is>
      </c>
      <c r="B35" s="11" t="n">
        <v>24546.88</v>
      </c>
      <c r="F35" s="11" t="n">
        <v>24546.88</v>
      </c>
    </row>
    <row r="36">
      <c r="A36" s="2" t="inlineStr">
        <is>
          <t>Doors &amp; Frames</t>
        </is>
      </c>
      <c r="B36" s="11" t="n">
        <v>18966.92</v>
      </c>
      <c r="F36" s="11" t="n">
        <v>18966.92</v>
      </c>
    </row>
    <row r="37">
      <c r="A37" s="2" t="inlineStr">
        <is>
          <t>Windows</t>
        </is>
      </c>
      <c r="B37" s="11" t="n">
        <v>15176.79</v>
      </c>
      <c r="F37" s="11" t="n">
        <v>15176.79</v>
      </c>
    </row>
    <row r="38">
      <c r="A38" s="2" t="inlineStr">
        <is>
          <t>Ceiling Systems</t>
        </is>
      </c>
      <c r="B38" s="11" t="n">
        <v>17050.73</v>
      </c>
      <c r="F38" s="11" t="n">
        <v>17050.73</v>
      </c>
    </row>
    <row r="39">
      <c r="A39" s="2" t="inlineStr">
        <is>
          <t>Interior Framing / Partitions</t>
        </is>
      </c>
      <c r="B39" s="11" t="n">
        <v>40897.64999999999</v>
      </c>
      <c r="F39" s="11" t="n">
        <v>40897.64999999999</v>
      </c>
    </row>
    <row r="40">
      <c r="A40" s="2" t="inlineStr">
        <is>
          <t>Painting</t>
        </is>
      </c>
      <c r="B40" s="11" t="n">
        <v>16588.72</v>
      </c>
      <c r="F40" s="11" t="n">
        <v>16588.72</v>
      </c>
    </row>
    <row r="41">
      <c r="A41" s="2" t="inlineStr">
        <is>
          <t>Structural Framing</t>
        </is>
      </c>
      <c r="B41" s="11" t="n">
        <v>42760.8</v>
      </c>
      <c r="F41" s="11" t="n">
        <v>42760.8</v>
      </c>
    </row>
    <row r="42">
      <c r="A42" s="2" t="inlineStr">
        <is>
          <t>Stairs / Balconies</t>
        </is>
      </c>
      <c r="B42" s="11" t="n">
        <v>3514.89</v>
      </c>
      <c r="F42" s="11" t="n">
        <v>3514.89</v>
      </c>
    </row>
    <row r="43">
      <c r="A43" s="2" t="inlineStr">
        <is>
          <t>Bathroom Accessories</t>
        </is>
      </c>
      <c r="B43" s="11" t="n">
        <v>3740.86</v>
      </c>
      <c r="F43" s="11" t="n">
        <v>3740.86</v>
      </c>
    </row>
    <row r="44">
      <c r="A44" s="2" t="inlineStr">
        <is>
          <t>Cabinets / Millwork - Restrooms</t>
        </is>
      </c>
      <c r="B44" s="11" t="n">
        <v>1880.89</v>
      </c>
      <c r="F44" s="11" t="n">
        <v>1880.89</v>
      </c>
    </row>
    <row r="46">
      <c r="A46" s="3" t="inlineStr">
        <is>
          <t>Total Building Cost</t>
        </is>
      </c>
      <c r="B46" s="12" t="n">
        <v>448137.0299999999</v>
      </c>
      <c r="C46" s="12" t="n">
        <v>111858.03</v>
      </c>
      <c r="F46" s="12" t="n">
        <v>336278.9999999999</v>
      </c>
    </row>
    <row r="47">
      <c r="A47" s="2" t="inlineStr">
        <is>
          <t>% of Building Cost</t>
        </is>
      </c>
      <c r="C47" s="13" t="n">
        <v>0.25</v>
      </c>
      <c r="F47" s="13" t="n">
        <v>0.75</v>
      </c>
    </row>
    <row r="49">
      <c r="A49" s="1" t="inlineStr">
        <is>
          <t>Asset Allocation:</t>
        </is>
      </c>
    </row>
    <row r="50">
      <c r="A50" s="2" t="inlineStr">
        <is>
          <t>Asset # 10-Building (Post Casualty Loss Basis)</t>
        </is>
      </c>
      <c r="B50" s="11" t="n">
        <v>72282.57000000001</v>
      </c>
      <c r="C50" s="11" t="n">
        <v>18042.22</v>
      </c>
      <c r="F50" s="11" t="n">
        <v>54240.35000000001</v>
      </c>
    </row>
    <row r="51">
      <c r="A51" s="2" t="inlineStr">
        <is>
          <t>Asset # 12-New Building (16 Units)</t>
        </is>
      </c>
      <c r="B51" s="11" t="n">
        <v>38767.41</v>
      </c>
      <c r="C51" s="11" t="n">
        <v>9676.610000000001</v>
      </c>
      <c r="F51" s="11" t="n">
        <v>29090.8</v>
      </c>
    </row>
    <row r="52">
      <c r="A52" s="2" t="inlineStr">
        <is>
          <t>Asset # 14-New Buildings (105 Units)</t>
        </is>
      </c>
      <c r="B52" s="11" t="n">
        <v>259837.74</v>
      </c>
      <c r="C52" s="11" t="n">
        <v>64857.26</v>
      </c>
      <c r="F52" s="11" t="n">
        <v>194980.48</v>
      </c>
    </row>
    <row r="53">
      <c r="A53" s="2" t="inlineStr">
        <is>
          <t>Asset # 111-Building Imp(Post Casualty Loss Basis)</t>
        </is>
      </c>
      <c r="B53" s="11" t="n">
        <v>1816.65</v>
      </c>
      <c r="C53" s="11" t="n">
        <v>453.45</v>
      </c>
      <c r="F53" s="11" t="n">
        <v>1363.2</v>
      </c>
    </row>
    <row r="54">
      <c r="A54" s="2" t="inlineStr">
        <is>
          <t>Asset # 2-Land Improvements</t>
        </is>
      </c>
      <c r="B54" s="11" t="n">
        <v>9885.18</v>
      </c>
      <c r="C54" s="11" t="n">
        <v>2467.41</v>
      </c>
      <c r="F54" s="11" t="n">
        <v>7417.77</v>
      </c>
    </row>
    <row r="55">
      <c r="A55" s="2" t="inlineStr">
        <is>
          <t>Asset # 13-New Equipment (16 Units)</t>
        </is>
      </c>
      <c r="B55" s="11" t="n">
        <v>8509.91</v>
      </c>
      <c r="C55" s="11" t="n">
        <v>2124.13</v>
      </c>
      <c r="F55" s="11" t="n">
        <v>6385.78</v>
      </c>
    </row>
    <row r="56">
      <c r="A56" s="2" t="inlineStr">
        <is>
          <t>Asset # 15-New Equipment (105 Units)</t>
        </is>
      </c>
      <c r="B56" s="11" t="n">
        <v>57037.57</v>
      </c>
      <c r="C56" s="11" t="n">
        <v>14236.95</v>
      </c>
      <c r="F56" s="11" t="n">
        <v>42800.62</v>
      </c>
    </row>
    <row r="57">
      <c r="A57" s="3" t="inlineStr">
        <is>
          <t>Total Allocation:</t>
        </is>
      </c>
      <c r="B57" s="12" t="n">
        <v>448137.03</v>
      </c>
      <c r="C57" s="12" t="n">
        <v>111858.03</v>
      </c>
      <c r="F57" s="12" t="n">
        <v>336279.0000000001</v>
      </c>
    </row>
    <row r="59">
      <c r="A59" s="1" t="inlineStr">
        <is>
          <t>End Depreciation Reconciliation</t>
        </is>
      </c>
    </row>
    <row r="60">
      <c r="A60" s="2" t="inlineStr">
        <is>
          <t>Before Cost Segregation (As Previously Filed)</t>
        </is>
      </c>
      <c r="B60" s="4" t="n">
        <v>36959.83</v>
      </c>
    </row>
    <row r="61">
      <c r="A61" s="2" t="inlineStr">
        <is>
          <t>After Cost Segregation (Corrected)</t>
        </is>
      </c>
      <c r="B61" s="6" t="n">
        <v>133517.02</v>
      </c>
    </row>
    <row r="62">
      <c r="A62" s="7" t="inlineStr">
        <is>
          <t>Section 481(a) Adjustment</t>
        </is>
      </c>
      <c r="B62" s="14" t="n">
        <v>-96557.19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Building 15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Building 15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31452.73</v>
      </c>
      <c r="C16" s="11" t="n">
        <v>31452.73</v>
      </c>
    </row>
    <row r="17">
      <c r="A17" s="2" t="inlineStr">
        <is>
          <t>Moldings</t>
        </is>
      </c>
      <c r="B17" s="11" t="n">
        <v>8394.17</v>
      </c>
      <c r="C17" s="11" t="n">
        <v>8394.17</v>
      </c>
    </row>
    <row r="18">
      <c r="A18" s="2" t="inlineStr">
        <is>
          <t>Flooring - Vinyl Plank</t>
        </is>
      </c>
      <c r="B18" s="11" t="n">
        <v>32815.89</v>
      </c>
      <c r="C18" s="11" t="n">
        <v>32815.89</v>
      </c>
    </row>
    <row r="19">
      <c r="A19" s="2" t="inlineStr">
        <is>
          <t>Window Treatments</t>
        </is>
      </c>
      <c r="B19" s="11" t="n">
        <v>2648.72</v>
      </c>
      <c r="C19" s="11" t="n">
        <v>2648.72</v>
      </c>
    </row>
    <row r="20">
      <c r="A20" s="2" t="inlineStr">
        <is>
          <t>Building Signage</t>
        </is>
      </c>
      <c r="B20" s="11" t="n">
        <v>394.4</v>
      </c>
      <c r="C20" s="11" t="n">
        <v>394.4</v>
      </c>
    </row>
    <row r="21">
      <c r="A21" s="2" t="inlineStr">
        <is>
          <t>Specialty Electrical - Appliances</t>
        </is>
      </c>
      <c r="B21" s="11" t="n">
        <v>5344.3</v>
      </c>
      <c r="C21" s="11" t="n">
        <v>5344.3</v>
      </c>
    </row>
    <row r="22">
      <c r="A22" s="2" t="inlineStr">
        <is>
          <t>Communication / Data</t>
        </is>
      </c>
      <c r="B22" s="11" t="n">
        <v>2858.97</v>
      </c>
      <c r="C22" s="11" t="n">
        <v>2858.97</v>
      </c>
    </row>
    <row r="23">
      <c r="A23" s="2" t="inlineStr">
        <is>
          <t>Specialty Plumbing - Kitchen Sinks</t>
        </is>
      </c>
      <c r="B23" s="11" t="n">
        <v>9687.68</v>
      </c>
      <c r="C23" s="11" t="n">
        <v>9687.68</v>
      </c>
    </row>
    <row r="24">
      <c r="A24" s="2" t="inlineStr">
        <is>
          <t>Security / Exterior Lighting</t>
        </is>
      </c>
      <c r="B24" s="11" t="n">
        <v>2139.23</v>
      </c>
      <c r="C24" s="11" t="n">
        <v>2139.23</v>
      </c>
    </row>
    <row r="25">
      <c r="A25" s="2" t="inlineStr">
        <is>
          <t>Canopies / Awnings</t>
        </is>
      </c>
      <c r="B25" s="11" t="n">
        <v>605.6900000000001</v>
      </c>
      <c r="C25" s="11" t="n">
        <v>605.6900000000001</v>
      </c>
    </row>
    <row r="26">
      <c r="A26" s="2" t="inlineStr">
        <is>
          <t>Appliances</t>
        </is>
      </c>
      <c r="B26" s="11" t="n">
        <v>8326.940000000001</v>
      </c>
      <c r="C26" s="11" t="n">
        <v>8326.940000000001</v>
      </c>
    </row>
    <row r="28">
      <c r="A28" s="10" t="inlineStr">
        <is>
          <t>Building Structure</t>
        </is>
      </c>
    </row>
    <row r="29">
      <c r="A29" s="2" t="inlineStr">
        <is>
          <t>Roofing Systems</t>
        </is>
      </c>
      <c r="B29" s="11" t="n">
        <v>16256.27</v>
      </c>
      <c r="F29" s="11" t="n">
        <v>16256.27</v>
      </c>
    </row>
    <row r="30">
      <c r="A30" s="2" t="inlineStr">
        <is>
          <t>Foundations</t>
        </is>
      </c>
      <c r="B30" s="11" t="n">
        <v>21691.78</v>
      </c>
      <c r="F30" s="11" t="n">
        <v>21691.78</v>
      </c>
    </row>
    <row r="31">
      <c r="A31" s="2" t="inlineStr">
        <is>
          <t>HVAC</t>
        </is>
      </c>
      <c r="B31" s="11" t="n">
        <v>31892.38</v>
      </c>
      <c r="F31" s="11" t="n">
        <v>31892.38</v>
      </c>
    </row>
    <row r="32">
      <c r="A32" s="2" t="inlineStr">
        <is>
          <t>Electrical</t>
        </is>
      </c>
      <c r="B32" s="11" t="n">
        <v>29436.62</v>
      </c>
      <c r="F32" s="11" t="n">
        <v>29436.62</v>
      </c>
    </row>
    <row r="33">
      <c r="A33" s="2" t="inlineStr">
        <is>
          <t>Plumbing</t>
        </is>
      </c>
      <c r="B33" s="11" t="n">
        <v>27723.88</v>
      </c>
      <c r="F33" s="11" t="n">
        <v>27723.88</v>
      </c>
    </row>
    <row r="34">
      <c r="A34" s="2" t="inlineStr">
        <is>
          <t>Fire Protection &amp; Alarm</t>
        </is>
      </c>
      <c r="B34" s="11" t="n">
        <v>1864.29</v>
      </c>
      <c r="F34" s="11" t="n">
        <v>1864.29</v>
      </c>
    </row>
    <row r="35">
      <c r="A35" s="2" t="inlineStr">
        <is>
          <t>Exterior Façade / Building Skin</t>
        </is>
      </c>
      <c r="B35" s="11" t="n">
        <v>19256.3</v>
      </c>
      <c r="F35" s="11" t="n">
        <v>19256.3</v>
      </c>
    </row>
    <row r="36">
      <c r="A36" s="2" t="inlineStr">
        <is>
          <t>Doors &amp; Frames</t>
        </is>
      </c>
      <c r="B36" s="11" t="n">
        <v>16292.68</v>
      </c>
      <c r="F36" s="11" t="n">
        <v>16292.68</v>
      </c>
    </row>
    <row r="37">
      <c r="A37" s="2" t="inlineStr">
        <is>
          <t>Windows</t>
        </is>
      </c>
      <c r="B37" s="11" t="n">
        <v>12258.17</v>
      </c>
      <c r="F37" s="11" t="n">
        <v>12258.17</v>
      </c>
    </row>
    <row r="38">
      <c r="A38" s="2" t="inlineStr">
        <is>
          <t>Ceiling Systems</t>
        </is>
      </c>
      <c r="B38" s="11" t="n">
        <v>14614.91</v>
      </c>
      <c r="F38" s="11" t="n">
        <v>14614.91</v>
      </c>
    </row>
    <row r="39">
      <c r="A39" s="2" t="inlineStr">
        <is>
          <t>Interior Framing / Partitions</t>
        </is>
      </c>
      <c r="B39" s="11" t="n">
        <v>38542.73</v>
      </c>
      <c r="F39" s="11" t="n">
        <v>38542.73</v>
      </c>
    </row>
    <row r="40">
      <c r="A40" s="2" t="inlineStr">
        <is>
          <t>Painting</t>
        </is>
      </c>
      <c r="B40" s="11" t="n">
        <v>15196</v>
      </c>
      <c r="F40" s="11" t="n">
        <v>15196</v>
      </c>
    </row>
    <row r="41">
      <c r="A41" s="2" t="inlineStr">
        <is>
          <t>Structural Framing</t>
        </is>
      </c>
      <c r="B41" s="11" t="n">
        <v>37823.34</v>
      </c>
      <c r="F41" s="11" t="n">
        <v>37823.34</v>
      </c>
    </row>
    <row r="42">
      <c r="A42" s="2" t="inlineStr">
        <is>
          <t>Stairs / Balconies</t>
        </is>
      </c>
      <c r="B42" s="11" t="n">
        <v>3514.89</v>
      </c>
      <c r="F42" s="11" t="n">
        <v>3514.89</v>
      </c>
    </row>
    <row r="43">
      <c r="A43" s="2" t="inlineStr">
        <is>
          <t>Bathroom Accessories</t>
        </is>
      </c>
      <c r="B43" s="11" t="n">
        <v>3740.86</v>
      </c>
      <c r="F43" s="11" t="n">
        <v>3740.86</v>
      </c>
    </row>
    <row r="44">
      <c r="A44" s="2" t="inlineStr">
        <is>
          <t>Cabinets / Millwork - Restrooms</t>
        </is>
      </c>
      <c r="B44" s="11" t="n">
        <v>1880.89</v>
      </c>
      <c r="F44" s="11" t="n">
        <v>1880.89</v>
      </c>
    </row>
    <row r="46">
      <c r="A46" s="3" t="inlineStr">
        <is>
          <t>Total Building Cost</t>
        </is>
      </c>
      <c r="B46" s="12" t="n">
        <v>396654.71</v>
      </c>
      <c r="C46" s="12" t="n">
        <v>104668.72</v>
      </c>
      <c r="F46" s="12" t="n">
        <v>291985.99</v>
      </c>
    </row>
    <row r="47">
      <c r="A47" s="2" t="inlineStr">
        <is>
          <t>% of Building Cost</t>
        </is>
      </c>
      <c r="C47" s="13" t="n">
        <v>0.264</v>
      </c>
      <c r="F47" s="13" t="n">
        <v>0.736</v>
      </c>
    </row>
    <row r="49">
      <c r="A49" s="1" t="inlineStr">
        <is>
          <t>Asset Allocation:</t>
        </is>
      </c>
    </row>
    <row r="50">
      <c r="A50" s="2" t="inlineStr">
        <is>
          <t>Asset # 10-Building (Post Casualty Loss Basis)</t>
        </is>
      </c>
      <c r="B50" s="11" t="n">
        <v>63978.69</v>
      </c>
      <c r="C50" s="11" t="n">
        <v>16882.61</v>
      </c>
      <c r="F50" s="11" t="n">
        <v>47096.08</v>
      </c>
    </row>
    <row r="51">
      <c r="A51" s="2" t="inlineStr">
        <is>
          <t>Asset # 12-New Building (16 Units)</t>
        </is>
      </c>
      <c r="B51" s="11" t="n">
        <v>34313.78</v>
      </c>
      <c r="C51" s="11" t="n">
        <v>9054.67</v>
      </c>
      <c r="F51" s="11" t="n">
        <v>25259.11</v>
      </c>
    </row>
    <row r="52">
      <c r="A52" s="2" t="inlineStr">
        <is>
          <t>Asset # 14-New Buildings (105 Units)</t>
        </is>
      </c>
      <c r="B52" s="11" t="n">
        <v>229987.39</v>
      </c>
      <c r="C52" s="11" t="n">
        <v>60688.77</v>
      </c>
      <c r="F52" s="11" t="n">
        <v>169298.62</v>
      </c>
    </row>
    <row r="53">
      <c r="A53" s="2" t="inlineStr">
        <is>
          <t>Asset # 111-Building Imp(Post Casualty Loss Basis)</t>
        </is>
      </c>
      <c r="B53" s="11" t="n">
        <v>1607.95</v>
      </c>
      <c r="C53" s="11" t="n">
        <v>424.3</v>
      </c>
      <c r="F53" s="11" t="n">
        <v>1183.65</v>
      </c>
    </row>
    <row r="54">
      <c r="A54" s="2" t="inlineStr">
        <is>
          <t>Asset # 2-Land Improvements</t>
        </is>
      </c>
      <c r="B54" s="11" t="n">
        <v>8749.57</v>
      </c>
      <c r="C54" s="11" t="n">
        <v>2308.82</v>
      </c>
      <c r="F54" s="11" t="n">
        <v>6440.75</v>
      </c>
    </row>
    <row r="55">
      <c r="A55" s="2" t="inlineStr">
        <is>
          <t>Asset # 13-New Equipment (16 Units)</t>
        </is>
      </c>
      <c r="B55" s="11" t="n">
        <v>7532.28</v>
      </c>
      <c r="C55" s="11" t="n">
        <v>1987.61</v>
      </c>
      <c r="F55" s="11" t="n">
        <v>5544.67</v>
      </c>
    </row>
    <row r="56">
      <c r="A56" s="2" t="inlineStr">
        <is>
          <t>Asset # 15-New Equipment (105 Units)</t>
        </is>
      </c>
      <c r="B56" s="11" t="n">
        <v>50485.05</v>
      </c>
      <c r="C56" s="11" t="n">
        <v>13321.94</v>
      </c>
      <c r="F56" s="11" t="n">
        <v>37163.11</v>
      </c>
    </row>
    <row r="57">
      <c r="A57" s="3" t="inlineStr">
        <is>
          <t>Total Allocation:</t>
        </is>
      </c>
      <c r="B57" s="12" t="n">
        <v>396654.71</v>
      </c>
      <c r="C57" s="12" t="n">
        <v>104668.72</v>
      </c>
      <c r="F57" s="12" t="n">
        <v>291985.99</v>
      </c>
    </row>
    <row r="59">
      <c r="A59" s="1" t="inlineStr">
        <is>
          <t>End Depreciation Reconciliation</t>
        </is>
      </c>
    </row>
    <row r="60">
      <c r="A60" s="2" t="inlineStr">
        <is>
          <t>Before Cost Segregation (As Previously Filed)</t>
        </is>
      </c>
      <c r="B60" s="4" t="n">
        <v>32713.87</v>
      </c>
    </row>
    <row r="61">
      <c r="A61" s="2" t="inlineStr">
        <is>
          <t>After Cost Segregation (Corrected)</t>
        </is>
      </c>
      <c r="B61" s="6" t="n">
        <v>122962.82</v>
      </c>
    </row>
    <row r="62">
      <c r="A62" s="7" t="inlineStr">
        <is>
          <t>Section 481(a) Adjustment</t>
        </is>
      </c>
      <c r="B62" s="14" t="n">
        <v>-90248.95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Building 16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Building 16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31452.73</v>
      </c>
      <c r="C16" s="11" t="n">
        <v>31452.73</v>
      </c>
    </row>
    <row r="17">
      <c r="A17" s="2" t="inlineStr">
        <is>
          <t>Moldings</t>
        </is>
      </c>
      <c r="B17" s="11" t="n">
        <v>8394.17</v>
      </c>
      <c r="C17" s="11" t="n">
        <v>8394.17</v>
      </c>
    </row>
    <row r="18">
      <c r="A18" s="2" t="inlineStr">
        <is>
          <t>Flooring - Vinyl Plank</t>
        </is>
      </c>
      <c r="B18" s="11" t="n">
        <v>32815.9</v>
      </c>
      <c r="C18" s="11" t="n">
        <v>32815.9</v>
      </c>
    </row>
    <row r="19">
      <c r="A19" s="2" t="inlineStr">
        <is>
          <t>Window Treatments</t>
        </is>
      </c>
      <c r="B19" s="11" t="n">
        <v>2648.72</v>
      </c>
      <c r="C19" s="11" t="n">
        <v>2648.72</v>
      </c>
    </row>
    <row r="20">
      <c r="A20" s="2" t="inlineStr">
        <is>
          <t>Building Signage</t>
        </is>
      </c>
      <c r="B20" s="11" t="n">
        <v>394.4</v>
      </c>
      <c r="C20" s="11" t="n">
        <v>394.4</v>
      </c>
    </row>
    <row r="21">
      <c r="A21" s="2" t="inlineStr">
        <is>
          <t>Specialty Electrical - Appliances</t>
        </is>
      </c>
      <c r="B21" s="11" t="n">
        <v>5344.3</v>
      </c>
      <c r="C21" s="11" t="n">
        <v>5344.3</v>
      </c>
    </row>
    <row r="22">
      <c r="A22" s="2" t="inlineStr">
        <is>
          <t>Communication / Data</t>
        </is>
      </c>
      <c r="B22" s="11" t="n">
        <v>2858.97</v>
      </c>
      <c r="C22" s="11" t="n">
        <v>2858.97</v>
      </c>
    </row>
    <row r="23">
      <c r="A23" s="2" t="inlineStr">
        <is>
          <t>Specialty Plumbing - Kitchen Sinks</t>
        </is>
      </c>
      <c r="B23" s="11" t="n">
        <v>9687.68</v>
      </c>
      <c r="C23" s="11" t="n">
        <v>9687.68</v>
      </c>
    </row>
    <row r="24">
      <c r="A24" s="2" t="inlineStr">
        <is>
          <t>Security / Exterior Lighting</t>
        </is>
      </c>
      <c r="B24" s="11" t="n">
        <v>2139.23</v>
      </c>
      <c r="C24" s="11" t="n">
        <v>2139.23</v>
      </c>
    </row>
    <row r="25">
      <c r="A25" s="2" t="inlineStr">
        <is>
          <t>Canopies / Awnings</t>
        </is>
      </c>
      <c r="B25" s="11" t="n">
        <v>605.6900000000001</v>
      </c>
      <c r="C25" s="11" t="n">
        <v>605.6900000000001</v>
      </c>
    </row>
    <row r="26">
      <c r="A26" s="2" t="inlineStr">
        <is>
          <t>Appliances</t>
        </is>
      </c>
      <c r="B26" s="11" t="n">
        <v>8326.940000000001</v>
      </c>
      <c r="C26" s="11" t="n">
        <v>8326.940000000001</v>
      </c>
    </row>
    <row r="28">
      <c r="A28" s="10" t="inlineStr">
        <is>
          <t>Building Structure</t>
        </is>
      </c>
    </row>
    <row r="29">
      <c r="A29" s="2" t="inlineStr">
        <is>
          <t>Roofing Systems</t>
        </is>
      </c>
      <c r="B29" s="11" t="n">
        <v>16256.26</v>
      </c>
      <c r="F29" s="11" t="n">
        <v>16256.26</v>
      </c>
    </row>
    <row r="30">
      <c r="A30" s="2" t="inlineStr">
        <is>
          <t>Foundations</t>
        </is>
      </c>
      <c r="B30" s="11" t="n">
        <v>21691.79</v>
      </c>
      <c r="F30" s="11" t="n">
        <v>21691.79</v>
      </c>
    </row>
    <row r="31">
      <c r="A31" s="2" t="inlineStr">
        <is>
          <t>HVAC</t>
        </is>
      </c>
      <c r="B31" s="11" t="n">
        <v>31892.38</v>
      </c>
      <c r="F31" s="11" t="n">
        <v>31892.38</v>
      </c>
    </row>
    <row r="32">
      <c r="A32" s="2" t="inlineStr">
        <is>
          <t>Electrical</t>
        </is>
      </c>
      <c r="B32" s="11" t="n">
        <v>29436.62</v>
      </c>
      <c r="F32" s="11" t="n">
        <v>29436.62</v>
      </c>
    </row>
    <row r="33">
      <c r="A33" s="2" t="inlineStr">
        <is>
          <t>Plumbing</t>
        </is>
      </c>
      <c r="B33" s="11" t="n">
        <v>27723.88</v>
      </c>
      <c r="F33" s="11" t="n">
        <v>27723.88</v>
      </c>
    </row>
    <row r="34">
      <c r="A34" s="2" t="inlineStr">
        <is>
          <t>Fire Protection &amp; Alarm</t>
        </is>
      </c>
      <c r="B34" s="11" t="n">
        <v>1864.29</v>
      </c>
      <c r="F34" s="11" t="n">
        <v>1864.29</v>
      </c>
    </row>
    <row r="35">
      <c r="A35" s="2" t="inlineStr">
        <is>
          <t>Exterior Façade / Building Skin</t>
        </is>
      </c>
      <c r="B35" s="11" t="n">
        <v>21222.77</v>
      </c>
      <c r="F35" s="11" t="n">
        <v>21222.77</v>
      </c>
    </row>
    <row r="36">
      <c r="A36" s="2" t="inlineStr">
        <is>
          <t>Doors &amp; Frames</t>
        </is>
      </c>
      <c r="B36" s="11" t="n">
        <v>16292.68</v>
      </c>
      <c r="F36" s="11" t="n">
        <v>16292.68</v>
      </c>
    </row>
    <row r="37">
      <c r="A37" s="2" t="inlineStr">
        <is>
          <t>Windows</t>
        </is>
      </c>
      <c r="B37" s="11" t="n">
        <v>12258.17</v>
      </c>
      <c r="F37" s="11" t="n">
        <v>12258.17</v>
      </c>
    </row>
    <row r="38">
      <c r="A38" s="2" t="inlineStr">
        <is>
          <t>Ceiling Systems</t>
        </is>
      </c>
      <c r="B38" s="11" t="n">
        <v>14614.91</v>
      </c>
      <c r="F38" s="11" t="n">
        <v>14614.91</v>
      </c>
    </row>
    <row r="39">
      <c r="A39" s="2" t="inlineStr">
        <is>
          <t>Interior Framing / Partitions</t>
        </is>
      </c>
      <c r="B39" s="11" t="n">
        <v>38542.73</v>
      </c>
      <c r="F39" s="11" t="n">
        <v>38542.73</v>
      </c>
    </row>
    <row r="40">
      <c r="A40" s="2" t="inlineStr">
        <is>
          <t>Painting</t>
        </is>
      </c>
      <c r="B40" s="11" t="n">
        <v>15289.77</v>
      </c>
      <c r="F40" s="11" t="n">
        <v>15289.77</v>
      </c>
    </row>
    <row r="41">
      <c r="A41" s="2" t="inlineStr">
        <is>
          <t>Structural Framing</t>
        </is>
      </c>
      <c r="B41" s="11" t="n">
        <v>37866.59</v>
      </c>
      <c r="F41" s="11" t="n">
        <v>37866.59</v>
      </c>
    </row>
    <row r="42">
      <c r="A42" s="2" t="inlineStr">
        <is>
          <t>Stairs / Balconies</t>
        </is>
      </c>
      <c r="B42" s="11" t="n">
        <v>3514.89</v>
      </c>
      <c r="F42" s="11" t="n">
        <v>3514.89</v>
      </c>
    </row>
    <row r="43">
      <c r="A43" s="2" t="inlineStr">
        <is>
          <t>Bathroom Accessories</t>
        </is>
      </c>
      <c r="B43" s="11" t="n">
        <v>3740.86</v>
      </c>
      <c r="F43" s="11" t="n">
        <v>3740.86</v>
      </c>
    </row>
    <row r="44">
      <c r="A44" s="2" t="inlineStr">
        <is>
          <t>Cabinets / Millwork - Restrooms</t>
        </is>
      </c>
      <c r="B44" s="11" t="n">
        <v>1880.89</v>
      </c>
      <c r="F44" s="11" t="n">
        <v>1880.89</v>
      </c>
    </row>
    <row r="46">
      <c r="A46" s="3" t="inlineStr">
        <is>
          <t>Total Building Cost</t>
        </is>
      </c>
      <c r="B46" s="12" t="n">
        <v>398758.21</v>
      </c>
      <c r="C46" s="12" t="n">
        <v>104668.73</v>
      </c>
      <c r="F46" s="12" t="n">
        <v>294089.48</v>
      </c>
    </row>
    <row r="47">
      <c r="A47" s="2" t="inlineStr">
        <is>
          <t>% of Building Cost</t>
        </is>
      </c>
      <c r="C47" s="13" t="n">
        <v>0.262</v>
      </c>
      <c r="F47" s="13" t="n">
        <v>0.738</v>
      </c>
    </row>
    <row r="49">
      <c r="A49" s="1" t="inlineStr">
        <is>
          <t>Asset Allocation:</t>
        </is>
      </c>
    </row>
    <row r="50">
      <c r="A50" s="2" t="inlineStr">
        <is>
          <t>Asset # 10-Building (Post Casualty Loss Basis)</t>
        </is>
      </c>
      <c r="B50" s="11" t="n">
        <v>64317.98</v>
      </c>
      <c r="C50" s="11" t="n">
        <v>16882.61</v>
      </c>
      <c r="F50" s="11" t="n">
        <v>47435.37</v>
      </c>
    </row>
    <row r="51">
      <c r="A51" s="2" t="inlineStr">
        <is>
          <t>Asset # 12-New Building (16 Units)</t>
        </is>
      </c>
      <c r="B51" s="11" t="n">
        <v>34495.74</v>
      </c>
      <c r="C51" s="11" t="n">
        <v>9054.67</v>
      </c>
      <c r="F51" s="11" t="n">
        <v>25441.07</v>
      </c>
    </row>
    <row r="52">
      <c r="A52" s="2" t="inlineStr">
        <is>
          <t>Asset # 14-New Buildings (105 Units)</t>
        </is>
      </c>
      <c r="B52" s="11" t="n">
        <v>231207.03</v>
      </c>
      <c r="C52" s="11" t="n">
        <v>60688.77</v>
      </c>
      <c r="F52" s="11" t="n">
        <v>170518.26</v>
      </c>
    </row>
    <row r="53">
      <c r="A53" s="2" t="inlineStr">
        <is>
          <t>Asset # 111-Building Imp(Post Casualty Loss Basis)</t>
        </is>
      </c>
      <c r="B53" s="11" t="n">
        <v>1616.48</v>
      </c>
      <c r="C53" s="11" t="n">
        <v>424.3</v>
      </c>
      <c r="F53" s="11" t="n">
        <v>1192.18</v>
      </c>
    </row>
    <row r="54">
      <c r="A54" s="2" t="inlineStr">
        <is>
          <t>Asset # 2-Land Improvements</t>
        </is>
      </c>
      <c r="B54" s="11" t="n">
        <v>8795.969999999999</v>
      </c>
      <c r="C54" s="11" t="n">
        <v>2308.83</v>
      </c>
      <c r="F54" s="11" t="n">
        <v>6487.139999999999</v>
      </c>
    </row>
    <row r="55">
      <c r="A55" s="2" t="inlineStr">
        <is>
          <t>Asset # 13-New Equipment (16 Units)</t>
        </is>
      </c>
      <c r="B55" s="11" t="n">
        <v>7572.23</v>
      </c>
      <c r="C55" s="11" t="n">
        <v>1987.61</v>
      </c>
      <c r="F55" s="11" t="n">
        <v>5584.62</v>
      </c>
    </row>
    <row r="56">
      <c r="A56" s="2" t="inlineStr">
        <is>
          <t>Asset # 15-New Equipment (105 Units)</t>
        </is>
      </c>
      <c r="B56" s="11" t="n">
        <v>50752.78</v>
      </c>
      <c r="C56" s="11" t="n">
        <v>13321.94</v>
      </c>
      <c r="F56" s="11" t="n">
        <v>37430.84</v>
      </c>
    </row>
    <row r="57">
      <c r="A57" s="3" t="inlineStr">
        <is>
          <t>Total Allocation:</t>
        </is>
      </c>
      <c r="B57" s="12" t="n">
        <v>398758.21</v>
      </c>
      <c r="C57" s="12" t="n">
        <v>104668.73</v>
      </c>
      <c r="F57" s="12" t="n">
        <v>294089.48</v>
      </c>
    </row>
    <row r="59">
      <c r="A59" s="1" t="inlineStr">
        <is>
          <t>End Depreciation Reconciliation</t>
        </is>
      </c>
    </row>
    <row r="60">
      <c r="A60" s="2" t="inlineStr">
        <is>
          <t>Before Cost Segregation (As Previously Filed)</t>
        </is>
      </c>
      <c r="B60" s="4" t="n">
        <v>32887.35</v>
      </c>
    </row>
    <row r="61">
      <c r="A61" s="2" t="inlineStr">
        <is>
          <t>After Cost Segregation (Corrected)</t>
        </is>
      </c>
      <c r="B61" s="6" t="n">
        <v>123145.81</v>
      </c>
    </row>
    <row r="62">
      <c r="A62" s="7" t="inlineStr">
        <is>
          <t>Section 481(a) Adjustment</t>
        </is>
      </c>
      <c r="B62" s="14" t="n">
        <v>-90258.46000000001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St. Charles Housing, LP</t>
        </is>
      </c>
    </row>
    <row r="2">
      <c r="A2" s="2" t="inlineStr">
        <is>
          <t>Cost Segregation Study - Office</t>
        </is>
      </c>
    </row>
    <row r="3">
      <c r="A3" s="2" t="inlineStr">
        <is>
          <t>Report #107752-24</t>
        </is>
      </c>
    </row>
    <row r="5">
      <c r="A5" s="2" t="inlineStr">
        <is>
          <t>Acquisition Date:</t>
        </is>
      </c>
      <c r="B5" s="2" t="inlineStr">
        <is>
          <t>12/28/15</t>
        </is>
      </c>
    </row>
    <row r="8">
      <c r="A8" s="1" t="inlineStr">
        <is>
          <t>St. Charles Housing, LP - Office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0" t="inlineStr">
        <is>
          <t>Building Components</t>
        </is>
      </c>
    </row>
    <row r="16">
      <c r="A16" s="2" t="inlineStr">
        <is>
          <t>Cabinets / Millwork</t>
        </is>
      </c>
      <c r="B16" s="11" t="n">
        <v>1832.24</v>
      </c>
      <c r="C16" s="11" t="n">
        <v>1832.24</v>
      </c>
    </row>
    <row r="17">
      <c r="A17" s="2" t="inlineStr">
        <is>
          <t>Moldings</t>
        </is>
      </c>
      <c r="B17" s="11" t="n">
        <v>2378.41</v>
      </c>
      <c r="C17" s="11" t="n">
        <v>2378.41</v>
      </c>
    </row>
    <row r="18">
      <c r="A18" s="2" t="inlineStr">
        <is>
          <t>Security System</t>
        </is>
      </c>
      <c r="B18" s="11" t="n">
        <v>1885.68</v>
      </c>
      <c r="C18" s="11" t="n">
        <v>1885.68</v>
      </c>
    </row>
    <row r="19">
      <c r="A19" s="2" t="inlineStr">
        <is>
          <t>Window Treatments</t>
        </is>
      </c>
      <c r="B19" s="11" t="n">
        <v>1200.4</v>
      </c>
      <c r="C19" s="11" t="n">
        <v>1200.4</v>
      </c>
    </row>
    <row r="20">
      <c r="A20" s="2" t="inlineStr">
        <is>
          <t>Building Signage</t>
        </is>
      </c>
      <c r="B20" s="11" t="n">
        <v>43.94</v>
      </c>
      <c r="C20" s="11" t="n">
        <v>43.94</v>
      </c>
    </row>
    <row r="21">
      <c r="A21" s="2" t="inlineStr">
        <is>
          <t>Communication / Data</t>
        </is>
      </c>
      <c r="B21" s="11" t="n">
        <v>3079.68</v>
      </c>
      <c r="C21" s="11" t="n">
        <v>3079.68</v>
      </c>
    </row>
    <row r="22">
      <c r="A22" s="2" t="inlineStr">
        <is>
          <t>Specialty Plumbing - Breakroom Sink</t>
        </is>
      </c>
      <c r="B22" s="11" t="n">
        <v>1210.96</v>
      </c>
      <c r="C22" s="11" t="n">
        <v>1210.96</v>
      </c>
    </row>
    <row r="23">
      <c r="A23" s="2" t="inlineStr">
        <is>
          <t>Security / Exterior Lighting</t>
        </is>
      </c>
      <c r="B23" s="11" t="n">
        <v>492.8199999999999</v>
      </c>
      <c r="C23" s="11" t="n">
        <v>492.8199999999999</v>
      </c>
    </row>
    <row r="24">
      <c r="A24" s="2" t="inlineStr">
        <is>
          <t>Interior Windows</t>
        </is>
      </c>
      <c r="B24" s="11" t="n">
        <v>145.93</v>
      </c>
      <c r="C24" s="11" t="n">
        <v>145.93</v>
      </c>
    </row>
    <row r="26">
      <c r="A26" s="10" t="inlineStr">
        <is>
          <t>Building Structure</t>
        </is>
      </c>
    </row>
    <row r="27">
      <c r="A27" s="2" t="inlineStr">
        <is>
          <t>Roofing Systems</t>
        </is>
      </c>
      <c r="B27" s="11" t="n">
        <v>7912.06</v>
      </c>
      <c r="F27" s="11" t="n">
        <v>7912.06</v>
      </c>
    </row>
    <row r="28">
      <c r="A28" s="2" t="inlineStr">
        <is>
          <t>Foundations</t>
        </is>
      </c>
      <c r="B28" s="11" t="n">
        <v>13043.7</v>
      </c>
      <c r="F28" s="11" t="n">
        <v>13043.7</v>
      </c>
    </row>
    <row r="29">
      <c r="A29" s="2" t="inlineStr">
        <is>
          <t>HVAC</t>
        </is>
      </c>
      <c r="B29" s="11" t="n">
        <v>9195.93</v>
      </c>
      <c r="F29" s="11" t="n">
        <v>9195.93</v>
      </c>
    </row>
    <row r="30">
      <c r="A30" s="2" t="inlineStr">
        <is>
          <t>Electrical</t>
        </is>
      </c>
      <c r="B30" s="11" t="n">
        <v>10028.82</v>
      </c>
      <c r="F30" s="11" t="n">
        <v>10028.82</v>
      </c>
    </row>
    <row r="31">
      <c r="A31" s="2" t="inlineStr">
        <is>
          <t>Plumbing</t>
        </is>
      </c>
      <c r="B31" s="11" t="n">
        <v>6783.02</v>
      </c>
      <c r="F31" s="11" t="n">
        <v>6783.02</v>
      </c>
    </row>
    <row r="32">
      <c r="A32" s="2" t="inlineStr">
        <is>
          <t>Fire Protection &amp; Alarm</t>
        </is>
      </c>
      <c r="B32" s="11" t="n">
        <v>64.86</v>
      </c>
      <c r="F32" s="11" t="n">
        <v>64.86</v>
      </c>
    </row>
    <row r="33">
      <c r="A33" s="2" t="inlineStr">
        <is>
          <t>Exterior Façade / Building Skin</t>
        </is>
      </c>
      <c r="B33" s="11" t="n">
        <v>4616.95</v>
      </c>
      <c r="F33" s="11" t="n">
        <v>4616.95</v>
      </c>
    </row>
    <row r="34">
      <c r="A34" s="2" t="inlineStr">
        <is>
          <t>Doors &amp; Frames</t>
        </is>
      </c>
      <c r="B34" s="11" t="n">
        <v>8542.849999999999</v>
      </c>
      <c r="F34" s="11" t="n">
        <v>8542.849999999999</v>
      </c>
    </row>
    <row r="35">
      <c r="A35" s="2" t="inlineStr">
        <is>
          <t>Windows</t>
        </is>
      </c>
      <c r="B35" s="11" t="n">
        <v>2140.31</v>
      </c>
      <c r="F35" s="11" t="n">
        <v>2140.31</v>
      </c>
    </row>
    <row r="36">
      <c r="A36" s="2" t="inlineStr">
        <is>
          <t>Ceiling Systems</t>
        </is>
      </c>
      <c r="B36" s="11" t="n">
        <v>4214.1</v>
      </c>
      <c r="F36" s="11" t="n">
        <v>4214.1</v>
      </c>
    </row>
    <row r="37">
      <c r="A37" s="2" t="inlineStr">
        <is>
          <t>Interior Framing / Partitions</t>
        </is>
      </c>
      <c r="B37" s="11" t="n">
        <v>23346.74</v>
      </c>
      <c r="F37" s="11" t="n">
        <v>23346.74</v>
      </c>
    </row>
    <row r="38">
      <c r="A38" s="2" t="inlineStr">
        <is>
          <t>Painting</t>
        </is>
      </c>
      <c r="B38" s="11" t="n">
        <v>8173.619999999999</v>
      </c>
      <c r="F38" s="11" t="n">
        <v>8173.619999999999</v>
      </c>
    </row>
    <row r="39">
      <c r="A39" s="2" t="inlineStr">
        <is>
          <t>Emergency Lighting</t>
        </is>
      </c>
      <c r="B39" s="11" t="n">
        <v>1090.01</v>
      </c>
      <c r="F39" s="11" t="n">
        <v>1090.01</v>
      </c>
    </row>
    <row r="40">
      <c r="A40" s="2" t="inlineStr">
        <is>
          <t>Structural Framing</t>
        </is>
      </c>
      <c r="B40" s="11" t="n">
        <v>18677.29</v>
      </c>
      <c r="F40" s="11" t="n">
        <v>18677.29</v>
      </c>
    </row>
    <row r="41">
      <c r="A41" s="2" t="inlineStr">
        <is>
          <t>Flooring - Sealed Concrete</t>
        </is>
      </c>
      <c r="B41" s="11" t="n">
        <v>1692.47</v>
      </c>
      <c r="F41" s="11" t="n">
        <v>1692.47</v>
      </c>
    </row>
    <row r="42">
      <c r="A42" s="2" t="inlineStr">
        <is>
          <t>Bathroom Accessories</t>
        </is>
      </c>
      <c r="B42" s="11" t="n">
        <v>2398.17</v>
      </c>
      <c r="F42" s="11" t="n">
        <v>2398.17</v>
      </c>
    </row>
    <row r="43">
      <c r="A43" s="2" t="inlineStr">
        <is>
          <t>Cabinets / Millwork - Restrooms</t>
        </is>
      </c>
      <c r="B43" s="11" t="n">
        <v>153</v>
      </c>
      <c r="F43" s="11" t="n">
        <v>153</v>
      </c>
    </row>
    <row r="45">
      <c r="A45" s="3" t="inlineStr">
        <is>
          <t>Total Building Cost</t>
        </is>
      </c>
      <c r="B45" s="12" t="n">
        <v>134343.96</v>
      </c>
      <c r="C45" s="12" t="n">
        <v>12270.06</v>
      </c>
      <c r="F45" s="12" t="n">
        <v>122073.9</v>
      </c>
    </row>
    <row r="46">
      <c r="A46" s="2" t="inlineStr">
        <is>
          <t>% of Building Cost</t>
        </is>
      </c>
      <c r="C46" s="13" t="n">
        <v>0.091</v>
      </c>
      <c r="F46" s="13" t="n">
        <v>0.909</v>
      </c>
    </row>
    <row r="48">
      <c r="A48" s="1" t="inlineStr">
        <is>
          <t>Asset Allocation:</t>
        </is>
      </c>
    </row>
    <row r="49">
      <c r="A49" s="2" t="inlineStr">
        <is>
          <t>Asset # 10-Building (Post Casualty Loss Basis)</t>
        </is>
      </c>
      <c r="B49" s="11" t="n">
        <v>21669.1</v>
      </c>
      <c r="C49" s="11" t="n">
        <v>1979.11</v>
      </c>
      <c r="F49" s="11" t="n">
        <v>19689.99</v>
      </c>
    </row>
    <row r="50">
      <c r="A50" s="2" t="inlineStr">
        <is>
          <t>Asset # 12-New Building (16 Units)</t>
        </is>
      </c>
      <c r="B50" s="11" t="n">
        <v>11621.82</v>
      </c>
      <c r="C50" s="11" t="n">
        <v>1061.46</v>
      </c>
      <c r="F50" s="11" t="n">
        <v>10560.36</v>
      </c>
    </row>
    <row r="51">
      <c r="A51" s="2" t="inlineStr">
        <is>
          <t>Asset # 14-New Buildings (105 Units)</t>
        </is>
      </c>
      <c r="B51" s="11" t="n">
        <v>77895</v>
      </c>
      <c r="C51" s="11" t="n">
        <v>7114.4</v>
      </c>
      <c r="F51" s="11" t="n">
        <v>70780.60000000001</v>
      </c>
    </row>
    <row r="52">
      <c r="A52" s="2" t="inlineStr">
        <is>
          <t>Asset # 111-Building Imp(Post Casualty Loss Basis)</t>
        </is>
      </c>
      <c r="B52" s="11" t="n">
        <v>544.6</v>
      </c>
      <c r="C52" s="11" t="n">
        <v>49.74</v>
      </c>
      <c r="F52" s="11" t="n">
        <v>494.86</v>
      </c>
    </row>
    <row r="53">
      <c r="A53" s="2" t="inlineStr">
        <is>
          <t>Asset # 2-Land Improvements</t>
        </is>
      </c>
      <c r="B53" s="11" t="n">
        <v>2963.4</v>
      </c>
      <c r="C53" s="11" t="n">
        <v>270.66</v>
      </c>
      <c r="F53" s="11" t="n">
        <v>2692.74</v>
      </c>
    </row>
    <row r="54">
      <c r="A54" s="2" t="inlineStr">
        <is>
          <t>Asset # 13-New Equipment (16 Units)</t>
        </is>
      </c>
      <c r="B54" s="11" t="n">
        <v>2551.13</v>
      </c>
      <c r="C54" s="11" t="n">
        <v>233</v>
      </c>
      <c r="F54" s="11" t="n">
        <v>2318.13</v>
      </c>
    </row>
    <row r="55">
      <c r="A55" s="2" t="inlineStr">
        <is>
          <t>Asset # 15-New Equipment (105 Units)</t>
        </is>
      </c>
      <c r="B55" s="11" t="n">
        <v>17098.91</v>
      </c>
      <c r="C55" s="11" t="n">
        <v>1561.69</v>
      </c>
      <c r="F55" s="11" t="n">
        <v>15537.22</v>
      </c>
    </row>
    <row r="56">
      <c r="A56" s="3" t="inlineStr">
        <is>
          <t>Total Allocation:</t>
        </is>
      </c>
      <c r="B56" s="12" t="n">
        <v>134343.96</v>
      </c>
      <c r="C56" s="12" t="n">
        <v>12270.06</v>
      </c>
      <c r="F56" s="12" t="n">
        <v>122073.9</v>
      </c>
    </row>
    <row r="58">
      <c r="A58" s="1" t="inlineStr">
        <is>
          <t>End Depreciation Reconciliation</t>
        </is>
      </c>
    </row>
    <row r="59">
      <c r="A59" s="2" t="inlineStr">
        <is>
          <t>Before Cost Segregation (As Previously Filed)</t>
        </is>
      </c>
      <c r="B59" s="4" t="n">
        <v>11079.92</v>
      </c>
    </row>
    <row r="60">
      <c r="A60" s="2" t="inlineStr">
        <is>
          <t>After Cost Segregation (Corrected)</t>
        </is>
      </c>
      <c r="B60" s="6" t="n">
        <v>22056.06</v>
      </c>
    </row>
    <row r="61">
      <c r="A61" s="7" t="inlineStr">
        <is>
          <t>Section 481(a) Adjustment</t>
        </is>
      </c>
      <c r="B61" s="14" t="n">
        <v>-10976.14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2026-06-25T00:17:10Z</dcterms:created>
  <dcterms:modified xmlns:dcterms="http://purl.org/dc/terms/" xmlns:xsi="http://www.w3.org/2001/XMLSchema-instance" xsi:type="dcterms:W3CDTF">2026-06-25T00:17:10Z</dcterms:modified>
</cp:coreProperties>
</file>