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ldg 1" sheetId="2" state="visible" r:id="rId2"/>
    <sheet xmlns:r="http://schemas.openxmlformats.org/officeDocument/2006/relationships" name="bldg 2" sheetId="3" state="visible" r:id="rId3"/>
    <sheet xmlns:r="http://schemas.openxmlformats.org/officeDocument/2006/relationships" name="bldg 3" sheetId="4" state="visible" r:id="rId4"/>
    <sheet xmlns:r="http://schemas.openxmlformats.org/officeDocument/2006/relationships" name="bldg 4" sheetId="5" state="visible" r:id="rId5"/>
    <sheet xmlns:r="http://schemas.openxmlformats.org/officeDocument/2006/relationships" name="bldg 5" sheetId="6" state="visible" r:id="rId6"/>
    <sheet xmlns:r="http://schemas.openxmlformats.org/officeDocument/2006/relationships" name="imp" sheetId="7" state="visible" r:id="rId7"/>
    <sheet xmlns:r="http://schemas.openxmlformats.org/officeDocument/2006/relationships" name="office" sheetId="8" state="visible" r:id="rId8"/>
    <sheet xmlns:r="http://schemas.openxmlformats.org/officeDocument/2006/relationships" name="si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&quot;$&quot;#,##0.00"/>
    <numFmt numFmtId="166" formatCode="0.0%"/>
  </numFmts>
  <fonts count="3">
    <font>
      <name val="Calibri"/>
      <family val="2"/>
      <color theme="1"/>
      <sz val="11"/>
      <scheme val="minor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4" fontId="2" fillId="0" borderId="0" pivotButton="0" quotePrefix="0" xfId="0"/>
    <xf numFmtId="0" fontId="1" fillId="3" borderId="0" pivotButton="0" quotePrefix="0" xfId="0"/>
    <xf numFmtId="164" fontId="1" fillId="3" borderId="0" pivotButton="0" quotePrefix="0" xfId="0"/>
    <xf numFmtId="4" fontId="0" fillId="0" borderId="0" pivotButton="0" quotePrefix="0" xfId="0"/>
    <xf numFmtId="39" fontId="2" fillId="0" borderId="0" pivotButton="0" quotePrefix="0" xfId="0"/>
    <xf numFmtId="0" fontId="1" fillId="4" borderId="0" pivotButton="0" quotePrefix="0" xfId="0"/>
    <xf numFmtId="39" fontId="2" fillId="4" borderId="0" pivotButton="0" quotePrefix="0" xfId="0"/>
    <xf numFmtId="39" fontId="0" fillId="0" borderId="0" pivotButton="0" quotePrefix="0" xfId="0"/>
    <xf numFmtId="0" fontId="1" fillId="5" borderId="0" pivotButton="0" quotePrefix="0" xfId="0"/>
    <xf numFmtId="165" fontId="2" fillId="0" borderId="0" pivotButton="0" quotePrefix="0" xfId="0"/>
    <xf numFmtId="165" fontId="1" fillId="3" borderId="0" pivotButton="0" quotePrefix="0" xfId="0"/>
    <xf numFmtId="166" fontId="2" fillId="0" borderId="0" pivotButton="0" quotePrefix="0" xfId="0"/>
    <xf numFmtId="39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2" customWidth="1" min="3" max="3"/>
    <col width="12" customWidth="1" min="4" max="4"/>
    <col width="5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5" max="15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6" max="26"/>
  </cols>
  <sheetData>
    <row r="1">
      <c r="A1" s="1" t="inlineStr">
        <is>
          <t>Grove Park Housing, LP</t>
        </is>
      </c>
    </row>
    <row r="2">
      <c r="A2" s="2" t="inlineStr">
        <is>
          <t>Summary of Cost Seg Adjustments</t>
        </is>
      </c>
    </row>
    <row r="3">
      <c r="A3" s="2" t="inlineStr">
        <is>
          <t>As of December 31, 2024</t>
        </is>
      </c>
    </row>
    <row r="9">
      <c r="Q9" s="2" t="inlineStr">
        <is>
          <t>end deprec</t>
        </is>
      </c>
    </row>
    <row r="10">
      <c r="A10" s="3" t="inlineStr">
        <is>
          <t>Acq Date</t>
        </is>
      </c>
      <c r="B10" s="3" t="inlineStr">
        <is>
          <t>Asset Description</t>
        </is>
      </c>
      <c r="E10" s="3" t="inlineStr">
        <is>
          <t>#</t>
        </is>
      </c>
      <c r="F10" s="3" t="inlineStr">
        <is>
          <t>bldg 1</t>
        </is>
      </c>
      <c r="G10" s="3" t="inlineStr">
        <is>
          <t>bldg 2</t>
        </is>
      </c>
      <c r="H10" s="3" t="inlineStr">
        <is>
          <t>bldg 3</t>
        </is>
      </c>
      <c r="I10" s="3" t="inlineStr">
        <is>
          <t>bldg 4</t>
        </is>
      </c>
      <c r="J10" s="3" t="inlineStr">
        <is>
          <t>bldg 5</t>
        </is>
      </c>
      <c r="K10" s="3" t="inlineStr">
        <is>
          <t>imp</t>
        </is>
      </c>
      <c r="L10" s="3" t="inlineStr">
        <is>
          <t>office</t>
        </is>
      </c>
      <c r="M10" s="3" t="inlineStr">
        <is>
          <t>site</t>
        </is>
      </c>
      <c r="O10" s="3" t="inlineStr">
        <is>
          <t>total cost</t>
        </is>
      </c>
      <c r="Q10" s="3" t="inlineStr">
        <is>
          <t>bldg 1</t>
        </is>
      </c>
      <c r="R10" s="3" t="inlineStr">
        <is>
          <t>bldg 2</t>
        </is>
      </c>
      <c r="S10" s="3" t="inlineStr">
        <is>
          <t>bldg 3</t>
        </is>
      </c>
      <c r="T10" s="3" t="inlineStr">
        <is>
          <t>bldg 4</t>
        </is>
      </c>
      <c r="U10" s="3" t="inlineStr">
        <is>
          <t>bldg 5</t>
        </is>
      </c>
      <c r="V10" s="3" t="inlineStr">
        <is>
          <t>imp</t>
        </is>
      </c>
      <c r="W10" s="3" t="inlineStr">
        <is>
          <t>office</t>
        </is>
      </c>
      <c r="X10" s="3" t="inlineStr">
        <is>
          <t>site</t>
        </is>
      </c>
      <c r="Z10" s="3" t="inlineStr">
        <is>
          <t>total</t>
        </is>
      </c>
    </row>
    <row r="11">
      <c r="A11" s="2" t="inlineStr">
        <is>
          <t>10/30/20</t>
        </is>
      </c>
      <c r="B11" s="2" t="inlineStr">
        <is>
          <t>3- Building - Grove Park Housing, LP</t>
        </is>
      </c>
      <c r="E11" s="2" t="n">
        <v>3</v>
      </c>
      <c r="F11" s="2" t="n">
        <v>385256.09</v>
      </c>
      <c r="G11" s="2" t="n">
        <v>354707.57</v>
      </c>
      <c r="H11" s="2" t="n">
        <v>385159.17</v>
      </c>
      <c r="I11" s="2" t="n">
        <v>394367.34</v>
      </c>
      <c r="J11" s="2" t="n">
        <v>401672.53</v>
      </c>
      <c r="L11" s="2" t="n">
        <v>173535.93</v>
      </c>
      <c r="M11" s="2" t="n">
        <v>267346.37</v>
      </c>
      <c r="O11" s="2" t="n">
        <v>2362045</v>
      </c>
    </row>
    <row r="12">
      <c r="A12" s="2" t="inlineStr">
        <is>
          <t>10/30/20</t>
        </is>
      </c>
      <c r="B12" s="2" t="inlineStr">
        <is>
          <t>2- Land Improvements - Grove Park Housing, LP</t>
        </is>
      </c>
      <c r="E12" s="2" t="n">
        <v>2</v>
      </c>
      <c r="F12" s="2" t="n">
        <v>39470.87</v>
      </c>
      <c r="G12" s="2" t="n">
        <v>36341.07</v>
      </c>
      <c r="H12" s="2" t="n">
        <v>39460.94</v>
      </c>
      <c r="I12" s="2" t="n">
        <v>40404.35</v>
      </c>
      <c r="J12" s="2" t="n">
        <v>41152.79</v>
      </c>
      <c r="L12" s="2" t="n">
        <v>17779.38</v>
      </c>
      <c r="M12" s="2" t="n">
        <v>27390.6</v>
      </c>
      <c r="O12" s="2" t="n">
        <v>242000</v>
      </c>
    </row>
    <row r="13">
      <c r="A13" s="2" t="inlineStr">
        <is>
          <t>10/30/20</t>
        </is>
      </c>
      <c r="B13" s="2" t="inlineStr">
        <is>
          <t>4- Equipment - Grove Park Housing, LP</t>
        </is>
      </c>
      <c r="E13" s="2" t="n">
        <v>4</v>
      </c>
      <c r="F13" s="2" t="n">
        <v>29358.5</v>
      </c>
      <c r="G13" s="2" t="n">
        <v>27030.55</v>
      </c>
      <c r="H13" s="2" t="n">
        <v>29351.11</v>
      </c>
      <c r="I13" s="2" t="n">
        <v>30052.82</v>
      </c>
      <c r="J13" s="2" t="n">
        <v>30609.52</v>
      </c>
      <c r="L13" s="2" t="n">
        <v>13224.33</v>
      </c>
      <c r="M13" s="2" t="n">
        <v>20373.17</v>
      </c>
      <c r="O13" s="2" t="n">
        <v>180000</v>
      </c>
    </row>
    <row r="15">
      <c r="F15" s="4">
        <f>SUM(F11:F14)</f>
        <v/>
      </c>
      <c r="G15" s="4">
        <f>SUM(G11:G14)</f>
        <v/>
      </c>
      <c r="H15" s="4">
        <f>SUM(H11:H14)</f>
        <v/>
      </c>
      <c r="I15" s="4">
        <f>SUM(I11:I14)</f>
        <v/>
      </c>
      <c r="J15" s="4">
        <f>SUM(J11:J14)</f>
        <v/>
      </c>
      <c r="K15" s="4">
        <f>SUM(K11:K14)</f>
        <v/>
      </c>
      <c r="L15" s="4">
        <f>SUM(L11:L14)</f>
        <v/>
      </c>
      <c r="M15" s="4">
        <f>SUM(M11:M14)</f>
        <v/>
      </c>
    </row>
    <row r="16">
      <c r="B16" s="1" t="inlineStr">
        <is>
          <t>Total</t>
        </is>
      </c>
      <c r="F16" s="2" t="n">
        <v>454085.46</v>
      </c>
      <c r="G16" s="2" t="n">
        <v>418079.1899999999</v>
      </c>
      <c r="H16" s="2" t="n">
        <v>453971.22</v>
      </c>
      <c r="I16" s="2" t="n">
        <v>464824.51</v>
      </c>
      <c r="J16" s="2" t="n">
        <v>473434.84</v>
      </c>
      <c r="K16" s="2" t="n">
        <v>86347</v>
      </c>
      <c r="L16" s="2" t="n">
        <v>204539.64</v>
      </c>
      <c r="M16" s="2" t="n">
        <v>315110.14</v>
      </c>
      <c r="O16" s="2" t="n">
        <v>2870392</v>
      </c>
      <c r="Q16" s="5" t="n">
        <v>127790.21</v>
      </c>
      <c r="R16" s="5" t="n">
        <v>117657.22</v>
      </c>
      <c r="S16" s="5" t="n">
        <v>127758.05</v>
      </c>
      <c r="T16" s="5" t="n">
        <v>130812.43</v>
      </c>
      <c r="U16" s="5" t="n">
        <v>133235.56</v>
      </c>
      <c r="V16" s="5" t="n">
        <v>26548</v>
      </c>
      <c r="W16" s="5" t="n">
        <v>57562.21</v>
      </c>
      <c r="X16" s="5" t="n">
        <v>88679.32000000001</v>
      </c>
      <c r="Z16" s="5" t="n">
        <v>810043</v>
      </c>
    </row>
    <row r="17">
      <c r="Q17" s="5" t="n">
        <v>127790.21</v>
      </c>
      <c r="R17" s="5" t="n">
        <v>117657.22</v>
      </c>
      <c r="S17" s="5" t="n">
        <v>127758.05</v>
      </c>
      <c r="T17" s="5" t="n">
        <v>130812.43</v>
      </c>
      <c r="U17" s="5" t="n">
        <v>133235.56</v>
      </c>
      <c r="V17" s="5" t="n">
        <v>26548</v>
      </c>
      <c r="W17" s="5" t="n">
        <v>57562.21</v>
      </c>
      <c r="X17" s="5" t="n">
        <v>88679.32000000001</v>
      </c>
      <c r="Z17" s="5" t="n">
        <v>810043</v>
      </c>
    </row>
    <row r="18">
      <c r="B18" s="1" t="inlineStr">
        <is>
          <t>MACRS Reclassification</t>
        </is>
      </c>
    </row>
    <row r="20">
      <c r="B20" s="2" t="inlineStr">
        <is>
          <t>3 - Building - Grove Park Housing, LP - 5yr</t>
        </is>
      </c>
      <c r="F20" s="2" t="n">
        <v>79915.16</v>
      </c>
      <c r="G20" s="2" t="n">
        <v>76039.50999999999</v>
      </c>
      <c r="H20" s="2" t="n">
        <v>78794.38</v>
      </c>
      <c r="I20" s="2" t="n">
        <v>82043.63</v>
      </c>
      <c r="J20" s="2" t="n">
        <v>82043.63</v>
      </c>
      <c r="L20" s="2" t="n">
        <v>27366.04</v>
      </c>
      <c r="O20" s="2" t="n">
        <v>426202.35</v>
      </c>
      <c r="Q20" s="5" t="n">
        <v>79915.16</v>
      </c>
      <c r="R20" s="5" t="n">
        <v>76039.50999999999</v>
      </c>
      <c r="S20" s="5" t="n">
        <v>78794.38</v>
      </c>
      <c r="T20" s="5" t="n">
        <v>82043.63</v>
      </c>
      <c r="U20" s="5" t="n">
        <v>82043.63</v>
      </c>
      <c r="W20" s="5" t="n">
        <v>27366.04</v>
      </c>
      <c r="Z20" s="5" t="n">
        <v>426202.35</v>
      </c>
    </row>
    <row r="21">
      <c r="B21" s="2" t="inlineStr">
        <is>
          <t>3 - Building - Grove Park Housing, LP - Site - 15yr</t>
        </is>
      </c>
      <c r="M21" s="2" t="n">
        <v>185230.12</v>
      </c>
      <c r="O21" s="2" t="n">
        <v>185230.12</v>
      </c>
      <c r="X21" s="5" t="n">
        <v>185230.12</v>
      </c>
      <c r="Z21" s="5" t="n">
        <v>185230.12</v>
      </c>
    </row>
    <row r="22">
      <c r="B22" s="2" t="inlineStr">
        <is>
          <t>3 - Building - Grove Park Housing, LP - 27.5yr</t>
        </is>
      </c>
      <c r="F22" s="2" t="n">
        <v>305340.9300000001</v>
      </c>
      <c r="G22" s="2" t="n">
        <v>278668.06</v>
      </c>
      <c r="H22" s="2" t="n">
        <v>306364.79</v>
      </c>
      <c r="I22" s="2" t="n">
        <v>312323.71</v>
      </c>
      <c r="J22" s="2" t="n">
        <v>319628.9</v>
      </c>
      <c r="L22" s="2" t="n">
        <v>146169.89</v>
      </c>
      <c r="M22" s="2" t="n">
        <v>82116.25</v>
      </c>
      <c r="O22" s="2" t="n">
        <v>1750612.53</v>
      </c>
      <c r="Q22" s="5" t="n">
        <v>305340.9300000001</v>
      </c>
      <c r="R22" s="5" t="n">
        <v>278668.06</v>
      </c>
      <c r="S22" s="5" t="n">
        <v>306364.79</v>
      </c>
      <c r="T22" s="5" t="n">
        <v>312323.71</v>
      </c>
      <c r="U22" s="5" t="n">
        <v>319628.9</v>
      </c>
      <c r="W22" s="5" t="n">
        <v>146169.89</v>
      </c>
      <c r="X22" s="5" t="n">
        <v>82116.25</v>
      </c>
      <c r="Z22" s="5" t="n">
        <v>1750612.53</v>
      </c>
    </row>
    <row r="23">
      <c r="B23" s="2" t="inlineStr">
        <is>
          <t>2 - Land Imp - Grove Park Housing, LP - 5yr</t>
        </is>
      </c>
      <c r="F23" s="2" t="n">
        <v>8187.59</v>
      </c>
      <c r="G23" s="2" t="n">
        <v>7790.52</v>
      </c>
      <c r="H23" s="2" t="n">
        <v>8072.77</v>
      </c>
      <c r="I23" s="2" t="n">
        <v>8405.66</v>
      </c>
      <c r="J23" s="2" t="n">
        <v>8405.66</v>
      </c>
      <c r="L23" s="2" t="n">
        <v>2803.75</v>
      </c>
      <c r="O23" s="2" t="n">
        <v>43665.95</v>
      </c>
      <c r="Q23" s="5" t="n">
        <v>8187.59</v>
      </c>
      <c r="R23" s="5" t="n">
        <v>7790.52</v>
      </c>
      <c r="S23" s="5" t="n">
        <v>8072.77</v>
      </c>
      <c r="T23" s="5" t="n">
        <v>8405.66</v>
      </c>
      <c r="U23" s="5" t="n">
        <v>8405.66</v>
      </c>
      <c r="W23" s="5" t="n">
        <v>2803.75</v>
      </c>
      <c r="Z23" s="5" t="n">
        <v>43665.95</v>
      </c>
    </row>
    <row r="24">
      <c r="B24" s="2" t="inlineStr">
        <is>
          <t>2 - Land Imp - Grove Park Housing, LP - Site - 15yr</t>
        </is>
      </c>
      <c r="M24" s="2" t="n">
        <v>18977.49</v>
      </c>
      <c r="O24" s="2" t="n">
        <v>18977.49</v>
      </c>
      <c r="X24" s="5" t="n">
        <v>18977.49</v>
      </c>
      <c r="Z24" s="5" t="n">
        <v>18977.49</v>
      </c>
    </row>
    <row r="25">
      <c r="B25" s="2" t="inlineStr">
        <is>
          <t>2 - Land Imp - Grove Park Housing, LP - 27.5yr</t>
        </is>
      </c>
      <c r="F25" s="2" t="n">
        <v>31283.28</v>
      </c>
      <c r="G25" s="2" t="n">
        <v>28550.55</v>
      </c>
      <c r="H25" s="2" t="n">
        <v>31388.17</v>
      </c>
      <c r="I25" s="2" t="n">
        <v>31998.69</v>
      </c>
      <c r="J25" s="2" t="n">
        <v>32747.13</v>
      </c>
      <c r="L25" s="2" t="n">
        <v>14975.63</v>
      </c>
      <c r="M25" s="2" t="n">
        <v>8413.109999999997</v>
      </c>
      <c r="O25" s="2" t="n">
        <v>179356.56</v>
      </c>
      <c r="Q25" s="5" t="n">
        <v>31283.28</v>
      </c>
      <c r="R25" s="5" t="n">
        <v>28550.55</v>
      </c>
      <c r="S25" s="5" t="n">
        <v>31388.17</v>
      </c>
      <c r="T25" s="5" t="n">
        <v>31998.69</v>
      </c>
      <c r="U25" s="5" t="n">
        <v>32747.13</v>
      </c>
      <c r="W25" s="5" t="n">
        <v>14975.63</v>
      </c>
      <c r="X25" s="5" t="n">
        <v>8413.109999999997</v>
      </c>
      <c r="Z25" s="5" t="n">
        <v>179356.56</v>
      </c>
    </row>
    <row r="26">
      <c r="B26" s="2" t="inlineStr">
        <is>
          <t>4 - Equipment - Grove Park Housing, LP - 5yr</t>
        </is>
      </c>
      <c r="F26" s="2" t="n">
        <v>6089.95</v>
      </c>
      <c r="G26" s="2" t="n">
        <v>5794.610000000001</v>
      </c>
      <c r="H26" s="2" t="n">
        <v>6004.53</v>
      </c>
      <c r="I26" s="2" t="n">
        <v>6252.15</v>
      </c>
      <c r="J26" s="2" t="n">
        <v>6252.15</v>
      </c>
      <c r="L26" s="2" t="n">
        <v>2085.43</v>
      </c>
      <c r="O26" s="2" t="n">
        <v>32478.82</v>
      </c>
      <c r="Q26" s="5" t="n">
        <v>6089.95</v>
      </c>
      <c r="R26" s="5" t="n">
        <v>5794.610000000001</v>
      </c>
      <c r="S26" s="5" t="n">
        <v>6004.53</v>
      </c>
      <c r="T26" s="5" t="n">
        <v>6252.15</v>
      </c>
      <c r="U26" s="5" t="n">
        <v>6252.15</v>
      </c>
      <c r="W26" s="5" t="n">
        <v>2085.43</v>
      </c>
      <c r="Z26" s="5" t="n">
        <v>32478.82</v>
      </c>
    </row>
    <row r="27">
      <c r="B27" s="2" t="inlineStr">
        <is>
          <t>4 - Equipment - Grove Park Housing, LP - Site - 15yr</t>
        </is>
      </c>
      <c r="M27" s="2" t="n">
        <v>14115.49</v>
      </c>
      <c r="O27" s="2" t="n">
        <v>14115.49</v>
      </c>
      <c r="X27" s="5" t="n">
        <v>14115.49</v>
      </c>
      <c r="Z27" s="5" t="n">
        <v>14115.49</v>
      </c>
    </row>
    <row r="28">
      <c r="B28" s="2" t="inlineStr">
        <is>
          <t>4 - Equipment - Grove Park Housing, LP - 27.5yr</t>
        </is>
      </c>
      <c r="F28" s="2" t="n">
        <v>23268.55</v>
      </c>
      <c r="G28" s="2" t="n">
        <v>21235.94</v>
      </c>
      <c r="H28" s="2" t="n">
        <v>23346.58</v>
      </c>
      <c r="I28" s="2" t="n">
        <v>23800.67</v>
      </c>
      <c r="J28" s="2" t="n">
        <v>24357.37</v>
      </c>
      <c r="L28" s="2" t="n">
        <v>11138.9</v>
      </c>
      <c r="M28" s="2" t="n">
        <v>6257.679999999998</v>
      </c>
      <c r="O28" s="2" t="n">
        <v>133405.69</v>
      </c>
      <c r="Q28" s="5" t="n">
        <v>23268.55</v>
      </c>
      <c r="R28" s="5" t="n">
        <v>21235.94</v>
      </c>
      <c r="S28" s="5" t="n">
        <v>23346.58</v>
      </c>
      <c r="T28" s="5" t="n">
        <v>23800.67</v>
      </c>
      <c r="U28" s="5" t="n">
        <v>24357.37</v>
      </c>
      <c r="W28" s="5" t="n">
        <v>11138.9</v>
      </c>
      <c r="X28" s="5" t="n">
        <v>6257.679999999998</v>
      </c>
      <c r="Z28" s="5" t="n">
        <v>133405.69</v>
      </c>
    </row>
    <row r="32">
      <c r="F32" s="4">
        <f>SUM(F20:F31)</f>
        <v/>
      </c>
      <c r="G32" s="4">
        <f>SUM(G20:G31)</f>
        <v/>
      </c>
      <c r="H32" s="4">
        <f>SUM(H20:H31)</f>
        <v/>
      </c>
      <c r="I32" s="4">
        <f>SUM(I20:I31)</f>
        <v/>
      </c>
      <c r="J32" s="4">
        <f>SUM(J20:J31)</f>
        <v/>
      </c>
      <c r="K32" s="4">
        <f>SUM(K20:K31)</f>
        <v/>
      </c>
      <c r="L32" s="4">
        <f>SUM(L20:L31)</f>
        <v/>
      </c>
      <c r="M32" s="4">
        <f>SUM(M20:M31)</f>
        <v/>
      </c>
    </row>
    <row r="33">
      <c r="B33" s="6" t="inlineStr">
        <is>
          <t>Total MACRS Reclassification</t>
        </is>
      </c>
      <c r="F33" s="7">
        <f>SUM(F20:F31)</f>
        <v/>
      </c>
      <c r="G33" s="7">
        <f>SUM(G20:G31)</f>
        <v/>
      </c>
      <c r="H33" s="7">
        <f>SUM(H20:H31)</f>
        <v/>
      </c>
      <c r="I33" s="7">
        <f>SUM(I20:I31)</f>
        <v/>
      </c>
      <c r="J33" s="7">
        <f>SUM(J20:J31)</f>
        <v/>
      </c>
      <c r="K33" s="7">
        <f>SUM(K20:K31)</f>
        <v/>
      </c>
      <c r="L33" s="7">
        <f>SUM(L20:L31)</f>
        <v/>
      </c>
      <c r="M33" s="7">
        <f>SUM(M20:M31)</f>
        <v/>
      </c>
      <c r="O33" s="7" t="n">
        <v>2870392</v>
      </c>
    </row>
    <row r="35">
      <c r="B35" s="1" t="inlineStr">
        <is>
          <t>Difference (should be zero)</t>
        </is>
      </c>
      <c r="F35" s="8">
        <f>+F16-F33</f>
        <v/>
      </c>
      <c r="G35" s="8">
        <f>+G16-G33</f>
        <v/>
      </c>
      <c r="H35" s="8">
        <f>+H16-H33</f>
        <v/>
      </c>
      <c r="I35" s="8">
        <f>+I16-I33</f>
        <v/>
      </c>
      <c r="J35" s="8">
        <f>+J16-J33</f>
        <v/>
      </c>
      <c r="K35" s="8">
        <f>+K16-K33</f>
        <v/>
      </c>
      <c r="L35" s="8">
        <f>+L16-L33</f>
        <v/>
      </c>
      <c r="M35" s="8">
        <f>+M16-M33</f>
        <v/>
      </c>
    </row>
    <row r="37">
      <c r="B37" s="1" t="inlineStr">
        <is>
          <t>End Depreciation Reconciliation</t>
        </is>
      </c>
    </row>
    <row r="38">
      <c r="B38" s="2" t="inlineStr">
        <is>
          <t>Before Cost Segregation (As Previously Filed)</t>
        </is>
      </c>
      <c r="F38" s="5" t="n">
        <v>127790.21</v>
      </c>
      <c r="G38" s="5" t="n">
        <v>117657.22</v>
      </c>
      <c r="H38" s="5" t="n">
        <v>127758.05</v>
      </c>
      <c r="I38" s="5" t="n">
        <v>130812.43</v>
      </c>
      <c r="J38" s="5" t="n">
        <v>133235.56</v>
      </c>
      <c r="K38" s="5" t="n">
        <v>26548</v>
      </c>
      <c r="L38" s="5" t="n">
        <v>57562.21</v>
      </c>
      <c r="M38" s="5" t="n">
        <v>88679.32000000001</v>
      </c>
      <c r="O38" s="5" t="n">
        <v>810043</v>
      </c>
    </row>
    <row r="39">
      <c r="B39" s="2" t="inlineStr">
        <is>
          <t>3 - Building - Grove Park Housing, LP - 5yr</t>
        </is>
      </c>
      <c r="F39" s="5" t="n">
        <v>26269.75144888366</v>
      </c>
      <c r="G39" s="5" t="n">
        <v>25442.6077988151</v>
      </c>
      <c r="H39" s="5" t="n">
        <v>25710.62023799263</v>
      </c>
      <c r="I39" s="5" t="n">
        <v>27011.44962575984</v>
      </c>
      <c r="J39" s="5" t="n">
        <v>26748.52510460616</v>
      </c>
      <c r="L39" s="5" t="n">
        <v>7842.961119022212</v>
      </c>
      <c r="O39" s="5" t="n">
        <v>139025.9153350796</v>
      </c>
    </row>
    <row r="40">
      <c r="B40" s="2" t="inlineStr">
        <is>
          <t>3 - Building - Grove Park Housing, LP - Site - 15yr</t>
        </is>
      </c>
      <c r="M40" s="5" t="n">
        <v>137042.6353208919</v>
      </c>
      <c r="O40" s="5" t="n">
        <v>137042.6353208919</v>
      </c>
    </row>
    <row r="41">
      <c r="B41" s="2" t="inlineStr">
        <is>
          <t>3 - Building - Grove Park Housing, LP - 27.5yr</t>
        </is>
      </c>
      <c r="F41" s="5" t="n">
        <v>100371.8235472592</v>
      </c>
      <c r="G41" s="5" t="n">
        <v>93241.55503680489</v>
      </c>
      <c r="H41" s="5" t="n">
        <v>99966.88558222503</v>
      </c>
      <c r="I41" s="5" t="n">
        <v>102827.1927948023</v>
      </c>
      <c r="J41" s="5" t="n">
        <v>104207.9885520381</v>
      </c>
      <c r="L41" s="5" t="n">
        <v>41891.51093990046</v>
      </c>
      <c r="M41" s="5" t="n">
        <v>60753.76565468506</v>
      </c>
      <c r="O41" s="5" t="n">
        <v>603260.7221077151</v>
      </c>
    </row>
    <row r="42">
      <c r="B42" s="2" t="inlineStr">
        <is>
          <t>2 - Land Imp - Grove Park Housing, LP - 5yr</t>
        </is>
      </c>
      <c r="F42" s="5" t="n">
        <v>2691.428688441159</v>
      </c>
      <c r="G42" s="5" t="n">
        <v>2606.686246516121</v>
      </c>
      <c r="H42" s="5" t="n">
        <v>2634.146289857978</v>
      </c>
      <c r="I42" s="5" t="n">
        <v>2767.418526718826</v>
      </c>
      <c r="J42" s="5" t="n">
        <v>2740.480979824805</v>
      </c>
      <c r="L42" s="5" t="n">
        <v>803.5397974079744</v>
      </c>
      <c r="O42" s="5" t="n">
        <v>14243.70052876687</v>
      </c>
    </row>
    <row r="43">
      <c r="B43" s="2" t="inlineStr">
        <is>
          <t>2 - Land Imp - Grove Park Housing, LP - Site - 15yr</t>
        </is>
      </c>
      <c r="M43" s="5" t="n">
        <v>14040.50940190436</v>
      </c>
      <c r="O43" s="5" t="n">
        <v>14040.50940190436</v>
      </c>
    </row>
    <row r="44">
      <c r="B44" s="2" t="inlineStr">
        <is>
          <t>2 - Land Imp - Grove Park Housing, LP - 27.5yr</t>
        </is>
      </c>
      <c r="F44" s="5" t="n">
        <v>10283.45548086037</v>
      </c>
      <c r="G44" s="5" t="n">
        <v>9552.93433756294</v>
      </c>
      <c r="H44" s="5" t="n">
        <v>10241.96546550088</v>
      </c>
      <c r="I44" s="5" t="n">
        <v>10535.01658843356</v>
      </c>
      <c r="J44" s="5" t="n">
        <v>10676.48309696684</v>
      </c>
      <c r="L44" s="5" t="n">
        <v>4291.935691932871</v>
      </c>
      <c r="M44" s="5" t="n">
        <v>6224.44538525672</v>
      </c>
      <c r="O44" s="5" t="n">
        <v>61806.23604651417</v>
      </c>
    </row>
    <row r="45">
      <c r="B45" s="2" t="inlineStr">
        <is>
          <t>4 - Equipment - Grove Park Housing, LP - 5yr</t>
        </is>
      </c>
      <c r="F45" s="5" t="n">
        <v>2001.891416298597</v>
      </c>
      <c r="G45" s="5" t="n">
        <v>1938.860331649849</v>
      </c>
      <c r="H45" s="5" t="n">
        <v>1959.279209223219</v>
      </c>
      <c r="I45" s="5" t="n">
        <v>2058.412515117802</v>
      </c>
      <c r="J45" s="5" t="n">
        <v>2038.376303349369</v>
      </c>
      <c r="L45" s="5" t="n">
        <v>597.6731162580516</v>
      </c>
      <c r="O45" s="5" t="n">
        <v>10594.49289189689</v>
      </c>
    </row>
    <row r="46">
      <c r="B46" s="2" t="inlineStr">
        <is>
          <t>4 - Equipment - Grove Park Housing, LP - Site - 15yr</t>
        </is>
      </c>
      <c r="M46" s="5" t="n">
        <v>10443.35526233907</v>
      </c>
      <c r="O46" s="5" t="n">
        <v>10443.35526233907</v>
      </c>
    </row>
    <row r="47">
      <c r="B47" s="2" t="inlineStr">
        <is>
          <t>4 - Equipment - Grove Park Housing, LP - 27.5yr</t>
        </is>
      </c>
      <c r="F47" s="5" t="n">
        <v>7648.849418257085</v>
      </c>
      <c r="G47" s="5" t="n">
        <v>7105.486248651124</v>
      </c>
      <c r="H47" s="5" t="n">
        <v>7617.993215200296</v>
      </c>
      <c r="I47" s="5" t="n">
        <v>7835.959949167698</v>
      </c>
      <c r="J47" s="5" t="n">
        <v>7941.185963214706</v>
      </c>
      <c r="L47" s="5" t="n">
        <v>3192.349335478444</v>
      </c>
      <c r="M47" s="5" t="n">
        <v>4629.748974922862</v>
      </c>
      <c r="O47" s="5" t="n">
        <v>45971.57310489221</v>
      </c>
    </row>
    <row r="51">
      <c r="B51" s="2" t="inlineStr">
        <is>
          <t>After Cost Segregation (Corrected)</t>
        </is>
      </c>
      <c r="F51" s="9" t="n">
        <v>149267.2</v>
      </c>
      <c r="G51" s="9" t="n">
        <v>139888.13</v>
      </c>
      <c r="H51" s="9" t="n">
        <v>148130.89</v>
      </c>
      <c r="I51" s="9" t="n">
        <v>153035.45</v>
      </c>
      <c r="J51" s="9" t="n">
        <v>154353.04</v>
      </c>
      <c r="K51" s="9" t="n">
        <v>31487.4</v>
      </c>
      <c r="L51" s="9" t="n">
        <v>58619.97</v>
      </c>
      <c r="M51" s="9" t="n">
        <v>233134.46</v>
      </c>
      <c r="O51" s="9" t="n">
        <v>1067916.54</v>
      </c>
    </row>
    <row r="52">
      <c r="B52" s="10" t="inlineStr">
        <is>
          <t>Section 481(a) Adjustment</t>
        </is>
      </c>
      <c r="F52" s="11" t="n">
        <v>-21476.99</v>
      </c>
      <c r="G52" s="11" t="n">
        <v>-22230.91</v>
      </c>
      <c r="H52" s="11" t="n">
        <v>-20372.84</v>
      </c>
      <c r="I52" s="11" t="n">
        <v>-22223.02</v>
      </c>
      <c r="J52" s="11" t="n">
        <v>-21117.48</v>
      </c>
      <c r="K52" s="11" t="n">
        <v>-4939.4</v>
      </c>
      <c r="L52" s="11" t="n">
        <v>-1057.76</v>
      </c>
      <c r="M52" s="11" t="n">
        <v>-144455.14</v>
      </c>
      <c r="O52" s="11" t="n">
        <v>-257873.54</v>
      </c>
    </row>
    <row r="53">
      <c r="F53">
        <f>SUM(F39:F50)</f>
        <v/>
      </c>
      <c r="G53">
        <f>SUM(G39:G50)</f>
        <v/>
      </c>
      <c r="H53">
        <f>SUM(H39:H50)</f>
        <v/>
      </c>
      <c r="I53">
        <f>SUM(I39:I50)</f>
        <v/>
      </c>
      <c r="J53">
        <f>SUM(J39:J50)</f>
        <v/>
      </c>
      <c r="K53">
        <f>SUM(K39:K50)</f>
        <v/>
      </c>
      <c r="L53">
        <f>SUM(L39:L50)</f>
        <v/>
      </c>
      <c r="M53">
        <f>SUM(M39:M50)</f>
        <v/>
      </c>
    </row>
    <row r="54">
      <c r="F54" s="12">
        <f>F53-F51</f>
        <v/>
      </c>
      <c r="G54" s="12">
        <f>G53-G51</f>
        <v/>
      </c>
      <c r="H54" s="12">
        <f>H53-H51</f>
        <v/>
      </c>
      <c r="I54" s="12">
        <f>I53-I51</f>
        <v/>
      </c>
      <c r="J54" s="12">
        <f>J53-J51</f>
        <v/>
      </c>
      <c r="K54" s="12">
        <f>K53-K51</f>
        <v/>
      </c>
      <c r="L54" s="12">
        <f>L53-L51</f>
        <v/>
      </c>
      <c r="M54" s="12">
        <f>M53-M51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Grove Park Housing, LP</t>
        </is>
      </c>
    </row>
    <row r="2">
      <c r="A2" s="2" t="inlineStr">
        <is>
          <t>Cost Segregation Study - Bldg 1</t>
        </is>
      </c>
    </row>
    <row r="3">
      <c r="A3" s="2" t="inlineStr">
        <is>
          <t>Report #107752-14</t>
        </is>
      </c>
    </row>
    <row r="5">
      <c r="A5" s="2" t="inlineStr">
        <is>
          <t>Acquisition Date:</t>
        </is>
      </c>
      <c r="B5" s="2" t="inlineStr">
        <is>
          <t>10/30/20</t>
        </is>
      </c>
    </row>
    <row r="8">
      <c r="A8" s="1" t="inlineStr">
        <is>
          <t>Grove Park Housing, LP - Bldg 1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3" t="inlineStr">
        <is>
          <t>Building Components</t>
        </is>
      </c>
    </row>
    <row r="16">
      <c r="A16" s="2" t="inlineStr">
        <is>
          <t>Cabinets / Millwork</t>
        </is>
      </c>
      <c r="B16" s="14" t="n">
        <v>13460.19</v>
      </c>
      <c r="C16" s="14" t="n">
        <v>13460.19</v>
      </c>
    </row>
    <row r="17">
      <c r="A17" s="2" t="inlineStr">
        <is>
          <t>Moldings</t>
        </is>
      </c>
      <c r="B17" s="14" t="n">
        <v>8863.880000000001</v>
      </c>
      <c r="C17" s="14" t="n">
        <v>8863.880000000001</v>
      </c>
    </row>
    <row r="18">
      <c r="A18" s="2" t="inlineStr">
        <is>
          <t>Flooring - Vinyl Plank</t>
        </is>
      </c>
      <c r="B18" s="14" t="n">
        <v>33857.28</v>
      </c>
      <c r="C18" s="14" t="n">
        <v>33857.28</v>
      </c>
    </row>
    <row r="19">
      <c r="A19" s="2" t="inlineStr">
        <is>
          <t>Window Treatments</t>
        </is>
      </c>
      <c r="B19" s="14" t="n">
        <v>3263.85</v>
      </c>
      <c r="C19" s="14" t="n">
        <v>3263.85</v>
      </c>
    </row>
    <row r="20">
      <c r="A20" s="2" t="inlineStr">
        <is>
          <t>Building Signage</t>
        </is>
      </c>
      <c r="B20" s="14" t="n">
        <v>199.25</v>
      </c>
      <c r="C20" s="14" t="n">
        <v>199.25</v>
      </c>
    </row>
    <row r="21">
      <c r="A21" s="2" t="inlineStr">
        <is>
          <t>Specialty Electrical - Appliances</t>
        </is>
      </c>
      <c r="B21" s="14" t="n">
        <v>7199.04</v>
      </c>
      <c r="C21" s="14" t="n">
        <v>7199.04</v>
      </c>
    </row>
    <row r="22">
      <c r="A22" s="2" t="inlineStr">
        <is>
          <t>Communication / Data</t>
        </is>
      </c>
      <c r="B22" s="14" t="n">
        <v>2957.54</v>
      </c>
      <c r="C22" s="14" t="n">
        <v>2957.54</v>
      </c>
    </row>
    <row r="23">
      <c r="A23" s="2" t="inlineStr">
        <is>
          <t>Specialty Plumbing - Kitchen Sinks / Laundry</t>
        </is>
      </c>
      <c r="B23" s="14" t="n">
        <v>10047.72</v>
      </c>
      <c r="C23" s="14" t="n">
        <v>10047.72</v>
      </c>
    </row>
    <row r="24">
      <c r="A24" s="2" t="inlineStr">
        <is>
          <t>Security / Exterior Lighting</t>
        </is>
      </c>
      <c r="B24" s="14" t="n">
        <v>1797.27</v>
      </c>
      <c r="C24" s="14" t="n">
        <v>1797.27</v>
      </c>
    </row>
    <row r="25">
      <c r="A25" s="2" t="inlineStr">
        <is>
          <t>Appliances</t>
        </is>
      </c>
      <c r="B25" s="14" t="n">
        <v>12546.68</v>
      </c>
      <c r="C25" s="14" t="n">
        <v>12546.68</v>
      </c>
    </row>
    <row r="27">
      <c r="A27" s="13" t="inlineStr">
        <is>
          <t>Building Structure</t>
        </is>
      </c>
    </row>
    <row r="28">
      <c r="A28" s="2" t="inlineStr">
        <is>
          <t>Roofing Systems</t>
        </is>
      </c>
      <c r="B28" s="14" t="n">
        <v>13938.65</v>
      </c>
      <c r="F28" s="14" t="n">
        <v>13938.65</v>
      </c>
    </row>
    <row r="29">
      <c r="A29" s="2" t="inlineStr">
        <is>
          <t>Foundations</t>
        </is>
      </c>
      <c r="B29" s="14" t="n">
        <v>23175.05</v>
      </c>
      <c r="F29" s="14" t="n">
        <v>23175.05</v>
      </c>
    </row>
    <row r="30">
      <c r="A30" s="2" t="inlineStr">
        <is>
          <t>HVAC</t>
        </is>
      </c>
      <c r="B30" s="14" t="n">
        <v>33234.48</v>
      </c>
      <c r="F30" s="14" t="n">
        <v>33234.48</v>
      </c>
    </row>
    <row r="31">
      <c r="A31" s="2" t="inlineStr">
        <is>
          <t>Electrical</t>
        </is>
      </c>
      <c r="B31" s="14" t="n">
        <v>35980.1</v>
      </c>
      <c r="F31" s="14" t="n">
        <v>35980.1</v>
      </c>
    </row>
    <row r="32">
      <c r="A32" s="2" t="inlineStr">
        <is>
          <t>Plumbing</t>
        </is>
      </c>
      <c r="B32" s="14" t="n">
        <v>28890.57</v>
      </c>
      <c r="F32" s="14" t="n">
        <v>28890.57</v>
      </c>
    </row>
    <row r="33">
      <c r="A33" s="2" t="inlineStr">
        <is>
          <t>Fire Protection &amp; Alarm</t>
        </is>
      </c>
      <c r="B33" s="14" t="n">
        <v>1919.47</v>
      </c>
      <c r="F33" s="14" t="n">
        <v>1919.47</v>
      </c>
    </row>
    <row r="34">
      <c r="A34" s="2" t="inlineStr">
        <is>
          <t>Exterior Façade / Building Skin</t>
        </is>
      </c>
      <c r="B34" s="14" t="n">
        <v>37996.67</v>
      </c>
      <c r="F34" s="14" t="n">
        <v>37996.67</v>
      </c>
    </row>
    <row r="35">
      <c r="A35" s="2" t="inlineStr">
        <is>
          <t>Doors &amp; Frames</t>
        </is>
      </c>
      <c r="B35" s="14" t="n">
        <v>24344.21</v>
      </c>
      <c r="F35" s="14" t="n">
        <v>24344.21</v>
      </c>
    </row>
    <row r="36">
      <c r="A36" s="2" t="inlineStr">
        <is>
          <t>Windows</t>
        </is>
      </c>
      <c r="B36" s="14" t="n">
        <v>14385.72</v>
      </c>
      <c r="F36" s="14" t="n">
        <v>14385.72</v>
      </c>
    </row>
    <row r="37">
      <c r="A37" s="2" t="inlineStr">
        <is>
          <t>Ceiling Systems</t>
        </is>
      </c>
      <c r="B37" s="14" t="n">
        <v>15078.71</v>
      </c>
      <c r="F37" s="14" t="n">
        <v>15078.71</v>
      </c>
    </row>
    <row r="38">
      <c r="A38" s="2" t="inlineStr">
        <is>
          <t>Interior Framing / Partitions</t>
        </is>
      </c>
      <c r="B38" s="14" t="n">
        <v>38493.03</v>
      </c>
      <c r="F38" s="14" t="n">
        <v>38493.03</v>
      </c>
    </row>
    <row r="39">
      <c r="A39" s="2" t="inlineStr">
        <is>
          <t>Painting</t>
        </is>
      </c>
      <c r="B39" s="14" t="n">
        <v>16746.67</v>
      </c>
      <c r="F39" s="14" t="n">
        <v>16746.67</v>
      </c>
    </row>
    <row r="40">
      <c r="A40" s="2" t="inlineStr">
        <is>
          <t>Gutter Systems</t>
        </is>
      </c>
      <c r="B40" s="14" t="n">
        <v>1740.2</v>
      </c>
      <c r="F40" s="14" t="n">
        <v>1740.2</v>
      </c>
    </row>
    <row r="41">
      <c r="A41" s="2" t="inlineStr">
        <is>
          <t>Structural Framing</t>
        </is>
      </c>
      <c r="B41" s="14" t="n">
        <v>56850.60000000001</v>
      </c>
      <c r="F41" s="14" t="n">
        <v>56850.60000000001</v>
      </c>
    </row>
    <row r="42">
      <c r="A42" s="2" t="inlineStr">
        <is>
          <t>Stairs / Balconies</t>
        </is>
      </c>
      <c r="B42" s="14" t="n">
        <v>10679</v>
      </c>
      <c r="F42" s="14" t="n">
        <v>10679</v>
      </c>
    </row>
    <row r="43">
      <c r="A43" s="2" t="inlineStr">
        <is>
          <t>Bathroom Accessories</t>
        </is>
      </c>
      <c r="B43" s="14" t="n">
        <v>3863.69</v>
      </c>
      <c r="F43" s="14" t="n">
        <v>3863.69</v>
      </c>
    </row>
    <row r="44">
      <c r="A44" s="2" t="inlineStr">
        <is>
          <t>Cabinets / Millwork - Restrooms</t>
        </is>
      </c>
      <c r="B44" s="14" t="n">
        <v>2575.94</v>
      </c>
      <c r="F44" s="14" t="n">
        <v>2575.94</v>
      </c>
    </row>
    <row r="46">
      <c r="A46" s="6" t="inlineStr">
        <is>
          <t>Total Building Cost</t>
        </is>
      </c>
      <c r="B46" s="15" t="n">
        <v>454085.46</v>
      </c>
      <c r="C46" s="15" t="n">
        <v>94192.69999999998</v>
      </c>
      <c r="F46" s="15" t="n">
        <v>359892.76</v>
      </c>
    </row>
    <row r="47">
      <c r="A47" s="2" t="inlineStr">
        <is>
          <t>% of Building Cost</t>
        </is>
      </c>
      <c r="C47" s="16" t="n">
        <v>0.207</v>
      </c>
      <c r="F47" s="16" t="n">
        <v>0.793</v>
      </c>
    </row>
    <row r="49">
      <c r="A49" s="1" t="inlineStr">
        <is>
          <t>Asset Allocation:</t>
        </is>
      </c>
    </row>
    <row r="50">
      <c r="A50" s="2" t="inlineStr">
        <is>
          <t>Asset # 3-Building-Peters Street</t>
        </is>
      </c>
      <c r="B50" s="14" t="n">
        <v>385256.09</v>
      </c>
      <c r="C50" s="14" t="n">
        <v>79915.16</v>
      </c>
      <c r="F50" s="14" t="n">
        <v>305340.9300000001</v>
      </c>
    </row>
    <row r="51">
      <c r="A51" s="2" t="inlineStr">
        <is>
          <t>Asset # 2-Land Improvements-Peters Street</t>
        </is>
      </c>
      <c r="B51" s="14" t="n">
        <v>39470.87</v>
      </c>
      <c r="C51" s="14" t="n">
        <v>8187.59</v>
      </c>
      <c r="F51" s="14" t="n">
        <v>31283.28</v>
      </c>
    </row>
    <row r="52">
      <c r="A52" s="2" t="inlineStr">
        <is>
          <t>Asset # 4-Equipmet-Peters Street</t>
        </is>
      </c>
      <c r="B52" s="14" t="n">
        <v>29358.5</v>
      </c>
      <c r="C52" s="14" t="n">
        <v>6089.95</v>
      </c>
      <c r="F52" s="14" t="n">
        <v>23268.55</v>
      </c>
    </row>
    <row r="53">
      <c r="A53" s="6" t="inlineStr">
        <is>
          <t>Total Allocation:</t>
        </is>
      </c>
      <c r="B53" s="15" t="n">
        <v>454085.46</v>
      </c>
      <c r="C53" s="15" t="n">
        <v>94192.69999999998</v>
      </c>
      <c r="F53" s="15" t="n">
        <v>359892.76</v>
      </c>
    </row>
    <row r="55">
      <c r="A55" s="1" t="inlineStr">
        <is>
          <t>End Depreciation Reconciliation</t>
        </is>
      </c>
    </row>
    <row r="56">
      <c r="A56" s="2" t="inlineStr">
        <is>
          <t>Before Cost Segregation (As Previously Filed)</t>
        </is>
      </c>
      <c r="B56" s="5" t="n">
        <v>127790.21</v>
      </c>
    </row>
    <row r="57">
      <c r="A57" s="2" t="inlineStr">
        <is>
          <t>After Cost Segregation (Corrected)</t>
        </is>
      </c>
      <c r="B57" s="9" t="n">
        <v>149267.2</v>
      </c>
    </row>
    <row r="58">
      <c r="A58" s="10" t="inlineStr">
        <is>
          <t>Section 481(a) Adjustment</t>
        </is>
      </c>
      <c r="B58" s="17" t="n">
        <v>-21476.99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Grove Park Housing, LP</t>
        </is>
      </c>
    </row>
    <row r="2">
      <c r="A2" s="2" t="inlineStr">
        <is>
          <t>Cost Segregation Study - Bldg 2</t>
        </is>
      </c>
    </row>
    <row r="3">
      <c r="A3" s="2" t="inlineStr">
        <is>
          <t>Report #107752-14</t>
        </is>
      </c>
    </row>
    <row r="5">
      <c r="A5" s="2" t="inlineStr">
        <is>
          <t>Acquisition Date:</t>
        </is>
      </c>
      <c r="B5" s="2" t="inlineStr">
        <is>
          <t>10/30/20</t>
        </is>
      </c>
    </row>
    <row r="8">
      <c r="A8" s="1" t="inlineStr">
        <is>
          <t>Grove Park Housing, LP - Bldg 2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3" t="inlineStr">
        <is>
          <t>Building Components</t>
        </is>
      </c>
    </row>
    <row r="16">
      <c r="A16" s="2" t="inlineStr">
        <is>
          <t>Cabinets / Millwork</t>
        </is>
      </c>
      <c r="B16" s="14" t="n">
        <v>12955.58</v>
      </c>
      <c r="C16" s="14" t="n">
        <v>12955.58</v>
      </c>
    </row>
    <row r="17">
      <c r="A17" s="2" t="inlineStr">
        <is>
          <t>Moldings</t>
        </is>
      </c>
      <c r="B17" s="14" t="n">
        <v>7814.7</v>
      </c>
      <c r="C17" s="14" t="n">
        <v>7814.7</v>
      </c>
    </row>
    <row r="18">
      <c r="A18" s="2" t="inlineStr">
        <is>
          <t>Flooring - Vinyl Plank</t>
        </is>
      </c>
      <c r="B18" s="14" t="n">
        <v>31009.21</v>
      </c>
      <c r="C18" s="14" t="n">
        <v>31009.21</v>
      </c>
    </row>
    <row r="19">
      <c r="A19" s="2" t="inlineStr">
        <is>
          <t>Window Treatments</t>
        </is>
      </c>
      <c r="B19" s="14" t="n">
        <v>3263.85</v>
      </c>
      <c r="C19" s="14" t="n">
        <v>3263.85</v>
      </c>
    </row>
    <row r="20">
      <c r="A20" s="2" t="inlineStr">
        <is>
          <t>Building Signage</t>
        </is>
      </c>
      <c r="B20" s="14" t="n">
        <v>281.84</v>
      </c>
      <c r="C20" s="14" t="n">
        <v>281.84</v>
      </c>
    </row>
    <row r="21">
      <c r="A21" s="2" t="inlineStr">
        <is>
          <t>Specialty Electrical - Appliances</t>
        </is>
      </c>
      <c r="B21" s="14" t="n">
        <v>7199.04</v>
      </c>
      <c r="C21" s="14" t="n">
        <v>7199.04</v>
      </c>
    </row>
    <row r="22">
      <c r="A22" s="2" t="inlineStr">
        <is>
          <t>Communication / Data</t>
        </is>
      </c>
      <c r="B22" s="14" t="n">
        <v>2708.75</v>
      </c>
      <c r="C22" s="14" t="n">
        <v>2708.75</v>
      </c>
    </row>
    <row r="23">
      <c r="A23" s="2" t="inlineStr">
        <is>
          <t>Specialty Plumbing - Kitchen Sinks / Laundry</t>
        </is>
      </c>
      <c r="B23" s="14" t="n">
        <v>10047.72</v>
      </c>
      <c r="C23" s="14" t="n">
        <v>10047.72</v>
      </c>
    </row>
    <row r="24">
      <c r="A24" s="2" t="inlineStr">
        <is>
          <t>Security / Exterior Lighting</t>
        </is>
      </c>
      <c r="B24" s="14" t="n">
        <v>1797.27</v>
      </c>
      <c r="C24" s="14" t="n">
        <v>1797.27</v>
      </c>
    </row>
    <row r="25">
      <c r="A25" s="2" t="inlineStr">
        <is>
          <t>Appliances</t>
        </is>
      </c>
      <c r="B25" s="14" t="n">
        <v>12546.68</v>
      </c>
      <c r="C25" s="14" t="n">
        <v>12546.68</v>
      </c>
    </row>
    <row r="27">
      <c r="A27" s="13" t="inlineStr">
        <is>
          <t>Building Structure</t>
        </is>
      </c>
    </row>
    <row r="28">
      <c r="A28" s="2" t="inlineStr">
        <is>
          <t>Roofing Systems</t>
        </is>
      </c>
      <c r="B28" s="14" t="n">
        <v>11905.28</v>
      </c>
      <c r="F28" s="14" t="n">
        <v>11905.28</v>
      </c>
    </row>
    <row r="29">
      <c r="A29" s="2" t="inlineStr">
        <is>
          <t>Foundations</t>
        </is>
      </c>
      <c r="B29" s="14" t="n">
        <v>21103.9</v>
      </c>
      <c r="F29" s="14" t="n">
        <v>21103.9</v>
      </c>
    </row>
    <row r="30">
      <c r="A30" s="2" t="inlineStr">
        <is>
          <t>HVAC</t>
        </is>
      </c>
      <c r="B30" s="14" t="n">
        <v>30438.8</v>
      </c>
      <c r="F30" s="14" t="n">
        <v>30438.8</v>
      </c>
    </row>
    <row r="31">
      <c r="A31" s="2" t="inlineStr">
        <is>
          <t>Electrical</t>
        </is>
      </c>
      <c r="B31" s="14" t="n">
        <v>32953.46</v>
      </c>
      <c r="F31" s="14" t="n">
        <v>32953.46</v>
      </c>
    </row>
    <row r="32">
      <c r="A32" s="2" t="inlineStr">
        <is>
          <t>Plumbing</t>
        </is>
      </c>
      <c r="B32" s="14" t="n">
        <v>26460.29</v>
      </c>
      <c r="F32" s="14" t="n">
        <v>26460.29</v>
      </c>
    </row>
    <row r="33">
      <c r="A33" s="2" t="inlineStr">
        <is>
          <t>Fire Protection &amp; Alarm</t>
        </is>
      </c>
      <c r="B33" s="14" t="n">
        <v>1706.2</v>
      </c>
      <c r="F33" s="14" t="n">
        <v>1706.2</v>
      </c>
    </row>
    <row r="34">
      <c r="A34" s="2" t="inlineStr">
        <is>
          <t>Exterior Façade / Building Skin</t>
        </is>
      </c>
      <c r="B34" s="14" t="n">
        <v>32377.33</v>
      </c>
      <c r="F34" s="14" t="n">
        <v>32377.33</v>
      </c>
    </row>
    <row r="35">
      <c r="A35" s="2" t="inlineStr">
        <is>
          <t>Doors &amp; Frames</t>
        </is>
      </c>
      <c r="B35" s="14" t="n">
        <v>21744.5</v>
      </c>
      <c r="F35" s="14" t="n">
        <v>21744.5</v>
      </c>
    </row>
    <row r="36">
      <c r="A36" s="2" t="inlineStr">
        <is>
          <t>Windows</t>
        </is>
      </c>
      <c r="B36" s="14" t="n">
        <v>14385.72</v>
      </c>
      <c r="F36" s="14" t="n">
        <v>14385.72</v>
      </c>
    </row>
    <row r="37">
      <c r="A37" s="2" t="inlineStr">
        <is>
          <t>Ceiling Systems</t>
        </is>
      </c>
      <c r="B37" s="14" t="n">
        <v>13810.29</v>
      </c>
      <c r="F37" s="14" t="n">
        <v>13810.29</v>
      </c>
    </row>
    <row r="38">
      <c r="A38" s="2" t="inlineStr">
        <is>
          <t>Interior Framing / Partitions</t>
        </is>
      </c>
      <c r="B38" s="14" t="n">
        <v>33717.23</v>
      </c>
      <c r="F38" s="14" t="n">
        <v>33717.23</v>
      </c>
    </row>
    <row r="39">
      <c r="A39" s="2" t="inlineStr">
        <is>
          <t>Painting</t>
        </is>
      </c>
      <c r="B39" s="14" t="n">
        <v>14723.39</v>
      </c>
      <c r="F39" s="14" t="n">
        <v>14723.39</v>
      </c>
    </row>
    <row r="40">
      <c r="A40" s="2" t="inlineStr">
        <is>
          <t>Gutter Systems</t>
        </is>
      </c>
      <c r="B40" s="14" t="n">
        <v>1691.32</v>
      </c>
      <c r="F40" s="14" t="n">
        <v>1691.32</v>
      </c>
    </row>
    <row r="41">
      <c r="A41" s="2" t="inlineStr">
        <is>
          <t>Structural Framing</t>
        </is>
      </c>
      <c r="B41" s="14" t="n">
        <v>49611.06</v>
      </c>
      <c r="F41" s="14" t="n">
        <v>49611.06</v>
      </c>
    </row>
    <row r="42">
      <c r="A42" s="2" t="inlineStr">
        <is>
          <t>Stairs / Balconies</t>
        </is>
      </c>
      <c r="B42" s="14" t="n">
        <v>16018.5</v>
      </c>
      <c r="F42" s="14" t="n">
        <v>16018.5</v>
      </c>
    </row>
    <row r="43">
      <c r="A43" s="2" t="inlineStr">
        <is>
          <t>Bathroom Accessories</t>
        </is>
      </c>
      <c r="B43" s="14" t="n">
        <v>4089.99</v>
      </c>
      <c r="F43" s="14" t="n">
        <v>4089.99</v>
      </c>
    </row>
    <row r="44">
      <c r="A44" s="2" t="inlineStr">
        <is>
          <t>Cabinets / Millwork - Restrooms</t>
        </is>
      </c>
      <c r="B44" s="14" t="n">
        <v>1717.29</v>
      </c>
      <c r="F44" s="14" t="n">
        <v>1717.29</v>
      </c>
    </row>
    <row r="46">
      <c r="A46" s="6" t="inlineStr">
        <is>
          <t>Total Building Cost</t>
        </is>
      </c>
      <c r="B46" s="15" t="n">
        <v>418079.1899999999</v>
      </c>
      <c r="C46" s="15" t="n">
        <v>89624.63999999998</v>
      </c>
      <c r="F46" s="15" t="n">
        <v>328454.55</v>
      </c>
    </row>
    <row r="47">
      <c r="A47" s="2" t="inlineStr">
        <is>
          <t>% of Building Cost</t>
        </is>
      </c>
      <c r="C47" s="16" t="n">
        <v>0.214</v>
      </c>
      <c r="F47" s="16" t="n">
        <v>0.786</v>
      </c>
    </row>
    <row r="49">
      <c r="A49" s="1" t="inlineStr">
        <is>
          <t>Asset Allocation:</t>
        </is>
      </c>
    </row>
    <row r="50">
      <c r="A50" s="2" t="inlineStr">
        <is>
          <t>Asset # 3-Building-Peters Street</t>
        </is>
      </c>
      <c r="B50" s="14" t="n">
        <v>354707.57</v>
      </c>
      <c r="C50" s="14" t="n">
        <v>76039.50999999999</v>
      </c>
      <c r="F50" s="14" t="n">
        <v>278668.06</v>
      </c>
    </row>
    <row r="51">
      <c r="A51" s="2" t="inlineStr">
        <is>
          <t>Asset # 2-Land Improvements-Peters Street</t>
        </is>
      </c>
      <c r="B51" s="14" t="n">
        <v>36341.07</v>
      </c>
      <c r="C51" s="14" t="n">
        <v>7790.52</v>
      </c>
      <c r="F51" s="14" t="n">
        <v>28550.55</v>
      </c>
    </row>
    <row r="52">
      <c r="A52" s="2" t="inlineStr">
        <is>
          <t>Asset # 4-Equipmet-Peters Street</t>
        </is>
      </c>
      <c r="B52" s="14" t="n">
        <v>27030.55</v>
      </c>
      <c r="C52" s="14" t="n">
        <v>5794.610000000001</v>
      </c>
      <c r="F52" s="14" t="n">
        <v>21235.94</v>
      </c>
    </row>
    <row r="53">
      <c r="A53" s="6" t="inlineStr">
        <is>
          <t>Total Allocation:</t>
        </is>
      </c>
      <c r="B53" s="15" t="n">
        <v>418079.1899999999</v>
      </c>
      <c r="C53" s="15" t="n">
        <v>89624.63999999998</v>
      </c>
      <c r="F53" s="15" t="n">
        <v>328454.55</v>
      </c>
    </row>
    <row r="55">
      <c r="A55" s="1" t="inlineStr">
        <is>
          <t>End Depreciation Reconciliation</t>
        </is>
      </c>
    </row>
    <row r="56">
      <c r="A56" s="2" t="inlineStr">
        <is>
          <t>Before Cost Segregation (As Previously Filed)</t>
        </is>
      </c>
      <c r="B56" s="5" t="n">
        <v>117657.22</v>
      </c>
    </row>
    <row r="57">
      <c r="A57" s="2" t="inlineStr">
        <is>
          <t>After Cost Segregation (Corrected)</t>
        </is>
      </c>
      <c r="B57" s="9" t="n">
        <v>139888.13</v>
      </c>
    </row>
    <row r="58">
      <c r="A58" s="10" t="inlineStr">
        <is>
          <t>Section 481(a) Adjustment</t>
        </is>
      </c>
      <c r="B58" s="17" t="n">
        <v>-22230.91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Grove Park Housing, LP</t>
        </is>
      </c>
    </row>
    <row r="2">
      <c r="A2" s="2" t="inlineStr">
        <is>
          <t>Cost Segregation Study - Bldg 3</t>
        </is>
      </c>
    </row>
    <row r="3">
      <c r="A3" s="2" t="inlineStr">
        <is>
          <t>Report #107752-14</t>
        </is>
      </c>
    </row>
    <row r="5">
      <c r="A5" s="2" t="inlineStr">
        <is>
          <t>Acquisition Date:</t>
        </is>
      </c>
      <c r="B5" s="2" t="inlineStr">
        <is>
          <t>10/30/20</t>
        </is>
      </c>
    </row>
    <row r="8">
      <c r="A8" s="1" t="inlineStr">
        <is>
          <t>Grove Park Housing, LP - Bldg 3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3" t="inlineStr">
        <is>
          <t>Building Components</t>
        </is>
      </c>
    </row>
    <row r="16">
      <c r="A16" s="2" t="inlineStr">
        <is>
          <t>Cabinets / Millwork</t>
        </is>
      </c>
      <c r="B16" s="14" t="n">
        <v>13928.67</v>
      </c>
      <c r="C16" s="14" t="n">
        <v>13928.67</v>
      </c>
    </row>
    <row r="17">
      <c r="A17" s="2" t="inlineStr">
        <is>
          <t>Moldings</t>
        </is>
      </c>
      <c r="B17" s="14" t="n">
        <v>9008.6</v>
      </c>
      <c r="C17" s="14" t="n">
        <v>9008.6</v>
      </c>
    </row>
    <row r="18">
      <c r="A18" s="2" t="inlineStr">
        <is>
          <t>Flooring - Vinyl Plank</t>
        </is>
      </c>
      <c r="B18" s="14" t="n">
        <v>32335.99</v>
      </c>
      <c r="C18" s="14" t="n">
        <v>32335.99</v>
      </c>
    </row>
    <row r="19">
      <c r="A19" s="2" t="inlineStr">
        <is>
          <t>Window Treatments</t>
        </is>
      </c>
      <c r="B19" s="14" t="n">
        <v>2901.21</v>
      </c>
      <c r="C19" s="14" t="n">
        <v>2901.21</v>
      </c>
    </row>
    <row r="20">
      <c r="A20" s="2" t="inlineStr">
        <is>
          <t>Building Signage</t>
        </is>
      </c>
      <c r="B20" s="14" t="n">
        <v>281.84</v>
      </c>
      <c r="C20" s="14" t="n">
        <v>281.84</v>
      </c>
    </row>
    <row r="21">
      <c r="A21" s="2" t="inlineStr">
        <is>
          <t>Specialty Electrical - Appliances</t>
        </is>
      </c>
      <c r="B21" s="14" t="n">
        <v>7199.04</v>
      </c>
      <c r="C21" s="14" t="n">
        <v>7199.04</v>
      </c>
    </row>
    <row r="22">
      <c r="A22" s="2" t="inlineStr">
        <is>
          <t>Communication / Data</t>
        </is>
      </c>
      <c r="B22" s="14" t="n">
        <v>2824.66</v>
      </c>
      <c r="C22" s="14" t="n">
        <v>2824.66</v>
      </c>
    </row>
    <row r="23">
      <c r="A23" s="2" t="inlineStr">
        <is>
          <t>Specialty Plumbing - Kitchen Sinks / Laundry</t>
        </is>
      </c>
      <c r="B23" s="14" t="n">
        <v>10047.72</v>
      </c>
      <c r="C23" s="14" t="n">
        <v>10047.72</v>
      </c>
    </row>
    <row r="24">
      <c r="A24" s="2" t="inlineStr">
        <is>
          <t>Security / Exterior Lighting</t>
        </is>
      </c>
      <c r="B24" s="14" t="n">
        <v>1797.27</v>
      </c>
      <c r="C24" s="14" t="n">
        <v>1797.27</v>
      </c>
    </row>
    <row r="25">
      <c r="A25" s="2" t="inlineStr">
        <is>
          <t>Appliances</t>
        </is>
      </c>
      <c r="B25" s="14" t="n">
        <v>12546.68</v>
      </c>
      <c r="C25" s="14" t="n">
        <v>12546.68</v>
      </c>
    </row>
    <row r="27">
      <c r="A27" s="13" t="inlineStr">
        <is>
          <t>Building Structure</t>
        </is>
      </c>
    </row>
    <row r="28">
      <c r="A28" s="2" t="inlineStr">
        <is>
          <t>Roofing Systems</t>
        </is>
      </c>
      <c r="B28" s="14" t="n">
        <v>13679.1</v>
      </c>
      <c r="F28" s="14" t="n">
        <v>13679.1</v>
      </c>
    </row>
    <row r="29">
      <c r="A29" s="2" t="inlineStr">
        <is>
          <t>Foundations</t>
        </is>
      </c>
      <c r="B29" s="14" t="n">
        <v>22351.4</v>
      </c>
      <c r="F29" s="14" t="n">
        <v>22351.4</v>
      </c>
    </row>
    <row r="30">
      <c r="A30" s="2" t="inlineStr">
        <is>
          <t>HVAC</t>
        </is>
      </c>
      <c r="B30" s="14" t="n">
        <v>31741.18</v>
      </c>
      <c r="F30" s="14" t="n">
        <v>31741.18</v>
      </c>
    </row>
    <row r="31">
      <c r="A31" s="2" t="inlineStr">
        <is>
          <t>Electrical</t>
        </is>
      </c>
      <c r="B31" s="14" t="n">
        <v>34363.44</v>
      </c>
      <c r="F31" s="14" t="n">
        <v>34363.44</v>
      </c>
    </row>
    <row r="32">
      <c r="A32" s="2" t="inlineStr">
        <is>
          <t>Plumbing</t>
        </is>
      </c>
      <c r="B32" s="14" t="n">
        <v>27592.44</v>
      </c>
      <c r="F32" s="14" t="n">
        <v>27592.44</v>
      </c>
    </row>
    <row r="33">
      <c r="A33" s="2" t="inlineStr">
        <is>
          <t>Fire Protection &amp; Alarm</t>
        </is>
      </c>
      <c r="B33" s="14" t="n">
        <v>2132.75</v>
      </c>
      <c r="F33" s="14" t="n">
        <v>2132.75</v>
      </c>
    </row>
    <row r="34">
      <c r="A34" s="2" t="inlineStr">
        <is>
          <t>Exterior Façade / Building Skin</t>
        </is>
      </c>
      <c r="B34" s="14" t="n">
        <v>38791.31</v>
      </c>
      <c r="F34" s="14" t="n">
        <v>38791.31</v>
      </c>
    </row>
    <row r="35">
      <c r="A35" s="2" t="inlineStr">
        <is>
          <t>Doors &amp; Frames</t>
        </is>
      </c>
      <c r="B35" s="14" t="n">
        <v>26943.94</v>
      </c>
      <c r="F35" s="14" t="n">
        <v>26943.94</v>
      </c>
    </row>
    <row r="36">
      <c r="A36" s="2" t="inlineStr">
        <is>
          <t>Windows</t>
        </is>
      </c>
      <c r="B36" s="14" t="n">
        <v>12787.3</v>
      </c>
      <c r="F36" s="14" t="n">
        <v>12787.3</v>
      </c>
    </row>
    <row r="37">
      <c r="A37" s="2" t="inlineStr">
        <is>
          <t>Ceiling Systems</t>
        </is>
      </c>
      <c r="B37" s="14" t="n">
        <v>14401.19</v>
      </c>
      <c r="F37" s="14" t="n">
        <v>14401.19</v>
      </c>
    </row>
    <row r="38">
      <c r="A38" s="2" t="inlineStr">
        <is>
          <t>Interior Framing / Partitions</t>
        </is>
      </c>
      <c r="B38" s="14" t="n">
        <v>39311.25</v>
      </c>
      <c r="F38" s="14" t="n">
        <v>39311.25</v>
      </c>
    </row>
    <row r="39">
      <c r="A39" s="2" t="inlineStr">
        <is>
          <t>Painting</t>
        </is>
      </c>
      <c r="B39" s="14" t="n">
        <v>16831.85</v>
      </c>
      <c r="F39" s="14" t="n">
        <v>16831.85</v>
      </c>
    </row>
    <row r="40">
      <c r="A40" s="2" t="inlineStr">
        <is>
          <t>Gutter Systems</t>
        </is>
      </c>
      <c r="B40" s="14" t="n">
        <v>1717.64</v>
      </c>
      <c r="F40" s="14" t="n">
        <v>1717.64</v>
      </c>
    </row>
    <row r="41">
      <c r="A41" s="2" t="inlineStr">
        <is>
          <t>Structural Framing</t>
        </is>
      </c>
      <c r="B41" s="14" t="n">
        <v>55823.32999999999</v>
      </c>
      <c r="F41" s="14" t="n">
        <v>55823.32999999999</v>
      </c>
    </row>
    <row r="42">
      <c r="A42" s="2" t="inlineStr">
        <is>
          <t>Stairs / Balconies</t>
        </is>
      </c>
      <c r="B42" s="14" t="n">
        <v>16018.5</v>
      </c>
      <c r="F42" s="14" t="n">
        <v>16018.5</v>
      </c>
    </row>
    <row r="43">
      <c r="A43" s="2" t="inlineStr">
        <is>
          <t>Bathroom Accessories</t>
        </is>
      </c>
      <c r="B43" s="14" t="n">
        <v>3863.69</v>
      </c>
      <c r="F43" s="14" t="n">
        <v>3863.69</v>
      </c>
    </row>
    <row r="44">
      <c r="A44" s="2" t="inlineStr">
        <is>
          <t>Cabinets / Millwork - Restrooms</t>
        </is>
      </c>
      <c r="B44" s="14" t="n">
        <v>2749.23</v>
      </c>
      <c r="F44" s="14" t="n">
        <v>2749.23</v>
      </c>
    </row>
    <row r="46">
      <c r="A46" s="6" t="inlineStr">
        <is>
          <t>Total Building Cost</t>
        </is>
      </c>
      <c r="B46" s="15" t="n">
        <v>453971.22</v>
      </c>
      <c r="C46" s="15" t="n">
        <v>92871.67999999999</v>
      </c>
      <c r="F46" s="15" t="n">
        <v>361099.54</v>
      </c>
    </row>
    <row r="47">
      <c r="A47" s="2" t="inlineStr">
        <is>
          <t>% of Building Cost</t>
        </is>
      </c>
      <c r="C47" s="16" t="n">
        <v>0.205</v>
      </c>
      <c r="F47" s="16" t="n">
        <v>0.795</v>
      </c>
    </row>
    <row r="49">
      <c r="A49" s="1" t="inlineStr">
        <is>
          <t>Asset Allocation:</t>
        </is>
      </c>
    </row>
    <row r="50">
      <c r="A50" s="2" t="inlineStr">
        <is>
          <t>Asset # 3-Building-Peters Street</t>
        </is>
      </c>
      <c r="B50" s="14" t="n">
        <v>385159.17</v>
      </c>
      <c r="C50" s="14" t="n">
        <v>78794.38</v>
      </c>
      <c r="F50" s="14" t="n">
        <v>306364.79</v>
      </c>
    </row>
    <row r="51">
      <c r="A51" s="2" t="inlineStr">
        <is>
          <t>Asset # 2-Land Improvements-Peters Street</t>
        </is>
      </c>
      <c r="B51" s="14" t="n">
        <v>39460.94</v>
      </c>
      <c r="C51" s="14" t="n">
        <v>8072.77</v>
      </c>
      <c r="F51" s="14" t="n">
        <v>31388.17</v>
      </c>
    </row>
    <row r="52">
      <c r="A52" s="2" t="inlineStr">
        <is>
          <t>Asset # 4-Equipmet-Peters Street</t>
        </is>
      </c>
      <c r="B52" s="14" t="n">
        <v>29351.11</v>
      </c>
      <c r="C52" s="14" t="n">
        <v>6004.53</v>
      </c>
      <c r="F52" s="14" t="n">
        <v>23346.58</v>
      </c>
    </row>
    <row r="53">
      <c r="A53" s="6" t="inlineStr">
        <is>
          <t>Total Allocation:</t>
        </is>
      </c>
      <c r="B53" s="15" t="n">
        <v>453971.22</v>
      </c>
      <c r="C53" s="15" t="n">
        <v>92871.67999999999</v>
      </c>
      <c r="F53" s="15" t="n">
        <v>361099.54</v>
      </c>
    </row>
    <row r="55">
      <c r="A55" s="1" t="inlineStr">
        <is>
          <t>End Depreciation Reconciliation</t>
        </is>
      </c>
    </row>
    <row r="56">
      <c r="A56" s="2" t="inlineStr">
        <is>
          <t>Before Cost Segregation (As Previously Filed)</t>
        </is>
      </c>
      <c r="B56" s="5" t="n">
        <v>127758.05</v>
      </c>
    </row>
    <row r="57">
      <c r="A57" s="2" t="inlineStr">
        <is>
          <t>After Cost Segregation (Corrected)</t>
        </is>
      </c>
      <c r="B57" s="9" t="n">
        <v>148130.89</v>
      </c>
    </row>
    <row r="58">
      <c r="A58" s="10" t="inlineStr">
        <is>
          <t>Section 481(a) Adjustment</t>
        </is>
      </c>
      <c r="B58" s="17" t="n">
        <v>-20372.84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Grove Park Housing, LP</t>
        </is>
      </c>
    </row>
    <row r="2">
      <c r="A2" s="2" t="inlineStr">
        <is>
          <t>Cost Segregation Study - Bldg 4</t>
        </is>
      </c>
    </row>
    <row r="3">
      <c r="A3" s="2" t="inlineStr">
        <is>
          <t>Report #107752-14</t>
        </is>
      </c>
    </row>
    <row r="5">
      <c r="A5" s="2" t="inlineStr">
        <is>
          <t>Acquisition Date:</t>
        </is>
      </c>
      <c r="B5" s="2" t="inlineStr">
        <is>
          <t>10/30/20</t>
        </is>
      </c>
    </row>
    <row r="8">
      <c r="A8" s="1" t="inlineStr">
        <is>
          <t>Grove Park Housing, LP - Bldg 4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3" t="inlineStr">
        <is>
          <t>Building Components</t>
        </is>
      </c>
    </row>
    <row r="16">
      <c r="A16" s="2" t="inlineStr">
        <is>
          <t>Cabinets / Millwork</t>
        </is>
      </c>
      <c r="B16" s="14" t="n">
        <v>14397.17</v>
      </c>
      <c r="C16" s="14" t="n">
        <v>14397.17</v>
      </c>
    </row>
    <row r="17">
      <c r="A17" s="2" t="inlineStr">
        <is>
          <t>Moldings</t>
        </is>
      </c>
      <c r="B17" s="14" t="n">
        <v>9008.6</v>
      </c>
      <c r="C17" s="14" t="n">
        <v>9008.6</v>
      </c>
    </row>
    <row r="18">
      <c r="A18" s="2" t="inlineStr">
        <is>
          <t>Flooring - Vinyl Plank</t>
        </is>
      </c>
      <c r="B18" s="14" t="n">
        <v>35260.48</v>
      </c>
      <c r="C18" s="14" t="n">
        <v>35260.48</v>
      </c>
    </row>
    <row r="19">
      <c r="A19" s="2" t="inlineStr">
        <is>
          <t>Window Treatments</t>
        </is>
      </c>
      <c r="B19" s="14" t="n">
        <v>3082.53</v>
      </c>
      <c r="C19" s="14" t="n">
        <v>3082.53</v>
      </c>
    </row>
    <row r="20">
      <c r="A20" s="2" t="inlineStr">
        <is>
          <t>Building Signage</t>
        </is>
      </c>
      <c r="B20" s="14" t="n">
        <v>281.84</v>
      </c>
      <c r="C20" s="14" t="n">
        <v>281.84</v>
      </c>
    </row>
    <row r="21">
      <c r="A21" s="2" t="inlineStr">
        <is>
          <t>Specialty Electrical - Appliances</t>
        </is>
      </c>
      <c r="B21" s="14" t="n">
        <v>7199.04</v>
      </c>
      <c r="C21" s="14" t="n">
        <v>7199.04</v>
      </c>
    </row>
    <row r="22">
      <c r="A22" s="2" t="inlineStr">
        <is>
          <t>Communication / Data</t>
        </is>
      </c>
      <c r="B22" s="14" t="n">
        <v>3080.11</v>
      </c>
      <c r="C22" s="14" t="n">
        <v>3080.11</v>
      </c>
    </row>
    <row r="23">
      <c r="A23" s="2" t="inlineStr">
        <is>
          <t>Specialty Plumbing - Kitchen Sinks / Laundry</t>
        </is>
      </c>
      <c r="B23" s="14" t="n">
        <v>10047.72</v>
      </c>
      <c r="C23" s="14" t="n">
        <v>10047.72</v>
      </c>
    </row>
    <row r="24">
      <c r="A24" s="2" t="inlineStr">
        <is>
          <t>Security / Exterior Lighting</t>
        </is>
      </c>
      <c r="B24" s="14" t="n">
        <v>1797.27</v>
      </c>
      <c r="C24" s="14" t="n">
        <v>1797.27</v>
      </c>
    </row>
    <row r="25">
      <c r="A25" s="2" t="inlineStr">
        <is>
          <t>Appliances</t>
        </is>
      </c>
      <c r="B25" s="14" t="n">
        <v>12546.68</v>
      </c>
      <c r="C25" s="14" t="n">
        <v>12546.68</v>
      </c>
    </row>
    <row r="27">
      <c r="A27" s="13" t="inlineStr">
        <is>
          <t>Building Structure</t>
        </is>
      </c>
    </row>
    <row r="28">
      <c r="A28" s="2" t="inlineStr">
        <is>
          <t>Roofing Systems</t>
        </is>
      </c>
      <c r="B28" s="14" t="n">
        <v>5968.07</v>
      </c>
      <c r="F28" s="14" t="n">
        <v>5968.07</v>
      </c>
    </row>
    <row r="29">
      <c r="A29" s="2" t="inlineStr">
        <is>
          <t>Foundations</t>
        </is>
      </c>
      <c r="B29" s="14" t="n">
        <v>24046.3</v>
      </c>
      <c r="F29" s="14" t="n">
        <v>24046.3</v>
      </c>
    </row>
    <row r="30">
      <c r="A30" s="2" t="inlineStr">
        <is>
          <t>HVAC</t>
        </is>
      </c>
      <c r="B30" s="14" t="n">
        <v>34611.87</v>
      </c>
      <c r="F30" s="14" t="n">
        <v>34611.87</v>
      </c>
    </row>
    <row r="31">
      <c r="A31" s="2" t="inlineStr">
        <is>
          <t>Electrical</t>
        </is>
      </c>
      <c r="B31" s="14" t="n">
        <v>37471.27</v>
      </c>
      <c r="F31" s="14" t="n">
        <v>37471.27</v>
      </c>
    </row>
    <row r="32">
      <c r="A32" s="2" t="inlineStr">
        <is>
          <t>Plumbing</t>
        </is>
      </c>
      <c r="B32" s="14" t="n">
        <v>30087.91</v>
      </c>
      <c r="F32" s="14" t="n">
        <v>30087.91</v>
      </c>
    </row>
    <row r="33">
      <c r="A33" s="2" t="inlineStr">
        <is>
          <t>Fire Protection &amp; Alarm</t>
        </is>
      </c>
      <c r="B33" s="14" t="n">
        <v>2346.02</v>
      </c>
      <c r="F33" s="14" t="n">
        <v>2346.02</v>
      </c>
    </row>
    <row r="34">
      <c r="A34" s="2" t="inlineStr">
        <is>
          <t>Exterior Façade / Building Skin</t>
        </is>
      </c>
      <c r="B34" s="14" t="n">
        <v>39682.92</v>
      </c>
      <c r="F34" s="14" t="n">
        <v>39682.92</v>
      </c>
    </row>
    <row r="35">
      <c r="A35" s="2" t="inlineStr">
        <is>
          <t>Doors &amp; Frames</t>
        </is>
      </c>
      <c r="B35" s="14" t="n">
        <v>29543.65</v>
      </c>
      <c r="F35" s="14" t="n">
        <v>29543.65</v>
      </c>
    </row>
    <row r="36">
      <c r="A36" s="2" t="inlineStr">
        <is>
          <t>Windows</t>
        </is>
      </c>
      <c r="B36" s="14" t="n">
        <v>13586.51</v>
      </c>
      <c r="F36" s="14" t="n">
        <v>13586.51</v>
      </c>
    </row>
    <row r="37">
      <c r="A37" s="2" t="inlineStr">
        <is>
          <t>Ceiling Systems</t>
        </is>
      </c>
      <c r="B37" s="14" t="n">
        <v>15703.63</v>
      </c>
      <c r="F37" s="14" t="n">
        <v>15703.63</v>
      </c>
    </row>
    <row r="38">
      <c r="A38" s="2" t="inlineStr">
        <is>
          <t>Interior Framing / Partitions</t>
        </is>
      </c>
      <c r="B38" s="14" t="n">
        <v>39231.5</v>
      </c>
      <c r="F38" s="14" t="n">
        <v>39231.5</v>
      </c>
    </row>
    <row r="39">
      <c r="A39" s="2" t="inlineStr">
        <is>
          <t>Painting</t>
        </is>
      </c>
      <c r="B39" s="14" t="n">
        <v>17248.35</v>
      </c>
      <c r="F39" s="14" t="n">
        <v>17248.35</v>
      </c>
    </row>
    <row r="40">
      <c r="A40" s="2" t="inlineStr">
        <is>
          <t>Gutter Systems</t>
        </is>
      </c>
      <c r="B40" s="14" t="n">
        <v>1732.68</v>
      </c>
      <c r="F40" s="14" t="n">
        <v>1732.68</v>
      </c>
    </row>
    <row r="41">
      <c r="A41" s="2" t="inlineStr">
        <is>
          <t>Structural Framing</t>
        </is>
      </c>
      <c r="B41" s="14" t="n">
        <v>59397.15</v>
      </c>
      <c r="F41" s="14" t="n">
        <v>59397.15</v>
      </c>
    </row>
    <row r="42">
      <c r="A42" s="2" t="inlineStr">
        <is>
          <t>Stairs / Balconies</t>
        </is>
      </c>
      <c r="B42" s="14" t="n">
        <v>10679</v>
      </c>
      <c r="F42" s="14" t="n">
        <v>10679</v>
      </c>
    </row>
    <row r="43">
      <c r="A43" s="2" t="inlineStr">
        <is>
          <t>Bathroom Accessories</t>
        </is>
      </c>
      <c r="B43" s="14" t="n">
        <v>3863.69</v>
      </c>
      <c r="F43" s="14" t="n">
        <v>3863.69</v>
      </c>
    </row>
    <row r="44">
      <c r="A44" s="2" t="inlineStr">
        <is>
          <t>Cabinets / Millwork - Restrooms</t>
        </is>
      </c>
      <c r="B44" s="14" t="n">
        <v>2922.55</v>
      </c>
      <c r="F44" s="14" t="n">
        <v>2922.55</v>
      </c>
    </row>
    <row r="46">
      <c r="A46" s="6" t="inlineStr">
        <is>
          <t>Total Building Cost</t>
        </is>
      </c>
      <c r="B46" s="15" t="n">
        <v>464824.51</v>
      </c>
      <c r="C46" s="15" t="n">
        <v>96701.44</v>
      </c>
      <c r="F46" s="15" t="n">
        <v>368123.07</v>
      </c>
    </row>
    <row r="47">
      <c r="A47" s="2" t="inlineStr">
        <is>
          <t>% of Building Cost</t>
        </is>
      </c>
      <c r="C47" s="16" t="n">
        <v>0.208</v>
      </c>
      <c r="F47" s="16" t="n">
        <v>0.792</v>
      </c>
    </row>
    <row r="49">
      <c r="A49" s="1" t="inlineStr">
        <is>
          <t>Asset Allocation:</t>
        </is>
      </c>
    </row>
    <row r="50">
      <c r="A50" s="2" t="inlineStr">
        <is>
          <t>Asset # 3-Building-Peters Street</t>
        </is>
      </c>
      <c r="B50" s="14" t="n">
        <v>394367.34</v>
      </c>
      <c r="C50" s="14" t="n">
        <v>82043.63</v>
      </c>
      <c r="F50" s="14" t="n">
        <v>312323.71</v>
      </c>
    </row>
    <row r="51">
      <c r="A51" s="2" t="inlineStr">
        <is>
          <t>Asset # 2-Land Improvements-Peters Street</t>
        </is>
      </c>
      <c r="B51" s="14" t="n">
        <v>40404.35</v>
      </c>
      <c r="C51" s="14" t="n">
        <v>8405.66</v>
      </c>
      <c r="F51" s="14" t="n">
        <v>31998.69</v>
      </c>
    </row>
    <row r="52">
      <c r="A52" s="2" t="inlineStr">
        <is>
          <t>Asset # 4-Equipmet-Peters Street</t>
        </is>
      </c>
      <c r="B52" s="14" t="n">
        <v>30052.82</v>
      </c>
      <c r="C52" s="14" t="n">
        <v>6252.15</v>
      </c>
      <c r="F52" s="14" t="n">
        <v>23800.67</v>
      </c>
    </row>
    <row r="53">
      <c r="A53" s="6" t="inlineStr">
        <is>
          <t>Total Allocation:</t>
        </is>
      </c>
      <c r="B53" s="15" t="n">
        <v>464824.51</v>
      </c>
      <c r="C53" s="15" t="n">
        <v>96701.44</v>
      </c>
      <c r="F53" s="15" t="n">
        <v>368123.07</v>
      </c>
    </row>
    <row r="55">
      <c r="A55" s="1" t="inlineStr">
        <is>
          <t>End Depreciation Reconciliation</t>
        </is>
      </c>
    </row>
    <row r="56">
      <c r="A56" s="2" t="inlineStr">
        <is>
          <t>Before Cost Segregation (As Previously Filed)</t>
        </is>
      </c>
      <c r="B56" s="5" t="n">
        <v>130812.43</v>
      </c>
    </row>
    <row r="57">
      <c r="A57" s="2" t="inlineStr">
        <is>
          <t>After Cost Segregation (Corrected)</t>
        </is>
      </c>
      <c r="B57" s="9" t="n">
        <v>153035.45</v>
      </c>
    </row>
    <row r="58">
      <c r="A58" s="10" t="inlineStr">
        <is>
          <t>Section 481(a) Adjustment</t>
        </is>
      </c>
      <c r="B58" s="17" t="n">
        <v>-22223.02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Grove Park Housing, LP</t>
        </is>
      </c>
    </row>
    <row r="2">
      <c r="A2" s="2" t="inlineStr">
        <is>
          <t>Cost Segregation Study - Bldg 5</t>
        </is>
      </c>
    </row>
    <row r="3">
      <c r="A3" s="2" t="inlineStr">
        <is>
          <t>Report #107752-14</t>
        </is>
      </c>
    </row>
    <row r="5">
      <c r="A5" s="2" t="inlineStr">
        <is>
          <t>Acquisition Date:</t>
        </is>
      </c>
      <c r="B5" s="2" t="inlineStr">
        <is>
          <t>10/30/20</t>
        </is>
      </c>
    </row>
    <row r="8">
      <c r="A8" s="1" t="inlineStr">
        <is>
          <t>Grove Park Housing, LP - Bldg 5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3" t="inlineStr">
        <is>
          <t>Building Components</t>
        </is>
      </c>
    </row>
    <row r="16">
      <c r="A16" s="2" t="inlineStr">
        <is>
          <t>Cabinets / Millwork</t>
        </is>
      </c>
      <c r="B16" s="14" t="n">
        <v>14397.17</v>
      </c>
      <c r="C16" s="14" t="n">
        <v>14397.17</v>
      </c>
    </row>
    <row r="17">
      <c r="A17" s="2" t="inlineStr">
        <is>
          <t>Moldings</t>
        </is>
      </c>
      <c r="B17" s="14" t="n">
        <v>9008.6</v>
      </c>
      <c r="C17" s="14" t="n">
        <v>9008.6</v>
      </c>
    </row>
    <row r="18">
      <c r="A18" s="2" t="inlineStr">
        <is>
          <t>Flooring - Vinyl Plank</t>
        </is>
      </c>
      <c r="B18" s="14" t="n">
        <v>35260.48</v>
      </c>
      <c r="C18" s="14" t="n">
        <v>35260.48</v>
      </c>
    </row>
    <row r="19">
      <c r="A19" s="2" t="inlineStr">
        <is>
          <t>Window Treatments</t>
        </is>
      </c>
      <c r="B19" s="14" t="n">
        <v>3082.53</v>
      </c>
      <c r="C19" s="14" t="n">
        <v>3082.53</v>
      </c>
    </row>
    <row r="20">
      <c r="A20" s="2" t="inlineStr">
        <is>
          <t>Building Signage</t>
        </is>
      </c>
      <c r="B20" s="14" t="n">
        <v>281.84</v>
      </c>
      <c r="C20" s="14" t="n">
        <v>281.84</v>
      </c>
    </row>
    <row r="21">
      <c r="A21" s="2" t="inlineStr">
        <is>
          <t>Specialty Electrical - Appliances</t>
        </is>
      </c>
      <c r="B21" s="14" t="n">
        <v>7199.04</v>
      </c>
      <c r="C21" s="14" t="n">
        <v>7199.04</v>
      </c>
    </row>
    <row r="22">
      <c r="A22" s="2" t="inlineStr">
        <is>
          <t>Communication / Data</t>
        </is>
      </c>
      <c r="B22" s="14" t="n">
        <v>3080.11</v>
      </c>
      <c r="C22" s="14" t="n">
        <v>3080.11</v>
      </c>
    </row>
    <row r="23">
      <c r="A23" s="2" t="inlineStr">
        <is>
          <t>Specialty Plumbing - Kitchen Sinks / Laundry</t>
        </is>
      </c>
      <c r="B23" s="14" t="n">
        <v>10047.72</v>
      </c>
      <c r="C23" s="14" t="n">
        <v>10047.72</v>
      </c>
    </row>
    <row r="24">
      <c r="A24" s="2" t="inlineStr">
        <is>
          <t>Security / Exterior Lighting</t>
        </is>
      </c>
      <c r="B24" s="14" t="n">
        <v>1797.27</v>
      </c>
      <c r="C24" s="14" t="n">
        <v>1797.27</v>
      </c>
    </row>
    <row r="25">
      <c r="A25" s="2" t="inlineStr">
        <is>
          <t>Appliances</t>
        </is>
      </c>
      <c r="B25" s="14" t="n">
        <v>12546.68</v>
      </c>
      <c r="C25" s="14" t="n">
        <v>12546.68</v>
      </c>
    </row>
    <row r="27">
      <c r="A27" s="13" t="inlineStr">
        <is>
          <t>Building Structure</t>
        </is>
      </c>
    </row>
    <row r="28">
      <c r="A28" s="2" t="inlineStr">
        <is>
          <t>Roofing Systems</t>
        </is>
      </c>
      <c r="B28" s="14" t="n">
        <v>14578.39</v>
      </c>
      <c r="F28" s="14" t="n">
        <v>14578.39</v>
      </c>
    </row>
    <row r="29">
      <c r="A29" s="2" t="inlineStr">
        <is>
          <t>Foundations</t>
        </is>
      </c>
      <c r="B29" s="14" t="n">
        <v>24046.3</v>
      </c>
      <c r="F29" s="14" t="n">
        <v>24046.3</v>
      </c>
    </row>
    <row r="30">
      <c r="A30" s="2" t="inlineStr">
        <is>
          <t>HVAC</t>
        </is>
      </c>
      <c r="B30" s="14" t="n">
        <v>34611.88</v>
      </c>
      <c r="F30" s="14" t="n">
        <v>34611.88</v>
      </c>
    </row>
    <row r="31">
      <c r="A31" s="2" t="inlineStr">
        <is>
          <t>Electrical</t>
        </is>
      </c>
      <c r="B31" s="14" t="n">
        <v>37471.27</v>
      </c>
      <c r="F31" s="14" t="n">
        <v>37471.27</v>
      </c>
    </row>
    <row r="32">
      <c r="A32" s="2" t="inlineStr">
        <is>
          <t>Plumbing</t>
        </is>
      </c>
      <c r="B32" s="14" t="n">
        <v>30087.91</v>
      </c>
      <c r="F32" s="14" t="n">
        <v>30087.91</v>
      </c>
    </row>
    <row r="33">
      <c r="A33" s="2" t="inlineStr">
        <is>
          <t>Fire Protection &amp; Alarm</t>
        </is>
      </c>
      <c r="B33" s="14" t="n">
        <v>2346.02</v>
      </c>
      <c r="F33" s="14" t="n">
        <v>2346.02</v>
      </c>
    </row>
    <row r="34">
      <c r="A34" s="2" t="inlineStr">
        <is>
          <t>Exterior Façade / Building Skin</t>
        </is>
      </c>
      <c r="B34" s="14" t="n">
        <v>39682.92</v>
      </c>
      <c r="F34" s="14" t="n">
        <v>39682.92</v>
      </c>
    </row>
    <row r="35">
      <c r="A35" s="2" t="inlineStr">
        <is>
          <t>Doors &amp; Frames</t>
        </is>
      </c>
      <c r="B35" s="14" t="n">
        <v>29543.65</v>
      </c>
      <c r="F35" s="14" t="n">
        <v>29543.65</v>
      </c>
    </row>
    <row r="36">
      <c r="A36" s="2" t="inlineStr">
        <is>
          <t>Windows</t>
        </is>
      </c>
      <c r="B36" s="14" t="n">
        <v>13586.51</v>
      </c>
      <c r="F36" s="14" t="n">
        <v>13586.51</v>
      </c>
    </row>
    <row r="37">
      <c r="A37" s="2" t="inlineStr">
        <is>
          <t>Ceiling Systems</t>
        </is>
      </c>
      <c r="B37" s="14" t="n">
        <v>15703.63</v>
      </c>
      <c r="F37" s="14" t="n">
        <v>15703.63</v>
      </c>
    </row>
    <row r="38">
      <c r="A38" s="2" t="inlineStr">
        <is>
          <t>Interior Framing / Partitions</t>
        </is>
      </c>
      <c r="B38" s="14" t="n">
        <v>39231.5</v>
      </c>
      <c r="F38" s="14" t="n">
        <v>39231.5</v>
      </c>
    </row>
    <row r="39">
      <c r="A39" s="2" t="inlineStr">
        <is>
          <t>Painting</t>
        </is>
      </c>
      <c r="B39" s="14" t="n">
        <v>17248.35</v>
      </c>
      <c r="F39" s="14" t="n">
        <v>17248.35</v>
      </c>
    </row>
    <row r="40">
      <c r="A40" s="2" t="inlineStr">
        <is>
          <t>Gutter Systems</t>
        </is>
      </c>
      <c r="B40" s="14" t="n">
        <v>1732.68</v>
      </c>
      <c r="F40" s="14" t="n">
        <v>1732.68</v>
      </c>
    </row>
    <row r="41">
      <c r="A41" s="2" t="inlineStr">
        <is>
          <t>Structural Framing</t>
        </is>
      </c>
      <c r="B41" s="14" t="n">
        <v>59397.15</v>
      </c>
      <c r="F41" s="14" t="n">
        <v>59397.15</v>
      </c>
    </row>
    <row r="42">
      <c r="A42" s="2" t="inlineStr">
        <is>
          <t>Stairs / Balconies</t>
        </is>
      </c>
      <c r="B42" s="14" t="n">
        <v>10679</v>
      </c>
      <c r="F42" s="14" t="n">
        <v>10679</v>
      </c>
    </row>
    <row r="43">
      <c r="A43" s="2" t="inlineStr">
        <is>
          <t>Bathroom Accessories</t>
        </is>
      </c>
      <c r="B43" s="14" t="n">
        <v>3863.69</v>
      </c>
      <c r="F43" s="14" t="n">
        <v>3863.69</v>
      </c>
    </row>
    <row r="44">
      <c r="A44" s="2" t="inlineStr">
        <is>
          <t>Cabinets / Millwork - Restrooms</t>
        </is>
      </c>
      <c r="B44" s="14" t="n">
        <v>2922.55</v>
      </c>
      <c r="F44" s="14" t="n">
        <v>2922.55</v>
      </c>
    </row>
    <row r="46">
      <c r="A46" s="6" t="inlineStr">
        <is>
          <t>Total Building Cost</t>
        </is>
      </c>
      <c r="B46" s="15" t="n">
        <v>473434.84</v>
      </c>
      <c r="C46" s="15" t="n">
        <v>96701.44</v>
      </c>
      <c r="F46" s="15" t="n">
        <v>376733.4</v>
      </c>
    </row>
    <row r="47">
      <c r="A47" s="2" t="inlineStr">
        <is>
          <t>% of Building Cost</t>
        </is>
      </c>
      <c r="C47" s="16" t="n">
        <v>0.204</v>
      </c>
      <c r="F47" s="16" t="n">
        <v>0.796</v>
      </c>
    </row>
    <row r="49">
      <c r="A49" s="1" t="inlineStr">
        <is>
          <t>Asset Allocation:</t>
        </is>
      </c>
    </row>
    <row r="50">
      <c r="A50" s="2" t="inlineStr">
        <is>
          <t>Asset # 3-Building-Peters Street</t>
        </is>
      </c>
      <c r="B50" s="14" t="n">
        <v>401672.53</v>
      </c>
      <c r="C50" s="14" t="n">
        <v>82043.63</v>
      </c>
      <c r="F50" s="14" t="n">
        <v>319628.9</v>
      </c>
    </row>
    <row r="51">
      <c r="A51" s="2" t="inlineStr">
        <is>
          <t>Asset # 2-Land Improvements-Peters Street</t>
        </is>
      </c>
      <c r="B51" s="14" t="n">
        <v>41152.79</v>
      </c>
      <c r="C51" s="14" t="n">
        <v>8405.66</v>
      </c>
      <c r="F51" s="14" t="n">
        <v>32747.13</v>
      </c>
    </row>
    <row r="52">
      <c r="A52" s="2" t="inlineStr">
        <is>
          <t>Asset # 4-Equipmet-Peters Street</t>
        </is>
      </c>
      <c r="B52" s="14" t="n">
        <v>30609.52</v>
      </c>
      <c r="C52" s="14" t="n">
        <v>6252.15</v>
      </c>
      <c r="F52" s="14" t="n">
        <v>24357.37</v>
      </c>
    </row>
    <row r="53">
      <c r="A53" s="6" t="inlineStr">
        <is>
          <t>Total Allocation:</t>
        </is>
      </c>
      <c r="B53" s="15" t="n">
        <v>473434.84</v>
      </c>
      <c r="C53" s="15" t="n">
        <v>96701.44</v>
      </c>
      <c r="F53" s="15" t="n">
        <v>376733.4</v>
      </c>
    </row>
    <row r="55">
      <c r="A55" s="1" t="inlineStr">
        <is>
          <t>End Depreciation Reconciliation</t>
        </is>
      </c>
    </row>
    <row r="56">
      <c r="A56" s="2" t="inlineStr">
        <is>
          <t>Before Cost Segregation (As Previously Filed)</t>
        </is>
      </c>
      <c r="B56" s="5" t="n">
        <v>133235.56</v>
      </c>
    </row>
    <row r="57">
      <c r="A57" s="2" t="inlineStr">
        <is>
          <t>After Cost Segregation (Corrected)</t>
        </is>
      </c>
      <c r="B57" s="9" t="n">
        <v>154353.04</v>
      </c>
    </row>
    <row r="58">
      <c r="A58" s="10" t="inlineStr">
        <is>
          <t>Section 481(a) Adjustment</t>
        </is>
      </c>
      <c r="B58" s="17" t="n">
        <v>-21117.48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Grove Park Housing, LP</t>
        </is>
      </c>
    </row>
    <row r="2">
      <c r="A2" s="2" t="inlineStr">
        <is>
          <t>Cost Segregation Study - Imp</t>
        </is>
      </c>
    </row>
    <row r="3">
      <c r="A3" s="2" t="inlineStr">
        <is>
          <t>Report #107752-14</t>
        </is>
      </c>
    </row>
    <row r="5">
      <c r="A5" s="2" t="inlineStr">
        <is>
          <t>Acquisition Date:</t>
        </is>
      </c>
      <c r="B5" s="2" t="inlineStr">
        <is>
          <t>10/30/20</t>
        </is>
      </c>
    </row>
    <row r="8">
      <c r="A8" s="1" t="inlineStr">
        <is>
          <t>Grove Park Housing, LP - Imp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3" t="inlineStr">
        <is>
          <t>Building Components</t>
        </is>
      </c>
    </row>
    <row r="16">
      <c r="A16" s="2" t="inlineStr">
        <is>
          <t>Window Treatments</t>
        </is>
      </c>
      <c r="B16" s="14" t="n">
        <v>23596</v>
      </c>
      <c r="C16" s="14" t="n">
        <v>23596</v>
      </c>
    </row>
    <row r="18">
      <c r="A18" s="13" t="inlineStr">
        <is>
          <t>Building Structure</t>
        </is>
      </c>
    </row>
    <row r="20">
      <c r="A20" s="6" t="inlineStr">
        <is>
          <t>Total Building Cost</t>
        </is>
      </c>
      <c r="B20" s="15" t="n">
        <v>86347</v>
      </c>
      <c r="C20" s="15" t="n">
        <v>23596</v>
      </c>
      <c r="F20" s="15" t="n">
        <v>62751</v>
      </c>
    </row>
    <row r="21">
      <c r="A21" s="2" t="inlineStr">
        <is>
          <t>% of Building Cost</t>
        </is>
      </c>
      <c r="C21" s="16" t="n">
        <v>0.273</v>
      </c>
      <c r="F21" s="16" t="n">
        <v>0.727</v>
      </c>
    </row>
    <row r="23">
      <c r="A23" s="1" t="inlineStr">
        <is>
          <t>Asset Allocation:</t>
        </is>
      </c>
    </row>
    <row r="24">
      <c r="A24" s="6" t="inlineStr">
        <is>
          <t>Total Allocation:</t>
        </is>
      </c>
      <c r="B24" s="15" t="n">
        <v>86347</v>
      </c>
      <c r="C24" s="15" t="n">
        <v>23596</v>
      </c>
      <c r="F24" s="15" t="n">
        <v>62751</v>
      </c>
    </row>
    <row r="26">
      <c r="A26" s="1" t="inlineStr">
        <is>
          <t>End Depreciation Reconciliation</t>
        </is>
      </c>
    </row>
    <row r="27">
      <c r="A27" s="2" t="inlineStr">
        <is>
          <t>Before Cost Segregation (As Previously Filed)</t>
        </is>
      </c>
      <c r="B27" s="5" t="n">
        <v>26548</v>
      </c>
    </row>
    <row r="28">
      <c r="A28" s="2" t="inlineStr">
        <is>
          <t>After Cost Segregation (Corrected)</t>
        </is>
      </c>
      <c r="B28" s="9" t="n">
        <v>31487.4</v>
      </c>
    </row>
    <row r="29">
      <c r="A29" s="10" t="inlineStr">
        <is>
          <t>Section 481(a) Adjustment</t>
        </is>
      </c>
      <c r="B29" s="17" t="n">
        <v>-4939.4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Grove Park Housing, LP</t>
        </is>
      </c>
    </row>
    <row r="2">
      <c r="A2" s="2" t="inlineStr">
        <is>
          <t>Cost Segregation Study - Office</t>
        </is>
      </c>
    </row>
    <row r="3">
      <c r="A3" s="2" t="inlineStr">
        <is>
          <t>Report #107752-14</t>
        </is>
      </c>
    </row>
    <row r="5">
      <c r="A5" s="2" t="inlineStr">
        <is>
          <t>Acquisition Date:</t>
        </is>
      </c>
      <c r="B5" s="2" t="inlineStr">
        <is>
          <t>10/30/20</t>
        </is>
      </c>
    </row>
    <row r="8">
      <c r="A8" s="1" t="inlineStr">
        <is>
          <t>Grove Park Housing, LP - Office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3" t="inlineStr">
        <is>
          <t>Building Components</t>
        </is>
      </c>
    </row>
    <row r="16">
      <c r="A16" s="2" t="inlineStr">
        <is>
          <t>Cabinets / Millwork</t>
        </is>
      </c>
      <c r="B16" s="14" t="n">
        <v>303.64</v>
      </c>
      <c r="C16" s="14" t="n">
        <v>303.64</v>
      </c>
    </row>
    <row r="17">
      <c r="A17" s="2" t="inlineStr">
        <is>
          <t>Moldings</t>
        </is>
      </c>
      <c r="B17" s="14" t="n">
        <v>2289.4</v>
      </c>
      <c r="C17" s="14" t="n">
        <v>2289.4</v>
      </c>
    </row>
    <row r="18">
      <c r="A18" s="2" t="inlineStr">
        <is>
          <t>Flooring - Vinyl Plank</t>
        </is>
      </c>
      <c r="B18" s="14" t="n">
        <v>16164.52</v>
      </c>
      <c r="C18" s="14" t="n">
        <v>16164.52</v>
      </c>
    </row>
    <row r="19">
      <c r="A19" s="2" t="inlineStr">
        <is>
          <t>Window Treatments</t>
        </is>
      </c>
      <c r="B19" s="14" t="n">
        <v>1679.16</v>
      </c>
      <c r="C19" s="14" t="n">
        <v>1679.16</v>
      </c>
    </row>
    <row r="20">
      <c r="A20" s="2" t="inlineStr">
        <is>
          <t>Specialty HVAC - Dryer Vents</t>
        </is>
      </c>
      <c r="B20" s="14" t="n">
        <v>230.59</v>
      </c>
      <c r="C20" s="14" t="n">
        <v>230.59</v>
      </c>
    </row>
    <row r="21">
      <c r="A21" s="2" t="inlineStr">
        <is>
          <t>Specialty Electrical - Appliances</t>
        </is>
      </c>
      <c r="B21" s="14" t="n">
        <v>1250.74</v>
      </c>
      <c r="C21" s="14" t="n">
        <v>1250.74</v>
      </c>
    </row>
    <row r="22">
      <c r="A22" s="2" t="inlineStr">
        <is>
          <t>Communication / Data</t>
        </is>
      </c>
      <c r="B22" s="14" t="n">
        <v>5275.08</v>
      </c>
      <c r="C22" s="14" t="n">
        <v>5275.08</v>
      </c>
    </row>
    <row r="23">
      <c r="A23" s="2" t="inlineStr">
        <is>
          <t>Specialty Plumbing - Laundry</t>
        </is>
      </c>
      <c r="B23" s="14" t="n">
        <v>962.76</v>
      </c>
      <c r="C23" s="14" t="n">
        <v>962.76</v>
      </c>
    </row>
    <row r="24">
      <c r="A24" s="2" t="inlineStr">
        <is>
          <t>Security / Exterior Lighting</t>
        </is>
      </c>
      <c r="B24" s="14" t="n">
        <v>645.4100000000001</v>
      </c>
      <c r="C24" s="14" t="n">
        <v>645.4100000000001</v>
      </c>
    </row>
    <row r="25">
      <c r="A25" s="2" t="inlineStr">
        <is>
          <t>Interior Windows</t>
        </is>
      </c>
      <c r="B25" s="14" t="n">
        <v>99.89999999999999</v>
      </c>
      <c r="C25" s="14" t="n">
        <v>99.89999999999999</v>
      </c>
    </row>
    <row r="26">
      <c r="A26" s="2" t="inlineStr">
        <is>
          <t>Mailboxes</t>
        </is>
      </c>
      <c r="B26" s="14" t="n">
        <v>45.48</v>
      </c>
      <c r="C26" s="14" t="n">
        <v>45.48</v>
      </c>
    </row>
    <row r="27">
      <c r="A27" s="2" t="inlineStr">
        <is>
          <t>Appliances</t>
        </is>
      </c>
      <c r="B27" s="14" t="n">
        <v>3308.54</v>
      </c>
      <c r="C27" s="14" t="n">
        <v>3308.54</v>
      </c>
    </row>
    <row r="29">
      <c r="A29" s="13" t="inlineStr">
        <is>
          <t>Building Structure</t>
        </is>
      </c>
    </row>
    <row r="30">
      <c r="A30" s="2" t="inlineStr">
        <is>
          <t>Roofing Systems</t>
        </is>
      </c>
      <c r="B30" s="14" t="n">
        <v>11830.03</v>
      </c>
      <c r="F30" s="14" t="n">
        <v>11830.03</v>
      </c>
    </row>
    <row r="31">
      <c r="A31" s="2" t="inlineStr">
        <is>
          <t>Foundations</t>
        </is>
      </c>
      <c r="B31" s="14" t="n">
        <v>21317.77</v>
      </c>
      <c r="F31" s="14" t="n">
        <v>21317.77</v>
      </c>
    </row>
    <row r="32">
      <c r="A32" s="2" t="inlineStr">
        <is>
          <t>HVAC</t>
        </is>
      </c>
      <c r="B32" s="14" t="n">
        <v>15636.59</v>
      </c>
      <c r="F32" s="14" t="n">
        <v>15636.59</v>
      </c>
    </row>
    <row r="33">
      <c r="A33" s="2" t="inlineStr">
        <is>
          <t>Electrical</t>
        </is>
      </c>
      <c r="B33" s="14" t="n">
        <v>15927.28</v>
      </c>
      <c r="F33" s="14" t="n">
        <v>15927.28</v>
      </c>
    </row>
    <row r="34">
      <c r="A34" s="2" t="inlineStr">
        <is>
          <t>Plumbing</t>
        </is>
      </c>
      <c r="B34" s="14" t="n">
        <v>12830.5</v>
      </c>
      <c r="F34" s="14" t="n">
        <v>12830.5</v>
      </c>
    </row>
    <row r="35">
      <c r="A35" s="2" t="inlineStr">
        <is>
          <t>Fire Protection &amp; Alarm</t>
        </is>
      </c>
      <c r="B35" s="14" t="n">
        <v>1203.33</v>
      </c>
      <c r="F35" s="14" t="n">
        <v>1203.33</v>
      </c>
    </row>
    <row r="36">
      <c r="A36" s="2" t="inlineStr">
        <is>
          <t>Exterior Façade / Building Skin</t>
        </is>
      </c>
      <c r="B36" s="14" t="n">
        <v>17377.25</v>
      </c>
      <c r="F36" s="14" t="n">
        <v>17377.25</v>
      </c>
    </row>
    <row r="37">
      <c r="A37" s="2" t="inlineStr">
        <is>
          <t>Doors &amp; Frames</t>
        </is>
      </c>
      <c r="B37" s="14" t="n">
        <v>4999.87</v>
      </c>
      <c r="F37" s="14" t="n">
        <v>4999.87</v>
      </c>
    </row>
    <row r="38">
      <c r="A38" s="2" t="inlineStr">
        <is>
          <t>Windows</t>
        </is>
      </c>
      <c r="B38" s="14" t="n">
        <v>8291.76</v>
      </c>
      <c r="F38" s="14" t="n">
        <v>8291.76</v>
      </c>
    </row>
    <row r="39">
      <c r="A39" s="2" t="inlineStr">
        <is>
          <t>Ceiling Systems</t>
        </is>
      </c>
      <c r="B39" s="14" t="n">
        <v>7199.05</v>
      </c>
      <c r="F39" s="14" t="n">
        <v>7199.05</v>
      </c>
    </row>
    <row r="40">
      <c r="A40" s="2" t="inlineStr">
        <is>
          <t>Interior Framing / Partitions</t>
        </is>
      </c>
      <c r="B40" s="14" t="n">
        <v>18442.92</v>
      </c>
      <c r="F40" s="14" t="n">
        <v>18442.92</v>
      </c>
    </row>
    <row r="41">
      <c r="A41" s="2" t="inlineStr">
        <is>
          <t>Painting</t>
        </is>
      </c>
      <c r="B41" s="14" t="n">
        <v>7118.71</v>
      </c>
      <c r="F41" s="14" t="n">
        <v>7118.71</v>
      </c>
    </row>
    <row r="42">
      <c r="A42" s="2" t="inlineStr">
        <is>
          <t>Gutter Systems</t>
        </is>
      </c>
      <c r="B42" s="14" t="n">
        <v>1681.12</v>
      </c>
      <c r="F42" s="14" t="n">
        <v>1681.12</v>
      </c>
    </row>
    <row r="43">
      <c r="A43" s="2" t="inlineStr">
        <is>
          <t>Emergency Lighting</t>
        </is>
      </c>
      <c r="B43" s="14" t="n">
        <v>1496.36</v>
      </c>
      <c r="F43" s="14" t="n">
        <v>1496.36</v>
      </c>
    </row>
    <row r="44">
      <c r="A44" s="2" t="inlineStr">
        <is>
          <t>Structural Framing</t>
        </is>
      </c>
      <c r="B44" s="14" t="n">
        <v>22170.89</v>
      </c>
      <c r="F44" s="14" t="n">
        <v>22170.89</v>
      </c>
    </row>
    <row r="45">
      <c r="A45" s="2" t="inlineStr">
        <is>
          <t>Stairs / Balconies</t>
        </is>
      </c>
      <c r="B45" s="14" t="n">
        <v>2533.5</v>
      </c>
      <c r="F45" s="14" t="n">
        <v>2533.5</v>
      </c>
    </row>
    <row r="46">
      <c r="A46" s="2" t="inlineStr">
        <is>
          <t>Flooring - Sealed Concrete</t>
        </is>
      </c>
      <c r="B46" s="14" t="n">
        <v>1724.77</v>
      </c>
      <c r="F46" s="14" t="n">
        <v>1724.77</v>
      </c>
    </row>
    <row r="47">
      <c r="A47" s="2" t="inlineStr">
        <is>
          <t>Bathroom Accessories</t>
        </is>
      </c>
      <c r="B47" s="14" t="n">
        <v>502.72</v>
      </c>
      <c r="F47" s="14" t="n">
        <v>502.72</v>
      </c>
    </row>
    <row r="49">
      <c r="A49" s="6" t="inlineStr">
        <is>
          <t>Total Building Cost</t>
        </is>
      </c>
      <c r="B49" s="15" t="n">
        <v>204539.64</v>
      </c>
      <c r="C49" s="15" t="n">
        <v>32255.22</v>
      </c>
      <c r="F49" s="15" t="n">
        <v>172284.4199999999</v>
      </c>
    </row>
    <row r="50">
      <c r="A50" s="2" t="inlineStr">
        <is>
          <t>% of Building Cost</t>
        </is>
      </c>
      <c r="C50" s="16" t="n">
        <v>0.158</v>
      </c>
      <c r="F50" s="16" t="n">
        <v>0.842</v>
      </c>
    </row>
    <row r="52">
      <c r="A52" s="1" t="inlineStr">
        <is>
          <t>Asset Allocation:</t>
        </is>
      </c>
    </row>
    <row r="53">
      <c r="A53" s="2" t="inlineStr">
        <is>
          <t>Asset # 3-Building-Peters Street</t>
        </is>
      </c>
      <c r="B53" s="14" t="n">
        <v>173535.93</v>
      </c>
      <c r="C53" s="14" t="n">
        <v>27366.04</v>
      </c>
      <c r="F53" s="14" t="n">
        <v>146169.89</v>
      </c>
    </row>
    <row r="54">
      <c r="A54" s="2" t="inlineStr">
        <is>
          <t>Asset # 2-Land Improvements-Peters Street</t>
        </is>
      </c>
      <c r="B54" s="14" t="n">
        <v>17779.38</v>
      </c>
      <c r="C54" s="14" t="n">
        <v>2803.75</v>
      </c>
      <c r="F54" s="14" t="n">
        <v>14975.63</v>
      </c>
    </row>
    <row r="55">
      <c r="A55" s="2" t="inlineStr">
        <is>
          <t>Asset # 4-Equipmet-Peters Street</t>
        </is>
      </c>
      <c r="B55" s="14" t="n">
        <v>13224.33</v>
      </c>
      <c r="C55" s="14" t="n">
        <v>2085.43</v>
      </c>
      <c r="F55" s="14" t="n">
        <v>11138.9</v>
      </c>
    </row>
    <row r="56">
      <c r="A56" s="6" t="inlineStr">
        <is>
          <t>Total Allocation:</t>
        </is>
      </c>
      <c r="B56" s="15" t="n">
        <v>204539.64</v>
      </c>
      <c r="C56" s="15" t="n">
        <v>32255.22</v>
      </c>
      <c r="F56" s="15" t="n">
        <v>172284.4199999999</v>
      </c>
    </row>
    <row r="58">
      <c r="A58" s="1" t="inlineStr">
        <is>
          <t>End Depreciation Reconciliation</t>
        </is>
      </c>
    </row>
    <row r="59">
      <c r="A59" s="2" t="inlineStr">
        <is>
          <t>Before Cost Segregation (As Previously Filed)</t>
        </is>
      </c>
      <c r="B59" s="5" t="n">
        <v>57562.21</v>
      </c>
    </row>
    <row r="60">
      <c r="A60" s="2" t="inlineStr">
        <is>
          <t>After Cost Segregation (Corrected)</t>
        </is>
      </c>
      <c r="B60" s="9" t="n">
        <v>58619.97</v>
      </c>
    </row>
    <row r="61">
      <c r="A61" s="10" t="inlineStr">
        <is>
          <t>Section 481(a) Adjustment</t>
        </is>
      </c>
      <c r="B61" s="17" t="n">
        <v>-1057.76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Grove Park Housing, LP</t>
        </is>
      </c>
    </row>
    <row r="2">
      <c r="A2" s="2" t="inlineStr">
        <is>
          <t>Cost Segregation Study - Site</t>
        </is>
      </c>
    </row>
    <row r="3">
      <c r="A3" s="2" t="inlineStr">
        <is>
          <t>Report #107752-14</t>
        </is>
      </c>
    </row>
    <row r="5">
      <c r="A5" s="2" t="inlineStr">
        <is>
          <t>Acquisition Date:</t>
        </is>
      </c>
      <c r="B5" s="2" t="inlineStr">
        <is>
          <t>10/30/20</t>
        </is>
      </c>
    </row>
    <row r="8">
      <c r="A8" s="1" t="inlineStr">
        <is>
          <t>Grove Park Housing, LP - Site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3" t="inlineStr">
        <is>
          <t>Site Components</t>
        </is>
      </c>
    </row>
    <row r="16">
      <c r="A16" s="2" t="inlineStr">
        <is>
          <t>Site Work / Improvements</t>
        </is>
      </c>
      <c r="B16" s="14" t="n">
        <v>5464546</v>
      </c>
    </row>
    <row r="17">
      <c r="A17" s="2" t="inlineStr">
        <is>
          <t>Site Drainage</t>
        </is>
      </c>
      <c r="B17" s="14" t="n">
        <v>8837.709999999999</v>
      </c>
      <c r="E17" s="14" t="n">
        <v>8837.709999999999</v>
      </c>
    </row>
    <row r="18">
      <c r="A18" s="2" t="inlineStr">
        <is>
          <t>Parking Lot</t>
        </is>
      </c>
      <c r="B18" s="14" t="n">
        <v>95451.19</v>
      </c>
      <c r="E18" s="14" t="n">
        <v>95451.19</v>
      </c>
    </row>
    <row r="19">
      <c r="A19" s="2" t="inlineStr">
        <is>
          <t>Exterior Signage</t>
        </is>
      </c>
      <c r="B19" s="14" t="n">
        <v>1321.09</v>
      </c>
      <c r="E19" s="14" t="n">
        <v>1321.09</v>
      </c>
    </row>
    <row r="20">
      <c r="A20" s="2" t="inlineStr">
        <is>
          <t>Parking Lot Striping / Barriers</t>
        </is>
      </c>
      <c r="B20" s="14" t="n">
        <v>1952.9</v>
      </c>
      <c r="E20" s="14" t="n">
        <v>1952.9</v>
      </c>
    </row>
    <row r="21">
      <c r="A21" s="2" t="inlineStr">
        <is>
          <t>Sidewalks / Curbs</t>
        </is>
      </c>
      <c r="B21" s="14" t="n">
        <v>59245.72</v>
      </c>
      <c r="E21" s="14" t="n">
        <v>59245.72</v>
      </c>
    </row>
    <row r="22">
      <c r="A22" s="2" t="inlineStr">
        <is>
          <t>Landscaping</t>
        </is>
      </c>
      <c r="B22" s="14" t="n">
        <v>618.3299999999999</v>
      </c>
      <c r="E22" s="14" t="n">
        <v>618.3299999999999</v>
      </c>
    </row>
    <row r="23">
      <c r="A23" s="2" t="inlineStr">
        <is>
          <t xml:space="preserve">Security Lighting Poles </t>
        </is>
      </c>
      <c r="B23" s="14" t="n">
        <v>12771.52</v>
      </c>
      <c r="E23" s="14" t="n">
        <v>12771.52</v>
      </c>
    </row>
    <row r="24">
      <c r="A24" s="2" t="inlineStr">
        <is>
          <t>Exterior Fencing</t>
        </is>
      </c>
      <c r="B24" s="14" t="n">
        <v>15090.04</v>
      </c>
      <c r="E24" s="14" t="n">
        <v>15090.04</v>
      </c>
    </row>
    <row r="25">
      <c r="A25" s="2" t="inlineStr">
        <is>
          <t>Fire Hydrants</t>
        </is>
      </c>
      <c r="B25" s="14" t="n">
        <v>2157.03</v>
      </c>
      <c r="E25" s="14" t="n">
        <v>2157.03</v>
      </c>
    </row>
    <row r="26">
      <c r="A26" s="2" t="inlineStr">
        <is>
          <t>Exterior Equipment Concrete Pads</t>
        </is>
      </c>
      <c r="B26" s="14" t="n">
        <v>4129.23</v>
      </c>
      <c r="E26" s="14" t="n">
        <v>4129.23</v>
      </c>
    </row>
    <row r="27">
      <c r="A27" s="2" t="inlineStr">
        <is>
          <t>Mailboxes</t>
        </is>
      </c>
      <c r="B27" s="14" t="n">
        <v>5494.17</v>
      </c>
      <c r="E27" s="14" t="n">
        <v>5494.17</v>
      </c>
    </row>
    <row r="28">
      <c r="A28" s="2" t="inlineStr">
        <is>
          <t>Mailbox Canopy</t>
        </is>
      </c>
      <c r="B28" s="14" t="n">
        <v>1151.63</v>
      </c>
      <c r="E28" s="14" t="n">
        <v>1151.63</v>
      </c>
    </row>
    <row r="29">
      <c r="A29" s="2" t="inlineStr">
        <is>
          <t>Playground</t>
        </is>
      </c>
      <c r="B29" s="14" t="n">
        <v>6453.82</v>
      </c>
      <c r="E29" s="14" t="n">
        <v>6453.82</v>
      </c>
    </row>
    <row r="30">
      <c r="A30" s="2" t="inlineStr">
        <is>
          <t>Basketball Court</t>
        </is>
      </c>
      <c r="B30" s="14" t="n">
        <v>3396.28</v>
      </c>
      <c r="E30" s="14" t="n">
        <v>3396.28</v>
      </c>
    </row>
    <row r="31">
      <c r="A31" s="2" t="inlineStr">
        <is>
          <t>Site Seating</t>
        </is>
      </c>
      <c r="B31" s="14" t="n">
        <v>252.44</v>
      </c>
      <c r="E31" s="14" t="n">
        <v>252.44</v>
      </c>
    </row>
    <row r="33">
      <c r="A33" s="13" t="inlineStr">
        <is>
          <t>Site Utilities</t>
        </is>
      </c>
    </row>
    <row r="35">
      <c r="A35" s="6" t="inlineStr">
        <is>
          <t>Total Site Cost</t>
        </is>
      </c>
      <c r="B35" s="15" t="n">
        <v>315110.14</v>
      </c>
      <c r="E35" s="15" t="n">
        <v>218323.1</v>
      </c>
      <c r="F35" s="15" t="n">
        <v>96787.04000000001</v>
      </c>
    </row>
    <row r="36">
      <c r="A36" s="2" t="inlineStr">
        <is>
          <t>% of Site Cost</t>
        </is>
      </c>
      <c r="E36" s="16" t="n">
        <v>0.6929999999999999</v>
      </c>
      <c r="F36" s="16" t="n">
        <v>0.307</v>
      </c>
    </row>
    <row r="38">
      <c r="A38" s="1" t="inlineStr">
        <is>
          <t>Asset Allocation:</t>
        </is>
      </c>
    </row>
    <row r="39">
      <c r="A39" s="2" t="inlineStr">
        <is>
          <t>Asset # 3-Building-Peters Street</t>
        </is>
      </c>
      <c r="B39" s="14" t="n">
        <v>267346.37</v>
      </c>
      <c r="E39" s="14" t="n">
        <v>185230.12</v>
      </c>
      <c r="F39" s="14" t="n">
        <v>82116.25</v>
      </c>
    </row>
    <row r="40">
      <c r="A40" s="2" t="inlineStr">
        <is>
          <t>Asset # 2-Land Improvements-Peters Street</t>
        </is>
      </c>
      <c r="B40" s="14" t="n">
        <v>27390.6</v>
      </c>
      <c r="E40" s="14" t="n">
        <v>18977.49</v>
      </c>
      <c r="F40" s="14" t="n">
        <v>8413.109999999997</v>
      </c>
    </row>
    <row r="41">
      <c r="A41" s="2" t="inlineStr">
        <is>
          <t>Asset # 4-Equipmet-Peters Street</t>
        </is>
      </c>
      <c r="B41" s="14" t="n">
        <v>20373.17</v>
      </c>
      <c r="E41" s="14" t="n">
        <v>14115.49</v>
      </c>
      <c r="F41" s="14" t="n">
        <v>6257.679999999998</v>
      </c>
    </row>
    <row r="42">
      <c r="A42" s="6" t="inlineStr">
        <is>
          <t>Total Allocation:</t>
        </is>
      </c>
      <c r="B42" s="15" t="n">
        <v>315110.14</v>
      </c>
      <c r="E42" s="15" t="n">
        <v>218323.1</v>
      </c>
      <c r="F42" s="15" t="n">
        <v>96787.04000000001</v>
      </c>
    </row>
    <row r="44">
      <c r="A44" s="1" t="inlineStr">
        <is>
          <t>End Depreciation Reconciliation</t>
        </is>
      </c>
    </row>
    <row r="45">
      <c r="A45" s="2" t="inlineStr">
        <is>
          <t>Before Cost Segregation (As Previously Filed)</t>
        </is>
      </c>
      <c r="B45" s="5" t="n">
        <v>88679.32000000001</v>
      </c>
    </row>
    <row r="46">
      <c r="A46" s="2" t="inlineStr">
        <is>
          <t>After Cost Segregation (Corrected)</t>
        </is>
      </c>
      <c r="B46" s="9" t="n">
        <v>233134.46</v>
      </c>
    </row>
    <row r="47">
      <c r="A47" s="10" t="inlineStr">
        <is>
          <t>Section 481(a) Adjustment</t>
        </is>
      </c>
      <c r="B47" s="17" t="n">
        <v>-144455.14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2026-06-24T21:45:29Z</dcterms:created>
  <dcterms:modified xmlns:dcterms="http://purl.org/dc/terms/" xmlns:xsi="http://www.w3.org/2001/XMLSchema-instance" xsi:type="dcterms:W3CDTF">2026-06-24T21:45:29Z</dcterms:modified>
</cp:coreProperties>
</file>