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bldg 4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offi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0" fontId="6" fillId="3" borderId="0" pivotButton="0" quotePrefix="0" xfId="0"/>
    <xf numFmtId="4" fontId="6" fillId="3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4" borderId="0" applyAlignment="1" pivotButton="0" quotePrefix="0" xfId="0">
      <alignment horizontal="center" vertical="center"/>
    </xf>
    <xf numFmtId="4" fontId="6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8" fillId="0" borderId="0" pivotButton="0" quotePrefix="0" xfId="0"/>
    <xf numFmtId="4" fontId="5" fillId="3" borderId="0" applyAlignment="1" pivotButton="0" quotePrefix="0" xfId="0">
      <alignment horizontal="right" vertical="center"/>
    </xf>
    <xf numFmtId="0" fontId="6" fillId="5" borderId="0" pivotButton="0" quotePrefix="0" xfId="0"/>
    <xf numFmtId="4" fontId="5" fillId="5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  <xf numFmtId="0" fontId="6" fillId="6" borderId="0" pivotButton="0" quotePrefix="0" xfId="0"/>
    <xf numFmtId="164" fontId="5" fillId="6" borderId="0" applyAlignment="1" pivotButton="0" quotePrefix="0" xfId="0">
      <alignment horizontal="right" vertical="center"/>
    </xf>
    <xf numFmtId="164" fontId="6" fillId="6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165" fontId="3" fillId="0" borderId="0" applyAlignment="1" pivotButton="0" quotePrefix="0" xfId="0">
      <alignment horizontal="right" vertical="center"/>
    </xf>
    <xf numFmtId="0" fontId="6" fillId="4" borderId="0" pivotButton="0" quotePrefix="0" xfId="0"/>
    <xf numFmtId="166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Coral Village Housing LP</t>
        </is>
      </c>
    </row>
    <row r="2">
      <c r="A2" s="2" t="inlineStr">
        <is>
          <t>Summary of Cost Seg Adjustments</t>
        </is>
      </c>
    </row>
    <row r="3">
      <c r="A3" s="3" t="inlineStr">
        <is>
          <t>As of December 31, 2024</t>
        </is>
      </c>
    </row>
    <row r="10" ht="30" customHeight="1">
      <c r="A10" s="4" t="inlineStr">
        <is>
          <t>Acq Date</t>
        </is>
      </c>
      <c r="B10" s="4" t="inlineStr">
        <is>
          <t>Asset Description</t>
        </is>
      </c>
      <c r="C10" s="4" t="inlineStr">
        <is>
          <t>Total</t>
        </is>
      </c>
      <c r="D10" s="4" t="inlineStr">
        <is>
          <t>Site</t>
        </is>
      </c>
      <c r="E10" s="4" t="inlineStr">
        <is>
          <t>Building 1</t>
        </is>
      </c>
      <c r="F10" s="4" t="inlineStr">
        <is>
          <t>Building 2</t>
        </is>
      </c>
      <c r="G10" s="4" t="inlineStr">
        <is>
          <t>Building 3</t>
        </is>
      </c>
      <c r="H10" s="4" t="inlineStr">
        <is>
          <t>Building 4</t>
        </is>
      </c>
      <c r="I10" s="4" t="inlineStr">
        <is>
          <t>Building 5</t>
        </is>
      </c>
      <c r="J10" s="4" t="inlineStr">
        <is>
          <t>Building 6</t>
        </is>
      </c>
      <c r="K10" s="4" t="inlineStr">
        <is>
          <t>Building 7</t>
        </is>
      </c>
      <c r="L10" s="4" t="inlineStr">
        <is>
          <t>Building 8</t>
        </is>
      </c>
      <c r="M10" s="4" t="inlineStr">
        <is>
          <t>Building 9</t>
        </is>
      </c>
      <c r="N10" s="4" t="inlineStr">
        <is>
          <t>Office</t>
        </is>
      </c>
      <c r="O10" s="4" t="inlineStr">
        <is>
          <t>Grand Total</t>
        </is>
      </c>
    </row>
    <row r="11">
      <c r="A11" s="5" t="inlineStr">
        <is>
          <t>12/31/21</t>
        </is>
      </c>
      <c r="B11" s="6" t="inlineStr">
        <is>
          <t>2- Building - Coral Village Housing LP</t>
        </is>
      </c>
      <c r="C11" s="7" t="n">
        <v>3697723</v>
      </c>
      <c r="D11" s="8" t="n">
        <v>531007.0699999999</v>
      </c>
      <c r="E11" s="8" t="n">
        <v>383408.73</v>
      </c>
      <c r="F11" s="8" t="n">
        <v>302676.39</v>
      </c>
      <c r="G11" s="8" t="n">
        <v>383408.73</v>
      </c>
      <c r="H11" s="8" t="n">
        <v>302676.39</v>
      </c>
      <c r="I11" s="8" t="n">
        <v>383408.73</v>
      </c>
      <c r="J11" s="8" t="n">
        <v>302676.39</v>
      </c>
      <c r="K11" s="8" t="n">
        <v>383408.73</v>
      </c>
      <c r="L11" s="8" t="n">
        <v>302676.39</v>
      </c>
      <c r="M11" s="8" t="n">
        <v>302676.39</v>
      </c>
      <c r="N11" s="8" t="n">
        <v>119699.06</v>
      </c>
      <c r="O11" s="7">
        <f>SUM(D11:N11)</f>
        <v/>
      </c>
    </row>
    <row r="12">
      <c r="A12" s="5" t="inlineStr">
        <is>
          <t>12/31/21</t>
        </is>
      </c>
      <c r="B12" s="6" t="inlineStr">
        <is>
          <t>3- Land Improvements - Coral Village Housing LP</t>
        </is>
      </c>
      <c r="C12" s="7" t="n">
        <v>402935</v>
      </c>
      <c r="D12" s="8" t="n">
        <v>57862.97</v>
      </c>
      <c r="E12" s="8" t="n">
        <v>41779.44</v>
      </c>
      <c r="F12" s="8" t="n">
        <v>32982.17</v>
      </c>
      <c r="G12" s="8" t="n">
        <v>41779.44</v>
      </c>
      <c r="H12" s="8" t="n">
        <v>32982.17</v>
      </c>
      <c r="I12" s="8" t="n">
        <v>41779.44</v>
      </c>
      <c r="J12" s="8" t="n">
        <v>32982.17</v>
      </c>
      <c r="K12" s="8" t="n">
        <v>41779.44</v>
      </c>
      <c r="L12" s="8" t="n">
        <v>32982.17</v>
      </c>
      <c r="M12" s="8" t="n">
        <v>32982.17</v>
      </c>
      <c r="N12" s="8" t="n">
        <v>13043.42</v>
      </c>
      <c r="O12" s="7">
        <f>SUM(D12:N12)</f>
        <v/>
      </c>
    </row>
    <row r="13">
      <c r="A13" s="5" t="inlineStr">
        <is>
          <t>12/31/21</t>
        </is>
      </c>
      <c r="B13" s="6" t="inlineStr">
        <is>
          <t>4- Equipment - Coral Village Housing LP</t>
        </is>
      </c>
      <c r="C13" s="7" t="n">
        <v>755504</v>
      </c>
      <c r="D13" s="8" t="n">
        <v>108493.26</v>
      </c>
      <c r="E13" s="8" t="n">
        <v>78336.53999999999</v>
      </c>
      <c r="F13" s="8" t="n">
        <v>61841.63</v>
      </c>
      <c r="G13" s="8" t="n">
        <v>78336.53999999999</v>
      </c>
      <c r="H13" s="8" t="n">
        <v>61841.63</v>
      </c>
      <c r="I13" s="8" t="n">
        <v>78336.53999999999</v>
      </c>
      <c r="J13" s="8" t="n">
        <v>61841.63</v>
      </c>
      <c r="K13" s="8" t="n">
        <v>78336.53999999999</v>
      </c>
      <c r="L13" s="8" t="n">
        <v>61841.63</v>
      </c>
      <c r="M13" s="8" t="n">
        <v>61841.63</v>
      </c>
      <c r="N13" s="8" t="n">
        <v>24456.43</v>
      </c>
      <c r="O13" s="7">
        <f>SUM(D13:N13)</f>
        <v/>
      </c>
    </row>
    <row r="14">
      <c r="B14" s="9" t="inlineStr">
        <is>
          <t>Grand Total Original Cost</t>
        </is>
      </c>
      <c r="C14" s="10">
        <f>SUM(C11:C13)</f>
        <v/>
      </c>
      <c r="D14" s="10">
        <f>SUM(D11:D13)</f>
        <v/>
      </c>
      <c r="E14" s="10">
        <f>SUM(E11:E13)</f>
        <v/>
      </c>
      <c r="F14" s="10">
        <f>SUM(F11:F13)</f>
        <v/>
      </c>
      <c r="G14" s="10">
        <f>SUM(G11:G13)</f>
        <v/>
      </c>
      <c r="H14" s="10">
        <f>SUM(H11:H13)</f>
        <v/>
      </c>
      <c r="I14" s="10">
        <f>SUM(I11:I13)</f>
        <v/>
      </c>
      <c r="J14" s="10">
        <f>SUM(J11:J13)</f>
        <v/>
      </c>
      <c r="K14" s="10">
        <f>SUM(K11:K13)</f>
        <v/>
      </c>
      <c r="L14" s="10">
        <f>SUM(L11:L13)</f>
        <v/>
      </c>
      <c r="M14" s="10">
        <f>SUM(M11:M13)</f>
        <v/>
      </c>
      <c r="N14" s="10">
        <f>SUM(N11:N13)</f>
        <v/>
      </c>
      <c r="O14" s="10">
        <f>SUM(O11:O13)</f>
        <v/>
      </c>
    </row>
    <row r="18">
      <c r="B18" s="11" t="inlineStr">
        <is>
          <t>MACRS Reclassification</t>
        </is>
      </c>
    </row>
    <row r="20">
      <c r="B20" s="6" t="inlineStr">
        <is>
          <t>2 - Building - Coral Village Housing LP - 5yr</t>
        </is>
      </c>
      <c r="C20" s="8" t="n">
        <v>820786.6</v>
      </c>
      <c r="D20" s="8" t="n">
        <v>1284.15</v>
      </c>
      <c r="E20" s="8" t="n">
        <v>95762.44</v>
      </c>
      <c r="F20" s="8" t="n">
        <v>83590.83</v>
      </c>
      <c r="G20" s="8" t="n">
        <v>95762.44</v>
      </c>
      <c r="H20" s="8" t="n">
        <v>83590.83</v>
      </c>
      <c r="I20" s="8" t="n">
        <v>95762.44</v>
      </c>
      <c r="J20" s="8" t="n">
        <v>83590.83</v>
      </c>
      <c r="K20" s="8" t="n">
        <v>95762.44</v>
      </c>
      <c r="L20" s="8" t="n">
        <v>83590.83</v>
      </c>
      <c r="M20" s="8" t="n">
        <v>83590.83</v>
      </c>
      <c r="N20" s="8" t="n">
        <v>18498.54</v>
      </c>
      <c r="O20" s="8">
        <f>SUM(D20:N20)</f>
        <v/>
      </c>
    </row>
    <row r="21">
      <c r="B21" s="6" t="inlineStr">
        <is>
          <t>2 - Building - Coral Village Housing LP - 7yr</t>
        </is>
      </c>
      <c r="C21" s="8" t="n">
        <v>1284.15</v>
      </c>
      <c r="D21" s="8" t="n">
        <v>1284.15</v>
      </c>
      <c r="O21" s="8">
        <f>SUM(D21:N21)</f>
        <v/>
      </c>
    </row>
    <row r="22">
      <c r="B22" s="6" t="inlineStr">
        <is>
          <t>2 - Building - Coral Village Housing LP - 15yr</t>
        </is>
      </c>
      <c r="C22" s="8" t="n">
        <v>290971.55</v>
      </c>
      <c r="D22" s="8" t="n">
        <v>290971.55</v>
      </c>
      <c r="O22" s="8">
        <f>SUM(D22:N22)</f>
        <v/>
      </c>
    </row>
    <row r="23">
      <c r="B23" s="6" t="inlineStr">
        <is>
          <t>2 - Building - Coral Village Housing LP - 27.5yr</t>
        </is>
      </c>
      <c r="C23" s="8" t="n">
        <v>2585964.85</v>
      </c>
      <c r="D23" s="8" t="n">
        <v>238751.37</v>
      </c>
      <c r="E23" s="8" t="n">
        <v>287646.29</v>
      </c>
      <c r="F23" s="8" t="n">
        <v>219085.56</v>
      </c>
      <c r="G23" s="8" t="n">
        <v>287646.29</v>
      </c>
      <c r="H23" s="8" t="n">
        <v>219085.56</v>
      </c>
      <c r="I23" s="8" t="n">
        <v>287646.29</v>
      </c>
      <c r="J23" s="8" t="n">
        <v>219085.56</v>
      </c>
      <c r="K23" s="8" t="n">
        <v>287646.29</v>
      </c>
      <c r="L23" s="8" t="n">
        <v>219085.56</v>
      </c>
      <c r="M23" s="8" t="n">
        <v>219085.56</v>
      </c>
      <c r="N23" s="8" t="n">
        <v>101200.52</v>
      </c>
      <c r="O23" s="8">
        <f>SUM(D23:N23)</f>
        <v/>
      </c>
    </row>
    <row r="24">
      <c r="B24" s="6" t="inlineStr">
        <is>
          <t>3 - Land Improvements - Coral Village Housing LP - 5yr</t>
        </is>
      </c>
      <c r="C24" s="8" t="n">
        <v>89439.81</v>
      </c>
      <c r="D24" s="8" t="n">
        <v>139.93</v>
      </c>
      <c r="E24" s="8" t="n">
        <v>10435.08</v>
      </c>
      <c r="F24" s="8" t="n">
        <v>9108.76</v>
      </c>
      <c r="G24" s="8" t="n">
        <v>10435.08</v>
      </c>
      <c r="H24" s="8" t="n">
        <v>9108.76</v>
      </c>
      <c r="I24" s="8" t="n">
        <v>10435.08</v>
      </c>
      <c r="J24" s="8" t="n">
        <v>9108.76</v>
      </c>
      <c r="K24" s="8" t="n">
        <v>10435.08</v>
      </c>
      <c r="L24" s="8" t="n">
        <v>9108.76</v>
      </c>
      <c r="M24" s="8" t="n">
        <v>9108.76</v>
      </c>
      <c r="N24" s="8" t="n">
        <v>2015.76</v>
      </c>
      <c r="O24" s="8">
        <f>SUM(D24:N24)</f>
        <v/>
      </c>
    </row>
    <row r="25">
      <c r="B25" s="6" t="inlineStr">
        <is>
          <t>3 - Land Improvements - Coral Village Housing LP - 7yr</t>
        </is>
      </c>
      <c r="C25" s="8" t="n">
        <v>139.93</v>
      </c>
      <c r="D25" s="8" t="n">
        <v>139.93</v>
      </c>
      <c r="O25" s="8">
        <f>SUM(D25:N25)</f>
        <v/>
      </c>
    </row>
    <row r="26">
      <c r="B26" s="6" t="inlineStr">
        <is>
          <t>3 - Land Improvements - Coral Village Housing LP - 15yr</t>
        </is>
      </c>
      <c r="C26" s="8" t="n">
        <v>31706.69</v>
      </c>
      <c r="D26" s="8" t="n">
        <v>31706.69</v>
      </c>
      <c r="O26" s="8">
        <f>SUM(D26:N26)</f>
        <v/>
      </c>
    </row>
    <row r="27">
      <c r="B27" s="6" t="inlineStr">
        <is>
          <t>3 - Land Improvements - Coral Village Housing LP - 27.5yr</t>
        </is>
      </c>
      <c r="C27" s="8" t="n">
        <v>281788.5</v>
      </c>
      <c r="D27" s="8" t="n">
        <v>26016.35</v>
      </c>
      <c r="E27" s="8" t="n">
        <v>31344.36</v>
      </c>
      <c r="F27" s="8" t="n">
        <v>23873.41</v>
      </c>
      <c r="G27" s="8" t="n">
        <v>31344.36</v>
      </c>
      <c r="H27" s="8" t="n">
        <v>23873.41</v>
      </c>
      <c r="I27" s="8" t="n">
        <v>31344.36</v>
      </c>
      <c r="J27" s="8" t="n">
        <v>23873.41</v>
      </c>
      <c r="K27" s="8" t="n">
        <v>31344.36</v>
      </c>
      <c r="L27" s="8" t="n">
        <v>23873.41</v>
      </c>
      <c r="M27" s="8" t="n">
        <v>23873.41</v>
      </c>
      <c r="N27" s="8" t="n">
        <v>11027.66</v>
      </c>
      <c r="O27" s="8">
        <f>SUM(D27:N27)</f>
        <v/>
      </c>
    </row>
    <row r="28">
      <c r="B28" s="6" t="inlineStr">
        <is>
          <t>4 - Equipment - Coral Village Housing LP - 5yr</t>
        </is>
      </c>
      <c r="C28" s="8" t="n">
        <v>167699.82</v>
      </c>
      <c r="D28" s="8" t="n">
        <v>262.37</v>
      </c>
      <c r="E28" s="8" t="n">
        <v>19565.8</v>
      </c>
      <c r="F28" s="8" t="n">
        <v>17078.94</v>
      </c>
      <c r="G28" s="8" t="n">
        <v>19565.8</v>
      </c>
      <c r="H28" s="8" t="n">
        <v>17078.94</v>
      </c>
      <c r="I28" s="8" t="n">
        <v>19565.8</v>
      </c>
      <c r="J28" s="8" t="n">
        <v>17078.94</v>
      </c>
      <c r="K28" s="8" t="n">
        <v>19565.8</v>
      </c>
      <c r="L28" s="8" t="n">
        <v>17078.94</v>
      </c>
      <c r="M28" s="8" t="n">
        <v>17078.94</v>
      </c>
      <c r="N28" s="8" t="n">
        <v>3779.55</v>
      </c>
      <c r="O28" s="8">
        <f>SUM(D28:N28)</f>
        <v/>
      </c>
    </row>
    <row r="29">
      <c r="B29" s="6" t="inlineStr">
        <is>
          <t>4 - Equipment - Coral Village Housing LP - 7yr</t>
        </is>
      </c>
      <c r="C29" s="8" t="n">
        <v>262.37</v>
      </c>
      <c r="D29" s="8" t="n">
        <v>262.37</v>
      </c>
      <c r="O29" s="8">
        <f>SUM(D29:N29)</f>
        <v/>
      </c>
    </row>
    <row r="30">
      <c r="B30" s="6" t="inlineStr">
        <is>
          <t>4 - Equipment - Coral Village Housing LP - 15yr</t>
        </is>
      </c>
      <c r="C30" s="8" t="n">
        <v>59450.16</v>
      </c>
      <c r="D30" s="8" t="n">
        <v>59450.16</v>
      </c>
      <c r="O30" s="8">
        <f>SUM(D30:N30)</f>
        <v/>
      </c>
    </row>
    <row r="31">
      <c r="B31" s="6" t="inlineStr">
        <is>
          <t>4 - Equipment - Coral Village Housing LP - 27.5yr</t>
        </is>
      </c>
      <c r="C31" s="8" t="n">
        <v>528354.02</v>
      </c>
      <c r="D31" s="8" t="n">
        <v>48780.73</v>
      </c>
      <c r="E31" s="8" t="n">
        <v>58770.74</v>
      </c>
      <c r="F31" s="8" t="n">
        <v>44762.69</v>
      </c>
      <c r="G31" s="8" t="n">
        <v>58770.74</v>
      </c>
      <c r="H31" s="8" t="n">
        <v>44762.69</v>
      </c>
      <c r="I31" s="8" t="n">
        <v>58770.74</v>
      </c>
      <c r="J31" s="8" t="n">
        <v>44762.69</v>
      </c>
      <c r="K31" s="8" t="n">
        <v>58770.74</v>
      </c>
      <c r="L31" s="8" t="n">
        <v>44762.69</v>
      </c>
      <c r="M31" s="8" t="n">
        <v>44762.69</v>
      </c>
      <c r="N31" s="8" t="n">
        <v>20676.88</v>
      </c>
      <c r="O31" s="8">
        <f>SUM(D31:N31)</f>
        <v/>
      </c>
    </row>
    <row r="33">
      <c r="C33" s="12" t="inlineStr">
        <is>
          <t>TOTALS</t>
        </is>
      </c>
      <c r="D33" s="13">
        <f>SUM(D20:D31)</f>
        <v/>
      </c>
      <c r="E33" s="13">
        <f>SUM(E20:E31)</f>
        <v/>
      </c>
      <c r="F33" s="13">
        <f>SUM(F20:F31)</f>
        <v/>
      </c>
      <c r="G33" s="13">
        <f>SUM(G20:G31)</f>
        <v/>
      </c>
      <c r="H33" s="13">
        <f>SUM(H20:H31)</f>
        <v/>
      </c>
      <c r="I33" s="13">
        <f>SUM(I20:I31)</f>
        <v/>
      </c>
      <c r="J33" s="13">
        <f>SUM(J20:J31)</f>
        <v/>
      </c>
      <c r="K33" s="13">
        <f>SUM(K20:K31)</f>
        <v/>
      </c>
      <c r="L33" s="13">
        <f>SUM(L20:L31)</f>
        <v/>
      </c>
      <c r="M33" s="13">
        <f>SUM(M20:M31)</f>
        <v/>
      </c>
      <c r="N33" s="13">
        <f>SUM(N20:N31)</f>
        <v/>
      </c>
      <c r="O33" s="13">
        <f>SUM(O20:O31)</f>
        <v/>
      </c>
    </row>
    <row r="34">
      <c r="B34" s="9" t="inlineStr">
        <is>
          <t>Total MACRS Reclassification</t>
        </is>
      </c>
      <c r="D34" s="10">
        <f>SUM(D20:D31)</f>
        <v/>
      </c>
      <c r="E34" s="10">
        <f>SUM(E20:E31)</f>
        <v/>
      </c>
      <c r="F34" s="10">
        <f>SUM(F20:F31)</f>
        <v/>
      </c>
      <c r="G34" s="10">
        <f>SUM(G20:G31)</f>
        <v/>
      </c>
      <c r="H34" s="10">
        <f>SUM(H20:H31)</f>
        <v/>
      </c>
      <c r="I34" s="10">
        <f>SUM(I20:I31)</f>
        <v/>
      </c>
      <c r="J34" s="10">
        <f>SUM(J20:J31)</f>
        <v/>
      </c>
      <c r="K34" s="10">
        <f>SUM(K20:K31)</f>
        <v/>
      </c>
      <c r="L34" s="10">
        <f>SUM(L20:L31)</f>
        <v/>
      </c>
      <c r="M34" s="10">
        <f>SUM(M20:M31)</f>
        <v/>
      </c>
      <c r="N34" s="10">
        <f>SUM(N20:N31)</f>
        <v/>
      </c>
      <c r="O34" s="10">
        <f>SUM(O20:O31)</f>
        <v/>
      </c>
    </row>
    <row r="36">
      <c r="C36" s="14" t="inlineStr">
        <is>
          <t>Difference</t>
        </is>
      </c>
      <c r="D36" s="15">
        <f>+D14-D34</f>
        <v/>
      </c>
      <c r="E36" s="15">
        <f>+E14-E34</f>
        <v/>
      </c>
      <c r="F36" s="15">
        <f>+F14-F34</f>
        <v/>
      </c>
      <c r="G36" s="15">
        <f>+G14-G34</f>
        <v/>
      </c>
      <c r="H36" s="15">
        <f>+H14-H34</f>
        <v/>
      </c>
      <c r="I36" s="15">
        <f>+I14-I34</f>
        <v/>
      </c>
      <c r="J36" s="15">
        <f>+J14-J34</f>
        <v/>
      </c>
      <c r="K36" s="15">
        <f>+K14-K34</f>
        <v/>
      </c>
      <c r="L36" s="15">
        <f>+L14-L34</f>
        <v/>
      </c>
      <c r="M36" s="15">
        <f>+M14-M34</f>
        <v/>
      </c>
      <c r="N36" s="15">
        <f>+N14-N34</f>
        <v/>
      </c>
      <c r="O36" s="15">
        <f>+O14-O34</f>
        <v/>
      </c>
    </row>
    <row r="39">
      <c r="B39" s="16" t="inlineStr">
        <is>
          <t>End Depreciation Reconciliation</t>
        </is>
      </c>
    </row>
    <row r="40">
      <c r="B40" s="9" t="inlineStr">
        <is>
          <t>Before Cost Segregation (As Previously Filed)</t>
        </is>
      </c>
      <c r="D40" s="17" t="n">
        <v>229916.28</v>
      </c>
      <c r="E40" s="17" t="n">
        <v>166008.92</v>
      </c>
      <c r="F40" s="17" t="n">
        <v>131053.31</v>
      </c>
      <c r="G40" s="17" t="n">
        <v>166008.92</v>
      </c>
      <c r="H40" s="17" t="n">
        <v>131053.31</v>
      </c>
      <c r="I40" s="17" t="n">
        <v>166008.92</v>
      </c>
      <c r="J40" s="17" t="n">
        <v>131053.31</v>
      </c>
      <c r="K40" s="17" t="n">
        <v>166008.92</v>
      </c>
      <c r="L40" s="17" t="n">
        <v>131053.31</v>
      </c>
      <c r="M40" s="17" t="n">
        <v>131053.31</v>
      </c>
      <c r="N40" s="17" t="n">
        <v>51827.49</v>
      </c>
      <c r="O40" s="10">
        <f>SUM(D40:N40)</f>
        <v/>
      </c>
    </row>
    <row r="42">
      <c r="B42" s="6" t="inlineStr">
        <is>
          <t>2 - Building - Coral Village Housing LP - 5yr</t>
        </is>
      </c>
      <c r="D42" s="8" t="n">
        <v>1284.15</v>
      </c>
      <c r="E42" s="8" t="n">
        <v>95762.44</v>
      </c>
      <c r="F42" s="8" t="n">
        <v>83590.83</v>
      </c>
      <c r="G42" s="8" t="n">
        <v>95762.44</v>
      </c>
      <c r="H42" s="8" t="n">
        <v>83590.83</v>
      </c>
      <c r="I42" s="8" t="n">
        <v>95762.44</v>
      </c>
      <c r="J42" s="8" t="n">
        <v>83590.83</v>
      </c>
      <c r="K42" s="8" t="n">
        <v>95762.44</v>
      </c>
      <c r="L42" s="8" t="n">
        <v>83590.83</v>
      </c>
      <c r="M42" s="8" t="n">
        <v>83590.83</v>
      </c>
      <c r="N42" s="8" t="n">
        <v>18498.54</v>
      </c>
      <c r="O42" s="8">
        <f>SUM(D42:N42)</f>
        <v/>
      </c>
    </row>
    <row r="43">
      <c r="B43" s="6" t="inlineStr">
        <is>
          <t>2 - Building - Coral Village Housing LP - 7yr</t>
        </is>
      </c>
      <c r="D43" s="8" t="n">
        <v>1284.15</v>
      </c>
      <c r="O43" s="8">
        <f>SUM(D43:N43)</f>
        <v/>
      </c>
    </row>
    <row r="44">
      <c r="B44" s="6" t="inlineStr">
        <is>
          <t>2 - Building - Coral Village Housing LP - 15yr</t>
        </is>
      </c>
      <c r="D44" s="8" t="n">
        <v>290971.55</v>
      </c>
      <c r="O44" s="8">
        <f>SUM(D44:N44)</f>
        <v/>
      </c>
    </row>
    <row r="45">
      <c r="B45" s="6" t="inlineStr">
        <is>
          <t>2 - Building - Coral Village Housing LP - 27.5yr</t>
        </is>
      </c>
      <c r="D45" s="8" t="n">
        <v>28577.82</v>
      </c>
      <c r="E45" s="8" t="n">
        <v>34430.4</v>
      </c>
      <c r="F45" s="8" t="n">
        <v>26223.88</v>
      </c>
      <c r="G45" s="8" t="n">
        <v>34430.4</v>
      </c>
      <c r="H45" s="8" t="n">
        <v>26223.88</v>
      </c>
      <c r="I45" s="8" t="n">
        <v>34430.4</v>
      </c>
      <c r="J45" s="8" t="n">
        <v>26223.88</v>
      </c>
      <c r="K45" s="8" t="n">
        <v>34430.4</v>
      </c>
      <c r="L45" s="8" t="n">
        <v>26223.88</v>
      </c>
      <c r="M45" s="8" t="n">
        <v>26223.88</v>
      </c>
      <c r="N45" s="8" t="n">
        <v>12113.4</v>
      </c>
      <c r="O45" s="8">
        <f>SUM(D45:N45)</f>
        <v/>
      </c>
    </row>
    <row r="46">
      <c r="B46" s="6" t="inlineStr">
        <is>
          <t>3 - Land Improvements - Coral Village Housing LP - 5yr</t>
        </is>
      </c>
      <c r="D46" s="8" t="n">
        <v>139.93</v>
      </c>
      <c r="E46" s="8" t="n">
        <v>10435.08</v>
      </c>
      <c r="F46" s="8" t="n">
        <v>9108.76</v>
      </c>
      <c r="G46" s="8" t="n">
        <v>10435.08</v>
      </c>
      <c r="H46" s="8" t="n">
        <v>9108.76</v>
      </c>
      <c r="I46" s="8" t="n">
        <v>10435.08</v>
      </c>
      <c r="J46" s="8" t="n">
        <v>9108.76</v>
      </c>
      <c r="K46" s="8" t="n">
        <v>10435.08</v>
      </c>
      <c r="L46" s="8" t="n">
        <v>9108.76</v>
      </c>
      <c r="M46" s="8" t="n">
        <v>9108.76</v>
      </c>
      <c r="N46" s="8" t="n">
        <v>2015.76</v>
      </c>
      <c r="O46" s="8">
        <f>SUM(D46:N46)</f>
        <v/>
      </c>
    </row>
    <row r="47">
      <c r="B47" s="6" t="inlineStr">
        <is>
          <t>3 - Land Improvements - Coral Village Housing LP - 7yr</t>
        </is>
      </c>
      <c r="D47" s="8" t="n">
        <v>139.93</v>
      </c>
      <c r="O47" s="8">
        <f>SUM(D47:N47)</f>
        <v/>
      </c>
    </row>
    <row r="48">
      <c r="B48" s="6" t="inlineStr">
        <is>
          <t>3 - Land Improvements - Coral Village Housing LP - 15yr</t>
        </is>
      </c>
      <c r="D48" s="8" t="n">
        <v>31706.69</v>
      </c>
      <c r="O48" s="8">
        <f>SUM(D48:N48)</f>
        <v/>
      </c>
    </row>
    <row r="49">
      <c r="B49" s="6" t="inlineStr">
        <is>
          <t>3 - Land Improvements - Coral Village Housing LP - 27.5yr</t>
        </is>
      </c>
      <c r="D49" s="8" t="n">
        <v>3114.08</v>
      </c>
      <c r="E49" s="8" t="n">
        <v>3751.81</v>
      </c>
      <c r="F49" s="8" t="n">
        <v>2857.56</v>
      </c>
      <c r="G49" s="8" t="n">
        <v>3751.81</v>
      </c>
      <c r="H49" s="8" t="n">
        <v>2857.56</v>
      </c>
      <c r="I49" s="8" t="n">
        <v>3751.81</v>
      </c>
      <c r="J49" s="8" t="n">
        <v>2857.56</v>
      </c>
      <c r="K49" s="8" t="n">
        <v>3751.81</v>
      </c>
      <c r="L49" s="8" t="n">
        <v>2857.56</v>
      </c>
      <c r="M49" s="8" t="n">
        <v>2857.56</v>
      </c>
      <c r="N49" s="8" t="n">
        <v>1319.99</v>
      </c>
      <c r="O49" s="8">
        <f>SUM(D49:N49)</f>
        <v/>
      </c>
    </row>
    <row r="50">
      <c r="B50" s="6" t="inlineStr">
        <is>
          <t>4 - Equipment - Coral Village Housing LP - 5yr</t>
        </is>
      </c>
      <c r="D50" s="8" t="n">
        <v>262.37</v>
      </c>
      <c r="E50" s="8" t="n">
        <v>19565.8</v>
      </c>
      <c r="F50" s="8" t="n">
        <v>17078.94</v>
      </c>
      <c r="G50" s="8" t="n">
        <v>19565.8</v>
      </c>
      <c r="H50" s="8" t="n">
        <v>17078.94</v>
      </c>
      <c r="I50" s="8" t="n">
        <v>19565.8</v>
      </c>
      <c r="J50" s="8" t="n">
        <v>17078.94</v>
      </c>
      <c r="K50" s="8" t="n">
        <v>19565.8</v>
      </c>
      <c r="L50" s="8" t="n">
        <v>17078.94</v>
      </c>
      <c r="M50" s="8" t="n">
        <v>17078.94</v>
      </c>
      <c r="N50" s="8" t="n">
        <v>3779.55</v>
      </c>
      <c r="O50" s="8">
        <f>SUM(D50:N50)</f>
        <v/>
      </c>
    </row>
    <row r="51">
      <c r="B51" s="6" t="inlineStr">
        <is>
          <t>4 - Equipment - Coral Village Housing LP - 7yr</t>
        </is>
      </c>
      <c r="D51" s="8" t="n">
        <v>262.37</v>
      </c>
      <c r="O51" s="8">
        <f>SUM(D51:N51)</f>
        <v/>
      </c>
    </row>
    <row r="52">
      <c r="B52" s="6" t="inlineStr">
        <is>
          <t>4 - Equipment - Coral Village Housing LP - 15yr</t>
        </is>
      </c>
      <c r="D52" s="8" t="n">
        <v>59450.16</v>
      </c>
      <c r="O52" s="8">
        <f>SUM(D52:N52)</f>
        <v/>
      </c>
    </row>
    <row r="53">
      <c r="B53" s="6" t="inlineStr">
        <is>
          <t>4 - Equipment - Coral Village Housing LP - 27.5yr</t>
        </is>
      </c>
      <c r="D53" s="8" t="n">
        <v>5838.89</v>
      </c>
      <c r="E53" s="8" t="n">
        <v>7034.69</v>
      </c>
      <c r="F53" s="8" t="n">
        <v>5357.95</v>
      </c>
      <c r="G53" s="8" t="n">
        <v>7034.69</v>
      </c>
      <c r="H53" s="8" t="n">
        <v>5357.95</v>
      </c>
      <c r="I53" s="8" t="n">
        <v>7034.69</v>
      </c>
      <c r="J53" s="8" t="n">
        <v>5357.95</v>
      </c>
      <c r="K53" s="8" t="n">
        <v>7034.69</v>
      </c>
      <c r="L53" s="8" t="n">
        <v>5357.95</v>
      </c>
      <c r="M53" s="8" t="n">
        <v>5357.95</v>
      </c>
      <c r="N53" s="8" t="n">
        <v>2474.97</v>
      </c>
      <c r="O53" s="8">
        <f>SUM(D53:N53)</f>
        <v/>
      </c>
    </row>
    <row r="55">
      <c r="C55" s="12" t="inlineStr">
        <is>
          <t>TOTALS</t>
        </is>
      </c>
      <c r="D55" s="13">
        <f>SUM(D42:D53)</f>
        <v/>
      </c>
      <c r="E55" s="13">
        <f>SUM(E42:E53)</f>
        <v/>
      </c>
      <c r="F55" s="13">
        <f>SUM(F42:F53)</f>
        <v/>
      </c>
      <c r="G55" s="13">
        <f>SUM(G42:G53)</f>
        <v/>
      </c>
      <c r="H55" s="13">
        <f>SUM(H42:H53)</f>
        <v/>
      </c>
      <c r="I55" s="13">
        <f>SUM(I42:I53)</f>
        <v/>
      </c>
      <c r="J55" s="13">
        <f>SUM(J42:J53)</f>
        <v/>
      </c>
      <c r="K55" s="13">
        <f>SUM(K42:K53)</f>
        <v/>
      </c>
      <c r="L55" s="13">
        <f>SUM(L42:L53)</f>
        <v/>
      </c>
      <c r="M55" s="13">
        <f>SUM(M42:M53)</f>
        <v/>
      </c>
      <c r="N55" s="13">
        <f>SUM(N42:N53)</f>
        <v/>
      </c>
      <c r="O55" s="13">
        <f>SUM(O42:O53)</f>
        <v/>
      </c>
    </row>
    <row r="56">
      <c r="B56" s="18" t="inlineStr">
        <is>
          <t>After Cost Segregation (Corrected)</t>
        </is>
      </c>
      <c r="D56" s="19" t="n">
        <v>421345.64</v>
      </c>
      <c r="E56" s="19" t="n">
        <v>170980.22</v>
      </c>
      <c r="F56" s="19" t="n">
        <v>144217.92</v>
      </c>
      <c r="G56" s="19" t="n">
        <v>170980.22</v>
      </c>
      <c r="H56" s="19" t="n">
        <v>144217.92</v>
      </c>
      <c r="I56" s="19" t="n">
        <v>170980.22</v>
      </c>
      <c r="J56" s="19" t="n">
        <v>144217.92</v>
      </c>
      <c r="K56" s="19" t="n">
        <v>170980.22</v>
      </c>
      <c r="L56" s="19" t="n">
        <v>144217.92</v>
      </c>
      <c r="M56" s="19" t="n">
        <v>144217.92</v>
      </c>
      <c r="N56" s="19" t="n">
        <v>40202.21</v>
      </c>
      <c r="O56" s="20">
        <f>SUM(D56:N56)</f>
        <v/>
      </c>
    </row>
    <row r="57">
      <c r="B57" s="21" t="inlineStr">
        <is>
          <t>Section 481(a) Adjustment</t>
        </is>
      </c>
      <c r="D57" s="22" t="n">
        <v>-191429.36</v>
      </c>
      <c r="E57" s="22" t="n">
        <v>-4971.3</v>
      </c>
      <c r="F57" s="22" t="n">
        <v>-13164.61</v>
      </c>
      <c r="G57" s="22" t="n">
        <v>-4971.3</v>
      </c>
      <c r="H57" s="22" t="n">
        <v>-13164.61</v>
      </c>
      <c r="I57" s="22" t="n">
        <v>-4971.3</v>
      </c>
      <c r="J57" s="22" t="n">
        <v>-13164.61</v>
      </c>
      <c r="K57" s="22" t="n">
        <v>-4971.3</v>
      </c>
      <c r="L57" s="22" t="n">
        <v>-13164.61</v>
      </c>
      <c r="M57" s="22" t="n">
        <v>-13164.61</v>
      </c>
      <c r="N57" s="22" t="n">
        <v>11625.28</v>
      </c>
      <c r="O57" s="23">
        <f>SUM(D57:N57)</f>
        <v/>
      </c>
    </row>
    <row r="58">
      <c r="B58" s="9" t="inlineStr">
        <is>
          <t>Before Cost Segregation (As Previously Filed)</t>
        </is>
      </c>
      <c r="D58" s="17" t="n">
        <v>229916.28</v>
      </c>
      <c r="E58" s="17" t="n">
        <v>166008.92</v>
      </c>
      <c r="F58" s="17" t="n">
        <v>131053.31</v>
      </c>
      <c r="G58" s="17" t="n">
        <v>166008.92</v>
      </c>
      <c r="H58" s="17" t="n">
        <v>131053.31</v>
      </c>
      <c r="I58" s="17" t="n">
        <v>166008.92</v>
      </c>
      <c r="J58" s="17" t="n">
        <v>131053.31</v>
      </c>
      <c r="K58" s="17" t="n">
        <v>166008.92</v>
      </c>
      <c r="L58" s="17" t="n">
        <v>131053.31</v>
      </c>
      <c r="M58" s="17" t="n">
        <v>131053.31</v>
      </c>
      <c r="N58" s="17" t="n">
        <v>51827.49</v>
      </c>
      <c r="O58" s="10">
        <f>SUM(D58:N58)</f>
        <v/>
      </c>
    </row>
    <row r="59">
      <c r="B59" s="3" t="inlineStr">
        <is>
          <t>Difference (Before &amp; After Dep.)</t>
        </is>
      </c>
      <c r="D59" s="15">
        <f>D56-D58</f>
        <v/>
      </c>
      <c r="E59" s="15">
        <f>E56-E58</f>
        <v/>
      </c>
      <c r="F59" s="15">
        <f>F56-F58</f>
        <v/>
      </c>
      <c r="G59" s="15">
        <f>G56-G58</f>
        <v/>
      </c>
      <c r="H59" s="15">
        <f>H56-H58</f>
        <v/>
      </c>
      <c r="I59" s="15">
        <f>I56-I58</f>
        <v/>
      </c>
      <c r="J59" s="15">
        <f>J56-J58</f>
        <v/>
      </c>
      <c r="K59" s="15">
        <f>K56-K58</f>
        <v/>
      </c>
      <c r="L59" s="15">
        <f>L56-L58</f>
        <v/>
      </c>
      <c r="M59" s="15">
        <f>M56-M58</f>
        <v/>
      </c>
      <c r="N59" s="15">
        <f>N56-N58</f>
        <v/>
      </c>
      <c r="O59" s="15">
        <f>O56-O58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Site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Site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Site Components</t>
        </is>
      </c>
    </row>
    <row r="16" ht="15" customHeight="1">
      <c r="A16" s="6" t="inlineStr">
        <is>
          <t>Movable Shed</t>
        </is>
      </c>
      <c r="B16" s="8" t="n">
        <v>1686.45</v>
      </c>
      <c r="D16" s="8" t="n">
        <v>1686.45</v>
      </c>
    </row>
    <row r="17" ht="15" customHeight="1">
      <c r="A17" s="6" t="inlineStr">
        <is>
          <t>Site Drainage</t>
        </is>
      </c>
      <c r="B17" s="8" t="n">
        <v>39048.7</v>
      </c>
      <c r="E17" s="8" t="n">
        <v>39048.7</v>
      </c>
    </row>
    <row r="18" ht="15" customHeight="1">
      <c r="A18" s="6" t="inlineStr">
        <is>
          <t>Parking Lot</t>
        </is>
      </c>
      <c r="B18" s="8" t="n">
        <v>153576.44</v>
      </c>
      <c r="E18" s="8" t="n">
        <v>153576.44</v>
      </c>
    </row>
    <row r="19" ht="15" customHeight="1">
      <c r="A19" s="6" t="inlineStr">
        <is>
          <t>Exterior Signage</t>
        </is>
      </c>
      <c r="B19" s="8" t="n">
        <v>4980.7</v>
      </c>
      <c r="E19" s="8" t="n">
        <v>4980.7</v>
      </c>
    </row>
    <row r="20" ht="15" customHeight="1">
      <c r="A20" s="6" t="inlineStr">
        <is>
          <t>Parking Lot Striping / Barriers</t>
        </is>
      </c>
      <c r="B20" s="8" t="n">
        <v>7221.77</v>
      </c>
      <c r="E20" s="8" t="n">
        <v>7221.77</v>
      </c>
    </row>
    <row r="21" ht="15" customHeight="1">
      <c r="A21" s="6" t="inlineStr">
        <is>
          <t>Sidewalks / Curbs</t>
        </is>
      </c>
      <c r="B21" s="8" t="n">
        <v>84027.83</v>
      </c>
      <c r="E21" s="8" t="n">
        <v>84027.83</v>
      </c>
    </row>
    <row r="22" ht="15" customHeight="1">
      <c r="A22" s="6" t="inlineStr">
        <is>
          <t>Landscaping &amp; Flagpole</t>
        </is>
      </c>
      <c r="B22" s="8" t="n">
        <v>9631.809999999999</v>
      </c>
      <c r="E22" s="8" t="n">
        <v>9631.809999999999</v>
      </c>
    </row>
    <row r="23" ht="15" customHeight="1">
      <c r="A23" s="6" t="inlineStr">
        <is>
          <t>Security Lighting Poles</t>
        </is>
      </c>
      <c r="B23" s="8" t="n">
        <v>20401.97</v>
      </c>
      <c r="E23" s="8" t="n">
        <v>20401.97</v>
      </c>
    </row>
    <row r="24" ht="15" customHeight="1">
      <c r="A24" s="6" t="inlineStr">
        <is>
          <t>Exterior Fencing</t>
        </is>
      </c>
      <c r="B24" s="8" t="n">
        <v>1644.48</v>
      </c>
      <c r="E24" s="8" t="n">
        <v>1644.48</v>
      </c>
    </row>
    <row r="25" ht="15" customHeight="1">
      <c r="A25" s="6" t="inlineStr">
        <is>
          <t>Dumpster Enclosures</t>
        </is>
      </c>
      <c r="B25" s="8" t="n">
        <v>11153.66</v>
      </c>
      <c r="E25" s="8" t="n">
        <v>11153.66</v>
      </c>
    </row>
    <row r="26" ht="15" customHeight="1">
      <c r="A26" s="6" t="inlineStr">
        <is>
          <t>Swimming Pool</t>
        </is>
      </c>
      <c r="B26" s="8" t="n">
        <v>24156.38</v>
      </c>
      <c r="E26" s="8" t="n">
        <v>24156.38</v>
      </c>
    </row>
    <row r="27" ht="15" customHeight="1">
      <c r="A27" s="6" t="inlineStr">
        <is>
          <t>Fire Hydrants</t>
        </is>
      </c>
      <c r="B27" s="8" t="n">
        <v>8313.83</v>
      </c>
      <c r="E27" s="8" t="n">
        <v>8313.83</v>
      </c>
    </row>
    <row r="28" ht="15" customHeight="1">
      <c r="A28" s="6" t="inlineStr">
        <is>
          <t>Wood Bridge</t>
        </is>
      </c>
      <c r="B28" s="8" t="n">
        <v>424.82</v>
      </c>
      <c r="E28" s="8" t="n">
        <v>424.82</v>
      </c>
    </row>
    <row r="29" ht="15" customHeight="1">
      <c r="A29" s="6" t="inlineStr">
        <is>
          <t>Exterior Equipment Concrete Pads</t>
        </is>
      </c>
      <c r="B29" s="8" t="n">
        <v>7388.84</v>
      </c>
      <c r="E29" s="8" t="n">
        <v>7388.84</v>
      </c>
    </row>
    <row r="30" ht="15" customHeight="1">
      <c r="A30" s="6" t="inlineStr">
        <is>
          <t>Mailboxes</t>
        </is>
      </c>
      <c r="B30" s="8" t="n">
        <v>10157.17</v>
      </c>
      <c r="E30" s="8" t="n">
        <v>10157.17</v>
      </c>
    </row>
    <row r="31" ht="15" customHeight="1">
      <c r="A31" s="11" t="inlineStr">
        <is>
          <t>Site Utilities</t>
        </is>
      </c>
    </row>
    <row r="32" ht="15" customHeight="1">
      <c r="A32" s="6" t="inlineStr">
        <is>
          <t>Site Utilities</t>
        </is>
      </c>
      <c r="B32" s="8" t="n">
        <v>313548.45</v>
      </c>
      <c r="F32" s="8" t="n">
        <v>313548.45</v>
      </c>
    </row>
    <row r="33" ht="15" customHeight="1"/>
    <row r="34" ht="15" customHeight="1">
      <c r="A34" s="9" t="inlineStr">
        <is>
          <t>Total Site Cost</t>
        </is>
      </c>
      <c r="B34" s="10" t="n">
        <v>697363.3</v>
      </c>
      <c r="D34" s="10" t="n">
        <v>1686.45</v>
      </c>
      <c r="E34" s="10" t="n">
        <v>382128.4</v>
      </c>
      <c r="F34" s="10" t="n">
        <v>313548.45</v>
      </c>
    </row>
    <row r="35" ht="15" customHeight="1">
      <c r="A35" s="3" t="inlineStr">
        <is>
          <t>% of Site Cost</t>
        </is>
      </c>
      <c r="D35" s="26" t="n">
        <v>0.002</v>
      </c>
      <c r="E35" s="26" t="n">
        <v>0.548</v>
      </c>
      <c r="F35" s="26" t="n">
        <v>0.45</v>
      </c>
    </row>
    <row r="36" ht="15" customHeight="1">
      <c r="A36" s="27" t="inlineStr">
        <is>
          <t>TOTALS</t>
        </is>
      </c>
      <c r="B36" s="13">
        <f>SUM(B16:B33)</f>
        <v/>
      </c>
      <c r="C36" s="13">
        <f>SUM(C16:C33)</f>
        <v/>
      </c>
      <c r="E36" s="27" t="inlineStr">
        <is>
          <t>TOTALS</t>
        </is>
      </c>
      <c r="F36" s="13">
        <f>SUM(F16:F33)</f>
        <v/>
      </c>
    </row>
    <row r="37" ht="15" customHeight="1">
      <c r="A37" s="24" t="inlineStr">
        <is>
          <t>Asset Allocation:</t>
        </is>
      </c>
    </row>
    <row r="38" ht="15" customHeight="1">
      <c r="A38" s="6" t="inlineStr">
        <is>
          <t>Asset #2 Building</t>
        </is>
      </c>
      <c r="B38" s="8" t="n">
        <v>531007.0699999999</v>
      </c>
      <c r="D38" s="8" t="n">
        <v>1284.15</v>
      </c>
      <c r="E38" s="8" t="n">
        <v>290971.55</v>
      </c>
      <c r="F38" s="8" t="n">
        <v>238751.37</v>
      </c>
    </row>
    <row r="39" ht="15" customHeight="1">
      <c r="A39" s="6" t="inlineStr">
        <is>
          <t>Asset #3 Land Improvements</t>
        </is>
      </c>
      <c r="B39" s="8" t="n">
        <v>57862.97</v>
      </c>
      <c r="D39" s="8" t="n">
        <v>139.93</v>
      </c>
      <c r="E39" s="8" t="n">
        <v>31706.69</v>
      </c>
      <c r="F39" s="8" t="n">
        <v>26016.35</v>
      </c>
    </row>
    <row r="40" ht="15" customHeight="1">
      <c r="A40" s="6" t="inlineStr">
        <is>
          <t>Asset #4 Equipment</t>
        </is>
      </c>
      <c r="B40" s="8" t="n">
        <v>108493.26</v>
      </c>
      <c r="D40" s="8" t="n">
        <v>262.37</v>
      </c>
      <c r="E40" s="8" t="n">
        <v>59450.16</v>
      </c>
      <c r="F40" s="8" t="n">
        <v>48780.73</v>
      </c>
    </row>
    <row r="41" ht="15" customHeight="1">
      <c r="A41" s="18" t="inlineStr">
        <is>
          <t>Total Allocation:</t>
        </is>
      </c>
      <c r="B41" s="20" t="n">
        <v>697363.3</v>
      </c>
      <c r="D41" s="20" t="n">
        <v>1686.45</v>
      </c>
      <c r="E41" s="20" t="n">
        <v>382128.4</v>
      </c>
      <c r="F41" s="20" t="n">
        <v>313548.45</v>
      </c>
    </row>
    <row r="42" ht="15" customHeight="1">
      <c r="A42" s="27" t="inlineStr">
        <is>
          <t>TOTALS</t>
        </is>
      </c>
      <c r="B42" s="13">
        <f>SUM(B38:B40)</f>
        <v/>
      </c>
      <c r="C42" s="13">
        <f>SUM(C38:C40)</f>
        <v/>
      </c>
      <c r="E42" s="27" t="inlineStr">
        <is>
          <t>TOTALS</t>
        </is>
      </c>
      <c r="F42" s="13">
        <f>SUM(F38:F40)</f>
        <v/>
      </c>
    </row>
    <row r="43" ht="15" customHeight="1"/>
    <row r="44" ht="15" customHeight="1"/>
    <row r="45" ht="15" customHeight="1"/>
    <row r="46" ht="15" customHeight="1">
      <c r="A46" s="16" t="inlineStr">
        <is>
          <t>End Depreciation Reconciliation</t>
        </is>
      </c>
    </row>
    <row r="47" ht="15" customHeight="1">
      <c r="A47" s="9" t="inlineStr">
        <is>
          <t>Before Cost Segregation (As Previously Filed)</t>
        </is>
      </c>
    </row>
    <row r="48" ht="15" customHeight="1">
      <c r="A48" s="12" t="inlineStr">
        <is>
          <t>Property Description</t>
        </is>
      </c>
      <c r="B48" s="12" t="inlineStr">
        <is>
          <t>Tax Cost</t>
        </is>
      </c>
      <c r="C48" s="12" t="inlineStr">
        <is>
          <t>Tax Bonus Amt</t>
        </is>
      </c>
      <c r="D48" s="12" t="inlineStr">
        <is>
          <t>Tax Prior Depr</t>
        </is>
      </c>
      <c r="E48" s="12" t="inlineStr">
        <is>
          <t>Tax Current Depr</t>
        </is>
      </c>
      <c r="F48" s="12" t="inlineStr">
        <is>
          <t>Tax End Depr</t>
        </is>
      </c>
      <c r="G48" s="12" t="inlineStr">
        <is>
          <t>Tax Net Book Value</t>
        </is>
      </c>
      <c r="H48" s="12" t="inlineStr">
        <is>
          <t>Tax Method</t>
        </is>
      </c>
      <c r="I48" s="12" t="inlineStr">
        <is>
          <t>Tax Period</t>
        </is>
      </c>
    </row>
    <row r="49" ht="15" customHeight="1">
      <c r="A49" s="6" t="inlineStr">
        <is>
          <t>2-Building</t>
        </is>
      </c>
      <c r="B49" s="8" t="n">
        <v>531007.0699999999</v>
      </c>
      <c r="C49" s="8" t="n">
        <v>0</v>
      </c>
      <c r="D49" s="8" t="n">
        <v>0</v>
      </c>
      <c r="E49" s="8" t="n">
        <v>44250.63</v>
      </c>
      <c r="F49" s="8" t="n">
        <v>44250.63</v>
      </c>
      <c r="G49" s="8" t="n">
        <v>467447.02</v>
      </c>
      <c r="H49" s="5" t="inlineStr">
        <is>
          <t>S/L</t>
        </is>
      </c>
      <c r="I49" s="28" t="n">
        <v>27.5</v>
      </c>
    </row>
    <row r="50" ht="15" customHeight="1">
      <c r="A50" s="6" t="inlineStr">
        <is>
          <t>3-Land Improvements</t>
        </is>
      </c>
      <c r="B50" s="8" t="n">
        <v>57862.97</v>
      </c>
      <c r="C50" s="8" t="n">
        <v>0</v>
      </c>
      <c r="D50" s="8" t="n">
        <v>57862.97</v>
      </c>
      <c r="E50" s="8" t="n">
        <v>57862.97</v>
      </c>
      <c r="F50" s="8" t="n">
        <v>57862.97</v>
      </c>
      <c r="G50" s="8" t="n">
        <v>0</v>
      </c>
      <c r="H50" s="5" t="inlineStr">
        <is>
          <t>150DB</t>
        </is>
      </c>
      <c r="I50" s="28" t="n">
        <v>15</v>
      </c>
    </row>
    <row r="51" ht="15" customHeight="1">
      <c r="A51" s="6" t="inlineStr">
        <is>
          <t>4-Equipment</t>
        </is>
      </c>
      <c r="B51" s="8" t="n">
        <v>108493.26</v>
      </c>
      <c r="C51" s="8" t="n">
        <v>0</v>
      </c>
      <c r="D51" s="8" t="n">
        <v>108493.26</v>
      </c>
      <c r="E51" s="8" t="n">
        <v>108493.26</v>
      </c>
      <c r="F51" s="8" t="n">
        <v>108493.26</v>
      </c>
      <c r="G51" s="8" t="n">
        <v>0</v>
      </c>
      <c r="H51" s="5" t="inlineStr">
        <is>
          <t>200DB</t>
        </is>
      </c>
      <c r="I51" s="28" t="n">
        <v>5</v>
      </c>
    </row>
    <row r="52" ht="15" customHeight="1">
      <c r="A52" s="9" t="inlineStr">
        <is>
          <t>Grand Total</t>
        </is>
      </c>
      <c r="B52" s="10" t="n">
        <v>697363.3</v>
      </c>
      <c r="C52" s="10" t="n">
        <v>166356.23</v>
      </c>
      <c r="D52" s="10" t="n">
        <v>210606.86</v>
      </c>
      <c r="E52" s="10" t="n">
        <v>19309.42</v>
      </c>
      <c r="F52" s="10" t="n">
        <v>229916.28</v>
      </c>
      <c r="G52" s="10" t="n">
        <v>467447.02</v>
      </c>
    </row>
    <row r="53" ht="15" customHeight="1"/>
    <row r="54" ht="15" customHeight="1">
      <c r="A54" s="18" t="inlineStr">
        <is>
          <t>After Cost Segregation Correction</t>
        </is>
      </c>
    </row>
    <row r="55" ht="15" customHeight="1">
      <c r="A55" s="12" t="inlineStr">
        <is>
          <t>Property Description</t>
        </is>
      </c>
      <c r="B55" s="12" t="inlineStr">
        <is>
          <t>Tax Cost</t>
        </is>
      </c>
      <c r="C55" s="12" t="inlineStr">
        <is>
          <t>Tax Bonus Amt</t>
        </is>
      </c>
      <c r="D55" s="12" t="inlineStr">
        <is>
          <t>Tax Prior Depr</t>
        </is>
      </c>
      <c r="E55" s="12" t="inlineStr">
        <is>
          <t>Tax Current Depr</t>
        </is>
      </c>
      <c r="F55" s="12" t="inlineStr">
        <is>
          <t>Tax End Depr</t>
        </is>
      </c>
      <c r="G55" s="12" t="inlineStr">
        <is>
          <t>Tax Net Book Value</t>
        </is>
      </c>
      <c r="H55" s="12" t="inlineStr">
        <is>
          <t>Tax Method</t>
        </is>
      </c>
      <c r="I55" s="12" t="inlineStr">
        <is>
          <t>Tax Period</t>
        </is>
      </c>
    </row>
    <row r="56" ht="15" customHeight="1">
      <c r="A56" s="6" t="inlineStr">
        <is>
          <t>2-Building-7yr</t>
        </is>
      </c>
      <c r="B56" s="8" t="n">
        <v>1284.15</v>
      </c>
      <c r="C56" s="8" t="n">
        <v>0</v>
      </c>
      <c r="D56" s="8" t="n">
        <v>1284.15</v>
      </c>
      <c r="E56" s="8" t="n">
        <v>1284.15</v>
      </c>
      <c r="F56" s="8" t="n">
        <v>0</v>
      </c>
      <c r="G56" s="8" t="n">
        <v>1284.15</v>
      </c>
      <c r="H56" s="5" t="inlineStr">
        <is>
          <t>200DB</t>
        </is>
      </c>
      <c r="I56" s="28" t="n">
        <v>7</v>
      </c>
    </row>
    <row r="57" ht="15" customHeight="1">
      <c r="A57" s="6" t="inlineStr">
        <is>
          <t>2-Building-15yr</t>
        </is>
      </c>
      <c r="B57" s="8" t="n">
        <v>290971.55</v>
      </c>
      <c r="C57" s="8" t="n">
        <v>0</v>
      </c>
      <c r="D57" s="8" t="n">
        <v>290971.55</v>
      </c>
      <c r="E57" s="8" t="n">
        <v>290971.55</v>
      </c>
      <c r="F57" s="8" t="n">
        <v>0</v>
      </c>
      <c r="G57" s="8" t="n">
        <v>290971.55</v>
      </c>
      <c r="H57" s="5" t="inlineStr">
        <is>
          <t>150DB</t>
        </is>
      </c>
      <c r="I57" s="28" t="n">
        <v>15</v>
      </c>
    </row>
    <row r="58" ht="15" customHeight="1">
      <c r="A58" s="6" t="inlineStr">
        <is>
          <t>2-Building-27.5yr</t>
        </is>
      </c>
      <c r="B58" s="8" t="n">
        <v>238751.37</v>
      </c>
      <c r="C58" s="8" t="n">
        <v>0</v>
      </c>
      <c r="D58" s="8" t="n">
        <v>0</v>
      </c>
      <c r="E58" s="8" t="n">
        <v>19895.95</v>
      </c>
      <c r="F58" s="8" t="n">
        <v>8681.870000000001</v>
      </c>
      <c r="G58" s="8" t="n">
        <v>28577.82</v>
      </c>
      <c r="H58" s="5" t="inlineStr">
        <is>
          <t>S/L</t>
        </is>
      </c>
      <c r="I58" s="28" t="n">
        <v>27.5</v>
      </c>
    </row>
    <row r="59" ht="15" customHeight="1">
      <c r="A59" s="6" t="inlineStr">
        <is>
          <t>3-Land Improvements-7yr</t>
        </is>
      </c>
      <c r="B59" s="8" t="n">
        <v>139.93</v>
      </c>
      <c r="C59" s="8" t="n">
        <v>0</v>
      </c>
      <c r="D59" s="8" t="n">
        <v>139.93</v>
      </c>
      <c r="E59" s="8" t="n">
        <v>139.93</v>
      </c>
      <c r="F59" s="8" t="n">
        <v>0</v>
      </c>
      <c r="G59" s="8" t="n">
        <v>139.93</v>
      </c>
      <c r="H59" s="5" t="inlineStr">
        <is>
          <t>200DB</t>
        </is>
      </c>
      <c r="I59" s="28" t="n">
        <v>7</v>
      </c>
    </row>
    <row r="60" ht="15" customHeight="1">
      <c r="A60" s="6" t="inlineStr">
        <is>
          <t>3-Land Improvements-15yr</t>
        </is>
      </c>
      <c r="B60" s="8" t="n">
        <v>31706.69</v>
      </c>
      <c r="C60" s="8" t="n">
        <v>0</v>
      </c>
      <c r="D60" s="8" t="n">
        <v>31706.69</v>
      </c>
      <c r="E60" s="8" t="n">
        <v>31706.69</v>
      </c>
      <c r="F60" s="8" t="n">
        <v>0</v>
      </c>
      <c r="G60" s="8" t="n">
        <v>31706.69</v>
      </c>
      <c r="H60" s="5" t="inlineStr">
        <is>
          <t>150DB</t>
        </is>
      </c>
      <c r="I60" s="28" t="n">
        <v>15</v>
      </c>
    </row>
    <row r="61" ht="15" customHeight="1">
      <c r="A61" s="6" t="inlineStr">
        <is>
          <t>3-Land Improvements-27.5yr</t>
        </is>
      </c>
      <c r="B61" s="8" t="n">
        <v>26016.35</v>
      </c>
      <c r="C61" s="8" t="n">
        <v>0</v>
      </c>
      <c r="D61" s="8" t="n">
        <v>0</v>
      </c>
      <c r="E61" s="8" t="n">
        <v>2168.03</v>
      </c>
      <c r="F61" s="8" t="n">
        <v>946.05</v>
      </c>
      <c r="G61" s="8" t="n">
        <v>3114.08</v>
      </c>
      <c r="H61" s="5" t="inlineStr">
        <is>
          <t>S/L</t>
        </is>
      </c>
      <c r="I61" s="28" t="n">
        <v>27.5</v>
      </c>
    </row>
    <row r="62" ht="15" customHeight="1">
      <c r="A62" s="6" t="inlineStr">
        <is>
          <t>4-Equipment-7yr</t>
        </is>
      </c>
      <c r="B62" s="8" t="n">
        <v>262.37</v>
      </c>
      <c r="C62" s="8" t="n">
        <v>0</v>
      </c>
      <c r="D62" s="8" t="n">
        <v>262.37</v>
      </c>
      <c r="E62" s="8" t="n">
        <v>262.37</v>
      </c>
      <c r="F62" s="8" t="n">
        <v>0</v>
      </c>
      <c r="G62" s="8" t="n">
        <v>262.37</v>
      </c>
      <c r="H62" s="5" t="inlineStr">
        <is>
          <t>200DB</t>
        </is>
      </c>
      <c r="I62" s="28" t="n">
        <v>7</v>
      </c>
    </row>
    <row r="63" ht="15" customHeight="1">
      <c r="A63" s="6" t="inlineStr">
        <is>
          <t>4-Equipment-15yr</t>
        </is>
      </c>
      <c r="B63" s="8" t="n">
        <v>59450.16</v>
      </c>
      <c r="C63" s="8" t="n">
        <v>0</v>
      </c>
      <c r="D63" s="8" t="n">
        <v>59450.16</v>
      </c>
      <c r="E63" s="8" t="n">
        <v>59450.16</v>
      </c>
      <c r="F63" s="8" t="n">
        <v>0</v>
      </c>
      <c r="G63" s="8" t="n">
        <v>59450.16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4-Equipment-27.5yr</t>
        </is>
      </c>
      <c r="B64" s="8" t="n">
        <v>48780.73</v>
      </c>
      <c r="C64" s="8" t="n">
        <v>0</v>
      </c>
      <c r="D64" s="8" t="n">
        <v>0</v>
      </c>
      <c r="E64" s="8" t="n">
        <v>4065.05</v>
      </c>
      <c r="F64" s="8" t="n">
        <v>1773.84</v>
      </c>
      <c r="G64" s="8" t="n">
        <v>5838.89</v>
      </c>
      <c r="H64" s="5" t="inlineStr">
        <is>
          <t>S/L</t>
        </is>
      </c>
      <c r="I64" s="28" t="n">
        <v>27.5</v>
      </c>
    </row>
    <row r="65" ht="15" customHeight="1">
      <c r="A65" s="18" t="inlineStr">
        <is>
          <t>Grand Total</t>
        </is>
      </c>
      <c r="B65" s="20" t="n">
        <v>697363.3</v>
      </c>
      <c r="C65" s="20" t="n">
        <v>383814.85</v>
      </c>
      <c r="D65" s="20" t="n">
        <v>409943.88</v>
      </c>
      <c r="E65" s="20" t="n">
        <v>11401.76</v>
      </c>
      <c r="F65" s="20" t="n">
        <v>421345.64</v>
      </c>
      <c r="G65" s="20" t="n">
        <v>276017.66</v>
      </c>
    </row>
    <row r="66" ht="15" customHeight="1"/>
    <row r="67" ht="15" customHeight="1">
      <c r="A67" s="16" t="inlineStr">
        <is>
          <t>Section 481(a) Adjustment</t>
        </is>
      </c>
    </row>
    <row r="68" ht="15" customHeight="1">
      <c r="A68" s="25" t="inlineStr">
        <is>
          <t>Depreciation Reported Previously</t>
        </is>
      </c>
      <c r="B68" s="29" t="n">
        <v>229916.28</v>
      </c>
    </row>
    <row r="69" ht="15" customHeight="1">
      <c r="A69" s="25" t="inlineStr">
        <is>
          <t>Cost Segregation Corrected Depreciation</t>
        </is>
      </c>
      <c r="B69" s="29" t="n">
        <v>421345.64</v>
      </c>
    </row>
    <row r="70" ht="15" customHeight="1">
      <c r="A70" s="21" t="inlineStr">
        <is>
          <t>Section 481(a) Adjustment</t>
        </is>
      </c>
      <c r="B70" s="23" t="n">
        <v>-191429.36</v>
      </c>
    </row>
    <row r="71" ht="15" customHeight="1"/>
    <row r="72" ht="15" customHeight="1"/>
    <row r="73" ht="15" customHeight="1"/>
    <row r="74" ht="1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1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1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45720.62</v>
      </c>
      <c r="F43" s="8" t="n">
        <v>45720.62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9740.219999999999</v>
      </c>
      <c r="F45" s="8" t="n">
        <v>9740.219999999999</v>
      </c>
    </row>
    <row r="46" ht="15" customHeight="1">
      <c r="A46" s="6" t="inlineStr">
        <is>
          <t>Cabinets / Millwork - Restrooms</t>
        </is>
      </c>
      <c r="B46" s="8" t="n">
        <v>6970.48</v>
      </c>
      <c r="F46" s="8" t="n">
        <v>6970.48</v>
      </c>
    </row>
    <row r="47" ht="15" customHeight="1"/>
    <row r="48" ht="15" customHeight="1">
      <c r="A48" s="9" t="inlineStr">
        <is>
          <t>Total Building Cost</t>
        </is>
      </c>
      <c r="B48" s="10" t="n">
        <v>503524.71</v>
      </c>
      <c r="C48" s="10" t="n">
        <v>125763.32</v>
      </c>
      <c r="F48" s="10" t="n">
        <v>377761.39</v>
      </c>
    </row>
    <row r="49" ht="15" customHeight="1">
      <c r="A49" s="3" t="inlineStr">
        <is>
          <t>% of Building Cost</t>
        </is>
      </c>
      <c r="C49" s="26" t="n">
        <v>0.25</v>
      </c>
      <c r="F49" s="26" t="n">
        <v>0.75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383408.73</v>
      </c>
      <c r="C52" s="8" t="n">
        <v>95762.44</v>
      </c>
      <c r="F52" s="8" t="n">
        <v>287646.29</v>
      </c>
    </row>
    <row r="53" ht="15" customHeight="1">
      <c r="A53" s="6" t="inlineStr">
        <is>
          <t>Asset #3 Land Improvements</t>
        </is>
      </c>
      <c r="B53" s="8" t="n">
        <v>41779.44</v>
      </c>
      <c r="C53" s="8" t="n">
        <v>10435.08</v>
      </c>
      <c r="F53" s="8" t="n">
        <v>31344.36</v>
      </c>
    </row>
    <row r="54" ht="15" customHeight="1">
      <c r="A54" s="6" t="inlineStr">
        <is>
          <t>Asset #4 Equipment</t>
        </is>
      </c>
      <c r="B54" s="8" t="n">
        <v>78336.53999999999</v>
      </c>
      <c r="C54" s="8" t="n">
        <v>19565.8</v>
      </c>
      <c r="F54" s="8" t="n">
        <v>58770.74</v>
      </c>
    </row>
    <row r="55" ht="15" customHeight="1">
      <c r="A55" s="18" t="inlineStr">
        <is>
          <t>Total Allocation:</t>
        </is>
      </c>
      <c r="B55" s="20" t="n">
        <v>503524.71</v>
      </c>
      <c r="C55" s="20" t="n">
        <v>125763.32</v>
      </c>
      <c r="F55" s="20" t="n">
        <v>377761.39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383408.73</v>
      </c>
      <c r="C63" s="8" t="n">
        <v>0</v>
      </c>
      <c r="D63" s="8" t="n">
        <v>0</v>
      </c>
      <c r="E63" s="8" t="n">
        <v>31950.77</v>
      </c>
      <c r="F63" s="8" t="n">
        <v>31950.77</v>
      </c>
      <c r="G63" s="8" t="n">
        <v>45892.94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41779.44</v>
      </c>
      <c r="C64" s="8" t="n">
        <v>0</v>
      </c>
      <c r="D64" s="8" t="n">
        <v>41779.44</v>
      </c>
      <c r="E64" s="8" t="n">
        <v>41779.44</v>
      </c>
      <c r="F64" s="8" t="n">
        <v>41779.44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78336.53999999999</v>
      </c>
      <c r="C65" s="8" t="n">
        <v>0</v>
      </c>
      <c r="D65" s="8" t="n">
        <v>78336.53999999999</v>
      </c>
      <c r="E65" s="8" t="n">
        <v>78336.53999999999</v>
      </c>
      <c r="F65" s="8" t="n">
        <v>78336.53999999999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503524.71</v>
      </c>
      <c r="C66" s="10" t="n">
        <v>120115.98</v>
      </c>
      <c r="D66" s="10" t="n">
        <v>152066.75</v>
      </c>
      <c r="E66" s="10" t="n">
        <v>13942.17</v>
      </c>
      <c r="F66" s="10" t="n">
        <v>166008.92</v>
      </c>
      <c r="G66" s="10" t="n">
        <v>337515.79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95762.44</v>
      </c>
      <c r="C70" s="8" t="n">
        <v>0</v>
      </c>
      <c r="D70" s="8" t="n">
        <v>95762.44</v>
      </c>
      <c r="E70" s="8" t="n">
        <v>95762.44</v>
      </c>
      <c r="F70" s="8" t="n">
        <v>0</v>
      </c>
      <c r="G70" s="8" t="n">
        <v>95762.44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287646.29</v>
      </c>
      <c r="C71" s="8" t="n">
        <v>0</v>
      </c>
      <c r="D71" s="8" t="n">
        <v>0</v>
      </c>
      <c r="E71" s="8" t="n">
        <v>23970.53</v>
      </c>
      <c r="F71" s="8" t="n">
        <v>10459.87</v>
      </c>
      <c r="G71" s="8" t="n">
        <v>34430.4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10435.08</v>
      </c>
      <c r="C72" s="8" t="n">
        <v>0</v>
      </c>
      <c r="D72" s="8" t="n">
        <v>10435.08</v>
      </c>
      <c r="E72" s="8" t="n">
        <v>10435.08</v>
      </c>
      <c r="F72" s="8" t="n">
        <v>0</v>
      </c>
      <c r="G72" s="8" t="n">
        <v>10435.08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31344.36</v>
      </c>
      <c r="C73" s="8" t="n">
        <v>0</v>
      </c>
      <c r="D73" s="8" t="n">
        <v>0</v>
      </c>
      <c r="E73" s="8" t="n">
        <v>2612.02</v>
      </c>
      <c r="F73" s="8" t="n">
        <v>1139.79</v>
      </c>
      <c r="G73" s="8" t="n">
        <v>3751.81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19565.8</v>
      </c>
      <c r="C74" s="8" t="n">
        <v>0</v>
      </c>
      <c r="D74" s="8" t="n">
        <v>19565.8</v>
      </c>
      <c r="E74" s="8" t="n">
        <v>19565.8</v>
      </c>
      <c r="F74" s="8" t="n">
        <v>0</v>
      </c>
      <c r="G74" s="8" t="n">
        <v>19565.8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58770.74</v>
      </c>
      <c r="C75" s="8" t="n">
        <v>0</v>
      </c>
      <c r="D75" s="8" t="n">
        <v>0</v>
      </c>
      <c r="E75" s="8" t="n">
        <v>4897.57</v>
      </c>
      <c r="F75" s="8" t="n">
        <v>2137.12</v>
      </c>
      <c r="G75" s="8" t="n">
        <v>7034.69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503524.71</v>
      </c>
      <c r="C76" s="20" t="n">
        <v>125763.32</v>
      </c>
      <c r="D76" s="20" t="n">
        <v>157243.44</v>
      </c>
      <c r="E76" s="20" t="n">
        <v>13736.78</v>
      </c>
      <c r="F76" s="20" t="n">
        <v>170980.22</v>
      </c>
      <c r="G76" s="20" t="n">
        <v>332544.49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166008.92</v>
      </c>
    </row>
    <row r="80" ht="15" customHeight="1">
      <c r="A80" s="25" t="inlineStr">
        <is>
          <t>Cost Segregation Corrected Depreciation</t>
        </is>
      </c>
      <c r="B80" s="29" t="n">
        <v>170980.22</v>
      </c>
    </row>
    <row r="81" ht="15" customHeight="1">
      <c r="A81" s="21" t="inlineStr">
        <is>
          <t>Section 481(a) Adjustment</t>
        </is>
      </c>
      <c r="B81" s="23" t="n">
        <v>-4971.3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2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2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20854.1</v>
      </c>
      <c r="C16" s="8" t="n">
        <v>20854.1</v>
      </c>
    </row>
    <row r="17" ht="15" customHeight="1">
      <c r="A17" s="6" t="inlineStr">
        <is>
          <t>Moldings</t>
        </is>
      </c>
      <c r="B17" s="8" t="n">
        <v>3659.01</v>
      </c>
      <c r="C17" s="8" t="n">
        <v>3659.01</v>
      </c>
    </row>
    <row r="18" ht="15" customHeight="1">
      <c r="A18" s="6" t="inlineStr">
        <is>
          <t>Flooring - Carpet</t>
        </is>
      </c>
      <c r="B18" s="8" t="n">
        <v>7197.38</v>
      </c>
      <c r="C18" s="8" t="n">
        <v>7197.38</v>
      </c>
    </row>
    <row r="19" ht="15" customHeight="1">
      <c r="A19" s="6" t="inlineStr">
        <is>
          <t>Flooring - Vinyl Plank</t>
        </is>
      </c>
      <c r="B19" s="8" t="n">
        <v>13553.55</v>
      </c>
      <c r="C19" s="8" t="n">
        <v>13553.55</v>
      </c>
    </row>
    <row r="20" ht="15" customHeight="1">
      <c r="A20" s="6" t="inlineStr">
        <is>
          <t>Door &amp; Window Guards</t>
        </is>
      </c>
      <c r="B20" s="8" t="n">
        <v>2244.55</v>
      </c>
      <c r="C20" s="8" t="n">
        <v>2244.55</v>
      </c>
    </row>
    <row r="21" ht="15" customHeight="1">
      <c r="A21" s="6" t="inlineStr">
        <is>
          <t>Window Treatments</t>
        </is>
      </c>
      <c r="B21" s="8" t="n">
        <v>1909.28</v>
      </c>
      <c r="C21" s="8" t="n">
        <v>1909.28</v>
      </c>
    </row>
    <row r="22" ht="15" customHeight="1">
      <c r="A22" s="6" t="inlineStr">
        <is>
          <t>Specialty HVAC - Dryer Vents</t>
        </is>
      </c>
      <c r="B22" s="8" t="n">
        <v>567.1</v>
      </c>
      <c r="C22" s="8" t="n">
        <v>567.1</v>
      </c>
    </row>
    <row r="23" ht="15" customHeight="1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 ht="15" customHeight="1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 ht="15" customHeight="1">
      <c r="A25" s="6" t="inlineStr">
        <is>
          <t>Communication / Data</t>
        </is>
      </c>
      <c r="B25" s="8" t="n">
        <v>2054.21</v>
      </c>
      <c r="C25" s="8" t="n">
        <v>2054.21</v>
      </c>
    </row>
    <row r="26" ht="15" customHeight="1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 ht="15" customHeight="1">
      <c r="A27" s="6" t="inlineStr">
        <is>
          <t>Security / Exterior Lighting</t>
        </is>
      </c>
      <c r="B27" s="8" t="n">
        <v>900.48</v>
      </c>
      <c r="C27" s="8" t="n">
        <v>900.48</v>
      </c>
    </row>
    <row r="28" ht="15" customHeight="1">
      <c r="A28" s="6" t="inlineStr">
        <is>
          <t>Access Control</t>
        </is>
      </c>
      <c r="B28" s="8" t="n">
        <v>1074.91</v>
      </c>
      <c r="C28" s="8" t="n">
        <v>1074.91</v>
      </c>
    </row>
    <row r="29" ht="15" customHeight="1">
      <c r="A29" s="6" t="inlineStr">
        <is>
          <t>Appliances</t>
        </is>
      </c>
      <c r="B29" s="8" t="n">
        <v>11710.29</v>
      </c>
      <c r="C29" s="8" t="n">
        <v>11710.29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15135.94</v>
      </c>
      <c r="F31" s="8" t="n">
        <v>15135.94</v>
      </c>
    </row>
    <row r="32" ht="15" customHeight="1">
      <c r="A32" s="6" t="inlineStr">
        <is>
          <t>HVAC</t>
        </is>
      </c>
      <c r="B32" s="8" t="n">
        <v>21239.23</v>
      </c>
      <c r="F32" s="8" t="n">
        <v>21239.23</v>
      </c>
    </row>
    <row r="33" ht="15" customHeight="1">
      <c r="A33" s="6" t="inlineStr">
        <is>
          <t>Electrical</t>
        </is>
      </c>
      <c r="B33" s="8" t="n">
        <v>15228.12</v>
      </c>
      <c r="F33" s="8" t="n">
        <v>15228.12</v>
      </c>
    </row>
    <row r="34" ht="15" customHeight="1">
      <c r="A34" s="6" t="inlineStr">
        <is>
          <t>Plumbing</t>
        </is>
      </c>
      <c r="B34" s="8" t="n">
        <v>18965.37</v>
      </c>
      <c r="F34" s="8" t="n">
        <v>18965.37</v>
      </c>
    </row>
    <row r="35" ht="15" customHeight="1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 ht="15" customHeight="1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 ht="15" customHeight="1">
      <c r="A37" s="6" t="inlineStr">
        <is>
          <t>Doors &amp; Frames</t>
        </is>
      </c>
      <c r="B37" s="8" t="n">
        <v>13682.17</v>
      </c>
      <c r="F37" s="8" t="n">
        <v>13682.17</v>
      </c>
    </row>
    <row r="38" ht="15" customHeight="1">
      <c r="A38" s="6" t="inlineStr">
        <is>
          <t>Windows</t>
        </is>
      </c>
      <c r="B38" s="8" t="n">
        <v>8421.6</v>
      </c>
      <c r="F38" s="8" t="n">
        <v>8421.6</v>
      </c>
    </row>
    <row r="39" ht="15" customHeight="1">
      <c r="A39" s="6" t="inlineStr">
        <is>
          <t>Ceiling Systems</t>
        </is>
      </c>
      <c r="B39" s="8" t="n">
        <v>10172.24</v>
      </c>
      <c r="F39" s="8" t="n">
        <v>10172.24</v>
      </c>
    </row>
    <row r="40" ht="15" customHeight="1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 ht="15" customHeight="1">
      <c r="A41" s="6" t="inlineStr">
        <is>
          <t>Painting</t>
        </is>
      </c>
      <c r="B41" s="8" t="n">
        <v>9461.68</v>
      </c>
      <c r="F41" s="8" t="n">
        <v>9461.68</v>
      </c>
    </row>
    <row r="42" ht="15" customHeight="1">
      <c r="A42" s="6" t="inlineStr">
        <is>
          <t>Gutter Systems</t>
        </is>
      </c>
      <c r="B42" s="8" t="n">
        <v>1372.33</v>
      </c>
      <c r="F42" s="8" t="n">
        <v>1372.33</v>
      </c>
    </row>
    <row r="43" ht="15" customHeight="1">
      <c r="A43" s="6" t="inlineStr">
        <is>
          <t>Structural Framing</t>
        </is>
      </c>
      <c r="B43" s="8" t="n">
        <v>36121.06</v>
      </c>
      <c r="F43" s="8" t="n">
        <v>36121.06</v>
      </c>
    </row>
    <row r="44" ht="15" customHeight="1">
      <c r="A44" s="6" t="inlineStr">
        <is>
          <t>Stairs / Balconies</t>
        </is>
      </c>
      <c r="B44" s="8" t="n">
        <v>8546.32</v>
      </c>
      <c r="F44" s="8" t="n">
        <v>8546.32</v>
      </c>
    </row>
    <row r="45" ht="15" customHeight="1">
      <c r="A45" s="6" t="inlineStr">
        <is>
          <t>Bathroom Accessories</t>
        </is>
      </c>
      <c r="B45" s="8" t="n">
        <v>7694.19</v>
      </c>
      <c r="F45" s="8" t="n">
        <v>7694.19</v>
      </c>
    </row>
    <row r="46" ht="15" customHeight="1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 ht="15" customHeight="1">
      <c r="A49" s="3" t="inlineStr">
        <is>
          <t>% of Building Cost</t>
        </is>
      </c>
      <c r="C49" s="26" t="n">
        <v>0.25</v>
      </c>
      <c r="F49" s="26" t="n">
        <v>0.75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3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3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45720.62</v>
      </c>
      <c r="F43" s="8" t="n">
        <v>45720.62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9740.219999999999</v>
      </c>
      <c r="F45" s="8" t="n">
        <v>9740.219999999999</v>
      </c>
    </row>
    <row r="46" ht="15" customHeight="1">
      <c r="A46" s="6" t="inlineStr">
        <is>
          <t>Cabinets / Millwork - Restrooms</t>
        </is>
      </c>
      <c r="B46" s="8" t="n">
        <v>6970.48</v>
      </c>
      <c r="F46" s="8" t="n">
        <v>6970.48</v>
      </c>
    </row>
    <row r="47" ht="15" customHeight="1"/>
    <row r="48" ht="15" customHeight="1">
      <c r="A48" s="9" t="inlineStr">
        <is>
          <t>Total Building Cost</t>
        </is>
      </c>
      <c r="B48" s="10" t="n">
        <v>503524.71</v>
      </c>
      <c r="C48" s="10" t="n">
        <v>125763.32</v>
      </c>
      <c r="F48" s="10" t="n">
        <v>377761.39</v>
      </c>
    </row>
    <row r="49" ht="15" customHeight="1">
      <c r="A49" s="3" t="inlineStr">
        <is>
          <t>% of Building Cost</t>
        </is>
      </c>
      <c r="C49" s="26" t="n">
        <v>0.25</v>
      </c>
      <c r="F49" s="26" t="n">
        <v>0.75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383408.73</v>
      </c>
      <c r="C52" s="8" t="n">
        <v>95762.44</v>
      </c>
      <c r="F52" s="8" t="n">
        <v>287646.29</v>
      </c>
    </row>
    <row r="53" ht="15" customHeight="1">
      <c r="A53" s="6" t="inlineStr">
        <is>
          <t>Asset #3 Land Improvements</t>
        </is>
      </c>
      <c r="B53" s="8" t="n">
        <v>41779.44</v>
      </c>
      <c r="C53" s="8" t="n">
        <v>10435.08</v>
      </c>
      <c r="F53" s="8" t="n">
        <v>31344.36</v>
      </c>
    </row>
    <row r="54" ht="15" customHeight="1">
      <c r="A54" s="6" t="inlineStr">
        <is>
          <t>Asset #4 Equipment</t>
        </is>
      </c>
      <c r="B54" s="8" t="n">
        <v>78336.53999999999</v>
      </c>
      <c r="C54" s="8" t="n">
        <v>19565.8</v>
      </c>
      <c r="F54" s="8" t="n">
        <v>58770.74</v>
      </c>
    </row>
    <row r="55" ht="15" customHeight="1">
      <c r="A55" s="18" t="inlineStr">
        <is>
          <t>Total Allocation:</t>
        </is>
      </c>
      <c r="B55" s="20" t="n">
        <v>503524.71</v>
      </c>
      <c r="C55" s="20" t="n">
        <v>125763.32</v>
      </c>
      <c r="F55" s="20" t="n">
        <v>377761.39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383408.73</v>
      </c>
      <c r="C63" s="8" t="n">
        <v>0</v>
      </c>
      <c r="D63" s="8" t="n">
        <v>0</v>
      </c>
      <c r="E63" s="8" t="n">
        <v>31950.77</v>
      </c>
      <c r="F63" s="8" t="n">
        <v>31950.77</v>
      </c>
      <c r="G63" s="8" t="n">
        <v>45892.94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41779.44</v>
      </c>
      <c r="C64" s="8" t="n">
        <v>0</v>
      </c>
      <c r="D64" s="8" t="n">
        <v>41779.44</v>
      </c>
      <c r="E64" s="8" t="n">
        <v>41779.44</v>
      </c>
      <c r="F64" s="8" t="n">
        <v>41779.44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78336.53999999999</v>
      </c>
      <c r="C65" s="8" t="n">
        <v>0</v>
      </c>
      <c r="D65" s="8" t="n">
        <v>78336.53999999999</v>
      </c>
      <c r="E65" s="8" t="n">
        <v>78336.53999999999</v>
      </c>
      <c r="F65" s="8" t="n">
        <v>78336.53999999999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503524.71</v>
      </c>
      <c r="C66" s="10" t="n">
        <v>120115.98</v>
      </c>
      <c r="D66" s="10" t="n">
        <v>152066.75</v>
      </c>
      <c r="E66" s="10" t="n">
        <v>13942.17</v>
      </c>
      <c r="F66" s="10" t="n">
        <v>166008.92</v>
      </c>
      <c r="G66" s="10" t="n">
        <v>337515.79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95762.44</v>
      </c>
      <c r="C70" s="8" t="n">
        <v>0</v>
      </c>
      <c r="D70" s="8" t="n">
        <v>95762.44</v>
      </c>
      <c r="E70" s="8" t="n">
        <v>95762.44</v>
      </c>
      <c r="F70" s="8" t="n">
        <v>0</v>
      </c>
      <c r="G70" s="8" t="n">
        <v>95762.44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287646.29</v>
      </c>
      <c r="C71" s="8" t="n">
        <v>0</v>
      </c>
      <c r="D71" s="8" t="n">
        <v>0</v>
      </c>
      <c r="E71" s="8" t="n">
        <v>23970.53</v>
      </c>
      <c r="F71" s="8" t="n">
        <v>10459.87</v>
      </c>
      <c r="G71" s="8" t="n">
        <v>34430.4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10435.08</v>
      </c>
      <c r="C72" s="8" t="n">
        <v>0</v>
      </c>
      <c r="D72" s="8" t="n">
        <v>10435.08</v>
      </c>
      <c r="E72" s="8" t="n">
        <v>10435.08</v>
      </c>
      <c r="F72" s="8" t="n">
        <v>0</v>
      </c>
      <c r="G72" s="8" t="n">
        <v>10435.08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31344.36</v>
      </c>
      <c r="C73" s="8" t="n">
        <v>0</v>
      </c>
      <c r="D73" s="8" t="n">
        <v>0</v>
      </c>
      <c r="E73" s="8" t="n">
        <v>2612.02</v>
      </c>
      <c r="F73" s="8" t="n">
        <v>1139.79</v>
      </c>
      <c r="G73" s="8" t="n">
        <v>3751.81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19565.8</v>
      </c>
      <c r="C74" s="8" t="n">
        <v>0</v>
      </c>
      <c r="D74" s="8" t="n">
        <v>19565.8</v>
      </c>
      <c r="E74" s="8" t="n">
        <v>19565.8</v>
      </c>
      <c r="F74" s="8" t="n">
        <v>0</v>
      </c>
      <c r="G74" s="8" t="n">
        <v>19565.8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58770.74</v>
      </c>
      <c r="C75" s="8" t="n">
        <v>0</v>
      </c>
      <c r="D75" s="8" t="n">
        <v>0</v>
      </c>
      <c r="E75" s="8" t="n">
        <v>4897.57</v>
      </c>
      <c r="F75" s="8" t="n">
        <v>2137.12</v>
      </c>
      <c r="G75" s="8" t="n">
        <v>7034.69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503524.71</v>
      </c>
      <c r="C76" s="20" t="n">
        <v>125763.32</v>
      </c>
      <c r="D76" s="20" t="n">
        <v>157243.44</v>
      </c>
      <c r="E76" s="20" t="n">
        <v>13736.78</v>
      </c>
      <c r="F76" s="20" t="n">
        <v>170980.22</v>
      </c>
      <c r="G76" s="20" t="n">
        <v>332544.49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166008.92</v>
      </c>
    </row>
    <row r="80" ht="15" customHeight="1">
      <c r="A80" s="25" t="inlineStr">
        <is>
          <t>Cost Segregation Corrected Depreciation</t>
        </is>
      </c>
      <c r="B80" s="29" t="n">
        <v>170980.22</v>
      </c>
    </row>
    <row r="81" ht="15" customHeight="1">
      <c r="A81" s="21" t="inlineStr">
        <is>
          <t>Section 481(a) Adjustment</t>
        </is>
      </c>
      <c r="B81" s="23" t="n">
        <v>-4971.3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4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4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20854.1</v>
      </c>
      <c r="C16" s="8" t="n">
        <v>20854.1</v>
      </c>
    </row>
    <row r="17" ht="15" customHeight="1">
      <c r="A17" s="6" t="inlineStr">
        <is>
          <t>Moldings</t>
        </is>
      </c>
      <c r="B17" s="8" t="n">
        <v>3659.01</v>
      </c>
      <c r="C17" s="8" t="n">
        <v>3659.01</v>
      </c>
    </row>
    <row r="18" ht="15" customHeight="1">
      <c r="A18" s="6" t="inlineStr">
        <is>
          <t>Flooring - Carpet</t>
        </is>
      </c>
      <c r="B18" s="8" t="n">
        <v>7197.38</v>
      </c>
      <c r="C18" s="8" t="n">
        <v>7197.38</v>
      </c>
    </row>
    <row r="19" ht="15" customHeight="1">
      <c r="A19" s="6" t="inlineStr">
        <is>
          <t>Flooring - Vinyl Plank</t>
        </is>
      </c>
      <c r="B19" s="8" t="n">
        <v>13553.55</v>
      </c>
      <c r="C19" s="8" t="n">
        <v>13553.55</v>
      </c>
    </row>
    <row r="20" ht="15" customHeight="1">
      <c r="A20" s="6" t="inlineStr">
        <is>
          <t>Door &amp; Window Guards</t>
        </is>
      </c>
      <c r="B20" s="8" t="n">
        <v>2244.55</v>
      </c>
      <c r="C20" s="8" t="n">
        <v>2244.55</v>
      </c>
    </row>
    <row r="21" ht="15" customHeight="1">
      <c r="A21" s="6" t="inlineStr">
        <is>
          <t>Window Treatments</t>
        </is>
      </c>
      <c r="B21" s="8" t="n">
        <v>1909.28</v>
      </c>
      <c r="C21" s="8" t="n">
        <v>1909.28</v>
      </c>
    </row>
    <row r="22" ht="15" customHeight="1">
      <c r="A22" s="6" t="inlineStr">
        <is>
          <t>Specialty HVAC - Dryer Vents</t>
        </is>
      </c>
      <c r="B22" s="8" t="n">
        <v>567.1</v>
      </c>
      <c r="C22" s="8" t="n">
        <v>567.1</v>
      </c>
    </row>
    <row r="23" ht="15" customHeight="1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 ht="15" customHeight="1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 ht="15" customHeight="1">
      <c r="A25" s="6" t="inlineStr">
        <is>
          <t>Communication / Data</t>
        </is>
      </c>
      <c r="B25" s="8" t="n">
        <v>2054.21</v>
      </c>
      <c r="C25" s="8" t="n">
        <v>2054.21</v>
      </c>
    </row>
    <row r="26" ht="15" customHeight="1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 ht="15" customHeight="1">
      <c r="A27" s="6" t="inlineStr">
        <is>
          <t>Security / Exterior Lighting</t>
        </is>
      </c>
      <c r="B27" s="8" t="n">
        <v>900.48</v>
      </c>
      <c r="C27" s="8" t="n">
        <v>900.48</v>
      </c>
    </row>
    <row r="28" ht="15" customHeight="1">
      <c r="A28" s="6" t="inlineStr">
        <is>
          <t>Access Control</t>
        </is>
      </c>
      <c r="B28" s="8" t="n">
        <v>1074.91</v>
      </c>
      <c r="C28" s="8" t="n">
        <v>1074.91</v>
      </c>
    </row>
    <row r="29" ht="15" customHeight="1">
      <c r="A29" s="6" t="inlineStr">
        <is>
          <t>Appliances</t>
        </is>
      </c>
      <c r="B29" s="8" t="n">
        <v>11710.29</v>
      </c>
      <c r="C29" s="8" t="n">
        <v>11710.29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15135.94</v>
      </c>
      <c r="F31" s="8" t="n">
        <v>15135.94</v>
      </c>
    </row>
    <row r="32" ht="15" customHeight="1">
      <c r="A32" s="6" t="inlineStr">
        <is>
          <t>HVAC</t>
        </is>
      </c>
      <c r="B32" s="8" t="n">
        <v>21239.23</v>
      </c>
      <c r="F32" s="8" t="n">
        <v>21239.23</v>
      </c>
    </row>
    <row r="33" ht="15" customHeight="1">
      <c r="A33" s="6" t="inlineStr">
        <is>
          <t>Electrical</t>
        </is>
      </c>
      <c r="B33" s="8" t="n">
        <v>15228.12</v>
      </c>
      <c r="F33" s="8" t="n">
        <v>15228.12</v>
      </c>
    </row>
    <row r="34" ht="15" customHeight="1">
      <c r="A34" s="6" t="inlineStr">
        <is>
          <t>Plumbing</t>
        </is>
      </c>
      <c r="B34" s="8" t="n">
        <v>18965.37</v>
      </c>
      <c r="F34" s="8" t="n">
        <v>18965.37</v>
      </c>
    </row>
    <row r="35" ht="15" customHeight="1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 ht="15" customHeight="1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 ht="15" customHeight="1">
      <c r="A37" s="6" t="inlineStr">
        <is>
          <t>Doors &amp; Frames</t>
        </is>
      </c>
      <c r="B37" s="8" t="n">
        <v>13682.17</v>
      </c>
      <c r="F37" s="8" t="n">
        <v>13682.17</v>
      </c>
    </row>
    <row r="38" ht="15" customHeight="1">
      <c r="A38" s="6" t="inlineStr">
        <is>
          <t>Windows</t>
        </is>
      </c>
      <c r="B38" s="8" t="n">
        <v>8421.6</v>
      </c>
      <c r="F38" s="8" t="n">
        <v>8421.6</v>
      </c>
    </row>
    <row r="39" ht="15" customHeight="1">
      <c r="A39" s="6" t="inlineStr">
        <is>
          <t>Ceiling Systems</t>
        </is>
      </c>
      <c r="B39" s="8" t="n">
        <v>10172.24</v>
      </c>
      <c r="F39" s="8" t="n">
        <v>10172.24</v>
      </c>
    </row>
    <row r="40" ht="15" customHeight="1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 ht="15" customHeight="1">
      <c r="A41" s="6" t="inlineStr">
        <is>
          <t>Painting</t>
        </is>
      </c>
      <c r="B41" s="8" t="n">
        <v>9461.68</v>
      </c>
      <c r="F41" s="8" t="n">
        <v>9461.68</v>
      </c>
    </row>
    <row r="42" ht="15" customHeight="1">
      <c r="A42" s="6" t="inlineStr">
        <is>
          <t>Gutter Systems</t>
        </is>
      </c>
      <c r="B42" s="8" t="n">
        <v>1372.33</v>
      </c>
      <c r="F42" s="8" t="n">
        <v>1372.33</v>
      </c>
    </row>
    <row r="43" ht="15" customHeight="1">
      <c r="A43" s="6" t="inlineStr">
        <is>
          <t>Structural Framing</t>
        </is>
      </c>
      <c r="B43" s="8" t="n">
        <v>36121.06</v>
      </c>
      <c r="F43" s="8" t="n">
        <v>36121.06</v>
      </c>
    </row>
    <row r="44" ht="15" customHeight="1">
      <c r="A44" s="6" t="inlineStr">
        <is>
          <t>Stairs / Balconies</t>
        </is>
      </c>
      <c r="B44" s="8" t="n">
        <v>8546.32</v>
      </c>
      <c r="F44" s="8" t="n">
        <v>8546.32</v>
      </c>
    </row>
    <row r="45" ht="15" customHeight="1">
      <c r="A45" s="6" t="inlineStr">
        <is>
          <t>Bathroom Accessories</t>
        </is>
      </c>
      <c r="B45" s="8" t="n">
        <v>7694.19</v>
      </c>
      <c r="F45" s="8" t="n">
        <v>7694.19</v>
      </c>
    </row>
    <row r="46" ht="15" customHeight="1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 ht="15" customHeight="1">
      <c r="A49" s="3" t="inlineStr">
        <is>
          <t>% of Building Cost</t>
        </is>
      </c>
      <c r="C49" s="26" t="n">
        <v>0.25</v>
      </c>
      <c r="F49" s="26" t="n">
        <v>0.75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5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5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45720.62</v>
      </c>
      <c r="F43" s="8" t="n">
        <v>45720.62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9740.219999999999</v>
      </c>
      <c r="F45" s="8" t="n">
        <v>9740.219999999999</v>
      </c>
    </row>
    <row r="46" ht="15" customHeight="1">
      <c r="A46" s="6" t="inlineStr">
        <is>
          <t>Cabinets / Millwork - Restrooms</t>
        </is>
      </c>
      <c r="B46" s="8" t="n">
        <v>6970.48</v>
      </c>
      <c r="F46" s="8" t="n">
        <v>6970.48</v>
      </c>
    </row>
    <row r="47" ht="15" customHeight="1"/>
    <row r="48" ht="15" customHeight="1">
      <c r="A48" s="9" t="inlineStr">
        <is>
          <t>Total Building Cost</t>
        </is>
      </c>
      <c r="B48" s="10" t="n">
        <v>503524.71</v>
      </c>
      <c r="C48" s="10" t="n">
        <v>125763.32</v>
      </c>
      <c r="F48" s="10" t="n">
        <v>377761.39</v>
      </c>
    </row>
    <row r="49" ht="15" customHeight="1">
      <c r="A49" s="3" t="inlineStr">
        <is>
          <t>% of Building Cost</t>
        </is>
      </c>
      <c r="C49" s="26" t="n">
        <v>0.25</v>
      </c>
      <c r="F49" s="26" t="n">
        <v>0.75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383408.73</v>
      </c>
      <c r="C52" s="8" t="n">
        <v>95762.44</v>
      </c>
      <c r="F52" s="8" t="n">
        <v>287646.29</v>
      </c>
    </row>
    <row r="53" ht="15" customHeight="1">
      <c r="A53" s="6" t="inlineStr">
        <is>
          <t>Asset #3 Land Improvements</t>
        </is>
      </c>
      <c r="B53" s="8" t="n">
        <v>41779.44</v>
      </c>
      <c r="C53" s="8" t="n">
        <v>10435.08</v>
      </c>
      <c r="F53" s="8" t="n">
        <v>31344.36</v>
      </c>
    </row>
    <row r="54" ht="15" customHeight="1">
      <c r="A54" s="6" t="inlineStr">
        <is>
          <t>Asset #4 Equipment</t>
        </is>
      </c>
      <c r="B54" s="8" t="n">
        <v>78336.53999999999</v>
      </c>
      <c r="C54" s="8" t="n">
        <v>19565.8</v>
      </c>
      <c r="F54" s="8" t="n">
        <v>58770.74</v>
      </c>
    </row>
    <row r="55" ht="15" customHeight="1">
      <c r="A55" s="18" t="inlineStr">
        <is>
          <t>Total Allocation:</t>
        </is>
      </c>
      <c r="B55" s="20" t="n">
        <v>503524.71</v>
      </c>
      <c r="C55" s="20" t="n">
        <v>125763.32</v>
      </c>
      <c r="F55" s="20" t="n">
        <v>377761.39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383408.73</v>
      </c>
      <c r="C63" s="8" t="n">
        <v>0</v>
      </c>
      <c r="D63" s="8" t="n">
        <v>0</v>
      </c>
      <c r="E63" s="8" t="n">
        <v>31950.77</v>
      </c>
      <c r="F63" s="8" t="n">
        <v>31950.77</v>
      </c>
      <c r="G63" s="8" t="n">
        <v>45892.94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41779.44</v>
      </c>
      <c r="C64" s="8" t="n">
        <v>0</v>
      </c>
      <c r="D64" s="8" t="n">
        <v>41779.44</v>
      </c>
      <c r="E64" s="8" t="n">
        <v>41779.44</v>
      </c>
      <c r="F64" s="8" t="n">
        <v>41779.44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78336.53999999999</v>
      </c>
      <c r="C65" s="8" t="n">
        <v>0</v>
      </c>
      <c r="D65" s="8" t="n">
        <v>78336.53999999999</v>
      </c>
      <c r="E65" s="8" t="n">
        <v>78336.53999999999</v>
      </c>
      <c r="F65" s="8" t="n">
        <v>78336.53999999999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503524.71</v>
      </c>
      <c r="C66" s="10" t="n">
        <v>120115.98</v>
      </c>
      <c r="D66" s="10" t="n">
        <v>152066.75</v>
      </c>
      <c r="E66" s="10" t="n">
        <v>13942.17</v>
      </c>
      <c r="F66" s="10" t="n">
        <v>166008.92</v>
      </c>
      <c r="G66" s="10" t="n">
        <v>337515.79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95762.44</v>
      </c>
      <c r="C70" s="8" t="n">
        <v>0</v>
      </c>
      <c r="D70" s="8" t="n">
        <v>95762.44</v>
      </c>
      <c r="E70" s="8" t="n">
        <v>95762.44</v>
      </c>
      <c r="F70" s="8" t="n">
        <v>0</v>
      </c>
      <c r="G70" s="8" t="n">
        <v>95762.44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287646.29</v>
      </c>
      <c r="C71" s="8" t="n">
        <v>0</v>
      </c>
      <c r="D71" s="8" t="n">
        <v>0</v>
      </c>
      <c r="E71" s="8" t="n">
        <v>23970.53</v>
      </c>
      <c r="F71" s="8" t="n">
        <v>10459.87</v>
      </c>
      <c r="G71" s="8" t="n">
        <v>34430.4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10435.08</v>
      </c>
      <c r="C72" s="8" t="n">
        <v>0</v>
      </c>
      <c r="D72" s="8" t="n">
        <v>10435.08</v>
      </c>
      <c r="E72" s="8" t="n">
        <v>10435.08</v>
      </c>
      <c r="F72" s="8" t="n">
        <v>0</v>
      </c>
      <c r="G72" s="8" t="n">
        <v>10435.08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31344.36</v>
      </c>
      <c r="C73" s="8" t="n">
        <v>0</v>
      </c>
      <c r="D73" s="8" t="n">
        <v>0</v>
      </c>
      <c r="E73" s="8" t="n">
        <v>2612.02</v>
      </c>
      <c r="F73" s="8" t="n">
        <v>1139.79</v>
      </c>
      <c r="G73" s="8" t="n">
        <v>3751.81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19565.8</v>
      </c>
      <c r="C74" s="8" t="n">
        <v>0</v>
      </c>
      <c r="D74" s="8" t="n">
        <v>19565.8</v>
      </c>
      <c r="E74" s="8" t="n">
        <v>19565.8</v>
      </c>
      <c r="F74" s="8" t="n">
        <v>0</v>
      </c>
      <c r="G74" s="8" t="n">
        <v>19565.8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58770.74</v>
      </c>
      <c r="C75" s="8" t="n">
        <v>0</v>
      </c>
      <c r="D75" s="8" t="n">
        <v>0</v>
      </c>
      <c r="E75" s="8" t="n">
        <v>4897.57</v>
      </c>
      <c r="F75" s="8" t="n">
        <v>2137.12</v>
      </c>
      <c r="G75" s="8" t="n">
        <v>7034.69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503524.71</v>
      </c>
      <c r="C76" s="20" t="n">
        <v>125763.32</v>
      </c>
      <c r="D76" s="20" t="n">
        <v>157243.44</v>
      </c>
      <c r="E76" s="20" t="n">
        <v>13736.78</v>
      </c>
      <c r="F76" s="20" t="n">
        <v>170980.22</v>
      </c>
      <c r="G76" s="20" t="n">
        <v>332544.49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166008.92</v>
      </c>
    </row>
    <row r="80" ht="15" customHeight="1">
      <c r="A80" s="25" t="inlineStr">
        <is>
          <t>Cost Segregation Corrected Depreciation</t>
        </is>
      </c>
      <c r="B80" s="29" t="n">
        <v>170980.22</v>
      </c>
    </row>
    <row r="81" ht="15" customHeight="1">
      <c r="A81" s="21" t="inlineStr">
        <is>
          <t>Section 481(a) Adjustment</t>
        </is>
      </c>
      <c r="B81" s="23" t="n">
        <v>-4971.3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6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6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20854.1</v>
      </c>
      <c r="C16" s="8" t="n">
        <v>20854.1</v>
      </c>
    </row>
    <row r="17" ht="15" customHeight="1">
      <c r="A17" s="6" t="inlineStr">
        <is>
          <t>Moldings</t>
        </is>
      </c>
      <c r="B17" s="8" t="n">
        <v>3659.01</v>
      </c>
      <c r="C17" s="8" t="n">
        <v>3659.01</v>
      </c>
    </row>
    <row r="18" ht="15" customHeight="1">
      <c r="A18" s="6" t="inlineStr">
        <is>
          <t>Flooring - Carpet</t>
        </is>
      </c>
      <c r="B18" s="8" t="n">
        <v>7197.38</v>
      </c>
      <c r="C18" s="8" t="n">
        <v>7197.38</v>
      </c>
    </row>
    <row r="19" ht="15" customHeight="1">
      <c r="A19" s="6" t="inlineStr">
        <is>
          <t>Flooring - Vinyl Plank</t>
        </is>
      </c>
      <c r="B19" s="8" t="n">
        <v>13553.55</v>
      </c>
      <c r="C19" s="8" t="n">
        <v>13553.55</v>
      </c>
    </row>
    <row r="20" ht="15" customHeight="1">
      <c r="A20" s="6" t="inlineStr">
        <is>
          <t>Door &amp; Window Guards</t>
        </is>
      </c>
      <c r="B20" s="8" t="n">
        <v>2244.55</v>
      </c>
      <c r="C20" s="8" t="n">
        <v>2244.55</v>
      </c>
    </row>
    <row r="21" ht="15" customHeight="1">
      <c r="A21" s="6" t="inlineStr">
        <is>
          <t>Window Treatments</t>
        </is>
      </c>
      <c r="B21" s="8" t="n">
        <v>1909.28</v>
      </c>
      <c r="C21" s="8" t="n">
        <v>1909.28</v>
      </c>
    </row>
    <row r="22" ht="15" customHeight="1">
      <c r="A22" s="6" t="inlineStr">
        <is>
          <t>Specialty HVAC - Dryer Vents</t>
        </is>
      </c>
      <c r="B22" s="8" t="n">
        <v>567.1</v>
      </c>
      <c r="C22" s="8" t="n">
        <v>567.1</v>
      </c>
    </row>
    <row r="23" ht="15" customHeight="1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 ht="15" customHeight="1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 ht="15" customHeight="1">
      <c r="A25" s="6" t="inlineStr">
        <is>
          <t>Communication / Data</t>
        </is>
      </c>
      <c r="B25" s="8" t="n">
        <v>2054.21</v>
      </c>
      <c r="C25" s="8" t="n">
        <v>2054.21</v>
      </c>
    </row>
    <row r="26" ht="15" customHeight="1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 ht="15" customHeight="1">
      <c r="A27" s="6" t="inlineStr">
        <is>
          <t>Security / Exterior Lighting</t>
        </is>
      </c>
      <c r="B27" s="8" t="n">
        <v>900.48</v>
      </c>
      <c r="C27" s="8" t="n">
        <v>900.48</v>
      </c>
    </row>
    <row r="28" ht="15" customHeight="1">
      <c r="A28" s="6" t="inlineStr">
        <is>
          <t>Access Control</t>
        </is>
      </c>
      <c r="B28" s="8" t="n">
        <v>1074.91</v>
      </c>
      <c r="C28" s="8" t="n">
        <v>1074.91</v>
      </c>
    </row>
    <row r="29" ht="15" customHeight="1">
      <c r="A29" s="6" t="inlineStr">
        <is>
          <t>Appliances</t>
        </is>
      </c>
      <c r="B29" s="8" t="n">
        <v>11710.29</v>
      </c>
      <c r="C29" s="8" t="n">
        <v>11710.29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15135.94</v>
      </c>
      <c r="F31" s="8" t="n">
        <v>15135.94</v>
      </c>
    </row>
    <row r="32" ht="15" customHeight="1">
      <c r="A32" s="6" t="inlineStr">
        <is>
          <t>HVAC</t>
        </is>
      </c>
      <c r="B32" s="8" t="n">
        <v>21239.23</v>
      </c>
      <c r="F32" s="8" t="n">
        <v>21239.23</v>
      </c>
    </row>
    <row r="33" ht="15" customHeight="1">
      <c r="A33" s="6" t="inlineStr">
        <is>
          <t>Electrical</t>
        </is>
      </c>
      <c r="B33" s="8" t="n">
        <v>15228.12</v>
      </c>
      <c r="F33" s="8" t="n">
        <v>15228.12</v>
      </c>
    </row>
    <row r="34" ht="15" customHeight="1">
      <c r="A34" s="6" t="inlineStr">
        <is>
          <t>Plumbing</t>
        </is>
      </c>
      <c r="B34" s="8" t="n">
        <v>18965.37</v>
      </c>
      <c r="F34" s="8" t="n">
        <v>18965.37</v>
      </c>
    </row>
    <row r="35" ht="15" customHeight="1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 ht="15" customHeight="1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 ht="15" customHeight="1">
      <c r="A37" s="6" t="inlineStr">
        <is>
          <t>Doors &amp; Frames</t>
        </is>
      </c>
      <c r="B37" s="8" t="n">
        <v>13682.17</v>
      </c>
      <c r="F37" s="8" t="n">
        <v>13682.17</v>
      </c>
    </row>
    <row r="38" ht="15" customHeight="1">
      <c r="A38" s="6" t="inlineStr">
        <is>
          <t>Windows</t>
        </is>
      </c>
      <c r="B38" s="8" t="n">
        <v>8421.6</v>
      </c>
      <c r="F38" s="8" t="n">
        <v>8421.6</v>
      </c>
    </row>
    <row r="39" ht="15" customHeight="1">
      <c r="A39" s="6" t="inlineStr">
        <is>
          <t>Ceiling Systems</t>
        </is>
      </c>
      <c r="B39" s="8" t="n">
        <v>10172.24</v>
      </c>
      <c r="F39" s="8" t="n">
        <v>10172.24</v>
      </c>
    </row>
    <row r="40" ht="15" customHeight="1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 ht="15" customHeight="1">
      <c r="A41" s="6" t="inlineStr">
        <is>
          <t>Painting</t>
        </is>
      </c>
      <c r="B41" s="8" t="n">
        <v>9461.68</v>
      </c>
      <c r="F41" s="8" t="n">
        <v>9461.68</v>
      </c>
    </row>
    <row r="42" ht="15" customHeight="1">
      <c r="A42" s="6" t="inlineStr">
        <is>
          <t>Gutter Systems</t>
        </is>
      </c>
      <c r="B42" s="8" t="n">
        <v>1372.33</v>
      </c>
      <c r="F42" s="8" t="n">
        <v>1372.33</v>
      </c>
    </row>
    <row r="43" ht="15" customHeight="1">
      <c r="A43" s="6" t="inlineStr">
        <is>
          <t>Structural Framing</t>
        </is>
      </c>
      <c r="B43" s="8" t="n">
        <v>36121.06</v>
      </c>
      <c r="F43" s="8" t="n">
        <v>36121.06</v>
      </c>
    </row>
    <row r="44" ht="15" customHeight="1">
      <c r="A44" s="6" t="inlineStr">
        <is>
          <t>Stairs / Balconies</t>
        </is>
      </c>
      <c r="B44" s="8" t="n">
        <v>8546.32</v>
      </c>
      <c r="F44" s="8" t="n">
        <v>8546.32</v>
      </c>
    </row>
    <row r="45" ht="15" customHeight="1">
      <c r="A45" s="6" t="inlineStr">
        <is>
          <t>Bathroom Accessories</t>
        </is>
      </c>
      <c r="B45" s="8" t="n">
        <v>7694.19</v>
      </c>
      <c r="F45" s="8" t="n">
        <v>7694.19</v>
      </c>
    </row>
    <row r="46" ht="15" customHeight="1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 ht="15" customHeight="1">
      <c r="A49" s="3" t="inlineStr">
        <is>
          <t>% of Building Cost</t>
        </is>
      </c>
      <c r="C49" s="26" t="n">
        <v>0.25</v>
      </c>
      <c r="F49" s="26" t="n">
        <v>0.75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7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7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45720.62</v>
      </c>
      <c r="F43" s="8" t="n">
        <v>45720.62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9740.219999999999</v>
      </c>
      <c r="F45" s="8" t="n">
        <v>9740.219999999999</v>
      </c>
    </row>
    <row r="46" ht="15" customHeight="1">
      <c r="A46" s="6" t="inlineStr">
        <is>
          <t>Cabinets / Millwork - Restrooms</t>
        </is>
      </c>
      <c r="B46" s="8" t="n">
        <v>6970.48</v>
      </c>
      <c r="F46" s="8" t="n">
        <v>6970.48</v>
      </c>
    </row>
    <row r="47" ht="15" customHeight="1"/>
    <row r="48" ht="15" customHeight="1">
      <c r="A48" s="9" t="inlineStr">
        <is>
          <t>Total Building Cost</t>
        </is>
      </c>
      <c r="B48" s="10" t="n">
        <v>503524.71</v>
      </c>
      <c r="C48" s="10" t="n">
        <v>125763.32</v>
      </c>
      <c r="F48" s="10" t="n">
        <v>377761.39</v>
      </c>
    </row>
    <row r="49" ht="15" customHeight="1">
      <c r="A49" s="3" t="inlineStr">
        <is>
          <t>% of Building Cost</t>
        </is>
      </c>
      <c r="C49" s="26" t="n">
        <v>0.25</v>
      </c>
      <c r="F49" s="26" t="n">
        <v>0.75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383408.73</v>
      </c>
      <c r="C52" s="8" t="n">
        <v>95762.44</v>
      </c>
      <c r="F52" s="8" t="n">
        <v>287646.29</v>
      </c>
    </row>
    <row r="53" ht="15" customHeight="1">
      <c r="A53" s="6" t="inlineStr">
        <is>
          <t>Asset #3 Land Improvements</t>
        </is>
      </c>
      <c r="B53" s="8" t="n">
        <v>41779.44</v>
      </c>
      <c r="C53" s="8" t="n">
        <v>10435.08</v>
      </c>
      <c r="F53" s="8" t="n">
        <v>31344.36</v>
      </c>
    </row>
    <row r="54" ht="15" customHeight="1">
      <c r="A54" s="6" t="inlineStr">
        <is>
          <t>Asset #4 Equipment</t>
        </is>
      </c>
      <c r="B54" s="8" t="n">
        <v>78336.53999999999</v>
      </c>
      <c r="C54" s="8" t="n">
        <v>19565.8</v>
      </c>
      <c r="F54" s="8" t="n">
        <v>58770.74</v>
      </c>
    </row>
    <row r="55" ht="15" customHeight="1">
      <c r="A55" s="18" t="inlineStr">
        <is>
          <t>Total Allocation:</t>
        </is>
      </c>
      <c r="B55" s="20" t="n">
        <v>503524.71</v>
      </c>
      <c r="C55" s="20" t="n">
        <v>125763.32</v>
      </c>
      <c r="F55" s="20" t="n">
        <v>377761.39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383408.73</v>
      </c>
      <c r="C63" s="8" t="n">
        <v>0</v>
      </c>
      <c r="D63" s="8" t="n">
        <v>0</v>
      </c>
      <c r="E63" s="8" t="n">
        <v>31950.77</v>
      </c>
      <c r="F63" s="8" t="n">
        <v>31950.77</v>
      </c>
      <c r="G63" s="8" t="n">
        <v>45892.94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41779.44</v>
      </c>
      <c r="C64" s="8" t="n">
        <v>0</v>
      </c>
      <c r="D64" s="8" t="n">
        <v>41779.44</v>
      </c>
      <c r="E64" s="8" t="n">
        <v>41779.44</v>
      </c>
      <c r="F64" s="8" t="n">
        <v>41779.44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78336.53999999999</v>
      </c>
      <c r="C65" s="8" t="n">
        <v>0</v>
      </c>
      <c r="D65" s="8" t="n">
        <v>78336.53999999999</v>
      </c>
      <c r="E65" s="8" t="n">
        <v>78336.53999999999</v>
      </c>
      <c r="F65" s="8" t="n">
        <v>78336.53999999999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503524.71</v>
      </c>
      <c r="C66" s="10" t="n">
        <v>120115.98</v>
      </c>
      <c r="D66" s="10" t="n">
        <v>152066.75</v>
      </c>
      <c r="E66" s="10" t="n">
        <v>13942.17</v>
      </c>
      <c r="F66" s="10" t="n">
        <v>166008.92</v>
      </c>
      <c r="G66" s="10" t="n">
        <v>337515.79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95762.44</v>
      </c>
      <c r="C70" s="8" t="n">
        <v>0</v>
      </c>
      <c r="D70" s="8" t="n">
        <v>95762.44</v>
      </c>
      <c r="E70" s="8" t="n">
        <v>95762.44</v>
      </c>
      <c r="F70" s="8" t="n">
        <v>0</v>
      </c>
      <c r="G70" s="8" t="n">
        <v>95762.44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287646.29</v>
      </c>
      <c r="C71" s="8" t="n">
        <v>0</v>
      </c>
      <c r="D71" s="8" t="n">
        <v>0</v>
      </c>
      <c r="E71" s="8" t="n">
        <v>23970.53</v>
      </c>
      <c r="F71" s="8" t="n">
        <v>10459.87</v>
      </c>
      <c r="G71" s="8" t="n">
        <v>34430.4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10435.08</v>
      </c>
      <c r="C72" s="8" t="n">
        <v>0</v>
      </c>
      <c r="D72" s="8" t="n">
        <v>10435.08</v>
      </c>
      <c r="E72" s="8" t="n">
        <v>10435.08</v>
      </c>
      <c r="F72" s="8" t="n">
        <v>0</v>
      </c>
      <c r="G72" s="8" t="n">
        <v>10435.08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31344.36</v>
      </c>
      <c r="C73" s="8" t="n">
        <v>0</v>
      </c>
      <c r="D73" s="8" t="n">
        <v>0</v>
      </c>
      <c r="E73" s="8" t="n">
        <v>2612.02</v>
      </c>
      <c r="F73" s="8" t="n">
        <v>1139.79</v>
      </c>
      <c r="G73" s="8" t="n">
        <v>3751.81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19565.8</v>
      </c>
      <c r="C74" s="8" t="n">
        <v>0</v>
      </c>
      <c r="D74" s="8" t="n">
        <v>19565.8</v>
      </c>
      <c r="E74" s="8" t="n">
        <v>19565.8</v>
      </c>
      <c r="F74" s="8" t="n">
        <v>0</v>
      </c>
      <c r="G74" s="8" t="n">
        <v>19565.8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58770.74</v>
      </c>
      <c r="C75" s="8" t="n">
        <v>0</v>
      </c>
      <c r="D75" s="8" t="n">
        <v>0</v>
      </c>
      <c r="E75" s="8" t="n">
        <v>4897.57</v>
      </c>
      <c r="F75" s="8" t="n">
        <v>2137.12</v>
      </c>
      <c r="G75" s="8" t="n">
        <v>7034.69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503524.71</v>
      </c>
      <c r="C76" s="20" t="n">
        <v>125763.32</v>
      </c>
      <c r="D76" s="20" t="n">
        <v>157243.44</v>
      </c>
      <c r="E76" s="20" t="n">
        <v>13736.78</v>
      </c>
      <c r="F76" s="20" t="n">
        <v>170980.22</v>
      </c>
      <c r="G76" s="20" t="n">
        <v>332544.49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166008.92</v>
      </c>
    </row>
    <row r="80" ht="15" customHeight="1">
      <c r="A80" s="25" t="inlineStr">
        <is>
          <t>Cost Segregation Corrected Depreciation</t>
        </is>
      </c>
      <c r="B80" s="29" t="n">
        <v>170980.22</v>
      </c>
    </row>
    <row r="81" ht="15" customHeight="1">
      <c r="A81" s="21" t="inlineStr">
        <is>
          <t>Section 481(a) Adjustment</t>
        </is>
      </c>
      <c r="B81" s="23" t="n">
        <v>-4971.3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8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8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20854.1</v>
      </c>
      <c r="C16" s="8" t="n">
        <v>20854.1</v>
      </c>
    </row>
    <row r="17" ht="15" customHeight="1">
      <c r="A17" s="6" t="inlineStr">
        <is>
          <t>Moldings</t>
        </is>
      </c>
      <c r="B17" s="8" t="n">
        <v>3659.01</v>
      </c>
      <c r="C17" s="8" t="n">
        <v>3659.01</v>
      </c>
    </row>
    <row r="18" ht="15" customHeight="1">
      <c r="A18" s="6" t="inlineStr">
        <is>
          <t>Flooring - Carpet</t>
        </is>
      </c>
      <c r="B18" s="8" t="n">
        <v>7197.38</v>
      </c>
      <c r="C18" s="8" t="n">
        <v>7197.38</v>
      </c>
    </row>
    <row r="19" ht="15" customHeight="1">
      <c r="A19" s="6" t="inlineStr">
        <is>
          <t>Flooring - Vinyl Plank</t>
        </is>
      </c>
      <c r="B19" s="8" t="n">
        <v>13553.55</v>
      </c>
      <c r="C19" s="8" t="n">
        <v>13553.55</v>
      </c>
    </row>
    <row r="20" ht="15" customHeight="1">
      <c r="A20" s="6" t="inlineStr">
        <is>
          <t>Door &amp; Window Guards</t>
        </is>
      </c>
      <c r="B20" s="8" t="n">
        <v>2244.55</v>
      </c>
      <c r="C20" s="8" t="n">
        <v>2244.55</v>
      </c>
    </row>
    <row r="21" ht="15" customHeight="1">
      <c r="A21" s="6" t="inlineStr">
        <is>
          <t>Window Treatments</t>
        </is>
      </c>
      <c r="B21" s="8" t="n">
        <v>1909.28</v>
      </c>
      <c r="C21" s="8" t="n">
        <v>1909.28</v>
      </c>
    </row>
    <row r="22" ht="15" customHeight="1">
      <c r="A22" s="6" t="inlineStr">
        <is>
          <t>Specialty HVAC - Dryer Vents</t>
        </is>
      </c>
      <c r="B22" s="8" t="n">
        <v>567.1</v>
      </c>
      <c r="C22" s="8" t="n">
        <v>567.1</v>
      </c>
    </row>
    <row r="23" ht="15" customHeight="1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 ht="15" customHeight="1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 ht="15" customHeight="1">
      <c r="A25" s="6" t="inlineStr">
        <is>
          <t>Communication / Data</t>
        </is>
      </c>
      <c r="B25" s="8" t="n">
        <v>2054.21</v>
      </c>
      <c r="C25" s="8" t="n">
        <v>2054.21</v>
      </c>
    </row>
    <row r="26" ht="15" customHeight="1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 ht="15" customHeight="1">
      <c r="A27" s="6" t="inlineStr">
        <is>
          <t>Security / Exterior Lighting</t>
        </is>
      </c>
      <c r="B27" s="8" t="n">
        <v>900.48</v>
      </c>
      <c r="C27" s="8" t="n">
        <v>900.48</v>
      </c>
    </row>
    <row r="28" ht="15" customHeight="1">
      <c r="A28" s="6" t="inlineStr">
        <is>
          <t>Access Control</t>
        </is>
      </c>
      <c r="B28" s="8" t="n">
        <v>1074.91</v>
      </c>
      <c r="C28" s="8" t="n">
        <v>1074.91</v>
      </c>
    </row>
    <row r="29" ht="15" customHeight="1">
      <c r="A29" s="6" t="inlineStr">
        <is>
          <t>Appliances</t>
        </is>
      </c>
      <c r="B29" s="8" t="n">
        <v>11710.29</v>
      </c>
      <c r="C29" s="8" t="n">
        <v>11710.29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15135.94</v>
      </c>
      <c r="F31" s="8" t="n">
        <v>15135.94</v>
      </c>
    </row>
    <row r="32" ht="15" customHeight="1">
      <c r="A32" s="6" t="inlineStr">
        <is>
          <t>HVAC</t>
        </is>
      </c>
      <c r="B32" s="8" t="n">
        <v>21239.23</v>
      </c>
      <c r="F32" s="8" t="n">
        <v>21239.23</v>
      </c>
    </row>
    <row r="33" ht="15" customHeight="1">
      <c r="A33" s="6" t="inlineStr">
        <is>
          <t>Electrical</t>
        </is>
      </c>
      <c r="B33" s="8" t="n">
        <v>15228.12</v>
      </c>
      <c r="F33" s="8" t="n">
        <v>15228.12</v>
      </c>
    </row>
    <row r="34" ht="15" customHeight="1">
      <c r="A34" s="6" t="inlineStr">
        <is>
          <t>Plumbing</t>
        </is>
      </c>
      <c r="B34" s="8" t="n">
        <v>18965.37</v>
      </c>
      <c r="F34" s="8" t="n">
        <v>18965.37</v>
      </c>
    </row>
    <row r="35" ht="15" customHeight="1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 ht="15" customHeight="1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 ht="15" customHeight="1">
      <c r="A37" s="6" t="inlineStr">
        <is>
          <t>Doors &amp; Frames</t>
        </is>
      </c>
      <c r="B37" s="8" t="n">
        <v>13682.17</v>
      </c>
      <c r="F37" s="8" t="n">
        <v>13682.17</v>
      </c>
    </row>
    <row r="38" ht="15" customHeight="1">
      <c r="A38" s="6" t="inlineStr">
        <is>
          <t>Windows</t>
        </is>
      </c>
      <c r="B38" s="8" t="n">
        <v>8421.6</v>
      </c>
      <c r="F38" s="8" t="n">
        <v>8421.6</v>
      </c>
    </row>
    <row r="39" ht="15" customHeight="1">
      <c r="A39" s="6" t="inlineStr">
        <is>
          <t>Ceiling Systems</t>
        </is>
      </c>
      <c r="B39" s="8" t="n">
        <v>10172.24</v>
      </c>
      <c r="F39" s="8" t="n">
        <v>10172.24</v>
      </c>
    </row>
    <row r="40" ht="15" customHeight="1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 ht="15" customHeight="1">
      <c r="A41" s="6" t="inlineStr">
        <is>
          <t>Painting</t>
        </is>
      </c>
      <c r="B41" s="8" t="n">
        <v>9461.68</v>
      </c>
      <c r="F41" s="8" t="n">
        <v>9461.68</v>
      </c>
    </row>
    <row r="42" ht="15" customHeight="1">
      <c r="A42" s="6" t="inlineStr">
        <is>
          <t>Gutter Systems</t>
        </is>
      </c>
      <c r="B42" s="8" t="n">
        <v>1372.33</v>
      </c>
      <c r="F42" s="8" t="n">
        <v>1372.33</v>
      </c>
    </row>
    <row r="43" ht="15" customHeight="1">
      <c r="A43" s="6" t="inlineStr">
        <is>
          <t>Structural Framing</t>
        </is>
      </c>
      <c r="B43" s="8" t="n">
        <v>36121.06</v>
      </c>
      <c r="F43" s="8" t="n">
        <v>36121.06</v>
      </c>
    </row>
    <row r="44" ht="15" customHeight="1">
      <c r="A44" s="6" t="inlineStr">
        <is>
          <t>Stairs / Balconies</t>
        </is>
      </c>
      <c r="B44" s="8" t="n">
        <v>8546.32</v>
      </c>
      <c r="F44" s="8" t="n">
        <v>8546.32</v>
      </c>
    </row>
    <row r="45" ht="15" customHeight="1">
      <c r="A45" s="6" t="inlineStr">
        <is>
          <t>Bathroom Accessories</t>
        </is>
      </c>
      <c r="B45" s="8" t="n">
        <v>7694.19</v>
      </c>
      <c r="F45" s="8" t="n">
        <v>7694.19</v>
      </c>
    </row>
    <row r="46" ht="15" customHeight="1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 ht="15" customHeight="1">
      <c r="A49" s="3" t="inlineStr">
        <is>
          <t>% of Building Cost</t>
        </is>
      </c>
      <c r="C49" s="26" t="n">
        <v>0.25</v>
      </c>
      <c r="F49" s="26" t="n">
        <v>0.75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9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9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20854.1</v>
      </c>
      <c r="C16" s="8" t="n">
        <v>20854.1</v>
      </c>
    </row>
    <row r="17" ht="15" customHeight="1">
      <c r="A17" s="6" t="inlineStr">
        <is>
          <t>Moldings</t>
        </is>
      </c>
      <c r="B17" s="8" t="n">
        <v>3659.01</v>
      </c>
      <c r="C17" s="8" t="n">
        <v>3659.01</v>
      </c>
    </row>
    <row r="18" ht="15" customHeight="1">
      <c r="A18" s="6" t="inlineStr">
        <is>
          <t>Flooring - Carpet</t>
        </is>
      </c>
      <c r="B18" s="8" t="n">
        <v>7197.38</v>
      </c>
      <c r="C18" s="8" t="n">
        <v>7197.38</v>
      </c>
    </row>
    <row r="19" ht="15" customHeight="1">
      <c r="A19" s="6" t="inlineStr">
        <is>
          <t>Flooring - Vinyl Plank</t>
        </is>
      </c>
      <c r="B19" s="8" t="n">
        <v>13553.55</v>
      </c>
      <c r="C19" s="8" t="n">
        <v>13553.55</v>
      </c>
    </row>
    <row r="20" ht="15" customHeight="1">
      <c r="A20" s="6" t="inlineStr">
        <is>
          <t>Door &amp; Window Guards</t>
        </is>
      </c>
      <c r="B20" s="8" t="n">
        <v>2244.55</v>
      </c>
      <c r="C20" s="8" t="n">
        <v>2244.55</v>
      </c>
    </row>
    <row r="21" ht="15" customHeight="1">
      <c r="A21" s="6" t="inlineStr">
        <is>
          <t>Window Treatments</t>
        </is>
      </c>
      <c r="B21" s="8" t="n">
        <v>1909.28</v>
      </c>
      <c r="C21" s="8" t="n">
        <v>1909.28</v>
      </c>
    </row>
    <row r="22" ht="15" customHeight="1">
      <c r="A22" s="6" t="inlineStr">
        <is>
          <t>Specialty HVAC - Dryer Vents</t>
        </is>
      </c>
      <c r="B22" s="8" t="n">
        <v>567.1</v>
      </c>
      <c r="C22" s="8" t="n">
        <v>567.1</v>
      </c>
    </row>
    <row r="23" ht="15" customHeight="1">
      <c r="A23" s="6" t="inlineStr">
        <is>
          <t>Building Signage</t>
        </is>
      </c>
      <c r="B23" s="8" t="n">
        <v>556.8200000000001</v>
      </c>
      <c r="C23" s="8" t="n">
        <v>556.8200000000001</v>
      </c>
    </row>
    <row r="24" ht="15" customHeight="1">
      <c r="A24" s="6" t="inlineStr">
        <is>
          <t>Specialty Electrical - Appliances</t>
        </is>
      </c>
      <c r="B24" s="8" t="n">
        <v>9764.629999999999</v>
      </c>
      <c r="C24" s="8" t="n">
        <v>9764.629999999999</v>
      </c>
    </row>
    <row r="25" ht="15" customHeight="1">
      <c r="A25" s="6" t="inlineStr">
        <is>
          <t>Communication / Data</t>
        </is>
      </c>
      <c r="B25" s="8" t="n">
        <v>2054.21</v>
      </c>
      <c r="C25" s="8" t="n">
        <v>2054.21</v>
      </c>
    </row>
    <row r="26" ht="15" customHeight="1">
      <c r="A26" s="6" t="inlineStr">
        <is>
          <t>Specialty Plumbing - Kitchen Sinks / Laundry</t>
        </is>
      </c>
      <c r="B26" s="8" t="n">
        <v>10606.79</v>
      </c>
      <c r="C26" s="8" t="n">
        <v>10606.79</v>
      </c>
    </row>
    <row r="27" ht="15" customHeight="1">
      <c r="A27" s="6" t="inlineStr">
        <is>
          <t>Security / Exterior Lighting</t>
        </is>
      </c>
      <c r="B27" s="8" t="n">
        <v>900.48</v>
      </c>
      <c r="C27" s="8" t="n">
        <v>900.48</v>
      </c>
    </row>
    <row r="28" ht="15" customHeight="1">
      <c r="A28" s="6" t="inlineStr">
        <is>
          <t>Access Control</t>
        </is>
      </c>
      <c r="B28" s="8" t="n">
        <v>1074.91</v>
      </c>
      <c r="C28" s="8" t="n">
        <v>1074.91</v>
      </c>
    </row>
    <row r="29" ht="15" customHeight="1">
      <c r="A29" s="6" t="inlineStr">
        <is>
          <t>Appliances</t>
        </is>
      </c>
      <c r="B29" s="8" t="n">
        <v>11710.29</v>
      </c>
      <c r="C29" s="8" t="n">
        <v>11710.29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15135.94</v>
      </c>
      <c r="F31" s="8" t="n">
        <v>15135.94</v>
      </c>
    </row>
    <row r="32" ht="15" customHeight="1">
      <c r="A32" s="6" t="inlineStr">
        <is>
          <t>HVAC</t>
        </is>
      </c>
      <c r="B32" s="8" t="n">
        <v>21239.23</v>
      </c>
      <c r="F32" s="8" t="n">
        <v>21239.23</v>
      </c>
    </row>
    <row r="33" ht="15" customHeight="1">
      <c r="A33" s="6" t="inlineStr">
        <is>
          <t>Electrical</t>
        </is>
      </c>
      <c r="B33" s="8" t="n">
        <v>15228.12</v>
      </c>
      <c r="F33" s="8" t="n">
        <v>15228.12</v>
      </c>
    </row>
    <row r="34" ht="15" customHeight="1">
      <c r="A34" s="6" t="inlineStr">
        <is>
          <t>Plumbing</t>
        </is>
      </c>
      <c r="B34" s="8" t="n">
        <v>18965.37</v>
      </c>
      <c r="F34" s="8" t="n">
        <v>18965.37</v>
      </c>
    </row>
    <row r="35" ht="15" customHeight="1">
      <c r="A35" s="6" t="inlineStr">
        <is>
          <t>Fire Protection &amp; Alarm</t>
        </is>
      </c>
      <c r="B35" s="8" t="n">
        <v>18356.43</v>
      </c>
      <c r="F35" s="8" t="n">
        <v>18356.43</v>
      </c>
    </row>
    <row r="36" ht="15" customHeight="1">
      <c r="A36" s="6" t="inlineStr">
        <is>
          <t>Exterior Façade / Building Skin</t>
        </is>
      </c>
      <c r="B36" s="8" t="n">
        <v>6977.71</v>
      </c>
      <c r="F36" s="8" t="n">
        <v>6977.71</v>
      </c>
    </row>
    <row r="37" ht="15" customHeight="1">
      <c r="A37" s="6" t="inlineStr">
        <is>
          <t>Doors &amp; Frames</t>
        </is>
      </c>
      <c r="B37" s="8" t="n">
        <v>13682.17</v>
      </c>
      <c r="F37" s="8" t="n">
        <v>13682.17</v>
      </c>
    </row>
    <row r="38" ht="15" customHeight="1">
      <c r="A38" s="6" t="inlineStr">
        <is>
          <t>Windows</t>
        </is>
      </c>
      <c r="B38" s="8" t="n">
        <v>8421.6</v>
      </c>
      <c r="F38" s="8" t="n">
        <v>8421.6</v>
      </c>
    </row>
    <row r="39" ht="15" customHeight="1">
      <c r="A39" s="6" t="inlineStr">
        <is>
          <t>Ceiling Systems</t>
        </is>
      </c>
      <c r="B39" s="8" t="n">
        <v>10172.24</v>
      </c>
      <c r="F39" s="8" t="n">
        <v>10172.24</v>
      </c>
    </row>
    <row r="40" ht="15" customHeight="1">
      <c r="A40" s="6" t="inlineStr">
        <is>
          <t>Interior Framing / Partitions</t>
        </is>
      </c>
      <c r="B40" s="8" t="n">
        <v>23152.14</v>
      </c>
      <c r="F40" s="8" t="n">
        <v>23152.14</v>
      </c>
    </row>
    <row r="41" ht="15" customHeight="1">
      <c r="A41" s="6" t="inlineStr">
        <is>
          <t>Painting</t>
        </is>
      </c>
      <c r="B41" s="8" t="n">
        <v>9461.68</v>
      </c>
      <c r="F41" s="8" t="n">
        <v>9461.68</v>
      </c>
    </row>
    <row r="42" ht="15" customHeight="1">
      <c r="A42" s="6" t="inlineStr">
        <is>
          <t>Gutter Systems</t>
        </is>
      </c>
      <c r="B42" s="8" t="n">
        <v>1372.33</v>
      </c>
      <c r="F42" s="8" t="n">
        <v>1372.33</v>
      </c>
    </row>
    <row r="43" ht="15" customHeight="1">
      <c r="A43" s="6" t="inlineStr">
        <is>
          <t>Structural Framing</t>
        </is>
      </c>
      <c r="B43" s="8" t="n">
        <v>36121.06</v>
      </c>
      <c r="F43" s="8" t="n">
        <v>36121.06</v>
      </c>
    </row>
    <row r="44" ht="15" customHeight="1">
      <c r="A44" s="6" t="inlineStr">
        <is>
          <t>Stairs / Balconies</t>
        </is>
      </c>
      <c r="B44" s="8" t="n">
        <v>8546.32</v>
      </c>
      <c r="F44" s="8" t="n">
        <v>8546.32</v>
      </c>
    </row>
    <row r="45" ht="15" customHeight="1">
      <c r="A45" s="6" t="inlineStr">
        <is>
          <t>Bathroom Accessories</t>
        </is>
      </c>
      <c r="B45" s="8" t="n">
        <v>7694.19</v>
      </c>
      <c r="F45" s="8" t="n">
        <v>7694.19</v>
      </c>
    </row>
    <row r="46" ht="15" customHeight="1">
      <c r="A46" s="6" t="inlineStr">
        <is>
          <t>Cabinets / Millwork - Restrooms</t>
        </is>
      </c>
      <c r="B46" s="8" t="n">
        <v>5505.87</v>
      </c>
      <c r="F46" s="8" t="n">
        <v>5505.87</v>
      </c>
    </row>
    <row r="47" ht="15" customHeight="1"/>
    <row r="48" ht="15" customHeight="1">
      <c r="A48" s="9" t="inlineStr">
        <is>
          <t>Total Building Cost</t>
        </is>
      </c>
      <c r="B48" s="10" t="n">
        <v>397500.19</v>
      </c>
      <c r="C48" s="10" t="n">
        <v>99278.21000000001</v>
      </c>
      <c r="F48" s="10" t="n">
        <v>298221.98</v>
      </c>
    </row>
    <row r="49" ht="15" customHeight="1">
      <c r="A49" s="3" t="inlineStr">
        <is>
          <t>% of Building Cost</t>
        </is>
      </c>
      <c r="C49" s="26" t="n">
        <v>0.25</v>
      </c>
      <c r="F49" s="26" t="n">
        <v>0.75</v>
      </c>
    </row>
    <row r="50" ht="15" customHeight="1">
      <c r="A50" s="27" t="inlineStr">
        <is>
          <t>TOTALS</t>
        </is>
      </c>
      <c r="B50" s="13">
        <f>SUM(B16:B47)</f>
        <v/>
      </c>
      <c r="C50" s="13">
        <f>SUM(C16:C47)</f>
        <v/>
      </c>
      <c r="E50" s="27" t="inlineStr">
        <is>
          <t>TOTALS</t>
        </is>
      </c>
      <c r="F50" s="13">
        <f>SUM(F16:F47)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 t="n">
        <v>397500.19</v>
      </c>
      <c r="C55" s="20" t="n">
        <v>109778.53</v>
      </c>
      <c r="F55" s="20" t="n">
        <v>287721.66</v>
      </c>
    </row>
    <row r="56" ht="15" customHeight="1">
      <c r="A56" s="27" t="inlineStr">
        <is>
          <t>TOTALS</t>
        </is>
      </c>
      <c r="B56" s="13">
        <f>SUM(B52:B54)</f>
        <v/>
      </c>
      <c r="C56" s="13">
        <f>SUM(C52:C54)</f>
        <v/>
      </c>
      <c r="E56" s="27" t="inlineStr">
        <is>
          <t>TOTALS</t>
        </is>
      </c>
      <c r="F56" s="13">
        <f>SUM(F52:F54)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 t="n">
        <v>397500.19</v>
      </c>
      <c r="C66" s="10" t="n">
        <v>94823.8</v>
      </c>
      <c r="D66" s="10" t="n">
        <v>120046.87</v>
      </c>
      <c r="E66" s="10" t="n">
        <v>11006.44</v>
      </c>
      <c r="F66" s="10" t="n">
        <v>131053.31</v>
      </c>
      <c r="G66" s="10" t="n">
        <v>266446.88</v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 t="n">
        <v>397500.19</v>
      </c>
      <c r="C76" s="20" t="n">
        <v>109778.53</v>
      </c>
      <c r="D76" s="20" t="n">
        <v>133755.32</v>
      </c>
      <c r="E76" s="20" t="n">
        <v>10462.6</v>
      </c>
      <c r="F76" s="20" t="n">
        <v>144217.92</v>
      </c>
      <c r="G76" s="20" t="n">
        <v>253282.27</v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 t="n">
        <v>-13164.61</v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Office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Office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2291.97</v>
      </c>
      <c r="C16" s="8" t="n">
        <v>2291.97</v>
      </c>
    </row>
    <row r="17" ht="15" customHeight="1">
      <c r="A17" s="6" t="inlineStr">
        <is>
          <t>Moldings</t>
        </is>
      </c>
      <c r="B17" s="8" t="n">
        <v>2430.16</v>
      </c>
      <c r="C17" s="8" t="n">
        <v>2430.16</v>
      </c>
    </row>
    <row r="18" ht="15" customHeight="1">
      <c r="A18" s="6" t="inlineStr">
        <is>
          <t>Flooring - Carpet</t>
        </is>
      </c>
      <c r="B18" s="8" t="n">
        <v>2419.4</v>
      </c>
      <c r="C18" s="8" t="n">
        <v>2419.4</v>
      </c>
    </row>
    <row r="19" ht="15" customHeight="1">
      <c r="A19" s="6" t="inlineStr">
        <is>
          <t>Flooring - Vinyl Plank</t>
        </is>
      </c>
      <c r="B19" s="8" t="n">
        <v>555.89</v>
      </c>
      <c r="C19" s="8" t="n">
        <v>555.89</v>
      </c>
    </row>
    <row r="20" ht="15" customHeight="1">
      <c r="A20" s="6" t="inlineStr">
        <is>
          <t>Security System</t>
        </is>
      </c>
      <c r="B20" s="8" t="n">
        <v>599.12</v>
      </c>
      <c r="C20" s="8" t="n">
        <v>599.12</v>
      </c>
    </row>
    <row r="21" ht="15" customHeight="1">
      <c r="A21" s="6" t="inlineStr">
        <is>
          <t>Window Treatments</t>
        </is>
      </c>
      <c r="B21" s="8" t="n">
        <v>1112.48</v>
      </c>
      <c r="C21" s="8" t="n">
        <v>1112.48</v>
      </c>
    </row>
    <row r="22" ht="15" customHeight="1">
      <c r="A22" s="6" t="inlineStr">
        <is>
          <t>Specialty HVAC - Dryer Vents</t>
        </is>
      </c>
      <c r="B22" s="8" t="n">
        <v>269.36</v>
      </c>
      <c r="C22" s="8" t="n">
        <v>269.36</v>
      </c>
    </row>
    <row r="23" ht="15" customHeight="1">
      <c r="A23" s="6" t="inlineStr">
        <is>
          <t>Building Signage</t>
        </is>
      </c>
      <c r="B23" s="8" t="n">
        <v>92.20999999999999</v>
      </c>
      <c r="C23" s="8" t="n">
        <v>92.20999999999999</v>
      </c>
    </row>
    <row r="24" ht="15" customHeight="1">
      <c r="A24" s="6" t="inlineStr">
        <is>
          <t>Specialty Electrical - Appliances</t>
        </is>
      </c>
      <c r="B24" s="8" t="n">
        <v>1299.33</v>
      </c>
      <c r="C24" s="8" t="n">
        <v>1299.33</v>
      </c>
    </row>
    <row r="25" ht="15" customHeight="1">
      <c r="A25" s="6" t="inlineStr">
        <is>
          <t>Communication / Data</t>
        </is>
      </c>
      <c r="B25" s="8" t="n">
        <v>3490.05</v>
      </c>
      <c r="C25" s="8" t="n">
        <v>3490.05</v>
      </c>
    </row>
    <row r="26" ht="15" customHeight="1">
      <c r="A26" s="6" t="inlineStr">
        <is>
          <t>Specialty Plumbing - Kitchen Sink / Laundry</t>
        </is>
      </c>
      <c r="B26" s="8" t="n">
        <v>3357.95</v>
      </c>
      <c r="C26" s="8" t="n">
        <v>3357.95</v>
      </c>
    </row>
    <row r="27" ht="15" customHeight="1">
      <c r="A27" s="6" t="inlineStr">
        <is>
          <t>Security / Exterior Lighting</t>
        </is>
      </c>
      <c r="B27" s="8" t="n">
        <v>554.78</v>
      </c>
      <c r="C27" s="8" t="n">
        <v>554.78</v>
      </c>
    </row>
    <row r="28" ht="15" customHeight="1">
      <c r="A28" s="6" t="inlineStr">
        <is>
          <t>Canopies / Awnings</t>
        </is>
      </c>
      <c r="B28" s="8" t="n">
        <v>2385.48</v>
      </c>
      <c r="C28" s="8" t="n">
        <v>2385.48</v>
      </c>
    </row>
    <row r="29" ht="15" customHeight="1">
      <c r="A29" s="6" t="inlineStr">
        <is>
          <t>Appliances</t>
        </is>
      </c>
      <c r="B29" s="8" t="n">
        <v>3435.67</v>
      </c>
      <c r="C29" s="8" t="n">
        <v>3435.67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14287.74</v>
      </c>
      <c r="F31" s="8" t="n">
        <v>14287.74</v>
      </c>
    </row>
    <row r="32" ht="15" customHeight="1">
      <c r="A32" s="6" t="inlineStr">
        <is>
          <t>HVAC</t>
        </is>
      </c>
      <c r="B32" s="8" t="n">
        <v>9649.9</v>
      </c>
      <c r="F32" s="8" t="n">
        <v>9649.9</v>
      </c>
    </row>
    <row r="33" ht="15" customHeight="1">
      <c r="A33" s="6" t="inlineStr">
        <is>
          <t>Electrical</t>
        </is>
      </c>
      <c r="B33" s="8" t="n">
        <v>10065.83</v>
      </c>
      <c r="F33" s="8" t="n">
        <v>10065.83</v>
      </c>
    </row>
    <row r="34" ht="15" customHeight="1">
      <c r="A34" s="6" t="inlineStr">
        <is>
          <t>Plumbing</t>
        </is>
      </c>
      <c r="B34" s="8" t="n">
        <v>5264.8</v>
      </c>
      <c r="F34" s="8" t="n">
        <v>5264.8</v>
      </c>
    </row>
    <row r="35" ht="15" customHeight="1">
      <c r="A35" s="6" t="inlineStr">
        <is>
          <t>Fire Protection &amp; Alarm</t>
        </is>
      </c>
      <c r="B35" s="8" t="n">
        <v>12711.3</v>
      </c>
      <c r="F35" s="8" t="n">
        <v>12711.3</v>
      </c>
    </row>
    <row r="36" ht="15" customHeight="1">
      <c r="A36" s="6" t="inlineStr">
        <is>
          <t>Exterior Façade / Building Skin</t>
        </is>
      </c>
      <c r="B36" s="8" t="n">
        <v>5317.82</v>
      </c>
      <c r="F36" s="8" t="n">
        <v>5317.82</v>
      </c>
    </row>
    <row r="37" ht="15" customHeight="1">
      <c r="A37" s="6" t="inlineStr">
        <is>
          <t>Doors &amp; Frames</t>
        </is>
      </c>
      <c r="B37" s="8" t="n">
        <v>6989.18</v>
      </c>
      <c r="F37" s="8" t="n">
        <v>6989.18</v>
      </c>
    </row>
    <row r="38" ht="15" customHeight="1">
      <c r="A38" s="6" t="inlineStr">
        <is>
          <t>Windows</t>
        </is>
      </c>
      <c r="B38" s="8" t="n">
        <v>4903.35</v>
      </c>
      <c r="F38" s="8" t="n">
        <v>4903.35</v>
      </c>
    </row>
    <row r="39" ht="15" customHeight="1">
      <c r="A39" s="6" t="inlineStr">
        <is>
          <t>Ceiling Systems</t>
        </is>
      </c>
      <c r="B39" s="8" t="n">
        <v>4624.69</v>
      </c>
      <c r="F39" s="8" t="n">
        <v>4624.69</v>
      </c>
    </row>
    <row r="40" ht="15" customHeight="1">
      <c r="A40" s="6" t="inlineStr">
        <is>
          <t>Interior Framing / Partitions</t>
        </is>
      </c>
      <c r="B40" s="8" t="n">
        <v>14835.75</v>
      </c>
      <c r="F40" s="8" t="n">
        <v>14835.75</v>
      </c>
    </row>
    <row r="41" ht="15" customHeight="1">
      <c r="A41" s="6" t="inlineStr">
        <is>
          <t>Painting</t>
        </is>
      </c>
      <c r="B41" s="8" t="n">
        <v>5494.23</v>
      </c>
      <c r="F41" s="8" t="n">
        <v>5494.23</v>
      </c>
    </row>
    <row r="42" ht="15" customHeight="1">
      <c r="A42" s="6" t="inlineStr">
        <is>
          <t>Gutter Systems</t>
        </is>
      </c>
      <c r="B42" s="8" t="n">
        <v>966.23</v>
      </c>
      <c r="F42" s="8" t="n">
        <v>966.23</v>
      </c>
    </row>
    <row r="43" ht="15" customHeight="1">
      <c r="A43" s="6" t="inlineStr">
        <is>
          <t>Emergency Lighting</t>
        </is>
      </c>
      <c r="B43" s="8" t="n">
        <v>569.85</v>
      </c>
      <c r="F43" s="8" t="n">
        <v>569.85</v>
      </c>
    </row>
    <row r="44" ht="15" customHeight="1">
      <c r="A44" s="6" t="inlineStr">
        <is>
          <t>Structural Framing</t>
        </is>
      </c>
      <c r="B44" s="8" t="n">
        <v>27454.27</v>
      </c>
      <c r="F44" s="8" t="n">
        <v>27454.27</v>
      </c>
    </row>
    <row r="45" ht="15" customHeight="1">
      <c r="A45" s="6" t="inlineStr">
        <is>
          <t>Bathroom Accessories</t>
        </is>
      </c>
      <c r="B45" s="8" t="n">
        <v>3061.44</v>
      </c>
      <c r="F45" s="8" t="n">
        <v>3061.44</v>
      </c>
    </row>
    <row r="46" ht="15" customHeight="1">
      <c r="A46" s="6" t="inlineStr">
        <is>
          <t>Ceramic Tile Flooring</t>
        </is>
      </c>
      <c r="B46" s="8" t="n">
        <v>6574.58</v>
      </c>
      <c r="F46" s="8" t="n">
        <v>6574.58</v>
      </c>
    </row>
    <row r="47" ht="15" customHeight="1">
      <c r="A47" s="6" t="inlineStr">
        <is>
          <t>Cabinets / Millwork - Restrooms</t>
        </is>
      </c>
      <c r="B47" s="8" t="n">
        <v>134.1</v>
      </c>
      <c r="F47" s="8" t="n">
        <v>134.1</v>
      </c>
    </row>
    <row r="48" ht="15" customHeight="1"/>
    <row r="49" ht="15" customHeight="1">
      <c r="A49" s="9" t="inlineStr">
        <is>
          <t>Total Building Cost</t>
        </is>
      </c>
      <c r="B49" s="10" t="n">
        <v>157198.91</v>
      </c>
      <c r="C49" s="10" t="n">
        <v>24293.85</v>
      </c>
      <c r="F49" s="10" t="n">
        <v>132905.06</v>
      </c>
    </row>
    <row r="50" ht="15" customHeight="1">
      <c r="A50" s="3" t="inlineStr">
        <is>
          <t>% of Building Cost</t>
        </is>
      </c>
      <c r="C50" s="26" t="n">
        <v>0.155</v>
      </c>
      <c r="F50" s="26" t="n">
        <v>0.845</v>
      </c>
    </row>
    <row r="51" ht="15" customHeight="1">
      <c r="A51" s="27" t="inlineStr">
        <is>
          <t>TOTALS</t>
        </is>
      </c>
      <c r="B51" s="13">
        <f>SUM(B16:B48)</f>
        <v/>
      </c>
      <c r="C51" s="13">
        <f>SUM(C16:C48)</f>
        <v/>
      </c>
      <c r="E51" s="27" t="inlineStr">
        <is>
          <t>TOTALS</t>
        </is>
      </c>
      <c r="F51" s="13">
        <f>SUM(F16:F48)</f>
        <v/>
      </c>
    </row>
    <row r="52" ht="15" customHeight="1">
      <c r="A52" s="24" t="inlineStr">
        <is>
          <t>Asset Allocation:</t>
        </is>
      </c>
    </row>
    <row r="53" ht="15" customHeight="1">
      <c r="A53" s="6" t="inlineStr">
        <is>
          <t>Asset #2 Building</t>
        </is>
      </c>
      <c r="B53" s="8" t="n">
        <v>119699.06</v>
      </c>
      <c r="C53" s="8" t="n">
        <v>18498.54</v>
      </c>
      <c r="F53" s="8" t="n">
        <v>101200.52</v>
      </c>
    </row>
    <row r="54" ht="15" customHeight="1">
      <c r="A54" s="6" t="inlineStr">
        <is>
          <t>Asset #3 Land Improvements</t>
        </is>
      </c>
      <c r="B54" s="8" t="n">
        <v>13043.42</v>
      </c>
      <c r="C54" s="8" t="n">
        <v>2015.76</v>
      </c>
      <c r="F54" s="8" t="n">
        <v>11027.66</v>
      </c>
    </row>
    <row r="55" ht="15" customHeight="1">
      <c r="A55" s="6" t="inlineStr">
        <is>
          <t>Asset #4 Equipment</t>
        </is>
      </c>
      <c r="B55" s="8" t="n">
        <v>24456.43</v>
      </c>
      <c r="C55" s="8" t="n">
        <v>3779.55</v>
      </c>
      <c r="F55" s="8" t="n">
        <v>20676.88</v>
      </c>
    </row>
    <row r="56" ht="15" customHeight="1">
      <c r="A56" s="18" t="inlineStr">
        <is>
          <t>Total Allocation:</t>
        </is>
      </c>
      <c r="B56" s="20" t="n">
        <v>157198.91</v>
      </c>
      <c r="C56" s="20" t="n">
        <v>24293.85</v>
      </c>
      <c r="F56" s="20" t="n">
        <v>132905.06</v>
      </c>
    </row>
    <row r="57" ht="15" customHeight="1">
      <c r="A57" s="27" t="inlineStr">
        <is>
          <t>TOTALS</t>
        </is>
      </c>
      <c r="B57" s="13">
        <f>SUM(B53:B55)</f>
        <v/>
      </c>
      <c r="C57" s="13">
        <f>SUM(C53:C55)</f>
        <v/>
      </c>
      <c r="E57" s="27" t="inlineStr">
        <is>
          <t>TOTALS</t>
        </is>
      </c>
      <c r="F57" s="13">
        <f>SUM(F53:F55)</f>
        <v/>
      </c>
    </row>
    <row r="58" ht="15" customHeight="1"/>
    <row r="59" ht="15" customHeight="1"/>
    <row r="60" ht="15" customHeight="1"/>
    <row r="61" ht="15" customHeight="1">
      <c r="A61" s="16" t="inlineStr">
        <is>
          <t>End Depreciation Reconciliation</t>
        </is>
      </c>
    </row>
    <row r="62" ht="15" customHeight="1">
      <c r="A62" s="9" t="inlineStr">
        <is>
          <t>Before Cost Segregation (As Previously Filed)</t>
        </is>
      </c>
    </row>
    <row r="63" ht="15" customHeight="1">
      <c r="A63" s="12" t="inlineStr">
        <is>
          <t>Property Description</t>
        </is>
      </c>
      <c r="B63" s="12" t="inlineStr">
        <is>
          <t>Tax Cost</t>
        </is>
      </c>
      <c r="C63" s="12" t="inlineStr">
        <is>
          <t>Tax Bonus Amt</t>
        </is>
      </c>
      <c r="D63" s="12" t="inlineStr">
        <is>
          <t>Tax Prior Depr</t>
        </is>
      </c>
      <c r="E63" s="12" t="inlineStr">
        <is>
          <t>Tax Current Depr</t>
        </is>
      </c>
      <c r="F63" s="12" t="inlineStr">
        <is>
          <t>Tax End Depr</t>
        </is>
      </c>
      <c r="G63" s="12" t="inlineStr">
        <is>
          <t>Tax Net Book Value</t>
        </is>
      </c>
      <c r="H63" s="12" t="inlineStr">
        <is>
          <t>Tax Method</t>
        </is>
      </c>
      <c r="I63" s="12" t="inlineStr">
        <is>
          <t>Tax Period</t>
        </is>
      </c>
    </row>
    <row r="64" ht="15" customHeight="1">
      <c r="A64" s="6" t="inlineStr">
        <is>
          <t>2-Building</t>
        </is>
      </c>
      <c r="B64" s="8" t="n">
        <v>119699.06</v>
      </c>
      <c r="C64" s="8" t="n">
        <v>0</v>
      </c>
      <c r="D64" s="8" t="n">
        <v>0</v>
      </c>
      <c r="E64" s="8" t="n">
        <v>9974.940000000001</v>
      </c>
      <c r="F64" s="8" t="n">
        <v>9974.940000000001</v>
      </c>
      <c r="G64" s="8" t="n">
        <v>14327.64</v>
      </c>
      <c r="H64" s="5" t="inlineStr">
        <is>
          <t>S/L</t>
        </is>
      </c>
      <c r="I64" s="28" t="n">
        <v>27.5</v>
      </c>
    </row>
    <row r="65" ht="15" customHeight="1">
      <c r="A65" s="6" t="inlineStr">
        <is>
          <t>3-Land Improvements</t>
        </is>
      </c>
      <c r="B65" s="8" t="n">
        <v>13043.42</v>
      </c>
      <c r="C65" s="8" t="n">
        <v>0</v>
      </c>
      <c r="D65" s="8" t="n">
        <v>13043.42</v>
      </c>
      <c r="E65" s="8" t="n">
        <v>13043.42</v>
      </c>
      <c r="F65" s="8" t="n">
        <v>13043.42</v>
      </c>
      <c r="G65" s="8" t="n">
        <v>0</v>
      </c>
      <c r="H65" s="5" t="inlineStr">
        <is>
          <t>150DB</t>
        </is>
      </c>
      <c r="I65" s="28" t="n">
        <v>15</v>
      </c>
    </row>
    <row r="66" ht="15" customHeight="1">
      <c r="A66" s="6" t="inlineStr">
        <is>
          <t>4-Equipment</t>
        </is>
      </c>
      <c r="B66" s="8" t="n">
        <v>24456.43</v>
      </c>
      <c r="C66" s="8" t="n">
        <v>0</v>
      </c>
      <c r="D66" s="8" t="n">
        <v>24456.43</v>
      </c>
      <c r="E66" s="8" t="n">
        <v>24456.43</v>
      </c>
      <c r="F66" s="8" t="n">
        <v>24456.43</v>
      </c>
      <c r="G66" s="8" t="n">
        <v>0</v>
      </c>
      <c r="H66" s="5" t="inlineStr">
        <is>
          <t>200DB</t>
        </is>
      </c>
      <c r="I66" s="28" t="n">
        <v>5</v>
      </c>
    </row>
    <row r="67" ht="15" customHeight="1">
      <c r="A67" s="9" t="inlineStr">
        <is>
          <t>Grand Total</t>
        </is>
      </c>
      <c r="B67" s="10" t="n">
        <v>157198.91</v>
      </c>
      <c r="C67" s="10" t="n">
        <v>37499.85</v>
      </c>
      <c r="D67" s="10" t="n">
        <v>47474.79</v>
      </c>
      <c r="E67" s="10" t="n">
        <v>4352.7</v>
      </c>
      <c r="F67" s="10" t="n">
        <v>51827.49</v>
      </c>
      <c r="G67" s="10" t="n">
        <v>105371.42</v>
      </c>
    </row>
    <row r="68" ht="15" customHeight="1"/>
    <row r="69" ht="15" customHeight="1">
      <c r="A69" s="18" t="inlineStr">
        <is>
          <t>After Cost Segregation Correction</t>
        </is>
      </c>
    </row>
    <row r="70" ht="15" customHeight="1">
      <c r="A70" s="12" t="inlineStr">
        <is>
          <t>Property Description</t>
        </is>
      </c>
      <c r="B70" s="12" t="inlineStr">
        <is>
          <t>Tax Cost</t>
        </is>
      </c>
      <c r="C70" s="12" t="inlineStr">
        <is>
          <t>Tax Bonus Amt</t>
        </is>
      </c>
      <c r="D70" s="12" t="inlineStr">
        <is>
          <t>Tax Prior Depr</t>
        </is>
      </c>
      <c r="E70" s="12" t="inlineStr">
        <is>
          <t>Tax Current Depr</t>
        </is>
      </c>
      <c r="F70" s="12" t="inlineStr">
        <is>
          <t>Tax End Depr</t>
        </is>
      </c>
      <c r="G70" s="12" t="inlineStr">
        <is>
          <t>Tax Net Book Value</t>
        </is>
      </c>
      <c r="H70" s="12" t="inlineStr">
        <is>
          <t>Tax Method</t>
        </is>
      </c>
      <c r="I70" s="12" t="inlineStr">
        <is>
          <t>Tax Period</t>
        </is>
      </c>
    </row>
    <row r="71" ht="15" customHeight="1">
      <c r="A71" s="6" t="inlineStr">
        <is>
          <t>2-Building-5yr</t>
        </is>
      </c>
      <c r="B71" s="8" t="n">
        <v>18498.54</v>
      </c>
      <c r="C71" s="8" t="n">
        <v>0</v>
      </c>
      <c r="D71" s="8" t="n">
        <v>18498.54</v>
      </c>
      <c r="E71" s="8" t="n">
        <v>18498.54</v>
      </c>
      <c r="F71" s="8" t="n">
        <v>0</v>
      </c>
      <c r="G71" s="8" t="n">
        <v>18498.54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2-Building-27.5yr</t>
        </is>
      </c>
      <c r="B72" s="8" t="n">
        <v>101200.52</v>
      </c>
      <c r="C72" s="8" t="n">
        <v>0</v>
      </c>
      <c r="D72" s="8" t="n">
        <v>0</v>
      </c>
      <c r="E72" s="8" t="n">
        <v>8433.379999999999</v>
      </c>
      <c r="F72" s="8" t="n">
        <v>3680.02</v>
      </c>
      <c r="G72" s="8" t="n">
        <v>12113.4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3-Land Improvements-5yr</t>
        </is>
      </c>
      <c r="B73" s="8" t="n">
        <v>2015.76</v>
      </c>
      <c r="C73" s="8" t="n">
        <v>0</v>
      </c>
      <c r="D73" s="8" t="n">
        <v>2015.76</v>
      </c>
      <c r="E73" s="8" t="n">
        <v>2015.76</v>
      </c>
      <c r="F73" s="8" t="n">
        <v>0</v>
      </c>
      <c r="G73" s="8" t="n">
        <v>2015.76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3-Land Improvements-27.5yr</t>
        </is>
      </c>
      <c r="B74" s="8" t="n">
        <v>11027.66</v>
      </c>
      <c r="C74" s="8" t="n">
        <v>0</v>
      </c>
      <c r="D74" s="8" t="n">
        <v>0</v>
      </c>
      <c r="E74" s="8" t="n">
        <v>918.98</v>
      </c>
      <c r="F74" s="8" t="n">
        <v>401.01</v>
      </c>
      <c r="G74" s="8" t="n">
        <v>1319.99</v>
      </c>
      <c r="H74" s="5" t="inlineStr">
        <is>
          <t>S/L</t>
        </is>
      </c>
      <c r="I74" s="28" t="n">
        <v>27.5</v>
      </c>
    </row>
    <row r="75" ht="15" customHeight="1">
      <c r="A75" s="6" t="inlineStr">
        <is>
          <t>4-Equipment-5yr</t>
        </is>
      </c>
      <c r="B75" s="8" t="n">
        <v>3779.55</v>
      </c>
      <c r="C75" s="8" t="n">
        <v>0</v>
      </c>
      <c r="D75" s="8" t="n">
        <v>3779.55</v>
      </c>
      <c r="E75" s="8" t="n">
        <v>3779.55</v>
      </c>
      <c r="F75" s="8" t="n">
        <v>0</v>
      </c>
      <c r="G75" s="8" t="n">
        <v>3779.55</v>
      </c>
      <c r="H75" s="5" t="inlineStr">
        <is>
          <t>200DB</t>
        </is>
      </c>
      <c r="I75" s="28" t="n">
        <v>5</v>
      </c>
    </row>
    <row r="76" ht="15" customHeight="1">
      <c r="A76" s="6" t="inlineStr">
        <is>
          <t>4-Equipment-27.5yr</t>
        </is>
      </c>
      <c r="B76" s="8" t="n">
        <v>20676.88</v>
      </c>
      <c r="C76" s="8" t="n">
        <v>0</v>
      </c>
      <c r="D76" s="8" t="n">
        <v>0</v>
      </c>
      <c r="E76" s="8" t="n">
        <v>1723.08</v>
      </c>
      <c r="F76" s="8" t="n">
        <v>751.89</v>
      </c>
      <c r="G76" s="8" t="n">
        <v>2474.97</v>
      </c>
      <c r="H76" s="5" t="inlineStr">
        <is>
          <t>S/L</t>
        </is>
      </c>
      <c r="I76" s="28" t="n">
        <v>27.5</v>
      </c>
    </row>
    <row r="77" ht="15" customHeight="1">
      <c r="A77" s="18" t="inlineStr">
        <is>
          <t>Grand Total</t>
        </is>
      </c>
      <c r="B77" s="20" t="n">
        <v>157198.91</v>
      </c>
      <c r="C77" s="20" t="n">
        <v>24293.85</v>
      </c>
      <c r="D77" s="20" t="n">
        <v>35369.29</v>
      </c>
      <c r="E77" s="20" t="n">
        <v>4832.92</v>
      </c>
      <c r="F77" s="20" t="n">
        <v>40202.21</v>
      </c>
      <c r="G77" s="20" t="n">
        <v>116996.7</v>
      </c>
    </row>
    <row r="78" ht="15" customHeight="1"/>
    <row r="79" ht="15" customHeight="1">
      <c r="A79" s="16" t="inlineStr">
        <is>
          <t>Section 481(a) Adjustment</t>
        </is>
      </c>
    </row>
    <row r="80" ht="15" customHeight="1">
      <c r="A80" s="25" t="inlineStr">
        <is>
          <t>Depreciation Reported Previously</t>
        </is>
      </c>
      <c r="B80" s="29" t="n">
        <v>51827.49</v>
      </c>
    </row>
    <row r="81" ht="15" customHeight="1">
      <c r="A81" s="25" t="inlineStr">
        <is>
          <t>Cost Segregation Corrected Depreciation</t>
        </is>
      </c>
      <c r="B81" s="29" t="n">
        <v>40202.21</v>
      </c>
    </row>
    <row r="82" ht="15" customHeight="1">
      <c r="A82" s="21" t="inlineStr">
        <is>
          <t>Section 481(a) Adjustment</t>
        </is>
      </c>
      <c r="B82" s="23" t="n">
        <v>11625.28</v>
      </c>
    </row>
    <row r="83" ht="15" customHeight="1"/>
    <row r="84" ht="15" customHeight="1"/>
    <row r="85" ht="15" customHeight="1"/>
    <row r="86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2026-07-07T17:54:35Z</dcterms:created>
  <dcterms:modified xmlns:dcterms="http://purl.org/dc/terms/" xmlns:xsi="http://www.w3.org/2001/XMLSchema-instance" xsi:type="dcterms:W3CDTF">2026-07-07T17:54:35Z</dcterms:modified>
</cp:coreProperties>
</file>