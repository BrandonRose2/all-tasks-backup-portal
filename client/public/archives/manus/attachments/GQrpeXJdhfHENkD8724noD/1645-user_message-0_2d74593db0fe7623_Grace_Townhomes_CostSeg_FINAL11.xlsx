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randonrose/Desktop/Cost Segregation Project/MISC/"/>
    </mc:Choice>
  </mc:AlternateContent>
  <xr:revisionPtr revIDLastSave="0" documentId="13_ncr:1_{24279D6C-3959-114D-BD78-E28EB0CDF601}" xr6:coauthVersionLast="47" xr6:coauthVersionMax="47" xr10:uidLastSave="{00000000-0000-0000-0000-000000000000}"/>
  <bookViews>
    <workbookView xWindow="0" yWindow="580" windowWidth="29920" windowHeight="17860" xr2:uid="{00000000-000D-0000-FFFF-FFFF00000000}"/>
  </bookViews>
  <sheets>
    <sheet name="summary" sheetId="1" r:id="rId1"/>
    <sheet name="site" sheetId="2" r:id="rId2"/>
    <sheet name="clubhouse" sheetId="3" r:id="rId3"/>
    <sheet name="bldg 1" sheetId="4" r:id="rId4"/>
    <sheet name="bldg 2" sheetId="5" r:id="rId5"/>
    <sheet name="bldg 3" sheetId="6" r:id="rId6"/>
    <sheet name="bldg 4" sheetId="7" r:id="rId7"/>
    <sheet name="bldg 5" sheetId="8" r:id="rId8"/>
    <sheet name="bldg 6" sheetId="9" r:id="rId9"/>
    <sheet name="bldg 7" sheetId="10" r:id="rId10"/>
    <sheet name="bldg 8" sheetId="11" r:id="rId11"/>
    <sheet name="bldg 9" sheetId="12" r:id="rId12"/>
    <sheet name="bldg 10" sheetId="13" r:id="rId13"/>
    <sheet name="bldg 11" sheetId="14" r:id="rId14"/>
    <sheet name="bldg 12" sheetId="15" r:id="rId15"/>
    <sheet name="bldg 13" sheetId="16" r:id="rId16"/>
    <sheet name="bldg 14" sheetId="17" r:id="rId17"/>
    <sheet name="bldg 15" sheetId="18" r:id="rId18"/>
    <sheet name="bldg 16" sheetId="19" r:id="rId19"/>
    <sheet name="bldg 17" sheetId="20" r:id="rId20"/>
    <sheet name="bldg 18" sheetId="21" r:id="rId21"/>
    <sheet name="bldg 19" sheetId="22" r:id="rId22"/>
    <sheet name="bldg 20" sheetId="23" r:id="rId23"/>
    <sheet name="bldg 21" sheetId="24" r:id="rId24"/>
    <sheet name="bldg 22" sheetId="25" r:id="rId25"/>
    <sheet name="bldg 23" sheetId="26" r:id="rId26"/>
    <sheet name="bldg 24" sheetId="27" r:id="rId27"/>
    <sheet name="bldg 25" sheetId="28" r:id="rId28"/>
    <sheet name="storage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L35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F32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F54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F53" i="1"/>
  <c r="AI52" i="1"/>
  <c r="AI51" i="1"/>
  <c r="AI38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33" i="1" s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K35" i="1" s="1"/>
  <c r="J16" i="1"/>
  <c r="J35" i="1" s="1"/>
  <c r="I16" i="1"/>
  <c r="I35" i="1" s="1"/>
  <c r="H16" i="1"/>
  <c r="H35" i="1" s="1"/>
  <c r="G16" i="1"/>
  <c r="G35" i="1" s="1"/>
  <c r="F16" i="1"/>
  <c r="F35" i="1" s="1"/>
  <c r="BN14" i="1"/>
  <c r="AI14" i="1"/>
  <c r="BN13" i="1"/>
  <c r="BN16" i="1" s="1"/>
  <c r="AI13" i="1"/>
  <c r="BN12" i="1"/>
  <c r="AI12" i="1"/>
  <c r="BN11" i="1"/>
  <c r="AI11" i="1"/>
  <c r="AI16" i="1" s="1"/>
  <c r="AI35" i="1" l="1"/>
</calcChain>
</file>

<file path=xl/sharedStrings.xml><?xml version="1.0" encoding="utf-8"?>
<sst xmlns="http://schemas.openxmlformats.org/spreadsheetml/2006/main" count="1649" uniqueCount="164">
  <si>
    <t>Grace Townhomes Housing,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</si>
  <si>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</si>
  <si>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</si>
  <si>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</si>
  <si>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</si>
  <si>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</si>
  <si>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</si>
  <si>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site</t>
  </si>
  <si>
    <t>clubhouse</t>
  </si>
  <si>
    <t>bldg 1</t>
  </si>
  <si>
    <t>bldg 2</t>
  </si>
  <si>
    <t>bldg 3</t>
  </si>
  <si>
    <t>bldg 4</t>
  </si>
  <si>
    <t>bldg 5</t>
  </si>
  <si>
    <t>bldg 6</t>
  </si>
  <si>
    <t>bldg 7</t>
  </si>
  <si>
    <t>bldg 8</t>
  </si>
  <si>
    <t>bldg 9</t>
  </si>
  <si>
    <t>bldg 10</t>
  </si>
  <si>
    <t>bldg 11</t>
  </si>
  <si>
    <t>bldg 12</t>
  </si>
  <si>
    <t>bldg 13</t>
  </si>
  <si>
    <t>bldg 14</t>
  </si>
  <si>
    <t>bldg 15</t>
  </si>
  <si>
    <t>bldg 16</t>
  </si>
  <si>
    <t>bldg 17</t>
  </si>
  <si>
    <t>bldg 18</t>
  </si>
  <si>
    <t>bldg 19</t>
  </si>
  <si>
    <t>bldg 20</t>
  </si>
  <si>
    <t>bldg 21</t>
  </si>
  <si>
    <t>bldg 22</t>
  </si>
  <si>
    <t>bldg 23</t>
  </si>
  <si>
    <t>bldg 24</t>
  </si>
  <si>
    <t>bldg 25</t>
  </si>
  <si>
    <t>storage</t>
  </si>
  <si>
    <t>total cost</t>
  </si>
  <si>
    <t>total</t>
  </si>
  <si>
    <t>12/17/15</t>
  </si>
  <si>
    <t>1- Building - Grace Townhomes</t>
  </si>
  <si>
    <t>5- Building - Grace Townhomes</t>
  </si>
  <si>
    <t>3- Land Improvements - Grace Townhomes</t>
  </si>
  <si>
    <t>4- Equipment - Grace Townhomes</t>
  </si>
  <si>
    <t>MACRS Reclassification</t>
  </si>
  <si>
    <t>1 - Building - Grace Townhomes - 5yr</t>
  </si>
  <si>
    <t>1 - Building - Grace Townhomes - Site - 15yr</t>
  </si>
  <si>
    <t>1 - Building - Grace Townhomes - 27.5yr</t>
  </si>
  <si>
    <t>5 - Building - Grace Townhomes - 5yr</t>
  </si>
  <si>
    <t>5 - Building - Grace Townhomes - Site - 15yr</t>
  </si>
  <si>
    <t>5 - Building - Grace Townhomes - 27.5yr</t>
  </si>
  <si>
    <t>3 - Land Improvements - Grace Townhomes - 5yr</t>
  </si>
  <si>
    <t>3 - Land Improvements - Grace Townhomes - Site - 15yr</t>
  </si>
  <si>
    <t>3 - Land Improvements - Grace Townhomes - 27.5yr</t>
  </si>
  <si>
    <t>4 - Equipment - Grace Townhomes - 5yr</t>
  </si>
  <si>
    <t>4 - Equipment - Grace Townhomes - Site - 15yr</t>
  </si>
  <si>
    <t>4 - Equipment - Grace Townhomes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</si>
  <si>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</si>
  <si>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</si>
  <si>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</si>
  <si>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</si>
  <si>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</si>
  <si>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</si>
  <si>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1212 Grace Cir, Ennis, TX 75119</t>
  </si>
  <si>
    <t>EIN: 47-5360069</t>
  </si>
  <si>
    <t>FYE: December 31, 2024</t>
  </si>
  <si>
    <t>Acquisition Date: 12/17/15</t>
  </si>
  <si>
    <t>Site</t>
  </si>
  <si>
    <t>Cost Segregation Study - Component Detail</t>
  </si>
  <si>
    <t>Property Category</t>
  </si>
  <si>
    <t>Cost</t>
  </si>
  <si>
    <t>5 Year</t>
  </si>
  <si>
    <t>7 Year</t>
  </si>
  <si>
    <t>15 Year</t>
  </si>
  <si>
    <t>27.5 Year</t>
  </si>
  <si>
    <t>15 year QIP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</si>
  <si>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</si>
  <si>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</si>
  <si>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</si>
  <si>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</si>
  <si>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</si>
  <si>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</si>
  <si>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</si>
  <si>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</si>
  <si>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</si>
  <si>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</si>
  <si>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Swimming Pool &amp; Spa</t>
  </si>
  <si>
    <t>Fire Hydrants</t>
  </si>
  <si>
    <t>Exterior Equipment Concrete Pads</t>
  </si>
  <si>
    <t>Playgrounds</t>
  </si>
  <si>
    <t>Site Utilities</t>
  </si>
  <si>
    <t>Total Site Cost</t>
  </si>
  <si>
    <t>% of Site Cost</t>
  </si>
  <si>
    <t>Asset Allocation:</t>
  </si>
  <si>
    <t>Asset #1 - Building</t>
  </si>
  <si>
    <t>Asset #5 - Building</t>
  </si>
  <si>
    <t>Asset #3 - Land Improvements</t>
  </si>
  <si>
    <t>Asset #4 - Equipment</t>
  </si>
  <si>
    <t>Total Allocation:</t>
  </si>
  <si>
    <t>Clubhouse</t>
  </si>
  <si>
    <t>Building Components</t>
  </si>
  <si>
    <t>Cabinets / Millwork</t>
  </si>
  <si>
    <t>Moldings</t>
  </si>
  <si>
    <t>Flooring - Vinyl Plank</t>
  </si>
  <si>
    <t>Security System</t>
  </si>
  <si>
    <t>Window Treatments</t>
  </si>
  <si>
    <t>Specialty Electrical - Appliances</t>
  </si>
  <si>
    <t>Communication / Data</t>
  </si>
  <si>
    <t>Specialty Plumbing - Kitchen Sink</t>
  </si>
  <si>
    <t>Security / Exterior Lighting</t>
  </si>
  <si>
    <t>Mailboxes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</si>
  <si>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</si>
  <si>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</si>
  <si>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</si>
  <si>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</si>
  <si>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</si>
  <si>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</si>
  <si>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</si>
  <si>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</si>
  <si>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</si>
  <si>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</si>
  <si>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</si>
  <si>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</si>
  <si>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</si>
  <si>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</si>
  <si>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Emergency Lighting</t>
  </si>
  <si>
    <t>Structural Framing</t>
  </si>
  <si>
    <t>Bathroom Accessories</t>
  </si>
  <si>
    <t>Ceramic Tile Flooring</t>
  </si>
  <si>
    <t>Total Building Cost</t>
  </si>
  <si>
    <t>% of Building Cost</t>
  </si>
  <si>
    <t>Building 1</t>
  </si>
  <si>
    <t>Specialty HVAC - Dryer Vents</t>
  </si>
  <si>
    <t>Building Signage</t>
  </si>
  <si>
    <t>Specialty Plumbing - Kitchen Sinks / Laundry</t>
  </si>
  <si>
    <t>Access Control</t>
  </si>
  <si>
    <t>Appliances</t>
  </si>
  <si>
    <t>Stairs / Balconies</t>
  </si>
  <si>
    <t>Cabinets / Millwork - Restrooms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</si>
  <si>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</si>
  <si>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</si>
  <si>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</si>
  <si>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</si>
  <si>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</si>
  <si>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</si>
  <si>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</si>
  <si>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</si>
  <si>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Building 10</t>
  </si>
  <si>
    <t>Building 11</t>
  </si>
  <si>
    <t>Building 12</t>
  </si>
  <si>
    <t>Asset #9 - Equipment</t>
  </si>
  <si>
    <t>Building 13</t>
  </si>
  <si>
    <t>Building 14</t>
  </si>
  <si>
    <t>Building 15</t>
  </si>
  <si>
    <t>Building 16</t>
  </si>
  <si>
    <t>Building 17</t>
  </si>
  <si>
    <t>Building 18</t>
  </si>
  <si>
    <t>Building 19</t>
  </si>
  <si>
    <t>Building 20</t>
  </si>
  <si>
    <t>Building 21</t>
  </si>
  <si>
    <t>Building 22</t>
  </si>
  <si>
    <t>Building 23</t>
  </si>
  <si>
    <t>Building 24</t>
  </si>
  <si>
    <t>Building 25</t>
  </si>
  <si>
    <t>Storage</t>
  </si>
  <si>
    <t>Flooring - Sealed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</si>
</sst>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  <xf numFmtId="4" fontId="3" fillId="0" borderId="0" xfId="0" applyNumberFormat="1" applyFont="1"/>
    <xf numFmtId="39" fontId="0" fillId="0" borderId="0" xfId="0" applyNumberFormat="1"/>
    <xf numFmtId="39" fontId="1" fillId="0" borderId="0" xfId="0" applyNumberFormat="1" applyFont="1"/>
    <xf numFmtId="40" fontId="0" fillId="4" borderId="0" xfId="0" applyNumberFormat="1" applyFill="1"/>
    <xf numFmtId="40" fontId="1" fillId="4" borderId="0" xfId="0" applyNumberFormat="1" applyFont="1" applyFill="1"/>
    <xf numFmtId="0" fontId="1" fillId="0" borderId="0" xfId="0" applyFont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1" fillId="7" borderId="0" xfId="0" applyFont="1" applyFill="1" applyAlignment="1">
      <alignment horizontal="left"/>
    </xf>
    <xf numFmtId="0" fontId="0" fillId="7" borderId="0" xfId="0" applyFill="1"/>
    <xf numFmtId="0" fontId="1" fillId="8" borderId="0" xfId="0" applyFont="1" applyFill="1" applyAlignment="1">
      <alignment horizontal="left"/>
    </xf>
    <xf numFmtId="0" fontId="0" fillId="8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5" fontId="0" fillId="0" borderId="0" xfId="0" applyNumberFormat="1"/>
    <xf numFmtId="165" fontId="0" fillId="6" borderId="0" xfId="0" applyNumberFormat="1" applyFill="1"/>
    <xf numFmtId="165" fontId="1" fillId="7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1" fillId="8" borderId="0" xfId="0" applyNumberFormat="1" applyFont="1" applyFill="1" applyAlignment="1">
      <alignment horizontal="left"/>
    </xf>
    <xf numFmtId="165" fontId="0" fillId="7" borderId="0" xfId="0" applyNumberFormat="1" applyFill="1"/>
    <xf numFmtId="164" fontId="0" fillId="0" borderId="0" xfId="0" applyNumberFormat="1"/>
    <xf numFmtId="165" fontId="0" fillId="8" borderId="0" xfId="0" applyNumberFormat="1" applyFill="1"/>
    <xf numFmtId="44" fontId="0" fillId="0" borderId="0" xfId="1" applyFont="1"/>
    <xf numFmtId="44" fontId="1" fillId="3" borderId="0" xfId="1" applyFont="1" applyFill="1" applyAlignment="1">
      <alignment horizontal="left"/>
    </xf>
    <xf numFmtId="44" fontId="1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4"/>
  <sheetViews>
    <sheetView tabSelected="1" zoomScale="120" zoomScaleNormal="120" workbookViewId="0">
      <pane xSplit="5" ySplit="10" topLeftCell="F11" activePane="bottomRight" state="frozen"/>
      <selection pane="topRight"/>
      <selection pane="bottomLeft"/>
      <selection pane="bottomRight" activeCell="N35" sqref="N35"/>
    </sheetView>
  </sheetViews>
  <sheetFormatPr baseColWidth="10" defaultColWidth="8.83203125" defaultRowHeight="15" x14ac:dyDescent="0.2"/>
  <cols>
    <col min="1" max="1" width="14" customWidth="1"/>
    <col min="2" max="2" width="52" customWidth="1"/>
    <col min="5" max="5" width="6" customWidth="1"/>
    <col min="6" max="33" width="14" customWidth="1"/>
    <col min="35" max="35" width="16" customWidth="1"/>
    <col min="37" max="64" width="14" customWidth="1"/>
    <col min="66" max="66" width="16" customWidth="1"/>
  </cols>
  <sheetData>
    <row r="1" spans="1:66" x14ac:dyDescent="0.2">
      <c r="A1" s="1" t="s">
        <v>0</v>
      </c>
    </row>
    <row r="2" spans="1:66" x14ac:dyDescent="0.2">
      <c r="A2" s="1" t="s">
        <v>1</v>
      </c>
    </row>
    <row r="3" spans="1:66" x14ac:dyDescent="0.2">
      <c r="A3" s="1" t="s">
        <v>2</v>
      </c>
    </row>
    <row r="9" spans="1:66" x14ac:dyDescent="0.2">
      <c r="AK9" s="2" t="s">
        <v>3</v>
      </c>
      <c r="BN9" s="2" t="s">
        <v>3</v>
      </c>
    </row>
    <row r="10" spans="1:66" x14ac:dyDescent="0.2">
      <c r="A10" s="3" t="s">
        <v>4</v>
      </c>
      <c r="B10" s="3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4" t="s">
        <v>15</v>
      </c>
      <c r="O10" s="4" t="s">
        <v>16</v>
      </c>
      <c r="P10" s="4" t="s">
        <v>17</v>
      </c>
      <c r="Q10" s="4" t="s">
        <v>18</v>
      </c>
      <c r="R10" s="4" t="s">
        <v>19</v>
      </c>
      <c r="S10" s="4" t="s">
        <v>20</v>
      </c>
      <c r="T10" s="4" t="s">
        <v>21</v>
      </c>
      <c r="U10" s="4" t="s">
        <v>22</v>
      </c>
      <c r="V10" s="4" t="s">
        <v>23</v>
      </c>
      <c r="W10" s="4" t="s">
        <v>24</v>
      </c>
      <c r="X10" s="4" t="s">
        <v>25</v>
      </c>
      <c r="Y10" s="4" t="s">
        <v>26</v>
      </c>
      <c r="Z10" s="4" t="s">
        <v>27</v>
      </c>
      <c r="AA10" s="4" t="s">
        <v>28</v>
      </c>
      <c r="AB10" s="4" t="s">
        <v>29</v>
      </c>
      <c r="AC10" s="4" t="s">
        <v>30</v>
      </c>
      <c r="AD10" s="4" t="s">
        <v>31</v>
      </c>
      <c r="AE10" s="4" t="s">
        <v>32</v>
      </c>
      <c r="AF10" s="4" t="s">
        <v>33</v>
      </c>
      <c r="AG10" s="4" t="s">
        <v>34</v>
      </c>
      <c r="AI10" s="4" t="s">
        <v>35</v>
      </c>
      <c r="AK10" s="4" t="s">
        <v>7</v>
      </c>
      <c r="AL10" s="4" t="s">
        <v>8</v>
      </c>
      <c r="AM10" s="4" t="s">
        <v>9</v>
      </c>
      <c r="AN10" s="4" t="s">
        <v>10</v>
      </c>
      <c r="AO10" s="4" t="s">
        <v>11</v>
      </c>
      <c r="AP10" s="4" t="s">
        <v>12</v>
      </c>
      <c r="AQ10" s="4" t="s">
        <v>13</v>
      </c>
      <c r="AR10" s="4" t="s">
        <v>14</v>
      </c>
      <c r="AS10" s="4" t="s">
        <v>15</v>
      </c>
      <c r="AT10" s="4" t="s">
        <v>16</v>
      </c>
      <c r="AU10" s="4" t="s">
        <v>17</v>
      </c>
      <c r="AV10" s="4" t="s">
        <v>18</v>
      </c>
      <c r="AW10" s="4" t="s">
        <v>19</v>
      </c>
      <c r="AX10" s="4" t="s">
        <v>20</v>
      </c>
      <c r="AY10" s="4" t="s">
        <v>21</v>
      </c>
      <c r="AZ10" s="4" t="s">
        <v>22</v>
      </c>
      <c r="BA10" s="4" t="s">
        <v>23</v>
      </c>
      <c r="BB10" s="4" t="s">
        <v>24</v>
      </c>
      <c r="BC10" s="4" t="s">
        <v>25</v>
      </c>
      <c r="BD10" s="4" t="s">
        <v>26</v>
      </c>
      <c r="BE10" s="4" t="s">
        <v>27</v>
      </c>
      <c r="BF10" s="4" t="s">
        <v>28</v>
      </c>
      <c r="BG10" s="4" t="s">
        <v>29</v>
      </c>
      <c r="BH10" s="4" t="s">
        <v>30</v>
      </c>
      <c r="BI10" s="4" t="s">
        <v>31</v>
      </c>
      <c r="BJ10" s="4" t="s">
        <v>32</v>
      </c>
      <c r="BK10" s="4" t="s">
        <v>33</v>
      </c>
      <c r="BL10" s="4" t="s">
        <v>34</v>
      </c>
      <c r="BN10" s="4" t="s">
        <v>36</v>
      </c>
    </row>
    <row r="11" spans="1:66" x14ac:dyDescent="0.2">
      <c r="A11" s="5" t="s">
        <v>37</v>
      </c>
      <c r="B11" s="1" t="s">
        <v>38</v>
      </c>
      <c r="E11" s="5">
        <v>1</v>
      </c>
      <c r="F11" s="6">
        <v>636512.99</v>
      </c>
      <c r="G11" s="6">
        <v>87855.35</v>
      </c>
      <c r="H11" s="6">
        <v>212191.05</v>
      </c>
      <c r="I11" s="6">
        <v>212191.05</v>
      </c>
      <c r="J11" s="6">
        <v>116723.12</v>
      </c>
      <c r="K11" s="6">
        <v>91140.5</v>
      </c>
      <c r="L11" s="6">
        <v>116723.12</v>
      </c>
      <c r="M11" s="6">
        <v>116723.12</v>
      </c>
      <c r="N11" s="6">
        <v>116723.12</v>
      </c>
      <c r="O11" s="6">
        <v>116723.12</v>
      </c>
      <c r="P11" s="6">
        <v>116723.12</v>
      </c>
      <c r="Q11" s="6">
        <v>116723.12</v>
      </c>
      <c r="R11" s="6">
        <v>91140.5</v>
      </c>
      <c r="S11" s="6">
        <v>212191.05</v>
      </c>
      <c r="T11" s="6">
        <v>282065.31</v>
      </c>
      <c r="U11" s="6">
        <v>212191.05</v>
      </c>
      <c r="V11" s="6">
        <v>91140.5</v>
      </c>
      <c r="W11" s="6">
        <v>116723.12</v>
      </c>
      <c r="X11" s="6">
        <v>116723.12</v>
      </c>
      <c r="Y11" s="6">
        <v>91140.5</v>
      </c>
      <c r="Z11" s="6">
        <v>116723.12</v>
      </c>
      <c r="AA11" s="6">
        <v>91140.5</v>
      </c>
      <c r="AB11" s="6">
        <v>116723.12</v>
      </c>
      <c r="AC11" s="6">
        <v>116723.12</v>
      </c>
      <c r="AD11" s="6">
        <v>116723.12</v>
      </c>
      <c r="AE11" s="6">
        <v>116723.12</v>
      </c>
      <c r="AF11" s="6">
        <v>116723.12</v>
      </c>
      <c r="AG11" s="6">
        <v>12928.85</v>
      </c>
      <c r="AI11" s="6">
        <f>SUM(F11:AG11)</f>
        <v>4074676.0000000014</v>
      </c>
      <c r="AK11" s="6">
        <v>342362.95</v>
      </c>
      <c r="AL11" s="6">
        <v>39457</v>
      </c>
      <c r="AM11" s="6">
        <v>97342.14</v>
      </c>
      <c r="AN11" s="6">
        <v>97342.14</v>
      </c>
      <c r="AO11" s="6">
        <v>54745.88</v>
      </c>
      <c r="AP11" s="6">
        <v>44248.639999999999</v>
      </c>
      <c r="AQ11" s="6">
        <v>54745.88</v>
      </c>
      <c r="AR11" s="6">
        <v>54745.88</v>
      </c>
      <c r="AS11" s="6">
        <v>54745.88</v>
      </c>
      <c r="AT11" s="6">
        <v>54745.88</v>
      </c>
      <c r="AU11" s="6">
        <v>54745.88</v>
      </c>
      <c r="AV11" s="6">
        <v>54745.88</v>
      </c>
      <c r="AW11" s="6">
        <v>44248.639999999999</v>
      </c>
      <c r="AX11" s="6">
        <v>97342.14</v>
      </c>
      <c r="AY11" s="6">
        <v>130217.99</v>
      </c>
      <c r="AZ11" s="6">
        <v>97342.14</v>
      </c>
      <c r="BA11" s="6">
        <v>44248.639999999999</v>
      </c>
      <c r="BB11" s="6">
        <v>54745.88</v>
      </c>
      <c r="BC11" s="6">
        <v>54745.88</v>
      </c>
      <c r="BD11" s="6">
        <v>44248.639999999999</v>
      </c>
      <c r="BE11" s="6">
        <v>54745.88</v>
      </c>
      <c r="BF11" s="6">
        <v>44248.639999999999</v>
      </c>
      <c r="BG11" s="6">
        <v>54745.88</v>
      </c>
      <c r="BH11" s="6">
        <v>54745.88</v>
      </c>
      <c r="BI11" s="6">
        <v>54745.88</v>
      </c>
      <c r="BJ11" s="6">
        <v>54745.88</v>
      </c>
      <c r="BK11" s="6">
        <v>54745.88</v>
      </c>
      <c r="BL11" s="6">
        <v>4498</v>
      </c>
      <c r="BN11" s="6">
        <f>SUM(AK11:BL11)</f>
        <v>1948335.8999999987</v>
      </c>
    </row>
    <row r="12" spans="1:66" x14ac:dyDescent="0.2">
      <c r="A12" s="5" t="s">
        <v>37</v>
      </c>
      <c r="B12" s="1" t="s">
        <v>39</v>
      </c>
      <c r="E12" s="5">
        <v>5</v>
      </c>
      <c r="F12" s="6">
        <v>1159.28</v>
      </c>
      <c r="G12" s="6">
        <v>160.01</v>
      </c>
      <c r="H12" s="6">
        <v>386.45</v>
      </c>
      <c r="I12" s="6">
        <v>386.45</v>
      </c>
      <c r="J12" s="6">
        <v>212.58</v>
      </c>
      <c r="K12" s="6">
        <v>165.99</v>
      </c>
      <c r="L12" s="6">
        <v>212.58</v>
      </c>
      <c r="M12" s="6">
        <v>212.58</v>
      </c>
      <c r="N12" s="6">
        <v>212.58</v>
      </c>
      <c r="O12" s="6">
        <v>212.58</v>
      </c>
      <c r="P12" s="6">
        <v>212.58</v>
      </c>
      <c r="Q12" s="6">
        <v>212.58</v>
      </c>
      <c r="R12" s="6">
        <v>165.99</v>
      </c>
      <c r="S12" s="6">
        <v>386.45</v>
      </c>
      <c r="T12" s="6">
        <v>513.71</v>
      </c>
      <c r="U12" s="6">
        <v>386.45</v>
      </c>
      <c r="V12" s="6">
        <v>165.99</v>
      </c>
      <c r="W12" s="6">
        <v>212.58</v>
      </c>
      <c r="X12" s="6">
        <v>212.58</v>
      </c>
      <c r="Y12" s="6">
        <v>165.99</v>
      </c>
      <c r="Z12" s="6">
        <v>212.58</v>
      </c>
      <c r="AA12" s="6">
        <v>165.99</v>
      </c>
      <c r="AB12" s="6">
        <v>212.58</v>
      </c>
      <c r="AC12" s="6">
        <v>212.58</v>
      </c>
      <c r="AD12" s="6">
        <v>212.58</v>
      </c>
      <c r="AE12" s="6">
        <v>212.58</v>
      </c>
      <c r="AF12" s="6">
        <v>212.58</v>
      </c>
      <c r="AG12" s="6">
        <v>23.55</v>
      </c>
      <c r="AI12" s="6">
        <f>SUM(F12:AG12)</f>
        <v>7420.9999999999982</v>
      </c>
      <c r="AK12" s="6">
        <v>623.54999999999995</v>
      </c>
      <c r="AL12" s="6">
        <v>71.86</v>
      </c>
      <c r="AM12" s="6">
        <v>177.28</v>
      </c>
      <c r="AN12" s="6">
        <v>177.28</v>
      </c>
      <c r="AO12" s="6">
        <v>99.7</v>
      </c>
      <c r="AP12" s="6">
        <v>80.59</v>
      </c>
      <c r="AQ12" s="6">
        <v>99.7</v>
      </c>
      <c r="AR12" s="6">
        <v>99.7</v>
      </c>
      <c r="AS12" s="6">
        <v>99.7</v>
      </c>
      <c r="AT12" s="6">
        <v>99.7</v>
      </c>
      <c r="AU12" s="6">
        <v>99.7</v>
      </c>
      <c r="AV12" s="6">
        <v>99.7</v>
      </c>
      <c r="AW12" s="6">
        <v>80.59</v>
      </c>
      <c r="AX12" s="6">
        <v>177.28</v>
      </c>
      <c r="AY12" s="6">
        <v>237.16</v>
      </c>
      <c r="AZ12" s="6">
        <v>177.28</v>
      </c>
      <c r="BA12" s="6">
        <v>80.59</v>
      </c>
      <c r="BB12" s="6">
        <v>99.7</v>
      </c>
      <c r="BC12" s="6">
        <v>99.7</v>
      </c>
      <c r="BD12" s="6">
        <v>80.59</v>
      </c>
      <c r="BE12" s="6">
        <v>99.7</v>
      </c>
      <c r="BF12" s="6">
        <v>80.59</v>
      </c>
      <c r="BG12" s="6">
        <v>99.7</v>
      </c>
      <c r="BH12" s="6">
        <v>99.7</v>
      </c>
      <c r="BI12" s="6">
        <v>99.7</v>
      </c>
      <c r="BJ12" s="6">
        <v>99.7</v>
      </c>
      <c r="BK12" s="6">
        <v>99.7</v>
      </c>
      <c r="BL12" s="6">
        <v>8.19</v>
      </c>
      <c r="BN12" s="6">
        <f>SUM(AK12:BL12)</f>
        <v>3548.3299999999995</v>
      </c>
    </row>
    <row r="13" spans="1:66" x14ac:dyDescent="0.2">
      <c r="A13" s="5" t="s">
        <v>37</v>
      </c>
      <c r="B13" s="1" t="s">
        <v>40</v>
      </c>
      <c r="E13" s="5">
        <v>3</v>
      </c>
      <c r="F13" s="6">
        <v>60048.41</v>
      </c>
      <c r="G13" s="6">
        <v>8288.23</v>
      </c>
      <c r="H13" s="6">
        <v>20018</v>
      </c>
      <c r="I13" s="6">
        <v>20018</v>
      </c>
      <c r="J13" s="6">
        <v>11011.6</v>
      </c>
      <c r="K13" s="6">
        <v>8598.15</v>
      </c>
      <c r="L13" s="6">
        <v>11011.6</v>
      </c>
      <c r="M13" s="6">
        <v>11011.6</v>
      </c>
      <c r="N13" s="6">
        <v>11011.6</v>
      </c>
      <c r="O13" s="6">
        <v>11011.6</v>
      </c>
      <c r="P13" s="6">
        <v>11011.6</v>
      </c>
      <c r="Q13" s="6">
        <v>11011.6</v>
      </c>
      <c r="R13" s="6">
        <v>8598.15</v>
      </c>
      <c r="S13" s="6">
        <v>20018</v>
      </c>
      <c r="T13" s="6">
        <v>26609.91</v>
      </c>
      <c r="U13" s="6">
        <v>20018</v>
      </c>
      <c r="V13" s="6">
        <v>8598.15</v>
      </c>
      <c r="W13" s="6">
        <v>11011.6</v>
      </c>
      <c r="X13" s="6">
        <v>11011.6</v>
      </c>
      <c r="Y13" s="6">
        <v>8598.15</v>
      </c>
      <c r="Z13" s="6">
        <v>11011.6</v>
      </c>
      <c r="AA13" s="6">
        <v>8598.15</v>
      </c>
      <c r="AB13" s="6">
        <v>11011.6</v>
      </c>
      <c r="AC13" s="6">
        <v>11011.6</v>
      </c>
      <c r="AD13" s="6">
        <v>11011.6</v>
      </c>
      <c r="AE13" s="6">
        <v>11011.6</v>
      </c>
      <c r="AF13" s="6">
        <v>11011.6</v>
      </c>
      <c r="AG13" s="6">
        <v>1219.7</v>
      </c>
      <c r="AI13" s="6">
        <f>SUM(F13:AG13)</f>
        <v>384402.99999999994</v>
      </c>
      <c r="AK13" s="6">
        <v>32298.400000000001</v>
      </c>
      <c r="AL13" s="6">
        <v>3722.35</v>
      </c>
      <c r="AM13" s="6">
        <v>9183.2099999999991</v>
      </c>
      <c r="AN13" s="6">
        <v>9183.2099999999991</v>
      </c>
      <c r="AO13" s="6">
        <v>5164.7</v>
      </c>
      <c r="AP13" s="6">
        <v>4174.3900000000003</v>
      </c>
      <c r="AQ13" s="6">
        <v>5164.7</v>
      </c>
      <c r="AR13" s="6">
        <v>5164.7</v>
      </c>
      <c r="AS13" s="6">
        <v>5164.7</v>
      </c>
      <c r="AT13" s="6">
        <v>5164.7</v>
      </c>
      <c r="AU13" s="6">
        <v>5164.7</v>
      </c>
      <c r="AV13" s="6">
        <v>5164.7</v>
      </c>
      <c r="AW13" s="6">
        <v>4174.3900000000003</v>
      </c>
      <c r="AX13" s="6">
        <v>9183.2099999999991</v>
      </c>
      <c r="AY13" s="6">
        <v>12284.7</v>
      </c>
      <c r="AZ13" s="6">
        <v>9183.2099999999991</v>
      </c>
      <c r="BA13" s="6">
        <v>4174.3900000000003</v>
      </c>
      <c r="BB13" s="6">
        <v>5164.7</v>
      </c>
      <c r="BC13" s="6">
        <v>5164.7</v>
      </c>
      <c r="BD13" s="6">
        <v>4174.3900000000003</v>
      </c>
      <c r="BE13" s="6">
        <v>5164.7</v>
      </c>
      <c r="BF13" s="6">
        <v>4174.3900000000003</v>
      </c>
      <c r="BG13" s="6">
        <v>5164.7</v>
      </c>
      <c r="BH13" s="6">
        <v>5164.7</v>
      </c>
      <c r="BI13" s="6">
        <v>5164.7</v>
      </c>
      <c r="BJ13" s="6">
        <v>5164.7</v>
      </c>
      <c r="BK13" s="6">
        <v>5164.7</v>
      </c>
      <c r="BL13" s="6">
        <v>424.34</v>
      </c>
      <c r="BN13" s="6">
        <f>SUM(AK13:BL13)</f>
        <v>183805.0800000001</v>
      </c>
    </row>
    <row r="14" spans="1:66" x14ac:dyDescent="0.2">
      <c r="A14" s="5" t="s">
        <v>37</v>
      </c>
      <c r="B14" s="1" t="s">
        <v>41</v>
      </c>
      <c r="E14" s="5">
        <v>4</v>
      </c>
      <c r="F14" s="6">
        <v>108770.22</v>
      </c>
      <c r="G14" s="6">
        <v>15013.12</v>
      </c>
      <c r="H14" s="6">
        <v>36260.17</v>
      </c>
      <c r="I14" s="6">
        <v>36260.17</v>
      </c>
      <c r="J14" s="6">
        <v>19946.169999999998</v>
      </c>
      <c r="K14" s="6">
        <v>15574.5</v>
      </c>
      <c r="L14" s="6">
        <v>19946.169999999998</v>
      </c>
      <c r="M14" s="6">
        <v>19946.169999999998</v>
      </c>
      <c r="N14" s="6">
        <v>19946.169999999998</v>
      </c>
      <c r="O14" s="6">
        <v>19946.169999999998</v>
      </c>
      <c r="P14" s="6">
        <v>19946.169999999998</v>
      </c>
      <c r="Q14" s="6">
        <v>19946.169999999998</v>
      </c>
      <c r="R14" s="6">
        <v>15574.5</v>
      </c>
      <c r="T14" s="6">
        <v>48200.59</v>
      </c>
      <c r="U14" s="6">
        <v>36260.17</v>
      </c>
      <c r="V14" s="6">
        <v>15574.5</v>
      </c>
      <c r="W14" s="6">
        <v>19946.169999999998</v>
      </c>
      <c r="X14" s="6">
        <v>19946.169999999998</v>
      </c>
      <c r="Y14" s="6">
        <v>15574.5</v>
      </c>
      <c r="Z14" s="6">
        <v>19946.169999999998</v>
      </c>
      <c r="AA14" s="6">
        <v>15574.5</v>
      </c>
      <c r="AB14" s="6">
        <v>19946.169999999998</v>
      </c>
      <c r="AC14" s="6">
        <v>19946.169999999998</v>
      </c>
      <c r="AD14" s="6">
        <v>19946.169999999998</v>
      </c>
      <c r="AE14" s="6">
        <v>19946.169999999998</v>
      </c>
      <c r="AF14" s="6">
        <v>19946.169999999998</v>
      </c>
      <c r="AG14" s="6">
        <v>2209.34</v>
      </c>
      <c r="AI14" s="6">
        <f>SUM(F14:AG14)</f>
        <v>660038.82999999996</v>
      </c>
      <c r="AK14" s="6">
        <v>58504.53</v>
      </c>
      <c r="AL14" s="6">
        <v>6742.59</v>
      </c>
      <c r="AM14" s="6">
        <v>16634.27</v>
      </c>
      <c r="AN14" s="6">
        <v>16634.27</v>
      </c>
      <c r="AO14" s="6">
        <v>9355.2199999999993</v>
      </c>
      <c r="AP14" s="6">
        <v>7561.41</v>
      </c>
      <c r="AQ14" s="6">
        <v>9355.2199999999993</v>
      </c>
      <c r="AR14" s="6">
        <v>9355.2199999999993</v>
      </c>
      <c r="AS14" s="6">
        <v>9355.2199999999993</v>
      </c>
      <c r="AT14" s="6">
        <v>9355.2199999999993</v>
      </c>
      <c r="AU14" s="6">
        <v>9355.2199999999993</v>
      </c>
      <c r="AV14" s="6">
        <v>9355.2199999999993</v>
      </c>
      <c r="AW14" s="6">
        <v>7561.41</v>
      </c>
      <c r="AY14" s="6">
        <v>22252.240000000002</v>
      </c>
      <c r="AZ14" s="6">
        <v>16634.27</v>
      </c>
      <c r="BA14" s="6">
        <v>7561.41</v>
      </c>
      <c r="BB14" s="6">
        <v>9355.2199999999993</v>
      </c>
      <c r="BC14" s="6">
        <v>9355.2199999999993</v>
      </c>
      <c r="BD14" s="6">
        <v>7561.41</v>
      </c>
      <c r="BE14" s="6">
        <v>9355.2199999999993</v>
      </c>
      <c r="BF14" s="6">
        <v>7561.41</v>
      </c>
      <c r="BG14" s="6">
        <v>9355.2199999999993</v>
      </c>
      <c r="BH14" s="6">
        <v>9355.2199999999993</v>
      </c>
      <c r="BI14" s="6">
        <v>9355.2199999999993</v>
      </c>
      <c r="BJ14" s="6">
        <v>9355.2199999999993</v>
      </c>
      <c r="BK14" s="6">
        <v>9355.2199999999993</v>
      </c>
      <c r="BL14" s="6">
        <v>768.64</v>
      </c>
      <c r="BN14" s="6">
        <f>SUM(AK14:BL14)</f>
        <v>316306.15999999986</v>
      </c>
    </row>
    <row r="16" spans="1:66" x14ac:dyDescent="0.2">
      <c r="F16" s="7">
        <f t="shared" ref="F16:AG16" si="0">SUM(F11:F15)</f>
        <v>806490.9</v>
      </c>
      <c r="G16" s="7">
        <f t="shared" si="0"/>
        <v>111316.70999999999</v>
      </c>
      <c r="H16" s="7">
        <f t="shared" si="0"/>
        <v>268855.67</v>
      </c>
      <c r="I16" s="7">
        <f t="shared" si="0"/>
        <v>268855.67</v>
      </c>
      <c r="J16" s="7">
        <f t="shared" si="0"/>
        <v>147893.47</v>
      </c>
      <c r="K16" s="7">
        <f t="shared" si="0"/>
        <v>115479.14</v>
      </c>
      <c r="L16" s="7">
        <f t="shared" si="0"/>
        <v>147893.47</v>
      </c>
      <c r="M16" s="7">
        <f t="shared" si="0"/>
        <v>147893.47</v>
      </c>
      <c r="N16" s="7">
        <f t="shared" si="0"/>
        <v>147893.47</v>
      </c>
      <c r="O16" s="7">
        <f t="shared" si="0"/>
        <v>147893.47</v>
      </c>
      <c r="P16" s="7">
        <f t="shared" si="0"/>
        <v>147893.47</v>
      </c>
      <c r="Q16" s="7">
        <f t="shared" si="0"/>
        <v>147893.47</v>
      </c>
      <c r="R16" s="7">
        <f t="shared" si="0"/>
        <v>115479.14</v>
      </c>
      <c r="S16" s="7">
        <f t="shared" si="0"/>
        <v>232595.5</v>
      </c>
      <c r="T16" s="7">
        <f t="shared" si="0"/>
        <v>357389.52</v>
      </c>
      <c r="U16" s="7">
        <f t="shared" si="0"/>
        <v>268855.67</v>
      </c>
      <c r="V16" s="7">
        <f t="shared" si="0"/>
        <v>115479.14</v>
      </c>
      <c r="W16" s="7">
        <f t="shared" si="0"/>
        <v>147893.47</v>
      </c>
      <c r="X16" s="7">
        <f t="shared" si="0"/>
        <v>147893.47</v>
      </c>
      <c r="Y16" s="7">
        <f t="shared" si="0"/>
        <v>115479.14</v>
      </c>
      <c r="Z16" s="7">
        <f t="shared" si="0"/>
        <v>147893.47</v>
      </c>
      <c r="AA16" s="7">
        <f t="shared" si="0"/>
        <v>115479.14</v>
      </c>
      <c r="AB16" s="7">
        <f t="shared" si="0"/>
        <v>147893.47</v>
      </c>
      <c r="AC16" s="7">
        <f t="shared" si="0"/>
        <v>147893.47</v>
      </c>
      <c r="AD16" s="7">
        <f t="shared" si="0"/>
        <v>147893.47</v>
      </c>
      <c r="AE16" s="7">
        <f t="shared" si="0"/>
        <v>147893.47</v>
      </c>
      <c r="AF16" s="7">
        <f t="shared" si="0"/>
        <v>147893.47</v>
      </c>
      <c r="AG16" s="7">
        <f t="shared" si="0"/>
        <v>16381.44</v>
      </c>
      <c r="AI16" s="7">
        <f>SUM(AI11:AI15)</f>
        <v>5126538.830000001</v>
      </c>
      <c r="AK16" s="7">
        <f t="shared" ref="AK16:BL16" si="1">SUM(AK11:AK15)</f>
        <v>433789.43000000005</v>
      </c>
      <c r="AL16" s="7">
        <f t="shared" si="1"/>
        <v>49993.8</v>
      </c>
      <c r="AM16" s="7">
        <f t="shared" si="1"/>
        <v>123336.90000000001</v>
      </c>
      <c r="AN16" s="7">
        <f t="shared" si="1"/>
        <v>123336.90000000001</v>
      </c>
      <c r="AO16" s="7">
        <f t="shared" si="1"/>
        <v>69365.499999999985</v>
      </c>
      <c r="AP16" s="7">
        <f t="shared" si="1"/>
        <v>56065.03</v>
      </c>
      <c r="AQ16" s="7">
        <f t="shared" si="1"/>
        <v>69365.499999999985</v>
      </c>
      <c r="AR16" s="7">
        <f t="shared" si="1"/>
        <v>69365.499999999985</v>
      </c>
      <c r="AS16" s="7">
        <f t="shared" si="1"/>
        <v>69365.499999999985</v>
      </c>
      <c r="AT16" s="7">
        <f t="shared" si="1"/>
        <v>69365.499999999985</v>
      </c>
      <c r="AU16" s="7">
        <f t="shared" si="1"/>
        <v>69365.499999999985</v>
      </c>
      <c r="AV16" s="7">
        <f t="shared" si="1"/>
        <v>69365.499999999985</v>
      </c>
      <c r="AW16" s="7">
        <f t="shared" si="1"/>
        <v>56065.03</v>
      </c>
      <c r="AX16" s="7">
        <f t="shared" si="1"/>
        <v>106702.63</v>
      </c>
      <c r="AY16" s="7">
        <f t="shared" si="1"/>
        <v>164992.09</v>
      </c>
      <c r="AZ16" s="7">
        <f t="shared" si="1"/>
        <v>123336.90000000001</v>
      </c>
      <c r="BA16" s="7">
        <f t="shared" si="1"/>
        <v>56065.03</v>
      </c>
      <c r="BB16" s="7">
        <f t="shared" si="1"/>
        <v>69365.499999999985</v>
      </c>
      <c r="BC16" s="7">
        <f t="shared" si="1"/>
        <v>69365.499999999985</v>
      </c>
      <c r="BD16" s="7">
        <f t="shared" si="1"/>
        <v>56065.03</v>
      </c>
      <c r="BE16" s="7">
        <f t="shared" si="1"/>
        <v>69365.499999999985</v>
      </c>
      <c r="BF16" s="7">
        <f t="shared" si="1"/>
        <v>56065.03</v>
      </c>
      <c r="BG16" s="7">
        <f t="shared" si="1"/>
        <v>69365.499999999985</v>
      </c>
      <c r="BH16" s="7">
        <f t="shared" si="1"/>
        <v>69365.499999999985</v>
      </c>
      <c r="BI16" s="7">
        <f t="shared" si="1"/>
        <v>69365.499999999985</v>
      </c>
      <c r="BJ16" s="7">
        <f t="shared" si="1"/>
        <v>69365.499999999985</v>
      </c>
      <c r="BK16" s="7">
        <f t="shared" si="1"/>
        <v>69365.499999999985</v>
      </c>
      <c r="BL16" s="7">
        <f t="shared" si="1"/>
        <v>5699.17</v>
      </c>
      <c r="BN16" s="7">
        <f>SUM(BN11:BN15)</f>
        <v>2451995.4699999988</v>
      </c>
    </row>
    <row r="18" spans="2:35" x14ac:dyDescent="0.2">
      <c r="B18" s="1" t="s">
        <v>42</v>
      </c>
    </row>
    <row r="20" spans="2:35" x14ac:dyDescent="0.2">
      <c r="B20" s="5" t="s">
        <v>43</v>
      </c>
      <c r="G20" s="6">
        <v>15749.94</v>
      </c>
      <c r="H20" s="6">
        <v>41085.46</v>
      </c>
      <c r="I20" s="6">
        <v>41085.46</v>
      </c>
      <c r="J20" s="6">
        <v>24387.48</v>
      </c>
      <c r="K20" s="6">
        <v>21279.35</v>
      </c>
      <c r="L20" s="6">
        <v>24387.48</v>
      </c>
      <c r="M20" s="6">
        <v>24387.48</v>
      </c>
      <c r="N20" s="6">
        <v>24387.48</v>
      </c>
      <c r="O20" s="6">
        <v>24387.48</v>
      </c>
      <c r="P20" s="6">
        <v>24387.48</v>
      </c>
      <c r="Q20" s="6">
        <v>24387.48</v>
      </c>
      <c r="R20" s="6">
        <v>21279.35</v>
      </c>
      <c r="S20" s="6">
        <v>41085.46</v>
      </c>
      <c r="T20" s="6">
        <v>55838.26</v>
      </c>
      <c r="U20" s="6">
        <v>41085.46</v>
      </c>
      <c r="V20" s="6">
        <v>21279.35</v>
      </c>
      <c r="W20" s="6">
        <v>24387.48</v>
      </c>
      <c r="X20" s="6">
        <v>24387.48</v>
      </c>
      <c r="Y20" s="6">
        <v>21279.35</v>
      </c>
      <c r="Z20" s="6">
        <v>24387.48</v>
      </c>
      <c r="AA20" s="6">
        <v>21279.35</v>
      </c>
      <c r="AB20" s="6">
        <v>24387.48</v>
      </c>
      <c r="AC20" s="6">
        <v>24387.48</v>
      </c>
      <c r="AD20" s="6">
        <v>24387.48</v>
      </c>
      <c r="AE20" s="6">
        <v>24387.48</v>
      </c>
      <c r="AF20" s="6">
        <v>24387.48</v>
      </c>
      <c r="AG20" s="6">
        <v>368.29</v>
      </c>
      <c r="AI20" s="6">
        <f t="shared" ref="AI20:AI31" si="2">SUM(F20:AG20)</f>
        <v>708507.27999999991</v>
      </c>
    </row>
    <row r="21" spans="2:35" x14ac:dyDescent="0.2">
      <c r="B21" s="5" t="s">
        <v>44</v>
      </c>
      <c r="F21" s="6">
        <v>385433.18</v>
      </c>
      <c r="AI21" s="6">
        <f t="shared" si="2"/>
        <v>385433.18</v>
      </c>
    </row>
    <row r="22" spans="2:35" x14ac:dyDescent="0.2">
      <c r="B22" s="5" t="s">
        <v>45</v>
      </c>
      <c r="F22">
        <v>251079.81</v>
      </c>
      <c r="G22" s="6">
        <v>72105.41</v>
      </c>
      <c r="H22" s="6">
        <v>171105.59</v>
      </c>
      <c r="I22" s="6">
        <v>171105.59</v>
      </c>
      <c r="J22" s="6">
        <v>92335.64</v>
      </c>
      <c r="K22" s="6">
        <v>69861.149999999994</v>
      </c>
      <c r="L22" s="6">
        <v>92335.64</v>
      </c>
      <c r="M22" s="6">
        <v>92335.64</v>
      </c>
      <c r="N22" s="6">
        <v>92335.64</v>
      </c>
      <c r="O22" s="6">
        <v>92335.64</v>
      </c>
      <c r="P22" s="6">
        <v>92335.64</v>
      </c>
      <c r="Q22" s="6">
        <v>92335.64</v>
      </c>
      <c r="R22" s="6">
        <v>69861.149999999994</v>
      </c>
      <c r="S22" s="6">
        <v>171105.59</v>
      </c>
      <c r="T22" s="6">
        <v>226227.05</v>
      </c>
      <c r="U22" s="6">
        <v>171105.59</v>
      </c>
      <c r="V22" s="6">
        <v>69861.149999999994</v>
      </c>
      <c r="W22" s="6">
        <v>92335.64</v>
      </c>
      <c r="X22" s="6">
        <v>92335.64</v>
      </c>
      <c r="Y22" s="6">
        <v>69861.149999999994</v>
      </c>
      <c r="Z22" s="6">
        <v>92335.64</v>
      </c>
      <c r="AA22" s="6">
        <v>69861.149999999994</v>
      </c>
      <c r="AB22" s="6">
        <v>92335.64</v>
      </c>
      <c r="AC22" s="6">
        <v>92335.64</v>
      </c>
      <c r="AD22" s="6">
        <v>92335.64</v>
      </c>
      <c r="AE22" s="6">
        <v>92335.64</v>
      </c>
      <c r="AF22" s="6">
        <v>92335.64</v>
      </c>
      <c r="AG22" s="6">
        <v>12560.56</v>
      </c>
      <c r="AI22" s="6">
        <f t="shared" si="2"/>
        <v>2980735.5400000005</v>
      </c>
    </row>
    <row r="23" spans="2:35" x14ac:dyDescent="0.2">
      <c r="B23" s="5" t="s">
        <v>46</v>
      </c>
      <c r="G23" s="6">
        <v>28.69</v>
      </c>
      <c r="H23" s="6">
        <v>74.83</v>
      </c>
      <c r="I23" s="6">
        <v>74.83</v>
      </c>
      <c r="J23" s="6">
        <v>44.42</v>
      </c>
      <c r="K23" s="6">
        <v>38.76</v>
      </c>
      <c r="L23" s="6">
        <v>44.42</v>
      </c>
      <c r="M23" s="6">
        <v>44.42</v>
      </c>
      <c r="N23" s="6">
        <v>44.42</v>
      </c>
      <c r="O23" s="6">
        <v>44.42</v>
      </c>
      <c r="P23" s="6">
        <v>44.42</v>
      </c>
      <c r="Q23" s="6">
        <v>44.42</v>
      </c>
      <c r="R23" s="6">
        <v>38.76</v>
      </c>
      <c r="S23" s="6">
        <v>74.83</v>
      </c>
      <c r="T23" s="6">
        <v>101.7</v>
      </c>
      <c r="U23" s="6">
        <v>74.83</v>
      </c>
      <c r="V23" s="6">
        <v>38.76</v>
      </c>
      <c r="W23" s="6">
        <v>44.42</v>
      </c>
      <c r="X23" s="6">
        <v>44.42</v>
      </c>
      <c r="Y23" s="6">
        <v>38.76</v>
      </c>
      <c r="Z23" s="6">
        <v>44.42</v>
      </c>
      <c r="AA23" s="6">
        <v>38.76</v>
      </c>
      <c r="AB23" s="6">
        <v>44.42</v>
      </c>
      <c r="AC23" s="6">
        <v>44.42</v>
      </c>
      <c r="AD23" s="6">
        <v>44.42</v>
      </c>
      <c r="AE23" s="6">
        <v>44.42</v>
      </c>
      <c r="AF23" s="6">
        <v>44.42</v>
      </c>
      <c r="AG23" s="6">
        <v>0.67</v>
      </c>
      <c r="AI23" s="6">
        <f t="shared" si="2"/>
        <v>1290.4800000000005</v>
      </c>
    </row>
    <row r="24" spans="2:35" x14ac:dyDescent="0.2">
      <c r="B24" s="5" t="s">
        <v>47</v>
      </c>
      <c r="F24" s="6">
        <v>701.99</v>
      </c>
      <c r="AI24" s="6">
        <f t="shared" si="2"/>
        <v>701.99</v>
      </c>
    </row>
    <row r="25" spans="2:35" x14ac:dyDescent="0.2">
      <c r="B25" s="5" t="s">
        <v>48</v>
      </c>
      <c r="F25">
        <v>457.29</v>
      </c>
      <c r="G25" s="6">
        <v>131.32</v>
      </c>
      <c r="H25" s="6">
        <v>311.62</v>
      </c>
      <c r="I25" s="6">
        <v>311.62</v>
      </c>
      <c r="J25" s="6">
        <v>168.16</v>
      </c>
      <c r="K25" s="6">
        <v>127.23</v>
      </c>
      <c r="L25" s="6">
        <v>168.16</v>
      </c>
      <c r="M25" s="6">
        <v>168.16</v>
      </c>
      <c r="N25" s="6">
        <v>168.16</v>
      </c>
      <c r="O25" s="6">
        <v>168.16</v>
      </c>
      <c r="P25" s="6">
        <v>168.16</v>
      </c>
      <c r="Q25" s="6">
        <v>168.16</v>
      </c>
      <c r="R25" s="6">
        <v>127.23</v>
      </c>
      <c r="S25" s="6">
        <v>311.62</v>
      </c>
      <c r="T25" s="6">
        <v>412.01</v>
      </c>
      <c r="U25" s="6">
        <v>311.62</v>
      </c>
      <c r="V25" s="6">
        <v>127.23</v>
      </c>
      <c r="W25" s="6">
        <v>168.16</v>
      </c>
      <c r="X25" s="6">
        <v>168.16</v>
      </c>
      <c r="Y25" s="6">
        <v>127.23</v>
      </c>
      <c r="Z25" s="6">
        <v>168.16</v>
      </c>
      <c r="AA25" s="6">
        <v>127.23</v>
      </c>
      <c r="AB25" s="6">
        <v>168.16</v>
      </c>
      <c r="AC25" s="6">
        <v>168.16</v>
      </c>
      <c r="AD25" s="6">
        <v>168.16</v>
      </c>
      <c r="AE25" s="6">
        <v>168.16</v>
      </c>
      <c r="AF25" s="6">
        <v>168.16</v>
      </c>
      <c r="AG25" s="6">
        <v>22.88</v>
      </c>
      <c r="AI25" s="6">
        <f t="shared" si="2"/>
        <v>5428.5299999999979</v>
      </c>
    </row>
    <row r="26" spans="2:35" x14ac:dyDescent="0.2">
      <c r="B26" s="5" t="s">
        <v>49</v>
      </c>
      <c r="G26" s="6">
        <v>1485.84</v>
      </c>
      <c r="H26" s="6">
        <v>3875.98</v>
      </c>
      <c r="I26" s="6">
        <v>3875.98</v>
      </c>
      <c r="J26" s="6">
        <v>2300.6999999999998</v>
      </c>
      <c r="K26" s="6">
        <v>2007.48</v>
      </c>
      <c r="L26" s="6">
        <v>2300.6999999999998</v>
      </c>
      <c r="M26" s="6">
        <v>2300.6999999999998</v>
      </c>
      <c r="N26" s="6">
        <v>2300.6999999999998</v>
      </c>
      <c r="O26" s="6">
        <v>2300.6999999999998</v>
      </c>
      <c r="P26" s="6">
        <v>2300.6999999999998</v>
      </c>
      <c r="Q26" s="6">
        <v>2300.6999999999998</v>
      </c>
      <c r="R26" s="6">
        <v>2007.48</v>
      </c>
      <c r="S26" s="6">
        <v>3875.98</v>
      </c>
      <c r="T26" s="6">
        <v>5267.76</v>
      </c>
      <c r="U26" s="6">
        <v>3875.98</v>
      </c>
      <c r="V26" s="6">
        <v>2007.48</v>
      </c>
      <c r="W26" s="6">
        <v>2300.6999999999998</v>
      </c>
      <c r="X26" s="6">
        <v>2300.6999999999998</v>
      </c>
      <c r="Y26" s="6">
        <v>2007.48</v>
      </c>
      <c r="Z26" s="6">
        <v>2300.6999999999998</v>
      </c>
      <c r="AA26" s="6">
        <v>2007.48</v>
      </c>
      <c r="AB26" s="6">
        <v>2300.6999999999998</v>
      </c>
      <c r="AC26" s="6">
        <v>2300.6999999999998</v>
      </c>
      <c r="AD26" s="6">
        <v>2300.6999999999998</v>
      </c>
      <c r="AE26" s="6">
        <v>2300.6999999999998</v>
      </c>
      <c r="AF26" s="6">
        <v>2300.6999999999998</v>
      </c>
      <c r="AG26" s="6">
        <v>34.74</v>
      </c>
      <c r="AI26" s="6">
        <f t="shared" si="2"/>
        <v>66840.160000000003</v>
      </c>
    </row>
    <row r="27" spans="2:35" x14ac:dyDescent="0.2">
      <c r="B27" s="5" t="s">
        <v>50</v>
      </c>
      <c r="F27" s="6">
        <v>36361.629999999997</v>
      </c>
      <c r="AI27" s="6">
        <f t="shared" si="2"/>
        <v>36361.629999999997</v>
      </c>
    </row>
    <row r="28" spans="2:35" x14ac:dyDescent="0.2">
      <c r="B28" s="5" t="s">
        <v>51</v>
      </c>
      <c r="F28">
        <v>23686.78</v>
      </c>
      <c r="G28" s="6">
        <v>6802.39</v>
      </c>
      <c r="H28" s="6">
        <v>16142.02</v>
      </c>
      <c r="I28" s="6">
        <v>16142.02</v>
      </c>
      <c r="J28" s="6">
        <v>8710.9</v>
      </c>
      <c r="K28" s="6">
        <v>6590.67</v>
      </c>
      <c r="L28" s="6">
        <v>8710.9</v>
      </c>
      <c r="M28" s="6">
        <v>8710.9</v>
      </c>
      <c r="N28" s="6">
        <v>8710.9</v>
      </c>
      <c r="O28" s="6">
        <v>8710.9</v>
      </c>
      <c r="P28" s="6">
        <v>8710.9</v>
      </c>
      <c r="Q28" s="6">
        <v>8710.9</v>
      </c>
      <c r="R28" s="6">
        <v>6590.67</v>
      </c>
      <c r="S28" s="6">
        <v>16142.02</v>
      </c>
      <c r="T28" s="6">
        <v>21342.15</v>
      </c>
      <c r="U28" s="6">
        <v>16142.02</v>
      </c>
      <c r="V28" s="6">
        <v>6590.67</v>
      </c>
      <c r="W28" s="6">
        <v>8710.9</v>
      </c>
      <c r="X28" s="6">
        <v>8710.9</v>
      </c>
      <c r="Y28" s="6">
        <v>6590.67</v>
      </c>
      <c r="Z28" s="6">
        <v>8710.9</v>
      </c>
      <c r="AA28" s="6">
        <v>6590.67</v>
      </c>
      <c r="AB28" s="6">
        <v>8710.9</v>
      </c>
      <c r="AC28" s="6">
        <v>8710.9</v>
      </c>
      <c r="AD28" s="6">
        <v>8710.9</v>
      </c>
      <c r="AE28" s="6">
        <v>8710.9</v>
      </c>
      <c r="AF28" s="6">
        <v>8710.9</v>
      </c>
      <c r="AG28" s="6">
        <v>1184.96</v>
      </c>
      <c r="AI28" s="6">
        <f t="shared" si="2"/>
        <v>281201.21000000002</v>
      </c>
    </row>
    <row r="29" spans="2:35" x14ac:dyDescent="0.2">
      <c r="B29" s="5" t="s">
        <v>52</v>
      </c>
      <c r="G29" s="6">
        <v>2691.42</v>
      </c>
      <c r="H29" s="6">
        <v>7020.87</v>
      </c>
      <c r="I29" s="6">
        <v>7020.87</v>
      </c>
      <c r="J29" s="6">
        <v>4167.4399999999996</v>
      </c>
      <c r="K29" s="6">
        <v>3636.31</v>
      </c>
      <c r="L29" s="6">
        <v>4167.4399999999996</v>
      </c>
      <c r="M29" s="6">
        <v>4167.4399999999996</v>
      </c>
      <c r="N29" s="6">
        <v>4167.4399999999996</v>
      </c>
      <c r="O29" s="6">
        <v>4167.4399999999996</v>
      </c>
      <c r="P29" s="6">
        <v>4167.4399999999996</v>
      </c>
      <c r="Q29" s="6">
        <v>4167.4399999999996</v>
      </c>
      <c r="R29" s="6">
        <v>3636.31</v>
      </c>
      <c r="T29" s="6">
        <v>9541.8799999999992</v>
      </c>
      <c r="U29" s="6">
        <v>7020.87</v>
      </c>
      <c r="V29" s="6">
        <v>3636.31</v>
      </c>
      <c r="W29" s="6">
        <v>4167.4399999999996</v>
      </c>
      <c r="X29" s="6">
        <v>4167.4399999999996</v>
      </c>
      <c r="Y29" s="6">
        <v>3636.31</v>
      </c>
      <c r="Z29" s="6">
        <v>4167.4399999999996</v>
      </c>
      <c r="AA29" s="6">
        <v>3636.31</v>
      </c>
      <c r="AB29" s="6">
        <v>4167.4399999999996</v>
      </c>
      <c r="AC29" s="6">
        <v>4167.4399999999996</v>
      </c>
      <c r="AD29" s="6">
        <v>4167.4399999999996</v>
      </c>
      <c r="AE29" s="6">
        <v>4167.4399999999996</v>
      </c>
      <c r="AF29" s="6">
        <v>4167.4399999999996</v>
      </c>
      <c r="AG29" s="6">
        <v>62.94</v>
      </c>
      <c r="AI29" s="6">
        <f t="shared" si="2"/>
        <v>114052.00000000001</v>
      </c>
    </row>
    <row r="30" spans="2:35" x14ac:dyDescent="0.2">
      <c r="B30" s="5" t="s">
        <v>53</v>
      </c>
      <c r="F30" s="6">
        <v>65864.56</v>
      </c>
      <c r="AI30" s="6">
        <f t="shared" si="2"/>
        <v>65864.56</v>
      </c>
    </row>
    <row r="31" spans="2:35" x14ac:dyDescent="0.2">
      <c r="B31" s="5" t="s">
        <v>54</v>
      </c>
      <c r="F31">
        <v>42905.66</v>
      </c>
      <c r="G31" s="6">
        <v>12321.7</v>
      </c>
      <c r="H31" s="6">
        <v>29239.3</v>
      </c>
      <c r="I31" s="6">
        <v>29239.3</v>
      </c>
      <c r="J31" s="6">
        <v>15778.73</v>
      </c>
      <c r="K31" s="6">
        <v>11938.19</v>
      </c>
      <c r="L31" s="6">
        <v>15778.73</v>
      </c>
      <c r="M31" s="6">
        <v>15778.73</v>
      </c>
      <c r="N31" s="6">
        <v>15778.73</v>
      </c>
      <c r="O31" s="6">
        <v>15778.73</v>
      </c>
      <c r="P31" s="6">
        <v>15778.73</v>
      </c>
      <c r="Q31" s="6">
        <v>15778.73</v>
      </c>
      <c r="R31" s="6">
        <v>11938.19</v>
      </c>
      <c r="T31" s="6">
        <v>38658.71</v>
      </c>
      <c r="U31" s="6">
        <v>29239.3</v>
      </c>
      <c r="V31" s="6">
        <v>11938.19</v>
      </c>
      <c r="W31" s="6">
        <v>15778.73</v>
      </c>
      <c r="X31" s="6">
        <v>15778.73</v>
      </c>
      <c r="Y31" s="6">
        <v>11938.19</v>
      </c>
      <c r="Z31" s="6">
        <v>15778.73</v>
      </c>
      <c r="AA31" s="6">
        <v>11938.19</v>
      </c>
      <c r="AB31" s="6">
        <v>15778.73</v>
      </c>
      <c r="AC31" s="6">
        <v>15778.73</v>
      </c>
      <c r="AD31" s="6">
        <v>15778.73</v>
      </c>
      <c r="AE31" s="6">
        <v>15778.73</v>
      </c>
      <c r="AF31" s="6">
        <v>15778.73</v>
      </c>
      <c r="AG31" s="6">
        <v>2146.4</v>
      </c>
      <c r="AI31" s="6">
        <f t="shared" si="2"/>
        <v>480122.26999999996</v>
      </c>
    </row>
    <row r="32" spans="2:35" s="38" customFormat="1" x14ac:dyDescent="0.2">
      <c r="F32" s="38">
        <f>SUM(F20:F31)</f>
        <v>806490.9</v>
      </c>
      <c r="G32" s="38">
        <f t="shared" ref="G32:AG32" si="3">SUM(G20:G31)</f>
        <v>111316.71</v>
      </c>
      <c r="H32" s="38">
        <f t="shared" si="3"/>
        <v>268855.67</v>
      </c>
      <c r="I32" s="38">
        <f t="shared" si="3"/>
        <v>268855.67</v>
      </c>
      <c r="J32" s="38">
        <f t="shared" si="3"/>
        <v>147893.47</v>
      </c>
      <c r="K32" s="38">
        <f t="shared" si="3"/>
        <v>115479.13999999998</v>
      </c>
      <c r="L32" s="38">
        <f t="shared" si="3"/>
        <v>147893.47</v>
      </c>
      <c r="M32" s="38">
        <f t="shared" si="3"/>
        <v>147893.47</v>
      </c>
      <c r="N32" s="38">
        <f t="shared" si="3"/>
        <v>147893.47</v>
      </c>
      <c r="O32" s="38">
        <f t="shared" si="3"/>
        <v>147893.47</v>
      </c>
      <c r="P32" s="38">
        <f t="shared" si="3"/>
        <v>147893.47</v>
      </c>
      <c r="Q32" s="38">
        <f t="shared" si="3"/>
        <v>147893.47</v>
      </c>
      <c r="R32" s="38">
        <f t="shared" si="3"/>
        <v>115479.13999999998</v>
      </c>
      <c r="S32" s="38">
        <f t="shared" si="3"/>
        <v>232595.49999999997</v>
      </c>
      <c r="T32" s="38">
        <f t="shared" si="3"/>
        <v>357389.52000000008</v>
      </c>
      <c r="U32" s="38">
        <f t="shared" si="3"/>
        <v>268855.67</v>
      </c>
      <c r="V32" s="38">
        <f t="shared" si="3"/>
        <v>115479.13999999998</v>
      </c>
      <c r="W32" s="38">
        <f t="shared" si="3"/>
        <v>147893.47</v>
      </c>
      <c r="X32" s="38">
        <f t="shared" si="3"/>
        <v>147893.47</v>
      </c>
      <c r="Y32" s="38">
        <f t="shared" si="3"/>
        <v>115479.13999999998</v>
      </c>
      <c r="Z32" s="38">
        <f t="shared" si="3"/>
        <v>147893.47</v>
      </c>
      <c r="AA32" s="38">
        <f t="shared" si="3"/>
        <v>115479.13999999998</v>
      </c>
      <c r="AB32" s="38">
        <f t="shared" si="3"/>
        <v>147893.47</v>
      </c>
      <c r="AC32" s="38">
        <f t="shared" si="3"/>
        <v>147893.47</v>
      </c>
      <c r="AD32" s="38">
        <f t="shared" si="3"/>
        <v>147893.47</v>
      </c>
      <c r="AE32" s="38">
        <f t="shared" si="3"/>
        <v>147893.47</v>
      </c>
      <c r="AF32" s="38">
        <f t="shared" si="3"/>
        <v>147893.47</v>
      </c>
      <c r="AG32" s="38">
        <f t="shared" si="3"/>
        <v>16381.439999999999</v>
      </c>
    </row>
    <row r="33" spans="2:35" s="38" customFormat="1" x14ac:dyDescent="0.2">
      <c r="B33" s="39" t="s">
        <v>55</v>
      </c>
      <c r="F33" s="40">
        <f t="shared" ref="F33:AG33" si="4">SUM(F20:F31)</f>
        <v>806490.9</v>
      </c>
      <c r="G33" s="40">
        <f t="shared" si="4"/>
        <v>111316.71</v>
      </c>
      <c r="H33" s="40">
        <f t="shared" si="4"/>
        <v>268855.67</v>
      </c>
      <c r="I33" s="40">
        <f t="shared" si="4"/>
        <v>268855.67</v>
      </c>
      <c r="J33" s="40">
        <f t="shared" si="4"/>
        <v>147893.47</v>
      </c>
      <c r="K33" s="40">
        <f t="shared" si="4"/>
        <v>115479.13999999998</v>
      </c>
      <c r="L33" s="40">
        <f t="shared" si="4"/>
        <v>147893.47</v>
      </c>
      <c r="M33" s="40">
        <f t="shared" si="4"/>
        <v>147893.47</v>
      </c>
      <c r="N33" s="40">
        <f t="shared" si="4"/>
        <v>147893.47</v>
      </c>
      <c r="O33" s="40">
        <f t="shared" si="4"/>
        <v>147893.47</v>
      </c>
      <c r="P33" s="40">
        <f t="shared" si="4"/>
        <v>147893.47</v>
      </c>
      <c r="Q33" s="40">
        <f t="shared" si="4"/>
        <v>147893.47</v>
      </c>
      <c r="R33" s="40">
        <f t="shared" si="4"/>
        <v>115479.13999999998</v>
      </c>
      <c r="S33" s="40">
        <f t="shared" si="4"/>
        <v>232595.49999999997</v>
      </c>
      <c r="T33" s="40">
        <f t="shared" si="4"/>
        <v>357389.52000000008</v>
      </c>
      <c r="U33" s="40">
        <f t="shared" si="4"/>
        <v>268855.67</v>
      </c>
      <c r="V33" s="40">
        <f t="shared" si="4"/>
        <v>115479.13999999998</v>
      </c>
      <c r="W33" s="40">
        <f t="shared" si="4"/>
        <v>147893.47</v>
      </c>
      <c r="X33" s="40">
        <f t="shared" si="4"/>
        <v>147893.47</v>
      </c>
      <c r="Y33" s="40">
        <f t="shared" si="4"/>
        <v>115479.13999999998</v>
      </c>
      <c r="Z33" s="40">
        <f t="shared" si="4"/>
        <v>147893.47</v>
      </c>
      <c r="AA33" s="40">
        <f t="shared" si="4"/>
        <v>115479.13999999998</v>
      </c>
      <c r="AB33" s="40">
        <f t="shared" si="4"/>
        <v>147893.47</v>
      </c>
      <c r="AC33" s="40">
        <f t="shared" si="4"/>
        <v>147893.47</v>
      </c>
      <c r="AD33" s="40">
        <f t="shared" si="4"/>
        <v>147893.47</v>
      </c>
      <c r="AE33" s="40">
        <f t="shared" si="4"/>
        <v>147893.47</v>
      </c>
      <c r="AF33" s="40">
        <f t="shared" si="4"/>
        <v>147893.47</v>
      </c>
      <c r="AG33" s="40">
        <f t="shared" si="4"/>
        <v>16381.439999999999</v>
      </c>
      <c r="AI33" s="40">
        <f>SUM(AI20:AI31)</f>
        <v>5126538.83</v>
      </c>
    </row>
    <row r="35" spans="2:35" x14ac:dyDescent="0.2">
      <c r="B35" s="1" t="s">
        <v>56</v>
      </c>
      <c r="F35" s="6">
        <f t="shared" ref="F35:K35" si="5">+F16-F33</f>
        <v>0</v>
      </c>
      <c r="G35" s="6">
        <f t="shared" si="5"/>
        <v>0</v>
      </c>
      <c r="H35" s="6">
        <f t="shared" si="5"/>
        <v>0</v>
      </c>
      <c r="I35" s="6">
        <f t="shared" si="5"/>
        <v>0</v>
      </c>
      <c r="J35" s="6">
        <f t="shared" si="5"/>
        <v>0</v>
      </c>
      <c r="K35" s="6">
        <f t="shared" si="5"/>
        <v>0</v>
      </c>
      <c r="L35" s="6">
        <f>L33-L32</f>
        <v>0</v>
      </c>
      <c r="M35" s="6">
        <f t="shared" ref="M35:AG35" si="6">M33-M32</f>
        <v>0</v>
      </c>
      <c r="N35" s="6">
        <f t="shared" si="6"/>
        <v>0</v>
      </c>
      <c r="O35" s="6">
        <f t="shared" si="6"/>
        <v>0</v>
      </c>
      <c r="P35" s="6">
        <f t="shared" si="6"/>
        <v>0</v>
      </c>
      <c r="Q35" s="6">
        <f t="shared" si="6"/>
        <v>0</v>
      </c>
      <c r="R35" s="6">
        <f t="shared" si="6"/>
        <v>0</v>
      </c>
      <c r="S35" s="6">
        <f t="shared" si="6"/>
        <v>0</v>
      </c>
      <c r="T35" s="6">
        <f t="shared" si="6"/>
        <v>0</v>
      </c>
      <c r="U35" s="6">
        <f t="shared" si="6"/>
        <v>0</v>
      </c>
      <c r="V35" s="6">
        <f t="shared" si="6"/>
        <v>0</v>
      </c>
      <c r="W35" s="6">
        <f t="shared" si="6"/>
        <v>0</v>
      </c>
      <c r="X35" s="6">
        <f t="shared" si="6"/>
        <v>0</v>
      </c>
      <c r="Y35" s="6">
        <f t="shared" si="6"/>
        <v>0</v>
      </c>
      <c r="Z35" s="6">
        <f t="shared" si="6"/>
        <v>0</v>
      </c>
      <c r="AA35" s="6">
        <f t="shared" si="6"/>
        <v>0</v>
      </c>
      <c r="AB35" s="6">
        <f t="shared" si="6"/>
        <v>0</v>
      </c>
      <c r="AC35" s="6">
        <f t="shared" si="6"/>
        <v>0</v>
      </c>
      <c r="AD35" s="6">
        <f t="shared" si="6"/>
        <v>0</v>
      </c>
      <c r="AE35" s="6">
        <f t="shared" si="6"/>
        <v>0</v>
      </c>
      <c r="AF35" s="6">
        <f t="shared" si="6"/>
        <v>0</v>
      </c>
      <c r="AG35" s="6">
        <f t="shared" si="6"/>
        <v>0</v>
      </c>
      <c r="AI35" s="6">
        <f>+AI16-AI33</f>
        <v>0</v>
      </c>
    </row>
    <row r="37" spans="2:35" x14ac:dyDescent="0.2">
      <c r="B37" s="1" t="s">
        <v>57</v>
      </c>
    </row>
    <row r="38" spans="2:35" x14ac:dyDescent="0.2">
      <c r="B38" s="5" t="s">
        <v>58</v>
      </c>
      <c r="F38" s="6">
        <v>353546.9</v>
      </c>
      <c r="G38" s="6">
        <v>48793.35</v>
      </c>
      <c r="H38" s="6">
        <v>117847.47</v>
      </c>
      <c r="I38" s="6">
        <v>117847.47</v>
      </c>
      <c r="J38" s="6">
        <v>64826.13</v>
      </c>
      <c r="K38" s="6">
        <v>50617.97</v>
      </c>
      <c r="L38" s="6">
        <v>64826.13</v>
      </c>
      <c r="M38" s="6">
        <v>64826.13</v>
      </c>
      <c r="N38" s="6">
        <v>64826.13</v>
      </c>
      <c r="O38" s="6">
        <v>64826.13</v>
      </c>
      <c r="P38" s="6">
        <v>64826.13</v>
      </c>
      <c r="Q38" s="6">
        <v>64826.13</v>
      </c>
      <c r="R38" s="6">
        <v>50617.97</v>
      </c>
      <c r="S38" s="6">
        <v>117847.47</v>
      </c>
      <c r="T38" s="6">
        <v>156654.5</v>
      </c>
      <c r="U38" s="6">
        <v>117847.47</v>
      </c>
      <c r="V38" s="6">
        <v>50617.97</v>
      </c>
      <c r="W38" s="6">
        <v>64826.13</v>
      </c>
      <c r="X38" s="6">
        <v>64826.13</v>
      </c>
      <c r="Y38" s="6">
        <v>50617.97</v>
      </c>
      <c r="Z38" s="6">
        <v>64826.13</v>
      </c>
      <c r="AA38" s="6">
        <v>50617.97</v>
      </c>
      <c r="AB38" s="6">
        <v>64826.13</v>
      </c>
      <c r="AC38" s="6">
        <v>64826.13</v>
      </c>
      <c r="AD38" s="6">
        <v>64826.13</v>
      </c>
      <c r="AE38" s="6">
        <v>64826.13</v>
      </c>
      <c r="AF38" s="6">
        <v>64826.13</v>
      </c>
      <c r="AG38" s="6">
        <v>7180.48</v>
      </c>
      <c r="AI38" s="7">
        <f>SUM(F38:AG38)</f>
        <v>2263046.9099999988</v>
      </c>
    </row>
    <row r="39" spans="2:35" x14ac:dyDescent="0.2">
      <c r="B39" s="11" t="s">
        <v>43</v>
      </c>
      <c r="G39" s="12">
        <v>7073.51</v>
      </c>
      <c r="H39" s="12">
        <v>18847.86</v>
      </c>
      <c r="I39" s="12">
        <v>18847.86</v>
      </c>
      <c r="J39" s="12">
        <v>11438.3</v>
      </c>
      <c r="K39" s="12">
        <v>10331.11</v>
      </c>
      <c r="L39" s="12">
        <v>11438.3</v>
      </c>
      <c r="M39" s="12">
        <v>11438.3</v>
      </c>
      <c r="N39" s="12">
        <v>11438.3</v>
      </c>
      <c r="O39" s="12">
        <v>11438.3</v>
      </c>
      <c r="P39" s="12">
        <v>11438.3</v>
      </c>
      <c r="Q39" s="12">
        <v>11438.3</v>
      </c>
      <c r="R39" s="12">
        <v>10331.11</v>
      </c>
      <c r="S39" s="12">
        <v>18847.86</v>
      </c>
      <c r="T39" s="12">
        <v>25778.240000000002</v>
      </c>
      <c r="U39" s="12">
        <v>18847.86</v>
      </c>
      <c r="V39" s="12">
        <v>10331.11</v>
      </c>
      <c r="W39" s="12">
        <v>11438.3</v>
      </c>
      <c r="X39" s="12">
        <v>11438.3</v>
      </c>
      <c r="Y39" s="12">
        <v>10331.11</v>
      </c>
      <c r="Z39" s="12">
        <v>11438.3</v>
      </c>
      <c r="AA39" s="12">
        <v>10331.11</v>
      </c>
      <c r="AB39" s="12">
        <v>11438.3</v>
      </c>
      <c r="AC39" s="12">
        <v>11438.3</v>
      </c>
      <c r="AD39" s="12">
        <v>11438.3</v>
      </c>
      <c r="AE39" s="12">
        <v>11438.3</v>
      </c>
      <c r="AF39" s="12">
        <v>11438.3</v>
      </c>
      <c r="AG39" s="12">
        <v>128.13</v>
      </c>
      <c r="AI39" s="12"/>
    </row>
    <row r="40" spans="2:35" x14ac:dyDescent="0.2">
      <c r="B40" s="11" t="s">
        <v>44</v>
      </c>
      <c r="F40" s="12">
        <v>207313.98</v>
      </c>
      <c r="AI40" s="12"/>
    </row>
    <row r="41" spans="2:35" x14ac:dyDescent="0.2">
      <c r="B41" s="11" t="s">
        <v>45</v>
      </c>
      <c r="F41" s="12">
        <v>135048.97</v>
      </c>
      <c r="G41" s="12">
        <v>32383.49</v>
      </c>
      <c r="H41" s="12">
        <v>78494.28</v>
      </c>
      <c r="I41" s="12">
        <v>78494.28</v>
      </c>
      <c r="J41" s="12">
        <v>43307.58</v>
      </c>
      <c r="K41" s="12">
        <v>33917.53</v>
      </c>
      <c r="L41" s="12">
        <v>43307.58</v>
      </c>
      <c r="M41" s="12">
        <v>43307.58</v>
      </c>
      <c r="N41" s="12">
        <v>43307.58</v>
      </c>
      <c r="O41" s="12">
        <v>43307.58</v>
      </c>
      <c r="P41" s="12">
        <v>43307.58</v>
      </c>
      <c r="Q41" s="12">
        <v>43307.58</v>
      </c>
      <c r="R41" s="12">
        <v>33917.53</v>
      </c>
      <c r="S41" s="12">
        <v>78494.28</v>
      </c>
      <c r="T41" s="12">
        <v>104439.75</v>
      </c>
      <c r="U41" s="12">
        <v>78494.28</v>
      </c>
      <c r="V41" s="12">
        <v>33917.53</v>
      </c>
      <c r="W41" s="12">
        <v>43307.58</v>
      </c>
      <c r="X41" s="12">
        <v>43307.58</v>
      </c>
      <c r="Y41" s="12">
        <v>33917.53</v>
      </c>
      <c r="Z41" s="12">
        <v>43307.58</v>
      </c>
      <c r="AA41" s="12">
        <v>33917.53</v>
      </c>
      <c r="AB41" s="12">
        <v>43307.58</v>
      </c>
      <c r="AC41" s="12">
        <v>43307.58</v>
      </c>
      <c r="AD41" s="12">
        <v>43307.58</v>
      </c>
      <c r="AE41" s="12">
        <v>43307.58</v>
      </c>
      <c r="AF41" s="12">
        <v>43307.58</v>
      </c>
      <c r="AG41" s="12">
        <v>4369.87</v>
      </c>
      <c r="AI41" s="12"/>
    </row>
    <row r="42" spans="2:35" x14ac:dyDescent="0.2">
      <c r="B42" s="11" t="s">
        <v>46</v>
      </c>
      <c r="G42" s="12">
        <v>12.88</v>
      </c>
      <c r="H42" s="12">
        <v>34.33</v>
      </c>
      <c r="I42" s="12">
        <v>34.33</v>
      </c>
      <c r="J42" s="12">
        <v>20.83</v>
      </c>
      <c r="K42" s="12">
        <v>18.82</v>
      </c>
      <c r="L42" s="12">
        <v>20.83</v>
      </c>
      <c r="M42" s="12">
        <v>20.83</v>
      </c>
      <c r="N42" s="12">
        <v>20.83</v>
      </c>
      <c r="O42" s="12">
        <v>20.83</v>
      </c>
      <c r="P42" s="12">
        <v>20.83</v>
      </c>
      <c r="Q42" s="12">
        <v>20.83</v>
      </c>
      <c r="R42" s="12">
        <v>18.82</v>
      </c>
      <c r="S42" s="12">
        <v>34.33</v>
      </c>
      <c r="T42" s="12">
        <v>46.95</v>
      </c>
      <c r="U42" s="12">
        <v>34.33</v>
      </c>
      <c r="V42" s="12">
        <v>18.82</v>
      </c>
      <c r="W42" s="12">
        <v>20.83</v>
      </c>
      <c r="X42" s="12">
        <v>20.83</v>
      </c>
      <c r="Y42" s="12">
        <v>18.82</v>
      </c>
      <c r="Z42" s="12">
        <v>20.83</v>
      </c>
      <c r="AA42" s="12">
        <v>18.82</v>
      </c>
      <c r="AB42" s="12">
        <v>20.83</v>
      </c>
      <c r="AC42" s="12">
        <v>20.83</v>
      </c>
      <c r="AD42" s="12">
        <v>20.83</v>
      </c>
      <c r="AE42" s="12">
        <v>20.83</v>
      </c>
      <c r="AF42" s="12">
        <v>20.83</v>
      </c>
      <c r="AG42" s="12">
        <v>0.23</v>
      </c>
      <c r="AI42" s="12"/>
    </row>
    <row r="43" spans="2:35" x14ac:dyDescent="0.2">
      <c r="B43" s="11" t="s">
        <v>47</v>
      </c>
      <c r="F43" s="12">
        <v>377.58</v>
      </c>
      <c r="AI43" s="12"/>
    </row>
    <row r="44" spans="2:35" x14ac:dyDescent="0.2">
      <c r="B44" s="11" t="s">
        <v>48</v>
      </c>
      <c r="F44" s="12">
        <v>245.97</v>
      </c>
      <c r="G44" s="12">
        <v>58.98</v>
      </c>
      <c r="H44" s="12">
        <v>142.94999999999999</v>
      </c>
      <c r="I44" s="12">
        <v>142.94999999999999</v>
      </c>
      <c r="J44" s="12">
        <v>78.87</v>
      </c>
      <c r="K44" s="12">
        <v>61.77</v>
      </c>
      <c r="L44" s="12">
        <v>78.87</v>
      </c>
      <c r="M44" s="12">
        <v>78.87</v>
      </c>
      <c r="N44" s="12">
        <v>78.87</v>
      </c>
      <c r="O44" s="12">
        <v>78.87</v>
      </c>
      <c r="P44" s="12">
        <v>78.87</v>
      </c>
      <c r="Q44" s="12">
        <v>78.87</v>
      </c>
      <c r="R44" s="12">
        <v>61.77</v>
      </c>
      <c r="S44" s="12">
        <v>142.94999999999999</v>
      </c>
      <c r="T44" s="12">
        <v>190.21</v>
      </c>
      <c r="U44" s="12">
        <v>142.94999999999999</v>
      </c>
      <c r="V44" s="12">
        <v>61.77</v>
      </c>
      <c r="W44" s="12">
        <v>78.87</v>
      </c>
      <c r="X44" s="12">
        <v>78.87</v>
      </c>
      <c r="Y44" s="12">
        <v>61.77</v>
      </c>
      <c r="Z44" s="12">
        <v>78.87</v>
      </c>
      <c r="AA44" s="12">
        <v>61.77</v>
      </c>
      <c r="AB44" s="12">
        <v>78.87</v>
      </c>
      <c r="AC44" s="12">
        <v>78.87</v>
      </c>
      <c r="AD44" s="12">
        <v>78.87</v>
      </c>
      <c r="AE44" s="12">
        <v>78.87</v>
      </c>
      <c r="AF44" s="12">
        <v>78.87</v>
      </c>
      <c r="AG44" s="12">
        <v>7.96</v>
      </c>
      <c r="AI44" s="12"/>
    </row>
    <row r="45" spans="2:35" x14ac:dyDescent="0.2">
      <c r="B45" s="11" t="s">
        <v>49</v>
      </c>
      <c r="G45" s="12">
        <v>667.31</v>
      </c>
      <c r="H45" s="12">
        <v>1778.1</v>
      </c>
      <c r="I45" s="12">
        <v>1778.1</v>
      </c>
      <c r="J45" s="12">
        <v>1079.08</v>
      </c>
      <c r="K45" s="12">
        <v>974.63</v>
      </c>
      <c r="L45" s="12">
        <v>1079.08</v>
      </c>
      <c r="M45" s="12">
        <v>1079.08</v>
      </c>
      <c r="N45" s="12">
        <v>1079.08</v>
      </c>
      <c r="O45" s="12">
        <v>1079.08</v>
      </c>
      <c r="P45" s="12">
        <v>1079.08</v>
      </c>
      <c r="Q45" s="12">
        <v>1079.08</v>
      </c>
      <c r="R45" s="12">
        <v>974.63</v>
      </c>
      <c r="S45" s="12">
        <v>1778.1</v>
      </c>
      <c r="T45" s="12">
        <v>2431.91</v>
      </c>
      <c r="U45" s="12">
        <v>1778.1</v>
      </c>
      <c r="V45" s="12">
        <v>974.63</v>
      </c>
      <c r="W45" s="12">
        <v>1079.08</v>
      </c>
      <c r="X45" s="12">
        <v>1079.08</v>
      </c>
      <c r="Y45" s="12">
        <v>974.63</v>
      </c>
      <c r="Z45" s="12">
        <v>1079.08</v>
      </c>
      <c r="AA45" s="12">
        <v>974.63</v>
      </c>
      <c r="AB45" s="12">
        <v>1079.08</v>
      </c>
      <c r="AC45" s="12">
        <v>1079.08</v>
      </c>
      <c r="AD45" s="12">
        <v>1079.08</v>
      </c>
      <c r="AE45" s="12">
        <v>1079.08</v>
      </c>
      <c r="AF45" s="12">
        <v>1079.08</v>
      </c>
      <c r="AG45" s="12">
        <v>12.09</v>
      </c>
      <c r="AI45" s="12"/>
    </row>
    <row r="46" spans="2:35" x14ac:dyDescent="0.2">
      <c r="B46" s="11" t="s">
        <v>50</v>
      </c>
      <c r="F46" s="12">
        <v>19557.93</v>
      </c>
      <c r="AI46" s="12"/>
    </row>
    <row r="47" spans="2:35" x14ac:dyDescent="0.2">
      <c r="B47" s="11" t="s">
        <v>51</v>
      </c>
      <c r="F47" s="12">
        <v>12740.47</v>
      </c>
      <c r="G47" s="12">
        <v>3055.04</v>
      </c>
      <c r="H47" s="12">
        <v>7405.11</v>
      </c>
      <c r="I47" s="12">
        <v>7405.11</v>
      </c>
      <c r="J47" s="12">
        <v>4085.62</v>
      </c>
      <c r="K47" s="12">
        <v>3199.76</v>
      </c>
      <c r="L47" s="12">
        <v>4085.62</v>
      </c>
      <c r="M47" s="12">
        <v>4085.62</v>
      </c>
      <c r="N47" s="12">
        <v>4085.62</v>
      </c>
      <c r="O47" s="12">
        <v>4085.62</v>
      </c>
      <c r="P47" s="12">
        <v>4085.62</v>
      </c>
      <c r="Q47" s="12">
        <v>4085.62</v>
      </c>
      <c r="R47" s="12">
        <v>3199.76</v>
      </c>
      <c r="S47" s="12">
        <v>7405.11</v>
      </c>
      <c r="T47" s="12">
        <v>9852.7900000000009</v>
      </c>
      <c r="U47" s="12">
        <v>7405.11</v>
      </c>
      <c r="V47" s="12">
        <v>3199.76</v>
      </c>
      <c r="W47" s="12">
        <v>4085.62</v>
      </c>
      <c r="X47" s="12">
        <v>4085.62</v>
      </c>
      <c r="Y47" s="12">
        <v>3199.76</v>
      </c>
      <c r="Z47" s="12">
        <v>4085.62</v>
      </c>
      <c r="AA47" s="12">
        <v>3199.76</v>
      </c>
      <c r="AB47" s="12">
        <v>4085.62</v>
      </c>
      <c r="AC47" s="12">
        <v>4085.62</v>
      </c>
      <c r="AD47" s="12">
        <v>4085.62</v>
      </c>
      <c r="AE47" s="12">
        <v>4085.62</v>
      </c>
      <c r="AF47" s="12">
        <v>4085.62</v>
      </c>
      <c r="AG47" s="12">
        <v>412.25</v>
      </c>
      <c r="AI47" s="12"/>
    </row>
    <row r="48" spans="2:35" x14ac:dyDescent="0.2">
      <c r="B48" s="11" t="s">
        <v>52</v>
      </c>
      <c r="G48" s="12">
        <v>1208.75</v>
      </c>
      <c r="H48" s="12">
        <v>3220.81</v>
      </c>
      <c r="I48" s="12">
        <v>3220.81</v>
      </c>
      <c r="J48" s="12">
        <v>1954.63</v>
      </c>
      <c r="K48" s="12">
        <v>1765.43</v>
      </c>
      <c r="L48" s="12">
        <v>1954.63</v>
      </c>
      <c r="M48" s="12">
        <v>1954.63</v>
      </c>
      <c r="N48" s="12">
        <v>1954.63</v>
      </c>
      <c r="O48" s="12">
        <v>1954.63</v>
      </c>
      <c r="P48" s="12">
        <v>1954.63</v>
      </c>
      <c r="Q48" s="12">
        <v>1954.63</v>
      </c>
      <c r="R48" s="12">
        <v>1765.43</v>
      </c>
      <c r="S48" s="12">
        <v>3220.81</v>
      </c>
      <c r="T48" s="12">
        <v>4405.1000000000004</v>
      </c>
      <c r="U48" s="12">
        <v>3220.81</v>
      </c>
      <c r="V48" s="12">
        <v>1765.43</v>
      </c>
      <c r="W48" s="12">
        <v>1954.63</v>
      </c>
      <c r="X48" s="12">
        <v>1954.63</v>
      </c>
      <c r="Y48" s="12">
        <v>1765.43</v>
      </c>
      <c r="Z48" s="12">
        <v>1954.63</v>
      </c>
      <c r="AA48" s="12">
        <v>1765.43</v>
      </c>
      <c r="AB48" s="12">
        <v>1954.63</v>
      </c>
      <c r="AC48" s="12">
        <v>1954.63</v>
      </c>
      <c r="AD48" s="12">
        <v>1954.63</v>
      </c>
      <c r="AE48" s="12">
        <v>1954.63</v>
      </c>
      <c r="AF48" s="12">
        <v>1954.63</v>
      </c>
      <c r="AG48" s="12">
        <v>21.9</v>
      </c>
      <c r="AI48" s="12"/>
    </row>
    <row r="49" spans="2:35" x14ac:dyDescent="0.2">
      <c r="B49" s="11" t="s">
        <v>53</v>
      </c>
      <c r="F49" s="12">
        <v>35426.75</v>
      </c>
      <c r="AI49" s="12"/>
    </row>
    <row r="50" spans="2:35" x14ac:dyDescent="0.2">
      <c r="B50" s="11" t="s">
        <v>54</v>
      </c>
      <c r="F50" s="12">
        <v>23077.78</v>
      </c>
      <c r="G50" s="12">
        <v>5533.84</v>
      </c>
      <c r="H50" s="12">
        <v>13413.46</v>
      </c>
      <c r="I50" s="12">
        <v>13413.46</v>
      </c>
      <c r="J50" s="12">
        <v>7400.59</v>
      </c>
      <c r="K50" s="12">
        <v>5795.98</v>
      </c>
      <c r="L50" s="12">
        <v>7400.59</v>
      </c>
      <c r="M50" s="12">
        <v>7400.59</v>
      </c>
      <c r="N50" s="12">
        <v>7400.59</v>
      </c>
      <c r="O50" s="12">
        <v>7400.59</v>
      </c>
      <c r="P50" s="12">
        <v>7400.59</v>
      </c>
      <c r="Q50" s="12">
        <v>7400.59</v>
      </c>
      <c r="R50" s="12">
        <v>5795.98</v>
      </c>
      <c r="S50" s="12">
        <v>13413.46</v>
      </c>
      <c r="T50" s="12">
        <v>17847.14</v>
      </c>
      <c r="U50" s="12">
        <v>13413.46</v>
      </c>
      <c r="V50" s="12">
        <v>5795.98</v>
      </c>
      <c r="W50" s="12">
        <v>7400.59</v>
      </c>
      <c r="X50" s="12">
        <v>7400.59</v>
      </c>
      <c r="Y50" s="12">
        <v>5795.98</v>
      </c>
      <c r="Z50" s="12">
        <v>7400.59</v>
      </c>
      <c r="AA50" s="12">
        <v>5795.98</v>
      </c>
      <c r="AB50" s="12">
        <v>7400.59</v>
      </c>
      <c r="AC50" s="12">
        <v>7400.59</v>
      </c>
      <c r="AD50" s="12">
        <v>7400.59</v>
      </c>
      <c r="AE50" s="12">
        <v>7400.59</v>
      </c>
      <c r="AF50" s="12">
        <v>7400.59</v>
      </c>
      <c r="AG50" s="12">
        <v>746.74</v>
      </c>
      <c r="AI50" s="12"/>
    </row>
    <row r="51" spans="2:35" x14ac:dyDescent="0.2">
      <c r="B51" t="s">
        <v>59</v>
      </c>
      <c r="F51" s="13">
        <v>433789.43</v>
      </c>
      <c r="G51" s="13">
        <v>49993.81</v>
      </c>
      <c r="H51" s="13">
        <v>123336.9</v>
      </c>
      <c r="I51" s="13">
        <v>123336.9</v>
      </c>
      <c r="J51" s="13">
        <v>69365.5</v>
      </c>
      <c r="K51" s="13">
        <v>56065.03</v>
      </c>
      <c r="L51" s="13">
        <v>69365.5</v>
      </c>
      <c r="M51" s="13">
        <v>69365.5</v>
      </c>
      <c r="N51" s="13">
        <v>69365.5</v>
      </c>
      <c r="O51" s="13">
        <v>69365.5</v>
      </c>
      <c r="P51" s="13">
        <v>69365.5</v>
      </c>
      <c r="Q51" s="13">
        <v>69365.5</v>
      </c>
      <c r="R51" s="13">
        <v>56065.03</v>
      </c>
      <c r="S51" s="13">
        <v>123336.9</v>
      </c>
      <c r="T51" s="13">
        <v>164992.09</v>
      </c>
      <c r="U51" s="13">
        <v>123336.9</v>
      </c>
      <c r="V51" s="13">
        <v>56065.03</v>
      </c>
      <c r="W51" s="13">
        <v>69365.5</v>
      </c>
      <c r="X51" s="13">
        <v>69365.5</v>
      </c>
      <c r="Y51" s="13">
        <v>56065.03</v>
      </c>
      <c r="Z51" s="13">
        <v>69365.5</v>
      </c>
      <c r="AA51" s="13">
        <v>56065.03</v>
      </c>
      <c r="AB51" s="13">
        <v>69365.5</v>
      </c>
      <c r="AC51" s="13">
        <v>69365.5</v>
      </c>
      <c r="AD51" s="13">
        <v>69365.5</v>
      </c>
      <c r="AE51" s="13">
        <v>69365.5</v>
      </c>
      <c r="AF51" s="13">
        <v>69365.5</v>
      </c>
      <c r="AG51" s="13">
        <v>5699.17</v>
      </c>
      <c r="AI51" s="14">
        <f>SUM(F51:AG51)</f>
        <v>2468629.75</v>
      </c>
    </row>
    <row r="52" spans="2:35" x14ac:dyDescent="0.2">
      <c r="B52" s="8" t="s">
        <v>60</v>
      </c>
      <c r="F52" s="15">
        <v>-80242.53</v>
      </c>
      <c r="G52" s="15">
        <v>-1200.46</v>
      </c>
      <c r="H52" s="15">
        <v>-5489.43</v>
      </c>
      <c r="I52" s="15">
        <v>-5489.43</v>
      </c>
      <c r="J52" s="15">
        <v>-4539.37</v>
      </c>
      <c r="K52" s="15">
        <v>-5447.06</v>
      </c>
      <c r="L52" s="15">
        <v>-4539.37</v>
      </c>
      <c r="M52" s="15">
        <v>-4539.37</v>
      </c>
      <c r="N52" s="15">
        <v>-4539.37</v>
      </c>
      <c r="O52" s="15">
        <v>-4539.37</v>
      </c>
      <c r="P52" s="15">
        <v>-4539.37</v>
      </c>
      <c r="Q52" s="15">
        <v>-4539.37</v>
      </c>
      <c r="R52" s="15">
        <v>-5447.06</v>
      </c>
      <c r="S52" s="15">
        <v>-5489.43</v>
      </c>
      <c r="T52" s="15">
        <v>-8337.59</v>
      </c>
      <c r="U52" s="15">
        <v>-5489.43</v>
      </c>
      <c r="V52" s="15">
        <v>-5447.06</v>
      </c>
      <c r="W52" s="15">
        <v>-4539.37</v>
      </c>
      <c r="X52" s="15">
        <v>-4539.37</v>
      </c>
      <c r="Y52" s="15">
        <v>-5447.06</v>
      </c>
      <c r="Z52" s="15">
        <v>-4539.37</v>
      </c>
      <c r="AA52" s="15">
        <v>-5447.06</v>
      </c>
      <c r="AB52" s="15">
        <v>-4539.37</v>
      </c>
      <c r="AC52" s="15">
        <v>-4539.37</v>
      </c>
      <c r="AD52" s="15">
        <v>-4539.37</v>
      </c>
      <c r="AE52" s="15">
        <v>-4539.37</v>
      </c>
      <c r="AF52" s="15">
        <v>-4539.37</v>
      </c>
      <c r="AG52" s="15">
        <v>1481.31</v>
      </c>
      <c r="AI52" s="16">
        <f>SUM(F52:AG52)</f>
        <v>-205582.83999999991</v>
      </c>
    </row>
    <row r="53" spans="2:35" x14ac:dyDescent="0.2">
      <c r="F53">
        <f>SUM(F39:F50)</f>
        <v>433789.42999999993</v>
      </c>
      <c r="G53">
        <f t="shared" ref="G53:AG53" si="7">SUM(G39:G50)</f>
        <v>49993.8</v>
      </c>
      <c r="H53">
        <f t="shared" si="7"/>
        <v>123336.9</v>
      </c>
      <c r="I53">
        <f t="shared" si="7"/>
        <v>123336.9</v>
      </c>
      <c r="J53">
        <f t="shared" si="7"/>
        <v>69365.500000000015</v>
      </c>
      <c r="K53">
        <f t="shared" si="7"/>
        <v>56065.03</v>
      </c>
      <c r="L53">
        <f t="shared" si="7"/>
        <v>69365.500000000015</v>
      </c>
      <c r="M53">
        <f t="shared" si="7"/>
        <v>69365.500000000015</v>
      </c>
      <c r="N53">
        <f t="shared" si="7"/>
        <v>69365.500000000015</v>
      </c>
      <c r="O53">
        <f t="shared" si="7"/>
        <v>69365.500000000015</v>
      </c>
      <c r="P53">
        <f t="shared" si="7"/>
        <v>69365.500000000015</v>
      </c>
      <c r="Q53">
        <f t="shared" si="7"/>
        <v>69365.500000000015</v>
      </c>
      <c r="R53">
        <f t="shared" si="7"/>
        <v>56065.03</v>
      </c>
      <c r="S53">
        <f t="shared" si="7"/>
        <v>123336.9</v>
      </c>
      <c r="T53">
        <f t="shared" si="7"/>
        <v>164992.09000000003</v>
      </c>
      <c r="U53">
        <f t="shared" si="7"/>
        <v>123336.9</v>
      </c>
      <c r="V53">
        <f t="shared" si="7"/>
        <v>56065.03</v>
      </c>
      <c r="W53">
        <f t="shared" si="7"/>
        <v>69365.500000000015</v>
      </c>
      <c r="X53">
        <f t="shared" si="7"/>
        <v>69365.500000000015</v>
      </c>
      <c r="Y53">
        <f t="shared" si="7"/>
        <v>56065.03</v>
      </c>
      <c r="Z53">
        <f t="shared" si="7"/>
        <v>69365.500000000015</v>
      </c>
      <c r="AA53">
        <f t="shared" si="7"/>
        <v>56065.03</v>
      </c>
      <c r="AB53">
        <f t="shared" si="7"/>
        <v>69365.500000000015</v>
      </c>
      <c r="AC53">
        <f t="shared" si="7"/>
        <v>69365.500000000015</v>
      </c>
      <c r="AD53">
        <f t="shared" si="7"/>
        <v>69365.500000000015</v>
      </c>
      <c r="AE53">
        <f t="shared" si="7"/>
        <v>69365.500000000015</v>
      </c>
      <c r="AF53">
        <f t="shared" si="7"/>
        <v>69365.500000000015</v>
      </c>
      <c r="AG53">
        <f t="shared" si="7"/>
        <v>5699.1699999999992</v>
      </c>
    </row>
    <row r="54" spans="2:35" x14ac:dyDescent="0.2">
      <c r="F54" s="13">
        <f>F53-F51</f>
        <v>0</v>
      </c>
      <c r="G54" s="13">
        <f t="shared" ref="G54:AG54" si="8">G53-G51</f>
        <v>-9.9999999947613105E-3</v>
      </c>
      <c r="H54" s="13">
        <f t="shared" si="8"/>
        <v>0</v>
      </c>
      <c r="I54" s="13">
        <f t="shared" si="8"/>
        <v>0</v>
      </c>
      <c r="J54" s="13">
        <f t="shared" si="8"/>
        <v>0</v>
      </c>
      <c r="K54" s="13">
        <f t="shared" si="8"/>
        <v>0</v>
      </c>
      <c r="L54" s="13">
        <f t="shared" si="8"/>
        <v>0</v>
      </c>
      <c r="M54" s="13">
        <f t="shared" si="8"/>
        <v>0</v>
      </c>
      <c r="N54" s="13">
        <f t="shared" si="8"/>
        <v>0</v>
      </c>
      <c r="O54" s="13">
        <f t="shared" si="8"/>
        <v>0</v>
      </c>
      <c r="P54" s="13">
        <f t="shared" si="8"/>
        <v>0</v>
      </c>
      <c r="Q54" s="13">
        <f t="shared" si="8"/>
        <v>0</v>
      </c>
      <c r="R54" s="13">
        <f t="shared" si="8"/>
        <v>0</v>
      </c>
      <c r="S54" s="13">
        <f t="shared" si="8"/>
        <v>0</v>
      </c>
      <c r="T54" s="13">
        <f t="shared" si="8"/>
        <v>0</v>
      </c>
      <c r="U54" s="13">
        <f t="shared" si="8"/>
        <v>0</v>
      </c>
      <c r="V54" s="13">
        <f t="shared" si="8"/>
        <v>0</v>
      </c>
      <c r="W54" s="13">
        <f t="shared" si="8"/>
        <v>0</v>
      </c>
      <c r="X54" s="13">
        <f t="shared" si="8"/>
        <v>0</v>
      </c>
      <c r="Y54" s="13">
        <f t="shared" si="8"/>
        <v>0</v>
      </c>
      <c r="Z54" s="13">
        <f t="shared" si="8"/>
        <v>0</v>
      </c>
      <c r="AA54" s="13">
        <f t="shared" si="8"/>
        <v>0</v>
      </c>
      <c r="AB54" s="13">
        <f t="shared" si="8"/>
        <v>0</v>
      </c>
      <c r="AC54" s="13">
        <f t="shared" si="8"/>
        <v>0</v>
      </c>
      <c r="AD54" s="13">
        <f t="shared" si="8"/>
        <v>0</v>
      </c>
      <c r="AE54" s="13">
        <f t="shared" si="8"/>
        <v>0</v>
      </c>
      <c r="AF54" s="13">
        <f t="shared" si="8"/>
        <v>0</v>
      </c>
      <c r="AG54" s="13">
        <f t="shared" si="8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/>
  </sheetViews>
  <sheetFormatPr baseColWidth="10" defaultColWidth="8.83203125" defaultRowHeight="15" x14ac:dyDescent="0.2"/>
  <cols>
    <col min="1" max="1" width="42" customWidth="1"/>
    <col min="2" max="2" width="16" customWidth="1"/>
    <col min="3" max="3" width="14" customWidth="1"/>
    <col min="4" max="4" width="12" customWidth="1"/>
    <col min="5" max="7" width="14" customWidth="1"/>
  </cols>
  <sheetData>
    <row r="1" spans="1:7" x14ac:dyDescent="0.2">
      <c r="A1" s="1" t="s">
        <v>0</v>
      </c>
    </row>
    <row r="2" spans="1:7" x14ac:dyDescent="0.2">
      <c r="A2" s="5" t="s">
        <v>61</v>
      </c>
    </row>
    <row r="3" spans="1:7" x14ac:dyDescent="0.2">
      <c r="A3" s="5" t="s">
        <v>62</v>
      </c>
    </row>
    <row r="4" spans="1:7" x14ac:dyDescent="0.2">
      <c r="A4" s="5" t="s">
        <v>63</v>
      </c>
    </row>
    <row r="5" spans="1:7" x14ac:dyDescent="0.2">
      <c r="A5" s="5" t="s">
        <v>64</v>
      </c>
    </row>
    <row r="7" spans="1:7" x14ac:dyDescent="0.2">
      <c r="A7" s="1" t="s">
        <v>65</v>
      </c>
    </row>
    <row r="8" spans="1:7" x14ac:dyDescent="0.2">
      <c r="A8" s="9" t="s">
        <v>66</v>
      </c>
    </row>
    <row r="13" spans="1:7" x14ac:dyDescent="0.2">
      <c r="A13" s="18" t="s">
        <v>67</v>
      </c>
      <c r="B13" s="19" t="s">
        <v>68</v>
      </c>
      <c r="C13" s="19" t="s">
        <v>69</v>
      </c>
      <c r="D13" s="19" t="s">
        <v>70</v>
      </c>
      <c r="E13" s="19" t="s">
        <v>71</v>
      </c>
      <c r="F13" s="19" t="s">
        <v>72</v>
      </c>
      <c r="G13" s="19" t="s">
        <v>73</v>
      </c>
    </row>
    <row r="15" spans="1:7" x14ac:dyDescent="0.2">
      <c r="A15" s="20" t="s">
        <v>74</v>
      </c>
      <c r="B15" s="21"/>
      <c r="C15" s="21"/>
      <c r="D15" s="21"/>
      <c r="E15" s="21"/>
      <c r="F15" s="21"/>
      <c r="G15" s="21"/>
    </row>
    <row r="16" spans="1:7" x14ac:dyDescent="0.2">
      <c r="A16" t="s">
        <v>75</v>
      </c>
      <c r="B16" s="30">
        <v>6585</v>
      </c>
      <c r="E16" s="30">
        <v>6585</v>
      </c>
    </row>
    <row r="17" spans="1:7" x14ac:dyDescent="0.2">
      <c r="A17" t="s">
        <v>76</v>
      </c>
      <c r="B17" s="30">
        <v>197049.29</v>
      </c>
      <c r="E17" s="30">
        <v>197049.29</v>
      </c>
    </row>
    <row r="18" spans="1:7" x14ac:dyDescent="0.2">
      <c r="A18" t="s">
        <v>77</v>
      </c>
      <c r="B18" s="30">
        <v>1558.83</v>
      </c>
      <c r="E18" s="30">
        <v>1558.83</v>
      </c>
    </row>
    <row r="19" spans="1:7" x14ac:dyDescent="0.2">
      <c r="A19" t="s">
        <v>78</v>
      </c>
      <c r="B19" s="30">
        <v>3348.88</v>
      </c>
      <c r="E19" s="30">
        <v>3348.88</v>
      </c>
    </row>
    <row r="20" spans="1:7" x14ac:dyDescent="0.2">
      <c r="A20" t="s">
        <v>79</v>
      </c>
      <c r="B20" s="30">
        <v>171862.61</v>
      </c>
      <c r="E20" s="30">
        <v>171862.61</v>
      </c>
    </row>
    <row r="21" spans="1:7" x14ac:dyDescent="0.2">
      <c r="A21" t="s">
        <v>80</v>
      </c>
      <c r="B21" s="30">
        <v>3748.12</v>
      </c>
      <c r="E21" s="30">
        <v>3748.12</v>
      </c>
    </row>
    <row r="22" spans="1:7" x14ac:dyDescent="0.2">
      <c r="A22" t="s">
        <v>81</v>
      </c>
      <c r="B22" s="30">
        <v>5352.49</v>
      </c>
      <c r="E22" s="30">
        <v>5352.49</v>
      </c>
    </row>
    <row r="23" spans="1:7" x14ac:dyDescent="0.2">
      <c r="A23" t="s">
        <v>82</v>
      </c>
      <c r="B23" s="30">
        <v>43171.77</v>
      </c>
      <c r="E23" s="30">
        <v>43171.77</v>
      </c>
    </row>
    <row r="24" spans="1:7" x14ac:dyDescent="0.2">
      <c r="A24" t="s">
        <v>83</v>
      </c>
      <c r="B24" s="30">
        <v>3820.42</v>
      </c>
      <c r="E24" s="30">
        <v>3820.42</v>
      </c>
    </row>
    <row r="25" spans="1:7" x14ac:dyDescent="0.2">
      <c r="A25" t="s">
        <v>84</v>
      </c>
      <c r="B25" s="30">
        <v>29214.83</v>
      </c>
      <c r="E25" s="30">
        <v>29214.83</v>
      </c>
    </row>
    <row r="26" spans="1:7" x14ac:dyDescent="0.2">
      <c r="A26" t="s">
        <v>85</v>
      </c>
      <c r="B26" s="30">
        <v>5694.27</v>
      </c>
      <c r="E26" s="30">
        <v>5694.27</v>
      </c>
    </row>
    <row r="27" spans="1:7" x14ac:dyDescent="0.2">
      <c r="A27" t="s">
        <v>86</v>
      </c>
      <c r="B27" s="30">
        <v>6803.37</v>
      </c>
      <c r="E27" s="30">
        <v>6803.37</v>
      </c>
    </row>
    <row r="28" spans="1:7" x14ac:dyDescent="0.2">
      <c r="A28" t="s">
        <v>87</v>
      </c>
      <c r="B28" s="30">
        <v>10151.48</v>
      </c>
      <c r="E28" s="30">
        <v>10151.48</v>
      </c>
    </row>
    <row r="30" spans="1:7" x14ac:dyDescent="0.2">
      <c r="A30" s="20" t="s">
        <v>88</v>
      </c>
      <c r="B30" s="21"/>
      <c r="C30" s="21"/>
      <c r="D30" s="21"/>
      <c r="E30" s="21"/>
      <c r="F30" s="21"/>
      <c r="G30" s="21"/>
    </row>
    <row r="31" spans="1:7" x14ac:dyDescent="0.2">
      <c r="A31" s="21" t="s">
        <v>88</v>
      </c>
      <c r="B31" s="31">
        <v>318129.53999999998</v>
      </c>
      <c r="C31" s="21"/>
      <c r="D31" s="21"/>
      <c r="E31" s="21"/>
      <c r="F31" s="31">
        <v>318129.53999999998</v>
      </c>
      <c r="G31" s="21"/>
    </row>
    <row r="33" spans="1:7" x14ac:dyDescent="0.2">
      <c r="A33" s="22" t="s">
        <v>89</v>
      </c>
      <c r="B33" s="32">
        <v>806490.9</v>
      </c>
      <c r="C33" s="23"/>
      <c r="D33" s="23"/>
      <c r="E33" s="32">
        <v>488361.36</v>
      </c>
      <c r="F33" s="32">
        <v>318129.53999999998</v>
      </c>
      <c r="G33" s="23"/>
    </row>
    <row r="34" spans="1:7" x14ac:dyDescent="0.2">
      <c r="A34" s="9" t="s">
        <v>90</v>
      </c>
      <c r="E34" s="10">
        <v>0.60599999999999998</v>
      </c>
      <c r="F34" s="10">
        <v>0.39400000000000002</v>
      </c>
    </row>
    <row r="36" spans="1:7" x14ac:dyDescent="0.2">
      <c r="A36" s="1" t="s">
        <v>91</v>
      </c>
    </row>
    <row r="37" spans="1:7" x14ac:dyDescent="0.2">
      <c r="A37" s="5" t="s">
        <v>92</v>
      </c>
      <c r="B37" s="33">
        <v>636512.99</v>
      </c>
      <c r="E37" s="33">
        <v>385433.18</v>
      </c>
      <c r="F37" s="33">
        <v>251079.81</v>
      </c>
    </row>
    <row r="38" spans="1:7" x14ac:dyDescent="0.2">
      <c r="A38" s="5" t="s">
        <v>93</v>
      </c>
      <c r="B38" s="33">
        <v>1159.28</v>
      </c>
      <c r="E38" s="33">
        <v>701.99</v>
      </c>
      <c r="F38" s="33">
        <v>457.29</v>
      </c>
    </row>
    <row r="39" spans="1:7" x14ac:dyDescent="0.2">
      <c r="A39" s="5" t="s">
        <v>94</v>
      </c>
      <c r="B39" s="33">
        <v>60048.41</v>
      </c>
      <c r="E39" s="33">
        <v>36361.629999999997</v>
      </c>
      <c r="F39" s="33">
        <v>23686.78</v>
      </c>
    </row>
    <row r="40" spans="1:7" x14ac:dyDescent="0.2">
      <c r="A40" s="5" t="s">
        <v>95</v>
      </c>
      <c r="B40" s="33">
        <v>108770.22</v>
      </c>
      <c r="E40" s="33">
        <v>65864.56</v>
      </c>
      <c r="F40" s="33">
        <v>42905.66</v>
      </c>
    </row>
    <row r="41" spans="1:7" x14ac:dyDescent="0.2">
      <c r="A41" s="22" t="s">
        <v>96</v>
      </c>
      <c r="B41" s="32">
        <v>806490.9</v>
      </c>
      <c r="C41" s="23"/>
      <c r="D41" s="23"/>
      <c r="E41" s="32">
        <v>488361.36</v>
      </c>
      <c r="F41" s="32">
        <v>318129.53999999998</v>
      </c>
      <c r="G41" s="23"/>
    </row>
    <row r="43" spans="1:7" x14ac:dyDescent="0.2">
      <c r="A43" s="1" t="s">
        <v>57</v>
      </c>
    </row>
    <row r="44" spans="1:7" x14ac:dyDescent="0.2">
      <c r="A44" s="5" t="s">
        <v>58</v>
      </c>
      <c r="B44" s="33">
        <v>353546.9</v>
      </c>
    </row>
    <row r="45" spans="1:7" x14ac:dyDescent="0.2">
      <c r="A45" s="5" t="s">
        <v>59</v>
      </c>
      <c r="B45" s="33">
        <v>433789.43</v>
      </c>
    </row>
    <row r="46" spans="1:7" x14ac:dyDescent="0.2">
      <c r="A46" s="24" t="s">
        <v>60</v>
      </c>
      <c r="B46" s="34">
        <v>-80242.53</v>
      </c>
      <c r="C46" s="25"/>
      <c r="D46" s="25"/>
      <c r="E46" s="25"/>
      <c r="F46" s="25"/>
      <c r="G46" s="2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97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1211.5999999999999</v>
      </c>
      <c r="C16" s="30">
        <v>1211.5999999999999</v>
      </c>
    </row>
    <row r="17" spans="1:7" x14ac:dyDescent="0.2">
      <c r="A17" t="s">
        <v>100</v>
      </c>
      <c r="B17" s="30">
        <v>2930.23</v>
      </c>
      <c r="C17" s="30">
        <v>2930.23</v>
      </c>
    </row>
    <row r="18" spans="1:7" x14ac:dyDescent="0.2">
      <c r="A18" t="s">
        <v>101</v>
      </c>
      <c r="B18" s="30">
        <v>7111.65</v>
      </c>
      <c r="C18" s="30">
        <v>7111.65</v>
      </c>
    </row>
    <row r="19" spans="1:7" x14ac:dyDescent="0.2">
      <c r="A19" t="s">
        <v>102</v>
      </c>
      <c r="B19" s="30">
        <v>782.66999999999985</v>
      </c>
      <c r="C19" s="30">
        <v>782.66999999999985</v>
      </c>
    </row>
    <row r="20" spans="1:7" x14ac:dyDescent="0.2">
      <c r="A20" t="s">
        <v>103</v>
      </c>
      <c r="B20" s="30">
        <v>369.85</v>
      </c>
      <c r="C20" s="30">
        <v>369.85</v>
      </c>
    </row>
    <row r="21" spans="1:7" x14ac:dyDescent="0.2">
      <c r="A21" t="s">
        <v>104</v>
      </c>
      <c r="B21" s="30">
        <v>364.47</v>
      </c>
      <c r="C21" s="30">
        <v>364.47</v>
      </c>
    </row>
    <row r="22" spans="1:7" x14ac:dyDescent="0.2">
      <c r="A22" t="s">
        <v>105</v>
      </c>
      <c r="B22" s="30">
        <v>2369.4499999999998</v>
      </c>
      <c r="C22" s="30">
        <v>2369.4499999999998</v>
      </c>
    </row>
    <row r="23" spans="1:7" x14ac:dyDescent="0.2">
      <c r="A23" t="s">
        <v>106</v>
      </c>
      <c r="B23" s="30">
        <v>665.54000000000008</v>
      </c>
      <c r="C23" s="30">
        <v>665.54000000000008</v>
      </c>
    </row>
    <row r="24" spans="1:7" x14ac:dyDescent="0.2">
      <c r="A24" t="s">
        <v>107</v>
      </c>
      <c r="B24" s="30">
        <v>318.98</v>
      </c>
      <c r="C24" s="30">
        <v>318.98</v>
      </c>
    </row>
    <row r="25" spans="1:7" x14ac:dyDescent="0.2">
      <c r="A25" t="s">
        <v>108</v>
      </c>
      <c r="B25" s="30">
        <v>3831.45</v>
      </c>
      <c r="C25" s="30">
        <v>3831.45</v>
      </c>
    </row>
    <row r="27" spans="1:7" x14ac:dyDescent="0.2">
      <c r="A27" s="27" t="s">
        <v>109</v>
      </c>
      <c r="B27" s="21"/>
      <c r="C27" s="21"/>
      <c r="D27" s="21"/>
      <c r="E27" s="21"/>
      <c r="F27" s="21"/>
      <c r="G27" s="21"/>
    </row>
    <row r="28" spans="1:7" x14ac:dyDescent="0.2">
      <c r="A28" t="s">
        <v>110</v>
      </c>
      <c r="B28" s="30">
        <v>7015.23</v>
      </c>
      <c r="F28" s="30">
        <v>7015.23</v>
      </c>
    </row>
    <row r="29" spans="1:7" x14ac:dyDescent="0.2">
      <c r="A29" t="s">
        <v>111</v>
      </c>
      <c r="B29" s="30">
        <v>9776.15</v>
      </c>
      <c r="F29" s="30">
        <v>9776.15</v>
      </c>
    </row>
    <row r="30" spans="1:7" x14ac:dyDescent="0.2">
      <c r="A30" t="s">
        <v>112</v>
      </c>
      <c r="B30" s="30">
        <v>7127.17</v>
      </c>
      <c r="F30" s="30">
        <v>7127.17</v>
      </c>
    </row>
    <row r="31" spans="1:7" x14ac:dyDescent="0.2">
      <c r="A31" t="s">
        <v>113</v>
      </c>
      <c r="B31" s="30">
        <v>7351.4999999999991</v>
      </c>
      <c r="F31" s="30">
        <v>7351.4999999999991</v>
      </c>
    </row>
    <row r="32" spans="1:7" x14ac:dyDescent="0.2">
      <c r="A32" t="s">
        <v>114</v>
      </c>
      <c r="B32" s="30">
        <v>6195.62</v>
      </c>
      <c r="F32" s="30">
        <v>6195.62</v>
      </c>
    </row>
    <row r="33" spans="1:7" x14ac:dyDescent="0.2">
      <c r="A33" t="s">
        <v>115</v>
      </c>
      <c r="B33" s="30">
        <v>247.19</v>
      </c>
      <c r="F33" s="30">
        <v>247.19</v>
      </c>
    </row>
    <row r="34" spans="1:7" x14ac:dyDescent="0.2">
      <c r="A34" t="s">
        <v>116</v>
      </c>
      <c r="B34" s="30">
        <v>4165.79</v>
      </c>
      <c r="F34" s="30">
        <v>4165.79</v>
      </c>
    </row>
    <row r="35" spans="1:7" x14ac:dyDescent="0.2">
      <c r="A35" t="s">
        <v>117</v>
      </c>
      <c r="B35" s="30">
        <v>2464.17</v>
      </c>
      <c r="F35" s="30">
        <v>2464.17</v>
      </c>
    </row>
    <row r="36" spans="1:7" x14ac:dyDescent="0.2">
      <c r="A36" t="s">
        <v>118</v>
      </c>
      <c r="B36" s="30">
        <v>1928.81</v>
      </c>
      <c r="F36" s="30">
        <v>1928.81</v>
      </c>
    </row>
    <row r="37" spans="1:7" x14ac:dyDescent="0.2">
      <c r="A37" t="s">
        <v>119</v>
      </c>
      <c r="B37" s="30">
        <v>3233.65</v>
      </c>
      <c r="F37" s="30">
        <v>3233.65</v>
      </c>
    </row>
    <row r="38" spans="1:7" x14ac:dyDescent="0.2">
      <c r="A38" t="s">
        <v>120</v>
      </c>
      <c r="B38" s="30">
        <v>18160.96</v>
      </c>
      <c r="F38" s="30">
        <v>18160.96</v>
      </c>
    </row>
    <row r="39" spans="1:7" x14ac:dyDescent="0.2">
      <c r="A39" t="s">
        <v>121</v>
      </c>
      <c r="B39" s="30">
        <v>6068.2800000000007</v>
      </c>
      <c r="F39" s="30">
        <v>6068.2800000000007</v>
      </c>
    </row>
    <row r="40" spans="1:7" x14ac:dyDescent="0.2">
      <c r="A40" t="s">
        <v>122</v>
      </c>
      <c r="B40" s="30">
        <v>1028.8599999999999</v>
      </c>
      <c r="F40" s="30">
        <v>1028.8599999999999</v>
      </c>
    </row>
    <row r="41" spans="1:7" x14ac:dyDescent="0.2">
      <c r="A41" t="s">
        <v>123</v>
      </c>
      <c r="B41" s="30">
        <v>356.81</v>
      </c>
      <c r="F41" s="30">
        <v>356.81</v>
      </c>
    </row>
    <row r="42" spans="1:7" x14ac:dyDescent="0.2">
      <c r="A42" t="s">
        <v>124</v>
      </c>
      <c r="B42" s="30">
        <v>15695.01</v>
      </c>
      <c r="F42" s="30">
        <v>15695.01</v>
      </c>
    </row>
    <row r="43" spans="1:7" x14ac:dyDescent="0.2">
      <c r="A43" t="s">
        <v>125</v>
      </c>
      <c r="B43" s="30">
        <v>399.61</v>
      </c>
      <c r="F43" s="30">
        <v>399.61</v>
      </c>
    </row>
    <row r="44" spans="1:7" x14ac:dyDescent="0.2">
      <c r="A44" t="s">
        <v>126</v>
      </c>
      <c r="B44" s="30">
        <v>146.01</v>
      </c>
      <c r="F44" s="30">
        <v>146.01</v>
      </c>
    </row>
    <row r="46" spans="1:7" x14ac:dyDescent="0.2">
      <c r="A46" s="28" t="s">
        <v>127</v>
      </c>
      <c r="B46" s="35">
        <v>111316.71</v>
      </c>
      <c r="C46" s="35">
        <v>19955.89</v>
      </c>
      <c r="D46" s="23"/>
      <c r="E46" s="23"/>
      <c r="F46" s="35">
        <v>91360.819999999978</v>
      </c>
      <c r="G46" s="23"/>
    </row>
    <row r="47" spans="1:7" x14ac:dyDescent="0.2">
      <c r="A47" t="s">
        <v>128</v>
      </c>
      <c r="C47" s="36">
        <v>0.17899999999999999</v>
      </c>
      <c r="D47" s="36">
        <v>0</v>
      </c>
      <c r="E47" s="36">
        <v>0</v>
      </c>
      <c r="F47" s="36">
        <v>0.82099999999999995</v>
      </c>
    </row>
    <row r="49" spans="1:7" x14ac:dyDescent="0.2">
      <c r="A49" s="17" t="s">
        <v>91</v>
      </c>
    </row>
    <row r="50" spans="1:7" x14ac:dyDescent="0.2">
      <c r="A50" t="s">
        <v>92</v>
      </c>
      <c r="B50" s="30">
        <v>87855.35</v>
      </c>
      <c r="C50" s="30">
        <v>15749.94</v>
      </c>
      <c r="F50" s="30">
        <v>72105.41</v>
      </c>
    </row>
    <row r="51" spans="1:7" x14ac:dyDescent="0.2">
      <c r="A51" t="s">
        <v>93</v>
      </c>
      <c r="B51" s="30">
        <v>160.01</v>
      </c>
      <c r="C51" s="30">
        <v>28.69</v>
      </c>
      <c r="F51" s="30">
        <v>131.32</v>
      </c>
    </row>
    <row r="52" spans="1:7" x14ac:dyDescent="0.2">
      <c r="A52" t="s">
        <v>94</v>
      </c>
      <c r="B52" s="30">
        <v>8288.23</v>
      </c>
      <c r="C52" s="30">
        <v>1485.84</v>
      </c>
      <c r="F52" s="30">
        <v>6802.39</v>
      </c>
    </row>
    <row r="53" spans="1:7" x14ac:dyDescent="0.2">
      <c r="A53" t="s">
        <v>95</v>
      </c>
      <c r="B53" s="30">
        <v>15013.12</v>
      </c>
      <c r="C53" s="30">
        <v>2691.42</v>
      </c>
      <c r="F53" s="30">
        <v>12321.7</v>
      </c>
    </row>
    <row r="54" spans="1:7" x14ac:dyDescent="0.2">
      <c r="A54" s="28" t="s">
        <v>96</v>
      </c>
      <c r="B54" s="35">
        <v>111316.71</v>
      </c>
      <c r="C54" s="35">
        <v>19955.89</v>
      </c>
      <c r="D54" s="23"/>
      <c r="E54" s="23"/>
      <c r="F54" s="35">
        <v>91360.82</v>
      </c>
      <c r="G54" s="23"/>
    </row>
    <row r="56" spans="1:7" x14ac:dyDescent="0.2">
      <c r="A56" s="17" t="s">
        <v>57</v>
      </c>
    </row>
    <row r="57" spans="1:7" x14ac:dyDescent="0.2">
      <c r="A57" s="17" t="s">
        <v>58</v>
      </c>
      <c r="B57" s="30">
        <v>48793.35</v>
      </c>
    </row>
    <row r="58" spans="1:7" x14ac:dyDescent="0.2">
      <c r="A58" s="17" t="s">
        <v>59</v>
      </c>
      <c r="B58" s="30">
        <v>49993.81</v>
      </c>
    </row>
    <row r="59" spans="1:7" x14ac:dyDescent="0.2">
      <c r="A59" s="29" t="s">
        <v>60</v>
      </c>
      <c r="B59" s="37">
        <v>-1200.46</v>
      </c>
      <c r="C59" s="25"/>
      <c r="D59" s="25"/>
      <c r="E59" s="25"/>
      <c r="F59" s="25"/>
      <c r="G59" s="2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129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138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143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144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145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146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148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10346.61</v>
      </c>
      <c r="C16" s="30">
        <v>10346.61</v>
      </c>
    </row>
    <row r="17" spans="1:7" x14ac:dyDescent="0.2">
      <c r="A17" t="s">
        <v>100</v>
      </c>
      <c r="B17" s="30">
        <v>5291.32</v>
      </c>
      <c r="C17" s="30">
        <v>5291.32</v>
      </c>
    </row>
    <row r="18" spans="1:7" x14ac:dyDescent="0.2">
      <c r="A18" t="s">
        <v>101</v>
      </c>
      <c r="B18" s="30">
        <v>26950.29</v>
      </c>
      <c r="C18" s="30">
        <v>26950.29</v>
      </c>
    </row>
    <row r="19" spans="1:7" x14ac:dyDescent="0.2">
      <c r="A19" t="s">
        <v>103</v>
      </c>
      <c r="B19" s="30">
        <v>2980.26</v>
      </c>
      <c r="C19" s="30">
        <v>2980.26</v>
      </c>
    </row>
    <row r="20" spans="1:7" x14ac:dyDescent="0.2">
      <c r="A20" t="s">
        <v>130</v>
      </c>
      <c r="B20" s="30">
        <v>366.57</v>
      </c>
      <c r="C20" s="30">
        <v>366.57</v>
      </c>
    </row>
    <row r="21" spans="1:7" x14ac:dyDescent="0.2">
      <c r="A21" t="s">
        <v>131</v>
      </c>
      <c r="B21" s="30">
        <v>144.58000000000001</v>
      </c>
      <c r="C21" s="30">
        <v>144.58000000000001</v>
      </c>
    </row>
    <row r="22" spans="1:7" x14ac:dyDescent="0.2">
      <c r="A22" t="s">
        <v>104</v>
      </c>
      <c r="B22" s="30">
        <v>5961.89</v>
      </c>
      <c r="C22" s="30">
        <v>5961.89</v>
      </c>
    </row>
    <row r="23" spans="1:7" x14ac:dyDescent="0.2">
      <c r="A23" t="s">
        <v>105</v>
      </c>
      <c r="B23" s="30">
        <v>2354.19</v>
      </c>
      <c r="C23" s="30">
        <v>2354.19</v>
      </c>
    </row>
    <row r="24" spans="1:7" x14ac:dyDescent="0.2">
      <c r="A24" t="s">
        <v>132</v>
      </c>
      <c r="B24" s="30">
        <v>6854.82</v>
      </c>
      <c r="C24" s="30">
        <v>6854.82</v>
      </c>
    </row>
    <row r="25" spans="1:7" x14ac:dyDescent="0.2">
      <c r="A25" t="s">
        <v>107</v>
      </c>
      <c r="B25" s="30">
        <v>2046.92</v>
      </c>
      <c r="C25" s="30">
        <v>2046.92</v>
      </c>
    </row>
    <row r="26" spans="1:7" x14ac:dyDescent="0.2">
      <c r="A26" t="s">
        <v>133</v>
      </c>
      <c r="B26" s="30">
        <v>86.399999999999991</v>
      </c>
      <c r="C26" s="30">
        <v>86.399999999999991</v>
      </c>
    </row>
    <row r="27" spans="1:7" x14ac:dyDescent="0.2">
      <c r="A27" t="s">
        <v>134</v>
      </c>
      <c r="B27" s="30">
        <v>7365.75</v>
      </c>
      <c r="C27" s="30">
        <v>7365.75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11258.78</v>
      </c>
      <c r="F30" s="30">
        <v>11258.78</v>
      </c>
    </row>
    <row r="31" spans="1:7" x14ac:dyDescent="0.2">
      <c r="A31" t="s">
        <v>111</v>
      </c>
      <c r="B31" s="30">
        <v>21167.29</v>
      </c>
      <c r="F31" s="30">
        <v>21167.29</v>
      </c>
    </row>
    <row r="32" spans="1:7" x14ac:dyDescent="0.2">
      <c r="A32" t="s">
        <v>112</v>
      </c>
      <c r="B32" s="30">
        <v>26087.98</v>
      </c>
      <c r="F32" s="30">
        <v>26087.98</v>
      </c>
    </row>
    <row r="33" spans="1:7" x14ac:dyDescent="0.2">
      <c r="A33" t="s">
        <v>113</v>
      </c>
      <c r="B33" s="30">
        <v>28640.05</v>
      </c>
      <c r="F33" s="30">
        <v>28640.05</v>
      </c>
    </row>
    <row r="34" spans="1:7" x14ac:dyDescent="0.2">
      <c r="A34" t="s">
        <v>114</v>
      </c>
      <c r="B34" s="30">
        <v>22996.79</v>
      </c>
      <c r="F34" s="30">
        <v>22996.79</v>
      </c>
    </row>
    <row r="35" spans="1:7" x14ac:dyDescent="0.2">
      <c r="A35" t="s">
        <v>115</v>
      </c>
      <c r="B35" s="30">
        <v>1436.02</v>
      </c>
      <c r="F35" s="30">
        <v>1436.02</v>
      </c>
    </row>
    <row r="36" spans="1:7" x14ac:dyDescent="0.2">
      <c r="A36" t="s">
        <v>116</v>
      </c>
      <c r="B36" s="30">
        <v>30481.59</v>
      </c>
      <c r="F36" s="30">
        <v>30481.59</v>
      </c>
    </row>
    <row r="37" spans="1:7" x14ac:dyDescent="0.2">
      <c r="A37" t="s">
        <v>117</v>
      </c>
      <c r="B37" s="30">
        <v>24592.959999999999</v>
      </c>
      <c r="F37" s="30">
        <v>24592.959999999999</v>
      </c>
    </row>
    <row r="38" spans="1:7" x14ac:dyDescent="0.2">
      <c r="A38" t="s">
        <v>118</v>
      </c>
      <c r="B38" s="30">
        <v>14716.7</v>
      </c>
      <c r="F38" s="30">
        <v>14716.7</v>
      </c>
    </row>
    <row r="39" spans="1:7" x14ac:dyDescent="0.2">
      <c r="A39" t="s">
        <v>119</v>
      </c>
      <c r="B39" s="30">
        <v>12002.61</v>
      </c>
      <c r="F39" s="30">
        <v>12002.61</v>
      </c>
    </row>
    <row r="40" spans="1:7" x14ac:dyDescent="0.2">
      <c r="A40" t="s">
        <v>120</v>
      </c>
      <c r="B40" s="30">
        <v>23197.91</v>
      </c>
      <c r="F40" s="30">
        <v>23197.91</v>
      </c>
    </row>
    <row r="41" spans="1:7" x14ac:dyDescent="0.2">
      <c r="A41" t="s">
        <v>121</v>
      </c>
      <c r="B41" s="30">
        <v>10564.94</v>
      </c>
      <c r="F41" s="30">
        <v>10564.94</v>
      </c>
    </row>
    <row r="42" spans="1:7" x14ac:dyDescent="0.2">
      <c r="A42" t="s">
        <v>122</v>
      </c>
      <c r="B42" s="30">
        <v>1561.67</v>
      </c>
      <c r="F42" s="30">
        <v>1561.67</v>
      </c>
    </row>
    <row r="43" spans="1:7" x14ac:dyDescent="0.2">
      <c r="A43" t="s">
        <v>124</v>
      </c>
      <c r="B43" s="30">
        <v>38226.39</v>
      </c>
      <c r="F43" s="30">
        <v>38226.39</v>
      </c>
    </row>
    <row r="44" spans="1:7" x14ac:dyDescent="0.2">
      <c r="A44" t="s">
        <v>135</v>
      </c>
      <c r="B44" s="30">
        <v>13622.62</v>
      </c>
      <c r="F44" s="30">
        <v>13622.62</v>
      </c>
    </row>
    <row r="45" spans="1:7" x14ac:dyDescent="0.2">
      <c r="A45" t="s">
        <v>125</v>
      </c>
      <c r="B45" s="30">
        <v>2666.01</v>
      </c>
      <c r="F45" s="30">
        <v>2666.01</v>
      </c>
    </row>
    <row r="46" spans="1:7" x14ac:dyDescent="0.2">
      <c r="A46" t="s">
        <v>136</v>
      </c>
      <c r="B46" s="30">
        <v>3419.61</v>
      </c>
      <c r="F46" s="30">
        <v>3419.61</v>
      </c>
    </row>
    <row r="48" spans="1:7" x14ac:dyDescent="0.2">
      <c r="A48" s="28" t="s">
        <v>127</v>
      </c>
      <c r="B48" s="35">
        <v>357389.52</v>
      </c>
      <c r="C48" s="35">
        <v>70749.600000000006</v>
      </c>
      <c r="D48" s="23"/>
      <c r="E48" s="23"/>
      <c r="F48" s="35">
        <v>286639.92</v>
      </c>
      <c r="G48" s="23"/>
    </row>
    <row r="49" spans="1:7" x14ac:dyDescent="0.2">
      <c r="A49" t="s">
        <v>128</v>
      </c>
      <c r="C49" s="36">
        <v>0.19800000000000001</v>
      </c>
      <c r="D49" s="36">
        <v>0</v>
      </c>
      <c r="E49" s="36">
        <v>0</v>
      </c>
      <c r="F49" s="36">
        <v>0.80200000000000005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282065.31</v>
      </c>
      <c r="C52" s="30">
        <v>55838.26</v>
      </c>
      <c r="F52" s="30">
        <v>226227.05</v>
      </c>
    </row>
    <row r="53" spans="1:7" x14ac:dyDescent="0.2">
      <c r="A53" t="s">
        <v>93</v>
      </c>
      <c r="B53" s="30">
        <v>513.71</v>
      </c>
      <c r="C53" s="30">
        <v>101.7</v>
      </c>
      <c r="F53" s="30">
        <v>412.01</v>
      </c>
    </row>
    <row r="54" spans="1:7" x14ac:dyDescent="0.2">
      <c r="A54" t="s">
        <v>94</v>
      </c>
      <c r="B54" s="30">
        <v>26609.91</v>
      </c>
      <c r="C54" s="30">
        <v>5267.76</v>
      </c>
      <c r="F54" s="30">
        <v>21342.15</v>
      </c>
    </row>
    <row r="55" spans="1:7" x14ac:dyDescent="0.2">
      <c r="A55" t="s">
        <v>95</v>
      </c>
      <c r="B55" s="30">
        <v>48200.59</v>
      </c>
      <c r="C55" s="30">
        <v>9541.8799999999992</v>
      </c>
      <c r="F55" s="30">
        <v>38658.71</v>
      </c>
    </row>
    <row r="56" spans="1:7" x14ac:dyDescent="0.2">
      <c r="A56" s="28" t="s">
        <v>96</v>
      </c>
      <c r="B56" s="35">
        <v>357389.52</v>
      </c>
      <c r="C56" s="35">
        <v>70749.600000000006</v>
      </c>
      <c r="D56" s="23"/>
      <c r="E56" s="23"/>
      <c r="F56" s="35">
        <v>286639.92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156654.5</v>
      </c>
    </row>
    <row r="60" spans="1:7" x14ac:dyDescent="0.2">
      <c r="A60" s="17" t="s">
        <v>59</v>
      </c>
      <c r="B60" s="30">
        <v>164992.09</v>
      </c>
    </row>
    <row r="61" spans="1:7" x14ac:dyDescent="0.2">
      <c r="A61" s="29" t="s">
        <v>60</v>
      </c>
      <c r="B61" s="37">
        <v>-8337.59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153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154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155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156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158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6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107</v>
      </c>
      <c r="B16" s="30">
        <v>466.64</v>
      </c>
      <c r="C16" s="30">
        <v>466.64</v>
      </c>
    </row>
    <row r="18" spans="1:7" x14ac:dyDescent="0.2">
      <c r="A18" s="27" t="s">
        <v>109</v>
      </c>
      <c r="B18" s="21"/>
      <c r="C18" s="21"/>
      <c r="D18" s="21"/>
      <c r="E18" s="21"/>
      <c r="F18" s="21"/>
      <c r="G18" s="21"/>
    </row>
    <row r="19" spans="1:7" x14ac:dyDescent="0.2">
      <c r="A19" t="s">
        <v>110</v>
      </c>
      <c r="B19" s="30">
        <v>1166.22</v>
      </c>
      <c r="F19" s="30">
        <v>1166.22</v>
      </c>
    </row>
    <row r="20" spans="1:7" x14ac:dyDescent="0.2">
      <c r="A20" t="s">
        <v>111</v>
      </c>
      <c r="B20" s="30">
        <v>2317.11</v>
      </c>
      <c r="F20" s="30">
        <v>2317.11</v>
      </c>
    </row>
    <row r="21" spans="1:7" x14ac:dyDescent="0.2">
      <c r="A21" t="s">
        <v>113</v>
      </c>
      <c r="B21" s="30">
        <v>1596.01</v>
      </c>
      <c r="F21" s="30">
        <v>1596.01</v>
      </c>
    </row>
    <row r="22" spans="1:7" x14ac:dyDescent="0.2">
      <c r="A22" t="s">
        <v>114</v>
      </c>
      <c r="B22" s="30">
        <v>1281.52</v>
      </c>
      <c r="F22" s="30">
        <v>1281.52</v>
      </c>
    </row>
    <row r="23" spans="1:7" x14ac:dyDescent="0.2">
      <c r="A23" t="s">
        <v>116</v>
      </c>
      <c r="B23" s="30">
        <v>1142.2</v>
      </c>
      <c r="F23" s="30">
        <v>1142.2</v>
      </c>
    </row>
    <row r="24" spans="1:7" x14ac:dyDescent="0.2">
      <c r="A24" t="s">
        <v>117</v>
      </c>
      <c r="B24" s="30">
        <v>1553.84</v>
      </c>
      <c r="F24" s="30">
        <v>1553.84</v>
      </c>
    </row>
    <row r="25" spans="1:7" x14ac:dyDescent="0.2">
      <c r="A25" t="s">
        <v>119</v>
      </c>
      <c r="B25" s="30">
        <v>668.87</v>
      </c>
      <c r="F25" s="30">
        <v>668.87</v>
      </c>
    </row>
    <row r="26" spans="1:7" x14ac:dyDescent="0.2">
      <c r="A26" t="s">
        <v>120</v>
      </c>
      <c r="B26" s="30">
        <v>1942.61</v>
      </c>
      <c r="F26" s="30">
        <v>1942.61</v>
      </c>
    </row>
    <row r="27" spans="1:7" x14ac:dyDescent="0.2">
      <c r="A27" t="s">
        <v>121</v>
      </c>
      <c r="B27" s="30">
        <v>1009.44</v>
      </c>
      <c r="F27" s="30">
        <v>1009.44</v>
      </c>
    </row>
    <row r="28" spans="1:7" x14ac:dyDescent="0.2">
      <c r="A28" t="s">
        <v>122</v>
      </c>
      <c r="B28" s="30">
        <v>374.41</v>
      </c>
      <c r="F28" s="30">
        <v>374.41</v>
      </c>
    </row>
    <row r="29" spans="1:7" x14ac:dyDescent="0.2">
      <c r="A29" t="s">
        <v>124</v>
      </c>
      <c r="B29" s="30">
        <v>2295.7399999999998</v>
      </c>
      <c r="F29" s="30">
        <v>2295.7399999999998</v>
      </c>
    </row>
    <row r="30" spans="1:7" x14ac:dyDescent="0.2">
      <c r="A30" t="s">
        <v>163</v>
      </c>
      <c r="B30" s="30">
        <v>167.22</v>
      </c>
      <c r="F30" s="30">
        <v>167.22</v>
      </c>
    </row>
    <row r="31" spans="1:7" x14ac:dyDescent="0.2">
      <c r="A31" t="s">
        <v>125</v>
      </c>
      <c r="B31" s="30">
        <v>399.61</v>
      </c>
      <c r="F31" s="30">
        <v>399.61</v>
      </c>
    </row>
    <row r="33" spans="1:7" x14ac:dyDescent="0.2">
      <c r="A33" s="28" t="s">
        <v>127</v>
      </c>
      <c r="B33" s="35">
        <v>16381.44</v>
      </c>
      <c r="C33" s="35">
        <v>466.64</v>
      </c>
      <c r="D33" s="23"/>
      <c r="E33" s="23"/>
      <c r="F33" s="35">
        <v>15914.8</v>
      </c>
      <c r="G33" s="23"/>
    </row>
    <row r="34" spans="1:7" x14ac:dyDescent="0.2">
      <c r="A34" t="s">
        <v>128</v>
      </c>
      <c r="C34" s="36">
        <v>2.8000000000000001E-2</v>
      </c>
      <c r="D34" s="36">
        <v>0</v>
      </c>
      <c r="E34" s="36">
        <v>0</v>
      </c>
      <c r="F34" s="36">
        <v>0.97199999999999998</v>
      </c>
    </row>
    <row r="36" spans="1:7" x14ac:dyDescent="0.2">
      <c r="A36" s="17" t="s">
        <v>91</v>
      </c>
    </row>
    <row r="37" spans="1:7" x14ac:dyDescent="0.2">
      <c r="A37" t="s">
        <v>92</v>
      </c>
      <c r="B37" s="30">
        <v>12928.85</v>
      </c>
      <c r="C37" s="30">
        <v>368.29</v>
      </c>
      <c r="F37" s="30">
        <v>12560.56</v>
      </c>
    </row>
    <row r="38" spans="1:7" x14ac:dyDescent="0.2">
      <c r="A38" t="s">
        <v>93</v>
      </c>
      <c r="B38" s="30">
        <v>23.55</v>
      </c>
      <c r="C38" s="30">
        <v>0.67</v>
      </c>
      <c r="F38" s="30">
        <v>22.88</v>
      </c>
    </row>
    <row r="39" spans="1:7" x14ac:dyDescent="0.2">
      <c r="A39" t="s">
        <v>94</v>
      </c>
      <c r="B39" s="30">
        <v>1219.7</v>
      </c>
      <c r="C39" s="30">
        <v>34.74</v>
      </c>
      <c r="F39" s="30">
        <v>1184.96</v>
      </c>
    </row>
    <row r="40" spans="1:7" x14ac:dyDescent="0.2">
      <c r="A40" t="s">
        <v>95</v>
      </c>
      <c r="B40" s="30">
        <v>2209.34</v>
      </c>
      <c r="C40" s="30">
        <v>62.94</v>
      </c>
      <c r="F40" s="30">
        <v>2146.4</v>
      </c>
    </row>
    <row r="41" spans="1:7" x14ac:dyDescent="0.2">
      <c r="A41" s="28" t="s">
        <v>96</v>
      </c>
      <c r="B41" s="35">
        <v>16381.44</v>
      </c>
      <c r="C41" s="35">
        <v>466.64</v>
      </c>
      <c r="D41" s="23"/>
      <c r="E41" s="23"/>
      <c r="F41" s="35">
        <v>15914.8</v>
      </c>
      <c r="G41" s="23"/>
    </row>
    <row r="43" spans="1:7" x14ac:dyDescent="0.2">
      <c r="A43" s="17" t="s">
        <v>57</v>
      </c>
    </row>
    <row r="44" spans="1:7" x14ac:dyDescent="0.2">
      <c r="A44" s="17" t="s">
        <v>58</v>
      </c>
      <c r="B44" s="30">
        <v>7180.48</v>
      </c>
    </row>
    <row r="45" spans="1:7" x14ac:dyDescent="0.2">
      <c r="A45" s="17" t="s">
        <v>59</v>
      </c>
      <c r="B45" s="30">
        <v>5699.17</v>
      </c>
    </row>
    <row r="46" spans="1:7" x14ac:dyDescent="0.2">
      <c r="A46" s="29" t="s">
        <v>60</v>
      </c>
      <c r="B46" s="37">
        <v>1481.31</v>
      </c>
      <c r="C46" s="25"/>
      <c r="D46" s="25"/>
      <c r="E46" s="25"/>
      <c r="F46" s="25"/>
      <c r="G46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site</vt:lpstr>
      <vt:lpstr>clubhouse</vt:lpstr>
      <vt:lpstr>bldg 1</vt:lpstr>
      <vt:lpstr>bldg 2</vt:lpstr>
      <vt:lpstr>bldg 3</vt:lpstr>
      <vt:lpstr>bldg 4</vt:lpstr>
      <vt:lpstr>bldg 5</vt:lpstr>
      <vt:lpstr>bldg 6</vt:lpstr>
      <vt:lpstr>bldg 7</vt:lpstr>
      <vt:lpstr>bldg 8</vt:lpstr>
      <vt:lpstr>bldg 9</vt:lpstr>
      <vt:lpstr>bldg 10</vt:lpstr>
      <vt:lpstr>bldg 11</vt:lpstr>
      <vt:lpstr>bldg 12</vt:lpstr>
      <vt:lpstr>bldg 13</vt:lpstr>
      <vt:lpstr>bldg 14</vt:lpstr>
      <vt:lpstr>bldg 15</vt:lpstr>
      <vt:lpstr>bldg 16</vt:lpstr>
      <vt:lpstr>bldg 17</vt:lpstr>
      <vt:lpstr>bldg 18</vt:lpstr>
      <vt:lpstr>bldg 19</vt:lpstr>
      <vt:lpstr>bldg 20</vt:lpstr>
      <vt:lpstr>bldg 21</vt:lpstr>
      <vt:lpstr>bldg 22</vt:lpstr>
      <vt:lpstr>bldg 23</vt:lpstr>
      <vt:lpstr>bldg 24</vt:lpstr>
      <vt:lpstr>bldg 25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2026-06-22T23:29:55Z</dcterms:created>
  <dcterms:modified xsi:type="dcterms:W3CDTF">2026-07-07T15:13:48Z</dcterms:modified>
</cp:coreProperties>
</file>