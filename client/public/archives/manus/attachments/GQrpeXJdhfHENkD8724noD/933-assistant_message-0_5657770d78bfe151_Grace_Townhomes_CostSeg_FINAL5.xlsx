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clubhouse" sheetId="3" state="visible" r:id="rId3"/>
    <sheet xmlns:r="http://schemas.openxmlformats.org/officeDocument/2006/relationships" name="bldg 1" sheetId="4" state="visible" r:id="rId4"/>
    <sheet xmlns:r="http://schemas.openxmlformats.org/officeDocument/2006/relationships" name="bldg 2" sheetId="5" state="visible" r:id="rId5"/>
    <sheet xmlns:r="http://schemas.openxmlformats.org/officeDocument/2006/relationships" name="bldg 3" sheetId="6" state="visible" r:id="rId6"/>
    <sheet xmlns:r="http://schemas.openxmlformats.org/officeDocument/2006/relationships" name="bldg 4" sheetId="7" state="visible" r:id="rId7"/>
    <sheet xmlns:r="http://schemas.openxmlformats.org/officeDocument/2006/relationships" name="bldg 5" sheetId="8" state="visible" r:id="rId8"/>
    <sheet xmlns:r="http://schemas.openxmlformats.org/officeDocument/2006/relationships" name="bldg 6" sheetId="9" state="visible" r:id="rId9"/>
    <sheet xmlns:r="http://schemas.openxmlformats.org/officeDocument/2006/relationships" name="bldg 7" sheetId="10" state="visible" r:id="rId10"/>
    <sheet xmlns:r="http://schemas.openxmlformats.org/officeDocument/2006/relationships" name="bldg 8" sheetId="11" state="visible" r:id="rId11"/>
    <sheet xmlns:r="http://schemas.openxmlformats.org/officeDocument/2006/relationships" name="bldg 9" sheetId="12" state="visible" r:id="rId12"/>
    <sheet xmlns:r="http://schemas.openxmlformats.org/officeDocument/2006/relationships" name="bldg 10" sheetId="13" state="visible" r:id="rId13"/>
    <sheet xmlns:r="http://schemas.openxmlformats.org/officeDocument/2006/relationships" name="bldg 11" sheetId="14" state="visible" r:id="rId14"/>
    <sheet xmlns:r="http://schemas.openxmlformats.org/officeDocument/2006/relationships" name="bldg 12" sheetId="15" state="visible" r:id="rId15"/>
    <sheet xmlns:r="http://schemas.openxmlformats.org/officeDocument/2006/relationships" name="bldg 13" sheetId="16" state="visible" r:id="rId16"/>
    <sheet xmlns:r="http://schemas.openxmlformats.org/officeDocument/2006/relationships" name="bldg 14" sheetId="17" state="visible" r:id="rId17"/>
    <sheet xmlns:r="http://schemas.openxmlformats.org/officeDocument/2006/relationships" name="bldg 15" sheetId="18" state="visible" r:id="rId18"/>
    <sheet xmlns:r="http://schemas.openxmlformats.org/officeDocument/2006/relationships" name="bldg 16" sheetId="19" state="visible" r:id="rId19"/>
    <sheet xmlns:r="http://schemas.openxmlformats.org/officeDocument/2006/relationships" name="bldg 17" sheetId="20" state="visible" r:id="rId20"/>
    <sheet xmlns:r="http://schemas.openxmlformats.org/officeDocument/2006/relationships" name="bldg 18" sheetId="21" state="visible" r:id="rId21"/>
    <sheet xmlns:r="http://schemas.openxmlformats.org/officeDocument/2006/relationships" name="bldg 19" sheetId="22" state="visible" r:id="rId22"/>
    <sheet xmlns:r="http://schemas.openxmlformats.org/officeDocument/2006/relationships" name="bldg 20" sheetId="23" state="visible" r:id="rId23"/>
    <sheet xmlns:r="http://schemas.openxmlformats.org/officeDocument/2006/relationships" name="bldg 21" sheetId="24" state="visible" r:id="rId24"/>
    <sheet xmlns:r="http://schemas.openxmlformats.org/officeDocument/2006/relationships" name="bldg 22" sheetId="25" state="visible" r:id="rId25"/>
    <sheet xmlns:r="http://schemas.openxmlformats.org/officeDocument/2006/relationships" name="bldg 23" sheetId="26" state="visible" r:id="rId26"/>
    <sheet xmlns:r="http://schemas.openxmlformats.org/officeDocument/2006/relationships" name="bldg 24" sheetId="27" state="visible" r:id="rId27"/>
    <sheet xmlns:r="http://schemas.openxmlformats.org/officeDocument/2006/relationships" name="bldg 25" sheetId="28" state="visible" r:id="rId28"/>
    <sheet xmlns:r="http://schemas.openxmlformats.org/officeDocument/2006/relationships" name="storage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0.0%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</font>
    <font>
      <i val="1"/>
    </font>
    <font>
      <sz val="9"/>
    </font>
  </fonts>
  <fills count="10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pivotButton="0" quotePrefix="0" xfId="0"/>
    <xf numFmtId="4" fontId="1" fillId="0" borderId="0" pivotButton="0" quotePrefix="0" xfId="0"/>
    <xf numFmtId="0" fontId="1" fillId="4" borderId="0" applyAlignment="1" pivotButton="0" quotePrefix="0" xfId="0">
      <alignment horizontal="left"/>
    </xf>
    <xf numFmtId="0" fontId="1" fillId="5" borderId="0" applyAlignment="1" pivotButton="0" quotePrefix="0" xfId="0">
      <alignment horizontal="left"/>
    </xf>
    <xf numFmtId="164" fontId="0" fillId="5" borderId="0" pivotButton="0" quotePrefix="0" xfId="0"/>
    <xf numFmtId="164" fontId="1" fillId="5" borderId="0" pivotButton="0" quotePrefix="0" xfId="0"/>
    <xf numFmtId="0" fontId="2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4" fontId="1" fillId="4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64" fontId="1" fillId="5" borderId="0" applyAlignment="1" pivotButton="0" quotePrefix="0" xfId="0">
      <alignment horizontal="left"/>
    </xf>
    <xf numFmtId="164" fontId="0" fillId="5" borderId="0" pivotButton="0" quotePrefix="0" xfId="0"/>
    <xf numFmtId="164" fontId="1" fillId="5" borderId="0" pivotButton="0" quotePrefix="0" xfId="0"/>
    <xf numFmtId="165" fontId="0" fillId="0" borderId="0" applyAlignment="1" pivotButton="0" quotePrefix="0" xfId="0">
      <alignment horizontal="left"/>
    </xf>
    <xf numFmtId="164" fontId="1" fillId="5" borderId="0" applyAlignment="1" pivotButton="0" quotePrefix="0" xfId="0">
      <alignment horizontal="left"/>
    </xf>
    <xf numFmtId="0" fontId="3" fillId="0" borderId="0" pivotButton="0" quotePrefix="0" xfId="0"/>
    <xf numFmtId="4" fontId="3" fillId="0" borderId="0" pivotButton="0" quotePrefix="0" xfId="0"/>
    <xf numFmtId="4" fontId="0" fillId="5" borderId="0" pivotButton="0" quotePrefix="0" xfId="0"/>
    <xf numFmtId="4" fontId="1" fillId="5" borderId="0" pivotButton="0" quotePrefix="0" xfId="0"/>
    <xf numFmtId="39" fontId="0" fillId="0" borderId="0" pivotButton="0" quotePrefix="0" xfId="0"/>
    <xf numFmtId="39" fontId="1" fillId="0" borderId="0" pivotButton="0" quotePrefix="0" xfId="0"/>
    <xf numFmtId="40" fontId="0" fillId="5" borderId="0" pivotButton="0" quotePrefix="0" xfId="0"/>
    <xf numFmtId="40" fontId="1" fillId="5" borderId="0" pivotButton="0" quotePrefix="0" xfId="0"/>
    <xf numFmtId="0" fontId="1" fillId="0" borderId="0" pivotButton="0" quotePrefix="0" xfId="0"/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left"/>
    </xf>
    <xf numFmtId="0" fontId="0" fillId="7" borderId="0" pivotButton="0" quotePrefix="0" xfId="0"/>
    <xf numFmtId="0" fontId="1" fillId="8" borderId="0" applyAlignment="1" pivotButton="0" quotePrefix="0" xfId="0">
      <alignment horizontal="left"/>
    </xf>
    <xf numFmtId="4" fontId="1" fillId="8" borderId="0" applyAlignment="1" pivotButton="0" quotePrefix="0" xfId="0">
      <alignment horizontal="left"/>
    </xf>
    <xf numFmtId="0" fontId="0" fillId="8" borderId="0" pivotButton="0" quotePrefix="0" xfId="0"/>
    <xf numFmtId="0" fontId="1" fillId="9" borderId="0" applyAlignment="1" pivotButton="0" quotePrefix="0" xfId="0">
      <alignment horizontal="left"/>
    </xf>
    <xf numFmtId="164" fontId="1" fillId="9" borderId="0" applyAlignment="1" pivotButton="0" quotePrefix="0" xfId="0">
      <alignment horizontal="left"/>
    </xf>
    <xf numFmtId="0" fontId="0" fillId="9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166" fontId="0" fillId="0" borderId="0" pivotButton="0" quotePrefix="0" xfId="0"/>
    <xf numFmtId="166" fontId="0" fillId="7" borderId="0" pivotButton="0" quotePrefix="0" xfId="0"/>
    <xf numFmtId="166" fontId="1" fillId="8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  <xf numFmtId="166" fontId="1" fillId="9" borderId="0" applyAlignment="1" pivotButton="0" quotePrefix="0" xfId="0">
      <alignment horizontal="left"/>
    </xf>
    <xf numFmtId="166" fontId="0" fillId="8" borderId="0" pivotButton="0" quotePrefix="0" xfId="0"/>
    <xf numFmtId="165" fontId="0" fillId="0" borderId="0" pivotButton="0" quotePrefix="0" xfId="0"/>
    <xf numFmtId="166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5" ySplit="10" topLeftCell="F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6" customWidth="1" min="35" max="35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6" customWidth="1" min="66" max="66"/>
  </cols>
  <sheetData>
    <row r="1">
      <c r="A1" s="1" t="inlineStr">
        <is>
          <t>Grace Townhomes Housing, LLC</t>
        </is>
      </c>
    </row>
    <row r="2">
      <c r="A2" s="1" t="inlineStr">
        <is>
          <t>Summary of Cost Seg Adjustments</t>
        </is>
      </c>
    </row>
    <row r="3">
      <c r="A3" s="1" t="inlineStr">
        <is>
          <t>As of December 31, 2024</t>
        </is>
      </c>
    </row>
    <row r="9">
      <c r="AK9" s="2" t="inlineStr">
        <is>
          <t>end deprec</t>
        </is>
      </c>
      <c r="BN9" s="2" t="inlineStr">
        <is>
          <t>end deprec</t>
        </is>
      </c>
    </row>
    <row r="10">
      <c r="A10" s="3" t="inlineStr">
        <is>
          <t>Acq Date</t>
        </is>
      </c>
      <c r="B10" s="3" t="inlineStr">
        <is>
          <t>Asset Description</t>
        </is>
      </c>
      <c r="E10" s="4" t="inlineStr">
        <is>
          <t>#</t>
        </is>
      </c>
      <c r="F10" s="4" t="inlineStr">
        <is>
          <t>site</t>
        </is>
      </c>
      <c r="G10" s="4" t="inlineStr">
        <is>
          <t>clubhouse</t>
        </is>
      </c>
      <c r="H10" s="4" t="inlineStr">
        <is>
          <t>bldg 1</t>
        </is>
      </c>
      <c r="I10" s="4" t="inlineStr">
        <is>
          <t>bldg 2</t>
        </is>
      </c>
      <c r="J10" s="4" t="inlineStr">
        <is>
          <t>bldg 3</t>
        </is>
      </c>
      <c r="K10" s="4" t="inlineStr">
        <is>
          <t>bldg 4</t>
        </is>
      </c>
      <c r="L10" s="4" t="inlineStr">
        <is>
          <t>bldg 5</t>
        </is>
      </c>
      <c r="M10" s="4" t="inlineStr">
        <is>
          <t>bldg 6</t>
        </is>
      </c>
      <c r="N10" s="4" t="inlineStr">
        <is>
          <t>bldg 7</t>
        </is>
      </c>
      <c r="O10" s="4" t="inlineStr">
        <is>
          <t>bldg 8</t>
        </is>
      </c>
      <c r="P10" s="4" t="inlineStr">
        <is>
          <t>bldg 9</t>
        </is>
      </c>
      <c r="Q10" s="4" t="inlineStr">
        <is>
          <t>bldg 10</t>
        </is>
      </c>
      <c r="R10" s="4" t="inlineStr">
        <is>
          <t>bldg 11</t>
        </is>
      </c>
      <c r="S10" s="4" t="inlineStr">
        <is>
          <t>bldg 12</t>
        </is>
      </c>
      <c r="T10" s="4" t="inlineStr">
        <is>
          <t>bldg 13</t>
        </is>
      </c>
      <c r="U10" s="4" t="inlineStr">
        <is>
          <t>bldg 14</t>
        </is>
      </c>
      <c r="V10" s="4" t="inlineStr">
        <is>
          <t>bldg 15</t>
        </is>
      </c>
      <c r="W10" s="4" t="inlineStr">
        <is>
          <t>bldg 16</t>
        </is>
      </c>
      <c r="X10" s="4" t="inlineStr">
        <is>
          <t>bldg 17</t>
        </is>
      </c>
      <c r="Y10" s="4" t="inlineStr">
        <is>
          <t>bldg 18</t>
        </is>
      </c>
      <c r="Z10" s="4" t="inlineStr">
        <is>
          <t>bldg 19</t>
        </is>
      </c>
      <c r="AA10" s="4" t="inlineStr">
        <is>
          <t>bldg 20</t>
        </is>
      </c>
      <c r="AB10" s="4" t="inlineStr">
        <is>
          <t>bldg 21</t>
        </is>
      </c>
      <c r="AC10" s="4" t="inlineStr">
        <is>
          <t>bldg 22</t>
        </is>
      </c>
      <c r="AD10" s="4" t="inlineStr">
        <is>
          <t>bldg 23</t>
        </is>
      </c>
      <c r="AE10" s="4" t="inlineStr">
        <is>
          <t>bldg 24</t>
        </is>
      </c>
      <c r="AF10" s="4" t="inlineStr">
        <is>
          <t>bldg 25</t>
        </is>
      </c>
      <c r="AG10" s="4" t="inlineStr">
        <is>
          <t>storage</t>
        </is>
      </c>
      <c r="AI10" s="4" t="inlineStr">
        <is>
          <t>total cost</t>
        </is>
      </c>
      <c r="AK10" s="4" t="inlineStr">
        <is>
          <t>site</t>
        </is>
      </c>
      <c r="AL10" s="4" t="inlineStr">
        <is>
          <t>clubhouse</t>
        </is>
      </c>
      <c r="AM10" s="4" t="inlineStr">
        <is>
          <t>bldg 1</t>
        </is>
      </c>
      <c r="AN10" s="4" t="inlineStr">
        <is>
          <t>bldg 2</t>
        </is>
      </c>
      <c r="AO10" s="4" t="inlineStr">
        <is>
          <t>bldg 3</t>
        </is>
      </c>
      <c r="AP10" s="4" t="inlineStr">
        <is>
          <t>bldg 4</t>
        </is>
      </c>
      <c r="AQ10" s="4" t="inlineStr">
        <is>
          <t>bldg 5</t>
        </is>
      </c>
      <c r="AR10" s="4" t="inlineStr">
        <is>
          <t>bldg 6</t>
        </is>
      </c>
      <c r="AS10" s="4" t="inlineStr">
        <is>
          <t>bldg 7</t>
        </is>
      </c>
      <c r="AT10" s="4" t="inlineStr">
        <is>
          <t>bldg 8</t>
        </is>
      </c>
      <c r="AU10" s="4" t="inlineStr">
        <is>
          <t>bldg 9</t>
        </is>
      </c>
      <c r="AV10" s="4" t="inlineStr">
        <is>
          <t>bldg 10</t>
        </is>
      </c>
      <c r="AW10" s="4" t="inlineStr">
        <is>
          <t>bldg 11</t>
        </is>
      </c>
      <c r="AX10" s="4" t="inlineStr">
        <is>
          <t>bldg 12</t>
        </is>
      </c>
      <c r="AY10" s="4" t="inlineStr">
        <is>
          <t>bldg 13</t>
        </is>
      </c>
      <c r="AZ10" s="4" t="inlineStr">
        <is>
          <t>bldg 14</t>
        </is>
      </c>
      <c r="BA10" s="4" t="inlineStr">
        <is>
          <t>bldg 15</t>
        </is>
      </c>
      <c r="BB10" s="4" t="inlineStr">
        <is>
          <t>bldg 16</t>
        </is>
      </c>
      <c r="BC10" s="4" t="inlineStr">
        <is>
          <t>bldg 17</t>
        </is>
      </c>
      <c r="BD10" s="4" t="inlineStr">
        <is>
          <t>bldg 18</t>
        </is>
      </c>
      <c r="BE10" s="4" t="inlineStr">
        <is>
          <t>bldg 19</t>
        </is>
      </c>
      <c r="BF10" s="4" t="inlineStr">
        <is>
          <t>bldg 20</t>
        </is>
      </c>
      <c r="BG10" s="4" t="inlineStr">
        <is>
          <t>bldg 21</t>
        </is>
      </c>
      <c r="BH10" s="4" t="inlineStr">
        <is>
          <t>bldg 22</t>
        </is>
      </c>
      <c r="BI10" s="4" t="inlineStr">
        <is>
          <t>bldg 23</t>
        </is>
      </c>
      <c r="BJ10" s="4" t="inlineStr">
        <is>
          <t>bldg 24</t>
        </is>
      </c>
      <c r="BK10" s="4" t="inlineStr">
        <is>
          <t>bldg 25</t>
        </is>
      </c>
      <c r="BL10" s="4" t="inlineStr">
        <is>
          <t>storage</t>
        </is>
      </c>
      <c r="BN10" s="4" t="inlineStr">
        <is>
          <t>total</t>
        </is>
      </c>
    </row>
    <row r="11">
      <c r="A11" s="5" t="inlineStr">
        <is>
          <t>12/17/15</t>
        </is>
      </c>
      <c r="B11" s="1" t="inlineStr">
        <is>
          <t>1- Building - Grace Townhomes</t>
        </is>
      </c>
      <c r="E11" s="5" t="n">
        <v>1</v>
      </c>
      <c r="F11" s="6" t="n">
        <v>636512.99</v>
      </c>
      <c r="G11" s="6" t="n">
        <v>87855.35000000001</v>
      </c>
      <c r="H11" s="6" t="n">
        <v>212191.05</v>
      </c>
      <c r="I11" s="6" t="n">
        <v>212191.05</v>
      </c>
      <c r="J11" s="6" t="n">
        <v>116723.12</v>
      </c>
      <c r="K11" s="6" t="n">
        <v>91140.5</v>
      </c>
      <c r="L11" s="6" t="n">
        <v>116723.12</v>
      </c>
      <c r="M11" s="6" t="n">
        <v>116723.12</v>
      </c>
      <c r="N11" s="6" t="n">
        <v>116723.12</v>
      </c>
      <c r="O11" s="6" t="n">
        <v>116723.12</v>
      </c>
      <c r="P11" s="6" t="n">
        <v>116723.12</v>
      </c>
      <c r="Q11" s="6" t="n">
        <v>116723.12</v>
      </c>
      <c r="R11" s="6" t="n">
        <v>91140.5</v>
      </c>
      <c r="S11" s="6" t="n">
        <v>212191.05</v>
      </c>
      <c r="T11" s="6" t="n">
        <v>282065.31</v>
      </c>
      <c r="U11" s="6" t="n">
        <v>212191.05</v>
      </c>
      <c r="V11" s="6" t="n">
        <v>91140.5</v>
      </c>
      <c r="W11" s="6" t="n">
        <v>116723.12</v>
      </c>
      <c r="X11" s="6" t="n">
        <v>116723.12</v>
      </c>
      <c r="Y11" s="6" t="n">
        <v>91140.5</v>
      </c>
      <c r="Z11" s="6" t="n">
        <v>116723.12</v>
      </c>
      <c r="AA11" s="6" t="n">
        <v>91140.5</v>
      </c>
      <c r="AB11" s="6" t="n">
        <v>116723.12</v>
      </c>
      <c r="AC11" s="6" t="n">
        <v>116723.12</v>
      </c>
      <c r="AD11" s="6" t="n">
        <v>116723.12</v>
      </c>
      <c r="AE11" s="6" t="n">
        <v>116723.12</v>
      </c>
      <c r="AF11" s="6" t="n">
        <v>116723.12</v>
      </c>
      <c r="AG11" s="6" t="n">
        <v>12928.85</v>
      </c>
      <c r="AI11" s="6">
        <f>SUM(F11:AG11)</f>
        <v/>
      </c>
      <c r="AK11" s="6" t="n">
        <v>209275.3</v>
      </c>
      <c r="AL11" s="6" t="n">
        <v>28885.36</v>
      </c>
      <c r="AM11" s="6" t="n">
        <v>69765.06</v>
      </c>
      <c r="AN11" s="6" t="n">
        <v>69765.06</v>
      </c>
      <c r="AO11" s="6" t="n">
        <v>38376.72</v>
      </c>
      <c r="AP11" s="6" t="n">
        <v>29965.56</v>
      </c>
      <c r="AQ11" s="6" t="n">
        <v>38376.72</v>
      </c>
      <c r="AR11" s="6" t="n">
        <v>38376.72</v>
      </c>
      <c r="AS11" s="6" t="n">
        <v>38376.72</v>
      </c>
      <c r="AT11" s="6" t="n">
        <v>38376.72</v>
      </c>
      <c r="AU11" s="6" t="n">
        <v>38376.72</v>
      </c>
      <c r="AV11" s="6" t="n">
        <v>38376.72</v>
      </c>
      <c r="AW11" s="6" t="n">
        <v>29965.56</v>
      </c>
      <c r="AX11" s="6" t="n">
        <v>69765.06</v>
      </c>
      <c r="AY11" s="6" t="n">
        <v>92738.61</v>
      </c>
      <c r="AZ11" s="6" t="n">
        <v>69765.06</v>
      </c>
      <c r="BA11" s="6" t="n">
        <v>29965.56</v>
      </c>
      <c r="BB11" s="6" t="n">
        <v>38376.72</v>
      </c>
      <c r="BC11" s="6" t="n">
        <v>38376.72</v>
      </c>
      <c r="BD11" s="6" t="n">
        <v>29965.56</v>
      </c>
      <c r="BE11" s="6" t="n">
        <v>38376.72</v>
      </c>
      <c r="BF11" s="6" t="n">
        <v>29965.56</v>
      </c>
      <c r="BG11" s="6" t="n">
        <v>38376.72</v>
      </c>
      <c r="BH11" s="6" t="n">
        <v>38376.72</v>
      </c>
      <c r="BI11" s="6" t="n">
        <v>38376.72</v>
      </c>
      <c r="BJ11" s="6" t="n">
        <v>38376.72</v>
      </c>
      <c r="BK11" s="6" t="n">
        <v>38376.72</v>
      </c>
      <c r="BL11" s="6" t="n">
        <v>4250.8</v>
      </c>
      <c r="BN11" s="6">
        <f>SUM(AK11:BL11)</f>
        <v/>
      </c>
    </row>
    <row r="12">
      <c r="A12" s="5" t="inlineStr">
        <is>
          <t>12/17/15</t>
        </is>
      </c>
      <c r="B12" s="1" t="inlineStr">
        <is>
          <t>5- Building - Grace Townhomes</t>
        </is>
      </c>
      <c r="E12" s="5" t="n">
        <v>5</v>
      </c>
      <c r="F12" s="6" t="n">
        <v>1159.28</v>
      </c>
      <c r="G12" s="6" t="n">
        <v>160.01</v>
      </c>
      <c r="H12" s="6" t="n">
        <v>386.45</v>
      </c>
      <c r="I12" s="6" t="n">
        <v>386.45</v>
      </c>
      <c r="J12" s="6" t="n">
        <v>212.58</v>
      </c>
      <c r="K12" s="6" t="n">
        <v>165.99</v>
      </c>
      <c r="L12" s="6" t="n">
        <v>212.58</v>
      </c>
      <c r="M12" s="6" t="n">
        <v>212.58</v>
      </c>
      <c r="N12" s="6" t="n">
        <v>212.58</v>
      </c>
      <c r="O12" s="6" t="n">
        <v>212.58</v>
      </c>
      <c r="P12" s="6" t="n">
        <v>212.58</v>
      </c>
      <c r="Q12" s="6" t="n">
        <v>212.58</v>
      </c>
      <c r="R12" s="6" t="n">
        <v>165.99</v>
      </c>
      <c r="S12" s="6" t="n">
        <v>386.45</v>
      </c>
      <c r="T12" s="6" t="n">
        <v>513.71</v>
      </c>
      <c r="U12" s="6" t="n">
        <v>386.45</v>
      </c>
      <c r="V12" s="6" t="n">
        <v>165.99</v>
      </c>
      <c r="W12" s="6" t="n">
        <v>212.58</v>
      </c>
      <c r="X12" s="6" t="n">
        <v>212.58</v>
      </c>
      <c r="Y12" s="6" t="n">
        <v>165.99</v>
      </c>
      <c r="Z12" s="6" t="n">
        <v>212.58</v>
      </c>
      <c r="AA12" s="6" t="n">
        <v>165.99</v>
      </c>
      <c r="AB12" s="6" t="n">
        <v>212.58</v>
      </c>
      <c r="AC12" s="6" t="n">
        <v>212.58</v>
      </c>
      <c r="AD12" s="6" t="n">
        <v>212.58</v>
      </c>
      <c r="AE12" s="6" t="n">
        <v>212.58</v>
      </c>
      <c r="AF12" s="6" t="n">
        <v>212.58</v>
      </c>
      <c r="AG12" s="6" t="n">
        <v>23.55</v>
      </c>
      <c r="AI12" s="6">
        <f>SUM(F12:AG12)</f>
        <v/>
      </c>
      <c r="AK12" s="6" t="n">
        <v>377.93</v>
      </c>
      <c r="AL12" s="6" t="n">
        <v>52.16</v>
      </c>
      <c r="AM12" s="6" t="n">
        <v>125.97</v>
      </c>
      <c r="AN12" s="6" t="n">
        <v>125.97</v>
      </c>
      <c r="AO12" s="6" t="n">
        <v>69.29000000000001</v>
      </c>
      <c r="AP12" s="6" t="n">
        <v>54.11</v>
      </c>
      <c r="AQ12" s="6" t="n">
        <v>69.29000000000001</v>
      </c>
      <c r="AR12" s="6" t="n">
        <v>69.29000000000001</v>
      </c>
      <c r="AS12" s="6" t="n">
        <v>69.29000000000001</v>
      </c>
      <c r="AT12" s="6" t="n">
        <v>69.29000000000001</v>
      </c>
      <c r="AU12" s="6" t="n">
        <v>69.29000000000001</v>
      </c>
      <c r="AV12" s="6" t="n">
        <v>69.29000000000001</v>
      </c>
      <c r="AW12" s="6" t="n">
        <v>54.11</v>
      </c>
      <c r="AX12" s="6" t="n">
        <v>125.97</v>
      </c>
      <c r="AY12" s="6" t="n">
        <v>167.45</v>
      </c>
      <c r="AZ12" s="6" t="n">
        <v>125.97</v>
      </c>
      <c r="BA12" s="6" t="n">
        <v>54.11</v>
      </c>
      <c r="BB12" s="6" t="n">
        <v>69.29000000000001</v>
      </c>
      <c r="BC12" s="6" t="n">
        <v>69.29000000000001</v>
      </c>
      <c r="BD12" s="6" t="n">
        <v>54.11</v>
      </c>
      <c r="BE12" s="6" t="n">
        <v>69.29000000000001</v>
      </c>
      <c r="BF12" s="6" t="n">
        <v>54.11</v>
      </c>
      <c r="BG12" s="6" t="n">
        <v>69.29000000000001</v>
      </c>
      <c r="BH12" s="6" t="n">
        <v>69.29000000000001</v>
      </c>
      <c r="BI12" s="6" t="n">
        <v>69.29000000000001</v>
      </c>
      <c r="BJ12" s="6" t="n">
        <v>69.29000000000001</v>
      </c>
      <c r="BK12" s="6" t="n">
        <v>69.29000000000001</v>
      </c>
      <c r="BL12" s="6" t="n">
        <v>7.68</v>
      </c>
      <c r="BN12" s="6">
        <f>SUM(AK12:BL12)</f>
        <v/>
      </c>
    </row>
    <row r="13">
      <c r="A13" s="5" t="inlineStr">
        <is>
          <t>12/17/15</t>
        </is>
      </c>
      <c r="B13" s="1" t="inlineStr">
        <is>
          <t>3- Land Improvements - Grace Townhomes</t>
        </is>
      </c>
      <c r="E13" s="5" t="n">
        <v>3</v>
      </c>
      <c r="F13" s="6" t="n">
        <v>60048.41</v>
      </c>
      <c r="G13" s="6" t="n">
        <v>8288.23</v>
      </c>
      <c r="H13" s="6" t="n">
        <v>20018</v>
      </c>
      <c r="I13" s="6" t="n">
        <v>20018</v>
      </c>
      <c r="J13" s="6" t="n">
        <v>11011.6</v>
      </c>
      <c r="K13" s="6" t="n">
        <v>8598.15</v>
      </c>
      <c r="L13" s="6" t="n">
        <v>11011.6</v>
      </c>
      <c r="M13" s="6" t="n">
        <v>11011.6</v>
      </c>
      <c r="N13" s="6" t="n">
        <v>11011.6</v>
      </c>
      <c r="O13" s="6" t="n">
        <v>11011.6</v>
      </c>
      <c r="P13" s="6" t="n">
        <v>11011.6</v>
      </c>
      <c r="Q13" s="6" t="n">
        <v>11011.6</v>
      </c>
      <c r="R13" s="6" t="n">
        <v>8598.15</v>
      </c>
      <c r="S13" s="6" t="n">
        <v>20018</v>
      </c>
      <c r="T13" s="6" t="n">
        <v>26609.91</v>
      </c>
      <c r="U13" s="6" t="n">
        <v>20018</v>
      </c>
      <c r="V13" s="6" t="n">
        <v>8598.15</v>
      </c>
      <c r="W13" s="6" t="n">
        <v>11011.6</v>
      </c>
      <c r="X13" s="6" t="n">
        <v>11011.6</v>
      </c>
      <c r="Y13" s="6" t="n">
        <v>8598.15</v>
      </c>
      <c r="Z13" s="6" t="n">
        <v>11011.6</v>
      </c>
      <c r="AA13" s="6" t="n">
        <v>8598.15</v>
      </c>
      <c r="AB13" s="6" t="n">
        <v>11011.6</v>
      </c>
      <c r="AC13" s="6" t="n">
        <v>11011.6</v>
      </c>
      <c r="AD13" s="6" t="n">
        <v>11011.6</v>
      </c>
      <c r="AE13" s="6" t="n">
        <v>11011.6</v>
      </c>
      <c r="AF13" s="6" t="n">
        <v>11011.6</v>
      </c>
      <c r="AG13" s="6" t="n">
        <v>1219.7</v>
      </c>
      <c r="AI13" s="6">
        <f>SUM(F13:AG13)</f>
        <v/>
      </c>
      <c r="AK13" s="6" t="n">
        <v>38749.2</v>
      </c>
      <c r="AL13" s="6" t="n">
        <v>5343.15</v>
      </c>
      <c r="AM13" s="6" t="n">
        <v>12904.94</v>
      </c>
      <c r="AN13" s="6" t="n">
        <v>12904.94</v>
      </c>
      <c r="AO13" s="6" t="n">
        <v>7098.82</v>
      </c>
      <c r="AP13" s="6" t="n">
        <v>5542.95</v>
      </c>
      <c r="AQ13" s="6" t="n">
        <v>7098.82</v>
      </c>
      <c r="AR13" s="6" t="n">
        <v>7098.82</v>
      </c>
      <c r="AS13" s="6" t="n">
        <v>7098.82</v>
      </c>
      <c r="AT13" s="6" t="n">
        <v>7098.82</v>
      </c>
      <c r="AU13" s="6" t="n">
        <v>7098.82</v>
      </c>
      <c r="AV13" s="6" t="n">
        <v>7098.82</v>
      </c>
      <c r="AW13" s="6" t="n">
        <v>5542.95</v>
      </c>
      <c r="AX13" s="6" t="n">
        <v>12904.94</v>
      </c>
      <c r="AY13" s="6" t="n">
        <v>17154.54</v>
      </c>
      <c r="AZ13" s="6" t="n">
        <v>12904.94</v>
      </c>
      <c r="BA13" s="6" t="n">
        <v>5542.95</v>
      </c>
      <c r="BB13" s="6" t="n">
        <v>7098.82</v>
      </c>
      <c r="BC13" s="6" t="n">
        <v>7098.82</v>
      </c>
      <c r="BD13" s="6" t="n">
        <v>5542.95</v>
      </c>
      <c r="BE13" s="6" t="n">
        <v>7098.82</v>
      </c>
      <c r="BF13" s="6" t="n">
        <v>5542.95</v>
      </c>
      <c r="BG13" s="6" t="n">
        <v>7098.82</v>
      </c>
      <c r="BH13" s="6" t="n">
        <v>7098.82</v>
      </c>
      <c r="BI13" s="6" t="n">
        <v>7098.82</v>
      </c>
      <c r="BJ13" s="6" t="n">
        <v>7098.82</v>
      </c>
      <c r="BK13" s="6" t="n">
        <v>7098.82</v>
      </c>
      <c r="BL13" s="6" t="n">
        <v>786.3</v>
      </c>
      <c r="BN13" s="6">
        <f>SUM(AK13:BL13)</f>
        <v/>
      </c>
    </row>
    <row r="14">
      <c r="A14" s="5" t="inlineStr">
        <is>
          <t>12/17/15</t>
        </is>
      </c>
      <c r="B14" s="1" t="inlineStr">
        <is>
          <t>4- Equipment - Grace Townhomes</t>
        </is>
      </c>
      <c r="E14" s="5" t="n">
        <v>4</v>
      </c>
      <c r="F14" s="6" t="n">
        <v>108770.22</v>
      </c>
      <c r="G14" s="6" t="n">
        <v>15013.12</v>
      </c>
      <c r="H14" s="6" t="n">
        <v>36260.17</v>
      </c>
      <c r="I14" s="6" t="n">
        <v>36260.17</v>
      </c>
      <c r="J14" s="6" t="n">
        <v>19946.17</v>
      </c>
      <c r="K14" s="6" t="n">
        <v>15574.5</v>
      </c>
      <c r="L14" s="6" t="n">
        <v>19946.17</v>
      </c>
      <c r="M14" s="6" t="n">
        <v>19946.17</v>
      </c>
      <c r="N14" s="6" t="n">
        <v>19946.17</v>
      </c>
      <c r="O14" s="6" t="n">
        <v>19946.17</v>
      </c>
      <c r="P14" s="6" t="n">
        <v>19946.17</v>
      </c>
      <c r="Q14" s="6" t="n">
        <v>19946.17</v>
      </c>
      <c r="R14" s="6" t="n">
        <v>15574.5</v>
      </c>
      <c r="T14" s="6" t="n">
        <v>48200.59</v>
      </c>
      <c r="U14" s="6" t="n">
        <v>36260.17</v>
      </c>
      <c r="V14" s="6" t="n">
        <v>15574.5</v>
      </c>
      <c r="W14" s="6" t="n">
        <v>19946.17</v>
      </c>
      <c r="X14" s="6" t="n">
        <v>19946.17</v>
      </c>
      <c r="Y14" s="6" t="n">
        <v>15574.5</v>
      </c>
      <c r="Z14" s="6" t="n">
        <v>19946.17</v>
      </c>
      <c r="AA14" s="6" t="n">
        <v>15574.5</v>
      </c>
      <c r="AB14" s="6" t="n">
        <v>19946.17</v>
      </c>
      <c r="AC14" s="6" t="n">
        <v>19946.17</v>
      </c>
      <c r="AD14" s="6" t="n">
        <v>19946.17</v>
      </c>
      <c r="AE14" s="6" t="n">
        <v>19946.17</v>
      </c>
      <c r="AF14" s="6" t="n">
        <v>19946.17</v>
      </c>
      <c r="AG14" s="6" t="n">
        <v>2209.34</v>
      </c>
      <c r="AI14" s="6">
        <f>SUM(F14:AG14)</f>
        <v/>
      </c>
      <c r="AK14" s="6" t="n">
        <v>105144.47</v>
      </c>
      <c r="AL14" s="6" t="n">
        <v>14512.68</v>
      </c>
      <c r="AM14" s="6" t="n">
        <v>35051.5</v>
      </c>
      <c r="AN14" s="6" t="n">
        <v>35051.5</v>
      </c>
      <c r="AO14" s="6" t="n">
        <v>19281.3</v>
      </c>
      <c r="AP14" s="6" t="n">
        <v>15055.35</v>
      </c>
      <c r="AQ14" s="6" t="n">
        <v>19281.3</v>
      </c>
      <c r="AR14" s="6" t="n">
        <v>19281.3</v>
      </c>
      <c r="AS14" s="6" t="n">
        <v>19281.3</v>
      </c>
      <c r="AT14" s="6" t="n">
        <v>19281.3</v>
      </c>
      <c r="AU14" s="6" t="n">
        <v>19281.3</v>
      </c>
      <c r="AV14" s="6" t="n">
        <v>19281.3</v>
      </c>
      <c r="AW14" s="6" t="n">
        <v>15055.35</v>
      </c>
      <c r="AX14" s="6" t="n">
        <v>35051.5</v>
      </c>
      <c r="AY14" s="6" t="n">
        <v>46593.9</v>
      </c>
      <c r="AZ14" s="6" t="n">
        <v>35051.5</v>
      </c>
      <c r="BA14" s="6" t="n">
        <v>15055.35</v>
      </c>
      <c r="BB14" s="6" t="n">
        <v>19281.3</v>
      </c>
      <c r="BC14" s="6" t="n">
        <v>19281.3</v>
      </c>
      <c r="BD14" s="6" t="n">
        <v>15055.35</v>
      </c>
      <c r="BE14" s="6" t="n">
        <v>19281.3</v>
      </c>
      <c r="BF14" s="6" t="n">
        <v>15055.35</v>
      </c>
      <c r="BG14" s="6" t="n">
        <v>19281.3</v>
      </c>
      <c r="BH14" s="6" t="n">
        <v>19281.3</v>
      </c>
      <c r="BI14" s="6" t="n">
        <v>19281.3</v>
      </c>
      <c r="BJ14" s="6" t="n">
        <v>19281.3</v>
      </c>
      <c r="BK14" s="6" t="n">
        <v>19281.3</v>
      </c>
      <c r="BL14" s="6" t="n">
        <v>2135.7</v>
      </c>
      <c r="BN14" s="6">
        <f>SUM(AK14:BL14)</f>
        <v/>
      </c>
    </row>
    <row r="16">
      <c r="F16" s="7">
        <f>SUM(F11:F15)</f>
        <v/>
      </c>
      <c r="G16" s="7">
        <f>SUM(G11:G15)</f>
        <v/>
      </c>
      <c r="H16" s="7">
        <f>SUM(H11:H15)</f>
        <v/>
      </c>
      <c r="I16" s="7">
        <f>SUM(I11:I15)</f>
        <v/>
      </c>
      <c r="J16" s="7">
        <f>SUM(J11:J15)</f>
        <v/>
      </c>
      <c r="K16" s="7">
        <f>SUM(K11:K15)</f>
        <v/>
      </c>
      <c r="L16" s="7">
        <f>SUM(L11:L15)</f>
        <v/>
      </c>
      <c r="M16" s="7">
        <f>SUM(M11:M15)</f>
        <v/>
      </c>
      <c r="N16" s="7">
        <f>SUM(N11:N15)</f>
        <v/>
      </c>
      <c r="O16" s="7">
        <f>SUM(O11:O15)</f>
        <v/>
      </c>
      <c r="P16" s="7">
        <f>SUM(P11:P15)</f>
        <v/>
      </c>
      <c r="Q16" s="7">
        <f>SUM(Q11:Q15)</f>
        <v/>
      </c>
      <c r="R16" s="7">
        <f>SUM(R11:R15)</f>
        <v/>
      </c>
      <c r="S16" s="7">
        <f>SUM(S11:S15)</f>
        <v/>
      </c>
      <c r="T16" s="7">
        <f>SUM(T11:T15)</f>
        <v/>
      </c>
      <c r="U16" s="7">
        <f>SUM(U11:U15)</f>
        <v/>
      </c>
      <c r="V16" s="7">
        <f>SUM(V11:V15)</f>
        <v/>
      </c>
      <c r="W16" s="7">
        <f>SUM(W11:W15)</f>
        <v/>
      </c>
      <c r="X16" s="7">
        <f>SUM(X11:X15)</f>
        <v/>
      </c>
      <c r="Y16" s="7">
        <f>SUM(Y11:Y15)</f>
        <v/>
      </c>
      <c r="Z16" s="7">
        <f>SUM(Z11:Z15)</f>
        <v/>
      </c>
      <c r="AA16" s="7">
        <f>SUM(AA11:AA15)</f>
        <v/>
      </c>
      <c r="AB16" s="7">
        <f>SUM(AB11:AB15)</f>
        <v/>
      </c>
      <c r="AC16" s="7">
        <f>SUM(AC11:AC15)</f>
        <v/>
      </c>
      <c r="AD16" s="7">
        <f>SUM(AD11:AD15)</f>
        <v/>
      </c>
      <c r="AE16" s="7">
        <f>SUM(AE11:AE15)</f>
        <v/>
      </c>
      <c r="AF16" s="7">
        <f>SUM(AF11:AF15)</f>
        <v/>
      </c>
      <c r="AG16" s="7">
        <f>SUM(AG11:AG15)</f>
        <v/>
      </c>
      <c r="AI16" s="7">
        <f>SUM(AI11:AI15)</f>
        <v/>
      </c>
      <c r="AK16" s="7">
        <f>SUM(AK11:AK15)</f>
        <v/>
      </c>
      <c r="AL16" s="7">
        <f>SUM(AL11:AL15)</f>
        <v/>
      </c>
      <c r="AM16" s="7">
        <f>SUM(AM11:AM15)</f>
        <v/>
      </c>
      <c r="AN16" s="7">
        <f>SUM(AN11:AN15)</f>
        <v/>
      </c>
      <c r="AO16" s="7">
        <f>SUM(AO11:AO15)</f>
        <v/>
      </c>
      <c r="AP16" s="7">
        <f>SUM(AP11:AP15)</f>
        <v/>
      </c>
      <c r="AQ16" s="7">
        <f>SUM(AQ11:AQ15)</f>
        <v/>
      </c>
      <c r="AR16" s="7">
        <f>SUM(AR11:AR15)</f>
        <v/>
      </c>
      <c r="AS16" s="7">
        <f>SUM(AS11:AS15)</f>
        <v/>
      </c>
      <c r="AT16" s="7">
        <f>SUM(AT11:AT15)</f>
        <v/>
      </c>
      <c r="AU16" s="7">
        <f>SUM(AU11:AU15)</f>
        <v/>
      </c>
      <c r="AV16" s="7">
        <f>SUM(AV11:AV15)</f>
        <v/>
      </c>
      <c r="AW16" s="7">
        <f>SUM(AW11:AW15)</f>
        <v/>
      </c>
      <c r="AX16" s="7">
        <f>SUM(AX11:AX15)</f>
        <v/>
      </c>
      <c r="AY16" s="7">
        <f>SUM(AY11:AY15)</f>
        <v/>
      </c>
      <c r="AZ16" s="7">
        <f>SUM(AZ11:AZ15)</f>
        <v/>
      </c>
      <c r="BA16" s="7">
        <f>SUM(BA11:BA15)</f>
        <v/>
      </c>
      <c r="BB16" s="7">
        <f>SUM(BB11:BB15)</f>
        <v/>
      </c>
      <c r="BC16" s="7">
        <f>SUM(BC11:BC15)</f>
        <v/>
      </c>
      <c r="BD16" s="7">
        <f>SUM(BD11:BD15)</f>
        <v/>
      </c>
      <c r="BE16" s="7">
        <f>SUM(BE11:BE15)</f>
        <v/>
      </c>
      <c r="BF16" s="7">
        <f>SUM(BF11:BF15)</f>
        <v/>
      </c>
      <c r="BG16" s="7">
        <f>SUM(BG11:BG15)</f>
        <v/>
      </c>
      <c r="BH16" s="7">
        <f>SUM(BH11:BH15)</f>
        <v/>
      </c>
      <c r="BI16" s="7">
        <f>SUM(BI11:BI15)</f>
        <v/>
      </c>
      <c r="BJ16" s="7">
        <f>SUM(BJ11:BJ15)</f>
        <v/>
      </c>
      <c r="BK16" s="7">
        <f>SUM(BK11:BK15)</f>
        <v/>
      </c>
      <c r="BL16" s="7">
        <f>SUM(BL11:BL15)</f>
        <v/>
      </c>
      <c r="BN16" s="7">
        <f>SUM(BN11:BN15)</f>
        <v/>
      </c>
    </row>
    <row r="18">
      <c r="B18" s="1" t="inlineStr">
        <is>
          <t>MACRS Reclassification</t>
        </is>
      </c>
    </row>
    <row r="20">
      <c r="B20" s="5" t="inlineStr">
        <is>
          <t>1 - Building - Grace Townhomes - 5yr</t>
        </is>
      </c>
      <c r="G20" s="6" t="n">
        <v>15749.94</v>
      </c>
      <c r="H20" s="6" t="n">
        <v>41085.46</v>
      </c>
      <c r="I20" s="6" t="n">
        <v>41085.46</v>
      </c>
      <c r="J20" s="6" t="n">
        <v>24387.48</v>
      </c>
      <c r="K20" s="6" t="n">
        <v>21279.35</v>
      </c>
      <c r="L20" s="6" t="n">
        <v>24387.48</v>
      </c>
      <c r="M20" s="6" t="n">
        <v>24387.48</v>
      </c>
      <c r="N20" s="6" t="n">
        <v>24387.48</v>
      </c>
      <c r="O20" s="6" t="n">
        <v>24387.48</v>
      </c>
      <c r="P20" s="6" t="n">
        <v>24387.48</v>
      </c>
      <c r="Q20" s="6" t="n">
        <v>24387.48</v>
      </c>
      <c r="R20" s="6" t="n">
        <v>21279.35</v>
      </c>
      <c r="S20" s="6" t="n">
        <v>41085.46</v>
      </c>
      <c r="T20" s="6" t="n">
        <v>55838.26</v>
      </c>
      <c r="U20" s="6" t="n">
        <v>41085.46</v>
      </c>
      <c r="V20" s="6" t="n">
        <v>21279.35</v>
      </c>
      <c r="W20" s="6" t="n">
        <v>24387.48</v>
      </c>
      <c r="X20" s="6" t="n">
        <v>24387.48</v>
      </c>
      <c r="Y20" s="6" t="n">
        <v>21279.35</v>
      </c>
      <c r="Z20" s="6" t="n">
        <v>24387.48</v>
      </c>
      <c r="AA20" s="6" t="n">
        <v>21279.35</v>
      </c>
      <c r="AB20" s="6" t="n">
        <v>24387.48</v>
      </c>
      <c r="AC20" s="6" t="n">
        <v>24387.48</v>
      </c>
      <c r="AD20" s="6" t="n">
        <v>24387.48</v>
      </c>
      <c r="AE20" s="6" t="n">
        <v>24387.48</v>
      </c>
      <c r="AF20" s="6" t="n">
        <v>24387.48</v>
      </c>
      <c r="AG20" s="6" t="n">
        <v>368.29</v>
      </c>
      <c r="AI20" s="6">
        <f>SUM(F20:AG20)</f>
        <v/>
      </c>
    </row>
    <row r="21">
      <c r="B21" s="5" t="inlineStr">
        <is>
          <t>1 - Building - Grace Townhomes - Site - 15yr</t>
        </is>
      </c>
      <c r="F21" s="6" t="n">
        <v>385433.18</v>
      </c>
      <c r="AI21" s="6">
        <f>SUM(F21:AG21)</f>
        <v/>
      </c>
    </row>
    <row r="22">
      <c r="B22" s="5" t="inlineStr">
        <is>
          <t>1 - Building - Grace Townhomes - 27.5yr</t>
        </is>
      </c>
      <c r="F22" t="n">
        <v>251079.81</v>
      </c>
      <c r="G22" s="6" t="n">
        <v>72105.41</v>
      </c>
      <c r="H22" s="6" t="n">
        <v>171105.59</v>
      </c>
      <c r="I22" s="6" t="n">
        <v>171105.59</v>
      </c>
      <c r="J22" s="6" t="n">
        <v>92335.64</v>
      </c>
      <c r="K22" s="6" t="n">
        <v>69861.14999999999</v>
      </c>
      <c r="L22" s="6" t="n">
        <v>92335.64</v>
      </c>
      <c r="M22" s="6" t="n">
        <v>92335.64</v>
      </c>
      <c r="N22" s="6" t="n">
        <v>92335.64</v>
      </c>
      <c r="O22" s="6" t="n">
        <v>92335.64</v>
      </c>
      <c r="P22" s="6" t="n">
        <v>92335.64</v>
      </c>
      <c r="Q22" s="6" t="n">
        <v>92335.64</v>
      </c>
      <c r="R22" s="6" t="n">
        <v>69861.14999999999</v>
      </c>
      <c r="S22" s="6" t="n">
        <v>171105.59</v>
      </c>
      <c r="T22" s="6" t="n">
        <v>226227.05</v>
      </c>
      <c r="U22" s="6" t="n">
        <v>171105.59</v>
      </c>
      <c r="V22" s="6" t="n">
        <v>69861.14999999999</v>
      </c>
      <c r="W22" s="6" t="n">
        <v>92335.64</v>
      </c>
      <c r="X22" s="6" t="n">
        <v>92335.64</v>
      </c>
      <c r="Y22" s="6" t="n">
        <v>69861.14999999999</v>
      </c>
      <c r="Z22" s="6" t="n">
        <v>92335.64</v>
      </c>
      <c r="AA22" s="6" t="n">
        <v>69861.14999999999</v>
      </c>
      <c r="AB22" s="6" t="n">
        <v>92335.64</v>
      </c>
      <c r="AC22" s="6" t="n">
        <v>92335.64</v>
      </c>
      <c r="AD22" s="6" t="n">
        <v>92335.64</v>
      </c>
      <c r="AE22" s="6" t="n">
        <v>92335.64</v>
      </c>
      <c r="AF22" s="6" t="n">
        <v>92335.64</v>
      </c>
      <c r="AG22" s="6" t="n">
        <v>12560.56</v>
      </c>
      <c r="AI22" s="6">
        <f>SUM(F22:AG22)</f>
        <v/>
      </c>
    </row>
    <row r="23">
      <c r="B23" s="5" t="inlineStr">
        <is>
          <t>5 - Building - Grace Townhomes - 5yr</t>
        </is>
      </c>
      <c r="G23" s="6" t="n">
        <v>28.69</v>
      </c>
      <c r="H23" s="6" t="n">
        <v>74.83</v>
      </c>
      <c r="I23" s="6" t="n">
        <v>74.83</v>
      </c>
      <c r="J23" s="6" t="n">
        <v>44.42</v>
      </c>
      <c r="K23" s="6" t="n">
        <v>38.76</v>
      </c>
      <c r="L23" s="6" t="n">
        <v>44.42</v>
      </c>
      <c r="M23" s="6" t="n">
        <v>44.42</v>
      </c>
      <c r="N23" s="6" t="n">
        <v>44.42</v>
      </c>
      <c r="O23" s="6" t="n">
        <v>44.42</v>
      </c>
      <c r="P23" s="6" t="n">
        <v>44.42</v>
      </c>
      <c r="Q23" s="6" t="n">
        <v>44.42</v>
      </c>
      <c r="R23" s="6" t="n">
        <v>38.76</v>
      </c>
      <c r="S23" s="6" t="n">
        <v>74.83</v>
      </c>
      <c r="T23" s="6" t="n">
        <v>101.7</v>
      </c>
      <c r="U23" s="6" t="n">
        <v>74.83</v>
      </c>
      <c r="V23" s="6" t="n">
        <v>38.76</v>
      </c>
      <c r="W23" s="6" t="n">
        <v>44.42</v>
      </c>
      <c r="X23" s="6" t="n">
        <v>44.42</v>
      </c>
      <c r="Y23" s="6" t="n">
        <v>38.76</v>
      </c>
      <c r="Z23" s="6" t="n">
        <v>44.42</v>
      </c>
      <c r="AA23" s="6" t="n">
        <v>38.76</v>
      </c>
      <c r="AB23" s="6" t="n">
        <v>44.42</v>
      </c>
      <c r="AC23" s="6" t="n">
        <v>44.42</v>
      </c>
      <c r="AD23" s="6" t="n">
        <v>44.42</v>
      </c>
      <c r="AE23" s="6" t="n">
        <v>44.42</v>
      </c>
      <c r="AF23" s="6" t="n">
        <v>44.42</v>
      </c>
      <c r="AG23" s="6" t="n">
        <v>0.67</v>
      </c>
      <c r="AI23" s="6">
        <f>SUM(F23:AG23)</f>
        <v/>
      </c>
    </row>
    <row r="24">
      <c r="B24" s="5" t="inlineStr">
        <is>
          <t>5 - Building - Grace Townhomes - Site - 15yr</t>
        </is>
      </c>
      <c r="F24" s="6" t="n">
        <v>701.99</v>
      </c>
      <c r="AI24" s="6">
        <f>SUM(F24:AG24)</f>
        <v/>
      </c>
    </row>
    <row r="25">
      <c r="B25" s="5" t="inlineStr">
        <is>
          <t>5 - Building - Grace Townhomes - 27.5yr</t>
        </is>
      </c>
      <c r="F25" t="n">
        <v>457.29</v>
      </c>
      <c r="G25" s="6" t="n">
        <v>131.32</v>
      </c>
      <c r="H25" s="6" t="n">
        <v>311.62</v>
      </c>
      <c r="I25" s="6" t="n">
        <v>311.62</v>
      </c>
      <c r="J25" s="6" t="n">
        <v>168.16</v>
      </c>
      <c r="K25" s="6" t="n">
        <v>127.23</v>
      </c>
      <c r="L25" s="6" t="n">
        <v>168.16</v>
      </c>
      <c r="M25" s="6" t="n">
        <v>168.16</v>
      </c>
      <c r="N25" s="6" t="n">
        <v>168.16</v>
      </c>
      <c r="O25" s="6" t="n">
        <v>168.16</v>
      </c>
      <c r="P25" s="6" t="n">
        <v>168.16</v>
      </c>
      <c r="Q25" s="6" t="n">
        <v>168.16</v>
      </c>
      <c r="R25" s="6" t="n">
        <v>127.23</v>
      </c>
      <c r="S25" s="6" t="n">
        <v>311.62</v>
      </c>
      <c r="T25" s="6" t="n">
        <v>412.01</v>
      </c>
      <c r="U25" s="6" t="n">
        <v>311.62</v>
      </c>
      <c r="V25" s="6" t="n">
        <v>127.23</v>
      </c>
      <c r="W25" s="6" t="n">
        <v>168.16</v>
      </c>
      <c r="X25" s="6" t="n">
        <v>168.16</v>
      </c>
      <c r="Y25" s="6" t="n">
        <v>127.23</v>
      </c>
      <c r="Z25" s="6" t="n">
        <v>168.16</v>
      </c>
      <c r="AA25" s="6" t="n">
        <v>127.23</v>
      </c>
      <c r="AB25" s="6" t="n">
        <v>168.16</v>
      </c>
      <c r="AC25" s="6" t="n">
        <v>168.16</v>
      </c>
      <c r="AD25" s="6" t="n">
        <v>168.16</v>
      </c>
      <c r="AE25" s="6" t="n">
        <v>168.16</v>
      </c>
      <c r="AF25" s="6" t="n">
        <v>168.16</v>
      </c>
      <c r="AG25" s="6" t="n">
        <v>22.88</v>
      </c>
      <c r="AI25" s="6">
        <f>SUM(F25:AG25)</f>
        <v/>
      </c>
    </row>
    <row r="26">
      <c r="B26" s="5" t="inlineStr">
        <is>
          <t>3 - Land Improvements - Grace Townhomes - 5yr</t>
        </is>
      </c>
      <c r="G26" s="6" t="n">
        <v>1485.84</v>
      </c>
      <c r="H26" s="6" t="n">
        <v>3875.98</v>
      </c>
      <c r="I26" s="6" t="n">
        <v>3875.98</v>
      </c>
      <c r="J26" s="6" t="n">
        <v>2300.7</v>
      </c>
      <c r="K26" s="6" t="n">
        <v>2007.48</v>
      </c>
      <c r="L26" s="6" t="n">
        <v>2300.7</v>
      </c>
      <c r="M26" s="6" t="n">
        <v>2300.7</v>
      </c>
      <c r="N26" s="6" t="n">
        <v>2300.7</v>
      </c>
      <c r="O26" s="6" t="n">
        <v>2300.7</v>
      </c>
      <c r="P26" s="6" t="n">
        <v>2300.7</v>
      </c>
      <c r="Q26" s="6" t="n">
        <v>2300.7</v>
      </c>
      <c r="R26" s="6" t="n">
        <v>2007.48</v>
      </c>
      <c r="S26" s="6" t="n">
        <v>3875.98</v>
      </c>
      <c r="T26" s="6" t="n">
        <v>5267.76</v>
      </c>
      <c r="U26" s="6" t="n">
        <v>3875.98</v>
      </c>
      <c r="V26" s="6" t="n">
        <v>2007.48</v>
      </c>
      <c r="W26" s="6" t="n">
        <v>2300.7</v>
      </c>
      <c r="X26" s="6" t="n">
        <v>2300.7</v>
      </c>
      <c r="Y26" s="6" t="n">
        <v>2007.48</v>
      </c>
      <c r="Z26" s="6" t="n">
        <v>2300.7</v>
      </c>
      <c r="AA26" s="6" t="n">
        <v>2007.48</v>
      </c>
      <c r="AB26" s="6" t="n">
        <v>2300.7</v>
      </c>
      <c r="AC26" s="6" t="n">
        <v>2300.7</v>
      </c>
      <c r="AD26" s="6" t="n">
        <v>2300.7</v>
      </c>
      <c r="AE26" s="6" t="n">
        <v>2300.7</v>
      </c>
      <c r="AF26" s="6" t="n">
        <v>2300.7</v>
      </c>
      <c r="AG26" s="6" t="n">
        <v>34.74</v>
      </c>
      <c r="AI26" s="6">
        <f>SUM(F26:AG26)</f>
        <v/>
      </c>
    </row>
    <row r="27">
      <c r="B27" s="5" t="inlineStr">
        <is>
          <t>3 - Land Improvements - Grace Townhomes - Site - 15yr</t>
        </is>
      </c>
      <c r="F27" s="6" t="n">
        <v>36361.63</v>
      </c>
      <c r="AI27" s="6">
        <f>SUM(F27:AG27)</f>
        <v/>
      </c>
    </row>
    <row r="28">
      <c r="B28" s="5" t="inlineStr">
        <is>
          <t>3 - Land Improvements - Grace Townhomes - 27.5yr</t>
        </is>
      </c>
      <c r="F28" t="n">
        <v>23686.78</v>
      </c>
      <c r="G28" s="6" t="n">
        <v>6802.39</v>
      </c>
      <c r="H28" s="6" t="n">
        <v>16142.02</v>
      </c>
      <c r="I28" s="6" t="n">
        <v>16142.02</v>
      </c>
      <c r="J28" s="6" t="n">
        <v>8710.9</v>
      </c>
      <c r="K28" s="6" t="n">
        <v>6590.67</v>
      </c>
      <c r="L28" s="6" t="n">
        <v>8710.9</v>
      </c>
      <c r="M28" s="6" t="n">
        <v>8710.9</v>
      </c>
      <c r="N28" s="6" t="n">
        <v>8710.9</v>
      </c>
      <c r="O28" s="6" t="n">
        <v>8710.9</v>
      </c>
      <c r="P28" s="6" t="n">
        <v>8710.9</v>
      </c>
      <c r="Q28" s="6" t="n">
        <v>8710.9</v>
      </c>
      <c r="R28" s="6" t="n">
        <v>6590.67</v>
      </c>
      <c r="S28" s="6" t="n">
        <v>16142.02</v>
      </c>
      <c r="T28" s="6" t="n">
        <v>21342.15</v>
      </c>
      <c r="U28" s="6" t="n">
        <v>16142.02</v>
      </c>
      <c r="V28" s="6" t="n">
        <v>6590.67</v>
      </c>
      <c r="W28" s="6" t="n">
        <v>8710.9</v>
      </c>
      <c r="X28" s="6" t="n">
        <v>8710.9</v>
      </c>
      <c r="Y28" s="6" t="n">
        <v>6590.67</v>
      </c>
      <c r="Z28" s="6" t="n">
        <v>8710.9</v>
      </c>
      <c r="AA28" s="6" t="n">
        <v>6590.67</v>
      </c>
      <c r="AB28" s="6" t="n">
        <v>8710.9</v>
      </c>
      <c r="AC28" s="6" t="n">
        <v>8710.9</v>
      </c>
      <c r="AD28" s="6" t="n">
        <v>8710.9</v>
      </c>
      <c r="AE28" s="6" t="n">
        <v>8710.9</v>
      </c>
      <c r="AF28" s="6" t="n">
        <v>8710.9</v>
      </c>
      <c r="AG28" s="6" t="n">
        <v>1184.96</v>
      </c>
      <c r="AI28" s="6">
        <f>SUM(F28:AG28)</f>
        <v/>
      </c>
    </row>
    <row r="29">
      <c r="B29" s="5" t="inlineStr">
        <is>
          <t>4 - Equipment - Grace Townhomes - 5yr</t>
        </is>
      </c>
      <c r="G29" s="6" t="n">
        <v>2691.42</v>
      </c>
      <c r="H29" s="6" t="n">
        <v>7020.87</v>
      </c>
      <c r="I29" s="6" t="n">
        <v>7020.87</v>
      </c>
      <c r="J29" s="6" t="n">
        <v>4167.44</v>
      </c>
      <c r="K29" s="6" t="n">
        <v>3636.31</v>
      </c>
      <c r="L29" s="6" t="n">
        <v>4167.44</v>
      </c>
      <c r="M29" s="6" t="n">
        <v>4167.44</v>
      </c>
      <c r="N29" s="6" t="n">
        <v>4167.44</v>
      </c>
      <c r="O29" s="6" t="n">
        <v>4167.44</v>
      </c>
      <c r="P29" s="6" t="n">
        <v>4167.44</v>
      </c>
      <c r="Q29" s="6" t="n">
        <v>4167.44</v>
      </c>
      <c r="R29" s="6" t="n">
        <v>3636.31</v>
      </c>
      <c r="T29" s="6" t="n">
        <v>9541.879999999999</v>
      </c>
      <c r="U29" s="6" t="n">
        <v>7020.87</v>
      </c>
      <c r="V29" s="6" t="n">
        <v>3636.31</v>
      </c>
      <c r="W29" s="6" t="n">
        <v>4167.44</v>
      </c>
      <c r="X29" s="6" t="n">
        <v>4167.44</v>
      </c>
      <c r="Y29" s="6" t="n">
        <v>3636.31</v>
      </c>
      <c r="Z29" s="6" t="n">
        <v>4167.44</v>
      </c>
      <c r="AA29" s="6" t="n">
        <v>3636.31</v>
      </c>
      <c r="AB29" s="6" t="n">
        <v>4167.44</v>
      </c>
      <c r="AC29" s="6" t="n">
        <v>4167.44</v>
      </c>
      <c r="AD29" s="6" t="n">
        <v>4167.44</v>
      </c>
      <c r="AE29" s="6" t="n">
        <v>4167.44</v>
      </c>
      <c r="AF29" s="6" t="n">
        <v>4167.44</v>
      </c>
      <c r="AG29" s="6" t="n">
        <v>62.94</v>
      </c>
      <c r="AI29" s="6">
        <f>SUM(F29:AG29)</f>
        <v/>
      </c>
    </row>
    <row r="30">
      <c r="B30" s="5" t="inlineStr">
        <is>
          <t>4 - Equipment - Grace Townhomes - Site - 15yr</t>
        </is>
      </c>
      <c r="F30" s="6" t="n">
        <v>65864.56</v>
      </c>
      <c r="AI30" s="6">
        <f>SUM(F30:AG30)</f>
        <v/>
      </c>
    </row>
    <row r="31">
      <c r="B31" s="5" t="inlineStr">
        <is>
          <t>4 - Equipment - Grace Townhomes - 27.5yr</t>
        </is>
      </c>
      <c r="F31" t="n">
        <v>42905.66</v>
      </c>
      <c r="G31" s="6" t="n">
        <v>12321.7</v>
      </c>
      <c r="H31" s="6" t="n">
        <v>29239.3</v>
      </c>
      <c r="I31" s="6" t="n">
        <v>29239.3</v>
      </c>
      <c r="J31" s="6" t="n">
        <v>15778.73</v>
      </c>
      <c r="K31" s="6" t="n">
        <v>11938.19</v>
      </c>
      <c r="L31" s="6" t="n">
        <v>15778.73</v>
      </c>
      <c r="M31" s="6" t="n">
        <v>15778.73</v>
      </c>
      <c r="N31" s="6" t="n">
        <v>15778.73</v>
      </c>
      <c r="O31" s="6" t="n">
        <v>15778.73</v>
      </c>
      <c r="P31" s="6" t="n">
        <v>15778.73</v>
      </c>
      <c r="Q31" s="6" t="n">
        <v>15778.73</v>
      </c>
      <c r="R31" s="6" t="n">
        <v>11938.19</v>
      </c>
      <c r="T31" s="6" t="n">
        <v>38658.71</v>
      </c>
      <c r="U31" s="6" t="n">
        <v>29239.3</v>
      </c>
      <c r="V31" s="6" t="n">
        <v>11938.19</v>
      </c>
      <c r="W31" s="6" t="n">
        <v>15778.73</v>
      </c>
      <c r="X31" s="6" t="n">
        <v>15778.73</v>
      </c>
      <c r="Y31" s="6" t="n">
        <v>11938.19</v>
      </c>
      <c r="Z31" s="6" t="n">
        <v>15778.73</v>
      </c>
      <c r="AA31" s="6" t="n">
        <v>11938.19</v>
      </c>
      <c r="AB31" s="6" t="n">
        <v>15778.73</v>
      </c>
      <c r="AC31" s="6" t="n">
        <v>15778.73</v>
      </c>
      <c r="AD31" s="6" t="n">
        <v>15778.73</v>
      </c>
      <c r="AE31" s="6" t="n">
        <v>15778.73</v>
      </c>
      <c r="AF31" s="6" t="n">
        <v>15778.73</v>
      </c>
      <c r="AG31" s="6" t="n">
        <v>2146.4</v>
      </c>
      <c r="AI31" s="6">
        <f>SUM(F31:AG31)</f>
        <v/>
      </c>
    </row>
    <row r="33">
      <c r="B33" s="8" t="inlineStr">
        <is>
          <t>Total MACRS Reclassification</t>
        </is>
      </c>
      <c r="F33" s="7">
        <f>SUM(F20:F31)</f>
        <v/>
      </c>
      <c r="G33" s="7">
        <f>SUM(G20:G31)</f>
        <v/>
      </c>
      <c r="H33" s="7">
        <f>SUM(H20:H31)</f>
        <v/>
      </c>
      <c r="I33" s="7">
        <f>SUM(I20:I31)</f>
        <v/>
      </c>
      <c r="J33" s="7">
        <f>SUM(J20:J31)</f>
        <v/>
      </c>
      <c r="K33" s="7">
        <f>SUM(K20:K31)</f>
        <v/>
      </c>
      <c r="L33" s="7">
        <f>SUM(L20:L31)</f>
        <v/>
      </c>
      <c r="M33" s="7">
        <f>SUM(M20:M31)</f>
        <v/>
      </c>
      <c r="N33" s="7">
        <f>SUM(N20:N31)</f>
        <v/>
      </c>
      <c r="O33" s="7">
        <f>SUM(O20:O31)</f>
        <v/>
      </c>
      <c r="P33" s="7">
        <f>SUM(P20:P31)</f>
        <v/>
      </c>
      <c r="Q33" s="7">
        <f>SUM(Q20:Q31)</f>
        <v/>
      </c>
      <c r="R33" s="7">
        <f>SUM(R20:R31)</f>
        <v/>
      </c>
      <c r="S33" s="7">
        <f>SUM(S20:S31)</f>
        <v/>
      </c>
      <c r="T33" s="7">
        <f>SUM(T20:T31)</f>
        <v/>
      </c>
      <c r="U33" s="7">
        <f>SUM(U20:U31)</f>
        <v/>
      </c>
      <c r="V33" s="7">
        <f>SUM(V20:V31)</f>
        <v/>
      </c>
      <c r="W33" s="7">
        <f>SUM(W20:W31)</f>
        <v/>
      </c>
      <c r="X33" s="7">
        <f>SUM(X20:X31)</f>
        <v/>
      </c>
      <c r="Y33" s="7">
        <f>SUM(Y20:Y31)</f>
        <v/>
      </c>
      <c r="Z33" s="7">
        <f>SUM(Z20:Z31)</f>
        <v/>
      </c>
      <c r="AA33" s="7">
        <f>SUM(AA20:AA31)</f>
        <v/>
      </c>
      <c r="AB33" s="7">
        <f>SUM(AB20:AB31)</f>
        <v/>
      </c>
      <c r="AC33" s="7">
        <f>SUM(AC20:AC31)</f>
        <v/>
      </c>
      <c r="AD33" s="7">
        <f>SUM(AD20:AD31)</f>
        <v/>
      </c>
      <c r="AE33" s="7">
        <f>SUM(AE20:AE31)</f>
        <v/>
      </c>
      <c r="AF33" s="7">
        <f>SUM(AF20:AF31)</f>
        <v/>
      </c>
      <c r="AG33" s="7">
        <f>SUM(AG20:AG31)</f>
        <v/>
      </c>
      <c r="AI33" s="7">
        <f>SUM(AI20:AI31)</f>
        <v/>
      </c>
    </row>
    <row r="35">
      <c r="B35" s="1" t="inlineStr">
        <is>
          <t>Difference (should be zero)</t>
        </is>
      </c>
      <c r="F35" s="6">
        <f>+F16-F33</f>
        <v/>
      </c>
      <c r="G35" s="6">
        <f>+G16-G33</f>
        <v/>
      </c>
      <c r="H35" s="6">
        <f>+H16-H33</f>
        <v/>
      </c>
      <c r="I35" s="6">
        <f>+I16-I33</f>
        <v/>
      </c>
      <c r="J35" s="6">
        <f>+J16-J33</f>
        <v/>
      </c>
      <c r="K35" s="6">
        <f>+K16-K33</f>
        <v/>
      </c>
      <c r="L35" s="6">
        <f>+L16-L33</f>
        <v/>
      </c>
      <c r="M35" s="6">
        <f>+M16-M33</f>
        <v/>
      </c>
      <c r="N35" s="6">
        <f>+N16-N33</f>
        <v/>
      </c>
      <c r="O35" s="6">
        <f>+O16-O33</f>
        <v/>
      </c>
      <c r="P35" s="6">
        <f>+P16-P33</f>
        <v/>
      </c>
      <c r="Q35" s="6">
        <f>+Q16-Q33</f>
        <v/>
      </c>
      <c r="R35" s="6">
        <f>+R16-R33</f>
        <v/>
      </c>
      <c r="S35" s="6">
        <f>+S16-S33</f>
        <v/>
      </c>
      <c r="T35" s="6">
        <f>+T16-T33</f>
        <v/>
      </c>
      <c r="U35" s="6">
        <f>+U16-U33</f>
        <v/>
      </c>
      <c r="V35" s="6">
        <f>+V16-V33</f>
        <v/>
      </c>
      <c r="W35" s="6">
        <f>+W16-W33</f>
        <v/>
      </c>
      <c r="X35" s="6">
        <f>+X16-X33</f>
        <v/>
      </c>
      <c r="Y35" s="6">
        <f>+Y16-Y33</f>
        <v/>
      </c>
      <c r="Z35" s="6">
        <f>+Z16-Z33</f>
        <v/>
      </c>
      <c r="AA35" s="6">
        <f>+AA16-AA33</f>
        <v/>
      </c>
      <c r="AB35" s="6">
        <f>+AB16-AB33</f>
        <v/>
      </c>
      <c r="AC35" s="6">
        <f>+AC16-AC33</f>
        <v/>
      </c>
      <c r="AD35" s="6">
        <f>+AD16-AD33</f>
        <v/>
      </c>
      <c r="AE35" s="6">
        <f>+AE16-AE33</f>
        <v/>
      </c>
      <c r="AF35" s="6">
        <f>+AF16-AF33</f>
        <v/>
      </c>
      <c r="AG35" s="6">
        <f>+AG16-AG33</f>
        <v/>
      </c>
      <c r="AI35" s="6">
        <f>+AI16-AI33</f>
        <v/>
      </c>
    </row>
    <row r="37">
      <c r="B37" s="1" t="inlineStr">
        <is>
          <t>End Depreciation Reconciliation</t>
        </is>
      </c>
    </row>
    <row r="38">
      <c r="B38" s="5" t="inlineStr">
        <is>
          <t>Before Cost Segregation (As Previously Filed)</t>
        </is>
      </c>
      <c r="F38" s="6" t="n">
        <v>353546.9</v>
      </c>
      <c r="G38" s="6" t="n">
        <v>48793.35</v>
      </c>
      <c r="H38" s="6" t="n">
        <v>117847.47</v>
      </c>
      <c r="I38" s="6" t="n">
        <v>117847.47</v>
      </c>
      <c r="J38" s="6" t="n">
        <v>64826.13</v>
      </c>
      <c r="K38" s="6" t="n">
        <v>50617.97</v>
      </c>
      <c r="L38" s="6" t="n">
        <v>64826.13</v>
      </c>
      <c r="M38" s="6" t="n">
        <v>64826.13</v>
      </c>
      <c r="N38" s="6" t="n">
        <v>64826.13</v>
      </c>
      <c r="O38" s="6" t="n">
        <v>64826.13</v>
      </c>
      <c r="P38" s="6" t="n">
        <v>64826.13</v>
      </c>
      <c r="Q38" s="6" t="n">
        <v>64826.13</v>
      </c>
      <c r="R38" s="6" t="n">
        <v>50617.97</v>
      </c>
      <c r="S38" s="6" t="n">
        <v>117847.47</v>
      </c>
      <c r="T38" s="6" t="n">
        <v>156654.5</v>
      </c>
      <c r="U38" s="6" t="n">
        <v>117847.47</v>
      </c>
      <c r="V38" s="6" t="n">
        <v>50617.97</v>
      </c>
      <c r="W38" s="6" t="n">
        <v>64826.13</v>
      </c>
      <c r="X38" s="6" t="n">
        <v>64826.13</v>
      </c>
      <c r="Y38" s="6" t="n">
        <v>50617.97</v>
      </c>
      <c r="Z38" s="6" t="n">
        <v>64826.13</v>
      </c>
      <c r="AA38" s="6" t="n">
        <v>50617.97</v>
      </c>
      <c r="AB38" s="6" t="n">
        <v>64826.13</v>
      </c>
      <c r="AC38" s="6" t="n">
        <v>64826.13</v>
      </c>
      <c r="AD38" s="6" t="n">
        <v>64826.13</v>
      </c>
      <c r="AE38" s="6" t="n">
        <v>64826.13</v>
      </c>
      <c r="AF38" s="6" t="n">
        <v>64826.13</v>
      </c>
      <c r="AG38" s="6" t="n">
        <v>7180.48</v>
      </c>
      <c r="AI38" s="7">
        <f>SUM(F38:AG38)</f>
        <v/>
      </c>
    </row>
    <row r="39">
      <c r="B39" s="22" t="inlineStr">
        <is>
          <t>1 - Building - Grace Townhomes - 5yr</t>
        </is>
      </c>
      <c r="G39" s="23" t="n">
        <v>15749.94</v>
      </c>
      <c r="H39" s="23" t="n">
        <v>41085.46</v>
      </c>
      <c r="I39" s="23" t="n">
        <v>41085.46</v>
      </c>
      <c r="J39" s="23" t="n">
        <v>24387.48</v>
      </c>
      <c r="K39" s="23" t="n">
        <v>21279.35</v>
      </c>
      <c r="L39" s="23" t="n">
        <v>24387.48</v>
      </c>
      <c r="M39" s="23" t="n">
        <v>24387.48</v>
      </c>
      <c r="N39" s="23" t="n">
        <v>24387.48</v>
      </c>
      <c r="O39" s="23" t="n">
        <v>24387.48</v>
      </c>
      <c r="P39" s="23" t="n">
        <v>24387.48</v>
      </c>
      <c r="Q39" s="23" t="n">
        <v>24387.48</v>
      </c>
      <c r="R39" s="23" t="n">
        <v>24387.48</v>
      </c>
      <c r="S39" s="23" t="n">
        <v>21279.35</v>
      </c>
      <c r="T39" s="23" t="n">
        <v>21279.35</v>
      </c>
      <c r="U39" s="23" t="n">
        <v>41085.46</v>
      </c>
      <c r="V39" s="23" t="n">
        <v>55838.26</v>
      </c>
      <c r="W39" s="23" t="n">
        <v>41085.46</v>
      </c>
      <c r="X39" s="23" t="n">
        <v>21279.35</v>
      </c>
      <c r="Y39" s="23" t="n">
        <v>21279.35</v>
      </c>
      <c r="Z39" s="23" t="n">
        <v>24387.48</v>
      </c>
      <c r="AA39" s="23" t="n">
        <v>24387.48</v>
      </c>
      <c r="AB39" s="23" t="n">
        <v>24387.48</v>
      </c>
      <c r="AC39" s="23" t="n">
        <v>21279.35</v>
      </c>
      <c r="AD39" s="23" t="n">
        <v>21279.35</v>
      </c>
      <c r="AE39" s="23" t="n">
        <v>24387.48</v>
      </c>
      <c r="AF39" s="23" t="n">
        <v>21279.35</v>
      </c>
      <c r="AG39" s="23" t="n">
        <v>21279.35</v>
      </c>
      <c r="AI39" s="23">
        <f>SUM(F39:AG39)</f>
        <v/>
      </c>
    </row>
    <row r="40">
      <c r="B40" s="22" t="inlineStr">
        <is>
          <t>1 - Building - Grace Townhomes - Site - 15yr</t>
        </is>
      </c>
      <c r="F40" s="23" t="n">
        <v>260256.23</v>
      </c>
      <c r="AI40" s="23">
        <f>SUM(F40:AG40)</f>
        <v/>
      </c>
    </row>
    <row r="41">
      <c r="B41" s="22" t="inlineStr">
        <is>
          <t>1 - Building - Grace Townhomes - 27.5yr</t>
        </is>
      </c>
      <c r="F41" s="23" t="n">
        <v>82551.95</v>
      </c>
      <c r="G41" s="23" t="n">
        <v>23707.34</v>
      </c>
      <c r="H41" s="23" t="n">
        <v>56257.43</v>
      </c>
      <c r="I41" s="23" t="n">
        <v>56257.43</v>
      </c>
      <c r="J41" s="23" t="n">
        <v>30358.84</v>
      </c>
      <c r="K41" s="23" t="n">
        <v>22969.54</v>
      </c>
      <c r="L41" s="23" t="n">
        <v>30358.84</v>
      </c>
      <c r="M41" s="23" t="n">
        <v>30358.84</v>
      </c>
      <c r="N41" s="23" t="n">
        <v>30358.84</v>
      </c>
      <c r="O41" s="23" t="n">
        <v>30358.84</v>
      </c>
      <c r="P41" s="23" t="n">
        <v>30358.84</v>
      </c>
      <c r="Q41" s="23" t="n">
        <v>30358.84</v>
      </c>
      <c r="R41" s="23" t="n">
        <v>30358.84</v>
      </c>
      <c r="S41" s="23" t="n">
        <v>22969.54</v>
      </c>
      <c r="T41" s="23" t="n">
        <v>22969.54</v>
      </c>
      <c r="U41" s="23" t="n">
        <v>56257.43</v>
      </c>
      <c r="V41" s="23" t="n">
        <v>74380.73</v>
      </c>
      <c r="W41" s="23" t="n">
        <v>56257.43</v>
      </c>
      <c r="X41" s="23" t="n">
        <v>22969.54</v>
      </c>
      <c r="Y41" s="23" t="n">
        <v>22969.54</v>
      </c>
      <c r="Z41" s="23" t="n">
        <v>30358.84</v>
      </c>
      <c r="AA41" s="23" t="n">
        <v>30358.84</v>
      </c>
      <c r="AB41" s="23" t="n">
        <v>30358.84</v>
      </c>
      <c r="AC41" s="23" t="n">
        <v>22969.54</v>
      </c>
      <c r="AD41" s="23" t="n">
        <v>22969.54</v>
      </c>
      <c r="AE41" s="23" t="n">
        <v>30358.84</v>
      </c>
      <c r="AF41" s="23" t="n">
        <v>22969.54</v>
      </c>
      <c r="AG41" s="23" t="n">
        <v>22969.54</v>
      </c>
      <c r="AI41" s="23">
        <f>SUM(F41:AG41)</f>
        <v/>
      </c>
    </row>
    <row r="42">
      <c r="B42" s="22" t="inlineStr">
        <is>
          <t>5 - Building - Grace Townhomes - 5yr</t>
        </is>
      </c>
      <c r="G42" s="23" t="n">
        <v>28.69</v>
      </c>
      <c r="H42" s="23" t="n">
        <v>74.83</v>
      </c>
      <c r="I42" s="23" t="n">
        <v>74.83</v>
      </c>
      <c r="J42" s="23" t="n">
        <v>44.42</v>
      </c>
      <c r="K42" s="23" t="n">
        <v>38.76</v>
      </c>
      <c r="L42" s="23" t="n">
        <v>44.42</v>
      </c>
      <c r="M42" s="23" t="n">
        <v>44.42</v>
      </c>
      <c r="N42" s="23" t="n">
        <v>44.42</v>
      </c>
      <c r="O42" s="23" t="n">
        <v>44.42</v>
      </c>
      <c r="P42" s="23" t="n">
        <v>44.42</v>
      </c>
      <c r="Q42" s="23" t="n">
        <v>44.42</v>
      </c>
      <c r="R42" s="23" t="n">
        <v>44.42</v>
      </c>
      <c r="S42" s="23" t="n">
        <v>38.76</v>
      </c>
      <c r="T42" s="23" t="n">
        <v>38.76</v>
      </c>
      <c r="U42" s="23" t="n">
        <v>74.83</v>
      </c>
      <c r="V42" s="23" t="n">
        <v>101.7</v>
      </c>
      <c r="W42" s="23" t="n">
        <v>74.83</v>
      </c>
      <c r="X42" s="23" t="n">
        <v>38.76</v>
      </c>
      <c r="Y42" s="23" t="n">
        <v>38.76</v>
      </c>
      <c r="Z42" s="23" t="n">
        <v>44.42</v>
      </c>
      <c r="AA42" s="23" t="n">
        <v>44.42</v>
      </c>
      <c r="AB42" s="23" t="n">
        <v>44.42</v>
      </c>
      <c r="AC42" s="23" t="n">
        <v>38.76</v>
      </c>
      <c r="AD42" s="23" t="n">
        <v>38.76</v>
      </c>
      <c r="AE42" s="23" t="n">
        <v>44.42</v>
      </c>
      <c r="AF42" s="23" t="n">
        <v>38.76</v>
      </c>
      <c r="AG42" s="23" t="n">
        <v>38.76</v>
      </c>
      <c r="AI42" s="23">
        <f>SUM(F42:AG42)</f>
        <v/>
      </c>
    </row>
    <row r="43">
      <c r="B43" s="22" t="inlineStr">
        <is>
          <t>5 - Building - Grace Townhomes - Site - 15yr</t>
        </is>
      </c>
      <c r="F43" s="23" t="n">
        <v>432.55</v>
      </c>
      <c r="AI43" s="23">
        <f>SUM(F43:AG43)</f>
        <v/>
      </c>
    </row>
    <row r="44">
      <c r="B44" s="22" t="inlineStr">
        <is>
          <t>5 - Building - Grace Townhomes - 27.5yr</t>
        </is>
      </c>
      <c r="F44" s="23" t="n">
        <v>148.98</v>
      </c>
      <c r="G44" s="23" t="n">
        <v>42.82</v>
      </c>
      <c r="H44" s="23" t="n">
        <v>101.5</v>
      </c>
      <c r="I44" s="23" t="n">
        <v>101.5</v>
      </c>
      <c r="J44" s="23" t="n">
        <v>54.74</v>
      </c>
      <c r="K44" s="23" t="n">
        <v>41.47</v>
      </c>
      <c r="L44" s="23" t="n">
        <v>54.74</v>
      </c>
      <c r="M44" s="23" t="n">
        <v>54.74</v>
      </c>
      <c r="N44" s="23" t="n">
        <v>54.74</v>
      </c>
      <c r="O44" s="23" t="n">
        <v>54.74</v>
      </c>
      <c r="P44" s="23" t="n">
        <v>54.74</v>
      </c>
      <c r="Q44" s="23" t="n">
        <v>54.74</v>
      </c>
      <c r="R44" s="23" t="n">
        <v>54.74</v>
      </c>
      <c r="S44" s="23" t="n">
        <v>41.47</v>
      </c>
      <c r="T44" s="23" t="n">
        <v>41.47</v>
      </c>
      <c r="U44" s="23" t="n">
        <v>101.5</v>
      </c>
      <c r="V44" s="23" t="n">
        <v>134.2</v>
      </c>
      <c r="W44" s="23" t="n">
        <v>101.5</v>
      </c>
      <c r="X44" s="23" t="n">
        <v>41.47</v>
      </c>
      <c r="Y44" s="23" t="n">
        <v>41.47</v>
      </c>
      <c r="Z44" s="23" t="n">
        <v>54.74</v>
      </c>
      <c r="AA44" s="23" t="n">
        <v>54.74</v>
      </c>
      <c r="AB44" s="23" t="n">
        <v>54.74</v>
      </c>
      <c r="AC44" s="23" t="n">
        <v>41.47</v>
      </c>
      <c r="AD44" s="23" t="n">
        <v>41.47</v>
      </c>
      <c r="AE44" s="23" t="n">
        <v>54.74</v>
      </c>
      <c r="AF44" s="23" t="n">
        <v>41.47</v>
      </c>
      <c r="AG44" s="23" t="n">
        <v>41.47</v>
      </c>
      <c r="AI44" s="23">
        <f>SUM(F44:AG44)</f>
        <v/>
      </c>
    </row>
    <row r="45">
      <c r="B45" s="22" t="inlineStr">
        <is>
          <t>3 - Land Improvements - Grace Townhomes - 5yr</t>
        </is>
      </c>
      <c r="G45" s="23" t="n">
        <v>1485.84</v>
      </c>
      <c r="H45" s="23" t="n">
        <v>3875.98</v>
      </c>
      <c r="I45" s="23" t="n">
        <v>3875.98</v>
      </c>
      <c r="J45" s="23" t="n">
        <v>2300.7</v>
      </c>
      <c r="K45" s="23" t="n">
        <v>2007.48</v>
      </c>
      <c r="L45" s="23" t="n">
        <v>2300.7</v>
      </c>
      <c r="M45" s="23" t="n">
        <v>2300.7</v>
      </c>
      <c r="N45" s="23" t="n">
        <v>2300.7</v>
      </c>
      <c r="O45" s="23" t="n">
        <v>2300.7</v>
      </c>
      <c r="P45" s="23" t="n">
        <v>2300.7</v>
      </c>
      <c r="Q45" s="23" t="n">
        <v>2300.7</v>
      </c>
      <c r="R45" s="23" t="n">
        <v>2300.7</v>
      </c>
      <c r="S45" s="23" t="n">
        <v>2007.48</v>
      </c>
      <c r="T45" s="23" t="n">
        <v>2007.48</v>
      </c>
      <c r="U45" s="23" t="n">
        <v>3875.98</v>
      </c>
      <c r="V45" s="23" t="n">
        <v>5267.76</v>
      </c>
      <c r="W45" s="23" t="n">
        <v>3875.98</v>
      </c>
      <c r="X45" s="23" t="n">
        <v>2007.48</v>
      </c>
      <c r="Y45" s="23" t="n">
        <v>2007.48</v>
      </c>
      <c r="Z45" s="23" t="n">
        <v>2300.7</v>
      </c>
      <c r="AA45" s="23" t="n">
        <v>2300.7</v>
      </c>
      <c r="AB45" s="23" t="n">
        <v>2300.7</v>
      </c>
      <c r="AC45" s="23" t="n">
        <v>2007.48</v>
      </c>
      <c r="AD45" s="23" t="n">
        <v>2007.48</v>
      </c>
      <c r="AE45" s="23" t="n">
        <v>2300.7</v>
      </c>
      <c r="AF45" s="23" t="n">
        <v>2007.48</v>
      </c>
      <c r="AG45" s="23" t="n">
        <v>2007.48</v>
      </c>
      <c r="AI45" s="23">
        <f>SUM(F45:AG45)</f>
        <v/>
      </c>
    </row>
    <row r="46">
      <c r="B46" s="22" t="inlineStr">
        <is>
          <t>3 - Land Improvements - Grace Townhomes - Site - 15yr</t>
        </is>
      </c>
      <c r="F46" s="23" t="n">
        <v>24031.1</v>
      </c>
      <c r="AI46" s="23">
        <f>SUM(F46:AG46)</f>
        <v/>
      </c>
    </row>
    <row r="47">
      <c r="B47" s="22" t="inlineStr">
        <is>
          <t>3 - Land Improvements - Grace Townhomes - 27.5yr</t>
        </is>
      </c>
      <c r="F47" s="23" t="n">
        <v>7787.95</v>
      </c>
      <c r="G47" s="23" t="n">
        <v>2236.55</v>
      </c>
      <c r="H47" s="23" t="n">
        <v>5307.28</v>
      </c>
      <c r="I47" s="23" t="n">
        <v>5307.28</v>
      </c>
      <c r="J47" s="23" t="n">
        <v>2864.04</v>
      </c>
      <c r="K47" s="23" t="n">
        <v>2166.93</v>
      </c>
      <c r="L47" s="23" t="n">
        <v>2864.04</v>
      </c>
      <c r="M47" s="23" t="n">
        <v>2864.04</v>
      </c>
      <c r="N47" s="23" t="n">
        <v>2864.04</v>
      </c>
      <c r="O47" s="23" t="n">
        <v>2864.04</v>
      </c>
      <c r="P47" s="23" t="n">
        <v>2864.04</v>
      </c>
      <c r="Q47" s="23" t="n">
        <v>2864.04</v>
      </c>
      <c r="R47" s="23" t="n">
        <v>2864.04</v>
      </c>
      <c r="S47" s="23" t="n">
        <v>2166.93</v>
      </c>
      <c r="T47" s="23" t="n">
        <v>2166.93</v>
      </c>
      <c r="U47" s="23" t="n">
        <v>5307.28</v>
      </c>
      <c r="V47" s="23" t="n">
        <v>7017.06</v>
      </c>
      <c r="W47" s="23" t="n">
        <v>5307.28</v>
      </c>
      <c r="X47" s="23" t="n">
        <v>2166.93</v>
      </c>
      <c r="Y47" s="23" t="n">
        <v>2166.93</v>
      </c>
      <c r="Z47" s="23" t="n">
        <v>2864.04</v>
      </c>
      <c r="AA47" s="23" t="n">
        <v>2864.04</v>
      </c>
      <c r="AB47" s="23" t="n">
        <v>2864.04</v>
      </c>
      <c r="AC47" s="23" t="n">
        <v>2166.93</v>
      </c>
      <c r="AD47" s="23" t="n">
        <v>2166.93</v>
      </c>
      <c r="AE47" s="23" t="n">
        <v>2864.04</v>
      </c>
      <c r="AF47" s="23" t="n">
        <v>2166.93</v>
      </c>
      <c r="AG47" s="23" t="n">
        <v>2166.93</v>
      </c>
      <c r="AI47" s="23">
        <f>SUM(F47:AG47)</f>
        <v/>
      </c>
    </row>
    <row r="48">
      <c r="B48" s="22" t="inlineStr">
        <is>
          <t>4 - Equipment - Grace Townhomes - 5yr</t>
        </is>
      </c>
      <c r="G48" s="23" t="n">
        <v>2691.42</v>
      </c>
      <c r="H48" s="23" t="n">
        <v>7020.87</v>
      </c>
      <c r="I48" s="23" t="n">
        <v>7020.87</v>
      </c>
      <c r="J48" s="23" t="n">
        <v>4167.44</v>
      </c>
      <c r="K48" s="23" t="n">
        <v>3636.33</v>
      </c>
      <c r="L48" s="23" t="n">
        <v>4167.44</v>
      </c>
      <c r="M48" s="23" t="n">
        <v>4167.44</v>
      </c>
      <c r="N48" s="23" t="n">
        <v>4167.44</v>
      </c>
      <c r="O48" s="23" t="n">
        <v>4167.44</v>
      </c>
      <c r="P48" s="23" t="n">
        <v>4167.44</v>
      </c>
      <c r="Q48" s="23" t="n">
        <v>4167.44</v>
      </c>
      <c r="R48" s="23" t="n">
        <v>4167.44</v>
      </c>
      <c r="S48" s="23" t="n">
        <v>3636.33</v>
      </c>
      <c r="T48" s="23" t="n">
        <v>3636.33</v>
      </c>
      <c r="U48" s="23" t="n">
        <v>7020.87</v>
      </c>
      <c r="V48" s="23" t="n">
        <v>9541.879999999999</v>
      </c>
      <c r="W48" s="23" t="n">
        <v>7020.87</v>
      </c>
      <c r="X48" s="23" t="n">
        <v>3636.33</v>
      </c>
      <c r="Y48" s="23" t="n">
        <v>3636.33</v>
      </c>
      <c r="Z48" s="23" t="n">
        <v>4167.44</v>
      </c>
      <c r="AA48" s="23" t="n">
        <v>4167.44</v>
      </c>
      <c r="AB48" s="23" t="n">
        <v>4167.44</v>
      </c>
      <c r="AC48" s="23" t="n">
        <v>3636.33</v>
      </c>
      <c r="AD48" s="23" t="n">
        <v>3636.33</v>
      </c>
      <c r="AE48" s="23" t="n">
        <v>4167.44</v>
      </c>
      <c r="AF48" s="23" t="n">
        <v>3636.33</v>
      </c>
      <c r="AG48" s="23" t="n">
        <v>3636.33</v>
      </c>
      <c r="AI48" s="23">
        <f>SUM(F48:AG48)</f>
        <v/>
      </c>
    </row>
    <row r="49">
      <c r="B49" s="22" t="inlineStr">
        <is>
          <t>4 - Equipment - Grace Townhomes - Site - 15yr</t>
        </is>
      </c>
      <c r="F49" s="23" t="n">
        <v>44473.77</v>
      </c>
      <c r="AI49" s="23">
        <f>SUM(F49:AG49)</f>
        <v/>
      </c>
    </row>
    <row r="50">
      <c r="B50" s="22" t="inlineStr">
        <is>
          <t>4 - Equipment - Grace Townhomes - 27.5yr</t>
        </is>
      </c>
      <c r="F50" s="23" t="n">
        <v>14106.9</v>
      </c>
      <c r="G50" s="23" t="n">
        <v>4051.21</v>
      </c>
      <c r="H50" s="23" t="n">
        <v>9613.549999999999</v>
      </c>
      <c r="I50" s="23" t="n">
        <v>9613.549999999999</v>
      </c>
      <c r="J50" s="23" t="n">
        <v>5187.84</v>
      </c>
      <c r="K50" s="23" t="n">
        <v>3925.17</v>
      </c>
      <c r="L50" s="23" t="n">
        <v>5187.84</v>
      </c>
      <c r="M50" s="23" t="n">
        <v>5187.84</v>
      </c>
      <c r="N50" s="23" t="n">
        <v>5187.84</v>
      </c>
      <c r="O50" s="23" t="n">
        <v>5187.84</v>
      </c>
      <c r="P50" s="23" t="n">
        <v>5187.84</v>
      </c>
      <c r="Q50" s="23" t="n">
        <v>5187.84</v>
      </c>
      <c r="R50" s="23" t="n">
        <v>5187.84</v>
      </c>
      <c r="S50" s="23" t="n">
        <v>3925.17</v>
      </c>
      <c r="T50" s="23" t="n">
        <v>3925.17</v>
      </c>
      <c r="U50" s="23" t="n">
        <v>9613.549999999999</v>
      </c>
      <c r="V50" s="23" t="n">
        <v>12710.5</v>
      </c>
      <c r="W50" s="23" t="n">
        <v>9613.549999999999</v>
      </c>
      <c r="X50" s="23" t="n">
        <v>3925.17</v>
      </c>
      <c r="Y50" s="23" t="n">
        <v>3925.17</v>
      </c>
      <c r="Z50" s="23" t="n">
        <v>5187.84</v>
      </c>
      <c r="AA50" s="23" t="n">
        <v>5187.84</v>
      </c>
      <c r="AB50" s="23" t="n">
        <v>5187.84</v>
      </c>
      <c r="AC50" s="23" t="n">
        <v>3925.17</v>
      </c>
      <c r="AD50" s="23" t="n">
        <v>3925.17</v>
      </c>
      <c r="AE50" s="23" t="n">
        <v>5187.84</v>
      </c>
      <c r="AF50" s="23" t="n">
        <v>3925.17</v>
      </c>
      <c r="AG50" s="23" t="n">
        <v>3925.17</v>
      </c>
      <c r="AI50" s="23">
        <f>SUM(F50:AG50)</f>
        <v/>
      </c>
    </row>
    <row r="51">
      <c r="B51" t="inlineStr">
        <is>
          <t>After Cost Segregation (Corrected)</t>
        </is>
      </c>
      <c r="F51" s="26" t="n">
        <v>433789.43</v>
      </c>
      <c r="G51" s="26" t="n">
        <v>49993.81</v>
      </c>
      <c r="H51" s="26" t="n">
        <v>123336.9</v>
      </c>
      <c r="I51" s="26" t="n">
        <v>123336.9</v>
      </c>
      <c r="J51" s="26" t="n">
        <v>69365.5</v>
      </c>
      <c r="K51" s="26" t="n">
        <v>56065.03</v>
      </c>
      <c r="L51" s="26" t="n">
        <v>69365.5</v>
      </c>
      <c r="M51" s="26" t="n">
        <v>69365.5</v>
      </c>
      <c r="N51" s="26" t="n">
        <v>69365.5</v>
      </c>
      <c r="O51" s="26" t="n">
        <v>69365.5</v>
      </c>
      <c r="P51" s="26" t="n">
        <v>69365.5</v>
      </c>
      <c r="Q51" s="26" t="n">
        <v>69365.5</v>
      </c>
      <c r="R51" s="26" t="n">
        <v>56065.03</v>
      </c>
      <c r="S51" s="26" t="n">
        <v>123336.9</v>
      </c>
      <c r="T51" s="26" t="n">
        <v>164992.09</v>
      </c>
      <c r="U51" s="26" t="n">
        <v>123336.9</v>
      </c>
      <c r="V51" s="26" t="n">
        <v>56065.03</v>
      </c>
      <c r="W51" s="26" t="n">
        <v>69365.5</v>
      </c>
      <c r="X51" s="26" t="n">
        <v>69365.5</v>
      </c>
      <c r="Y51" s="26" t="n">
        <v>56065.03</v>
      </c>
      <c r="Z51" s="26" t="n">
        <v>69365.5</v>
      </c>
      <c r="AA51" s="26" t="n">
        <v>56065.03</v>
      </c>
      <c r="AB51" s="26" t="n">
        <v>69365.5</v>
      </c>
      <c r="AC51" s="26" t="n">
        <v>69365.5</v>
      </c>
      <c r="AD51" s="26" t="n">
        <v>69365.5</v>
      </c>
      <c r="AE51" s="26" t="n">
        <v>69365.5</v>
      </c>
      <c r="AF51" s="26" t="n">
        <v>69365.5</v>
      </c>
      <c r="AG51" s="26" t="n">
        <v>5699.17</v>
      </c>
      <c r="AI51" s="27">
        <f>SUM(F51:AG51)</f>
        <v/>
      </c>
    </row>
    <row r="52">
      <c r="B52" s="9" t="inlineStr">
        <is>
          <t>Section 481(a) Adjustment</t>
        </is>
      </c>
      <c r="F52" s="28" t="n">
        <v>-80242.53</v>
      </c>
      <c r="G52" s="28" t="n">
        <v>-1200.46</v>
      </c>
      <c r="H52" s="28" t="n">
        <v>-5489.43</v>
      </c>
      <c r="I52" s="28" t="n">
        <v>-5489.43</v>
      </c>
      <c r="J52" s="28" t="n">
        <v>-4539.37</v>
      </c>
      <c r="K52" s="28" t="n">
        <v>-5447.06</v>
      </c>
      <c r="L52" s="28" t="n">
        <v>-4539.37</v>
      </c>
      <c r="M52" s="28" t="n">
        <v>-4539.37</v>
      </c>
      <c r="N52" s="28" t="n">
        <v>-4539.37</v>
      </c>
      <c r="O52" s="28" t="n">
        <v>-4539.37</v>
      </c>
      <c r="P52" s="28" t="n">
        <v>-4539.37</v>
      </c>
      <c r="Q52" s="28" t="n">
        <v>-4539.37</v>
      </c>
      <c r="R52" s="28" t="n">
        <v>-5447.06</v>
      </c>
      <c r="S52" s="28" t="n">
        <v>-5489.43</v>
      </c>
      <c r="T52" s="28" t="n">
        <v>-8337.59</v>
      </c>
      <c r="U52" s="28" t="n">
        <v>-5489.43</v>
      </c>
      <c r="V52" s="28" t="n">
        <v>-5447.06</v>
      </c>
      <c r="W52" s="28" t="n">
        <v>-4539.37</v>
      </c>
      <c r="X52" s="28" t="n">
        <v>-4539.37</v>
      </c>
      <c r="Y52" s="28" t="n">
        <v>-5447.06</v>
      </c>
      <c r="Z52" s="28" t="n">
        <v>-4539.37</v>
      </c>
      <c r="AA52" s="28" t="n">
        <v>-5447.06</v>
      </c>
      <c r="AB52" s="28" t="n">
        <v>-4539.37</v>
      </c>
      <c r="AC52" s="28" t="n">
        <v>-4539.37</v>
      </c>
      <c r="AD52" s="28" t="n">
        <v>-4539.37</v>
      </c>
      <c r="AE52" s="28" t="n">
        <v>-4539.37</v>
      </c>
      <c r="AF52" s="28" t="n">
        <v>-4539.37</v>
      </c>
      <c r="AG52" s="28" t="n">
        <v>1481.31</v>
      </c>
      <c r="AI52" s="29">
        <f>SUM(F52:AG52)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7">
      <c r="A7" s="1" t="inlineStr">
        <is>
          <t>Site</t>
        </is>
      </c>
    </row>
    <row r="8">
      <c r="A8" s="12" t="inlineStr">
        <is>
          <t>Cost Segregation Study - Component Detail</t>
        </is>
      </c>
    </row>
    <row r="13">
      <c r="A13" s="31" t="inlineStr">
        <is>
          <t>Property Category</t>
        </is>
      </c>
      <c r="B13" s="32" t="inlineStr">
        <is>
          <t>Cost</t>
        </is>
      </c>
      <c r="C13" s="32" t="inlineStr">
        <is>
          <t>5 Year</t>
        </is>
      </c>
      <c r="D13" s="32" t="inlineStr">
        <is>
          <t>7 Year</t>
        </is>
      </c>
      <c r="E13" s="32" t="inlineStr">
        <is>
          <t>15 Year</t>
        </is>
      </c>
      <c r="F13" s="32" t="inlineStr">
        <is>
          <t>27.5 Year</t>
        </is>
      </c>
      <c r="G13" s="32" t="inlineStr">
        <is>
          <t>15 year QIP</t>
        </is>
      </c>
    </row>
    <row r="15">
      <c r="A15" s="33" t="inlineStr">
        <is>
          <t>Site Work / Improvements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Site Drainage</t>
        </is>
      </c>
      <c r="B16" s="45" t="n">
        <v>6585</v>
      </c>
      <c r="E16" s="45" t="n">
        <v>6585</v>
      </c>
    </row>
    <row r="17">
      <c r="A17" t="inlineStr">
        <is>
          <t>Parking Lot</t>
        </is>
      </c>
      <c r="B17" s="45" t="n">
        <v>197049.29</v>
      </c>
      <c r="E17" s="45" t="n">
        <v>197049.29</v>
      </c>
    </row>
    <row r="18">
      <c r="A18" t="inlineStr">
        <is>
          <t>Exterior Signage</t>
        </is>
      </c>
      <c r="B18" s="45" t="n">
        <v>1558.83</v>
      </c>
      <c r="E18" s="45" t="n">
        <v>1558.83</v>
      </c>
    </row>
    <row r="19">
      <c r="A19" t="inlineStr">
        <is>
          <t>Parking Lot Striping / Barriers</t>
        </is>
      </c>
      <c r="B19" s="45" t="n">
        <v>3348.88</v>
      </c>
      <c r="E19" s="45" t="n">
        <v>3348.88</v>
      </c>
    </row>
    <row r="20">
      <c r="A20" t="inlineStr">
        <is>
          <t>Sidewalks / Curbs</t>
        </is>
      </c>
      <c r="B20" s="45" t="n">
        <v>171862.61</v>
      </c>
      <c r="E20" s="45" t="n">
        <v>171862.61</v>
      </c>
    </row>
    <row r="21">
      <c r="A21" t="inlineStr">
        <is>
          <t>Landscaping</t>
        </is>
      </c>
      <c r="B21" s="45" t="n">
        <v>3748.12</v>
      </c>
      <c r="E21" s="45" t="n">
        <v>3748.12</v>
      </c>
    </row>
    <row r="22">
      <c r="A22" t="inlineStr">
        <is>
          <t>Security Lighting Poles</t>
        </is>
      </c>
      <c r="B22" s="45" t="n">
        <v>5352.49</v>
      </c>
      <c r="E22" s="45" t="n">
        <v>5352.49</v>
      </c>
    </row>
    <row r="23">
      <c r="A23" t="inlineStr">
        <is>
          <t>Exterior Fencing</t>
        </is>
      </c>
      <c r="B23" s="45" t="n">
        <v>43171.77</v>
      </c>
      <c r="E23" s="45" t="n">
        <v>43171.77</v>
      </c>
    </row>
    <row r="24">
      <c r="A24" t="inlineStr">
        <is>
          <t>Dumpster Enclosures</t>
        </is>
      </c>
      <c r="B24" s="45" t="n">
        <v>3820.42</v>
      </c>
      <c r="E24" s="45" t="n">
        <v>3820.42</v>
      </c>
    </row>
    <row r="25">
      <c r="A25" t="inlineStr">
        <is>
          <t>Swimming Pool &amp; Spa</t>
        </is>
      </c>
      <c r="B25" s="45" t="n">
        <v>29214.83</v>
      </c>
      <c r="E25" s="45" t="n">
        <v>29214.83</v>
      </c>
    </row>
    <row r="26">
      <c r="A26" t="inlineStr">
        <is>
          <t>Fire Hydrants</t>
        </is>
      </c>
      <c r="B26" s="45" t="n">
        <v>5694.27</v>
      </c>
      <c r="E26" s="45" t="n">
        <v>5694.27</v>
      </c>
    </row>
    <row r="27">
      <c r="A27" t="inlineStr">
        <is>
          <t>Exterior Equipment Concrete Pads</t>
        </is>
      </c>
      <c r="B27" s="45" t="n">
        <v>6803.37</v>
      </c>
      <c r="E27" s="45" t="n">
        <v>6803.37</v>
      </c>
    </row>
    <row r="28">
      <c r="A28" t="inlineStr">
        <is>
          <t>Playgrounds</t>
        </is>
      </c>
      <c r="B28" s="45" t="n">
        <v>10151.48</v>
      </c>
      <c r="E28" s="45" t="n">
        <v>10151.48</v>
      </c>
    </row>
    <row r="30">
      <c r="A30" s="33" t="inlineStr">
        <is>
          <t>Site Utilities</t>
        </is>
      </c>
      <c r="B30" s="34" t="n"/>
      <c r="C30" s="34" t="n"/>
      <c r="D30" s="34" t="n"/>
      <c r="E30" s="34" t="n"/>
      <c r="F30" s="34" t="n"/>
      <c r="G30" s="34" t="n"/>
    </row>
    <row r="31">
      <c r="A31" s="34" t="inlineStr">
        <is>
          <t>Site Utilities</t>
        </is>
      </c>
      <c r="B31" s="46" t="n">
        <v>318129.54</v>
      </c>
      <c r="C31" s="34" t="n"/>
      <c r="D31" s="34" t="n"/>
      <c r="E31" s="34" t="n"/>
      <c r="F31" s="46" t="n">
        <v>318129.54</v>
      </c>
      <c r="G31" s="34" t="n"/>
    </row>
    <row r="33">
      <c r="A33" s="35" t="inlineStr">
        <is>
          <t>Total Site Cost</t>
        </is>
      </c>
      <c r="B33" s="47" t="n">
        <v>806490.9</v>
      </c>
      <c r="C33" s="37" t="n"/>
      <c r="D33" s="37" t="n"/>
      <c r="E33" s="47" t="n">
        <v>488361.36</v>
      </c>
      <c r="F33" s="47" t="n">
        <v>318129.54</v>
      </c>
      <c r="G33" s="37" t="n"/>
    </row>
    <row r="34">
      <c r="A34" s="12" t="inlineStr">
        <is>
          <t>% of Site Cost</t>
        </is>
      </c>
      <c r="E34" s="20" t="n">
        <v>0.606</v>
      </c>
      <c r="F34" s="20" t="n">
        <v>0.394</v>
      </c>
    </row>
    <row r="36">
      <c r="A36" s="1" t="inlineStr">
        <is>
          <t>Asset Allocation:</t>
        </is>
      </c>
    </row>
    <row r="37">
      <c r="A37" s="5" t="inlineStr">
        <is>
          <t>Asset #1 - Building</t>
        </is>
      </c>
      <c r="B37" s="48" t="n">
        <v>636512.99</v>
      </c>
      <c r="E37" s="48" t="n">
        <v>385433.18</v>
      </c>
      <c r="F37" s="48" t="n">
        <v>251079.81</v>
      </c>
    </row>
    <row r="38">
      <c r="A38" s="5" t="inlineStr">
        <is>
          <t>Asset #5 - Building</t>
        </is>
      </c>
      <c r="B38" s="48" t="n">
        <v>1159.28</v>
      </c>
      <c r="E38" s="48" t="n">
        <v>701.99</v>
      </c>
      <c r="F38" s="48" t="n">
        <v>457.29</v>
      </c>
    </row>
    <row r="39">
      <c r="A39" s="5" t="inlineStr">
        <is>
          <t>Asset #3 - Land Improvements</t>
        </is>
      </c>
      <c r="B39" s="48" t="n">
        <v>60048.41</v>
      </c>
      <c r="E39" s="48" t="n">
        <v>36361.63</v>
      </c>
      <c r="F39" s="48" t="n">
        <v>23686.78</v>
      </c>
    </row>
    <row r="40">
      <c r="A40" s="5" t="inlineStr">
        <is>
          <t>Asset #4 - Equipment</t>
        </is>
      </c>
      <c r="B40" s="48" t="n">
        <v>108770.22</v>
      </c>
      <c r="E40" s="48" t="n">
        <v>65864.56</v>
      </c>
      <c r="F40" s="48" t="n">
        <v>42905.66</v>
      </c>
    </row>
    <row r="41">
      <c r="A41" s="35" t="inlineStr">
        <is>
          <t>Total Allocation:</t>
        </is>
      </c>
      <c r="B41" s="47" t="n">
        <v>806490.9</v>
      </c>
      <c r="C41" s="37" t="n"/>
      <c r="D41" s="37" t="n"/>
      <c r="E41" s="47" t="n">
        <v>488361.36</v>
      </c>
      <c r="F41" s="47" t="n">
        <v>318129.54</v>
      </c>
      <c r="G41" s="37" t="n"/>
    </row>
    <row r="43">
      <c r="A43" s="1" t="inlineStr">
        <is>
          <t>End Depreciation Reconciliation</t>
        </is>
      </c>
    </row>
    <row r="44">
      <c r="A44" s="5" t="inlineStr">
        <is>
          <t>Before Cost Segregation (As Previously Filed)</t>
        </is>
      </c>
      <c r="B44" s="48" t="n">
        <v>353546.9</v>
      </c>
    </row>
    <row r="45">
      <c r="A45" s="5" t="inlineStr">
        <is>
          <t>After Cost Segregation (Corrected)</t>
        </is>
      </c>
      <c r="B45" s="48" t="n">
        <v>433789.43</v>
      </c>
    </row>
    <row r="46">
      <c r="A46" s="38" t="inlineStr">
        <is>
          <t>Section 481(a) Adjustment</t>
        </is>
      </c>
      <c r="B46" s="49" t="n">
        <v>-80242.53</v>
      </c>
      <c r="C46" s="40" t="n"/>
      <c r="D46" s="40" t="n"/>
      <c r="E46" s="40" t="n"/>
      <c r="F46" s="40" t="n"/>
      <c r="G46" s="4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Clubhouse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1211.6</v>
      </c>
      <c r="C16" s="45" t="n">
        <v>1211.6</v>
      </c>
    </row>
    <row r="17">
      <c r="A17" t="inlineStr">
        <is>
          <t>Moldings</t>
        </is>
      </c>
      <c r="B17" s="45" t="n">
        <v>2930.23</v>
      </c>
      <c r="C17" s="45" t="n">
        <v>2930.23</v>
      </c>
    </row>
    <row r="18">
      <c r="A18" t="inlineStr">
        <is>
          <t>Flooring - Vinyl Plank</t>
        </is>
      </c>
      <c r="B18" s="45" t="n">
        <v>7111.65</v>
      </c>
      <c r="C18" s="45" t="n">
        <v>7111.65</v>
      </c>
    </row>
    <row r="19">
      <c r="A19" t="inlineStr">
        <is>
          <t>Security System</t>
        </is>
      </c>
      <c r="B19" s="45" t="n">
        <v>782.6699999999998</v>
      </c>
      <c r="C19" s="45" t="n">
        <v>782.6699999999998</v>
      </c>
    </row>
    <row r="20">
      <c r="A20" t="inlineStr">
        <is>
          <t>Window Treatments</t>
        </is>
      </c>
      <c r="B20" s="45" t="n">
        <v>369.85</v>
      </c>
      <c r="C20" s="45" t="n">
        <v>369.85</v>
      </c>
    </row>
    <row r="21">
      <c r="A21" t="inlineStr">
        <is>
          <t>Specialty Electrical - Appliances</t>
        </is>
      </c>
      <c r="B21" s="45" t="n">
        <v>364.47</v>
      </c>
      <c r="C21" s="45" t="n">
        <v>364.47</v>
      </c>
    </row>
    <row r="22">
      <c r="A22" t="inlineStr">
        <is>
          <t>Communication / Data</t>
        </is>
      </c>
      <c r="B22" s="45" t="n">
        <v>2369.45</v>
      </c>
      <c r="C22" s="45" t="n">
        <v>2369.45</v>
      </c>
    </row>
    <row r="23">
      <c r="A23" t="inlineStr">
        <is>
          <t>Specialty Plumbing - Kitchen Sink</t>
        </is>
      </c>
      <c r="B23" s="45" t="n">
        <v>665.5400000000001</v>
      </c>
      <c r="C23" s="45" t="n">
        <v>665.5400000000001</v>
      </c>
    </row>
    <row r="24">
      <c r="A24" t="inlineStr">
        <is>
          <t>Security / Exterior Lighting</t>
        </is>
      </c>
      <c r="B24" s="45" t="n">
        <v>318.98</v>
      </c>
      <c r="C24" s="45" t="n">
        <v>318.98</v>
      </c>
    </row>
    <row r="25">
      <c r="A25" t="inlineStr">
        <is>
          <t>Mailboxes</t>
        </is>
      </c>
      <c r="B25" s="45" t="n">
        <v>3831.45</v>
      </c>
      <c r="C25" s="45" t="n">
        <v>3831.45</v>
      </c>
    </row>
    <row r="27">
      <c r="A27" s="42" t="inlineStr">
        <is>
          <t>Building Structure</t>
        </is>
      </c>
      <c r="B27" s="34" t="n"/>
      <c r="C27" s="34" t="n"/>
      <c r="D27" s="34" t="n"/>
      <c r="E27" s="34" t="n"/>
      <c r="F27" s="34" t="n"/>
      <c r="G27" s="34" t="n"/>
    </row>
    <row r="28">
      <c r="A28" t="inlineStr">
        <is>
          <t>Roofing Systems</t>
        </is>
      </c>
      <c r="B28" s="45" t="n">
        <v>7015.23</v>
      </c>
      <c r="F28" s="45" t="n">
        <v>7015.23</v>
      </c>
    </row>
    <row r="29">
      <c r="A29" t="inlineStr">
        <is>
          <t>Foundations</t>
        </is>
      </c>
      <c r="B29" s="45" t="n">
        <v>9776.15</v>
      </c>
      <c r="F29" s="45" t="n">
        <v>9776.15</v>
      </c>
    </row>
    <row r="30">
      <c r="A30" t="inlineStr">
        <is>
          <t>HVAC</t>
        </is>
      </c>
      <c r="B30" s="45" t="n">
        <v>7127.17</v>
      </c>
      <c r="F30" s="45" t="n">
        <v>7127.17</v>
      </c>
    </row>
    <row r="31">
      <c r="A31" t="inlineStr">
        <is>
          <t>Electrical</t>
        </is>
      </c>
      <c r="B31" s="45" t="n">
        <v>7351.499999999999</v>
      </c>
      <c r="F31" s="45" t="n">
        <v>7351.499999999999</v>
      </c>
    </row>
    <row r="32">
      <c r="A32" t="inlineStr">
        <is>
          <t>Plumbing</t>
        </is>
      </c>
      <c r="B32" s="45" t="n">
        <v>6195.62</v>
      </c>
      <c r="F32" s="45" t="n">
        <v>6195.62</v>
      </c>
    </row>
    <row r="33">
      <c r="A33" t="inlineStr">
        <is>
          <t>Fire Protection &amp; Alarm</t>
        </is>
      </c>
      <c r="B33" s="45" t="n">
        <v>247.19</v>
      </c>
      <c r="F33" s="45" t="n">
        <v>247.19</v>
      </c>
    </row>
    <row r="34">
      <c r="A34" t="inlineStr">
        <is>
          <t>Exterior Façade / Building Skin</t>
        </is>
      </c>
      <c r="B34" s="45" t="n">
        <v>4165.79</v>
      </c>
      <c r="F34" s="45" t="n">
        <v>4165.79</v>
      </c>
    </row>
    <row r="35">
      <c r="A35" t="inlineStr">
        <is>
          <t>Doors &amp; Frames</t>
        </is>
      </c>
      <c r="B35" s="45" t="n">
        <v>2464.17</v>
      </c>
      <c r="F35" s="45" t="n">
        <v>2464.17</v>
      </c>
    </row>
    <row r="36">
      <c r="A36" t="inlineStr">
        <is>
          <t>Windows</t>
        </is>
      </c>
      <c r="B36" s="45" t="n">
        <v>1928.81</v>
      </c>
      <c r="F36" s="45" t="n">
        <v>1928.81</v>
      </c>
    </row>
    <row r="37">
      <c r="A37" t="inlineStr">
        <is>
          <t>Ceiling Systems</t>
        </is>
      </c>
      <c r="B37" s="45" t="n">
        <v>3233.65</v>
      </c>
      <c r="F37" s="45" t="n">
        <v>3233.65</v>
      </c>
    </row>
    <row r="38">
      <c r="A38" t="inlineStr">
        <is>
          <t>Interior Framing / Partitions</t>
        </is>
      </c>
      <c r="B38" s="45" t="n">
        <v>18160.96</v>
      </c>
      <c r="F38" s="45" t="n">
        <v>18160.96</v>
      </c>
    </row>
    <row r="39">
      <c r="A39" t="inlineStr">
        <is>
          <t>Painting</t>
        </is>
      </c>
      <c r="B39" s="45" t="n">
        <v>6068.280000000001</v>
      </c>
      <c r="F39" s="45" t="n">
        <v>6068.280000000001</v>
      </c>
    </row>
    <row r="40">
      <c r="A40" t="inlineStr">
        <is>
          <t>Gutter Systems</t>
        </is>
      </c>
      <c r="B40" s="45" t="n">
        <v>1028.86</v>
      </c>
      <c r="F40" s="45" t="n">
        <v>1028.86</v>
      </c>
    </row>
    <row r="41">
      <c r="A41" t="inlineStr">
        <is>
          <t>Emergency Lighting</t>
        </is>
      </c>
      <c r="B41" s="45" t="n">
        <v>356.81</v>
      </c>
      <c r="F41" s="45" t="n">
        <v>356.81</v>
      </c>
    </row>
    <row r="42">
      <c r="A42" t="inlineStr">
        <is>
          <t>Structural Framing</t>
        </is>
      </c>
      <c r="B42" s="45" t="n">
        <v>15695.01</v>
      </c>
      <c r="F42" s="45" t="n">
        <v>15695.01</v>
      </c>
    </row>
    <row r="43">
      <c r="A43" t="inlineStr">
        <is>
          <t>Bathroom Accessories</t>
        </is>
      </c>
      <c r="B43" s="45" t="n">
        <v>399.61</v>
      </c>
      <c r="F43" s="45" t="n">
        <v>399.61</v>
      </c>
    </row>
    <row r="44">
      <c r="A44" t="inlineStr">
        <is>
          <t>Ceramic Tile Flooring</t>
        </is>
      </c>
      <c r="B44" s="45" t="n">
        <v>146.01</v>
      </c>
      <c r="F44" s="45" t="n">
        <v>146.01</v>
      </c>
    </row>
    <row r="46">
      <c r="A46" s="43" t="inlineStr">
        <is>
          <t>Total Building Cost</t>
        </is>
      </c>
      <c r="B46" s="50" t="n">
        <v>111316.71</v>
      </c>
      <c r="C46" s="50" t="n">
        <v>19955.89</v>
      </c>
      <c r="D46" s="37" t="n"/>
      <c r="E46" s="37" t="n"/>
      <c r="F46" s="50" t="n">
        <v>91360.81999999998</v>
      </c>
      <c r="G46" s="37" t="n"/>
    </row>
    <row r="47">
      <c r="A47" t="inlineStr">
        <is>
          <t>% of Building Cost</t>
        </is>
      </c>
      <c r="C47" s="51" t="n">
        <v>0.179</v>
      </c>
      <c r="D47" s="51" t="n">
        <v>0</v>
      </c>
      <c r="E47" s="51" t="n">
        <v>0</v>
      </c>
      <c r="F47" s="51" t="n">
        <v>0.821</v>
      </c>
    </row>
    <row r="49">
      <c r="A49" s="30" t="inlineStr">
        <is>
          <t>Asset Allocation:</t>
        </is>
      </c>
    </row>
    <row r="50">
      <c r="A50" t="inlineStr">
        <is>
          <t>Asset #1 - Building</t>
        </is>
      </c>
      <c r="B50" s="45" t="n">
        <v>87855.35000000001</v>
      </c>
      <c r="C50" s="45" t="n">
        <v>15749.94</v>
      </c>
      <c r="F50" s="45" t="n">
        <v>72105.41</v>
      </c>
    </row>
    <row r="51">
      <c r="A51" t="inlineStr">
        <is>
          <t>Asset #5 - Building</t>
        </is>
      </c>
      <c r="B51" s="45" t="n">
        <v>160.01</v>
      </c>
      <c r="C51" s="45" t="n">
        <v>28.69</v>
      </c>
      <c r="F51" s="45" t="n">
        <v>131.32</v>
      </c>
    </row>
    <row r="52">
      <c r="A52" t="inlineStr">
        <is>
          <t>Asset #3 - Land Improvements</t>
        </is>
      </c>
      <c r="B52" s="45" t="n">
        <v>8288.23</v>
      </c>
      <c r="C52" s="45" t="n">
        <v>1485.84</v>
      </c>
      <c r="F52" s="45" t="n">
        <v>6802.39</v>
      </c>
    </row>
    <row r="53">
      <c r="A53" t="inlineStr">
        <is>
          <t>Asset #4 - Equipment</t>
        </is>
      </c>
      <c r="B53" s="45" t="n">
        <v>15013.12</v>
      </c>
      <c r="C53" s="45" t="n">
        <v>2691.42</v>
      </c>
      <c r="F53" s="45" t="n">
        <v>12321.7</v>
      </c>
    </row>
    <row r="54">
      <c r="A54" s="43" t="inlineStr">
        <is>
          <t>Total Allocation:</t>
        </is>
      </c>
      <c r="B54" s="50" t="n">
        <v>111316.71</v>
      </c>
      <c r="C54" s="50" t="n">
        <v>19955.89</v>
      </c>
      <c r="D54" s="37" t="n"/>
      <c r="E54" s="37" t="n"/>
      <c r="F54" s="50" t="n">
        <v>91360.82000000001</v>
      </c>
      <c r="G54" s="37" t="n"/>
    </row>
    <row r="56">
      <c r="A56" s="30" t="inlineStr">
        <is>
          <t>End Depreciation Reconciliation</t>
        </is>
      </c>
    </row>
    <row r="57">
      <c r="A57" s="30" t="inlineStr">
        <is>
          <t>Before Cost Segregation (As Previously Filed)</t>
        </is>
      </c>
      <c r="B57" s="45" t="n">
        <v>48793.35</v>
      </c>
    </row>
    <row r="58">
      <c r="A58" s="30" t="inlineStr">
        <is>
          <t>After Cost Segregation (Corrected)</t>
        </is>
      </c>
      <c r="B58" s="45" t="n">
        <v>49993.81</v>
      </c>
    </row>
    <row r="59">
      <c r="A59" s="44" t="inlineStr">
        <is>
          <t>Section 481(a) Adjustment</t>
        </is>
      </c>
      <c r="B59" s="52" t="n">
        <v>-1200.46</v>
      </c>
      <c r="C59" s="40" t="n"/>
      <c r="D59" s="40" t="n"/>
      <c r="E59" s="40" t="n"/>
      <c r="F59" s="40" t="n"/>
      <c r="G59" s="4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7759.94</v>
      </c>
      <c r="C16" s="45" t="n">
        <v>7759.94</v>
      </c>
    </row>
    <row r="17">
      <c r="A17" t="inlineStr">
        <is>
          <t>Moldings</t>
        </is>
      </c>
      <c r="B17" s="45" t="n">
        <v>4601.14</v>
      </c>
      <c r="C17" s="45" t="n">
        <v>4601.14</v>
      </c>
    </row>
    <row r="18">
      <c r="A18" t="inlineStr">
        <is>
          <t>Flooring - Vinyl Plank</t>
        </is>
      </c>
      <c r="B18" s="45" t="n">
        <v>18695.69</v>
      </c>
      <c r="C18" s="45" t="n">
        <v>18695.69</v>
      </c>
    </row>
    <row r="19">
      <c r="A19" t="inlineStr">
        <is>
          <t>Window Treatments</t>
        </is>
      </c>
      <c r="B19" s="45" t="n">
        <v>2235.2</v>
      </c>
      <c r="C19" s="45" t="n">
        <v>2235.2</v>
      </c>
    </row>
    <row r="20">
      <c r="A20" t="inlineStr">
        <is>
          <t>Specialty HVAC - Dryer Vents</t>
        </is>
      </c>
      <c r="B20" s="45" t="n">
        <v>274.94</v>
      </c>
      <c r="C20" s="45" t="n">
        <v>274.94</v>
      </c>
    </row>
    <row r="21">
      <c r="A21" t="inlineStr">
        <is>
          <t>Building Signage</t>
        </is>
      </c>
      <c r="B21" s="45" t="n">
        <v>120.68</v>
      </c>
      <c r="C21" s="45" t="n">
        <v>120.68</v>
      </c>
    </row>
    <row r="22">
      <c r="A22" t="inlineStr">
        <is>
          <t>Specialty Electrical - Appliances</t>
        </is>
      </c>
      <c r="B22" s="45" t="n">
        <v>4471.440000000001</v>
      </c>
      <c r="C22" s="45" t="n">
        <v>4471.440000000001</v>
      </c>
    </row>
    <row r="23">
      <c r="A23" t="inlineStr">
        <is>
          <t>Communication / Data</t>
        </is>
      </c>
      <c r="B23" s="45" t="n">
        <v>1633.14</v>
      </c>
      <c r="C23" s="45" t="n">
        <v>1633.14</v>
      </c>
    </row>
    <row r="24">
      <c r="A24" t="inlineStr">
        <is>
          <t>Specialty Plumbing - Kitchen Sinks / Laundry</t>
        </is>
      </c>
      <c r="B24" s="45" t="n">
        <v>5141.110000000001</v>
      </c>
      <c r="C24" s="45" t="n">
        <v>5141.110000000001</v>
      </c>
    </row>
    <row r="25">
      <c r="A25" t="inlineStr">
        <is>
          <t>Security / Exterior Lighting</t>
        </is>
      </c>
      <c r="B25" s="45" t="n">
        <v>1534.74</v>
      </c>
      <c r="C25" s="45" t="n">
        <v>1534.74</v>
      </c>
    </row>
    <row r="26">
      <c r="A26" t="inlineStr">
        <is>
          <t>Access Control</t>
        </is>
      </c>
      <c r="B26" s="45" t="n">
        <v>64.8</v>
      </c>
      <c r="C26" s="45" t="n">
        <v>64.8</v>
      </c>
    </row>
    <row r="27">
      <c r="A27" t="inlineStr">
        <is>
          <t>Appliances</t>
        </is>
      </c>
      <c r="B27" s="45" t="n">
        <v>5524.320000000001</v>
      </c>
      <c r="C27" s="45" t="n">
        <v>5524.320000000001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10400.92</v>
      </c>
      <c r="F30" s="45" t="n">
        <v>10400.92</v>
      </c>
    </row>
    <row r="31">
      <c r="A31" t="inlineStr">
        <is>
          <t>Foundations</t>
        </is>
      </c>
      <c r="B31" s="45" t="n">
        <v>19732.45</v>
      </c>
      <c r="F31" s="45" t="n">
        <v>19732.45</v>
      </c>
    </row>
    <row r="32">
      <c r="A32" t="inlineStr">
        <is>
          <t>HVAC</t>
        </is>
      </c>
      <c r="B32" s="45" t="n">
        <v>18076.85</v>
      </c>
      <c r="F32" s="45" t="n">
        <v>18076.85</v>
      </c>
    </row>
    <row r="33">
      <c r="A33" t="inlineStr">
        <is>
          <t>Electrical</t>
        </is>
      </c>
      <c r="B33" s="45" t="n">
        <v>19867.9</v>
      </c>
      <c r="F33" s="45" t="n">
        <v>19867.9</v>
      </c>
    </row>
    <row r="34">
      <c r="A34" t="inlineStr">
        <is>
          <t>Plumbing</t>
        </is>
      </c>
      <c r="B34" s="45" t="n">
        <v>15953.11</v>
      </c>
      <c r="F34" s="45" t="n">
        <v>15953.11</v>
      </c>
    </row>
    <row r="35">
      <c r="A35" t="inlineStr">
        <is>
          <t>Fire Protection &amp; Alarm</t>
        </is>
      </c>
      <c r="B35" s="45" t="n">
        <v>1077</v>
      </c>
      <c r="F35" s="45" t="n">
        <v>1077</v>
      </c>
    </row>
    <row r="36">
      <c r="A36" t="inlineStr">
        <is>
          <t>Exterior Façade / Building Skin</t>
        </is>
      </c>
      <c r="B36" s="45" t="n">
        <v>24515.03</v>
      </c>
      <c r="F36" s="45" t="n">
        <v>24515.03</v>
      </c>
    </row>
    <row r="37">
      <c r="A37" t="inlineStr">
        <is>
          <t>Doors &amp; Frames</t>
        </is>
      </c>
      <c r="B37" s="45" t="n">
        <v>18444.72</v>
      </c>
      <c r="F37" s="45" t="n">
        <v>18444.72</v>
      </c>
    </row>
    <row r="38">
      <c r="A38" t="inlineStr">
        <is>
          <t>Windows</t>
        </is>
      </c>
      <c r="B38" s="45" t="n">
        <v>11037.53</v>
      </c>
      <c r="F38" s="45" t="n">
        <v>11037.53</v>
      </c>
    </row>
    <row r="39">
      <c r="A39" t="inlineStr">
        <is>
          <t>Ceiling Systems</t>
        </is>
      </c>
      <c r="B39" s="45" t="n">
        <v>8326.32</v>
      </c>
      <c r="F39" s="45" t="n">
        <v>8326.32</v>
      </c>
    </row>
    <row r="40">
      <c r="A40" t="inlineStr">
        <is>
          <t>Interior Framing / Partitions</t>
        </is>
      </c>
      <c r="B40" s="45" t="n">
        <v>20278.2</v>
      </c>
      <c r="F40" s="45" t="n">
        <v>20278.2</v>
      </c>
    </row>
    <row r="41">
      <c r="A41" t="inlineStr">
        <is>
          <t>Painting</t>
        </is>
      </c>
      <c r="B41" s="45" t="n">
        <v>8613.969999999999</v>
      </c>
      <c r="F41" s="45" t="n">
        <v>8613.969999999999</v>
      </c>
    </row>
    <row r="42">
      <c r="A42" t="inlineStr">
        <is>
          <t>Gutter Systems</t>
        </is>
      </c>
      <c r="B42" s="45" t="n">
        <v>1343.51</v>
      </c>
      <c r="F42" s="45" t="n">
        <v>1343.51</v>
      </c>
    </row>
    <row r="43">
      <c r="A43" t="inlineStr">
        <is>
          <t>Structural Framing</t>
        </is>
      </c>
      <c r="B43" s="45" t="n">
        <v>27755.49999999999</v>
      </c>
      <c r="F43" s="45" t="n">
        <v>27755.49999999999</v>
      </c>
    </row>
    <row r="44">
      <c r="A44" t="inlineStr">
        <is>
          <t>Stairs / Balconies</t>
        </is>
      </c>
      <c r="B44" s="45" t="n">
        <v>6811.28</v>
      </c>
      <c r="F44" s="45" t="n">
        <v>6811.28</v>
      </c>
    </row>
    <row r="45">
      <c r="A45" t="inlineStr">
        <is>
          <t>Bathroom Accessories</t>
        </is>
      </c>
      <c r="B45" s="45" t="n">
        <v>1999.53</v>
      </c>
      <c r="F45" s="45" t="n">
        <v>1999.53</v>
      </c>
    </row>
    <row r="46">
      <c r="A46" t="inlineStr">
        <is>
          <t>Cabinets / Millwork - Restrooms</t>
        </is>
      </c>
      <c r="B46" s="45" t="n">
        <v>2564.71</v>
      </c>
      <c r="F46" s="45" t="n">
        <v>2564.71</v>
      </c>
    </row>
    <row r="48">
      <c r="A48" s="43" t="inlineStr">
        <is>
          <t>Total Building Cost</t>
        </is>
      </c>
      <c r="B48" s="50" t="n">
        <v>268855.6700000001</v>
      </c>
      <c r="C48" s="50" t="n">
        <v>52057.14</v>
      </c>
      <c r="D48" s="37" t="n"/>
      <c r="E48" s="37" t="n"/>
      <c r="F48" s="50" t="n">
        <v>216798.53</v>
      </c>
      <c r="G48" s="37" t="n"/>
    </row>
    <row r="49">
      <c r="A49" t="inlineStr">
        <is>
          <t>% of Building Cost</t>
        </is>
      </c>
      <c r="C49" s="51" t="n">
        <v>0.194</v>
      </c>
      <c r="D49" s="51" t="n">
        <v>0</v>
      </c>
      <c r="E49" s="51" t="n">
        <v>0</v>
      </c>
      <c r="F49" s="51" t="n">
        <v>0.806</v>
      </c>
    </row>
    <row r="51">
      <c r="A51" s="30" t="inlineStr">
        <is>
          <t>Asset Allocation:</t>
        </is>
      </c>
    </row>
    <row r="52">
      <c r="A52" t="inlineStr">
        <is>
          <t>Asset #1 - Building</t>
        </is>
      </c>
      <c r="B52" s="45" t="n">
        <v>212191.05</v>
      </c>
      <c r="C52" s="45" t="n">
        <v>41085.46</v>
      </c>
      <c r="F52" s="45" t="n">
        <v>171105.59</v>
      </c>
    </row>
    <row r="53">
      <c r="A53" t="inlineStr">
        <is>
          <t>Asset #5 - Building</t>
        </is>
      </c>
      <c r="B53" s="45" t="n">
        <v>386.45</v>
      </c>
      <c r="C53" s="45" t="n">
        <v>74.83</v>
      </c>
      <c r="F53" s="45" t="n">
        <v>311.62</v>
      </c>
    </row>
    <row r="54">
      <c r="A54" t="inlineStr">
        <is>
          <t>Asset #3 - Land Improvements</t>
        </is>
      </c>
      <c r="B54" s="45" t="n">
        <v>20018</v>
      </c>
      <c r="C54" s="45" t="n">
        <v>3875.98</v>
      </c>
      <c r="F54" s="45" t="n">
        <v>16142.02</v>
      </c>
    </row>
    <row r="55">
      <c r="A55" t="inlineStr">
        <is>
          <t>Asset #4 - Equipment</t>
        </is>
      </c>
      <c r="B55" s="45" t="n">
        <v>36260.17</v>
      </c>
      <c r="C55" s="45" t="n">
        <v>7020.87</v>
      </c>
      <c r="F55" s="45" t="n">
        <v>29239.3</v>
      </c>
    </row>
    <row r="56">
      <c r="A56" s="43" t="inlineStr">
        <is>
          <t>Total Allocation:</t>
        </is>
      </c>
      <c r="B56" s="50" t="n">
        <v>268855.67</v>
      </c>
      <c r="C56" s="50" t="n">
        <v>52057.14</v>
      </c>
      <c r="D56" s="37" t="n"/>
      <c r="E56" s="37" t="n"/>
      <c r="F56" s="50" t="n">
        <v>216798.53</v>
      </c>
      <c r="G56" s="37" t="n"/>
    </row>
    <row r="58">
      <c r="A58" s="30" t="inlineStr">
        <is>
          <t>End Depreciation Reconciliation</t>
        </is>
      </c>
    </row>
    <row r="59">
      <c r="A59" s="30" t="inlineStr">
        <is>
          <t>Before Cost Segregation (As Previously Filed)</t>
        </is>
      </c>
      <c r="B59" s="45" t="n">
        <v>117847.47</v>
      </c>
    </row>
    <row r="60">
      <c r="A60" s="30" t="inlineStr">
        <is>
          <t>After Cost Segregation (Corrected)</t>
        </is>
      </c>
      <c r="B60" s="45" t="n">
        <v>123336.9</v>
      </c>
    </row>
    <row r="61">
      <c r="A61" s="44" t="inlineStr">
        <is>
          <t>Section 481(a) Adjustment</t>
        </is>
      </c>
      <c r="B61" s="52" t="n">
        <v>-5489.43</v>
      </c>
      <c r="C61" s="40" t="n"/>
      <c r="D61" s="40" t="n"/>
      <c r="E61" s="40" t="n"/>
      <c r="F61" s="40" t="n"/>
      <c r="G61" s="4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7759.94</v>
      </c>
      <c r="C16" s="45" t="n">
        <v>7759.94</v>
      </c>
    </row>
    <row r="17">
      <c r="A17" t="inlineStr">
        <is>
          <t>Moldings</t>
        </is>
      </c>
      <c r="B17" s="45" t="n">
        <v>4601.14</v>
      </c>
      <c r="C17" s="45" t="n">
        <v>4601.14</v>
      </c>
    </row>
    <row r="18">
      <c r="A18" t="inlineStr">
        <is>
          <t>Flooring - Vinyl Plank</t>
        </is>
      </c>
      <c r="B18" s="45" t="n">
        <v>18695.69</v>
      </c>
      <c r="C18" s="45" t="n">
        <v>18695.69</v>
      </c>
    </row>
    <row r="19">
      <c r="A19" t="inlineStr">
        <is>
          <t>Window Treatments</t>
        </is>
      </c>
      <c r="B19" s="45" t="n">
        <v>2235.2</v>
      </c>
      <c r="C19" s="45" t="n">
        <v>2235.2</v>
      </c>
    </row>
    <row r="20">
      <c r="A20" t="inlineStr">
        <is>
          <t>Specialty HVAC - Dryer Vents</t>
        </is>
      </c>
      <c r="B20" s="45" t="n">
        <v>274.94</v>
      </c>
      <c r="C20" s="45" t="n">
        <v>274.94</v>
      </c>
    </row>
    <row r="21">
      <c r="A21" t="inlineStr">
        <is>
          <t>Building Signage</t>
        </is>
      </c>
      <c r="B21" s="45" t="n">
        <v>120.68</v>
      </c>
      <c r="C21" s="45" t="n">
        <v>120.68</v>
      </c>
    </row>
    <row r="22">
      <c r="A22" t="inlineStr">
        <is>
          <t>Specialty Electrical - Appliances</t>
        </is>
      </c>
      <c r="B22" s="45" t="n">
        <v>4471.440000000001</v>
      </c>
      <c r="C22" s="45" t="n">
        <v>4471.440000000001</v>
      </c>
    </row>
    <row r="23">
      <c r="A23" t="inlineStr">
        <is>
          <t>Communication / Data</t>
        </is>
      </c>
      <c r="B23" s="45" t="n">
        <v>1633.14</v>
      </c>
      <c r="C23" s="45" t="n">
        <v>1633.14</v>
      </c>
    </row>
    <row r="24">
      <c r="A24" t="inlineStr">
        <is>
          <t>Specialty Plumbing - Kitchen Sinks / Laundry</t>
        </is>
      </c>
      <c r="B24" s="45" t="n">
        <v>5141.110000000001</v>
      </c>
      <c r="C24" s="45" t="n">
        <v>5141.110000000001</v>
      </c>
    </row>
    <row r="25">
      <c r="A25" t="inlineStr">
        <is>
          <t>Security / Exterior Lighting</t>
        </is>
      </c>
      <c r="B25" s="45" t="n">
        <v>1534.74</v>
      </c>
      <c r="C25" s="45" t="n">
        <v>1534.74</v>
      </c>
    </row>
    <row r="26">
      <c r="A26" t="inlineStr">
        <is>
          <t>Access Control</t>
        </is>
      </c>
      <c r="B26" s="45" t="n">
        <v>64.8</v>
      </c>
      <c r="C26" s="45" t="n">
        <v>64.8</v>
      </c>
    </row>
    <row r="27">
      <c r="A27" t="inlineStr">
        <is>
          <t>Appliances</t>
        </is>
      </c>
      <c r="B27" s="45" t="n">
        <v>5524.320000000001</v>
      </c>
      <c r="C27" s="45" t="n">
        <v>5524.320000000001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10400.92</v>
      </c>
      <c r="F30" s="45" t="n">
        <v>10400.92</v>
      </c>
    </row>
    <row r="31">
      <c r="A31" t="inlineStr">
        <is>
          <t>Foundations</t>
        </is>
      </c>
      <c r="B31" s="45" t="n">
        <v>19732.45</v>
      </c>
      <c r="F31" s="45" t="n">
        <v>19732.45</v>
      </c>
    </row>
    <row r="32">
      <c r="A32" t="inlineStr">
        <is>
          <t>HVAC</t>
        </is>
      </c>
      <c r="B32" s="45" t="n">
        <v>18076.85</v>
      </c>
      <c r="F32" s="45" t="n">
        <v>18076.85</v>
      </c>
    </row>
    <row r="33">
      <c r="A33" t="inlineStr">
        <is>
          <t>Electrical</t>
        </is>
      </c>
      <c r="B33" s="45" t="n">
        <v>19867.9</v>
      </c>
      <c r="F33" s="45" t="n">
        <v>19867.9</v>
      </c>
    </row>
    <row r="34">
      <c r="A34" t="inlineStr">
        <is>
          <t>Plumbing</t>
        </is>
      </c>
      <c r="B34" s="45" t="n">
        <v>15953.11</v>
      </c>
      <c r="F34" s="45" t="n">
        <v>15953.11</v>
      </c>
    </row>
    <row r="35">
      <c r="A35" t="inlineStr">
        <is>
          <t>Fire Protection &amp; Alarm</t>
        </is>
      </c>
      <c r="B35" s="45" t="n">
        <v>1077</v>
      </c>
      <c r="F35" s="45" t="n">
        <v>1077</v>
      </c>
    </row>
    <row r="36">
      <c r="A36" t="inlineStr">
        <is>
          <t>Exterior Façade / Building Skin</t>
        </is>
      </c>
      <c r="B36" s="45" t="n">
        <v>24515.03</v>
      </c>
      <c r="F36" s="45" t="n">
        <v>24515.03</v>
      </c>
    </row>
    <row r="37">
      <c r="A37" t="inlineStr">
        <is>
          <t>Doors &amp; Frames</t>
        </is>
      </c>
      <c r="B37" s="45" t="n">
        <v>18444.72</v>
      </c>
      <c r="F37" s="45" t="n">
        <v>18444.72</v>
      </c>
    </row>
    <row r="38">
      <c r="A38" t="inlineStr">
        <is>
          <t>Windows</t>
        </is>
      </c>
      <c r="B38" s="45" t="n">
        <v>11037.53</v>
      </c>
      <c r="F38" s="45" t="n">
        <v>11037.53</v>
      </c>
    </row>
    <row r="39">
      <c r="A39" t="inlineStr">
        <is>
          <t>Ceiling Systems</t>
        </is>
      </c>
      <c r="B39" s="45" t="n">
        <v>8326.32</v>
      </c>
      <c r="F39" s="45" t="n">
        <v>8326.32</v>
      </c>
    </row>
    <row r="40">
      <c r="A40" t="inlineStr">
        <is>
          <t>Interior Framing / Partitions</t>
        </is>
      </c>
      <c r="B40" s="45" t="n">
        <v>20278.2</v>
      </c>
      <c r="F40" s="45" t="n">
        <v>20278.2</v>
      </c>
    </row>
    <row r="41">
      <c r="A41" t="inlineStr">
        <is>
          <t>Painting</t>
        </is>
      </c>
      <c r="B41" s="45" t="n">
        <v>8613.969999999999</v>
      </c>
      <c r="F41" s="45" t="n">
        <v>8613.969999999999</v>
      </c>
    </row>
    <row r="42">
      <c r="A42" t="inlineStr">
        <is>
          <t>Gutter Systems</t>
        </is>
      </c>
      <c r="B42" s="45" t="n">
        <v>1343.51</v>
      </c>
      <c r="F42" s="45" t="n">
        <v>1343.51</v>
      </c>
    </row>
    <row r="43">
      <c r="A43" t="inlineStr">
        <is>
          <t>Structural Framing</t>
        </is>
      </c>
      <c r="B43" s="45" t="n">
        <v>27755.49999999999</v>
      </c>
      <c r="F43" s="45" t="n">
        <v>27755.49999999999</v>
      </c>
    </row>
    <row r="44">
      <c r="A44" t="inlineStr">
        <is>
          <t>Stairs / Balconies</t>
        </is>
      </c>
      <c r="B44" s="45" t="n">
        <v>6811.28</v>
      </c>
      <c r="F44" s="45" t="n">
        <v>6811.28</v>
      </c>
    </row>
    <row r="45">
      <c r="A45" t="inlineStr">
        <is>
          <t>Bathroom Accessories</t>
        </is>
      </c>
      <c r="B45" s="45" t="n">
        <v>1999.53</v>
      </c>
      <c r="F45" s="45" t="n">
        <v>1999.53</v>
      </c>
    </row>
    <row r="46">
      <c r="A46" t="inlineStr">
        <is>
          <t>Cabinets / Millwork - Restrooms</t>
        </is>
      </c>
      <c r="B46" s="45" t="n">
        <v>2564.71</v>
      </c>
      <c r="F46" s="45" t="n">
        <v>2564.71</v>
      </c>
    </row>
    <row r="48">
      <c r="A48" s="43" t="inlineStr">
        <is>
          <t>Total Building Cost</t>
        </is>
      </c>
      <c r="B48" s="50" t="n">
        <v>268855.6700000001</v>
      </c>
      <c r="C48" s="50" t="n">
        <v>52057.14</v>
      </c>
      <c r="D48" s="37" t="n"/>
      <c r="E48" s="37" t="n"/>
      <c r="F48" s="50" t="n">
        <v>216798.53</v>
      </c>
      <c r="G48" s="37" t="n"/>
    </row>
    <row r="49">
      <c r="A49" t="inlineStr">
        <is>
          <t>% of Building Cost</t>
        </is>
      </c>
      <c r="C49" s="51" t="n">
        <v>0.194</v>
      </c>
      <c r="D49" s="51" t="n">
        <v>0</v>
      </c>
      <c r="E49" s="51" t="n">
        <v>0</v>
      </c>
      <c r="F49" s="51" t="n">
        <v>0.806</v>
      </c>
    </row>
    <row r="51">
      <c r="A51" s="30" t="inlineStr">
        <is>
          <t>Asset Allocation:</t>
        </is>
      </c>
    </row>
    <row r="52">
      <c r="A52" t="inlineStr">
        <is>
          <t>Asset #1 - Building</t>
        </is>
      </c>
      <c r="B52" s="45" t="n">
        <v>212191.05</v>
      </c>
      <c r="C52" s="45" t="n">
        <v>41085.46</v>
      </c>
      <c r="F52" s="45" t="n">
        <v>171105.59</v>
      </c>
    </row>
    <row r="53">
      <c r="A53" t="inlineStr">
        <is>
          <t>Asset #5 - Building</t>
        </is>
      </c>
      <c r="B53" s="45" t="n">
        <v>386.45</v>
      </c>
      <c r="C53" s="45" t="n">
        <v>74.83</v>
      </c>
      <c r="F53" s="45" t="n">
        <v>311.62</v>
      </c>
    </row>
    <row r="54">
      <c r="A54" t="inlineStr">
        <is>
          <t>Asset #3 - Land Improvements</t>
        </is>
      </c>
      <c r="B54" s="45" t="n">
        <v>20018</v>
      </c>
      <c r="C54" s="45" t="n">
        <v>3875.98</v>
      </c>
      <c r="F54" s="45" t="n">
        <v>16142.02</v>
      </c>
    </row>
    <row r="55">
      <c r="A55" t="inlineStr">
        <is>
          <t>Asset #4 - Equipment</t>
        </is>
      </c>
      <c r="B55" s="45" t="n">
        <v>36260.17</v>
      </c>
      <c r="C55" s="45" t="n">
        <v>7020.87</v>
      </c>
      <c r="F55" s="45" t="n">
        <v>29239.3</v>
      </c>
    </row>
    <row r="56">
      <c r="A56" s="43" t="inlineStr">
        <is>
          <t>Total Allocation:</t>
        </is>
      </c>
      <c r="B56" s="50" t="n">
        <v>268855.67</v>
      </c>
      <c r="C56" s="50" t="n">
        <v>52057.14</v>
      </c>
      <c r="D56" s="37" t="n"/>
      <c r="E56" s="37" t="n"/>
      <c r="F56" s="50" t="n">
        <v>216798.53</v>
      </c>
      <c r="G56" s="37" t="n"/>
    </row>
    <row r="58">
      <c r="A58" s="30" t="inlineStr">
        <is>
          <t>End Depreciation Reconciliation</t>
        </is>
      </c>
    </row>
    <row r="59">
      <c r="A59" s="30" t="inlineStr">
        <is>
          <t>Before Cost Segregation (As Previously Filed)</t>
        </is>
      </c>
      <c r="B59" s="45" t="n">
        <v>117847.47</v>
      </c>
    </row>
    <row r="60">
      <c r="A60" s="30" t="inlineStr">
        <is>
          <t>After Cost Segregation (Corrected)</t>
        </is>
      </c>
      <c r="B60" s="45" t="n">
        <v>123336.9</v>
      </c>
    </row>
    <row r="61">
      <c r="A61" s="44" t="inlineStr">
        <is>
          <t>Section 481(a) Adjustment</t>
        </is>
      </c>
      <c r="B61" s="52" t="n">
        <v>-5489.43</v>
      </c>
      <c r="C61" s="40" t="n"/>
      <c r="D61" s="40" t="n"/>
      <c r="E61" s="40" t="n"/>
      <c r="F61" s="40" t="n"/>
      <c r="G61" s="4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3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4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4785.17</v>
      </c>
      <c r="C16" s="45" t="n">
        <v>4785.17</v>
      </c>
    </row>
    <row r="17">
      <c r="A17" t="inlineStr">
        <is>
          <t>Moldings</t>
        </is>
      </c>
      <c r="B17" s="45" t="n">
        <v>1941.11</v>
      </c>
      <c r="C17" s="45" t="n">
        <v>1941.11</v>
      </c>
    </row>
    <row r="18">
      <c r="A18" t="inlineStr">
        <is>
          <t>Flooring - Vinyl Plank</t>
        </is>
      </c>
      <c r="B18" s="45" t="n">
        <v>7939.87</v>
      </c>
      <c r="C18" s="45" t="n">
        <v>7939.87</v>
      </c>
    </row>
    <row r="19">
      <c r="A19" t="inlineStr">
        <is>
          <t>Window Treatments</t>
        </is>
      </c>
      <c r="B19" s="45" t="n">
        <v>428.8200000000001</v>
      </c>
      <c r="C19" s="45" t="n">
        <v>428.8200000000001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693.58</v>
      </c>
      <c r="C23" s="45" t="n">
        <v>693.58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758.8499999999999</v>
      </c>
      <c r="C25" s="45" t="n">
        <v>758.8499999999999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6281.12</v>
      </c>
      <c r="F30" s="45" t="n">
        <v>6281.12</v>
      </c>
    </row>
    <row r="31">
      <c r="A31" t="inlineStr">
        <is>
          <t>Foundations</t>
        </is>
      </c>
      <c r="B31" s="45" t="n">
        <v>12157.7</v>
      </c>
      <c r="F31" s="45" t="n">
        <v>12157.7</v>
      </c>
    </row>
    <row r="32">
      <c r="A32" t="inlineStr">
        <is>
          <t>HVAC</t>
        </is>
      </c>
      <c r="B32" s="45" t="n">
        <v>7610.530000000001</v>
      </c>
      <c r="F32" s="45" t="n">
        <v>7610.530000000001</v>
      </c>
    </row>
    <row r="33">
      <c r="A33" t="inlineStr">
        <is>
          <t>Electrical</t>
        </is>
      </c>
      <c r="B33" s="45" t="n">
        <v>8437.690000000001</v>
      </c>
      <c r="F33" s="45" t="n">
        <v>8437.690000000001</v>
      </c>
    </row>
    <row r="34">
      <c r="A34" t="inlineStr">
        <is>
          <t>Plumbing</t>
        </is>
      </c>
      <c r="B34" s="45" t="n">
        <v>6775.13</v>
      </c>
      <c r="F34" s="45" t="n">
        <v>6775.13</v>
      </c>
    </row>
    <row r="35">
      <c r="A35" t="inlineStr">
        <is>
          <t>Fire Protection &amp; Alarm</t>
        </is>
      </c>
      <c r="B35" s="45" t="n">
        <v>378.96</v>
      </c>
      <c r="F35" s="45" t="n">
        <v>378.96</v>
      </c>
    </row>
    <row r="36">
      <c r="A36" t="inlineStr">
        <is>
          <t>Exterior Façade / Building Skin</t>
        </is>
      </c>
      <c r="B36" s="45" t="n">
        <v>10712.7</v>
      </c>
      <c r="F36" s="45" t="n">
        <v>10712.7</v>
      </c>
    </row>
    <row r="37">
      <c r="A37" t="inlineStr">
        <is>
          <t>Doors &amp; Frames</t>
        </is>
      </c>
      <c r="B37" s="45" t="n">
        <v>5035.68</v>
      </c>
      <c r="F37" s="45" t="n">
        <v>5035.68</v>
      </c>
    </row>
    <row r="38">
      <c r="A38" t="inlineStr">
        <is>
          <t>Windows</t>
        </is>
      </c>
      <c r="B38" s="45" t="n">
        <v>2117.51</v>
      </c>
      <c r="F38" s="45" t="n">
        <v>2117.51</v>
      </c>
    </row>
    <row r="39">
      <c r="A39" t="inlineStr">
        <is>
          <t>Ceiling Systems</t>
        </is>
      </c>
      <c r="B39" s="45" t="n">
        <v>3536.09</v>
      </c>
      <c r="F39" s="45" t="n">
        <v>3536.09</v>
      </c>
    </row>
    <row r="40">
      <c r="A40" t="inlineStr">
        <is>
          <t>Interior Framing / Partitions</t>
        </is>
      </c>
      <c r="B40" s="45" t="n">
        <v>8613.790000000001</v>
      </c>
      <c r="F40" s="45" t="n">
        <v>8613.790000000001</v>
      </c>
    </row>
    <row r="41">
      <c r="A41" t="inlineStr">
        <is>
          <t>Painting</t>
        </is>
      </c>
      <c r="B41" s="45" t="n">
        <v>3604.7</v>
      </c>
      <c r="F41" s="45" t="n">
        <v>3604.7</v>
      </c>
    </row>
    <row r="42">
      <c r="A42" t="inlineStr">
        <is>
          <t>Gutter Systems</t>
        </is>
      </c>
      <c r="B42" s="45" t="n">
        <v>868.78</v>
      </c>
      <c r="F42" s="45" t="n">
        <v>868.78</v>
      </c>
    </row>
    <row r="43">
      <c r="A43" t="inlineStr">
        <is>
          <t>Structural Framing</t>
        </is>
      </c>
      <c r="B43" s="45" t="n">
        <v>10912.49</v>
      </c>
      <c r="F43" s="45" t="n">
        <v>10912.49</v>
      </c>
    </row>
    <row r="44">
      <c r="A44" t="inlineStr">
        <is>
          <t>Bathroom Accessories</t>
        </is>
      </c>
      <c r="B44" s="45" t="n">
        <v>662.8</v>
      </c>
      <c r="F44" s="45" t="n">
        <v>662.8</v>
      </c>
    </row>
    <row r="45">
      <c r="A45" t="inlineStr">
        <is>
          <t>Cabinets / Millwork - Restrooms</t>
        </is>
      </c>
      <c r="B45" s="45" t="n">
        <v>811.5699999999999</v>
      </c>
      <c r="F45" s="45" t="n">
        <v>811.5699999999999</v>
      </c>
    </row>
    <row r="47">
      <c r="A47" s="43" t="inlineStr">
        <is>
          <t>Total Building Cost</t>
        </is>
      </c>
      <c r="B47" s="50" t="n">
        <v>115479.14</v>
      </c>
      <c r="C47" s="50" t="n">
        <v>26961.9</v>
      </c>
      <c r="D47" s="37" t="n"/>
      <c r="E47" s="37" t="n"/>
      <c r="F47" s="50" t="n">
        <v>88517.24000000001</v>
      </c>
      <c r="G47" s="37" t="n"/>
    </row>
    <row r="48">
      <c r="A48" t="inlineStr">
        <is>
          <t>% of Building Cost</t>
        </is>
      </c>
      <c r="C48" s="51" t="n">
        <v>0.233</v>
      </c>
      <c r="D48" s="51" t="n">
        <v>0</v>
      </c>
      <c r="E48" s="51" t="n">
        <v>0</v>
      </c>
      <c r="F48" s="51" t="n">
        <v>0.767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91140.5</v>
      </c>
      <c r="C51" s="45" t="n">
        <v>21279.35</v>
      </c>
      <c r="F51" s="45" t="n">
        <v>69861.14999999999</v>
      </c>
    </row>
    <row r="52">
      <c r="A52" t="inlineStr">
        <is>
          <t>Asset #5 - Building</t>
        </is>
      </c>
      <c r="B52" s="45" t="n">
        <v>165.99</v>
      </c>
      <c r="C52" s="45" t="n">
        <v>38.76</v>
      </c>
      <c r="F52" s="45" t="n">
        <v>127.23</v>
      </c>
    </row>
    <row r="53">
      <c r="A53" t="inlineStr">
        <is>
          <t>Asset #3 - Land Improvements</t>
        </is>
      </c>
      <c r="B53" s="45" t="n">
        <v>8598.15</v>
      </c>
      <c r="C53" s="45" t="n">
        <v>2007.48</v>
      </c>
      <c r="F53" s="45" t="n">
        <v>6590.67</v>
      </c>
    </row>
    <row r="54">
      <c r="A54" t="inlineStr">
        <is>
          <t>Asset #4 - Equipment</t>
        </is>
      </c>
      <c r="B54" s="45" t="n">
        <v>15574.5</v>
      </c>
      <c r="C54" s="45" t="n">
        <v>3636.31</v>
      </c>
      <c r="F54" s="45" t="n">
        <v>11938.19</v>
      </c>
    </row>
    <row r="55">
      <c r="A55" s="43" t="inlineStr">
        <is>
          <t>Total Allocation:</t>
        </is>
      </c>
      <c r="B55" s="50" t="n">
        <v>115479.14</v>
      </c>
      <c r="C55" s="50" t="n">
        <v>26961.9</v>
      </c>
      <c r="D55" s="37" t="n"/>
      <c r="E55" s="37" t="n"/>
      <c r="F55" s="50" t="n">
        <v>88517.24000000001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50617.97</v>
      </c>
    </row>
    <row r="59">
      <c r="A59" s="30" t="inlineStr">
        <is>
          <t>After Cost Segregation (Corrected)</t>
        </is>
      </c>
      <c r="B59" s="45" t="n">
        <v>56065.03</v>
      </c>
    </row>
    <row r="60">
      <c r="A60" s="44" t="inlineStr">
        <is>
          <t>Section 481(a) Adjustment</t>
        </is>
      </c>
      <c r="B60" s="52" t="n">
        <v>-5447.06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5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6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7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8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9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10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11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4785.17</v>
      </c>
      <c r="C16" s="45" t="n">
        <v>4785.17</v>
      </c>
    </row>
    <row r="17">
      <c r="A17" t="inlineStr">
        <is>
          <t>Moldings</t>
        </is>
      </c>
      <c r="B17" s="45" t="n">
        <v>1941.11</v>
      </c>
      <c r="C17" s="45" t="n">
        <v>1941.11</v>
      </c>
    </row>
    <row r="18">
      <c r="A18" t="inlineStr">
        <is>
          <t>Flooring - Vinyl Plank</t>
        </is>
      </c>
      <c r="B18" s="45" t="n">
        <v>7939.87</v>
      </c>
      <c r="C18" s="45" t="n">
        <v>7939.87</v>
      </c>
    </row>
    <row r="19">
      <c r="A19" t="inlineStr">
        <is>
          <t>Window Treatments</t>
        </is>
      </c>
      <c r="B19" s="45" t="n">
        <v>428.8200000000001</v>
      </c>
      <c r="C19" s="45" t="n">
        <v>428.8200000000001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693.58</v>
      </c>
      <c r="C23" s="45" t="n">
        <v>693.58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758.8499999999999</v>
      </c>
      <c r="C25" s="45" t="n">
        <v>758.8499999999999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6281.12</v>
      </c>
      <c r="F30" s="45" t="n">
        <v>6281.12</v>
      </c>
    </row>
    <row r="31">
      <c r="A31" t="inlineStr">
        <is>
          <t>Foundations</t>
        </is>
      </c>
      <c r="B31" s="45" t="n">
        <v>12157.7</v>
      </c>
      <c r="F31" s="45" t="n">
        <v>12157.7</v>
      </c>
    </row>
    <row r="32">
      <c r="A32" t="inlineStr">
        <is>
          <t>HVAC</t>
        </is>
      </c>
      <c r="B32" s="45" t="n">
        <v>7610.530000000001</v>
      </c>
      <c r="F32" s="45" t="n">
        <v>7610.530000000001</v>
      </c>
    </row>
    <row r="33">
      <c r="A33" t="inlineStr">
        <is>
          <t>Electrical</t>
        </is>
      </c>
      <c r="B33" s="45" t="n">
        <v>8437.690000000001</v>
      </c>
      <c r="F33" s="45" t="n">
        <v>8437.690000000001</v>
      </c>
    </row>
    <row r="34">
      <c r="A34" t="inlineStr">
        <is>
          <t>Plumbing</t>
        </is>
      </c>
      <c r="B34" s="45" t="n">
        <v>6775.13</v>
      </c>
      <c r="F34" s="45" t="n">
        <v>6775.13</v>
      </c>
    </row>
    <row r="35">
      <c r="A35" t="inlineStr">
        <is>
          <t>Fire Protection &amp; Alarm</t>
        </is>
      </c>
      <c r="B35" s="45" t="n">
        <v>378.96</v>
      </c>
      <c r="F35" s="45" t="n">
        <v>378.96</v>
      </c>
    </row>
    <row r="36">
      <c r="A36" t="inlineStr">
        <is>
          <t>Exterior Façade / Building Skin</t>
        </is>
      </c>
      <c r="B36" s="45" t="n">
        <v>10712.7</v>
      </c>
      <c r="F36" s="45" t="n">
        <v>10712.7</v>
      </c>
    </row>
    <row r="37">
      <c r="A37" t="inlineStr">
        <is>
          <t>Doors &amp; Frames</t>
        </is>
      </c>
      <c r="B37" s="45" t="n">
        <v>5035.68</v>
      </c>
      <c r="F37" s="45" t="n">
        <v>5035.68</v>
      </c>
    </row>
    <row r="38">
      <c r="A38" t="inlineStr">
        <is>
          <t>Windows</t>
        </is>
      </c>
      <c r="B38" s="45" t="n">
        <v>2117.51</v>
      </c>
      <c r="F38" s="45" t="n">
        <v>2117.51</v>
      </c>
    </row>
    <row r="39">
      <c r="A39" t="inlineStr">
        <is>
          <t>Ceiling Systems</t>
        </is>
      </c>
      <c r="B39" s="45" t="n">
        <v>3536.09</v>
      </c>
      <c r="F39" s="45" t="n">
        <v>3536.09</v>
      </c>
    </row>
    <row r="40">
      <c r="A40" t="inlineStr">
        <is>
          <t>Interior Framing / Partitions</t>
        </is>
      </c>
      <c r="B40" s="45" t="n">
        <v>8613.790000000001</v>
      </c>
      <c r="F40" s="45" t="n">
        <v>8613.790000000001</v>
      </c>
    </row>
    <row r="41">
      <c r="A41" t="inlineStr">
        <is>
          <t>Painting</t>
        </is>
      </c>
      <c r="B41" s="45" t="n">
        <v>3604.7</v>
      </c>
      <c r="F41" s="45" t="n">
        <v>3604.7</v>
      </c>
    </row>
    <row r="42">
      <c r="A42" t="inlineStr">
        <is>
          <t>Gutter Systems</t>
        </is>
      </c>
      <c r="B42" s="45" t="n">
        <v>868.78</v>
      </c>
      <c r="F42" s="45" t="n">
        <v>868.78</v>
      </c>
    </row>
    <row r="43">
      <c r="A43" t="inlineStr">
        <is>
          <t>Structural Framing</t>
        </is>
      </c>
      <c r="B43" s="45" t="n">
        <v>10912.49</v>
      </c>
      <c r="F43" s="45" t="n">
        <v>10912.49</v>
      </c>
    </row>
    <row r="44">
      <c r="A44" t="inlineStr">
        <is>
          <t>Bathroom Accessories</t>
        </is>
      </c>
      <c r="B44" s="45" t="n">
        <v>662.8</v>
      </c>
      <c r="F44" s="45" t="n">
        <v>662.8</v>
      </c>
    </row>
    <row r="45">
      <c r="A45" t="inlineStr">
        <is>
          <t>Cabinets / Millwork - Restrooms</t>
        </is>
      </c>
      <c r="B45" s="45" t="n">
        <v>811.5699999999999</v>
      </c>
      <c r="F45" s="45" t="n">
        <v>811.5699999999999</v>
      </c>
    </row>
    <row r="47">
      <c r="A47" s="43" t="inlineStr">
        <is>
          <t>Total Building Cost</t>
        </is>
      </c>
      <c r="B47" s="50" t="n">
        <v>115479.14</v>
      </c>
      <c r="C47" s="50" t="n">
        <v>26961.9</v>
      </c>
      <c r="D47" s="37" t="n"/>
      <c r="E47" s="37" t="n"/>
      <c r="F47" s="50" t="n">
        <v>88517.24000000001</v>
      </c>
      <c r="G47" s="37" t="n"/>
    </row>
    <row r="48">
      <c r="A48" t="inlineStr">
        <is>
          <t>% of Building Cost</t>
        </is>
      </c>
      <c r="C48" s="51" t="n">
        <v>0.233</v>
      </c>
      <c r="D48" s="51" t="n">
        <v>0</v>
      </c>
      <c r="E48" s="51" t="n">
        <v>0</v>
      </c>
      <c r="F48" s="51" t="n">
        <v>0.767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91140.5</v>
      </c>
      <c r="C51" s="45" t="n">
        <v>21279.35</v>
      </c>
      <c r="F51" s="45" t="n">
        <v>69861.14999999999</v>
      </c>
    </row>
    <row r="52">
      <c r="A52" t="inlineStr">
        <is>
          <t>Asset #5 - Building</t>
        </is>
      </c>
      <c r="B52" s="45" t="n">
        <v>165.99</v>
      </c>
      <c r="C52" s="45" t="n">
        <v>38.76</v>
      </c>
      <c r="F52" s="45" t="n">
        <v>127.23</v>
      </c>
    </row>
    <row r="53">
      <c r="A53" t="inlineStr">
        <is>
          <t>Asset #3 - Land Improvements</t>
        </is>
      </c>
      <c r="B53" s="45" t="n">
        <v>8598.15</v>
      </c>
      <c r="C53" s="45" t="n">
        <v>2007.48</v>
      </c>
      <c r="F53" s="45" t="n">
        <v>6590.67</v>
      </c>
    </row>
    <row r="54">
      <c r="A54" t="inlineStr">
        <is>
          <t>Asset #4 - Equipment</t>
        </is>
      </c>
      <c r="B54" s="45" t="n">
        <v>15574.5</v>
      </c>
      <c r="C54" s="45" t="n">
        <v>3636.31</v>
      </c>
      <c r="F54" s="45" t="n">
        <v>11938.19</v>
      </c>
    </row>
    <row r="55">
      <c r="A55" s="43" t="inlineStr">
        <is>
          <t>Total Allocation:</t>
        </is>
      </c>
      <c r="B55" s="50" t="n">
        <v>115479.14</v>
      </c>
      <c r="C55" s="50" t="n">
        <v>26961.9</v>
      </c>
      <c r="D55" s="37" t="n"/>
      <c r="E55" s="37" t="n"/>
      <c r="F55" s="50" t="n">
        <v>88517.24000000001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50617.97</v>
      </c>
    </row>
    <row r="59">
      <c r="A59" s="30" t="inlineStr">
        <is>
          <t>After Cost Segregation (Corrected)</t>
        </is>
      </c>
      <c r="B59" s="45" t="n">
        <v>56065.03</v>
      </c>
    </row>
    <row r="60">
      <c r="A60" s="44" t="inlineStr">
        <is>
          <t>Section 481(a) Adjustment</t>
        </is>
      </c>
      <c r="B60" s="52" t="n">
        <v>-5447.06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12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7759.94</v>
      </c>
      <c r="C16" s="45" t="n">
        <v>7759.94</v>
      </c>
    </row>
    <row r="17">
      <c r="A17" t="inlineStr">
        <is>
          <t>Moldings</t>
        </is>
      </c>
      <c r="B17" s="45" t="n">
        <v>4601.14</v>
      </c>
      <c r="C17" s="45" t="n">
        <v>4601.14</v>
      </c>
    </row>
    <row r="18">
      <c r="A18" t="inlineStr">
        <is>
          <t>Flooring - Vinyl Plank</t>
        </is>
      </c>
      <c r="B18" s="45" t="n">
        <v>18695.69</v>
      </c>
      <c r="C18" s="45" t="n">
        <v>18695.69</v>
      </c>
    </row>
    <row r="19">
      <c r="A19" t="inlineStr">
        <is>
          <t>Window Treatments</t>
        </is>
      </c>
      <c r="B19" s="45" t="n">
        <v>2235.2</v>
      </c>
      <c r="C19" s="45" t="n">
        <v>2235.2</v>
      </c>
    </row>
    <row r="20">
      <c r="A20" t="inlineStr">
        <is>
          <t>Specialty HVAC - Dryer Vents</t>
        </is>
      </c>
      <c r="B20" s="45" t="n">
        <v>274.94</v>
      </c>
      <c r="C20" s="45" t="n">
        <v>274.94</v>
      </c>
    </row>
    <row r="21">
      <c r="A21" t="inlineStr">
        <is>
          <t>Building Signage</t>
        </is>
      </c>
      <c r="B21" s="45" t="n">
        <v>120.68</v>
      </c>
      <c r="C21" s="45" t="n">
        <v>120.68</v>
      </c>
    </row>
    <row r="22">
      <c r="A22" t="inlineStr">
        <is>
          <t>Specialty Electrical - Appliances</t>
        </is>
      </c>
      <c r="B22" s="45" t="n">
        <v>4471.440000000001</v>
      </c>
      <c r="C22" s="45" t="n">
        <v>4471.440000000001</v>
      </c>
    </row>
    <row r="23">
      <c r="A23" t="inlineStr">
        <is>
          <t>Communication / Data</t>
        </is>
      </c>
      <c r="B23" s="45" t="n">
        <v>1633.14</v>
      </c>
      <c r="C23" s="45" t="n">
        <v>1633.14</v>
      </c>
    </row>
    <row r="24">
      <c r="A24" t="inlineStr">
        <is>
          <t>Specialty Plumbing - Kitchen Sinks / Laundry</t>
        </is>
      </c>
      <c r="B24" s="45" t="n">
        <v>5141.110000000001</v>
      </c>
      <c r="C24" s="45" t="n">
        <v>5141.110000000001</v>
      </c>
    </row>
    <row r="25">
      <c r="A25" t="inlineStr">
        <is>
          <t>Security / Exterior Lighting</t>
        </is>
      </c>
      <c r="B25" s="45" t="n">
        <v>1534.74</v>
      </c>
      <c r="C25" s="45" t="n">
        <v>1534.74</v>
      </c>
    </row>
    <row r="26">
      <c r="A26" t="inlineStr">
        <is>
          <t>Access Control</t>
        </is>
      </c>
      <c r="B26" s="45" t="n">
        <v>64.8</v>
      </c>
      <c r="C26" s="45" t="n">
        <v>64.8</v>
      </c>
    </row>
    <row r="27">
      <c r="A27" t="inlineStr">
        <is>
          <t>Appliances</t>
        </is>
      </c>
      <c r="B27" s="45" t="n">
        <v>5524.320000000001</v>
      </c>
      <c r="C27" s="45" t="n">
        <v>5524.320000000001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10400.92</v>
      </c>
      <c r="F30" s="45" t="n">
        <v>10400.92</v>
      </c>
    </row>
    <row r="31">
      <c r="A31" t="inlineStr">
        <is>
          <t>Foundations</t>
        </is>
      </c>
      <c r="B31" s="45" t="n">
        <v>19732.45</v>
      </c>
      <c r="F31" s="45" t="n">
        <v>19732.45</v>
      </c>
    </row>
    <row r="32">
      <c r="A32" t="inlineStr">
        <is>
          <t>HVAC</t>
        </is>
      </c>
      <c r="B32" s="45" t="n">
        <v>18076.85</v>
      </c>
      <c r="F32" s="45" t="n">
        <v>18076.85</v>
      </c>
    </row>
    <row r="33">
      <c r="A33" t="inlineStr">
        <is>
          <t>Electrical</t>
        </is>
      </c>
      <c r="B33" s="45" t="n">
        <v>19867.9</v>
      </c>
      <c r="F33" s="45" t="n">
        <v>19867.9</v>
      </c>
    </row>
    <row r="34">
      <c r="A34" t="inlineStr">
        <is>
          <t>Plumbing</t>
        </is>
      </c>
      <c r="B34" s="45" t="n">
        <v>15953.11</v>
      </c>
      <c r="F34" s="45" t="n">
        <v>15953.11</v>
      </c>
    </row>
    <row r="35">
      <c r="A35" t="inlineStr">
        <is>
          <t>Fire Protection &amp; Alarm</t>
        </is>
      </c>
      <c r="B35" s="45" t="n">
        <v>1077</v>
      </c>
      <c r="F35" s="45" t="n">
        <v>1077</v>
      </c>
    </row>
    <row r="36">
      <c r="A36" t="inlineStr">
        <is>
          <t>Exterior Façade / Building Skin</t>
        </is>
      </c>
      <c r="B36" s="45" t="n">
        <v>24515.03</v>
      </c>
      <c r="F36" s="45" t="n">
        <v>24515.03</v>
      </c>
    </row>
    <row r="37">
      <c r="A37" t="inlineStr">
        <is>
          <t>Doors &amp; Frames</t>
        </is>
      </c>
      <c r="B37" s="45" t="n">
        <v>18444.72</v>
      </c>
      <c r="F37" s="45" t="n">
        <v>18444.72</v>
      </c>
    </row>
    <row r="38">
      <c r="A38" t="inlineStr">
        <is>
          <t>Windows</t>
        </is>
      </c>
      <c r="B38" s="45" t="n">
        <v>11037.53</v>
      </c>
      <c r="F38" s="45" t="n">
        <v>11037.53</v>
      </c>
    </row>
    <row r="39">
      <c r="A39" t="inlineStr">
        <is>
          <t>Ceiling Systems</t>
        </is>
      </c>
      <c r="B39" s="45" t="n">
        <v>8326.32</v>
      </c>
      <c r="F39" s="45" t="n">
        <v>8326.32</v>
      </c>
    </row>
    <row r="40">
      <c r="A40" t="inlineStr">
        <is>
          <t>Interior Framing / Partitions</t>
        </is>
      </c>
      <c r="B40" s="45" t="n">
        <v>20278.2</v>
      </c>
      <c r="F40" s="45" t="n">
        <v>20278.2</v>
      </c>
    </row>
    <row r="41">
      <c r="A41" t="inlineStr">
        <is>
          <t>Painting</t>
        </is>
      </c>
      <c r="B41" s="45" t="n">
        <v>8613.969999999999</v>
      </c>
      <c r="F41" s="45" t="n">
        <v>8613.969999999999</v>
      </c>
    </row>
    <row r="42">
      <c r="A42" t="inlineStr">
        <is>
          <t>Gutter Systems</t>
        </is>
      </c>
      <c r="B42" s="45" t="n">
        <v>1343.51</v>
      </c>
      <c r="F42" s="45" t="n">
        <v>1343.51</v>
      </c>
    </row>
    <row r="43">
      <c r="A43" t="inlineStr">
        <is>
          <t>Structural Framing</t>
        </is>
      </c>
      <c r="B43" s="45" t="n">
        <v>27755.49999999999</v>
      </c>
      <c r="F43" s="45" t="n">
        <v>27755.49999999999</v>
      </c>
    </row>
    <row r="44">
      <c r="A44" t="inlineStr">
        <is>
          <t>Stairs / Balconies</t>
        </is>
      </c>
      <c r="B44" s="45" t="n">
        <v>6811.28</v>
      </c>
      <c r="F44" s="45" t="n">
        <v>6811.28</v>
      </c>
    </row>
    <row r="45">
      <c r="A45" t="inlineStr">
        <is>
          <t>Bathroom Accessories</t>
        </is>
      </c>
      <c r="B45" s="45" t="n">
        <v>1999.53</v>
      </c>
      <c r="F45" s="45" t="n">
        <v>1999.53</v>
      </c>
    </row>
    <row r="46">
      <c r="A46" t="inlineStr">
        <is>
          <t>Cabinets / Millwork - Restrooms</t>
        </is>
      </c>
      <c r="B46" s="45" t="n">
        <v>2564.71</v>
      </c>
      <c r="F46" s="45" t="n">
        <v>2564.71</v>
      </c>
    </row>
    <row r="48">
      <c r="A48" s="43" t="inlineStr">
        <is>
          <t>Total Building Cost</t>
        </is>
      </c>
      <c r="B48" s="50" t="n">
        <v>268855.6700000001</v>
      </c>
      <c r="C48" s="50" t="n">
        <v>52057.14</v>
      </c>
      <c r="D48" s="37" t="n"/>
      <c r="E48" s="37" t="n"/>
      <c r="F48" s="50" t="n">
        <v>216798.53</v>
      </c>
      <c r="G48" s="37" t="n"/>
    </row>
    <row r="49">
      <c r="A49" t="inlineStr">
        <is>
          <t>% of Building Cost</t>
        </is>
      </c>
      <c r="C49" s="51" t="n">
        <v>0.194</v>
      </c>
      <c r="D49" s="51" t="n">
        <v>0</v>
      </c>
      <c r="E49" s="51" t="n">
        <v>0</v>
      </c>
      <c r="F49" s="51" t="n">
        <v>0.806</v>
      </c>
    </row>
    <row r="51">
      <c r="A51" s="30" t="inlineStr">
        <is>
          <t>Asset Allocation:</t>
        </is>
      </c>
    </row>
    <row r="52">
      <c r="A52" t="inlineStr">
        <is>
          <t>Asset #1 - Building</t>
        </is>
      </c>
      <c r="B52" s="45" t="n">
        <v>212191.05</v>
      </c>
      <c r="C52" s="45" t="n">
        <v>41085.46</v>
      </c>
      <c r="F52" s="45" t="n">
        <v>171105.59</v>
      </c>
    </row>
    <row r="53">
      <c r="A53" t="inlineStr">
        <is>
          <t>Asset #5 - Building</t>
        </is>
      </c>
      <c r="B53" s="45" t="n">
        <v>386.45</v>
      </c>
      <c r="C53" s="45" t="n">
        <v>74.83</v>
      </c>
      <c r="F53" s="45" t="n">
        <v>311.62</v>
      </c>
    </row>
    <row r="54">
      <c r="A54" t="inlineStr">
        <is>
          <t>Asset #3 - Land Improvements</t>
        </is>
      </c>
      <c r="B54" s="45" t="n">
        <v>20018</v>
      </c>
      <c r="C54" s="45" t="n">
        <v>3875.98</v>
      </c>
      <c r="F54" s="45" t="n">
        <v>16142.02</v>
      </c>
    </row>
    <row r="55">
      <c r="A55" t="inlineStr">
        <is>
          <t>Asset #9 - Equipment</t>
        </is>
      </c>
      <c r="B55" s="45" t="n">
        <v>36260.17</v>
      </c>
      <c r="C55" s="45" t="n">
        <v>7020.87</v>
      </c>
      <c r="F55" s="45" t="n">
        <v>29239.3</v>
      </c>
    </row>
    <row r="56">
      <c r="A56" s="43" t="inlineStr">
        <is>
          <t>Total Allocation:</t>
        </is>
      </c>
      <c r="B56" s="50" t="n">
        <v>268855.67</v>
      </c>
      <c r="C56" s="50" t="n">
        <v>52057.14</v>
      </c>
      <c r="D56" s="37" t="n"/>
      <c r="E56" s="37" t="n"/>
      <c r="F56" s="50" t="n">
        <v>216798.53</v>
      </c>
      <c r="G56" s="37" t="n"/>
    </row>
    <row r="58">
      <c r="A58" s="30" t="inlineStr">
        <is>
          <t>End Depreciation Reconciliation</t>
        </is>
      </c>
    </row>
    <row r="59">
      <c r="A59" s="30" t="inlineStr">
        <is>
          <t>Before Cost Segregation (As Previously Filed)</t>
        </is>
      </c>
      <c r="B59" s="45" t="n">
        <v>117847.47</v>
      </c>
    </row>
    <row r="60">
      <c r="A60" s="30" t="inlineStr">
        <is>
          <t>After Cost Segregation (Corrected)</t>
        </is>
      </c>
      <c r="B60" s="45" t="n">
        <v>123336.9</v>
      </c>
    </row>
    <row r="61">
      <c r="A61" s="44" t="inlineStr">
        <is>
          <t>Section 481(a) Adjustment</t>
        </is>
      </c>
      <c r="B61" s="52" t="n">
        <v>-5489.43</v>
      </c>
      <c r="C61" s="40" t="n"/>
      <c r="D61" s="40" t="n"/>
      <c r="E61" s="40" t="n"/>
      <c r="F61" s="40" t="n"/>
      <c r="G61" s="40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13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10346.61</v>
      </c>
      <c r="C16" s="45" t="n">
        <v>10346.61</v>
      </c>
    </row>
    <row r="17">
      <c r="A17" t="inlineStr">
        <is>
          <t>Moldings</t>
        </is>
      </c>
      <c r="B17" s="45" t="n">
        <v>5291.32</v>
      </c>
      <c r="C17" s="45" t="n">
        <v>5291.32</v>
      </c>
    </row>
    <row r="18">
      <c r="A18" t="inlineStr">
        <is>
          <t>Flooring - Vinyl Plank</t>
        </is>
      </c>
      <c r="B18" s="45" t="n">
        <v>26950.29</v>
      </c>
      <c r="C18" s="45" t="n">
        <v>26950.29</v>
      </c>
    </row>
    <row r="19">
      <c r="A19" t="inlineStr">
        <is>
          <t>Window Treatments</t>
        </is>
      </c>
      <c r="B19" s="45" t="n">
        <v>2980.26</v>
      </c>
      <c r="C19" s="45" t="n">
        <v>2980.26</v>
      </c>
    </row>
    <row r="20">
      <c r="A20" t="inlineStr">
        <is>
          <t>Specialty HVAC - Dryer Vents</t>
        </is>
      </c>
      <c r="B20" s="45" t="n">
        <v>366.57</v>
      </c>
      <c r="C20" s="45" t="n">
        <v>366.57</v>
      </c>
    </row>
    <row r="21">
      <c r="A21" t="inlineStr">
        <is>
          <t>Building Signage</t>
        </is>
      </c>
      <c r="B21" s="45" t="n">
        <v>144.58</v>
      </c>
      <c r="C21" s="45" t="n">
        <v>144.58</v>
      </c>
    </row>
    <row r="22">
      <c r="A22" t="inlineStr">
        <is>
          <t>Specialty Electrical - Appliances</t>
        </is>
      </c>
      <c r="B22" s="45" t="n">
        <v>5961.89</v>
      </c>
      <c r="C22" s="45" t="n">
        <v>5961.89</v>
      </c>
    </row>
    <row r="23">
      <c r="A23" t="inlineStr">
        <is>
          <t>Communication / Data</t>
        </is>
      </c>
      <c r="B23" s="45" t="n">
        <v>2354.19</v>
      </c>
      <c r="C23" s="45" t="n">
        <v>2354.19</v>
      </c>
    </row>
    <row r="24">
      <c r="A24" t="inlineStr">
        <is>
          <t>Specialty Plumbing - Kitchen Sinks / Laundry</t>
        </is>
      </c>
      <c r="B24" s="45" t="n">
        <v>6854.82</v>
      </c>
      <c r="C24" s="45" t="n">
        <v>6854.82</v>
      </c>
    </row>
    <row r="25">
      <c r="A25" t="inlineStr">
        <is>
          <t>Security / Exterior Lighting</t>
        </is>
      </c>
      <c r="B25" s="45" t="n">
        <v>2046.92</v>
      </c>
      <c r="C25" s="45" t="n">
        <v>2046.92</v>
      </c>
    </row>
    <row r="26">
      <c r="A26" t="inlineStr">
        <is>
          <t>Access Control</t>
        </is>
      </c>
      <c r="B26" s="45" t="n">
        <v>86.39999999999999</v>
      </c>
      <c r="C26" s="45" t="n">
        <v>86.39999999999999</v>
      </c>
    </row>
    <row r="27">
      <c r="A27" t="inlineStr">
        <is>
          <t>Appliances</t>
        </is>
      </c>
      <c r="B27" s="45" t="n">
        <v>7365.75</v>
      </c>
      <c r="C27" s="45" t="n">
        <v>7365.75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11258.78</v>
      </c>
      <c r="F30" s="45" t="n">
        <v>11258.78</v>
      </c>
    </row>
    <row r="31">
      <c r="A31" t="inlineStr">
        <is>
          <t>Foundations</t>
        </is>
      </c>
      <c r="B31" s="45" t="n">
        <v>21167.29</v>
      </c>
      <c r="F31" s="45" t="n">
        <v>21167.29</v>
      </c>
    </row>
    <row r="32">
      <c r="A32" t="inlineStr">
        <is>
          <t>HVAC</t>
        </is>
      </c>
      <c r="B32" s="45" t="n">
        <v>26087.98</v>
      </c>
      <c r="F32" s="45" t="n">
        <v>26087.98</v>
      </c>
    </row>
    <row r="33">
      <c r="A33" t="inlineStr">
        <is>
          <t>Electrical</t>
        </is>
      </c>
      <c r="B33" s="45" t="n">
        <v>28640.05</v>
      </c>
      <c r="F33" s="45" t="n">
        <v>28640.05</v>
      </c>
    </row>
    <row r="34">
      <c r="A34" t="inlineStr">
        <is>
          <t>Plumbing</t>
        </is>
      </c>
      <c r="B34" s="45" t="n">
        <v>22996.79</v>
      </c>
      <c r="F34" s="45" t="n">
        <v>22996.79</v>
      </c>
    </row>
    <row r="35">
      <c r="A35" t="inlineStr">
        <is>
          <t>Fire Protection &amp; Alarm</t>
        </is>
      </c>
      <c r="B35" s="45" t="n">
        <v>1436.02</v>
      </c>
      <c r="F35" s="45" t="n">
        <v>1436.02</v>
      </c>
    </row>
    <row r="36">
      <c r="A36" t="inlineStr">
        <is>
          <t>Exterior Façade / Building Skin</t>
        </is>
      </c>
      <c r="B36" s="45" t="n">
        <v>30481.59</v>
      </c>
      <c r="F36" s="45" t="n">
        <v>30481.59</v>
      </c>
    </row>
    <row r="37">
      <c r="A37" t="inlineStr">
        <is>
          <t>Doors &amp; Frames</t>
        </is>
      </c>
      <c r="B37" s="45" t="n">
        <v>24592.96</v>
      </c>
      <c r="F37" s="45" t="n">
        <v>24592.96</v>
      </c>
    </row>
    <row r="38">
      <c r="A38" t="inlineStr">
        <is>
          <t>Windows</t>
        </is>
      </c>
      <c r="B38" s="45" t="n">
        <v>14716.7</v>
      </c>
      <c r="F38" s="45" t="n">
        <v>14716.7</v>
      </c>
    </row>
    <row r="39">
      <c r="A39" t="inlineStr">
        <is>
          <t>Ceiling Systems</t>
        </is>
      </c>
      <c r="B39" s="45" t="n">
        <v>12002.61</v>
      </c>
      <c r="F39" s="45" t="n">
        <v>12002.61</v>
      </c>
    </row>
    <row r="40">
      <c r="A40" t="inlineStr">
        <is>
          <t>Interior Framing / Partitions</t>
        </is>
      </c>
      <c r="B40" s="45" t="n">
        <v>23197.91</v>
      </c>
      <c r="F40" s="45" t="n">
        <v>23197.91</v>
      </c>
    </row>
    <row r="41">
      <c r="A41" t="inlineStr">
        <is>
          <t>Painting</t>
        </is>
      </c>
      <c r="B41" s="45" t="n">
        <v>10564.94</v>
      </c>
      <c r="F41" s="45" t="n">
        <v>10564.94</v>
      </c>
    </row>
    <row r="42">
      <c r="A42" t="inlineStr">
        <is>
          <t>Gutter Systems</t>
        </is>
      </c>
      <c r="B42" s="45" t="n">
        <v>1561.67</v>
      </c>
      <c r="F42" s="45" t="n">
        <v>1561.67</v>
      </c>
    </row>
    <row r="43">
      <c r="A43" t="inlineStr">
        <is>
          <t>Structural Framing</t>
        </is>
      </c>
      <c r="B43" s="45" t="n">
        <v>38226.39</v>
      </c>
      <c r="F43" s="45" t="n">
        <v>38226.39</v>
      </c>
    </row>
    <row r="44">
      <c r="A44" t="inlineStr">
        <is>
          <t>Stairs / Balconies</t>
        </is>
      </c>
      <c r="B44" s="45" t="n">
        <v>13622.62</v>
      </c>
      <c r="F44" s="45" t="n">
        <v>13622.62</v>
      </c>
    </row>
    <row r="45">
      <c r="A45" t="inlineStr">
        <is>
          <t>Bathroom Accessories</t>
        </is>
      </c>
      <c r="B45" s="45" t="n">
        <v>2666.01</v>
      </c>
      <c r="F45" s="45" t="n">
        <v>2666.01</v>
      </c>
    </row>
    <row r="46">
      <c r="A46" t="inlineStr">
        <is>
          <t>Cabinets / Millwork - Restrooms</t>
        </is>
      </c>
      <c r="B46" s="45" t="n">
        <v>3419.61</v>
      </c>
      <c r="F46" s="45" t="n">
        <v>3419.61</v>
      </c>
    </row>
    <row r="48">
      <c r="A48" s="43" t="inlineStr">
        <is>
          <t>Total Building Cost</t>
        </is>
      </c>
      <c r="B48" s="50" t="n">
        <v>357389.52</v>
      </c>
      <c r="C48" s="50" t="n">
        <v>70749.60000000001</v>
      </c>
      <c r="D48" s="37" t="n"/>
      <c r="E48" s="37" t="n"/>
      <c r="F48" s="50" t="n">
        <v>286639.92</v>
      </c>
      <c r="G48" s="37" t="n"/>
    </row>
    <row r="49">
      <c r="A49" t="inlineStr">
        <is>
          <t>% of Building Cost</t>
        </is>
      </c>
      <c r="C49" s="51" t="n">
        <v>0.198</v>
      </c>
      <c r="D49" s="51" t="n">
        <v>0</v>
      </c>
      <c r="E49" s="51" t="n">
        <v>0</v>
      </c>
      <c r="F49" s="51" t="n">
        <v>0.802</v>
      </c>
    </row>
    <row r="51">
      <c r="A51" s="30" t="inlineStr">
        <is>
          <t>Asset Allocation:</t>
        </is>
      </c>
    </row>
    <row r="52">
      <c r="A52" t="inlineStr">
        <is>
          <t>Asset #1 - Building</t>
        </is>
      </c>
      <c r="B52" s="45" t="n">
        <v>282065.31</v>
      </c>
      <c r="C52" s="45" t="n">
        <v>55838.26</v>
      </c>
      <c r="F52" s="45" t="n">
        <v>226227.05</v>
      </c>
    </row>
    <row r="53">
      <c r="A53" t="inlineStr">
        <is>
          <t>Asset #5 - Building</t>
        </is>
      </c>
      <c r="B53" s="45" t="n">
        <v>513.71</v>
      </c>
      <c r="C53" s="45" t="n">
        <v>101.7</v>
      </c>
      <c r="F53" s="45" t="n">
        <v>412.01</v>
      </c>
    </row>
    <row r="54">
      <c r="A54" t="inlineStr">
        <is>
          <t>Asset #3 - Land Improvements</t>
        </is>
      </c>
      <c r="B54" s="45" t="n">
        <v>26609.91</v>
      </c>
      <c r="C54" s="45" t="n">
        <v>5267.76</v>
      </c>
      <c r="F54" s="45" t="n">
        <v>21342.15</v>
      </c>
    </row>
    <row r="55">
      <c r="A55" t="inlineStr">
        <is>
          <t>Asset #4 - Equipment</t>
        </is>
      </c>
      <c r="B55" s="45" t="n">
        <v>48200.59</v>
      </c>
      <c r="C55" s="45" t="n">
        <v>9541.879999999999</v>
      </c>
      <c r="F55" s="45" t="n">
        <v>38658.71</v>
      </c>
    </row>
    <row r="56">
      <c r="A56" s="43" t="inlineStr">
        <is>
          <t>Total Allocation:</t>
        </is>
      </c>
      <c r="B56" s="50" t="n">
        <v>357389.52</v>
      </c>
      <c r="C56" s="50" t="n">
        <v>70749.60000000001</v>
      </c>
      <c r="D56" s="37" t="n"/>
      <c r="E56" s="37" t="n"/>
      <c r="F56" s="50" t="n">
        <v>286639.92</v>
      </c>
      <c r="G56" s="37" t="n"/>
    </row>
    <row r="58">
      <c r="A58" s="30" t="inlineStr">
        <is>
          <t>End Depreciation Reconciliation</t>
        </is>
      </c>
    </row>
    <row r="59">
      <c r="A59" s="30" t="inlineStr">
        <is>
          <t>Before Cost Segregation (As Previously Filed)</t>
        </is>
      </c>
      <c r="B59" s="45" t="n">
        <v>156654.5</v>
      </c>
    </row>
    <row r="60">
      <c r="A60" s="30" t="inlineStr">
        <is>
          <t>After Cost Segregation (Corrected)</t>
        </is>
      </c>
      <c r="B60" s="45" t="n">
        <v>164992.09</v>
      </c>
    </row>
    <row r="61">
      <c r="A61" s="44" t="inlineStr">
        <is>
          <t>Section 481(a) Adjustment</t>
        </is>
      </c>
      <c r="B61" s="52" t="n">
        <v>-8337.59</v>
      </c>
      <c r="C61" s="40" t="n"/>
      <c r="D61" s="40" t="n"/>
      <c r="E61" s="40" t="n"/>
      <c r="F61" s="40" t="n"/>
      <c r="G61" s="40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14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7759.94</v>
      </c>
      <c r="C16" s="45" t="n">
        <v>7759.94</v>
      </c>
    </row>
    <row r="17">
      <c r="A17" t="inlineStr">
        <is>
          <t>Moldings</t>
        </is>
      </c>
      <c r="B17" s="45" t="n">
        <v>4601.14</v>
      </c>
      <c r="C17" s="45" t="n">
        <v>4601.14</v>
      </c>
    </row>
    <row r="18">
      <c r="A18" t="inlineStr">
        <is>
          <t>Flooring - Vinyl Plank</t>
        </is>
      </c>
      <c r="B18" s="45" t="n">
        <v>18695.69</v>
      </c>
      <c r="C18" s="45" t="n">
        <v>18695.69</v>
      </c>
    </row>
    <row r="19">
      <c r="A19" t="inlineStr">
        <is>
          <t>Window Treatments</t>
        </is>
      </c>
      <c r="B19" s="45" t="n">
        <v>2235.2</v>
      </c>
      <c r="C19" s="45" t="n">
        <v>2235.2</v>
      </c>
    </row>
    <row r="20">
      <c r="A20" t="inlineStr">
        <is>
          <t>Specialty HVAC - Dryer Vents</t>
        </is>
      </c>
      <c r="B20" s="45" t="n">
        <v>274.94</v>
      </c>
      <c r="C20" s="45" t="n">
        <v>274.94</v>
      </c>
    </row>
    <row r="21">
      <c r="A21" t="inlineStr">
        <is>
          <t>Building Signage</t>
        </is>
      </c>
      <c r="B21" s="45" t="n">
        <v>120.68</v>
      </c>
      <c r="C21" s="45" t="n">
        <v>120.68</v>
      </c>
    </row>
    <row r="22">
      <c r="A22" t="inlineStr">
        <is>
          <t>Specialty Electrical - Appliances</t>
        </is>
      </c>
      <c r="B22" s="45" t="n">
        <v>4471.440000000001</v>
      </c>
      <c r="C22" s="45" t="n">
        <v>4471.440000000001</v>
      </c>
    </row>
    <row r="23">
      <c r="A23" t="inlineStr">
        <is>
          <t>Communication / Data</t>
        </is>
      </c>
      <c r="B23" s="45" t="n">
        <v>1633.14</v>
      </c>
      <c r="C23" s="45" t="n">
        <v>1633.14</v>
      </c>
    </row>
    <row r="24">
      <c r="A24" t="inlineStr">
        <is>
          <t>Specialty Plumbing - Kitchen Sinks / Laundry</t>
        </is>
      </c>
      <c r="B24" s="45" t="n">
        <v>5141.110000000001</v>
      </c>
      <c r="C24" s="45" t="n">
        <v>5141.110000000001</v>
      </c>
    </row>
    <row r="25">
      <c r="A25" t="inlineStr">
        <is>
          <t>Security / Exterior Lighting</t>
        </is>
      </c>
      <c r="B25" s="45" t="n">
        <v>1534.74</v>
      </c>
      <c r="C25" s="45" t="n">
        <v>1534.74</v>
      </c>
    </row>
    <row r="26">
      <c r="A26" t="inlineStr">
        <is>
          <t>Access Control</t>
        </is>
      </c>
      <c r="B26" s="45" t="n">
        <v>64.8</v>
      </c>
      <c r="C26" s="45" t="n">
        <v>64.8</v>
      </c>
    </row>
    <row r="27">
      <c r="A27" t="inlineStr">
        <is>
          <t>Appliances</t>
        </is>
      </c>
      <c r="B27" s="45" t="n">
        <v>5524.320000000001</v>
      </c>
      <c r="C27" s="45" t="n">
        <v>5524.320000000001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10400.92</v>
      </c>
      <c r="F30" s="45" t="n">
        <v>10400.92</v>
      </c>
    </row>
    <row r="31">
      <c r="A31" t="inlineStr">
        <is>
          <t>Foundations</t>
        </is>
      </c>
      <c r="B31" s="45" t="n">
        <v>19732.45</v>
      </c>
      <c r="F31" s="45" t="n">
        <v>19732.45</v>
      </c>
    </row>
    <row r="32">
      <c r="A32" t="inlineStr">
        <is>
          <t>HVAC</t>
        </is>
      </c>
      <c r="B32" s="45" t="n">
        <v>18076.85</v>
      </c>
      <c r="F32" s="45" t="n">
        <v>18076.85</v>
      </c>
    </row>
    <row r="33">
      <c r="A33" t="inlineStr">
        <is>
          <t>Electrical</t>
        </is>
      </c>
      <c r="B33" s="45" t="n">
        <v>19867.9</v>
      </c>
      <c r="F33" s="45" t="n">
        <v>19867.9</v>
      </c>
    </row>
    <row r="34">
      <c r="A34" t="inlineStr">
        <is>
          <t>Plumbing</t>
        </is>
      </c>
      <c r="B34" s="45" t="n">
        <v>15953.11</v>
      </c>
      <c r="F34" s="45" t="n">
        <v>15953.11</v>
      </c>
    </row>
    <row r="35">
      <c r="A35" t="inlineStr">
        <is>
          <t>Fire Protection &amp; Alarm</t>
        </is>
      </c>
      <c r="B35" s="45" t="n">
        <v>1077</v>
      </c>
      <c r="F35" s="45" t="n">
        <v>1077</v>
      </c>
    </row>
    <row r="36">
      <c r="A36" t="inlineStr">
        <is>
          <t>Exterior Façade / Building Skin</t>
        </is>
      </c>
      <c r="B36" s="45" t="n">
        <v>24515.03</v>
      </c>
      <c r="F36" s="45" t="n">
        <v>24515.03</v>
      </c>
    </row>
    <row r="37">
      <c r="A37" t="inlineStr">
        <is>
          <t>Doors &amp; Frames</t>
        </is>
      </c>
      <c r="B37" s="45" t="n">
        <v>18444.72</v>
      </c>
      <c r="F37" s="45" t="n">
        <v>18444.72</v>
      </c>
    </row>
    <row r="38">
      <c r="A38" t="inlineStr">
        <is>
          <t>Windows</t>
        </is>
      </c>
      <c r="B38" s="45" t="n">
        <v>11037.53</v>
      </c>
      <c r="F38" s="45" t="n">
        <v>11037.53</v>
      </c>
    </row>
    <row r="39">
      <c r="A39" t="inlineStr">
        <is>
          <t>Ceiling Systems</t>
        </is>
      </c>
      <c r="B39" s="45" t="n">
        <v>8326.32</v>
      </c>
      <c r="F39" s="45" t="n">
        <v>8326.32</v>
      </c>
    </row>
    <row r="40">
      <c r="A40" t="inlineStr">
        <is>
          <t>Interior Framing / Partitions</t>
        </is>
      </c>
      <c r="B40" s="45" t="n">
        <v>20278.2</v>
      </c>
      <c r="F40" s="45" t="n">
        <v>20278.2</v>
      </c>
    </row>
    <row r="41">
      <c r="A41" t="inlineStr">
        <is>
          <t>Painting</t>
        </is>
      </c>
      <c r="B41" s="45" t="n">
        <v>8613.969999999999</v>
      </c>
      <c r="F41" s="45" t="n">
        <v>8613.969999999999</v>
      </c>
    </row>
    <row r="42">
      <c r="A42" t="inlineStr">
        <is>
          <t>Gutter Systems</t>
        </is>
      </c>
      <c r="B42" s="45" t="n">
        <v>1343.51</v>
      </c>
      <c r="F42" s="45" t="n">
        <v>1343.51</v>
      </c>
    </row>
    <row r="43">
      <c r="A43" t="inlineStr">
        <is>
          <t>Structural Framing</t>
        </is>
      </c>
      <c r="B43" s="45" t="n">
        <v>27755.49999999999</v>
      </c>
      <c r="F43" s="45" t="n">
        <v>27755.49999999999</v>
      </c>
    </row>
    <row r="44">
      <c r="A44" t="inlineStr">
        <is>
          <t>Stairs / Balconies</t>
        </is>
      </c>
      <c r="B44" s="45" t="n">
        <v>6811.28</v>
      </c>
      <c r="F44" s="45" t="n">
        <v>6811.28</v>
      </c>
    </row>
    <row r="45">
      <c r="A45" t="inlineStr">
        <is>
          <t>Bathroom Accessories</t>
        </is>
      </c>
      <c r="B45" s="45" t="n">
        <v>1999.53</v>
      </c>
      <c r="F45" s="45" t="n">
        <v>1999.53</v>
      </c>
    </row>
    <row r="46">
      <c r="A46" t="inlineStr">
        <is>
          <t>Cabinets / Millwork - Restrooms</t>
        </is>
      </c>
      <c r="B46" s="45" t="n">
        <v>2564.71</v>
      </c>
      <c r="F46" s="45" t="n">
        <v>2564.71</v>
      </c>
    </row>
    <row r="48">
      <c r="A48" s="43" t="inlineStr">
        <is>
          <t>Total Building Cost</t>
        </is>
      </c>
      <c r="B48" s="50" t="n">
        <v>268855.6700000001</v>
      </c>
      <c r="C48" s="50" t="n">
        <v>52057.14</v>
      </c>
      <c r="D48" s="37" t="n"/>
      <c r="E48" s="37" t="n"/>
      <c r="F48" s="50" t="n">
        <v>216798.53</v>
      </c>
      <c r="G48" s="37" t="n"/>
    </row>
    <row r="49">
      <c r="A49" t="inlineStr">
        <is>
          <t>% of Building Cost</t>
        </is>
      </c>
      <c r="C49" s="51" t="n">
        <v>0.194</v>
      </c>
      <c r="D49" s="51" t="n">
        <v>0</v>
      </c>
      <c r="E49" s="51" t="n">
        <v>0</v>
      </c>
      <c r="F49" s="51" t="n">
        <v>0.806</v>
      </c>
    </row>
    <row r="51">
      <c r="A51" s="30" t="inlineStr">
        <is>
          <t>Asset Allocation:</t>
        </is>
      </c>
    </row>
    <row r="52">
      <c r="A52" t="inlineStr">
        <is>
          <t>Asset #1 - Building</t>
        </is>
      </c>
      <c r="B52" s="45" t="n">
        <v>212191.05</v>
      </c>
      <c r="C52" s="45" t="n">
        <v>41085.46</v>
      </c>
      <c r="F52" s="45" t="n">
        <v>171105.59</v>
      </c>
    </row>
    <row r="53">
      <c r="A53" t="inlineStr">
        <is>
          <t>Asset #5 - Building</t>
        </is>
      </c>
      <c r="B53" s="45" t="n">
        <v>386.45</v>
      </c>
      <c r="C53" s="45" t="n">
        <v>74.83</v>
      </c>
      <c r="F53" s="45" t="n">
        <v>311.62</v>
      </c>
    </row>
    <row r="54">
      <c r="A54" t="inlineStr">
        <is>
          <t>Asset #3 - Land Improvements</t>
        </is>
      </c>
      <c r="B54" s="45" t="n">
        <v>20018</v>
      </c>
      <c r="C54" s="45" t="n">
        <v>3875.98</v>
      </c>
      <c r="F54" s="45" t="n">
        <v>16142.02</v>
      </c>
    </row>
    <row r="55">
      <c r="A55" t="inlineStr">
        <is>
          <t>Asset #4 - Equipment</t>
        </is>
      </c>
      <c r="B55" s="45" t="n">
        <v>36260.17</v>
      </c>
      <c r="C55" s="45" t="n">
        <v>7020.87</v>
      </c>
      <c r="F55" s="45" t="n">
        <v>29239.3</v>
      </c>
    </row>
    <row r="56">
      <c r="A56" s="43" t="inlineStr">
        <is>
          <t>Total Allocation:</t>
        </is>
      </c>
      <c r="B56" s="50" t="n">
        <v>268855.67</v>
      </c>
      <c r="C56" s="50" t="n">
        <v>52057.14</v>
      </c>
      <c r="D56" s="37" t="n"/>
      <c r="E56" s="37" t="n"/>
      <c r="F56" s="50" t="n">
        <v>216798.53</v>
      </c>
      <c r="G56" s="37" t="n"/>
    </row>
    <row r="58">
      <c r="A58" s="30" t="inlineStr">
        <is>
          <t>End Depreciation Reconciliation</t>
        </is>
      </c>
    </row>
    <row r="59">
      <c r="A59" s="30" t="inlineStr">
        <is>
          <t>Before Cost Segregation (As Previously Filed)</t>
        </is>
      </c>
      <c r="B59" s="45" t="n">
        <v>117847.47</v>
      </c>
    </row>
    <row r="60">
      <c r="A60" s="30" t="inlineStr">
        <is>
          <t>After Cost Segregation (Corrected)</t>
        </is>
      </c>
      <c r="B60" s="45" t="n">
        <v>123336.9</v>
      </c>
    </row>
    <row r="61">
      <c r="A61" s="44" t="inlineStr">
        <is>
          <t>Section 481(a) Adjustment</t>
        </is>
      </c>
      <c r="B61" s="52" t="n">
        <v>-5489.43</v>
      </c>
      <c r="C61" s="40" t="n"/>
      <c r="D61" s="40" t="n"/>
      <c r="E61" s="40" t="n"/>
      <c r="F61" s="40" t="n"/>
      <c r="G61" s="40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15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4785.17</v>
      </c>
      <c r="C16" s="45" t="n">
        <v>4785.17</v>
      </c>
    </row>
    <row r="17">
      <c r="A17" t="inlineStr">
        <is>
          <t>Moldings</t>
        </is>
      </c>
      <c r="B17" s="45" t="n">
        <v>1941.11</v>
      </c>
      <c r="C17" s="45" t="n">
        <v>1941.11</v>
      </c>
    </row>
    <row r="18">
      <c r="A18" t="inlineStr">
        <is>
          <t>Flooring - Vinyl Plank</t>
        </is>
      </c>
      <c r="B18" s="45" t="n">
        <v>7939.87</v>
      </c>
      <c r="C18" s="45" t="n">
        <v>7939.87</v>
      </c>
    </row>
    <row r="19">
      <c r="A19" t="inlineStr">
        <is>
          <t>Window Treatments</t>
        </is>
      </c>
      <c r="B19" s="45" t="n">
        <v>428.8200000000001</v>
      </c>
      <c r="C19" s="45" t="n">
        <v>428.8200000000001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693.58</v>
      </c>
      <c r="C23" s="45" t="n">
        <v>693.58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758.8499999999999</v>
      </c>
      <c r="C25" s="45" t="n">
        <v>758.8499999999999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6281.12</v>
      </c>
      <c r="F30" s="45" t="n">
        <v>6281.12</v>
      </c>
    </row>
    <row r="31">
      <c r="A31" t="inlineStr">
        <is>
          <t>Foundations</t>
        </is>
      </c>
      <c r="B31" s="45" t="n">
        <v>12157.7</v>
      </c>
      <c r="F31" s="45" t="n">
        <v>12157.7</v>
      </c>
    </row>
    <row r="32">
      <c r="A32" t="inlineStr">
        <is>
          <t>HVAC</t>
        </is>
      </c>
      <c r="B32" s="45" t="n">
        <v>7610.530000000001</v>
      </c>
      <c r="F32" s="45" t="n">
        <v>7610.530000000001</v>
      </c>
    </row>
    <row r="33">
      <c r="A33" t="inlineStr">
        <is>
          <t>Electrical</t>
        </is>
      </c>
      <c r="B33" s="45" t="n">
        <v>8437.690000000001</v>
      </c>
      <c r="F33" s="45" t="n">
        <v>8437.690000000001</v>
      </c>
    </row>
    <row r="34">
      <c r="A34" t="inlineStr">
        <is>
          <t>Plumbing</t>
        </is>
      </c>
      <c r="B34" s="45" t="n">
        <v>6775.13</v>
      </c>
      <c r="F34" s="45" t="n">
        <v>6775.13</v>
      </c>
    </row>
    <row r="35">
      <c r="A35" t="inlineStr">
        <is>
          <t>Fire Protection &amp; Alarm</t>
        </is>
      </c>
      <c r="B35" s="45" t="n">
        <v>378.96</v>
      </c>
      <c r="F35" s="45" t="n">
        <v>378.96</v>
      </c>
    </row>
    <row r="36">
      <c r="A36" t="inlineStr">
        <is>
          <t>Exterior Façade / Building Skin</t>
        </is>
      </c>
      <c r="B36" s="45" t="n">
        <v>10712.7</v>
      </c>
      <c r="F36" s="45" t="n">
        <v>10712.7</v>
      </c>
    </row>
    <row r="37">
      <c r="A37" t="inlineStr">
        <is>
          <t>Doors &amp; Frames</t>
        </is>
      </c>
      <c r="B37" s="45" t="n">
        <v>5035.68</v>
      </c>
      <c r="F37" s="45" t="n">
        <v>5035.68</v>
      </c>
    </row>
    <row r="38">
      <c r="A38" t="inlineStr">
        <is>
          <t>Windows</t>
        </is>
      </c>
      <c r="B38" s="45" t="n">
        <v>2117.51</v>
      </c>
      <c r="F38" s="45" t="n">
        <v>2117.51</v>
      </c>
    </row>
    <row r="39">
      <c r="A39" t="inlineStr">
        <is>
          <t>Ceiling Systems</t>
        </is>
      </c>
      <c r="B39" s="45" t="n">
        <v>3536.09</v>
      </c>
      <c r="F39" s="45" t="n">
        <v>3536.09</v>
      </c>
    </row>
    <row r="40">
      <c r="A40" t="inlineStr">
        <is>
          <t>Interior Framing / Partitions</t>
        </is>
      </c>
      <c r="B40" s="45" t="n">
        <v>8613.790000000001</v>
      </c>
      <c r="F40" s="45" t="n">
        <v>8613.790000000001</v>
      </c>
    </row>
    <row r="41">
      <c r="A41" t="inlineStr">
        <is>
          <t>Painting</t>
        </is>
      </c>
      <c r="B41" s="45" t="n">
        <v>3604.7</v>
      </c>
      <c r="F41" s="45" t="n">
        <v>3604.7</v>
      </c>
    </row>
    <row r="42">
      <c r="A42" t="inlineStr">
        <is>
          <t>Gutter Systems</t>
        </is>
      </c>
      <c r="B42" s="45" t="n">
        <v>868.78</v>
      </c>
      <c r="F42" s="45" t="n">
        <v>868.78</v>
      </c>
    </row>
    <row r="43">
      <c r="A43" t="inlineStr">
        <is>
          <t>Structural Framing</t>
        </is>
      </c>
      <c r="B43" s="45" t="n">
        <v>10912.49</v>
      </c>
      <c r="F43" s="45" t="n">
        <v>10912.49</v>
      </c>
    </row>
    <row r="44">
      <c r="A44" t="inlineStr">
        <is>
          <t>Bathroom Accessories</t>
        </is>
      </c>
      <c r="B44" s="45" t="n">
        <v>662.8</v>
      </c>
      <c r="F44" s="45" t="n">
        <v>662.8</v>
      </c>
    </row>
    <row r="45">
      <c r="A45" t="inlineStr">
        <is>
          <t>Cabinets / Millwork - Restrooms</t>
        </is>
      </c>
      <c r="B45" s="45" t="n">
        <v>811.5699999999999</v>
      </c>
      <c r="F45" s="45" t="n">
        <v>811.5699999999999</v>
      </c>
    </row>
    <row r="47">
      <c r="A47" s="43" t="inlineStr">
        <is>
          <t>Total Building Cost</t>
        </is>
      </c>
      <c r="B47" s="50" t="n">
        <v>115479.14</v>
      </c>
      <c r="C47" s="50" t="n">
        <v>26961.9</v>
      </c>
      <c r="D47" s="37" t="n"/>
      <c r="E47" s="37" t="n"/>
      <c r="F47" s="50" t="n">
        <v>88517.24000000001</v>
      </c>
      <c r="G47" s="37" t="n"/>
    </row>
    <row r="48">
      <c r="A48" t="inlineStr">
        <is>
          <t>% of Building Cost</t>
        </is>
      </c>
      <c r="C48" s="51" t="n">
        <v>0.233</v>
      </c>
      <c r="D48" s="51" t="n">
        <v>0</v>
      </c>
      <c r="E48" s="51" t="n">
        <v>0</v>
      </c>
      <c r="F48" s="51" t="n">
        <v>0.767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91140.5</v>
      </c>
      <c r="C51" s="45" t="n">
        <v>21279.35</v>
      </c>
      <c r="F51" s="45" t="n">
        <v>69861.14999999999</v>
      </c>
    </row>
    <row r="52">
      <c r="A52" t="inlineStr">
        <is>
          <t>Asset #5 - Building</t>
        </is>
      </c>
      <c r="B52" s="45" t="n">
        <v>165.99</v>
      </c>
      <c r="C52" s="45" t="n">
        <v>38.76</v>
      </c>
      <c r="F52" s="45" t="n">
        <v>127.23</v>
      </c>
    </row>
    <row r="53">
      <c r="A53" t="inlineStr">
        <is>
          <t>Asset #3 - Land Improvements</t>
        </is>
      </c>
      <c r="B53" s="45" t="n">
        <v>8598.15</v>
      </c>
      <c r="C53" s="45" t="n">
        <v>2007.48</v>
      </c>
      <c r="F53" s="45" t="n">
        <v>6590.67</v>
      </c>
    </row>
    <row r="54">
      <c r="A54" t="inlineStr">
        <is>
          <t>Asset #4 - Equipment</t>
        </is>
      </c>
      <c r="B54" s="45" t="n">
        <v>15574.5</v>
      </c>
      <c r="C54" s="45" t="n">
        <v>3636.31</v>
      </c>
      <c r="F54" s="45" t="n">
        <v>11938.19</v>
      </c>
    </row>
    <row r="55">
      <c r="A55" s="43" t="inlineStr">
        <is>
          <t>Total Allocation:</t>
        </is>
      </c>
      <c r="B55" s="50" t="n">
        <v>115479.14</v>
      </c>
      <c r="C55" s="50" t="n">
        <v>26961.9</v>
      </c>
      <c r="D55" s="37" t="n"/>
      <c r="E55" s="37" t="n"/>
      <c r="F55" s="50" t="n">
        <v>88517.24000000001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50617.97</v>
      </c>
    </row>
    <row r="59">
      <c r="A59" s="30" t="inlineStr">
        <is>
          <t>After Cost Segregation (Corrected)</t>
        </is>
      </c>
      <c r="B59" s="45" t="n">
        <v>56065.03</v>
      </c>
    </row>
    <row r="60">
      <c r="A60" s="44" t="inlineStr">
        <is>
          <t>Section 481(a) Adjustment</t>
        </is>
      </c>
      <c r="B60" s="52" t="n">
        <v>-5447.06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16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17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18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4785.17</v>
      </c>
      <c r="C16" s="45" t="n">
        <v>4785.17</v>
      </c>
    </row>
    <row r="17">
      <c r="A17" t="inlineStr">
        <is>
          <t>Moldings</t>
        </is>
      </c>
      <c r="B17" s="45" t="n">
        <v>1941.11</v>
      </c>
      <c r="C17" s="45" t="n">
        <v>1941.11</v>
      </c>
    </row>
    <row r="18">
      <c r="A18" t="inlineStr">
        <is>
          <t>Flooring - Vinyl Plank</t>
        </is>
      </c>
      <c r="B18" s="45" t="n">
        <v>7939.87</v>
      </c>
      <c r="C18" s="45" t="n">
        <v>7939.87</v>
      </c>
    </row>
    <row r="19">
      <c r="A19" t="inlineStr">
        <is>
          <t>Window Treatments</t>
        </is>
      </c>
      <c r="B19" s="45" t="n">
        <v>428.8200000000001</v>
      </c>
      <c r="C19" s="45" t="n">
        <v>428.8200000000001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693.58</v>
      </c>
      <c r="C23" s="45" t="n">
        <v>693.58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758.8499999999999</v>
      </c>
      <c r="C25" s="45" t="n">
        <v>758.8499999999999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6281.12</v>
      </c>
      <c r="F30" s="45" t="n">
        <v>6281.12</v>
      </c>
    </row>
    <row r="31">
      <c r="A31" t="inlineStr">
        <is>
          <t>Foundations</t>
        </is>
      </c>
      <c r="B31" s="45" t="n">
        <v>12157.7</v>
      </c>
      <c r="F31" s="45" t="n">
        <v>12157.7</v>
      </c>
    </row>
    <row r="32">
      <c r="A32" t="inlineStr">
        <is>
          <t>HVAC</t>
        </is>
      </c>
      <c r="B32" s="45" t="n">
        <v>7610.530000000001</v>
      </c>
      <c r="F32" s="45" t="n">
        <v>7610.530000000001</v>
      </c>
    </row>
    <row r="33">
      <c r="A33" t="inlineStr">
        <is>
          <t>Electrical</t>
        </is>
      </c>
      <c r="B33" s="45" t="n">
        <v>8437.690000000001</v>
      </c>
      <c r="F33" s="45" t="n">
        <v>8437.690000000001</v>
      </c>
    </row>
    <row r="34">
      <c r="A34" t="inlineStr">
        <is>
          <t>Plumbing</t>
        </is>
      </c>
      <c r="B34" s="45" t="n">
        <v>6775.13</v>
      </c>
      <c r="F34" s="45" t="n">
        <v>6775.13</v>
      </c>
    </row>
    <row r="35">
      <c r="A35" t="inlineStr">
        <is>
          <t>Fire Protection &amp; Alarm</t>
        </is>
      </c>
      <c r="B35" s="45" t="n">
        <v>378.96</v>
      </c>
      <c r="F35" s="45" t="n">
        <v>378.96</v>
      </c>
    </row>
    <row r="36">
      <c r="A36" t="inlineStr">
        <is>
          <t>Exterior Façade / Building Skin</t>
        </is>
      </c>
      <c r="B36" s="45" t="n">
        <v>10712.7</v>
      </c>
      <c r="F36" s="45" t="n">
        <v>10712.7</v>
      </c>
    </row>
    <row r="37">
      <c r="A37" t="inlineStr">
        <is>
          <t>Doors &amp; Frames</t>
        </is>
      </c>
      <c r="B37" s="45" t="n">
        <v>5035.68</v>
      </c>
      <c r="F37" s="45" t="n">
        <v>5035.68</v>
      </c>
    </row>
    <row r="38">
      <c r="A38" t="inlineStr">
        <is>
          <t>Windows</t>
        </is>
      </c>
      <c r="B38" s="45" t="n">
        <v>2117.51</v>
      </c>
      <c r="F38" s="45" t="n">
        <v>2117.51</v>
      </c>
    </row>
    <row r="39">
      <c r="A39" t="inlineStr">
        <is>
          <t>Ceiling Systems</t>
        </is>
      </c>
      <c r="B39" s="45" t="n">
        <v>3536.09</v>
      </c>
      <c r="F39" s="45" t="n">
        <v>3536.09</v>
      </c>
    </row>
    <row r="40">
      <c r="A40" t="inlineStr">
        <is>
          <t>Interior Framing / Partitions</t>
        </is>
      </c>
      <c r="B40" s="45" t="n">
        <v>8613.790000000001</v>
      </c>
      <c r="F40" s="45" t="n">
        <v>8613.790000000001</v>
      </c>
    </row>
    <row r="41">
      <c r="A41" t="inlineStr">
        <is>
          <t>Painting</t>
        </is>
      </c>
      <c r="B41" s="45" t="n">
        <v>3604.7</v>
      </c>
      <c r="F41" s="45" t="n">
        <v>3604.7</v>
      </c>
    </row>
    <row r="42">
      <c r="A42" t="inlineStr">
        <is>
          <t>Gutter Systems</t>
        </is>
      </c>
      <c r="B42" s="45" t="n">
        <v>868.78</v>
      </c>
      <c r="F42" s="45" t="n">
        <v>868.78</v>
      </c>
    </row>
    <row r="43">
      <c r="A43" t="inlineStr">
        <is>
          <t>Structural Framing</t>
        </is>
      </c>
      <c r="B43" s="45" t="n">
        <v>10912.49</v>
      </c>
      <c r="F43" s="45" t="n">
        <v>10912.49</v>
      </c>
    </row>
    <row r="44">
      <c r="A44" t="inlineStr">
        <is>
          <t>Bathroom Accessories</t>
        </is>
      </c>
      <c r="B44" s="45" t="n">
        <v>662.8</v>
      </c>
      <c r="F44" s="45" t="n">
        <v>662.8</v>
      </c>
    </row>
    <row r="45">
      <c r="A45" t="inlineStr">
        <is>
          <t>Cabinets / Millwork - Restrooms</t>
        </is>
      </c>
      <c r="B45" s="45" t="n">
        <v>811.5699999999999</v>
      </c>
      <c r="F45" s="45" t="n">
        <v>811.5699999999999</v>
      </c>
    </row>
    <row r="47">
      <c r="A47" s="43" t="inlineStr">
        <is>
          <t>Total Building Cost</t>
        </is>
      </c>
      <c r="B47" s="50" t="n">
        <v>115479.14</v>
      </c>
      <c r="C47" s="50" t="n">
        <v>26961.9</v>
      </c>
      <c r="D47" s="37" t="n"/>
      <c r="E47" s="37" t="n"/>
      <c r="F47" s="50" t="n">
        <v>88517.24000000001</v>
      </c>
      <c r="G47" s="37" t="n"/>
    </row>
    <row r="48">
      <c r="A48" t="inlineStr">
        <is>
          <t>% of Building Cost</t>
        </is>
      </c>
      <c r="C48" s="51" t="n">
        <v>0.233</v>
      </c>
      <c r="D48" s="51" t="n">
        <v>0</v>
      </c>
      <c r="E48" s="51" t="n">
        <v>0</v>
      </c>
      <c r="F48" s="51" t="n">
        <v>0.767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91140.5</v>
      </c>
      <c r="C51" s="45" t="n">
        <v>21279.35</v>
      </c>
      <c r="F51" s="45" t="n">
        <v>69861.14999999999</v>
      </c>
    </row>
    <row r="52">
      <c r="A52" t="inlineStr">
        <is>
          <t>Asset #5 - Building</t>
        </is>
      </c>
      <c r="B52" s="45" t="n">
        <v>165.99</v>
      </c>
      <c r="C52" s="45" t="n">
        <v>38.76</v>
      </c>
      <c r="F52" s="45" t="n">
        <v>127.23</v>
      </c>
    </row>
    <row r="53">
      <c r="A53" t="inlineStr">
        <is>
          <t>Asset #3 - Land Improvements</t>
        </is>
      </c>
      <c r="B53" s="45" t="n">
        <v>8598.15</v>
      </c>
      <c r="C53" s="45" t="n">
        <v>2007.48</v>
      </c>
      <c r="F53" s="45" t="n">
        <v>6590.67</v>
      </c>
    </row>
    <row r="54">
      <c r="A54" t="inlineStr">
        <is>
          <t>Asset #4 - Equipment</t>
        </is>
      </c>
      <c r="B54" s="45" t="n">
        <v>15574.5</v>
      </c>
      <c r="C54" s="45" t="n">
        <v>3636.31</v>
      </c>
      <c r="F54" s="45" t="n">
        <v>11938.19</v>
      </c>
    </row>
    <row r="55">
      <c r="A55" s="43" t="inlineStr">
        <is>
          <t>Total Allocation:</t>
        </is>
      </c>
      <c r="B55" s="50" t="n">
        <v>115479.14</v>
      </c>
      <c r="C55" s="50" t="n">
        <v>26961.9</v>
      </c>
      <c r="D55" s="37" t="n"/>
      <c r="E55" s="37" t="n"/>
      <c r="F55" s="50" t="n">
        <v>88517.24000000001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50617.97</v>
      </c>
    </row>
    <row r="59">
      <c r="A59" s="30" t="inlineStr">
        <is>
          <t>After Cost Segregation (Corrected)</t>
        </is>
      </c>
      <c r="B59" s="45" t="n">
        <v>56065.03</v>
      </c>
    </row>
    <row r="60">
      <c r="A60" s="44" t="inlineStr">
        <is>
          <t>Section 481(a) Adjustment</t>
        </is>
      </c>
      <c r="B60" s="52" t="n">
        <v>-5447.06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19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20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4785.17</v>
      </c>
      <c r="C16" s="45" t="n">
        <v>4785.17</v>
      </c>
    </row>
    <row r="17">
      <c r="A17" t="inlineStr">
        <is>
          <t>Moldings</t>
        </is>
      </c>
      <c r="B17" s="45" t="n">
        <v>1941.11</v>
      </c>
      <c r="C17" s="45" t="n">
        <v>1941.11</v>
      </c>
    </row>
    <row r="18">
      <c r="A18" t="inlineStr">
        <is>
          <t>Flooring - Vinyl Plank</t>
        </is>
      </c>
      <c r="B18" s="45" t="n">
        <v>7939.87</v>
      </c>
      <c r="C18" s="45" t="n">
        <v>7939.87</v>
      </c>
    </row>
    <row r="19">
      <c r="A19" t="inlineStr">
        <is>
          <t>Window Treatments</t>
        </is>
      </c>
      <c r="B19" s="45" t="n">
        <v>428.8200000000001</v>
      </c>
      <c r="C19" s="45" t="n">
        <v>428.8200000000001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693.58</v>
      </c>
      <c r="C23" s="45" t="n">
        <v>693.58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758.8499999999999</v>
      </c>
      <c r="C25" s="45" t="n">
        <v>758.8499999999999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6281.12</v>
      </c>
      <c r="F30" s="45" t="n">
        <v>6281.12</v>
      </c>
    </row>
    <row r="31">
      <c r="A31" t="inlineStr">
        <is>
          <t>Foundations</t>
        </is>
      </c>
      <c r="B31" s="45" t="n">
        <v>12157.7</v>
      </c>
      <c r="F31" s="45" t="n">
        <v>12157.7</v>
      </c>
    </row>
    <row r="32">
      <c r="A32" t="inlineStr">
        <is>
          <t>HVAC</t>
        </is>
      </c>
      <c r="B32" s="45" t="n">
        <v>7610.530000000001</v>
      </c>
      <c r="F32" s="45" t="n">
        <v>7610.530000000001</v>
      </c>
    </row>
    <row r="33">
      <c r="A33" t="inlineStr">
        <is>
          <t>Electrical</t>
        </is>
      </c>
      <c r="B33" s="45" t="n">
        <v>8437.690000000001</v>
      </c>
      <c r="F33" s="45" t="n">
        <v>8437.690000000001</v>
      </c>
    </row>
    <row r="34">
      <c r="A34" t="inlineStr">
        <is>
          <t>Plumbing</t>
        </is>
      </c>
      <c r="B34" s="45" t="n">
        <v>6775.13</v>
      </c>
      <c r="F34" s="45" t="n">
        <v>6775.13</v>
      </c>
    </row>
    <row r="35">
      <c r="A35" t="inlineStr">
        <is>
          <t>Fire Protection &amp; Alarm</t>
        </is>
      </c>
      <c r="B35" s="45" t="n">
        <v>378.96</v>
      </c>
      <c r="F35" s="45" t="n">
        <v>378.96</v>
      </c>
    </row>
    <row r="36">
      <c r="A36" t="inlineStr">
        <is>
          <t>Exterior Façade / Building Skin</t>
        </is>
      </c>
      <c r="B36" s="45" t="n">
        <v>10712.7</v>
      </c>
      <c r="F36" s="45" t="n">
        <v>10712.7</v>
      </c>
    </row>
    <row r="37">
      <c r="A37" t="inlineStr">
        <is>
          <t>Doors &amp; Frames</t>
        </is>
      </c>
      <c r="B37" s="45" t="n">
        <v>5035.68</v>
      </c>
      <c r="F37" s="45" t="n">
        <v>5035.68</v>
      </c>
    </row>
    <row r="38">
      <c r="A38" t="inlineStr">
        <is>
          <t>Windows</t>
        </is>
      </c>
      <c r="B38" s="45" t="n">
        <v>2117.51</v>
      </c>
      <c r="F38" s="45" t="n">
        <v>2117.51</v>
      </c>
    </row>
    <row r="39">
      <c r="A39" t="inlineStr">
        <is>
          <t>Ceiling Systems</t>
        </is>
      </c>
      <c r="B39" s="45" t="n">
        <v>3536.09</v>
      </c>
      <c r="F39" s="45" t="n">
        <v>3536.09</v>
      </c>
    </row>
    <row r="40">
      <c r="A40" t="inlineStr">
        <is>
          <t>Interior Framing / Partitions</t>
        </is>
      </c>
      <c r="B40" s="45" t="n">
        <v>8613.790000000001</v>
      </c>
      <c r="F40" s="45" t="n">
        <v>8613.790000000001</v>
      </c>
    </row>
    <row r="41">
      <c r="A41" t="inlineStr">
        <is>
          <t>Painting</t>
        </is>
      </c>
      <c r="B41" s="45" t="n">
        <v>3604.7</v>
      </c>
      <c r="F41" s="45" t="n">
        <v>3604.7</v>
      </c>
    </row>
    <row r="42">
      <c r="A42" t="inlineStr">
        <is>
          <t>Gutter Systems</t>
        </is>
      </c>
      <c r="B42" s="45" t="n">
        <v>868.78</v>
      </c>
      <c r="F42" s="45" t="n">
        <v>868.78</v>
      </c>
    </row>
    <row r="43">
      <c r="A43" t="inlineStr">
        <is>
          <t>Structural Framing</t>
        </is>
      </c>
      <c r="B43" s="45" t="n">
        <v>10912.49</v>
      </c>
      <c r="F43" s="45" t="n">
        <v>10912.49</v>
      </c>
    </row>
    <row r="44">
      <c r="A44" t="inlineStr">
        <is>
          <t>Bathroom Accessories</t>
        </is>
      </c>
      <c r="B44" s="45" t="n">
        <v>662.8</v>
      </c>
      <c r="F44" s="45" t="n">
        <v>662.8</v>
      </c>
    </row>
    <row r="45">
      <c r="A45" t="inlineStr">
        <is>
          <t>Cabinets / Millwork - Restrooms</t>
        </is>
      </c>
      <c r="B45" s="45" t="n">
        <v>811.5699999999999</v>
      </c>
      <c r="F45" s="45" t="n">
        <v>811.5699999999999</v>
      </c>
    </row>
    <row r="47">
      <c r="A47" s="43" t="inlineStr">
        <is>
          <t>Total Building Cost</t>
        </is>
      </c>
      <c r="B47" s="50" t="n">
        <v>115479.14</v>
      </c>
      <c r="C47" s="50" t="n">
        <v>26961.9</v>
      </c>
      <c r="D47" s="37" t="n"/>
      <c r="E47" s="37" t="n"/>
      <c r="F47" s="50" t="n">
        <v>88517.24000000001</v>
      </c>
      <c r="G47" s="37" t="n"/>
    </row>
    <row r="48">
      <c r="A48" t="inlineStr">
        <is>
          <t>% of Building Cost</t>
        </is>
      </c>
      <c r="C48" s="51" t="n">
        <v>0.233</v>
      </c>
      <c r="D48" s="51" t="n">
        <v>0</v>
      </c>
      <c r="E48" s="51" t="n">
        <v>0</v>
      </c>
      <c r="F48" s="51" t="n">
        <v>0.767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91140.5</v>
      </c>
      <c r="C51" s="45" t="n">
        <v>21279.35</v>
      </c>
      <c r="F51" s="45" t="n">
        <v>69861.14999999999</v>
      </c>
    </row>
    <row r="52">
      <c r="A52" t="inlineStr">
        <is>
          <t>Asset #5 - Building</t>
        </is>
      </c>
      <c r="B52" s="45" t="n">
        <v>165.99</v>
      </c>
      <c r="C52" s="45" t="n">
        <v>38.76</v>
      </c>
      <c r="F52" s="45" t="n">
        <v>127.23</v>
      </c>
    </row>
    <row r="53">
      <c r="A53" t="inlineStr">
        <is>
          <t>Asset #3 - Land Improvements</t>
        </is>
      </c>
      <c r="B53" s="45" t="n">
        <v>8598.15</v>
      </c>
      <c r="C53" s="45" t="n">
        <v>2007.48</v>
      </c>
      <c r="F53" s="45" t="n">
        <v>6590.67</v>
      </c>
    </row>
    <row r="54">
      <c r="A54" t="inlineStr">
        <is>
          <t>Asset #4 - Equipment</t>
        </is>
      </c>
      <c r="B54" s="45" t="n">
        <v>15574.5</v>
      </c>
      <c r="C54" s="45" t="n">
        <v>3636.31</v>
      </c>
      <c r="F54" s="45" t="n">
        <v>11938.19</v>
      </c>
    </row>
    <row r="55">
      <c r="A55" s="43" t="inlineStr">
        <is>
          <t>Total Allocation:</t>
        </is>
      </c>
      <c r="B55" s="50" t="n">
        <v>115479.14</v>
      </c>
      <c r="C55" s="50" t="n">
        <v>26961.9</v>
      </c>
      <c r="D55" s="37" t="n"/>
      <c r="E55" s="37" t="n"/>
      <c r="F55" s="50" t="n">
        <v>88517.24000000001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50617.97</v>
      </c>
    </row>
    <row r="59">
      <c r="A59" s="30" t="inlineStr">
        <is>
          <t>After Cost Segregation (Corrected)</t>
        </is>
      </c>
      <c r="B59" s="45" t="n">
        <v>56065.03</v>
      </c>
    </row>
    <row r="60">
      <c r="A60" s="44" t="inlineStr">
        <is>
          <t>Section 481(a) Adjustment</t>
        </is>
      </c>
      <c r="B60" s="52" t="n">
        <v>-5447.06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21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22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23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24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Building 25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7">
      <c r="A47" s="43" t="inlineStr">
        <is>
          <t>Total Building Cost</t>
        </is>
      </c>
      <c r="B47" s="50" t="n">
        <v>147893.47</v>
      </c>
      <c r="C47" s="50" t="n">
        <v>30900.04</v>
      </c>
      <c r="D47" s="37" t="n"/>
      <c r="E47" s="37" t="n"/>
      <c r="F47" s="50" t="n">
        <v>116993.43</v>
      </c>
      <c r="G47" s="37" t="n"/>
    </row>
    <row r="48">
      <c r="A48" t="inlineStr">
        <is>
          <t>% of Building Cost</t>
        </is>
      </c>
      <c r="C48" s="51" t="n">
        <v>0.209</v>
      </c>
      <c r="D48" s="51" t="n">
        <v>0</v>
      </c>
      <c r="E48" s="51" t="n">
        <v>0</v>
      </c>
      <c r="F48" s="51" t="n">
        <v>0.791</v>
      </c>
    </row>
    <row r="50">
      <c r="A50" s="30" t="inlineStr">
        <is>
          <t>Asset Allocation:</t>
        </is>
      </c>
    </row>
    <row r="51">
      <c r="A51" t="inlineStr">
        <is>
          <t>Asset #1 - Building</t>
        </is>
      </c>
      <c r="B51" s="45" t="n">
        <v>116723.12</v>
      </c>
      <c r="C51" s="45" t="n">
        <v>24387.48</v>
      </c>
      <c r="F51" s="45" t="n">
        <v>92335.64</v>
      </c>
    </row>
    <row r="52">
      <c r="A52" t="inlineStr">
        <is>
          <t>Asset #5 - Building</t>
        </is>
      </c>
      <c r="B52" s="45" t="n">
        <v>212.58</v>
      </c>
      <c r="C52" s="45" t="n">
        <v>44.42</v>
      </c>
      <c r="F52" s="45" t="n">
        <v>168.16</v>
      </c>
    </row>
    <row r="53">
      <c r="A53" t="inlineStr">
        <is>
          <t>Asset #3 - Land Improvements</t>
        </is>
      </c>
      <c r="B53" s="45" t="n">
        <v>11011.6</v>
      </c>
      <c r="C53" s="45" t="n">
        <v>2300.7</v>
      </c>
      <c r="F53" s="45" t="n">
        <v>8710.9</v>
      </c>
    </row>
    <row r="54">
      <c r="A54" t="inlineStr">
        <is>
          <t>Asset #4 - Equipment</t>
        </is>
      </c>
      <c r="B54" s="45" t="n">
        <v>19946.17</v>
      </c>
      <c r="C54" s="45" t="n">
        <v>4167.44</v>
      </c>
      <c r="F54" s="45" t="n">
        <v>15778.73</v>
      </c>
    </row>
    <row r="55">
      <c r="A55" s="43" t="inlineStr">
        <is>
          <t>Total Allocation:</t>
        </is>
      </c>
      <c r="B55" s="50" t="n">
        <v>147893.47</v>
      </c>
      <c r="C55" s="50" t="n">
        <v>30900.04</v>
      </c>
      <c r="D55" s="37" t="n"/>
      <c r="E55" s="37" t="n"/>
      <c r="F55" s="50" t="n">
        <v>116993.43</v>
      </c>
      <c r="G55" s="37" t="n"/>
    </row>
    <row r="57">
      <c r="A57" s="30" t="inlineStr">
        <is>
          <t>End Depreciation Reconciliation</t>
        </is>
      </c>
    </row>
    <row r="58">
      <c r="A58" s="30" t="inlineStr">
        <is>
          <t>Before Cost Segregation (As Previously Filed)</t>
        </is>
      </c>
      <c r="B58" s="45" t="n">
        <v>64826.13</v>
      </c>
    </row>
    <row r="59">
      <c r="A59" s="30" t="inlineStr">
        <is>
          <t>After Cost Segregation (Corrected)</t>
        </is>
      </c>
      <c r="B59" s="45" t="n">
        <v>69365.5</v>
      </c>
    </row>
    <row r="60">
      <c r="A60" s="44" t="inlineStr">
        <is>
          <t>Section 481(a) Adjustment</t>
        </is>
      </c>
      <c r="B60" s="52" t="n">
        <v>-4539.37</v>
      </c>
      <c r="C60" s="40" t="n"/>
      <c r="D60" s="40" t="n"/>
      <c r="E60" s="40" t="n"/>
      <c r="F60" s="40" t="n"/>
      <c r="G60" s="40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7">
      <c r="A7" t="inlineStr">
        <is>
          <t>Storage</t>
        </is>
      </c>
    </row>
    <row r="8">
      <c r="A8" t="inlineStr">
        <is>
          <t>Cost Segregation Study - Component Detail</t>
        </is>
      </c>
    </row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Security / Exterior Lighting</t>
        </is>
      </c>
      <c r="B16" s="45" t="n">
        <v>466.64</v>
      </c>
      <c r="C16" s="45" t="n">
        <v>466.64</v>
      </c>
    </row>
    <row r="18">
      <c r="A18" s="42" t="inlineStr">
        <is>
          <t>Building Structure</t>
        </is>
      </c>
      <c r="B18" s="34" t="n"/>
      <c r="C18" s="34" t="n"/>
      <c r="D18" s="34" t="n"/>
      <c r="E18" s="34" t="n"/>
      <c r="F18" s="34" t="n"/>
      <c r="G18" s="34" t="n"/>
    </row>
    <row r="19">
      <c r="A19" t="inlineStr">
        <is>
          <t>Roofing Systems</t>
        </is>
      </c>
      <c r="B19" s="45" t="n">
        <v>1166.22</v>
      </c>
      <c r="F19" s="45" t="n">
        <v>1166.22</v>
      </c>
    </row>
    <row r="20">
      <c r="A20" t="inlineStr">
        <is>
          <t>Foundations</t>
        </is>
      </c>
      <c r="B20" s="45" t="n">
        <v>2317.11</v>
      </c>
      <c r="F20" s="45" t="n">
        <v>2317.11</v>
      </c>
    </row>
    <row r="21">
      <c r="A21" t="inlineStr">
        <is>
          <t>Electrical</t>
        </is>
      </c>
      <c r="B21" s="45" t="n">
        <v>1596.01</v>
      </c>
      <c r="F21" s="45" t="n">
        <v>1596.01</v>
      </c>
    </row>
    <row r="22">
      <c r="A22" t="inlineStr">
        <is>
          <t>Plumbing</t>
        </is>
      </c>
      <c r="B22" s="45" t="n">
        <v>1281.52</v>
      </c>
      <c r="F22" s="45" t="n">
        <v>1281.52</v>
      </c>
    </row>
    <row r="23">
      <c r="A23" t="inlineStr">
        <is>
          <t>Exterior Façade / Building Skin</t>
        </is>
      </c>
      <c r="B23" s="45" t="n">
        <v>1142.2</v>
      </c>
      <c r="F23" s="45" t="n">
        <v>1142.2</v>
      </c>
    </row>
    <row r="24">
      <c r="A24" t="inlineStr">
        <is>
          <t>Doors &amp; Frames</t>
        </is>
      </c>
      <c r="B24" s="45" t="n">
        <v>1553.84</v>
      </c>
      <c r="F24" s="45" t="n">
        <v>1553.84</v>
      </c>
    </row>
    <row r="25">
      <c r="A25" t="inlineStr">
        <is>
          <t>Ceiling Systems</t>
        </is>
      </c>
      <c r="B25" s="45" t="n">
        <v>668.87</v>
      </c>
      <c r="F25" s="45" t="n">
        <v>668.87</v>
      </c>
    </row>
    <row r="26">
      <c r="A26" t="inlineStr">
        <is>
          <t>Interior Framing / Partitions</t>
        </is>
      </c>
      <c r="B26" s="45" t="n">
        <v>1942.61</v>
      </c>
      <c r="F26" s="45" t="n">
        <v>1942.61</v>
      </c>
    </row>
    <row r="27">
      <c r="A27" t="inlineStr">
        <is>
          <t>Painting</t>
        </is>
      </c>
      <c r="B27" s="45" t="n">
        <v>1009.44</v>
      </c>
      <c r="F27" s="45" t="n">
        <v>1009.44</v>
      </c>
    </row>
    <row r="28">
      <c r="A28" t="inlineStr">
        <is>
          <t>Gutter Systems</t>
        </is>
      </c>
      <c r="B28" s="45" t="n">
        <v>374.41</v>
      </c>
      <c r="F28" s="45" t="n">
        <v>374.41</v>
      </c>
    </row>
    <row r="29">
      <c r="A29" t="inlineStr">
        <is>
          <t>Structural Framing</t>
        </is>
      </c>
      <c r="B29" s="45" t="n">
        <v>2295.74</v>
      </c>
      <c r="F29" s="45" t="n">
        <v>2295.74</v>
      </c>
    </row>
    <row r="30">
      <c r="A30" t="inlineStr">
        <is>
          <t>Flooring - Sealed Concrete</t>
        </is>
      </c>
      <c r="B30" s="45" t="n">
        <v>167.22</v>
      </c>
      <c r="F30" s="45" t="n">
        <v>167.22</v>
      </c>
    </row>
    <row r="31">
      <c r="A31" t="inlineStr">
        <is>
          <t>Bathroom Accessories</t>
        </is>
      </c>
      <c r="B31" s="45" t="n">
        <v>399.61</v>
      </c>
      <c r="F31" s="45" t="n">
        <v>399.61</v>
      </c>
    </row>
    <row r="33">
      <c r="A33" s="43" t="inlineStr">
        <is>
          <t>Total Building Cost</t>
        </is>
      </c>
      <c r="B33" s="50" t="n">
        <v>16381.44</v>
      </c>
      <c r="C33" s="50" t="n">
        <v>466.64</v>
      </c>
      <c r="D33" s="37" t="n"/>
      <c r="E33" s="37" t="n"/>
      <c r="F33" s="50" t="n">
        <v>15914.8</v>
      </c>
      <c r="G33" s="37" t="n"/>
    </row>
    <row r="34">
      <c r="A34" t="inlineStr">
        <is>
          <t>% of Building Cost</t>
        </is>
      </c>
      <c r="C34" s="51" t="n">
        <v>0.028</v>
      </c>
      <c r="D34" s="51" t="n">
        <v>0</v>
      </c>
      <c r="E34" s="51" t="n">
        <v>0</v>
      </c>
      <c r="F34" s="51" t="n">
        <v>0.972</v>
      </c>
    </row>
    <row r="36">
      <c r="A36" s="30" t="inlineStr">
        <is>
          <t>Asset Allocation:</t>
        </is>
      </c>
    </row>
    <row r="37">
      <c r="A37" t="inlineStr">
        <is>
          <t>Asset #1 - Building</t>
        </is>
      </c>
      <c r="B37" s="45" t="n">
        <v>12928.85</v>
      </c>
      <c r="C37" s="45" t="n">
        <v>368.29</v>
      </c>
      <c r="F37" s="45" t="n">
        <v>12560.56</v>
      </c>
    </row>
    <row r="38">
      <c r="A38" t="inlineStr">
        <is>
          <t>Asset #5 - Building</t>
        </is>
      </c>
      <c r="B38" s="45" t="n">
        <v>23.55</v>
      </c>
      <c r="C38" s="45" t="n">
        <v>0.67</v>
      </c>
      <c r="F38" s="45" t="n">
        <v>22.88</v>
      </c>
    </row>
    <row r="39">
      <c r="A39" t="inlineStr">
        <is>
          <t>Asset #3 - Land Improvements</t>
        </is>
      </c>
      <c r="B39" s="45" t="n">
        <v>1219.7</v>
      </c>
      <c r="C39" s="45" t="n">
        <v>34.74</v>
      </c>
      <c r="F39" s="45" t="n">
        <v>1184.96</v>
      </c>
    </row>
    <row r="40">
      <c r="A40" t="inlineStr">
        <is>
          <t>Asset #4 - Equipment</t>
        </is>
      </c>
      <c r="B40" s="45" t="n">
        <v>2209.34</v>
      </c>
      <c r="C40" s="45" t="n">
        <v>62.94</v>
      </c>
      <c r="F40" s="45" t="n">
        <v>2146.4</v>
      </c>
    </row>
    <row r="41">
      <c r="A41" s="43" t="inlineStr">
        <is>
          <t>Total Allocation:</t>
        </is>
      </c>
      <c r="B41" s="50" t="n">
        <v>16381.44</v>
      </c>
      <c r="C41" s="50" t="n">
        <v>466.64</v>
      </c>
      <c r="D41" s="37" t="n"/>
      <c r="E41" s="37" t="n"/>
      <c r="F41" s="50" t="n">
        <v>15914.8</v>
      </c>
      <c r="G41" s="37" t="n"/>
    </row>
    <row r="43">
      <c r="A43" s="30" t="inlineStr">
        <is>
          <t>End Depreciation Reconciliation</t>
        </is>
      </c>
    </row>
    <row r="44">
      <c r="A44" s="30" t="inlineStr">
        <is>
          <t>Before Cost Segregation (As Previously Filed)</t>
        </is>
      </c>
      <c r="B44" s="45" t="n">
        <v>7180.48</v>
      </c>
    </row>
    <row r="45">
      <c r="A45" s="30" t="inlineStr">
        <is>
          <t>After Cost Segregation (Corrected)</t>
        </is>
      </c>
      <c r="B45" s="45" t="n">
        <v>5699.17</v>
      </c>
    </row>
    <row r="46">
      <c r="A46" s="44" t="inlineStr">
        <is>
          <t>Section 481(a) Adjustment</t>
        </is>
      </c>
      <c r="B46" s="52" t="n">
        <v>1481.31</v>
      </c>
      <c r="C46" s="40" t="n"/>
      <c r="D46" s="40" t="n"/>
      <c r="E46" s="40" t="n"/>
      <c r="F46" s="40" t="n"/>
      <c r="G46" s="4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2026-06-22T23:29:55Z</dcterms:created>
  <dcterms:modified xmlns:dcterms="http://purl.org/dc/terms/" xmlns:xsi="http://www.w3.org/2001/XMLSchema-instance" xsi:type="dcterms:W3CDTF">2026-06-23T21:17:34Z</dcterms:modified>
</cp:coreProperties>
</file>