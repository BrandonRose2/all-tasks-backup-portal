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aptrents-my.sharepoint.com/personal/brandon_apartmentcorp_com/Documents/"/>
    </mc:Choice>
  </mc:AlternateContent>
  <xr:revisionPtr revIDLastSave="90" documentId="8_{4D64CA55-D453-AF46-BFB3-B3ED7EAE096D}" xr6:coauthVersionLast="47" xr6:coauthVersionMax="47" xr10:uidLastSave="{4DF161DE-924B-4721-BFE7-CBE439C5FA90}"/>
  <bookViews>
    <workbookView xWindow="0" yWindow="800" windowWidth="34560" windowHeight="19960" firstSheet="2" xr2:uid="{00000000-000D-0000-FFFF-FFFF00000000}"/>
  </bookViews>
  <sheets>
    <sheet name="summary" sheetId="1" r:id="rId1"/>
    <sheet name="apt 1-16" sheetId="2" r:id="rId2"/>
    <sheet name="apt 17-32" sheetId="3" r:id="rId3"/>
    <sheet name="apt 33-48" sheetId="4" r:id="rId4"/>
    <sheet name="apt 49-64" sheetId="5" r:id="rId5"/>
    <sheet name="apt 65-80" sheetId="6" r:id="rId6"/>
    <sheet name="laundry 1" sheetId="7" r:id="rId7"/>
    <sheet name="laundry 2" sheetId="8" r:id="rId8"/>
    <sheet name="site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9" l="1"/>
  <c r="F38" i="9"/>
  <c r="B38" i="9"/>
  <c r="E32" i="9"/>
  <c r="F32" i="9"/>
  <c r="B32" i="9"/>
  <c r="F52" i="8"/>
  <c r="C52" i="8"/>
  <c r="B52" i="8"/>
  <c r="F51" i="7"/>
  <c r="C51" i="7"/>
  <c r="B51" i="7"/>
  <c r="F58" i="6"/>
  <c r="C58" i="6"/>
  <c r="B58" i="6"/>
  <c r="F58" i="5"/>
  <c r="C58" i="5"/>
  <c r="B58" i="5"/>
  <c r="F59" i="4"/>
  <c r="C59" i="4"/>
  <c r="B59" i="4"/>
  <c r="C58" i="2"/>
  <c r="F58" i="2"/>
  <c r="B58" i="2"/>
  <c r="C58" i="3"/>
  <c r="F58" i="3"/>
  <c r="B58" i="3"/>
  <c r="B65" i="3"/>
  <c r="O35" i="1"/>
  <c r="B45" i="9"/>
  <c r="B59" i="8"/>
  <c r="B58" i="7"/>
  <c r="B65" i="5"/>
  <c r="B66" i="4"/>
  <c r="B65" i="2"/>
  <c r="B65" i="6"/>
  <c r="B52" i="5"/>
  <c r="F53" i="4"/>
  <c r="C53" i="4"/>
  <c r="B53" i="4"/>
  <c r="F46" i="8"/>
  <c r="C46" i="8"/>
  <c r="B46" i="8"/>
  <c r="F45" i="7"/>
  <c r="C45" i="7"/>
  <c r="B45" i="7"/>
  <c r="F52" i="6"/>
  <c r="C52" i="6"/>
  <c r="B52" i="6"/>
  <c r="F52" i="5"/>
  <c r="C52" i="5"/>
  <c r="C52" i="3"/>
  <c r="F52" i="3"/>
  <c r="B52" i="3"/>
  <c r="F52" i="2"/>
  <c r="C52" i="2"/>
  <c r="B52" i="2"/>
  <c r="R17" i="1"/>
  <c r="S17" i="1"/>
  <c r="T17" i="1"/>
  <c r="U17" i="1"/>
  <c r="V17" i="1"/>
  <c r="W17" i="1"/>
  <c r="X17" i="1"/>
  <c r="Z17" i="1"/>
  <c r="Q17" i="1"/>
  <c r="M50" i="1"/>
  <c r="L50" i="1"/>
  <c r="K50" i="1"/>
  <c r="J50" i="1"/>
  <c r="I50" i="1"/>
  <c r="H50" i="1"/>
  <c r="G50" i="1"/>
  <c r="F50" i="1"/>
  <c r="O47" i="1"/>
  <c r="O46" i="1"/>
  <c r="O45" i="1"/>
  <c r="O44" i="1"/>
  <c r="O43" i="1"/>
  <c r="O42" i="1"/>
  <c r="O41" i="1"/>
  <c r="O40" i="1"/>
  <c r="O39" i="1"/>
  <c r="O50" i="1" s="1"/>
  <c r="M35" i="1"/>
  <c r="L35" i="1"/>
  <c r="K35" i="1"/>
  <c r="J35" i="1"/>
  <c r="I35" i="1"/>
  <c r="H35" i="1"/>
  <c r="G35" i="1"/>
  <c r="F35" i="1"/>
  <c r="M33" i="1"/>
  <c r="L33" i="1"/>
  <c r="K33" i="1"/>
  <c r="J33" i="1"/>
  <c r="I33" i="1"/>
  <c r="H33" i="1"/>
  <c r="G33" i="1"/>
  <c r="F33" i="1"/>
  <c r="O33" i="1" s="1"/>
  <c r="Z32" i="1"/>
  <c r="X32" i="1"/>
  <c r="W32" i="1"/>
  <c r="V32" i="1"/>
  <c r="U32" i="1"/>
  <c r="T32" i="1"/>
  <c r="S32" i="1"/>
  <c r="R32" i="1"/>
  <c r="Q32" i="1"/>
  <c r="O32" i="1"/>
  <c r="M32" i="1"/>
  <c r="L32" i="1"/>
  <c r="K32" i="1"/>
  <c r="J32" i="1"/>
  <c r="I32" i="1"/>
  <c r="H32" i="1"/>
  <c r="G32" i="1"/>
  <c r="F32" i="1"/>
  <c r="X16" i="1"/>
  <c r="W16" i="1"/>
  <c r="V16" i="1"/>
  <c r="U16" i="1"/>
  <c r="T16" i="1"/>
  <c r="S16" i="1"/>
  <c r="R16" i="1"/>
  <c r="Q16" i="1"/>
  <c r="O15" i="1"/>
  <c r="M15" i="1"/>
  <c r="L15" i="1"/>
  <c r="K15" i="1"/>
  <c r="J15" i="1"/>
  <c r="I15" i="1"/>
  <c r="H15" i="1"/>
  <c r="G15" i="1"/>
  <c r="F15" i="1"/>
</calcChain>
</file>

<file path=xl/sharedStrings.xml><?xml version="1.0" encoding="utf-8"?>
<sst xmlns="http://schemas.openxmlformats.org/spreadsheetml/2006/main" count="481" uniqueCount="122">
  <si>
    <t>Granite Ridge, LLC</t>
  </si>
  <si>
    <t>Summary of Cost Seg Adjustments</t>
  </si>
  <si>
    <t>As of December 31, 2024</t>
  </si>
  <si>
    <t>end deprec</t>
  </si>
  <si>
    <t>Acq Date</t>
  </si>
  <si>
    <t>Asset Description</t>
  </si>
  <si>
    <t>#</t>
  </si>
  <si>
    <t>apt 1-16</t>
  </si>
  <si>
    <t>apt 17-32</t>
  </si>
  <si>
    <t>apt 33-48</t>
  </si>
  <si>
    <t>apt 49-64</t>
  </si>
  <si>
    <t>apt 65-80</t>
  </si>
  <si>
    <t>laundry 1</t>
  </si>
  <si>
    <t>laundry 2</t>
  </si>
  <si>
    <t>site</t>
  </si>
  <si>
    <t>total cost</t>
  </si>
  <si>
    <t>total</t>
  </si>
  <si>
    <t>12/31/21</t>
  </si>
  <si>
    <t>2- Building - Granite Ridge, LLC</t>
  </si>
  <si>
    <t>4- Equipment - Granite Ridge, LLC</t>
  </si>
  <si>
    <t>5- Land Improvements - Granite Ridge, LLC</t>
  </si>
  <si>
    <t>Total</t>
  </si>
  <si>
    <t>MACRS Reclassification</t>
  </si>
  <si>
    <t>2 - Building - Granite Ridge, LLC - 5yr</t>
  </si>
  <si>
    <t>2 - Building - Granite Ridge, LLC - Site - 15yr</t>
  </si>
  <si>
    <t>2 - Building - Granite Ridge, LLC - 27.5yr</t>
  </si>
  <si>
    <t>4 - Equipment - Granite Ridge, LLC - 5yr</t>
  </si>
  <si>
    <t>4 - Equipment - Granite Ridge, LLC - Site - 15yr</t>
  </si>
  <si>
    <t>4 - Equipment - Granite Ridge, LLC - 27.5yr</t>
  </si>
  <si>
    <t>5 - Land Improvements - Granite Ridge, LLC - 5yr</t>
  </si>
  <si>
    <t>5 - Land Improvements - Granite Ridge, LLC - Site - 15yr</t>
  </si>
  <si>
    <t>5 - Land Improvements - Granite Ridge, LLC - 27.5yr</t>
  </si>
  <si>
    <t>Total MACRS Reclassification</t>
  </si>
  <si>
    <t>Difference (should be zero)</t>
  </si>
  <si>
    <t>End Depreciation Reconciliation</t>
  </si>
  <si>
    <t>Before Cost Segregation (As Previously Filed)</t>
  </si>
  <si>
    <t>After Cost Segregation (Corrected)</t>
  </si>
  <si>
    <t>Section 481(a) Adjustment</t>
  </si>
  <si>
    <t>Cost Segregation Study - Apt 1-16</t>
  </si>
  <si>
    <t>Report #107752-34</t>
  </si>
  <si>
    <t>Acquisition Date:</t>
  </si>
  <si>
    <t>Granite Ridge, LLC - Apt 1-16</t>
  </si>
  <si>
    <t>Property Category</t>
  </si>
  <si>
    <t>Cost</t>
  </si>
  <si>
    <t>5 Year</t>
  </si>
  <si>
    <t>7 Year</t>
  </si>
  <si>
    <t>15 Year</t>
  </si>
  <si>
    <t>27.5 Year</t>
  </si>
  <si>
    <t>15 year QIP</t>
  </si>
  <si>
    <t>Building Components</t>
  </si>
  <si>
    <t>Cabinets / Millwork</t>
  </si>
  <si>
    <t>Moldings</t>
  </si>
  <si>
    <t>Flooring - Vinyl Tile</t>
  </si>
  <si>
    <t>Flooring - Carpet</t>
  </si>
  <si>
    <t>Flooring - Vinyl Plank</t>
  </si>
  <si>
    <t>Door &amp; Window Guards</t>
  </si>
  <si>
    <t>Window Treatments</t>
  </si>
  <si>
    <t>Building Signage</t>
  </si>
  <si>
    <t>Specialty Electrical - Appliances</t>
  </si>
  <si>
    <t>Communication / Data</t>
  </si>
  <si>
    <t>Specialty Plumbing - Kitchen Sinks</t>
  </si>
  <si>
    <t>Security / Exterior Lighting</t>
  </si>
  <si>
    <t>Access Control</t>
  </si>
  <si>
    <t>Appliances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</si>
  <si>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</si>
  <si>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</si>
  <si>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</si>
  <si>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</si>
  <si>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</si>
  <si>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</si>
  <si>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</si>
  <si>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</si>
  <si>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</si>
  <si>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</si>
  <si>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</si>
  <si>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</si>
  <si>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</si>
  <si>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</si>
  <si>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</si>
  <si>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</si>
  <si>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</si>
  <si>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</si>
  <si>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</si>
  <si>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</si>
  <si>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Asset Allocation:</t>
  </si>
  <si>
    <t>Asset #2 Building</t>
  </si>
  <si>
    <t>Asset #4 Equipment</t>
  </si>
  <si>
    <t>Asset #5 Land Improvements</t>
  </si>
  <si>
    <t>Total Allocation:</t>
  </si>
  <si>
    <t>Cost Segregation Study - Apt 17-32</t>
  </si>
  <si>
    <t>Granite Ridge, LLC - Apt 17-32</t>
  </si>
  <si>
    <t>Cost Segregation Study - Apt 33-48</t>
  </si>
  <si>
    <t>Granite Ridge, LLC - Apt 33-48</t>
  </si>
  <si>
    <t>Emergency Lighting</t>
  </si>
  <si>
    <t>Cost Segregation Study - Apt 49-64</t>
  </si>
  <si>
    <t>Granite Ridge, LLC - Apt 49-64</t>
  </si>
  <si>
    <t>Cost Segregation Study - Apt 65-80</t>
  </si>
  <si>
    <t>Granite Ridge, LLC - Apt 65-80</t>
  </si>
  <si>
    <t>Cost Segregation Study - Laundry 1</t>
  </si>
  <si>
    <t>Granite Ridge, LLC - Laundry 1</t>
  </si>
  <si>
    <t>Interior Half Walls</t>
  </si>
  <si>
    <t>Specialty HVAC - Dryer Vents</t>
  </si>
  <si>
    <t>Specialty Plumbing - Laundry</t>
  </si>
  <si>
    <t>Cost Segregation Study - Laundry 2</t>
  </si>
  <si>
    <t>Granite Ridge, LLC - Laundry 2</t>
  </si>
  <si>
    <t>Mailboxes</t>
  </si>
  <si>
    <t>Cost Segregation Study - Site</t>
  </si>
  <si>
    <t>Granite Ridge, LLC - Site</t>
  </si>
  <si>
    <t>Site Components</t>
  </si>
  <si>
    <t>Site Drainage</t>
  </si>
  <si>
    <t>Parking Lot</t>
  </si>
  <si>
    <t>Parking Lot Striping / Barriers</t>
  </si>
  <si>
    <t>Sidewalks / Curbs</t>
  </si>
  <si>
    <t>Landscaping</t>
  </si>
  <si>
    <t>Security Lighting Poles</t>
  </si>
  <si>
    <t>Exterior Fencing</t>
  </si>
  <si>
    <t>Dumpster Enclosures</t>
  </si>
  <si>
    <t>Exterior Equipment Concrete Pads</t>
  </si>
  <si>
    <t>Playground</t>
  </si>
  <si>
    <t>Site Utilities</t>
  </si>
  <si>
    <t>Total Site Cost</t>
  </si>
  <si>
    <t>% of Site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</si>
</sst>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</font>
    <font>
      <b/>
      <sz val="11"/>
      <color theme="0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B8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2" fillId="0" borderId="0" xfId="0" applyNumberFormat="1" applyFont="1"/>
    <xf numFmtId="164" fontId="1" fillId="3" borderId="0" xfId="0" applyNumberFormat="1" applyFont="1" applyFill="1"/>
    <xf numFmtId="165" fontId="2" fillId="0" borderId="0" xfId="0" applyNumberFormat="1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1" fillId="2" borderId="0" xfId="1" applyFont="1" applyFill="1" applyAlignment="1">
      <alignment horizontal="center"/>
    </xf>
    <xf numFmtId="44" fontId="2" fillId="0" borderId="0" xfId="1" applyFont="1" applyAlignment="1">
      <alignment horizontal="center"/>
    </xf>
    <xf numFmtId="44" fontId="4" fillId="0" borderId="0" xfId="1" applyFont="1" applyAlignment="1">
      <alignment horizontal="center"/>
    </xf>
    <xf numFmtId="44" fontId="1" fillId="3" borderId="0" xfId="1" applyFont="1" applyFill="1" applyAlignment="1">
      <alignment horizontal="center"/>
    </xf>
    <xf numFmtId="0" fontId="2" fillId="0" borderId="0" xfId="1" applyNumberFormat="1" applyFont="1" applyAlignment="1">
      <alignment horizontal="center"/>
    </xf>
    <xf numFmtId="4" fontId="0" fillId="0" borderId="0" xfId="0" applyNumberFormat="1"/>
    <xf numFmtId="44" fontId="3" fillId="0" borderId="0" xfId="1"/>
    <xf numFmtId="44" fontId="5" fillId="0" borderId="0" xfId="1" applyFont="1"/>
    <xf numFmtId="44" fontId="4" fillId="0" borderId="0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0" xfId="0" applyFont="1" applyFill="1"/>
    <xf numFmtId="164" fontId="5" fillId="0" borderId="0" xfId="0" applyNumberFormat="1" applyFont="1"/>
    <xf numFmtId="0" fontId="5" fillId="0" borderId="0" xfId="0" applyFont="1"/>
    <xf numFmtId="4" fontId="6" fillId="0" borderId="0" xfId="0" applyNumberFormat="1" applyFont="1"/>
    <xf numFmtId="44" fontId="8" fillId="7" borderId="0" xfId="1" applyFont="1" applyFill="1" applyAlignment="1">
      <alignment horizontal="center"/>
    </xf>
    <xf numFmtId="0" fontId="7" fillId="6" borderId="0" xfId="0" applyFont="1" applyFill="1"/>
    <xf numFmtId="0" fontId="0" fillId="8" borderId="0" xfId="0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1" fillId="9" borderId="0" xfId="0" applyFont="1" applyFill="1"/>
    <xf numFmtId="0" fontId="12" fillId="8" borderId="0" xfId="0" applyFont="1" applyFill="1"/>
    <xf numFmtId="44" fontId="13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0" fontId="9" fillId="8" borderId="0" xfId="0" applyFont="1" applyFill="1"/>
    <xf numFmtId="4" fontId="10" fillId="8" borderId="0" xfId="0" applyNumberFormat="1" applyFont="1" applyFill="1"/>
    <xf numFmtId="4" fontId="0" fillId="10" borderId="0" xfId="0" applyNumberFormat="1" applyFill="1"/>
    <xf numFmtId="44" fontId="9" fillId="8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B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topLeftCell="B31" zoomScale="140" zoomScaleNormal="140" workbookViewId="0">
      <selection activeCell="O54" sqref="O54"/>
    </sheetView>
  </sheetViews>
  <sheetFormatPr defaultColWidth="8.85546875" defaultRowHeight="15"/>
  <cols>
    <col min="1" max="1" width="14.7109375" customWidth="1"/>
    <col min="2" max="2" width="50" customWidth="1"/>
    <col min="3" max="4" width="12" customWidth="1"/>
    <col min="5" max="5" width="14.140625" style="12" customWidth="1"/>
    <col min="6" max="13" width="16" style="12" customWidth="1"/>
    <col min="14" max="14" width="8.85546875" style="12" customWidth="1"/>
    <col min="15" max="15" width="16" style="12" customWidth="1"/>
    <col min="16" max="16" width="17.5703125" style="12" customWidth="1"/>
    <col min="17" max="24" width="16" style="12" customWidth="1"/>
    <col min="25" max="25" width="8.85546875" style="12" customWidth="1"/>
    <col min="26" max="26" width="16" style="12" customWidth="1"/>
    <col min="27" max="28" width="8.85546875" style="12" customWidth="1"/>
  </cols>
  <sheetData>
    <row r="1" spans="1:28">
      <c r="A1" s="1" t="s">
        <v>0</v>
      </c>
    </row>
    <row r="2" spans="1:28">
      <c r="A2" s="1" t="s">
        <v>1</v>
      </c>
    </row>
    <row r="3" spans="1:28">
      <c r="A3" s="2" t="s">
        <v>2</v>
      </c>
    </row>
    <row r="9" spans="1:28">
      <c r="Q9" s="26" t="s">
        <v>3</v>
      </c>
    </row>
    <row r="10" spans="1:28" s="11" customFormat="1">
      <c r="A10" s="10" t="s">
        <v>4</v>
      </c>
      <c r="B10" s="10" t="s">
        <v>5</v>
      </c>
      <c r="E10" s="13" t="s">
        <v>6</v>
      </c>
      <c r="F10" s="13" t="s">
        <v>7</v>
      </c>
      <c r="G10" s="13" t="s">
        <v>8</v>
      </c>
      <c r="H10" s="13" t="s">
        <v>9</v>
      </c>
      <c r="I10" s="13" t="s">
        <v>10</v>
      </c>
      <c r="J10" s="13" t="s">
        <v>11</v>
      </c>
      <c r="K10" s="13" t="s">
        <v>12</v>
      </c>
      <c r="L10" s="13" t="s">
        <v>13</v>
      </c>
      <c r="M10" s="13" t="s">
        <v>14</v>
      </c>
      <c r="N10" s="12"/>
      <c r="O10" s="13" t="s">
        <v>15</v>
      </c>
      <c r="P10" s="12"/>
      <c r="Q10" s="13" t="s">
        <v>7</v>
      </c>
      <c r="R10" s="13" t="s">
        <v>8</v>
      </c>
      <c r="S10" s="13" t="s">
        <v>9</v>
      </c>
      <c r="T10" s="13" t="s">
        <v>10</v>
      </c>
      <c r="U10" s="13" t="s">
        <v>11</v>
      </c>
      <c r="V10" s="13" t="s">
        <v>12</v>
      </c>
      <c r="W10" s="13" t="s">
        <v>13</v>
      </c>
      <c r="X10" s="13" t="s">
        <v>14</v>
      </c>
      <c r="Y10" s="12"/>
      <c r="Z10" s="13" t="s">
        <v>16</v>
      </c>
      <c r="AA10" s="12"/>
      <c r="AB10" s="12"/>
    </row>
    <row r="11" spans="1:28">
      <c r="A11" s="29" t="s">
        <v>17</v>
      </c>
      <c r="B11" s="2" t="s">
        <v>18</v>
      </c>
      <c r="E11" s="17">
        <v>2</v>
      </c>
      <c r="F11" s="14">
        <v>389188.67</v>
      </c>
      <c r="G11" s="14">
        <v>389188.67</v>
      </c>
      <c r="H11" s="14">
        <v>402217.16</v>
      </c>
      <c r="I11" s="14">
        <v>389188.67</v>
      </c>
      <c r="J11" s="14">
        <v>389188.67</v>
      </c>
      <c r="K11" s="14">
        <v>26288.67</v>
      </c>
      <c r="L11" s="14">
        <v>30475.01</v>
      </c>
      <c r="M11" s="14">
        <v>254562.48</v>
      </c>
      <c r="O11" s="14">
        <v>2270298</v>
      </c>
      <c r="Q11" s="19">
        <v>120883.96</v>
      </c>
      <c r="R11" s="19">
        <v>120883.96</v>
      </c>
      <c r="S11" s="19">
        <v>124930.68</v>
      </c>
      <c r="T11" s="19">
        <v>120883.96</v>
      </c>
      <c r="U11" s="19">
        <v>120883.96</v>
      </c>
      <c r="V11" s="19">
        <v>8165.39</v>
      </c>
      <c r="W11" s="19">
        <v>9465.69</v>
      </c>
      <c r="X11" s="19">
        <v>78068.399999999994</v>
      </c>
      <c r="Y11" s="19"/>
      <c r="Z11" s="19">
        <v>704166</v>
      </c>
    </row>
    <row r="12" spans="1:28">
      <c r="A12" s="29" t="s">
        <v>17</v>
      </c>
      <c r="B12" s="2" t="s">
        <v>19</v>
      </c>
      <c r="E12" s="17">
        <v>4</v>
      </c>
      <c r="F12" s="14">
        <v>48291.12</v>
      </c>
      <c r="G12" s="14">
        <v>48291.12</v>
      </c>
      <c r="H12" s="14">
        <v>49907.71</v>
      </c>
      <c r="I12" s="14">
        <v>48291.12</v>
      </c>
      <c r="J12" s="14">
        <v>48291.12</v>
      </c>
      <c r="K12" s="14">
        <v>3261.92</v>
      </c>
      <c r="L12" s="14">
        <v>3781.39</v>
      </c>
      <c r="M12" s="14">
        <v>31586.5</v>
      </c>
      <c r="O12" s="14">
        <v>281702</v>
      </c>
      <c r="Q12" s="19">
        <v>48291.12</v>
      </c>
      <c r="R12" s="19">
        <v>48291.12</v>
      </c>
      <c r="S12" s="19">
        <v>49907.71</v>
      </c>
      <c r="T12" s="19">
        <v>48291.12</v>
      </c>
      <c r="U12" s="19">
        <v>48291.12</v>
      </c>
      <c r="V12" s="19">
        <v>3261.92</v>
      </c>
      <c r="W12" s="19">
        <v>3781.39</v>
      </c>
      <c r="X12" s="19">
        <v>31586.5</v>
      </c>
      <c r="Y12" s="19"/>
      <c r="Z12" s="19">
        <v>281702</v>
      </c>
    </row>
    <row r="13" spans="1:28">
      <c r="A13" s="29" t="s">
        <v>17</v>
      </c>
      <c r="B13" s="2" t="s">
        <v>20</v>
      </c>
      <c r="E13" s="17">
        <v>5</v>
      </c>
      <c r="F13" s="14">
        <v>39985.86</v>
      </c>
      <c r="G13" s="14">
        <v>39985.86</v>
      </c>
      <c r="H13" s="14">
        <v>41324.43</v>
      </c>
      <c r="I13" s="14">
        <v>39985.86</v>
      </c>
      <c r="J13" s="14">
        <v>39985.86</v>
      </c>
      <c r="K13" s="14">
        <v>2700.93</v>
      </c>
      <c r="L13" s="14">
        <v>3131.05</v>
      </c>
      <c r="M13" s="14">
        <v>26154.15</v>
      </c>
      <c r="O13" s="14">
        <v>233254</v>
      </c>
      <c r="Q13" s="19">
        <v>22178.95</v>
      </c>
      <c r="R13" s="19">
        <v>22178.95</v>
      </c>
      <c r="S13" s="19">
        <v>22921.42</v>
      </c>
      <c r="T13" s="19">
        <v>22178.95</v>
      </c>
      <c r="U13" s="19">
        <v>22178.95</v>
      </c>
      <c r="V13" s="19">
        <v>1498.12</v>
      </c>
      <c r="W13" s="19">
        <v>1736.7</v>
      </c>
      <c r="X13" s="19">
        <v>14506.96</v>
      </c>
      <c r="Y13" s="19"/>
      <c r="Z13" s="19">
        <v>129379</v>
      </c>
    </row>
    <row r="14" spans="1:28"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8">
      <c r="E15" s="21" t="b">
        <v>1</v>
      </c>
      <c r="F15" s="15">
        <f t="shared" ref="F15:M15" si="0">SUM(F11:F13)</f>
        <v>477465.64999999997</v>
      </c>
      <c r="G15" s="15">
        <f t="shared" si="0"/>
        <v>477465.64999999997</v>
      </c>
      <c r="H15" s="15">
        <f t="shared" si="0"/>
        <v>493449.3</v>
      </c>
      <c r="I15" s="15">
        <f t="shared" si="0"/>
        <v>477465.64999999997</v>
      </c>
      <c r="J15" s="15">
        <f t="shared" si="0"/>
        <v>477465.64999999997</v>
      </c>
      <c r="K15" s="15">
        <f t="shared" si="0"/>
        <v>32251.519999999997</v>
      </c>
      <c r="L15" s="15">
        <f t="shared" si="0"/>
        <v>37387.450000000004</v>
      </c>
      <c r="M15" s="15">
        <f t="shared" si="0"/>
        <v>312303.13</v>
      </c>
      <c r="N15" s="15"/>
      <c r="O15" s="15">
        <f>SUM(O11:O13)</f>
        <v>2785254</v>
      </c>
      <c r="P15" s="21" t="b">
        <v>1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8">
      <c r="B16" s="30" t="s">
        <v>21</v>
      </c>
      <c r="C16" s="30"/>
      <c r="D16" s="30"/>
      <c r="E16" s="30"/>
      <c r="F16" s="14">
        <v>477465.65</v>
      </c>
      <c r="G16" s="14">
        <v>477465.65</v>
      </c>
      <c r="H16" s="14">
        <v>493449.3</v>
      </c>
      <c r="I16" s="14">
        <v>477465.65</v>
      </c>
      <c r="J16" s="14">
        <v>477465.65</v>
      </c>
      <c r="K16" s="14">
        <v>32251.52</v>
      </c>
      <c r="L16" s="14">
        <v>37387.449999999997</v>
      </c>
      <c r="M16" s="14">
        <v>312303.13</v>
      </c>
      <c r="O16" s="14">
        <v>2785254</v>
      </c>
      <c r="Q16" s="19">
        <f t="shared" ref="Q16:X16" si="1">SUM(Q11:Q13)</f>
        <v>191354.03000000003</v>
      </c>
      <c r="R16" s="19">
        <f t="shared" si="1"/>
        <v>191354.03000000003</v>
      </c>
      <c r="S16" s="19">
        <f t="shared" si="1"/>
        <v>197759.81</v>
      </c>
      <c r="T16" s="19">
        <f t="shared" si="1"/>
        <v>191354.03000000003</v>
      </c>
      <c r="U16" s="19">
        <f t="shared" si="1"/>
        <v>191354.03000000003</v>
      </c>
      <c r="V16" s="19">
        <f t="shared" si="1"/>
        <v>12925.43</v>
      </c>
      <c r="W16" s="19">
        <f t="shared" si="1"/>
        <v>14983.78</v>
      </c>
      <c r="X16" s="19">
        <f t="shared" si="1"/>
        <v>124161.85999999999</v>
      </c>
      <c r="Y16" s="19"/>
      <c r="Z16" s="19">
        <v>1115247</v>
      </c>
      <c r="AA16" s="21" t="b">
        <v>1</v>
      </c>
    </row>
    <row r="17" spans="2:28">
      <c r="P17" s="21" t="b">
        <v>1</v>
      </c>
      <c r="Q17" s="20">
        <f>SUM(Q11:Q13)</f>
        <v>191354.03000000003</v>
      </c>
      <c r="R17" s="20">
        <f t="shared" ref="R17:Z17" si="2">SUM(R11:R13)</f>
        <v>191354.03000000003</v>
      </c>
      <c r="S17" s="20">
        <f t="shared" si="2"/>
        <v>197759.81</v>
      </c>
      <c r="T17" s="20">
        <f t="shared" si="2"/>
        <v>191354.03000000003</v>
      </c>
      <c r="U17" s="20">
        <f t="shared" si="2"/>
        <v>191354.03000000003</v>
      </c>
      <c r="V17" s="20">
        <f t="shared" si="2"/>
        <v>12925.43</v>
      </c>
      <c r="W17" s="20">
        <f t="shared" si="2"/>
        <v>14983.78</v>
      </c>
      <c r="X17" s="20">
        <f t="shared" si="2"/>
        <v>124161.85999999999</v>
      </c>
      <c r="Y17" s="20"/>
      <c r="Z17" s="20">
        <f t="shared" si="2"/>
        <v>1115247</v>
      </c>
    </row>
    <row r="18" spans="2:28">
      <c r="B18" s="22" t="s">
        <v>22</v>
      </c>
    </row>
    <row r="20" spans="2:28">
      <c r="B20" s="2" t="s">
        <v>23</v>
      </c>
      <c r="F20" s="14">
        <v>99963.17</v>
      </c>
      <c r="G20" s="14">
        <v>99963.17</v>
      </c>
      <c r="H20" s="14">
        <v>103151.35</v>
      </c>
      <c r="I20" s="14">
        <v>99963.17</v>
      </c>
      <c r="J20" s="14">
        <v>99963.17</v>
      </c>
      <c r="K20" s="14">
        <v>6825.37</v>
      </c>
      <c r="L20" s="14">
        <v>11011.74</v>
      </c>
      <c r="Q20" s="14"/>
      <c r="R20" s="14"/>
      <c r="S20" s="14"/>
      <c r="T20" s="14"/>
      <c r="U20" s="14"/>
      <c r="V20" s="14"/>
      <c r="W20" s="14"/>
    </row>
    <row r="21" spans="2:28">
      <c r="B21" s="2" t="s">
        <v>24</v>
      </c>
      <c r="M21" s="14">
        <v>182460.43</v>
      </c>
      <c r="X21" s="14"/>
    </row>
    <row r="22" spans="2:28">
      <c r="B22" s="2" t="s">
        <v>25</v>
      </c>
      <c r="F22" s="14">
        <v>289225.5</v>
      </c>
      <c r="G22" s="14">
        <v>289225.5</v>
      </c>
      <c r="H22" s="14">
        <v>299065.81</v>
      </c>
      <c r="I22" s="14">
        <v>289225.5</v>
      </c>
      <c r="J22" s="14">
        <v>289225.5</v>
      </c>
      <c r="K22" s="14">
        <v>19463.3</v>
      </c>
      <c r="L22" s="14">
        <v>19463.27</v>
      </c>
      <c r="M22" s="14">
        <v>72102.05</v>
      </c>
      <c r="Q22" s="14"/>
      <c r="R22" s="14"/>
      <c r="S22" s="14"/>
      <c r="T22" s="14"/>
      <c r="U22" s="14"/>
      <c r="V22" s="14"/>
      <c r="W22" s="14"/>
      <c r="X22" s="14"/>
    </row>
    <row r="23" spans="2:28">
      <c r="B23" s="2" t="s">
        <v>26</v>
      </c>
      <c r="F23" s="14">
        <v>12403.58</v>
      </c>
      <c r="G23" s="14">
        <v>12403.58</v>
      </c>
      <c r="H23" s="14">
        <v>12799.17</v>
      </c>
      <c r="I23" s="14">
        <v>12403.58</v>
      </c>
      <c r="J23" s="14">
        <v>12403.58</v>
      </c>
      <c r="K23" s="14">
        <v>846.9</v>
      </c>
      <c r="L23" s="14">
        <v>1366.36</v>
      </c>
      <c r="Q23" s="14"/>
      <c r="R23" s="14"/>
      <c r="S23" s="14"/>
      <c r="T23" s="14"/>
      <c r="U23" s="14"/>
      <c r="V23" s="14"/>
      <c r="W23" s="14"/>
    </row>
    <row r="24" spans="2:28">
      <c r="B24" s="2" t="s">
        <v>27</v>
      </c>
      <c r="M24" s="14">
        <v>22639.97</v>
      </c>
      <c r="X24" s="14"/>
    </row>
    <row r="25" spans="2:28">
      <c r="B25" s="2" t="s">
        <v>28</v>
      </c>
      <c r="F25" s="14">
        <v>35887.54</v>
      </c>
      <c r="G25" s="14">
        <v>35887.54</v>
      </c>
      <c r="H25" s="14">
        <v>37108.54</v>
      </c>
      <c r="I25" s="14">
        <v>35887.54</v>
      </c>
      <c r="J25" s="14">
        <v>35887.54</v>
      </c>
      <c r="K25" s="14">
        <v>2415.02</v>
      </c>
      <c r="L25" s="14">
        <v>2415.0300000000002</v>
      </c>
      <c r="M25" s="14">
        <v>8946.5300000000007</v>
      </c>
      <c r="Q25" s="14"/>
      <c r="R25" s="14"/>
      <c r="S25" s="14"/>
      <c r="T25" s="14"/>
      <c r="U25" s="14"/>
      <c r="V25" s="14"/>
      <c r="W25" s="14"/>
      <c r="X25" s="14"/>
    </row>
    <row r="26" spans="2:28">
      <c r="B26" s="2" t="s">
        <v>29</v>
      </c>
      <c r="F26" s="14">
        <v>10270.370000000001</v>
      </c>
      <c r="G26" s="14">
        <v>10270.370000000001</v>
      </c>
      <c r="H26" s="14">
        <v>10597.94</v>
      </c>
      <c r="I26" s="14">
        <v>10270.370000000001</v>
      </c>
      <c r="J26" s="14">
        <v>10270.370000000001</v>
      </c>
      <c r="K26" s="14">
        <v>701.24</v>
      </c>
      <c r="L26" s="14">
        <v>1131.3599999999999</v>
      </c>
      <c r="Q26" s="14"/>
      <c r="R26" s="14"/>
      <c r="S26" s="14"/>
      <c r="T26" s="14"/>
      <c r="U26" s="14"/>
      <c r="V26" s="14"/>
      <c r="W26" s="14"/>
    </row>
    <row r="27" spans="2:28">
      <c r="B27" s="2" t="s">
        <v>30</v>
      </c>
      <c r="M27" s="14">
        <v>18746.27</v>
      </c>
      <c r="X27" s="14"/>
    </row>
    <row r="28" spans="2:28">
      <c r="B28" s="2" t="s">
        <v>31</v>
      </c>
      <c r="F28" s="14">
        <v>29715.49</v>
      </c>
      <c r="G28" s="14">
        <v>29715.49</v>
      </c>
      <c r="H28" s="14">
        <v>30726.49</v>
      </c>
      <c r="I28" s="14">
        <v>29715.49</v>
      </c>
      <c r="J28" s="14">
        <v>29715.49</v>
      </c>
      <c r="K28" s="14">
        <v>1999.69</v>
      </c>
      <c r="L28" s="14">
        <v>1999.69</v>
      </c>
      <c r="M28" s="14">
        <v>7407.88</v>
      </c>
      <c r="Q28" s="14"/>
      <c r="R28" s="14"/>
      <c r="S28" s="14"/>
      <c r="T28" s="14"/>
      <c r="U28" s="14"/>
      <c r="V28" s="14"/>
      <c r="W28" s="14"/>
      <c r="X28" s="14"/>
    </row>
    <row r="32" spans="2:28" s="9" customFormat="1">
      <c r="E32" s="21" t="b">
        <v>1</v>
      </c>
      <c r="F32" s="34">
        <f t="shared" ref="F32:M32" si="3">SUM(F20:F28)</f>
        <v>477465.64999999997</v>
      </c>
      <c r="G32" s="34">
        <f t="shared" si="3"/>
        <v>477465.64999999997</v>
      </c>
      <c r="H32" s="34">
        <f t="shared" si="3"/>
        <v>493449.3</v>
      </c>
      <c r="I32" s="34">
        <f t="shared" si="3"/>
        <v>477465.64999999997</v>
      </c>
      <c r="J32" s="34">
        <f t="shared" si="3"/>
        <v>477465.64999999997</v>
      </c>
      <c r="K32" s="34">
        <f t="shared" si="3"/>
        <v>32251.52</v>
      </c>
      <c r="L32" s="34">
        <f t="shared" si="3"/>
        <v>37387.450000000004</v>
      </c>
      <c r="M32" s="34">
        <f t="shared" si="3"/>
        <v>312303.13</v>
      </c>
      <c r="N32" s="34"/>
      <c r="O32" s="34">
        <f>O15</f>
        <v>2785254</v>
      </c>
      <c r="P32" s="21" t="b">
        <v>1</v>
      </c>
      <c r="Q32" s="15">
        <f t="shared" ref="Q32:X32" si="4">SUM(Q20:Q28)</f>
        <v>0</v>
      </c>
      <c r="R32" s="15">
        <f t="shared" si="4"/>
        <v>0</v>
      </c>
      <c r="S32" s="15">
        <f t="shared" si="4"/>
        <v>0</v>
      </c>
      <c r="T32" s="15">
        <f t="shared" si="4"/>
        <v>0</v>
      </c>
      <c r="U32" s="15">
        <f t="shared" si="4"/>
        <v>0</v>
      </c>
      <c r="V32" s="15">
        <f t="shared" si="4"/>
        <v>0</v>
      </c>
      <c r="W32" s="15">
        <f t="shared" si="4"/>
        <v>0</v>
      </c>
      <c r="X32" s="15">
        <f t="shared" si="4"/>
        <v>0</v>
      </c>
      <c r="Y32" s="15"/>
      <c r="Z32" s="15">
        <f>SUM(Z20:Z28)</f>
        <v>0</v>
      </c>
      <c r="AA32" s="15"/>
      <c r="AB32" s="15"/>
    </row>
    <row r="33" spans="2:16">
      <c r="B33" s="4" t="s">
        <v>32</v>
      </c>
      <c r="F33" s="16">
        <f t="shared" ref="F33:M33" si="5">SUM(F20:F31)</f>
        <v>477465.64999999997</v>
      </c>
      <c r="G33" s="16">
        <f t="shared" si="5"/>
        <v>477465.64999999997</v>
      </c>
      <c r="H33" s="16">
        <f t="shared" si="5"/>
        <v>493449.3</v>
      </c>
      <c r="I33" s="16">
        <f t="shared" si="5"/>
        <v>477465.64999999997</v>
      </c>
      <c r="J33" s="16">
        <f t="shared" si="5"/>
        <v>477465.64999999997</v>
      </c>
      <c r="K33" s="16">
        <f t="shared" si="5"/>
        <v>32251.52</v>
      </c>
      <c r="L33" s="16">
        <f t="shared" si="5"/>
        <v>37387.450000000004</v>
      </c>
      <c r="M33" s="16">
        <f t="shared" si="5"/>
        <v>312303.13</v>
      </c>
      <c r="O33" s="16">
        <f>SUM(F33:M33)</f>
        <v>2785254</v>
      </c>
      <c r="P33" s="15"/>
    </row>
    <row r="35" spans="2:16">
      <c r="B35" s="30" t="s">
        <v>33</v>
      </c>
      <c r="C35" s="30"/>
      <c r="D35" s="30"/>
      <c r="E35" s="30"/>
      <c r="F35" s="12">
        <f t="shared" ref="F35:O35" si="6">+F16-F33</f>
        <v>0</v>
      </c>
      <c r="G35" s="12">
        <f t="shared" si="6"/>
        <v>0</v>
      </c>
      <c r="H35" s="12">
        <f t="shared" si="6"/>
        <v>0</v>
      </c>
      <c r="I35" s="12">
        <f t="shared" si="6"/>
        <v>0</v>
      </c>
      <c r="J35" s="12">
        <f t="shared" si="6"/>
        <v>0</v>
      </c>
      <c r="K35" s="12">
        <f t="shared" si="6"/>
        <v>0</v>
      </c>
      <c r="L35" s="12">
        <f t="shared" si="6"/>
        <v>0</v>
      </c>
      <c r="M35" s="12">
        <f t="shared" si="6"/>
        <v>0</v>
      </c>
      <c r="O35" s="12">
        <f t="shared" si="6"/>
        <v>0</v>
      </c>
    </row>
    <row r="37" spans="2:16">
      <c r="B37" s="31" t="s">
        <v>34</v>
      </c>
    </row>
    <row r="38" spans="2:16">
      <c r="B38" s="2" t="s">
        <v>35</v>
      </c>
      <c r="F38" s="14">
        <v>191354.03</v>
      </c>
      <c r="G38" s="14">
        <v>191354.03</v>
      </c>
      <c r="H38" s="14">
        <v>197759.81</v>
      </c>
      <c r="I38" s="14">
        <v>191354.03</v>
      </c>
      <c r="J38" s="14">
        <v>191354.03</v>
      </c>
      <c r="K38" s="14">
        <v>12925.43</v>
      </c>
      <c r="L38" s="14">
        <v>14983.78</v>
      </c>
      <c r="M38" s="14">
        <v>124161.86</v>
      </c>
      <c r="O38" s="14">
        <v>1115247</v>
      </c>
    </row>
    <row r="39" spans="2:16">
      <c r="B39" s="2" t="s">
        <v>23</v>
      </c>
      <c r="F39" s="14">
        <v>99963.17</v>
      </c>
      <c r="G39" s="14">
        <v>99963.17</v>
      </c>
      <c r="H39" s="14">
        <v>103151.35</v>
      </c>
      <c r="I39" s="14">
        <v>99963.17</v>
      </c>
      <c r="J39" s="14">
        <v>99963.17</v>
      </c>
      <c r="K39" s="14">
        <v>6825.37</v>
      </c>
      <c r="L39" s="14">
        <v>11011.74</v>
      </c>
      <c r="O39" s="12">
        <f t="shared" ref="O39:O47" si="7">SUM(F39:M39)</f>
        <v>520841.13999999996</v>
      </c>
    </row>
    <row r="40" spans="2:16">
      <c r="B40" s="2" t="s">
        <v>24</v>
      </c>
      <c r="M40" s="14">
        <v>112428.75</v>
      </c>
      <c r="O40" s="12">
        <f t="shared" si="7"/>
        <v>112428.75</v>
      </c>
    </row>
    <row r="41" spans="2:16">
      <c r="B41" s="2" t="s">
        <v>25</v>
      </c>
      <c r="F41" s="14">
        <v>117259.4</v>
      </c>
      <c r="G41" s="14">
        <v>117259.4</v>
      </c>
      <c r="H41" s="14">
        <v>92891.65</v>
      </c>
      <c r="I41" s="14">
        <v>117259.4</v>
      </c>
      <c r="J41" s="14">
        <v>117259.4</v>
      </c>
      <c r="K41" s="14">
        <v>6045.45</v>
      </c>
      <c r="L41" s="14">
        <v>6045.53</v>
      </c>
      <c r="M41" s="14">
        <v>22395.31</v>
      </c>
      <c r="O41" s="12">
        <f t="shared" si="7"/>
        <v>596415.54</v>
      </c>
    </row>
    <row r="42" spans="2:16">
      <c r="B42" s="2" t="s">
        <v>26</v>
      </c>
      <c r="F42" s="14">
        <v>12403.58</v>
      </c>
      <c r="G42" s="14">
        <v>12403.58</v>
      </c>
      <c r="H42" s="14">
        <v>12799.17</v>
      </c>
      <c r="I42" s="14">
        <v>12403.58</v>
      </c>
      <c r="J42" s="14">
        <v>12403.58</v>
      </c>
      <c r="K42" s="14">
        <v>846.9</v>
      </c>
      <c r="L42" s="14">
        <v>1366.36</v>
      </c>
      <c r="O42" s="12">
        <f t="shared" si="7"/>
        <v>64626.750000000007</v>
      </c>
    </row>
    <row r="43" spans="2:16">
      <c r="B43" s="2" t="s">
        <v>27</v>
      </c>
      <c r="M43" s="14">
        <v>13950.35</v>
      </c>
      <c r="O43" s="12">
        <f t="shared" si="7"/>
        <v>13950.35</v>
      </c>
    </row>
    <row r="44" spans="2:16">
      <c r="B44" s="2" t="s">
        <v>28</v>
      </c>
      <c r="F44" s="14">
        <v>11146.88</v>
      </c>
      <c r="G44" s="14">
        <v>11146.88</v>
      </c>
      <c r="H44" s="14">
        <v>11526.13</v>
      </c>
      <c r="I44" s="14">
        <v>11146.88</v>
      </c>
      <c r="J44" s="14">
        <v>11146.88</v>
      </c>
      <c r="K44" s="14">
        <v>750.13</v>
      </c>
      <c r="L44" s="14">
        <v>750.13</v>
      </c>
      <c r="M44" s="14">
        <v>2778.86</v>
      </c>
      <c r="O44" s="12">
        <f t="shared" si="7"/>
        <v>60392.76999999999</v>
      </c>
    </row>
    <row r="45" spans="2:16">
      <c r="B45" s="2" t="s">
        <v>29</v>
      </c>
      <c r="F45" s="14">
        <v>10270.370000000001</v>
      </c>
      <c r="G45" s="14">
        <v>10270.370000000001</v>
      </c>
      <c r="H45" s="14">
        <v>10597.94</v>
      </c>
      <c r="I45" s="14">
        <v>10270.370000000001</v>
      </c>
      <c r="J45" s="14">
        <v>10270.370000000001</v>
      </c>
      <c r="K45" s="14">
        <v>701.24</v>
      </c>
      <c r="L45" s="14">
        <v>1131.3599999999999</v>
      </c>
      <c r="O45" s="12">
        <f t="shared" si="7"/>
        <v>53512.020000000004</v>
      </c>
    </row>
    <row r="46" spans="2:16">
      <c r="B46" s="2" t="s">
        <v>30</v>
      </c>
      <c r="M46" s="14">
        <v>11551.12</v>
      </c>
      <c r="O46" s="12">
        <f t="shared" si="7"/>
        <v>11551.12</v>
      </c>
    </row>
    <row r="47" spans="2:16">
      <c r="B47" s="2" t="s">
        <v>31</v>
      </c>
      <c r="F47" s="14">
        <v>9229.7900000000009</v>
      </c>
      <c r="G47" s="14">
        <v>9229.7900000000009</v>
      </c>
      <c r="H47" s="14">
        <v>9543.86</v>
      </c>
      <c r="I47" s="14">
        <v>9229.7900000000009</v>
      </c>
      <c r="J47" s="14">
        <v>9229.7900000000009</v>
      </c>
      <c r="K47" s="14">
        <v>621.15</v>
      </c>
      <c r="L47" s="14">
        <v>621.15</v>
      </c>
      <c r="M47" s="14">
        <v>2300.9499999999998</v>
      </c>
      <c r="O47" s="12">
        <f t="shared" si="7"/>
        <v>50006.270000000004</v>
      </c>
    </row>
    <row r="50" spans="2:28" s="9" customFormat="1">
      <c r="E50" s="21" t="b">
        <v>1</v>
      </c>
      <c r="F50" s="34">
        <f t="shared" ref="F50:M50" si="8">SUM(F39:F47)</f>
        <v>260273.19</v>
      </c>
      <c r="G50" s="34">
        <f t="shared" si="8"/>
        <v>260273.19</v>
      </c>
      <c r="H50" s="34">
        <f t="shared" si="8"/>
        <v>240510.10000000003</v>
      </c>
      <c r="I50" s="34">
        <f t="shared" si="8"/>
        <v>260273.19</v>
      </c>
      <c r="J50" s="34">
        <f t="shared" si="8"/>
        <v>260273.19</v>
      </c>
      <c r="K50" s="34">
        <f t="shared" si="8"/>
        <v>15790.239999999998</v>
      </c>
      <c r="L50" s="34">
        <f t="shared" si="8"/>
        <v>20926.270000000004</v>
      </c>
      <c r="M50" s="34">
        <f t="shared" si="8"/>
        <v>165405.34</v>
      </c>
      <c r="N50" s="34"/>
      <c r="O50" s="34">
        <f>SUM(O39:O47)</f>
        <v>1483724.7100000002</v>
      </c>
      <c r="P50" s="21" t="b">
        <v>1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2:28">
      <c r="B51" s="27" t="s">
        <v>36</v>
      </c>
      <c r="F51" s="14">
        <v>260273.19</v>
      </c>
      <c r="G51" s="14">
        <v>260273.19</v>
      </c>
      <c r="H51" s="14">
        <v>240510.1</v>
      </c>
      <c r="I51" s="14">
        <v>260273.19</v>
      </c>
      <c r="J51" s="14">
        <v>260273.19</v>
      </c>
      <c r="K51" s="14">
        <v>15790.24</v>
      </c>
      <c r="L51" s="14">
        <v>20926.27</v>
      </c>
      <c r="M51" s="14">
        <v>165405.34</v>
      </c>
      <c r="O51" s="14">
        <v>1483724.71</v>
      </c>
      <c r="P51" s="14"/>
    </row>
    <row r="52" spans="2:28">
      <c r="B52" s="35" t="s">
        <v>37</v>
      </c>
      <c r="F52" s="38">
        <v>-68919.16</v>
      </c>
      <c r="G52" s="38">
        <v>-68919.16</v>
      </c>
      <c r="H52" s="38">
        <v>-42750.29</v>
      </c>
      <c r="I52" s="38">
        <v>-68919.16</v>
      </c>
      <c r="J52" s="38">
        <v>-68919.16</v>
      </c>
      <c r="K52" s="38">
        <v>-2864.81</v>
      </c>
      <c r="L52" s="38">
        <v>-5942.49</v>
      </c>
      <c r="M52" s="38">
        <v>-41243.480000000003</v>
      </c>
      <c r="N52" s="33"/>
      <c r="O52" s="38">
        <v>-368477.71</v>
      </c>
    </row>
  </sheetData>
  <mergeCells count="2">
    <mergeCell ref="B35:E35"/>
    <mergeCell ref="B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topLeftCell="A52" zoomScale="140" zoomScaleNormal="140" workbookViewId="0">
      <selection activeCell="B64" sqref="A64:B64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38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41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28387.8</v>
      </c>
      <c r="C16" s="6">
        <v>28387.8</v>
      </c>
    </row>
    <row r="17" spans="1:6">
      <c r="A17" s="2" t="s">
        <v>51</v>
      </c>
      <c r="B17" s="6">
        <v>5287.63</v>
      </c>
      <c r="C17" s="6">
        <v>5287.63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25002.18</v>
      </c>
      <c r="C20" s="6">
        <v>25002.18</v>
      </c>
    </row>
    <row r="21" spans="1:6">
      <c r="A21" s="2" t="s">
        <v>55</v>
      </c>
      <c r="B21" s="6">
        <v>2047.41</v>
      </c>
      <c r="C21" s="6">
        <v>2047.41</v>
      </c>
    </row>
    <row r="22" spans="1:6">
      <c r="A22" s="2" t="s">
        <v>56</v>
      </c>
      <c r="B22" s="6">
        <v>5849.75</v>
      </c>
      <c r="C22" s="6">
        <v>5849.75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3514.14</v>
      </c>
      <c r="C25" s="6">
        <v>3514.14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947.24</v>
      </c>
      <c r="C27" s="6">
        <v>947.24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22420.11</v>
      </c>
      <c r="F32" s="6">
        <v>22420.11</v>
      </c>
    </row>
    <row r="33" spans="1:6">
      <c r="A33" s="2" t="s">
        <v>66</v>
      </c>
      <c r="B33" s="6">
        <v>28072.36</v>
      </c>
      <c r="F33" s="6">
        <v>28072.36</v>
      </c>
    </row>
    <row r="34" spans="1:6">
      <c r="A34" s="2" t="s">
        <v>67</v>
      </c>
      <c r="B34" s="6">
        <v>15630.87</v>
      </c>
      <c r="F34" s="6">
        <v>15630.87</v>
      </c>
    </row>
    <row r="35" spans="1:6">
      <c r="A35" s="2" t="s">
        <v>68</v>
      </c>
      <c r="B35" s="6">
        <v>33364.559999999998</v>
      </c>
      <c r="F35" s="6">
        <v>33364.559999999998</v>
      </c>
    </row>
    <row r="36" spans="1:6">
      <c r="A36" s="2" t="s">
        <v>69</v>
      </c>
      <c r="B36" s="6">
        <v>35284.68</v>
      </c>
      <c r="F36" s="6">
        <v>35284.68</v>
      </c>
    </row>
    <row r="37" spans="1:6">
      <c r="A37" s="2" t="s">
        <v>70</v>
      </c>
      <c r="B37" s="6">
        <v>3313.81</v>
      </c>
      <c r="F37" s="6">
        <v>3313.81</v>
      </c>
    </row>
    <row r="38" spans="1:6">
      <c r="A38" s="2" t="s">
        <v>71</v>
      </c>
      <c r="B38" s="6">
        <v>16546.13</v>
      </c>
      <c r="F38" s="6">
        <v>16546.13</v>
      </c>
    </row>
    <row r="39" spans="1:6">
      <c r="A39" s="2" t="s">
        <v>72</v>
      </c>
      <c r="B39" s="6">
        <v>22380.23</v>
      </c>
      <c r="F39" s="6">
        <v>22380.23</v>
      </c>
    </row>
    <row r="40" spans="1:6">
      <c r="A40" s="2" t="s">
        <v>73</v>
      </c>
      <c r="B40" s="6">
        <v>17270.68</v>
      </c>
      <c r="F40" s="6">
        <v>17270.68</v>
      </c>
    </row>
    <row r="41" spans="1:6">
      <c r="A41" s="2" t="s">
        <v>74</v>
      </c>
      <c r="B41" s="6">
        <v>18558.310000000001</v>
      </c>
      <c r="F41" s="6">
        <v>18558.310000000001</v>
      </c>
    </row>
    <row r="42" spans="1:6">
      <c r="A42" s="2" t="s">
        <v>75</v>
      </c>
      <c r="B42" s="6">
        <v>42251.16</v>
      </c>
      <c r="F42" s="6">
        <v>42251.16</v>
      </c>
    </row>
    <row r="43" spans="1:6">
      <c r="A43" s="2" t="s">
        <v>76</v>
      </c>
      <c r="B43" s="6">
        <v>20566.05</v>
      </c>
      <c r="F43" s="6">
        <v>20566.05</v>
      </c>
    </row>
    <row r="44" spans="1:6">
      <c r="A44" s="2" t="s">
        <v>77</v>
      </c>
      <c r="B44" s="6">
        <v>2242.0700000000002</v>
      </c>
      <c r="F44" s="6">
        <v>2242.0700000000002</v>
      </c>
    </row>
    <row r="45" spans="1:6">
      <c r="A45" s="2" t="s">
        <v>78</v>
      </c>
      <c r="B45" s="6">
        <v>54791.16</v>
      </c>
      <c r="F45" s="6">
        <v>54791.16</v>
      </c>
    </row>
    <row r="46" spans="1:6">
      <c r="A46" s="2" t="s">
        <v>79</v>
      </c>
      <c r="B46" s="6">
        <v>7945.49</v>
      </c>
      <c r="F46" s="6">
        <v>7945.49</v>
      </c>
    </row>
    <row r="47" spans="1:6">
      <c r="A47" s="2" t="s">
        <v>80</v>
      </c>
      <c r="B47" s="6">
        <v>6585.61</v>
      </c>
      <c r="F47" s="6">
        <v>6585.61</v>
      </c>
    </row>
    <row r="48" spans="1:6">
      <c r="A48" s="2" t="s">
        <v>81</v>
      </c>
      <c r="B48" s="6">
        <v>7605.25</v>
      </c>
      <c r="F48" s="6">
        <v>7605.25</v>
      </c>
    </row>
    <row r="50" spans="1:7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>
      <c r="A51" s="2" t="s">
        <v>83</v>
      </c>
      <c r="C51" s="8">
        <v>0.25700000000000001</v>
      </c>
      <c r="F51" s="8">
        <v>0.74299999999999999</v>
      </c>
    </row>
    <row r="52" spans="1:7">
      <c r="B52" s="23">
        <f>SUM(B16:B48)</f>
        <v>477465.65</v>
      </c>
      <c r="C52" s="23">
        <f>SUM(C16:C29)</f>
        <v>122637.12000000002</v>
      </c>
      <c r="D52" s="21" t="b">
        <v>1</v>
      </c>
      <c r="E52" s="24"/>
      <c r="F52" s="23">
        <f>SUM(F32:F48)</f>
        <v>354828.53</v>
      </c>
      <c r="G52" s="21" t="b">
        <v>1</v>
      </c>
    </row>
    <row r="53" spans="1:7">
      <c r="A53" s="1" t="s">
        <v>84</v>
      </c>
    </row>
    <row r="54" spans="1:7">
      <c r="A54" s="2" t="s">
        <v>85</v>
      </c>
      <c r="B54" s="6">
        <v>389188.67</v>
      </c>
      <c r="C54" s="6">
        <v>99963.17</v>
      </c>
      <c r="F54" s="6">
        <v>289225.5</v>
      </c>
    </row>
    <row r="55" spans="1:7">
      <c r="A55" s="2" t="s">
        <v>86</v>
      </c>
      <c r="B55" s="6">
        <v>48291.12</v>
      </c>
      <c r="C55" s="6">
        <v>12403.58</v>
      </c>
      <c r="F55" s="6">
        <v>35887.54</v>
      </c>
    </row>
    <row r="56" spans="1:7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>
      <c r="A57" s="4" t="s">
        <v>88</v>
      </c>
      <c r="B57" s="7">
        <v>477465.65</v>
      </c>
      <c r="C57" s="7">
        <v>122637.12</v>
      </c>
      <c r="F57" s="7">
        <v>354828.53</v>
      </c>
    </row>
    <row r="58" spans="1:7">
      <c r="B58" s="23">
        <f>SUM(B54:B56)</f>
        <v>477465.64999999997</v>
      </c>
      <c r="C58" s="23">
        <f t="shared" ref="C58:F58" si="0">SUM(C54:C56)</f>
        <v>122637.12</v>
      </c>
      <c r="D58" s="23"/>
      <c r="E58" s="23"/>
      <c r="F58" s="23">
        <f t="shared" si="0"/>
        <v>354828.52999999997</v>
      </c>
    </row>
    <row r="59" spans="1:7">
      <c r="A59" s="1"/>
    </row>
    <row r="61" spans="1:7">
      <c r="A61" s="31" t="s">
        <v>34</v>
      </c>
    </row>
    <row r="62" spans="1:7">
      <c r="A62" s="28" t="s">
        <v>35</v>
      </c>
      <c r="B62" s="18">
        <v>191354.03</v>
      </c>
    </row>
    <row r="63" spans="1:7">
      <c r="A63" s="27" t="s">
        <v>36</v>
      </c>
      <c r="B63" s="18">
        <v>260273.19</v>
      </c>
    </row>
    <row r="64" spans="1:7">
      <c r="A64" s="35" t="s">
        <v>37</v>
      </c>
      <c r="B64" s="36">
        <v>-68919.16</v>
      </c>
    </row>
    <row r="65" spans="2:2">
      <c r="B65" s="25">
        <f>SUM(B62:B63)</f>
        <v>451627.22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topLeftCell="A41" zoomScale="140" zoomScaleNormal="140" workbookViewId="0">
      <selection activeCell="A64" sqref="A64:B64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89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90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28387.8</v>
      </c>
      <c r="C16" s="6">
        <v>28387.8</v>
      </c>
    </row>
    <row r="17" spans="1:6">
      <c r="A17" s="2" t="s">
        <v>51</v>
      </c>
      <c r="B17" s="6">
        <v>5287.63</v>
      </c>
      <c r="C17" s="6">
        <v>5287.63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25002.18</v>
      </c>
      <c r="C20" s="6">
        <v>25002.18</v>
      </c>
    </row>
    <row r="21" spans="1:6">
      <c r="A21" s="2" t="s">
        <v>55</v>
      </c>
      <c r="B21" s="6">
        <v>2047.41</v>
      </c>
      <c r="C21" s="6">
        <v>2047.41</v>
      </c>
    </row>
    <row r="22" spans="1:6">
      <c r="A22" s="2" t="s">
        <v>56</v>
      </c>
      <c r="B22" s="6">
        <v>5849.75</v>
      </c>
      <c r="C22" s="6">
        <v>5849.75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3514.14</v>
      </c>
      <c r="C25" s="6">
        <v>3514.14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947.24</v>
      </c>
      <c r="C27" s="6">
        <v>947.24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22420.11</v>
      </c>
      <c r="F32" s="6">
        <v>22420.11</v>
      </c>
    </row>
    <row r="33" spans="1:6">
      <c r="A33" s="2" t="s">
        <v>66</v>
      </c>
      <c r="B33" s="6">
        <v>28072.36</v>
      </c>
      <c r="F33" s="6">
        <v>28072.36</v>
      </c>
    </row>
    <row r="34" spans="1:6">
      <c r="A34" s="2" t="s">
        <v>67</v>
      </c>
      <c r="B34" s="6">
        <v>15630.87</v>
      </c>
      <c r="F34" s="6">
        <v>15630.87</v>
      </c>
    </row>
    <row r="35" spans="1:6">
      <c r="A35" s="2" t="s">
        <v>68</v>
      </c>
      <c r="B35" s="6">
        <v>33364.559999999998</v>
      </c>
      <c r="F35" s="6">
        <v>33364.559999999998</v>
      </c>
    </row>
    <row r="36" spans="1:6">
      <c r="A36" s="2" t="s">
        <v>69</v>
      </c>
      <c r="B36" s="6">
        <v>35284.68</v>
      </c>
      <c r="F36" s="6">
        <v>35284.68</v>
      </c>
    </row>
    <row r="37" spans="1:6">
      <c r="A37" s="2" t="s">
        <v>70</v>
      </c>
      <c r="B37" s="6">
        <v>3313.81</v>
      </c>
      <c r="F37" s="6">
        <v>3313.81</v>
      </c>
    </row>
    <row r="38" spans="1:6">
      <c r="A38" s="2" t="s">
        <v>71</v>
      </c>
      <c r="B38" s="6">
        <v>16546.13</v>
      </c>
      <c r="F38" s="6">
        <v>16546.13</v>
      </c>
    </row>
    <row r="39" spans="1:6">
      <c r="A39" s="2" t="s">
        <v>72</v>
      </c>
      <c r="B39" s="6">
        <v>22380.23</v>
      </c>
      <c r="F39" s="6">
        <v>22380.23</v>
      </c>
    </row>
    <row r="40" spans="1:6">
      <c r="A40" s="2" t="s">
        <v>73</v>
      </c>
      <c r="B40" s="6">
        <v>17270.68</v>
      </c>
      <c r="F40" s="6">
        <v>17270.68</v>
      </c>
    </row>
    <row r="41" spans="1:6">
      <c r="A41" s="2" t="s">
        <v>74</v>
      </c>
      <c r="B41" s="6">
        <v>18558.310000000001</v>
      </c>
      <c r="F41" s="6">
        <v>18558.310000000001</v>
      </c>
    </row>
    <row r="42" spans="1:6">
      <c r="A42" s="2" t="s">
        <v>75</v>
      </c>
      <c r="B42" s="6">
        <v>42251.16</v>
      </c>
      <c r="F42" s="6">
        <v>42251.16</v>
      </c>
    </row>
    <row r="43" spans="1:6">
      <c r="A43" s="2" t="s">
        <v>76</v>
      </c>
      <c r="B43" s="6">
        <v>20566.05</v>
      </c>
      <c r="F43" s="6">
        <v>20566.05</v>
      </c>
    </row>
    <row r="44" spans="1:6">
      <c r="A44" s="2" t="s">
        <v>77</v>
      </c>
      <c r="B44" s="6">
        <v>2242.0700000000002</v>
      </c>
      <c r="F44" s="6">
        <v>2242.0700000000002</v>
      </c>
    </row>
    <row r="45" spans="1:6">
      <c r="A45" s="2" t="s">
        <v>78</v>
      </c>
      <c r="B45" s="6">
        <v>54791.16</v>
      </c>
      <c r="F45" s="6">
        <v>54791.16</v>
      </c>
    </row>
    <row r="46" spans="1:6">
      <c r="A46" s="2" t="s">
        <v>79</v>
      </c>
      <c r="B46" s="6">
        <v>7945.49</v>
      </c>
      <c r="F46" s="6">
        <v>7945.49</v>
      </c>
    </row>
    <row r="47" spans="1:6">
      <c r="A47" s="2" t="s">
        <v>80</v>
      </c>
      <c r="B47" s="6">
        <v>6585.61</v>
      </c>
      <c r="F47" s="6">
        <v>6585.61</v>
      </c>
    </row>
    <row r="48" spans="1:6">
      <c r="A48" s="2" t="s">
        <v>81</v>
      </c>
      <c r="B48" s="6">
        <v>7605.25</v>
      </c>
      <c r="F48" s="6">
        <v>7605.25</v>
      </c>
    </row>
    <row r="50" spans="1:7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>
      <c r="A51" s="2" t="s">
        <v>83</v>
      </c>
      <c r="C51" s="8">
        <v>0.25700000000000001</v>
      </c>
      <c r="F51" s="8">
        <v>0.74299999999999999</v>
      </c>
    </row>
    <row r="52" spans="1:7">
      <c r="B52" s="23">
        <f>SUM(B16:B48)</f>
        <v>477465.65</v>
      </c>
      <c r="C52" s="23">
        <f t="shared" ref="C52:F52" si="0">SUM(C16:C48)</f>
        <v>122637.12000000002</v>
      </c>
      <c r="D52" s="21" t="b">
        <v>1</v>
      </c>
      <c r="E52" s="23"/>
      <c r="F52" s="23">
        <f t="shared" si="0"/>
        <v>354828.53</v>
      </c>
      <c r="G52" s="21" t="b">
        <v>1</v>
      </c>
    </row>
    <row r="53" spans="1:7">
      <c r="A53" s="1" t="s">
        <v>84</v>
      </c>
    </row>
    <row r="54" spans="1:7">
      <c r="A54" s="2" t="s">
        <v>85</v>
      </c>
      <c r="B54" s="6">
        <v>389188.67</v>
      </c>
      <c r="C54" s="6">
        <v>99963.17</v>
      </c>
      <c r="F54" s="6">
        <v>289225.5</v>
      </c>
    </row>
    <row r="55" spans="1:7">
      <c r="A55" s="2" t="s">
        <v>86</v>
      </c>
      <c r="B55" s="6">
        <v>48291.12</v>
      </c>
      <c r="C55" s="6">
        <v>12403.58</v>
      </c>
      <c r="F55" s="6">
        <v>35887.54</v>
      </c>
    </row>
    <row r="56" spans="1:7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>
      <c r="A57" s="4" t="s">
        <v>88</v>
      </c>
      <c r="B57" s="7">
        <v>477465.65</v>
      </c>
      <c r="C57" s="7">
        <v>122637.12</v>
      </c>
      <c r="F57" s="7">
        <v>354828.53</v>
      </c>
    </row>
    <row r="58" spans="1:7">
      <c r="B58" s="23">
        <f>SUM(B54:B56)</f>
        <v>477465.64999999997</v>
      </c>
      <c r="C58" s="23">
        <f t="shared" ref="C58:F58" si="1">SUM(C54:C56)</f>
        <v>122637.12</v>
      </c>
      <c r="D58" s="23"/>
      <c r="E58" s="23"/>
      <c r="F58" s="23">
        <f t="shared" si="1"/>
        <v>354828.52999999997</v>
      </c>
    </row>
    <row r="59" spans="1:7">
      <c r="A59" s="1"/>
    </row>
    <row r="61" spans="1:7">
      <c r="A61" s="31" t="s">
        <v>34</v>
      </c>
    </row>
    <row r="62" spans="1:7">
      <c r="A62" s="28" t="s">
        <v>35</v>
      </c>
      <c r="B62" s="18">
        <v>191354.03</v>
      </c>
    </row>
    <row r="63" spans="1:7">
      <c r="A63" s="27" t="s">
        <v>36</v>
      </c>
      <c r="B63" s="18">
        <v>260273.19</v>
      </c>
    </row>
    <row r="64" spans="1:7">
      <c r="A64" s="35" t="s">
        <v>37</v>
      </c>
      <c r="B64" s="36">
        <v>-68919.16</v>
      </c>
    </row>
    <row r="65" spans="2:2">
      <c r="B65" s="25">
        <f>SUM(B62:B63)</f>
        <v>451627.22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6"/>
  <sheetViews>
    <sheetView topLeftCell="A47" zoomScale="140" zoomScaleNormal="140" workbookViewId="0">
      <selection activeCell="A65" sqref="A65:B65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91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92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30136.41</v>
      </c>
      <c r="C16" s="6">
        <v>30136.41</v>
      </c>
    </row>
    <row r="17" spans="1:6">
      <c r="A17" s="2" t="s">
        <v>51</v>
      </c>
      <c r="B17" s="6">
        <v>5465.85</v>
      </c>
      <c r="C17" s="6">
        <v>5465.85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26142.1</v>
      </c>
      <c r="C20" s="6">
        <v>26142.1</v>
      </c>
    </row>
    <row r="21" spans="1:6">
      <c r="A21" s="2" t="s">
        <v>55</v>
      </c>
      <c r="B21" s="6">
        <v>2272.2800000000002</v>
      </c>
      <c r="C21" s="6">
        <v>2272.2800000000002</v>
      </c>
    </row>
    <row r="22" spans="1:6">
      <c r="A22" s="2" t="s">
        <v>56</v>
      </c>
      <c r="B22" s="6">
        <v>6021.12</v>
      </c>
      <c r="C22" s="6">
        <v>6021.12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3873.27</v>
      </c>
      <c r="C25" s="6">
        <v>3873.27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1036.46</v>
      </c>
      <c r="C27" s="6">
        <v>1036.46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23448.01</v>
      </c>
      <c r="F32" s="6">
        <v>23448.01</v>
      </c>
    </row>
    <row r="33" spans="1:6">
      <c r="A33" s="2" t="s">
        <v>66</v>
      </c>
      <c r="B33" s="6">
        <v>29658.07</v>
      </c>
      <c r="F33" s="6">
        <v>29658.07</v>
      </c>
    </row>
    <row r="34" spans="1:6">
      <c r="A34" s="2" t="s">
        <v>67</v>
      </c>
      <c r="B34" s="6">
        <v>16607.810000000001</v>
      </c>
      <c r="F34" s="6">
        <v>16607.810000000001</v>
      </c>
    </row>
    <row r="35" spans="1:6">
      <c r="A35" s="2" t="s">
        <v>68</v>
      </c>
      <c r="B35" s="6">
        <v>34534.050000000003</v>
      </c>
      <c r="F35" s="6">
        <v>34534.050000000003</v>
      </c>
    </row>
    <row r="36" spans="1:6">
      <c r="A36" s="2" t="s">
        <v>69</v>
      </c>
      <c r="B36" s="6">
        <v>36249.919999999998</v>
      </c>
      <c r="F36" s="6">
        <v>36249.919999999998</v>
      </c>
    </row>
    <row r="37" spans="1:6">
      <c r="A37" s="2" t="s">
        <v>70</v>
      </c>
      <c r="B37" s="6">
        <v>3365.95</v>
      </c>
      <c r="F37" s="6">
        <v>3365.95</v>
      </c>
    </row>
    <row r="38" spans="1:6">
      <c r="A38" s="2" t="s">
        <v>71</v>
      </c>
      <c r="B38" s="6">
        <v>17091.990000000002</v>
      </c>
      <c r="F38" s="6">
        <v>17091.990000000002</v>
      </c>
    </row>
    <row r="39" spans="1:6">
      <c r="A39" s="2" t="s">
        <v>72</v>
      </c>
      <c r="B39" s="6">
        <v>23102.12</v>
      </c>
      <c r="F39" s="6">
        <v>23102.12</v>
      </c>
    </row>
    <row r="40" spans="1:6">
      <c r="A40" s="2" t="s">
        <v>73</v>
      </c>
      <c r="B40" s="6">
        <v>17776.66</v>
      </c>
      <c r="F40" s="6">
        <v>17776.66</v>
      </c>
    </row>
    <row r="41" spans="1:6">
      <c r="A41" s="2" t="s">
        <v>74</v>
      </c>
      <c r="B41" s="6">
        <v>19066</v>
      </c>
      <c r="F41" s="6">
        <v>19066</v>
      </c>
    </row>
    <row r="42" spans="1:6">
      <c r="A42" s="2" t="s">
        <v>75</v>
      </c>
      <c r="B42" s="6">
        <v>43666.66</v>
      </c>
      <c r="F42" s="6">
        <v>43666.66</v>
      </c>
    </row>
    <row r="43" spans="1:6">
      <c r="A43" s="2" t="s">
        <v>76</v>
      </c>
      <c r="B43" s="6">
        <v>21220.799999999999</v>
      </c>
      <c r="F43" s="6">
        <v>21220.799999999999</v>
      </c>
    </row>
    <row r="44" spans="1:6">
      <c r="A44" s="2" t="s">
        <v>77</v>
      </c>
      <c r="B44" s="6">
        <v>2526.0700000000002</v>
      </c>
      <c r="F44" s="6">
        <v>2526.0700000000002</v>
      </c>
    </row>
    <row r="45" spans="1:6">
      <c r="A45" s="2" t="s">
        <v>93</v>
      </c>
      <c r="B45" s="6">
        <v>112.69</v>
      </c>
      <c r="F45" s="6">
        <v>112.69</v>
      </c>
    </row>
    <row r="46" spans="1:6">
      <c r="A46" s="2" t="s">
        <v>78</v>
      </c>
      <c r="B46" s="6">
        <v>56261.51</v>
      </c>
      <c r="F46" s="6">
        <v>56261.51</v>
      </c>
    </row>
    <row r="47" spans="1:6">
      <c r="A47" s="2" t="s">
        <v>79</v>
      </c>
      <c r="B47" s="6">
        <v>7945.49</v>
      </c>
      <c r="F47" s="6">
        <v>7945.49</v>
      </c>
    </row>
    <row r="48" spans="1:6">
      <c r="A48" s="2" t="s">
        <v>80</v>
      </c>
      <c r="B48" s="6">
        <v>6661.79</v>
      </c>
      <c r="F48" s="6">
        <v>6661.79</v>
      </c>
    </row>
    <row r="49" spans="1:7">
      <c r="A49" s="2" t="s">
        <v>81</v>
      </c>
      <c r="B49" s="6">
        <v>7605.25</v>
      </c>
      <c r="F49" s="6">
        <v>7605.25</v>
      </c>
    </row>
    <row r="51" spans="1:7">
      <c r="A51" s="4" t="s">
        <v>82</v>
      </c>
      <c r="B51" s="7">
        <v>493449.3</v>
      </c>
      <c r="C51" s="7">
        <v>126548.46</v>
      </c>
      <c r="F51" s="7">
        <v>366900.84</v>
      </c>
    </row>
    <row r="52" spans="1:7">
      <c r="A52" s="2" t="s">
        <v>83</v>
      </c>
      <c r="C52" s="8">
        <v>0.25600000000000001</v>
      </c>
      <c r="F52" s="8">
        <v>0.74399999999999999</v>
      </c>
    </row>
    <row r="53" spans="1:7">
      <c r="B53" s="23">
        <f>SUM(B16:B49)</f>
        <v>493449.29999999993</v>
      </c>
      <c r="C53" s="23">
        <f>SUM(C16:C49)</f>
        <v>126548.46000000002</v>
      </c>
      <c r="D53" s="21" t="b">
        <v>1</v>
      </c>
      <c r="E53" s="23"/>
      <c r="F53" s="23">
        <f>SUM(F16:F49)</f>
        <v>366900.83999999997</v>
      </c>
      <c r="G53" s="21" t="b">
        <v>1</v>
      </c>
    </row>
    <row r="54" spans="1:7">
      <c r="A54" s="1" t="s">
        <v>84</v>
      </c>
    </row>
    <row r="55" spans="1:7">
      <c r="A55" s="2" t="s">
        <v>85</v>
      </c>
      <c r="B55" s="6">
        <v>402217.16</v>
      </c>
      <c r="C55" s="6">
        <v>103151.35</v>
      </c>
      <c r="F55" s="6">
        <v>299065.81</v>
      </c>
    </row>
    <row r="56" spans="1:7">
      <c r="A56" s="2" t="s">
        <v>86</v>
      </c>
      <c r="B56" s="6">
        <v>49907.71</v>
      </c>
      <c r="C56" s="6">
        <v>12799.17</v>
      </c>
      <c r="F56" s="6">
        <v>37108.54</v>
      </c>
    </row>
    <row r="57" spans="1:7">
      <c r="A57" s="2" t="s">
        <v>87</v>
      </c>
      <c r="B57" s="6">
        <v>41324.43</v>
      </c>
      <c r="C57" s="6">
        <v>10597.94</v>
      </c>
      <c r="F57" s="6">
        <v>30726.49</v>
      </c>
    </row>
    <row r="58" spans="1:7">
      <c r="A58" s="4" t="s">
        <v>88</v>
      </c>
      <c r="B58" s="7">
        <v>493449.3</v>
      </c>
      <c r="C58" s="7">
        <v>126548.46</v>
      </c>
      <c r="F58" s="7">
        <v>366900.84</v>
      </c>
    </row>
    <row r="59" spans="1:7">
      <c r="B59" s="23">
        <f>SUM(B55:B57)</f>
        <v>493449.3</v>
      </c>
      <c r="C59" s="23">
        <f t="shared" ref="C59:F59" si="0">SUM(C55:C57)</f>
        <v>126548.46</v>
      </c>
      <c r="D59" s="23"/>
      <c r="E59" s="23"/>
      <c r="F59" s="23">
        <f t="shared" si="0"/>
        <v>366900.83999999997</v>
      </c>
    </row>
    <row r="60" spans="1:7">
      <c r="A60" s="1"/>
    </row>
    <row r="62" spans="1:7">
      <c r="A62" s="31" t="s">
        <v>34</v>
      </c>
    </row>
    <row r="63" spans="1:7">
      <c r="A63" s="32" t="s">
        <v>35</v>
      </c>
      <c r="B63" s="18">
        <v>197759.81</v>
      </c>
    </row>
    <row r="64" spans="1:7">
      <c r="A64" s="27" t="s">
        <v>36</v>
      </c>
      <c r="B64" s="18">
        <v>240510.1</v>
      </c>
    </row>
    <row r="65" spans="1:2">
      <c r="A65" s="35" t="s">
        <v>37</v>
      </c>
      <c r="B65" s="36">
        <v>-42750.29</v>
      </c>
    </row>
    <row r="66" spans="1:2">
      <c r="B66" s="25">
        <f>SUM(B63:B64)</f>
        <v>438269.91000000003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"/>
  <sheetViews>
    <sheetView topLeftCell="A40" zoomScale="140" zoomScaleNormal="140" workbookViewId="0">
      <selection activeCell="A64" sqref="A64:B64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94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95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28387.8</v>
      </c>
      <c r="C16" s="6">
        <v>28387.8</v>
      </c>
    </row>
    <row r="17" spans="1:6">
      <c r="A17" s="2" t="s">
        <v>51</v>
      </c>
      <c r="B17" s="6">
        <v>5287.63</v>
      </c>
      <c r="C17" s="6">
        <v>5287.63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25002.18</v>
      </c>
      <c r="C20" s="6">
        <v>25002.18</v>
      </c>
    </row>
    <row r="21" spans="1:6">
      <c r="A21" s="2" t="s">
        <v>55</v>
      </c>
      <c r="B21" s="6">
        <v>2047.41</v>
      </c>
      <c r="C21" s="6">
        <v>2047.41</v>
      </c>
    </row>
    <row r="22" spans="1:6">
      <c r="A22" s="2" t="s">
        <v>56</v>
      </c>
      <c r="B22" s="6">
        <v>5849.75</v>
      </c>
      <c r="C22" s="6">
        <v>5849.75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3514.14</v>
      </c>
      <c r="C25" s="6">
        <v>3514.14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947.24</v>
      </c>
      <c r="C27" s="6">
        <v>947.24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22420.11</v>
      </c>
      <c r="F32" s="6">
        <v>22420.11</v>
      </c>
    </row>
    <row r="33" spans="1:6">
      <c r="A33" s="2" t="s">
        <v>66</v>
      </c>
      <c r="B33" s="6">
        <v>28072.36</v>
      </c>
      <c r="F33" s="6">
        <v>28072.36</v>
      </c>
    </row>
    <row r="34" spans="1:6">
      <c r="A34" s="2" t="s">
        <v>67</v>
      </c>
      <c r="B34" s="6">
        <v>15630.87</v>
      </c>
      <c r="F34" s="6">
        <v>15630.87</v>
      </c>
    </row>
    <row r="35" spans="1:6">
      <c r="A35" s="2" t="s">
        <v>68</v>
      </c>
      <c r="B35" s="6">
        <v>33364.559999999998</v>
      </c>
      <c r="F35" s="6">
        <v>33364.559999999998</v>
      </c>
    </row>
    <row r="36" spans="1:6">
      <c r="A36" s="2" t="s">
        <v>69</v>
      </c>
      <c r="B36" s="6">
        <v>35284.68</v>
      </c>
      <c r="F36" s="6">
        <v>35284.68</v>
      </c>
    </row>
    <row r="37" spans="1:6">
      <c r="A37" s="2" t="s">
        <v>70</v>
      </c>
      <c r="B37" s="6">
        <v>3313.81</v>
      </c>
      <c r="F37" s="6">
        <v>3313.81</v>
      </c>
    </row>
    <row r="38" spans="1:6">
      <c r="A38" s="2" t="s">
        <v>71</v>
      </c>
      <c r="B38" s="6">
        <v>16546.13</v>
      </c>
      <c r="F38" s="6">
        <v>16546.13</v>
      </c>
    </row>
    <row r="39" spans="1:6">
      <c r="A39" s="2" t="s">
        <v>72</v>
      </c>
      <c r="B39" s="6">
        <v>22380.23</v>
      </c>
      <c r="F39" s="6">
        <v>22380.23</v>
      </c>
    </row>
    <row r="40" spans="1:6">
      <c r="A40" s="2" t="s">
        <v>73</v>
      </c>
      <c r="B40" s="6">
        <v>17270.68</v>
      </c>
      <c r="F40" s="6">
        <v>17270.68</v>
      </c>
    </row>
    <row r="41" spans="1:6">
      <c r="A41" s="2" t="s">
        <v>74</v>
      </c>
      <c r="B41" s="6">
        <v>18558.310000000001</v>
      </c>
      <c r="F41" s="6">
        <v>18558.310000000001</v>
      </c>
    </row>
    <row r="42" spans="1:6">
      <c r="A42" s="2" t="s">
        <v>75</v>
      </c>
      <c r="B42" s="6">
        <v>42251.16</v>
      </c>
      <c r="F42" s="6">
        <v>42251.16</v>
      </c>
    </row>
    <row r="43" spans="1:6">
      <c r="A43" s="2" t="s">
        <v>76</v>
      </c>
      <c r="B43" s="6">
        <v>20566.05</v>
      </c>
      <c r="F43" s="6">
        <v>20566.05</v>
      </c>
    </row>
    <row r="44" spans="1:6">
      <c r="A44" s="2" t="s">
        <v>77</v>
      </c>
      <c r="B44" s="6">
        <v>2242.0700000000002</v>
      </c>
      <c r="F44" s="6">
        <v>2242.0700000000002</v>
      </c>
    </row>
    <row r="45" spans="1:6">
      <c r="A45" s="2" t="s">
        <v>78</v>
      </c>
      <c r="B45" s="6">
        <v>54791.16</v>
      </c>
      <c r="F45" s="6">
        <v>54791.16</v>
      </c>
    </row>
    <row r="46" spans="1:6">
      <c r="A46" s="2" t="s">
        <v>79</v>
      </c>
      <c r="B46" s="6">
        <v>7945.49</v>
      </c>
      <c r="F46" s="6">
        <v>7945.49</v>
      </c>
    </row>
    <row r="47" spans="1:6">
      <c r="A47" s="2" t="s">
        <v>80</v>
      </c>
      <c r="B47" s="6">
        <v>6585.61</v>
      </c>
      <c r="F47" s="6">
        <v>6585.61</v>
      </c>
    </row>
    <row r="48" spans="1:6">
      <c r="A48" s="2" t="s">
        <v>81</v>
      </c>
      <c r="B48" s="6">
        <v>7605.25</v>
      </c>
      <c r="F48" s="6">
        <v>7605.25</v>
      </c>
    </row>
    <row r="50" spans="1:7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>
      <c r="A51" s="2" t="s">
        <v>83</v>
      </c>
      <c r="C51" s="8">
        <v>0.25700000000000001</v>
      </c>
      <c r="F51" s="8">
        <v>0.74299999999999999</v>
      </c>
    </row>
    <row r="52" spans="1:7">
      <c r="B52" s="23">
        <f>SUM(B16:B48)</f>
        <v>477465.65</v>
      </c>
      <c r="C52" s="23">
        <f t="shared" ref="C52:F52" si="0">SUM(C16:C48)</f>
        <v>122637.12000000002</v>
      </c>
      <c r="D52" s="21" t="b">
        <v>1</v>
      </c>
      <c r="E52" s="23"/>
      <c r="F52" s="23">
        <f t="shared" si="0"/>
        <v>354828.53</v>
      </c>
      <c r="G52" s="21" t="b">
        <v>1</v>
      </c>
    </row>
    <row r="53" spans="1:7">
      <c r="A53" s="1" t="s">
        <v>84</v>
      </c>
    </row>
    <row r="54" spans="1:7">
      <c r="A54" s="2" t="s">
        <v>85</v>
      </c>
      <c r="B54" s="6">
        <v>389188.67</v>
      </c>
      <c r="C54" s="6">
        <v>99963.17</v>
      </c>
      <c r="F54" s="6">
        <v>289225.5</v>
      </c>
    </row>
    <row r="55" spans="1:7">
      <c r="A55" s="2" t="s">
        <v>86</v>
      </c>
      <c r="B55" s="6">
        <v>48291.12</v>
      </c>
      <c r="C55" s="6">
        <v>12403.58</v>
      </c>
      <c r="F55" s="6">
        <v>35887.54</v>
      </c>
    </row>
    <row r="56" spans="1:7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>
      <c r="A57" s="4" t="s">
        <v>88</v>
      </c>
      <c r="B57" s="7">
        <v>477465.65</v>
      </c>
      <c r="C57" s="7">
        <v>122637.12</v>
      </c>
      <c r="F57" s="7">
        <v>354828.53</v>
      </c>
    </row>
    <row r="58" spans="1:7">
      <c r="B58" s="23">
        <f>SUM(B54:B56)</f>
        <v>477465.64999999997</v>
      </c>
      <c r="C58" s="23">
        <f t="shared" ref="C58:F58" si="1">SUM(C54:C56)</f>
        <v>122637.12</v>
      </c>
      <c r="D58" s="23"/>
      <c r="E58" s="23"/>
      <c r="F58" s="23">
        <f t="shared" si="1"/>
        <v>354828.52999999997</v>
      </c>
    </row>
    <row r="59" spans="1:7">
      <c r="A59" s="1"/>
    </row>
    <row r="61" spans="1:7">
      <c r="A61" s="31" t="s">
        <v>34</v>
      </c>
    </row>
    <row r="62" spans="1:7">
      <c r="A62" s="28" t="s">
        <v>35</v>
      </c>
      <c r="B62" s="18">
        <v>191354.03</v>
      </c>
    </row>
    <row r="63" spans="1:7">
      <c r="A63" s="27" t="s">
        <v>36</v>
      </c>
      <c r="B63" s="18">
        <v>260273.19</v>
      </c>
    </row>
    <row r="64" spans="1:7">
      <c r="A64" s="35" t="s">
        <v>37</v>
      </c>
      <c r="B64" s="36">
        <v>-68919.16</v>
      </c>
    </row>
    <row r="65" spans="2:2">
      <c r="B65" s="25">
        <f>SUM(B62:B63)</f>
        <v>451627.22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6"/>
  <sheetViews>
    <sheetView topLeftCell="A46" zoomScale="140" zoomScaleNormal="140" workbookViewId="0">
      <selection activeCell="A64" sqref="A64:B64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96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97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28387.8</v>
      </c>
      <c r="C16" s="6">
        <v>28387.8</v>
      </c>
    </row>
    <row r="17" spans="1:6">
      <c r="A17" s="2" t="s">
        <v>51</v>
      </c>
      <c r="B17" s="6">
        <v>5287.63</v>
      </c>
      <c r="C17" s="6">
        <v>5287.63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25002.18</v>
      </c>
      <c r="C20" s="6">
        <v>25002.18</v>
      </c>
    </row>
    <row r="21" spans="1:6">
      <c r="A21" s="2" t="s">
        <v>55</v>
      </c>
      <c r="B21" s="6">
        <v>2047.41</v>
      </c>
      <c r="C21" s="6">
        <v>2047.41</v>
      </c>
    </row>
    <row r="22" spans="1:6">
      <c r="A22" s="2" t="s">
        <v>56</v>
      </c>
      <c r="B22" s="6">
        <v>5849.75</v>
      </c>
      <c r="C22" s="6">
        <v>5849.75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3514.14</v>
      </c>
      <c r="C25" s="6">
        <v>3514.14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947.24</v>
      </c>
      <c r="C27" s="6">
        <v>947.24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22420.11</v>
      </c>
      <c r="F32" s="6">
        <v>22420.11</v>
      </c>
    </row>
    <row r="33" spans="1:6">
      <c r="A33" s="2" t="s">
        <v>66</v>
      </c>
      <c r="B33" s="6">
        <v>28072.36</v>
      </c>
      <c r="F33" s="6">
        <v>28072.36</v>
      </c>
    </row>
    <row r="34" spans="1:6">
      <c r="A34" s="2" t="s">
        <v>67</v>
      </c>
      <c r="B34" s="6">
        <v>15630.87</v>
      </c>
      <c r="F34" s="6">
        <v>15630.87</v>
      </c>
    </row>
    <row r="35" spans="1:6">
      <c r="A35" s="2" t="s">
        <v>68</v>
      </c>
      <c r="B35" s="6">
        <v>33364.559999999998</v>
      </c>
      <c r="F35" s="6">
        <v>33364.559999999998</v>
      </c>
    </row>
    <row r="36" spans="1:6">
      <c r="A36" s="2" t="s">
        <v>69</v>
      </c>
      <c r="B36" s="6">
        <v>35284.68</v>
      </c>
      <c r="F36" s="6">
        <v>35284.68</v>
      </c>
    </row>
    <row r="37" spans="1:6">
      <c r="A37" s="2" t="s">
        <v>70</v>
      </c>
      <c r="B37" s="6">
        <v>3313.81</v>
      </c>
      <c r="F37" s="6">
        <v>3313.81</v>
      </c>
    </row>
    <row r="38" spans="1:6">
      <c r="A38" s="2" t="s">
        <v>71</v>
      </c>
      <c r="B38" s="6">
        <v>16546.13</v>
      </c>
      <c r="F38" s="6">
        <v>16546.13</v>
      </c>
    </row>
    <row r="39" spans="1:6">
      <c r="A39" s="2" t="s">
        <v>72</v>
      </c>
      <c r="B39" s="6">
        <v>22380.23</v>
      </c>
      <c r="F39" s="6">
        <v>22380.23</v>
      </c>
    </row>
    <row r="40" spans="1:6">
      <c r="A40" s="2" t="s">
        <v>73</v>
      </c>
      <c r="B40" s="6">
        <v>17270.68</v>
      </c>
      <c r="F40" s="6">
        <v>17270.68</v>
      </c>
    </row>
    <row r="41" spans="1:6">
      <c r="A41" s="2" t="s">
        <v>74</v>
      </c>
      <c r="B41" s="6">
        <v>18558.310000000001</v>
      </c>
      <c r="F41" s="6">
        <v>18558.310000000001</v>
      </c>
    </row>
    <row r="42" spans="1:6">
      <c r="A42" s="2" t="s">
        <v>75</v>
      </c>
      <c r="B42" s="6">
        <v>42251.16</v>
      </c>
      <c r="F42" s="6">
        <v>42251.16</v>
      </c>
    </row>
    <row r="43" spans="1:6">
      <c r="A43" s="2" t="s">
        <v>76</v>
      </c>
      <c r="B43" s="6">
        <v>20566.05</v>
      </c>
      <c r="F43" s="6">
        <v>20566.05</v>
      </c>
    </row>
    <row r="44" spans="1:6">
      <c r="A44" s="2" t="s">
        <v>77</v>
      </c>
      <c r="B44" s="6">
        <v>2242.0700000000002</v>
      </c>
      <c r="F44" s="6">
        <v>2242.0700000000002</v>
      </c>
    </row>
    <row r="45" spans="1:6">
      <c r="A45" s="2" t="s">
        <v>78</v>
      </c>
      <c r="B45" s="6">
        <v>54791.16</v>
      </c>
      <c r="F45" s="6">
        <v>54791.16</v>
      </c>
    </row>
    <row r="46" spans="1:6">
      <c r="A46" s="2" t="s">
        <v>79</v>
      </c>
      <c r="B46" s="6">
        <v>7945.49</v>
      </c>
      <c r="F46" s="6">
        <v>7945.49</v>
      </c>
    </row>
    <row r="47" spans="1:6">
      <c r="A47" s="2" t="s">
        <v>80</v>
      </c>
      <c r="B47" s="6">
        <v>6585.61</v>
      </c>
      <c r="F47" s="6">
        <v>6585.61</v>
      </c>
    </row>
    <row r="48" spans="1:6">
      <c r="A48" s="2" t="s">
        <v>81</v>
      </c>
      <c r="B48" s="6">
        <v>7605.25</v>
      </c>
      <c r="F48" s="6">
        <v>7605.25</v>
      </c>
    </row>
    <row r="50" spans="1:7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>
      <c r="A51" s="2" t="s">
        <v>83</v>
      </c>
      <c r="C51" s="8">
        <v>0.25700000000000001</v>
      </c>
      <c r="F51" s="8">
        <v>0.74299999999999999</v>
      </c>
    </row>
    <row r="52" spans="1:7">
      <c r="B52" s="23">
        <f>SUM(B16:B48)</f>
        <v>477465.65</v>
      </c>
      <c r="C52" s="23">
        <f t="shared" ref="C52:F52" si="0">SUM(C16:C48)</f>
        <v>122637.12000000002</v>
      </c>
      <c r="D52" s="21" t="b">
        <v>1</v>
      </c>
      <c r="E52" s="23"/>
      <c r="F52" s="23">
        <f t="shared" si="0"/>
        <v>354828.53</v>
      </c>
      <c r="G52" s="21" t="b">
        <v>1</v>
      </c>
    </row>
    <row r="53" spans="1:7">
      <c r="A53" s="1" t="s">
        <v>84</v>
      </c>
    </row>
    <row r="54" spans="1:7">
      <c r="A54" s="2" t="s">
        <v>85</v>
      </c>
      <c r="B54" s="6">
        <v>389188.67</v>
      </c>
      <c r="C54" s="6">
        <v>99963.17</v>
      </c>
      <c r="F54" s="6">
        <v>289225.5</v>
      </c>
    </row>
    <row r="55" spans="1:7">
      <c r="A55" s="2" t="s">
        <v>86</v>
      </c>
      <c r="B55" s="6">
        <v>48291.12</v>
      </c>
      <c r="C55" s="6">
        <v>12403.58</v>
      </c>
      <c r="F55" s="6">
        <v>35887.54</v>
      </c>
    </row>
    <row r="56" spans="1:7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>
      <c r="A57" s="4" t="s">
        <v>88</v>
      </c>
      <c r="B57" s="7">
        <v>477465.65</v>
      </c>
      <c r="C57" s="7">
        <v>122637.12</v>
      </c>
      <c r="F57" s="7">
        <v>354828.53</v>
      </c>
    </row>
    <row r="58" spans="1:7">
      <c r="B58" s="23">
        <f>SUM(B54:B56)</f>
        <v>477465.64999999997</v>
      </c>
      <c r="C58" s="23">
        <f t="shared" ref="C58:F58" si="1">SUM(C54:C56)</f>
        <v>122637.12</v>
      </c>
      <c r="D58" s="23"/>
      <c r="E58" s="23"/>
      <c r="F58" s="23">
        <f t="shared" si="1"/>
        <v>354828.52999999997</v>
      </c>
      <c r="G58" s="21" t="b">
        <v>1</v>
      </c>
    </row>
    <row r="59" spans="1:7">
      <c r="A59" s="1"/>
    </row>
    <row r="61" spans="1:7">
      <c r="A61" s="31" t="s">
        <v>34</v>
      </c>
    </row>
    <row r="62" spans="1:7">
      <c r="A62" s="28" t="s">
        <v>35</v>
      </c>
      <c r="B62" s="18">
        <v>191354.03</v>
      </c>
    </row>
    <row r="63" spans="1:7">
      <c r="A63" s="27" t="s">
        <v>36</v>
      </c>
      <c r="B63" s="18">
        <v>260273.19</v>
      </c>
    </row>
    <row r="64" spans="1:7">
      <c r="A64" s="35" t="s">
        <v>37</v>
      </c>
      <c r="B64" s="36">
        <v>-68919.16</v>
      </c>
    </row>
    <row r="65" spans="2:2">
      <c r="B65" s="25">
        <f>SUM(B62:B63)</f>
        <v>451627.22</v>
      </c>
    </row>
    <row r="66" spans="2:2">
      <c r="B66" s="1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8"/>
  <sheetViews>
    <sheetView topLeftCell="A41" zoomScale="130" zoomScaleNormal="130" workbookViewId="0">
      <selection activeCell="A57" sqref="A57:B57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98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99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148.53</v>
      </c>
      <c r="C16" s="6">
        <v>148.53</v>
      </c>
    </row>
    <row r="17" spans="1:6">
      <c r="A17" s="2" t="s">
        <v>51</v>
      </c>
      <c r="B17" s="6">
        <v>292.56</v>
      </c>
      <c r="C17" s="6">
        <v>292.56</v>
      </c>
    </row>
    <row r="18" spans="1:6">
      <c r="A18" s="2" t="s">
        <v>52</v>
      </c>
      <c r="B18" s="6">
        <v>855.53</v>
      </c>
      <c r="C18" s="6">
        <v>855.53</v>
      </c>
    </row>
    <row r="19" spans="1:6">
      <c r="A19" s="2" t="s">
        <v>100</v>
      </c>
      <c r="B19" s="6">
        <v>145.41</v>
      </c>
      <c r="C19" s="6">
        <v>145.41</v>
      </c>
    </row>
    <row r="20" spans="1:6">
      <c r="A20" s="2" t="s">
        <v>55</v>
      </c>
      <c r="B20" s="6">
        <v>383.89</v>
      </c>
      <c r="C20" s="6">
        <v>383.89</v>
      </c>
    </row>
    <row r="21" spans="1:6">
      <c r="A21" s="2" t="s">
        <v>101</v>
      </c>
      <c r="B21" s="6">
        <v>231.79</v>
      </c>
      <c r="C21" s="6">
        <v>231.79</v>
      </c>
    </row>
    <row r="22" spans="1:6">
      <c r="A22" s="2" t="s">
        <v>58</v>
      </c>
      <c r="B22" s="6">
        <v>1223.1400000000001</v>
      </c>
      <c r="C22" s="6">
        <v>1223.1400000000001</v>
      </c>
    </row>
    <row r="23" spans="1:6">
      <c r="A23" s="2" t="s">
        <v>59</v>
      </c>
      <c r="B23" s="6">
        <v>199.38</v>
      </c>
      <c r="C23" s="6">
        <v>199.38</v>
      </c>
    </row>
    <row r="24" spans="1:6">
      <c r="A24" s="2" t="s">
        <v>102</v>
      </c>
      <c r="B24" s="6">
        <v>967.76</v>
      </c>
      <c r="C24" s="6">
        <v>967.76</v>
      </c>
    </row>
    <row r="25" spans="1:6">
      <c r="A25" s="2" t="s">
        <v>61</v>
      </c>
      <c r="B25" s="6">
        <v>574.11</v>
      </c>
      <c r="C25" s="6">
        <v>574.11</v>
      </c>
    </row>
    <row r="26" spans="1:6">
      <c r="A26" s="2" t="s">
        <v>63</v>
      </c>
      <c r="B26" s="6">
        <v>3351.41</v>
      </c>
      <c r="C26" s="6">
        <v>3351.41</v>
      </c>
    </row>
    <row r="28" spans="1:6">
      <c r="A28" s="5" t="s">
        <v>64</v>
      </c>
    </row>
    <row r="29" spans="1:6">
      <c r="A29" s="2" t="s">
        <v>65</v>
      </c>
      <c r="B29" s="6">
        <v>2719.68</v>
      </c>
      <c r="F29" s="6">
        <v>2719.68</v>
      </c>
    </row>
    <row r="30" spans="1:6">
      <c r="A30" s="2" t="s">
        <v>66</v>
      </c>
      <c r="B30" s="6">
        <v>3519.01</v>
      </c>
      <c r="F30" s="6">
        <v>3519.01</v>
      </c>
    </row>
    <row r="31" spans="1:6">
      <c r="A31" s="2" t="s">
        <v>67</v>
      </c>
      <c r="B31" s="6">
        <v>2302.98</v>
      </c>
      <c r="F31" s="6">
        <v>2302.98</v>
      </c>
    </row>
    <row r="32" spans="1:6">
      <c r="A32" s="2" t="s">
        <v>68</v>
      </c>
      <c r="B32" s="6">
        <v>2425.62</v>
      </c>
      <c r="F32" s="6">
        <v>2425.62</v>
      </c>
    </row>
    <row r="33" spans="1:7">
      <c r="A33" s="2" t="s">
        <v>70</v>
      </c>
      <c r="B33" s="6">
        <v>317.12</v>
      </c>
      <c r="F33" s="6">
        <v>317.12</v>
      </c>
    </row>
    <row r="34" spans="1:7">
      <c r="A34" s="2" t="s">
        <v>71</v>
      </c>
      <c r="B34" s="6">
        <v>1711.27</v>
      </c>
      <c r="F34" s="6">
        <v>1711.27</v>
      </c>
    </row>
    <row r="35" spans="1:7">
      <c r="A35" s="2" t="s">
        <v>72</v>
      </c>
      <c r="B35" s="6">
        <v>1055.79</v>
      </c>
      <c r="F35" s="6">
        <v>1055.79</v>
      </c>
    </row>
    <row r="36" spans="1:7">
      <c r="A36" s="2" t="s">
        <v>73</v>
      </c>
      <c r="B36" s="6">
        <v>708.36</v>
      </c>
      <c r="F36" s="6">
        <v>708.36</v>
      </c>
    </row>
    <row r="37" spans="1:7">
      <c r="A37" s="2" t="s">
        <v>74</v>
      </c>
      <c r="B37" s="6">
        <v>1052.96</v>
      </c>
      <c r="F37" s="6">
        <v>1052.96</v>
      </c>
    </row>
    <row r="38" spans="1:7">
      <c r="A38" s="2" t="s">
        <v>75</v>
      </c>
      <c r="B38" s="6">
        <v>1843.49</v>
      </c>
      <c r="F38" s="6">
        <v>1843.49</v>
      </c>
    </row>
    <row r="39" spans="1:7">
      <c r="A39" s="2" t="s">
        <v>76</v>
      </c>
      <c r="B39" s="6">
        <v>1263.3800000000001</v>
      </c>
      <c r="F39" s="6">
        <v>1263.3800000000001</v>
      </c>
    </row>
    <row r="40" spans="1:7">
      <c r="A40" s="2" t="s">
        <v>77</v>
      </c>
      <c r="B40" s="6">
        <v>673.55</v>
      </c>
      <c r="F40" s="6">
        <v>673.55</v>
      </c>
    </row>
    <row r="41" spans="1:7">
      <c r="A41" s="2" t="s">
        <v>78</v>
      </c>
      <c r="B41" s="6">
        <v>4284.8</v>
      </c>
      <c r="F41" s="6">
        <v>4284.8</v>
      </c>
    </row>
    <row r="43" spans="1:7">
      <c r="A43" s="4" t="s">
        <v>82</v>
      </c>
      <c r="B43" s="7">
        <v>32251.52</v>
      </c>
      <c r="C43" s="7">
        <v>8373.51</v>
      </c>
      <c r="F43" s="7">
        <v>23878.01</v>
      </c>
    </row>
    <row r="44" spans="1:7">
      <c r="A44" s="2" t="s">
        <v>83</v>
      </c>
      <c r="C44" s="8">
        <v>0.26</v>
      </c>
      <c r="F44" s="8">
        <v>0.74</v>
      </c>
    </row>
    <row r="45" spans="1:7">
      <c r="B45" s="23">
        <f>SUM(B9:B41)</f>
        <v>32251.52</v>
      </c>
      <c r="C45" s="23">
        <f t="shared" ref="C45:F45" si="0">SUM(C9:C41)</f>
        <v>8373.51</v>
      </c>
      <c r="D45" s="21" t="b">
        <v>1</v>
      </c>
      <c r="E45" s="23"/>
      <c r="F45" s="23">
        <f t="shared" si="0"/>
        <v>23878.010000000002</v>
      </c>
      <c r="G45" s="21" t="b">
        <v>1</v>
      </c>
    </row>
    <row r="46" spans="1:7">
      <c r="A46" s="1" t="s">
        <v>84</v>
      </c>
    </row>
    <row r="47" spans="1:7">
      <c r="A47" s="2" t="s">
        <v>85</v>
      </c>
      <c r="B47" s="6">
        <v>26288.67</v>
      </c>
      <c r="C47" s="6">
        <v>6825.37</v>
      </c>
      <c r="F47" s="6">
        <v>19463.3</v>
      </c>
    </row>
    <row r="48" spans="1:7">
      <c r="A48" s="2" t="s">
        <v>86</v>
      </c>
      <c r="B48" s="6">
        <v>3261.92</v>
      </c>
      <c r="C48" s="6">
        <v>846.9</v>
      </c>
      <c r="F48" s="6">
        <v>2415.02</v>
      </c>
    </row>
    <row r="49" spans="1:6">
      <c r="A49" s="2" t="s">
        <v>87</v>
      </c>
      <c r="B49" s="6">
        <v>2700.93</v>
      </c>
      <c r="C49" s="6">
        <v>701.24</v>
      </c>
      <c r="F49" s="6">
        <v>1999.69</v>
      </c>
    </row>
    <row r="50" spans="1:6">
      <c r="A50" s="4" t="s">
        <v>88</v>
      </c>
      <c r="B50" s="7">
        <v>32251.52</v>
      </c>
      <c r="C50" s="7">
        <v>8373.51</v>
      </c>
      <c r="F50" s="7">
        <v>23878.01</v>
      </c>
    </row>
    <row r="51" spans="1:6">
      <c r="B51" s="23">
        <f>SUM(B47:B49)</f>
        <v>32251.519999999997</v>
      </c>
      <c r="C51" s="23">
        <f t="shared" ref="C51:F51" si="1">SUM(C47:C49)</f>
        <v>8373.51</v>
      </c>
      <c r="D51" s="23"/>
      <c r="E51" s="23"/>
      <c r="F51" s="23">
        <f t="shared" si="1"/>
        <v>23878.01</v>
      </c>
    </row>
    <row r="52" spans="1:6">
      <c r="A52" s="1"/>
    </row>
    <row r="54" spans="1:6">
      <c r="A54" s="31" t="s">
        <v>34</v>
      </c>
    </row>
    <row r="55" spans="1:6">
      <c r="A55" s="28" t="s">
        <v>35</v>
      </c>
      <c r="B55" s="18">
        <v>12925.43</v>
      </c>
    </row>
    <row r="56" spans="1:6">
      <c r="A56" s="27" t="s">
        <v>36</v>
      </c>
      <c r="B56" s="18">
        <v>15790.24</v>
      </c>
    </row>
    <row r="57" spans="1:6">
      <c r="A57" s="35" t="s">
        <v>37</v>
      </c>
      <c r="B57" s="36">
        <v>-2864.81</v>
      </c>
    </row>
    <row r="58" spans="1:6">
      <c r="B58" s="25">
        <f>SUM(B55:B56)</f>
        <v>28715.67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"/>
  <sheetViews>
    <sheetView topLeftCell="A39" zoomScale="150" zoomScaleNormal="150" workbookViewId="0">
      <selection activeCell="F59" sqref="F59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103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104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148.53</v>
      </c>
      <c r="C16" s="6">
        <v>148.53</v>
      </c>
    </row>
    <row r="17" spans="1:6">
      <c r="A17" s="2" t="s">
        <v>51</v>
      </c>
      <c r="B17" s="6">
        <v>292.56</v>
      </c>
      <c r="C17" s="6">
        <v>292.56</v>
      </c>
    </row>
    <row r="18" spans="1:6">
      <c r="A18" s="2" t="s">
        <v>52</v>
      </c>
      <c r="B18" s="6">
        <v>855.53</v>
      </c>
      <c r="C18" s="6">
        <v>855.53</v>
      </c>
    </row>
    <row r="19" spans="1:6">
      <c r="A19" s="2" t="s">
        <v>100</v>
      </c>
      <c r="B19" s="6">
        <v>145.41</v>
      </c>
      <c r="C19" s="6">
        <v>145.41</v>
      </c>
    </row>
    <row r="20" spans="1:6">
      <c r="A20" s="2" t="s">
        <v>55</v>
      </c>
      <c r="B20" s="6">
        <v>383.89</v>
      </c>
      <c r="C20" s="6">
        <v>383.89</v>
      </c>
    </row>
    <row r="21" spans="1:6">
      <c r="A21" s="2" t="s">
        <v>101</v>
      </c>
      <c r="B21" s="6">
        <v>231.79</v>
      </c>
      <c r="C21" s="6">
        <v>231.79</v>
      </c>
    </row>
    <row r="22" spans="1:6">
      <c r="A22" s="2" t="s">
        <v>58</v>
      </c>
      <c r="B22" s="6">
        <v>1223.1400000000001</v>
      </c>
      <c r="C22" s="6">
        <v>1223.1400000000001</v>
      </c>
    </row>
    <row r="23" spans="1:6">
      <c r="A23" s="2" t="s">
        <v>59</v>
      </c>
      <c r="B23" s="6">
        <v>199.38</v>
      </c>
      <c r="C23" s="6">
        <v>199.38</v>
      </c>
    </row>
    <row r="24" spans="1:6">
      <c r="A24" s="2" t="s">
        <v>102</v>
      </c>
      <c r="B24" s="6">
        <v>967.76</v>
      </c>
      <c r="C24" s="6">
        <v>967.76</v>
      </c>
    </row>
    <row r="25" spans="1:6">
      <c r="A25" s="2" t="s">
        <v>61</v>
      </c>
      <c r="B25" s="6">
        <v>574.11</v>
      </c>
      <c r="C25" s="6">
        <v>574.11</v>
      </c>
    </row>
    <row r="26" spans="1:6">
      <c r="A26" s="2" t="s">
        <v>105</v>
      </c>
      <c r="B26" s="6">
        <v>5135.9399999999996</v>
      </c>
      <c r="C26" s="6">
        <v>5135.9399999999996</v>
      </c>
    </row>
    <row r="27" spans="1:6">
      <c r="A27" s="2" t="s">
        <v>63</v>
      </c>
      <c r="B27" s="6">
        <v>3351.42</v>
      </c>
      <c r="C27" s="6">
        <v>3351.42</v>
      </c>
    </row>
    <row r="29" spans="1:6">
      <c r="A29" s="5" t="s">
        <v>64</v>
      </c>
    </row>
    <row r="30" spans="1:6">
      <c r="A30" s="2" t="s">
        <v>65</v>
      </c>
      <c r="B30" s="6">
        <v>2719.65</v>
      </c>
      <c r="F30" s="6">
        <v>2719.65</v>
      </c>
    </row>
    <row r="31" spans="1:6">
      <c r="A31" s="2" t="s">
        <v>66</v>
      </c>
      <c r="B31" s="6">
        <v>3519.01</v>
      </c>
      <c r="F31" s="6">
        <v>3519.01</v>
      </c>
    </row>
    <row r="32" spans="1:6">
      <c r="A32" s="2" t="s">
        <v>67</v>
      </c>
      <c r="B32" s="6">
        <v>2302.9899999999998</v>
      </c>
      <c r="F32" s="6">
        <v>2302.9899999999998</v>
      </c>
    </row>
    <row r="33" spans="1:7">
      <c r="A33" s="2" t="s">
        <v>68</v>
      </c>
      <c r="B33" s="6">
        <v>2425.62</v>
      </c>
      <c r="F33" s="6">
        <v>2425.62</v>
      </c>
    </row>
    <row r="34" spans="1:7">
      <c r="A34" s="2" t="s">
        <v>70</v>
      </c>
      <c r="B34" s="6">
        <v>317.12</v>
      </c>
      <c r="F34" s="6">
        <v>317.12</v>
      </c>
    </row>
    <row r="35" spans="1:7">
      <c r="A35" s="2" t="s">
        <v>71</v>
      </c>
      <c r="B35" s="6">
        <v>1711.27</v>
      </c>
      <c r="F35" s="6">
        <v>1711.27</v>
      </c>
    </row>
    <row r="36" spans="1:7">
      <c r="A36" s="2" t="s">
        <v>72</v>
      </c>
      <c r="B36" s="6">
        <v>1055.79</v>
      </c>
      <c r="F36" s="6">
        <v>1055.79</v>
      </c>
    </row>
    <row r="37" spans="1:7">
      <c r="A37" s="2" t="s">
        <v>73</v>
      </c>
      <c r="B37" s="6">
        <v>708.36</v>
      </c>
      <c r="F37" s="6">
        <v>708.36</v>
      </c>
    </row>
    <row r="38" spans="1:7">
      <c r="A38" s="2" t="s">
        <v>74</v>
      </c>
      <c r="B38" s="6">
        <v>1052.96</v>
      </c>
      <c r="F38" s="6">
        <v>1052.96</v>
      </c>
    </row>
    <row r="39" spans="1:7">
      <c r="A39" s="2" t="s">
        <v>75</v>
      </c>
      <c r="B39" s="6">
        <v>1843.49</v>
      </c>
      <c r="F39" s="6">
        <v>1843.49</v>
      </c>
    </row>
    <row r="40" spans="1:7">
      <c r="A40" s="2" t="s">
        <v>76</v>
      </c>
      <c r="B40" s="6">
        <v>1263.3800000000001</v>
      </c>
      <c r="F40" s="6">
        <v>1263.3800000000001</v>
      </c>
    </row>
    <row r="41" spans="1:7">
      <c r="A41" s="2" t="s">
        <v>77</v>
      </c>
      <c r="B41" s="6">
        <v>673.55</v>
      </c>
      <c r="F41" s="6">
        <v>673.55</v>
      </c>
    </row>
    <row r="42" spans="1:7">
      <c r="A42" s="2" t="s">
        <v>78</v>
      </c>
      <c r="B42" s="6">
        <v>4284.8</v>
      </c>
      <c r="F42" s="6">
        <v>4284.8</v>
      </c>
    </row>
    <row r="44" spans="1:7">
      <c r="A44" s="4" t="s">
        <v>82</v>
      </c>
      <c r="B44" s="7">
        <v>37387.449999999997</v>
      </c>
      <c r="C44" s="7">
        <v>13509.46</v>
      </c>
      <c r="F44" s="7">
        <v>23877.99</v>
      </c>
    </row>
    <row r="45" spans="1:7">
      <c r="A45" s="2" t="s">
        <v>83</v>
      </c>
      <c r="C45" s="8">
        <v>0.36099999999999999</v>
      </c>
      <c r="F45" s="8">
        <v>0.63900000000000001</v>
      </c>
    </row>
    <row r="46" spans="1:7">
      <c r="B46" s="23">
        <f>SUM(B10:B42)</f>
        <v>37387.450000000004</v>
      </c>
      <c r="C46" s="23">
        <f t="shared" ref="C46:F46" si="0">SUM(C10:C42)</f>
        <v>13509.460000000001</v>
      </c>
      <c r="D46" s="21" t="b">
        <v>1</v>
      </c>
      <c r="E46" s="23"/>
      <c r="F46" s="23">
        <f t="shared" si="0"/>
        <v>23877.99</v>
      </c>
      <c r="G46" s="21" t="b">
        <v>1</v>
      </c>
    </row>
    <row r="47" spans="1:7">
      <c r="A47" s="1" t="s">
        <v>84</v>
      </c>
    </row>
    <row r="48" spans="1:7">
      <c r="A48" s="2" t="s">
        <v>85</v>
      </c>
      <c r="B48" s="6">
        <v>30475.01</v>
      </c>
      <c r="C48" s="6">
        <v>11011.74</v>
      </c>
      <c r="F48" s="6">
        <v>19463.27</v>
      </c>
    </row>
    <row r="49" spans="1:6">
      <c r="A49" s="2" t="s">
        <v>86</v>
      </c>
      <c r="B49" s="6">
        <v>3781.39</v>
      </c>
      <c r="C49" s="6">
        <v>1366.36</v>
      </c>
      <c r="F49" s="6">
        <v>2415.0300000000002</v>
      </c>
    </row>
    <row r="50" spans="1:6">
      <c r="A50" s="2" t="s">
        <v>87</v>
      </c>
      <c r="B50" s="6">
        <v>3131.05</v>
      </c>
      <c r="C50" s="6">
        <v>1131.3599999999999</v>
      </c>
      <c r="F50" s="6">
        <v>1999.69</v>
      </c>
    </row>
    <row r="51" spans="1:6">
      <c r="A51" s="4" t="s">
        <v>88</v>
      </c>
      <c r="B51" s="7">
        <v>37387.449999999997</v>
      </c>
      <c r="C51" s="7">
        <v>13509.46</v>
      </c>
      <c r="F51" s="7">
        <v>23877.99</v>
      </c>
    </row>
    <row r="52" spans="1:6">
      <c r="B52" s="23">
        <f>SUM(B48:B50)</f>
        <v>37387.450000000004</v>
      </c>
      <c r="C52" s="23">
        <f t="shared" ref="C52:F52" si="1">SUM(C48:C50)</f>
        <v>13509.460000000001</v>
      </c>
      <c r="D52" s="23"/>
      <c r="E52" s="23"/>
      <c r="F52" s="23">
        <f t="shared" si="1"/>
        <v>23877.989999999998</v>
      </c>
    </row>
    <row r="53" spans="1:6">
      <c r="A53" s="1"/>
    </row>
    <row r="55" spans="1:6">
      <c r="A55" s="31" t="s">
        <v>34</v>
      </c>
    </row>
    <row r="56" spans="1:6">
      <c r="A56" s="28" t="s">
        <v>35</v>
      </c>
      <c r="B56" s="37">
        <v>14983.78</v>
      </c>
    </row>
    <row r="57" spans="1:6">
      <c r="A57" s="27" t="s">
        <v>36</v>
      </c>
      <c r="B57" s="18">
        <v>20926.27</v>
      </c>
    </row>
    <row r="58" spans="1:6">
      <c r="A58" s="35" t="s">
        <v>37</v>
      </c>
      <c r="B58" s="36">
        <v>-5942.49</v>
      </c>
    </row>
    <row r="59" spans="1:6">
      <c r="B59" s="25">
        <f>SUM(B56:B57)</f>
        <v>35910.050000000003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5"/>
  <sheetViews>
    <sheetView topLeftCell="A36" zoomScale="150" zoomScaleNormal="150" workbookViewId="0">
      <selection activeCell="C40" sqref="C40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106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107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108</v>
      </c>
    </row>
    <row r="16" spans="1:7">
      <c r="A16" s="2" t="s">
        <v>109</v>
      </c>
      <c r="B16" s="6">
        <v>5624.03</v>
      </c>
      <c r="E16" s="6">
        <v>5624.03</v>
      </c>
    </row>
    <row r="17" spans="1:7">
      <c r="A17" s="2" t="s">
        <v>110</v>
      </c>
      <c r="B17" s="6">
        <v>95314.96</v>
      </c>
      <c r="E17" s="6">
        <v>95314.96</v>
      </c>
    </row>
    <row r="18" spans="1:7">
      <c r="A18" s="2" t="s">
        <v>111</v>
      </c>
      <c r="B18" s="6">
        <v>5701.04</v>
      </c>
      <c r="E18" s="6">
        <v>5701.04</v>
      </c>
    </row>
    <row r="19" spans="1:7">
      <c r="A19" s="2" t="s">
        <v>112</v>
      </c>
      <c r="B19" s="6">
        <v>55092.32</v>
      </c>
      <c r="E19" s="6">
        <v>55092.32</v>
      </c>
    </row>
    <row r="20" spans="1:7">
      <c r="A20" s="2" t="s">
        <v>113</v>
      </c>
      <c r="B20" s="6">
        <v>1505.06</v>
      </c>
      <c r="E20" s="6">
        <v>1505.06</v>
      </c>
    </row>
    <row r="21" spans="1:7">
      <c r="A21" s="2" t="s">
        <v>114</v>
      </c>
      <c r="B21" s="6">
        <v>3257.67</v>
      </c>
      <c r="E21" s="6">
        <v>3257.67</v>
      </c>
    </row>
    <row r="22" spans="1:7">
      <c r="A22" s="2" t="s">
        <v>115</v>
      </c>
      <c r="B22" s="6">
        <v>47550.94</v>
      </c>
      <c r="E22" s="6">
        <v>47550.94</v>
      </c>
    </row>
    <row r="23" spans="1:7">
      <c r="A23" s="2" t="s">
        <v>116</v>
      </c>
      <c r="B23" s="6">
        <v>3242.49</v>
      </c>
      <c r="E23" s="6">
        <v>3242.49</v>
      </c>
    </row>
    <row r="24" spans="1:7">
      <c r="A24" s="2" t="s">
        <v>117</v>
      </c>
      <c r="B24" s="6">
        <v>1371.03</v>
      </c>
      <c r="E24" s="6">
        <v>1371.03</v>
      </c>
    </row>
    <row r="25" spans="1:7">
      <c r="A25" s="2" t="s">
        <v>118</v>
      </c>
      <c r="B25" s="6">
        <v>5187.13</v>
      </c>
      <c r="E25" s="6">
        <v>5187.13</v>
      </c>
    </row>
    <row r="27" spans="1:7">
      <c r="A27" s="5" t="s">
        <v>119</v>
      </c>
    </row>
    <row r="28" spans="1:7">
      <c r="A28" s="2" t="s">
        <v>119</v>
      </c>
      <c r="B28" s="6">
        <v>88456.46</v>
      </c>
      <c r="F28" s="6">
        <v>88456.46</v>
      </c>
    </row>
    <row r="30" spans="1:7">
      <c r="A30" s="4" t="s">
        <v>120</v>
      </c>
      <c r="B30" s="7">
        <v>312303.13</v>
      </c>
      <c r="E30" s="7">
        <v>223846.67</v>
      </c>
      <c r="F30" s="7">
        <v>88456.46</v>
      </c>
    </row>
    <row r="31" spans="1:7">
      <c r="A31" s="2" t="s">
        <v>121</v>
      </c>
      <c r="E31" s="8">
        <v>0.71699999999999997</v>
      </c>
      <c r="F31" s="8">
        <v>0.28299999999999997</v>
      </c>
    </row>
    <row r="32" spans="1:7">
      <c r="B32" s="23">
        <f>SUM(B16:B29)</f>
        <v>312303.13</v>
      </c>
      <c r="C32" s="23"/>
      <c r="D32" s="23"/>
      <c r="E32" s="23">
        <f t="shared" ref="C32:F32" si="0">SUM(E16:E29)</f>
        <v>223846.67</v>
      </c>
      <c r="F32" s="23">
        <f t="shared" si="0"/>
        <v>88456.46</v>
      </c>
      <c r="G32" s="21" t="b">
        <v>1</v>
      </c>
    </row>
    <row r="33" spans="1:6">
      <c r="A33" s="1" t="s">
        <v>84</v>
      </c>
    </row>
    <row r="34" spans="1:6">
      <c r="A34" s="2" t="s">
        <v>85</v>
      </c>
      <c r="B34" s="6">
        <v>254562.48</v>
      </c>
      <c r="E34" s="6">
        <v>182460.43</v>
      </c>
      <c r="F34" s="6">
        <v>72102.05</v>
      </c>
    </row>
    <row r="35" spans="1:6">
      <c r="A35" s="2" t="s">
        <v>86</v>
      </c>
      <c r="B35" s="6">
        <v>31586.5</v>
      </c>
      <c r="E35" s="6">
        <v>22639.97</v>
      </c>
      <c r="F35" s="6">
        <v>8946.5300000000007</v>
      </c>
    </row>
    <row r="36" spans="1:6">
      <c r="A36" s="2" t="s">
        <v>87</v>
      </c>
      <c r="B36" s="6">
        <v>26154.15</v>
      </c>
      <c r="E36" s="6">
        <v>18746.27</v>
      </c>
      <c r="F36" s="6">
        <v>7407.88</v>
      </c>
    </row>
    <row r="37" spans="1:6">
      <c r="A37" s="4" t="s">
        <v>88</v>
      </c>
      <c r="B37" s="7">
        <v>312303.13</v>
      </c>
      <c r="E37" s="7">
        <v>223846.67</v>
      </c>
      <c r="F37" s="7">
        <v>88456.46</v>
      </c>
    </row>
    <row r="38" spans="1:6">
      <c r="B38" s="23">
        <f>SUM(B34:B36)</f>
        <v>312303.13</v>
      </c>
      <c r="C38" s="23"/>
      <c r="D38" s="23"/>
      <c r="E38" s="23">
        <f t="shared" ref="C38:E38" si="1">SUM(E34:E36)</f>
        <v>223846.66999999998</v>
      </c>
      <c r="F38" s="23">
        <f t="shared" ref="C38:F38" si="2">SUM(F34:F36)</f>
        <v>88456.46</v>
      </c>
    </row>
    <row r="39" spans="1:6">
      <c r="A39" s="1"/>
    </row>
    <row r="41" spans="1:6">
      <c r="A41" s="31" t="s">
        <v>34</v>
      </c>
    </row>
    <row r="42" spans="1:6">
      <c r="A42" s="28" t="s">
        <v>35</v>
      </c>
      <c r="B42" s="18">
        <v>124161.86</v>
      </c>
    </row>
    <row r="43" spans="1:6">
      <c r="A43" s="27" t="s">
        <v>36</v>
      </c>
      <c r="B43" s="18">
        <v>165405.34</v>
      </c>
    </row>
    <row r="44" spans="1:6">
      <c r="A44" s="35" t="s">
        <v>37</v>
      </c>
      <c r="B44" s="36">
        <v>-41243.480000000003</v>
      </c>
    </row>
    <row r="45" spans="1:6">
      <c r="B45" s="25">
        <f>SUM(B42:B43)</f>
        <v>289567.2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Brandon Rose</cp:lastModifiedBy>
  <cp:revision/>
  <dcterms:created xsi:type="dcterms:W3CDTF">2026-06-23T23:45:05Z</dcterms:created>
  <dcterms:modified xsi:type="dcterms:W3CDTF">2026-06-24T22:29:50Z</dcterms:modified>
  <cp:category/>
  <cp:contentStatus/>
</cp:coreProperties>
</file>