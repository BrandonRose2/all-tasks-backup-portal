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r:id="rId1" name="summary" sheetId="1"/>
    <sheet r:id="rId2" name="site" sheetId="2"/>
    <sheet r:id="rId3" name="bldg 1" sheetId="3"/>
    <sheet r:id="rId4" name="bldg 2" sheetId="4"/>
    <sheet r:id="rId5" name="bldg 3" sheetId="5"/>
    <sheet r:id="rId6" name="bldg 4" sheetId="6"/>
    <sheet r:id="rId7" name="bldg 5" sheetId="7"/>
    <sheet r:id="rId8" name="bldg 6" sheetId="8"/>
    <sheet r:id="rId9" name="bldg 7" sheetId="9"/>
    <sheet r:id="rId10" name="bldg 8" sheetId="10"/>
    <sheet r:id="rId11" name="bldg 9" sheetId="11"/>
    <sheet r:id="rId12" name="office" sheetId="12"/>
  </sheets>
  <calcPr calcId="0" iterateCount="100" iterateDelta="0.001"/>
</workbook>
</file>

<file path=xl/sharedStrings.xml><?xml version="1.0" encoding="utf-8"?>
<sst xmlns="http://schemas.openxmlformats.org/spreadsheetml/2006/main" count="169" uniqueCount="169">
  <si>
    <t>Coral Village Housing LP</t>
  </si>
  <si>
    <t>Summary of Cost Seg Adjustments</t>
  </si>
  <si>
    <t>As of December 31, 2024</t>
  </si>
  <si>
    <t>Acq Date</t>
  </si>
  <si>
    <t>Asset Description</t>
  </si>
  <si>
    <t>Total</t>
  </si>
  <si>
    <t>Site</t>
  </si>
  <si>
    <t>Building 1</t>
  </si>
  <si>
    <t>Building 2</t>
  </si>
  <si>
    <t>Building 3</t>
  </si>
  <si>
    <t>Building 4</t>
  </si>
  <si>
    <t>Building 5</t>
  </si>
  <si>
    <t>Building 6</t>
  </si>
  <si>
    <t>Building 7</t>
  </si>
  <si>
    <t>Building 8</t>
  </si>
  <si>
    <t>Building 9</t>
  </si>
  <si>
    <t>Office</t>
  </si>
  <si>
    <t>Grand Total</t>
  </si>
  <si>
    <t>12/31/21</t>
  </si>
  <si>
    <t>2- Building - Coral Village Housing LP</t>
  </si>
  <si>
    <t>3- Land Improvements - Coral Village Housing LP</t>
  </si>
  <si>
    <t>4- Equipment - Coral Village Housing LP</t>
  </si>
  <si>
    <t>Grand Total Original Cost</t>
  </si>
  <si>
    <t>MACRS Reclassification</t>
  </si>
  <si>
    <t>2 - Building - Coral Village Housing LP - 5yr</t>
  </si>
  <si>
    <t>2 - Building - Coral Village Housing LP - 7yr</t>
  </si>
  <si>
    <t>2 - Building - Coral Village Housing LP - 15yr</t>
  </si>
  <si>
    <t>2 - Building - Coral Village Housing LP - 27.5yr</t>
  </si>
  <si>
    <t>3 - Land Improvements - Coral Village Housing LP - 5yr</t>
  </si>
  <si>
    <t>3 - Land Improvements - Coral Village Housing LP - 7yr</t>
  </si>
  <si>
    <t>3 - Land Improvements - Coral Village Housing LP - 15yr</t>
  </si>
  <si>
    <t>3 - Land Improvements - Coral Village Housing LP - 27.5yr</t>
  </si>
  <si>
    <t>4 - Equipment - Coral Village Housing LP - 5yr</t>
  </si>
  <si>
    <t>4 - Equipment - Coral Village Housing LP - 7yr</t>
  </si>
  <si>
    <t>4 - Equipment - Coral Village Housing LP - 15yr</t>
  </si>
  <si>
    <t>4 - Equipment - Coral Village Housing LP - 27.5yr</t>
  </si>
  <si>
    <t>TOTALS</t>
  </si>
  <si>
    <t>Total MACRS Reclassification</t>
  </si>
  <si>
    <t>Difference</t>
  </si>
  <si>
    <t>End Depreciation Reconciliation</t>
  </si>
  <si>
    <t>Before Cost Segregation (As Previously Filed)</t>
  </si>
  <si>
    <t>After Cost Segregation (Corrected)</t>
  </si>
  <si>
    <t>Section 481(a) Adjustment</t>
  </si>
  <si>
    <t>Difference (Before &amp; After Dep.)</t>
  </si>
  <si>
    <t>Cost Segregation Study - Site</t>
  </si>
  <si>
    <t>Report #107752-03</t>
  </si>
  <si>
    <t>Acquisition Date:</t>
  </si>
  <si>
    <t>9/22/21</t>
  </si>
  <si>
    <t>Coral Village Housing LP - Site</t>
  </si>
  <si>
    <t>Property Category</t>
  </si>
  <si>
    <t>Cost</t>
  </si>
  <si>
    <t>5 Year</t>
  </si>
  <si>
    <t>7 Year</t>
  </si>
  <si>
    <t>15 Year</t>
  </si>
  <si>
    <t>27.5 Year</t>
  </si>
  <si>
    <t>15 year QIP</t>
  </si>
  <si>
    <t>Site Components</t>
  </si>
  <si>
    <t>Movable Shed</t>
  </si>
  <si>
    <t>Site Drainage</t>
  </si>
  <si>
    <t>Parking Lot</t>
  </si>
  <si>
    <t>Exterior Signage</t>
  </si>
  <si>
    <t>Parking Lot Striping / Barriers</t>
  </si>
  <si>
    <t>Sidewalks / Curbs</t>
  </si>
  <si>
    <t>Landscaping &amp; Flagpole</t>
  </si>
  <si>
    <t>Security Lighting Poles</t>
  </si>
  <si>
    <t>Exterior Fencing</t>
  </si>
  <si>
    <t>Dumpster Enclosures</t>
  </si>
  <si>
    <t>Swimming Pool</t>
  </si>
  <si>
    <t>Fire Hydrants</t>
  </si>
  <si>
    <t>Wood Bridge</t>
  </si>
  <si>
    <t>Exterior Equipment Concrete Pads</t>
  </si>
  <si>
    <t>Mailboxes</t>
  </si>
  <si>
    <t>Site Utilities</t>
  </si>
  <si>
    <t>Total Site Cost</t>
  </si>
  <si>
    <t>% of Site Cost</t>
  </si>
  <si>
    <t>Asset Allocation:</t>
  </si>
  <si>
    <t>Asset #2 Building</t>
  </si>
  <si>
    <t>Asset #3 Land Improvements</t>
  </si>
  <si>
    <t>Asset #4 Equipment</t>
  </si>
  <si>
    <t>Total Allocation:</t>
  </si>
  <si>
    <t>Property Description</t>
  </si>
  <si>
    <t>Tax Cost</t>
  </si>
  <si>
    <t>Tax Bonus Amt</t>
  </si>
  <si>
    <t>Tax Prior Depr</t>
  </si>
  <si>
    <t>Tax Current Depr</t>
  </si>
  <si>
    <t>Tax End Depr</t>
  </si>
  <si>
    <t>Tax Net Book Value</t>
  </si>
  <si>
    <t>Tax Method</t>
  </si>
  <si>
    <t>Tax Period</t>
  </si>
  <si>
    <t>2-Building</t>
  </si>
  <si>
    <t>S/L</t>
  </si>
  <si>
    <t>3-Land Improvements</t>
  </si>
  <si>
    <t>150DB</t>
  </si>
  <si>
    <t>4-Equipment</t>
  </si>
  <si>
    <t>200DB</t>
  </si>
  <si>
    <t>After Cost Segregation Correction</t>
  </si>
  <si>
    <t>2-Building-7yr</t>
  </si>
  <si>
    <t>2-Building-15yr</t>
  </si>
  <si>
    <t>2-Building-27.5yr</t>
  </si>
  <si>
    <t>3-Land Improvements-7yr</t>
  </si>
  <si>
    <t>3-Land Improvements-15yr</t>
  </si>
  <si>
    <t>3-Land Improvements-27.5yr</t>
  </si>
  <si>
    <t>4-Equipment-7yr</t>
  </si>
  <si>
    <t>4-Equipment-15yr</t>
  </si>
  <si>
    <t>4-Equipment-27.5yr</t>
  </si>
  <si>
    <t>Depreciation Reported Previously</t>
  </si>
  <si>
    <t>Cost Segregation Corrected Depreciation</t>
  </si>
  <si>
    <t>Cost Segregation Study - Building 1</t>
  </si>
  <si>
    <t>Coral Village Housing LP - Building 1</t>
  </si>
  <si>
    <t>Building Components</t>
  </si>
  <si>
    <t>Cabinets / Millwork</t>
  </si>
  <si>
    <t>Moldings</t>
  </si>
  <si>
    <t>Flooring - Carpet</t>
  </si>
  <si>
    <t>Flooring - Vinyl Plank</t>
  </si>
  <si>
    <t>Door &amp; Window Guards</t>
  </si>
  <si>
    <t>Window Treatments</t>
  </si>
  <si>
    <t>Specialty HVAC - Dryer Vents</t>
  </si>
  <si>
    <t>Building Signage</t>
  </si>
  <si>
    <t>Specialty Electrical - Appliances</t>
  </si>
  <si>
    <t>Communication / Data</t>
  </si>
  <si>
    <t>Specialty Plumbing - Kitchen Sinks / Laundry</t>
  </si>
  <si>
    <t>Security / Exterior Lighting</t>
  </si>
  <si>
    <t>Access Control</t>
  </si>
  <si>
    <t>Appliances</t>
  </si>
  <si>
    <t>Building Structure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</si>
  <si>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</si>
  <si>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</si>
  <si>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</si>
  <si>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</si>
  <si>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</si>
  <si>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</si>
  <si>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</si>
  <si>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</si>
  <si>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</si>
  <si>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</si>
  <si>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</si>
  <si>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</si>
  <si>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Structural Framing</t>
  </si>
  <si>
    <t>Stairs / Balconies</t>
  </si>
  <si>
    <t>Bathroom Accessories</t>
  </si>
  <si>
    <t>Cabinets / Millwork - Restrooms</t>
  </si>
  <si>
    <t>Total Building Cost</t>
  </si>
  <si>
    <t>% of Building Cost</t>
  </si>
  <si>
    <t>2-Building-5yr</t>
  </si>
  <si>
    <t>3-Land Improvements-5yr</t>
  </si>
  <si>
    <t>4-Equipment-5yr</t>
  </si>
  <si>
    <t>Cost Segregation Study - Building 2</t>
  </si>
  <si>
    <t>Coral Village Housing LP - Building 2</t>
  </si>
  <si>
    <t>Cost Segregation Study - Building 3</t>
  </si>
  <si>
    <t>Coral Village Housing LP - Building 3</t>
  </si>
  <si>
    <t>Cost Segregation Study - Building 4</t>
  </si>
  <si>
    <t>Coral Village Housing LP - Building 4</t>
  </si>
  <si>
    <t>Cost Segregation Study - Building 5</t>
  </si>
  <si>
    <t>Coral Village Housing LP - Building 5</t>
  </si>
  <si>
    <t>Cost Segregation Study - Building 6</t>
  </si>
  <si>
    <t>Coral Village Housing LP - Building 6</t>
  </si>
  <si>
    <t>Cost Segregation Study - Building 7</t>
  </si>
  <si>
    <t>Coral Village Housing LP - Building 7</t>
  </si>
  <si>
    <t>Cost Segregation Study - Building 8</t>
  </si>
  <si>
    <t>Coral Village Housing LP - Building 8</t>
  </si>
  <si>
    <t>Cost Segregation Study - Building 9</t>
  </si>
  <si>
    <t>Coral Village Housing LP - Building 9</t>
  </si>
  <si>
    <t>Cost Segregation Study - Office</t>
  </si>
  <si>
    <t>Coral Village Housing LP - Office</t>
  </si>
  <si>
    <t>Security System</t>
  </si>
  <si>
    <t>Specialty Plumbing - Kitchen Sink / Laundry</t>
  </si>
  <si>
    <t>Canopies / Awnings</t>
  </si>
  <si>
    <t>Emergency Lighting</t>
  </si>
  <si>
    <t>Ceramic Tile Flooring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</si>
</sst>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96" formatCode="#,##0.00;(#,##0.00)"/>
    <numFmt numFmtId="698" formatCode="0.0%"/>
    <numFmt numFmtId="699" formatCode="0.0"/>
  </numFmts>
  <fonts count="9">
    <font>
      <b val="0"/>
      <i val="0"/>
      <sz val="11"/>
      <color theme="1"/>
      <name val="Calibri"/>
      <scheme val="minor"/>
    </font>
    <font>
      <b/>
      <i val="0"/>
      <sz val="12"/>
      <color rgb="FF1F3864"/>
      <name val="Calibri"/>
    </font>
    <font>
      <b/>
      <i val="0"/>
      <sz val="11"/>
      <color rgb="FF000000"/>
      <name val="Calibri"/>
    </font>
    <font>
      <b val="0"/>
      <i/>
      <sz val="10"/>
      <color rgb="FF595959"/>
      <name val="Calibri"/>
    </font>
    <font>
      <b/>
      <i val="0"/>
      <sz val="10"/>
      <color rgb="FFFFFFFF"/>
      <name val="Calibri"/>
    </font>
    <font>
      <b val="0"/>
      <i val="0"/>
      <sz val="10"/>
      <color rgb="FF000000"/>
      <name val="Calibri"/>
    </font>
    <font>
      <b/>
      <i val="0"/>
      <sz val="10"/>
      <color rgb="FF000000"/>
      <name val="Calibri"/>
    </font>
    <font>
      <b/>
      <i val="0"/>
      <sz val="10"/>
      <color rgb="FF1F3864"/>
      <name val="Calibri"/>
    </font>
    <font>
      <b/>
      <i val="0"/>
      <sz val="11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31">
    <xf numFmtId="0" fontId="0" fillId="0" borderId="1" xfId="0"/>
    <xf numFmtId="0" fontId="0" fillId="0" borderId="1" xfId="0">
      <alignment horizontal="center" vertical="center"/>
    </xf>
    <xf numFmtId="0" fontId="1" fillId="0" borderId="1" xfId="0" quotePrefix="0"/>
    <xf numFmtId="0" fontId="2" fillId="0" borderId="1" xfId="0" quotePrefix="0"/>
    <xf numFmtId="0" fontId="3" fillId="0" borderId="1" xfId="0" quotePrefix="0"/>
    <xf numFmtId="0" fontId="4" fillId="2" borderId="1" xfId="0" quotePrefix="0">
      <alignment horizontal="center" vertical="center"/>
    </xf>
    <xf numFmtId="0" fontId="5" fillId="0" borderId="1" xfId="0" quotePrefix="0">
      <alignment horizontal="center" vertical="center"/>
    </xf>
    <xf numFmtId="0" fontId="5" fillId="0" borderId="1" xfId="0" quotePrefix="0">
      <alignment horizontal="left" vertical="center"/>
    </xf>
    <xf numFmtId="4" fontId="6" fillId="0" borderId="1" xfId="0" quotePrefix="0">
      <alignment horizontal="right" vertical="center"/>
    </xf>
    <xf numFmtId="4" fontId="5" fillId="0" borderId="1" xfId="0" quotePrefix="0">
      <alignment horizontal="right" vertical="center"/>
    </xf>
    <xf numFmtId="0" fontId="6" fillId="3" borderId="1" xfId="0" quotePrefix="0"/>
    <xf numFmtId="4" fontId="6" fillId="3" borderId="1" xfId="0" quotePrefix="0">
      <alignment horizontal="right" vertical="center"/>
    </xf>
    <xf numFmtId="0" fontId="7" fillId="0" borderId="1" xfId="0" quotePrefix="0"/>
    <xf numFmtId="0" fontId="6" fillId="4" borderId="1" xfId="0" quotePrefix="0">
      <alignment horizontal="center" vertical="center"/>
    </xf>
    <xf numFmtId="4" fontId="6" fillId="4" borderId="1" xfId="0" quotePrefix="0">
      <alignment horizontal="right" vertical="center"/>
    </xf>
    <xf numFmtId="0" fontId="3" fillId="0" borderId="1" xfId="0" quotePrefix="0">
      <alignment horizontal="center" vertical="center"/>
    </xf>
    <xf numFmtId="4" fontId="3" fillId="0" borderId="1" xfId="0" quotePrefix="0">
      <alignment horizontal="right" vertical="center"/>
    </xf>
    <xf numFmtId="0" fontId="8" fillId="0" borderId="1" xfId="0" quotePrefix="0"/>
    <xf numFmtId="4" fontId="5" fillId="3" borderId="1" xfId="0" quotePrefix="0">
      <alignment horizontal="right" vertical="center"/>
    </xf>
    <xf numFmtId="0" fontId="6" fillId="5" borderId="1" xfId="0" quotePrefix="0"/>
    <xf numFmtId="4" fontId="5" fillId="5" borderId="1" xfId="0" quotePrefix="0">
      <alignment horizontal="right" vertical="center"/>
    </xf>
    <xf numFmtId="4" fontId="6" fillId="5" borderId="1" xfId="0" quotePrefix="0">
      <alignment horizontal="right" vertical="center"/>
    </xf>
    <xf numFmtId="0" fontId="6" fillId="6" borderId="1" xfId="0" quotePrefix="0"/>
    <xf numFmtId="696" fontId="5" fillId="6" borderId="1" xfId="0" quotePrefix="0">
      <alignment horizontal="right" vertical="center"/>
    </xf>
    <xf numFmtId="696" fontId="6" fillId="6" borderId="1" xfId="0" quotePrefix="0">
      <alignment horizontal="right" vertical="center"/>
    </xf>
    <xf numFmtId="0" fontId="6" fillId="0" borderId="1" xfId="0" quotePrefix="0"/>
    <xf numFmtId="0" fontId="5" fillId="0" borderId="1" xfId="0" quotePrefix="0"/>
    <xf numFmtId="698" fontId="3" fillId="0" borderId="1" xfId="0" quotePrefix="0">
      <alignment horizontal="right" vertical="center"/>
    </xf>
    <xf numFmtId="0" fontId="6" fillId="4" borderId="1" xfId="0" quotePrefix="0"/>
    <xf numFmtId="699" fontId="5" fillId="0" borderId="1" xfId="0" quotePrefix="0">
      <alignment horizontal="center" vertical="center"/>
    </xf>
    <xf numFmtId="696" fontId="5" fillId="0" borderId="1" xfId="0" quotePrefix="0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C43CF8-CEF8-20E8-BC52-58D2ED437E08}" mc:Ignorable="x14ac xr xr2 xr3">
  <dimension ref="A1:AX501"/>
  <sheetViews>
    <sheetView workbookViewId="0">
      <pane xSplit="3" ySplit="1" topLeftCell="D39" activePane="bottomRight" state="frozen"/>
      <selection pane="bottomLeft" activeCell="A2" sqref="A2"/>
      <selection pane="topRight" activeCell="D1" sqref="D1"/>
      <selection pane="bottomRight" activeCell="B6" sqref="B6"/>
    </sheetView>
  </sheetViews>
  <sheetFormatPr defaultRowHeight="21.75" defaultColWidth="9.140625" customHeight="1"/>
  <cols>
    <col min="1" max="1" width="30.28125" customWidth="1"/>
    <col min="2" max="2" width="44.57421875" customWidth="1"/>
    <col min="3" max="3" width="10.7109375" customWidth="1"/>
    <col min="4" max="4" width="10.28125" customWidth="1"/>
    <col min="5" max="5" width="9.28125" customWidth="1"/>
    <col min="6" max="6" width="9.421875" customWidth="1"/>
    <col min="7" max="7" width="9.28125" customWidth="1"/>
    <col min="8" max="8" width="9.421875" customWidth="1"/>
    <col min="9" max="9" width="9.28125" customWidth="1"/>
    <col min="10" max="10" width="9.421875" customWidth="1"/>
    <col min="11" max="11" width="9.28125" customWidth="1"/>
    <col min="12" max="13" width="9.421875" customWidth="1"/>
    <col min="14" max="14" width="9.28125" customWidth="1"/>
    <col min="15" max="15" width="10.71093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</row>
    <row r="3" ht="21.75" customHeight="1">
      <c r="A3" s="3" t="s">
        <v>1</v>
      </c>
    </row>
    <row r="4" ht="21.75" customHeight="1">
      <c r="A4" s="4" t="s">
        <v>2</v>
      </c>
    </row>
    <row r="11" ht="30" customHeight="1">
      <c r="A11" s="5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</row>
    <row r="12" ht="21.75" customHeight="1">
      <c r="A12" s="6" t="s">
        <v>18</v>
      </c>
      <c r="B12" s="7" t="s">
        <v>19</v>
      </c>
      <c r="C12" s="8">
        <v>3697723</v>
      </c>
      <c r="D12" s="9">
        <v>531007.07</v>
      </c>
      <c r="E12" s="9">
        <v>383408.73</v>
      </c>
      <c r="F12" s="9">
        <v>302676.39</v>
      </c>
      <c r="G12" s="9">
        <v>383408.73</v>
      </c>
      <c r="H12" s="9">
        <v>302676.39</v>
      </c>
      <c r="I12" s="9">
        <v>383408.73</v>
      </c>
      <c r="J12" s="9">
        <v>302676.39</v>
      </c>
      <c r="K12" s="9">
        <v>383408.73</v>
      </c>
      <c r="L12" s="9">
        <v>302676.39</v>
      </c>
      <c r="M12" s="9">
        <v>302676.39</v>
      </c>
      <c r="N12" s="9">
        <v>119699.06</v>
      </c>
      <c r="O12" s="8">
        <f t="shared" si="0" ref="O12:O59">SUM(D12:N12)</f>
        <v>3697723</v>
      </c>
    </row>
    <row r="13" ht="21.75" customHeight="1">
      <c r="A13" s="6" t="s">
        <v>18</v>
      </c>
      <c r="B13" s="7" t="s">
        <v>20</v>
      </c>
      <c r="C13" s="8">
        <v>402935</v>
      </c>
      <c r="D13" s="9">
        <v>57862.97</v>
      </c>
      <c r="E13" s="9">
        <v>41779.44</v>
      </c>
      <c r="F13" s="9">
        <v>32982.17</v>
      </c>
      <c r="G13" s="9">
        <v>41779.44</v>
      </c>
      <c r="H13" s="9">
        <v>32982.17</v>
      </c>
      <c r="I13" s="9">
        <v>41779.44</v>
      </c>
      <c r="J13" s="9">
        <v>32982.17</v>
      </c>
      <c r="K13" s="9">
        <v>41779.44</v>
      </c>
      <c r="L13" s="9">
        <v>32982.17</v>
      </c>
      <c r="M13" s="9">
        <v>32982.17</v>
      </c>
      <c r="N13" s="9">
        <v>13043.42</v>
      </c>
      <c r="O13" s="8">
        <f t="shared" si="0"/>
        <v>402935</v>
      </c>
    </row>
    <row r="14" ht="21.75" customHeight="1">
      <c r="A14" s="6" t="s">
        <v>18</v>
      </c>
      <c r="B14" s="7" t="s">
        <v>21</v>
      </c>
      <c r="C14" s="8">
        <v>755504</v>
      </c>
      <c r="D14" s="9">
        <v>108493.26</v>
      </c>
      <c r="E14" s="9">
        <v>78336.54</v>
      </c>
      <c r="F14" s="9">
        <v>61841.63</v>
      </c>
      <c r="G14" s="9">
        <v>78336.54</v>
      </c>
      <c r="H14" s="9">
        <v>61841.63</v>
      </c>
      <c r="I14" s="9">
        <v>78336.54</v>
      </c>
      <c r="J14" s="9">
        <v>61841.63</v>
      </c>
      <c r="K14" s="9">
        <v>78336.54</v>
      </c>
      <c r="L14" s="9">
        <v>61841.63</v>
      </c>
      <c r="M14" s="9">
        <v>61841.63</v>
      </c>
      <c r="N14" s="9">
        <v>24456.43</v>
      </c>
      <c r="O14" s="8">
        <f t="shared" si="0"/>
        <v>755504</v>
      </c>
    </row>
    <row r="15" ht="21.75" customHeight="1">
      <c r="B15" s="10" t="s">
        <v>22</v>
      </c>
      <c r="C15" s="11">
        <f t="shared" si="1" ref="C15:O15">SUM(C12:C14)</f>
        <v>4856162</v>
      </c>
      <c r="D15" s="11">
        <f t="shared" si="1"/>
        <v>697363.3</v>
      </c>
      <c r="E15" s="11">
        <f t="shared" si="1"/>
        <v>503524.71</v>
      </c>
      <c r="F15" s="11">
        <f t="shared" si="1"/>
        <v>397500.19</v>
      </c>
      <c r="G15" s="11">
        <f t="shared" si="1"/>
        <v>503524.71</v>
      </c>
      <c r="H15" s="11">
        <f t="shared" si="1"/>
        <v>397500.19</v>
      </c>
      <c r="I15" s="11">
        <f t="shared" si="1"/>
        <v>503524.71</v>
      </c>
      <c r="J15" s="11">
        <f t="shared" si="1"/>
        <v>397500.19</v>
      </c>
      <c r="K15" s="11">
        <f t="shared" si="1"/>
        <v>503524.71</v>
      </c>
      <c r="L15" s="11">
        <f t="shared" si="1"/>
        <v>397500.19</v>
      </c>
      <c r="M15" s="11">
        <f t="shared" si="1"/>
        <v>397500.19</v>
      </c>
      <c r="N15" s="11">
        <f t="shared" si="1"/>
        <v>157198.91</v>
      </c>
      <c r="O15" s="11">
        <f t="shared" si="1"/>
        <v>4856162</v>
      </c>
    </row>
    <row r="19" ht="21.75" customHeight="1">
      <c r="B19" s="12" t="s">
        <v>23</v>
      </c>
    </row>
    <row r="21" ht="21.75" customHeight="1">
      <c r="B21" s="7" t="s">
        <v>24</v>
      </c>
      <c r="C21" s="9">
        <v>820786.6</v>
      </c>
      <c r="D21" s="9">
        <v>1284.15</v>
      </c>
      <c r="E21" s="9">
        <v>95762.44</v>
      </c>
      <c r="F21" s="9">
        <v>83590.83</v>
      </c>
      <c r="G21" s="9">
        <v>95762.44</v>
      </c>
      <c r="H21" s="9">
        <v>83590.83</v>
      </c>
      <c r="I21" s="9">
        <v>95762.44</v>
      </c>
      <c r="J21" s="9">
        <v>83590.83</v>
      </c>
      <c r="K21" s="9">
        <v>95762.44</v>
      </c>
      <c r="L21" s="9">
        <v>83590.83</v>
      </c>
      <c r="M21" s="9">
        <v>83590.83</v>
      </c>
      <c r="N21" s="9">
        <v>18498.54</v>
      </c>
      <c r="O21" s="9">
        <f t="shared" si="0"/>
        <v>820786.6</v>
      </c>
    </row>
    <row r="22" ht="21.75" customHeight="1">
      <c r="B22" s="7" t="s">
        <v>25</v>
      </c>
      <c r="C22" s="9">
        <v>1284.15</v>
      </c>
      <c r="D22" s="9">
        <v>1284.15</v>
      </c>
      <c r="O22" s="9">
        <f t="shared" si="0"/>
        <v>1284.15</v>
      </c>
    </row>
    <row r="23" ht="21.75" customHeight="1">
      <c r="B23" s="7" t="s">
        <v>26</v>
      </c>
      <c r="C23" s="9">
        <v>290971.55</v>
      </c>
      <c r="D23" s="9">
        <v>290971.55</v>
      </c>
      <c r="O23" s="9">
        <f t="shared" si="0"/>
        <v>290971.55</v>
      </c>
    </row>
    <row r="24" ht="21.75" customHeight="1">
      <c r="B24" s="7" t="s">
        <v>27</v>
      </c>
      <c r="C24" s="9">
        <v>2585964.85</v>
      </c>
      <c r="D24" s="9">
        <v>238751.37</v>
      </c>
      <c r="E24" s="9">
        <v>287646.29</v>
      </c>
      <c r="F24" s="9">
        <v>219085.56</v>
      </c>
      <c r="G24" s="9">
        <v>287646.29</v>
      </c>
      <c r="H24" s="9">
        <v>219085.56</v>
      </c>
      <c r="I24" s="9">
        <v>287646.29</v>
      </c>
      <c r="J24" s="9">
        <v>219085.56</v>
      </c>
      <c r="K24" s="9">
        <v>287646.29</v>
      </c>
      <c r="L24" s="9">
        <v>219085.56</v>
      </c>
      <c r="M24" s="9">
        <v>219085.56</v>
      </c>
      <c r="N24" s="9">
        <v>101200.52</v>
      </c>
      <c r="O24" s="9">
        <f t="shared" si="0"/>
        <v>2585964.85</v>
      </c>
    </row>
    <row r="25" ht="21.75" customHeight="1">
      <c r="B25" s="7" t="s">
        <v>28</v>
      </c>
      <c r="C25" s="9">
        <v>89439.81</v>
      </c>
      <c r="D25" s="9">
        <v>139.93</v>
      </c>
      <c r="E25" s="9">
        <v>10435.08</v>
      </c>
      <c r="F25" s="9">
        <v>9108.76</v>
      </c>
      <c r="G25" s="9">
        <v>10435.08</v>
      </c>
      <c r="H25" s="9">
        <v>9108.76</v>
      </c>
      <c r="I25" s="9">
        <v>10435.08</v>
      </c>
      <c r="J25" s="9">
        <v>9108.76</v>
      </c>
      <c r="K25" s="9">
        <v>10435.08</v>
      </c>
      <c r="L25" s="9">
        <v>9108.76</v>
      </c>
      <c r="M25" s="9">
        <v>9108.76</v>
      </c>
      <c r="N25" s="9">
        <v>2015.76</v>
      </c>
      <c r="O25" s="9">
        <f t="shared" si="0"/>
        <v>89439.81</v>
      </c>
    </row>
    <row r="26" ht="21.75" customHeight="1">
      <c r="B26" s="7" t="s">
        <v>29</v>
      </c>
      <c r="C26" s="9">
        <v>139.93</v>
      </c>
      <c r="D26" s="9">
        <v>139.93</v>
      </c>
      <c r="O26" s="9">
        <f t="shared" si="0"/>
        <v>139.93</v>
      </c>
    </row>
    <row r="27" ht="21.75" customHeight="1">
      <c r="B27" s="7" t="s">
        <v>30</v>
      </c>
      <c r="C27" s="9">
        <v>31706.69</v>
      </c>
      <c r="D27" s="9">
        <v>31706.69</v>
      </c>
      <c r="O27" s="9">
        <f t="shared" si="0"/>
        <v>31706.69</v>
      </c>
    </row>
    <row r="28" ht="21.75" customHeight="1">
      <c r="B28" s="7" t="s">
        <v>31</v>
      </c>
      <c r="C28" s="9">
        <v>281788.5</v>
      </c>
      <c r="D28" s="9">
        <v>26016.35</v>
      </c>
      <c r="E28" s="9">
        <v>31344.36</v>
      </c>
      <c r="F28" s="9">
        <v>23873.41</v>
      </c>
      <c r="G28" s="9">
        <v>31344.36</v>
      </c>
      <c r="H28" s="9">
        <v>23873.41</v>
      </c>
      <c r="I28" s="9">
        <v>31344.36</v>
      </c>
      <c r="J28" s="9">
        <v>23873.41</v>
      </c>
      <c r="K28" s="9">
        <v>31344.36</v>
      </c>
      <c r="L28" s="9">
        <v>23873.41</v>
      </c>
      <c r="M28" s="9">
        <v>23873.41</v>
      </c>
      <c r="N28" s="9">
        <v>11027.66</v>
      </c>
      <c r="O28" s="9">
        <f t="shared" si="0"/>
        <v>281788.5</v>
      </c>
    </row>
    <row r="29" ht="21.75" customHeight="1">
      <c r="B29" s="7" t="s">
        <v>32</v>
      </c>
      <c r="C29" s="9">
        <v>167699.82</v>
      </c>
      <c r="D29" s="9">
        <v>262.37</v>
      </c>
      <c r="E29" s="9">
        <v>19565.8</v>
      </c>
      <c r="F29" s="9">
        <v>17078.94</v>
      </c>
      <c r="G29" s="9">
        <v>19565.8</v>
      </c>
      <c r="H29" s="9">
        <v>17078.94</v>
      </c>
      <c r="I29" s="9">
        <v>19565.8</v>
      </c>
      <c r="J29" s="9">
        <v>17078.94</v>
      </c>
      <c r="K29" s="9">
        <v>19565.8</v>
      </c>
      <c r="L29" s="9">
        <v>17078.94</v>
      </c>
      <c r="M29" s="9">
        <v>17078.94</v>
      </c>
      <c r="N29" s="9">
        <v>3779.55</v>
      </c>
      <c r="O29" s="9">
        <f t="shared" si="0"/>
        <v>167699.82</v>
      </c>
    </row>
    <row r="30" ht="21.75" customHeight="1">
      <c r="B30" s="7" t="s">
        <v>33</v>
      </c>
      <c r="C30" s="9">
        <v>262.37</v>
      </c>
      <c r="D30" s="9">
        <v>262.37</v>
      </c>
      <c r="O30" s="9">
        <f t="shared" si="0"/>
        <v>262.37</v>
      </c>
    </row>
    <row r="31" ht="21.75" customHeight="1">
      <c r="B31" s="7" t="s">
        <v>34</v>
      </c>
      <c r="C31" s="9">
        <v>59450.16</v>
      </c>
      <c r="D31" s="9">
        <v>59450.16</v>
      </c>
      <c r="O31" s="9">
        <f t="shared" si="0"/>
        <v>59450.16</v>
      </c>
    </row>
    <row r="32" ht="21.75" customHeight="1">
      <c r="B32" s="7" t="s">
        <v>35</v>
      </c>
      <c r="C32" s="9">
        <v>528354.02</v>
      </c>
      <c r="D32" s="9">
        <v>48780.73</v>
      </c>
      <c r="E32" s="9">
        <v>58770.74</v>
      </c>
      <c r="F32" s="9">
        <v>44762.69</v>
      </c>
      <c r="G32" s="9">
        <v>58770.74</v>
      </c>
      <c r="H32" s="9">
        <v>44762.69</v>
      </c>
      <c r="I32" s="9">
        <v>58770.74</v>
      </c>
      <c r="J32" s="9">
        <v>44762.69</v>
      </c>
      <c r="K32" s="9">
        <v>58770.74</v>
      </c>
      <c r="L32" s="9">
        <v>44762.69</v>
      </c>
      <c r="M32" s="9">
        <v>44762.69</v>
      </c>
      <c r="N32" s="9">
        <v>20676.88</v>
      </c>
      <c r="O32" s="9">
        <f t="shared" si="0"/>
        <v>528354.02</v>
      </c>
    </row>
    <row r="34" ht="21.75" customHeight="1">
      <c r="C34" s="13" t="s">
        <v>36</v>
      </c>
      <c r="D34" s="14">
        <f t="shared" si="2" ref="D34:O56">SUM(D21:D32)</f>
        <v>699049.75</v>
      </c>
      <c r="E34" s="14">
        <f t="shared" si="2"/>
        <v>503524.71</v>
      </c>
      <c r="F34" s="14">
        <f t="shared" si="2"/>
        <v>397500.19</v>
      </c>
      <c r="G34" s="14">
        <f t="shared" si="2"/>
        <v>503524.71</v>
      </c>
      <c r="H34" s="14">
        <f t="shared" si="2"/>
        <v>397500.19</v>
      </c>
      <c r="I34" s="14">
        <f t="shared" si="2"/>
        <v>503524.71</v>
      </c>
      <c r="J34" s="14">
        <f t="shared" si="2"/>
        <v>397500.19</v>
      </c>
      <c r="K34" s="14">
        <f t="shared" si="2"/>
        <v>503524.71</v>
      </c>
      <c r="L34" s="14">
        <f t="shared" si="2"/>
        <v>397500.19</v>
      </c>
      <c r="M34" s="14">
        <f t="shared" si="2"/>
        <v>397500.19</v>
      </c>
      <c r="N34" s="14">
        <f t="shared" si="2"/>
        <v>157198.91</v>
      </c>
      <c r="O34" s="14">
        <f t="shared" si="2"/>
        <v>4857848.45</v>
      </c>
    </row>
    <row r="35" ht="21.75" customHeight="1">
      <c r="B35" s="10" t="s">
        <v>37</v>
      </c>
      <c r="D35" s="11">
        <f t="shared" si="3" ref="D35:O35">SUM(D21:D32)</f>
        <v>699049.75</v>
      </c>
      <c r="E35" s="11">
        <f t="shared" si="3"/>
        <v>503524.71</v>
      </c>
      <c r="F35" s="11">
        <f t="shared" si="3"/>
        <v>397500.19</v>
      </c>
      <c r="G35" s="11">
        <f t="shared" si="3"/>
        <v>503524.71</v>
      </c>
      <c r="H35" s="11">
        <f t="shared" si="3"/>
        <v>397500.19</v>
      </c>
      <c r="I35" s="11">
        <f t="shared" si="3"/>
        <v>503524.71</v>
      </c>
      <c r="J35" s="11">
        <f t="shared" si="3"/>
        <v>397500.19</v>
      </c>
      <c r="K35" s="11">
        <f t="shared" si="3"/>
        <v>503524.71</v>
      </c>
      <c r="L35" s="11">
        <f t="shared" si="3"/>
        <v>397500.19</v>
      </c>
      <c r="M35" s="11">
        <f t="shared" si="3"/>
        <v>397500.19</v>
      </c>
      <c r="N35" s="11">
        <f t="shared" si="3"/>
        <v>157198.91</v>
      </c>
      <c r="O35" s="11">
        <f t="shared" si="3"/>
        <v>4857848.45</v>
      </c>
    </row>
    <row r="37" ht="21.75" customHeight="1">
      <c r="C37" s="15" t="s">
        <v>38</v>
      </c>
      <c r="D37" s="16">
        <f t="shared" si="4" ref="D37:O37">+D15-D35</f>
        <v>-1686.44999999995</v>
      </c>
      <c r="E37" s="16">
        <f t="shared" si="4"/>
        <v>0</v>
      </c>
      <c r="F37" s="16">
        <f t="shared" si="4"/>
        <v>0</v>
      </c>
      <c r="G37" s="16">
        <f t="shared" si="4"/>
        <v>0</v>
      </c>
      <c r="H37" s="16">
        <f t="shared" si="4"/>
        <v>0</v>
      </c>
      <c r="I37" s="16">
        <f t="shared" si="4"/>
        <v>0</v>
      </c>
      <c r="J37" s="16">
        <f t="shared" si="4"/>
        <v>0</v>
      </c>
      <c r="K37" s="16">
        <f t="shared" si="4"/>
        <v>0</v>
      </c>
      <c r="L37" s="16">
        <f t="shared" si="4"/>
        <v>0</v>
      </c>
      <c r="M37" s="16">
        <f t="shared" si="4"/>
        <v>0</v>
      </c>
      <c r="N37" s="16">
        <f t="shared" si="4"/>
        <v>0</v>
      </c>
      <c r="O37" s="16">
        <f t="shared" si="4"/>
        <v>-1686.45000000019</v>
      </c>
    </row>
    <row r="40" ht="21.75" customHeight="1">
      <c r="B40" s="17" t="s">
        <v>39</v>
      </c>
    </row>
    <row r="41" ht="21.75" customHeight="1">
      <c r="B41" s="10" t="s">
        <v>40</v>
      </c>
      <c r="D41" s="18">
        <v>229916.28</v>
      </c>
      <c r="E41" s="18">
        <v>166008.92</v>
      </c>
      <c r="F41" s="18">
        <v>131053.31</v>
      </c>
      <c r="G41" s="18">
        <v>166008.92</v>
      </c>
      <c r="H41" s="18">
        <v>131053.31</v>
      </c>
      <c r="I41" s="18">
        <v>166008.92</v>
      </c>
      <c r="J41" s="18">
        <v>131053.31</v>
      </c>
      <c r="K41" s="18">
        <v>166008.92</v>
      </c>
      <c r="L41" s="18">
        <v>131053.31</v>
      </c>
      <c r="M41" s="18">
        <v>131053.31</v>
      </c>
      <c r="N41" s="18">
        <v>51827.49</v>
      </c>
      <c r="O41" s="11">
        <f t="shared" si="0"/>
        <v>1601046</v>
      </c>
    </row>
    <row r="43" ht="21.75" customHeight="1">
      <c r="B43" s="7" t="s">
        <v>24</v>
      </c>
      <c r="D43" s="9">
        <v>1284.15</v>
      </c>
      <c r="E43" s="9">
        <v>95762.44</v>
      </c>
      <c r="F43" s="9">
        <v>83590.83</v>
      </c>
      <c r="G43" s="9">
        <v>95762.44</v>
      </c>
      <c r="H43" s="9">
        <v>83590.83</v>
      </c>
      <c r="I43" s="9">
        <v>95762.44</v>
      </c>
      <c r="J43" s="9">
        <v>83590.83</v>
      </c>
      <c r="K43" s="9">
        <v>95762.44</v>
      </c>
      <c r="L43" s="9">
        <v>83590.83</v>
      </c>
      <c r="M43" s="9">
        <v>83590.83</v>
      </c>
      <c r="N43" s="9">
        <v>18498.54</v>
      </c>
      <c r="O43" s="9">
        <f t="shared" si="0"/>
        <v>820786.6</v>
      </c>
    </row>
    <row r="44" ht="21.75" customHeight="1">
      <c r="B44" s="7" t="s">
        <v>25</v>
      </c>
      <c r="D44" s="9">
        <v>1284.15</v>
      </c>
      <c r="O44" s="9">
        <f t="shared" si="0"/>
        <v>1284.15</v>
      </c>
    </row>
    <row r="45" ht="21.75" customHeight="1">
      <c r="B45" s="7" t="s">
        <v>26</v>
      </c>
      <c r="D45" s="9">
        <v>290971.55</v>
      </c>
      <c r="O45" s="9">
        <f t="shared" si="0"/>
        <v>290971.55</v>
      </c>
    </row>
    <row r="46" ht="21.75" customHeight="1">
      <c r="B46" s="7" t="s">
        <v>27</v>
      </c>
      <c r="D46" s="9">
        <v>28577.82</v>
      </c>
      <c r="E46" s="9">
        <v>34430.4</v>
      </c>
      <c r="F46" s="9">
        <v>26223.88</v>
      </c>
      <c r="G46" s="9">
        <v>34430.4</v>
      </c>
      <c r="H46" s="9">
        <v>26223.88</v>
      </c>
      <c r="I46" s="9">
        <v>34430.4</v>
      </c>
      <c r="J46" s="9">
        <v>26223.88</v>
      </c>
      <c r="K46" s="9">
        <v>34430.4</v>
      </c>
      <c r="L46" s="9">
        <v>26223.88</v>
      </c>
      <c r="M46" s="9">
        <v>26223.88</v>
      </c>
      <c r="N46" s="9">
        <v>12113.4</v>
      </c>
      <c r="O46" s="9">
        <f t="shared" si="0"/>
        <v>309532.22</v>
      </c>
    </row>
    <row r="47" ht="21.75" customHeight="1">
      <c r="B47" s="7" t="s">
        <v>28</v>
      </c>
      <c r="D47" s="9">
        <v>139.93</v>
      </c>
      <c r="E47" s="9">
        <v>10435.08</v>
      </c>
      <c r="F47" s="9">
        <v>9108.76</v>
      </c>
      <c r="G47" s="9">
        <v>10435.08</v>
      </c>
      <c r="H47" s="9">
        <v>9108.76</v>
      </c>
      <c r="I47" s="9">
        <v>10435.08</v>
      </c>
      <c r="J47" s="9">
        <v>9108.76</v>
      </c>
      <c r="K47" s="9">
        <v>10435.08</v>
      </c>
      <c r="L47" s="9">
        <v>9108.76</v>
      </c>
      <c r="M47" s="9">
        <v>9108.76</v>
      </c>
      <c r="N47" s="9">
        <v>2015.76</v>
      </c>
      <c r="O47" s="9">
        <f t="shared" si="0"/>
        <v>89439.81</v>
      </c>
    </row>
    <row r="48" ht="21.75" customHeight="1">
      <c r="B48" s="7" t="s">
        <v>29</v>
      </c>
      <c r="D48" s="9">
        <v>139.93</v>
      </c>
      <c r="O48" s="9">
        <f t="shared" si="0"/>
        <v>139.93</v>
      </c>
    </row>
    <row r="49" ht="21.75" customHeight="1">
      <c r="B49" s="7" t="s">
        <v>30</v>
      </c>
      <c r="D49" s="9">
        <v>31706.69</v>
      </c>
      <c r="O49" s="9">
        <f t="shared" si="0"/>
        <v>31706.69</v>
      </c>
    </row>
    <row r="50" ht="21.75" customHeight="1">
      <c r="B50" s="7" t="s">
        <v>31</v>
      </c>
      <c r="D50" s="9">
        <v>3114.08</v>
      </c>
      <c r="E50" s="9">
        <v>3751.81</v>
      </c>
      <c r="F50" s="9">
        <v>2857.56</v>
      </c>
      <c r="G50" s="9">
        <v>3751.81</v>
      </c>
      <c r="H50" s="9">
        <v>2857.56</v>
      </c>
      <c r="I50" s="9">
        <v>3751.81</v>
      </c>
      <c r="J50" s="9">
        <v>2857.56</v>
      </c>
      <c r="K50" s="9">
        <v>3751.81</v>
      </c>
      <c r="L50" s="9">
        <v>2857.56</v>
      </c>
      <c r="M50" s="9">
        <v>2857.56</v>
      </c>
      <c r="N50" s="9">
        <v>1319.99</v>
      </c>
      <c r="O50" s="9">
        <f t="shared" si="0"/>
        <v>33729.11</v>
      </c>
    </row>
    <row r="51" ht="21.75" customHeight="1">
      <c r="B51" s="7" t="s">
        <v>32</v>
      </c>
      <c r="D51" s="9">
        <v>262.37</v>
      </c>
      <c r="E51" s="9">
        <v>19565.8</v>
      </c>
      <c r="F51" s="9">
        <v>17078.94</v>
      </c>
      <c r="G51" s="9">
        <v>19565.8</v>
      </c>
      <c r="H51" s="9">
        <v>17078.94</v>
      </c>
      <c r="I51" s="9">
        <v>19565.8</v>
      </c>
      <c r="J51" s="9">
        <v>17078.94</v>
      </c>
      <c r="K51" s="9">
        <v>19565.8</v>
      </c>
      <c r="L51" s="9">
        <v>17078.94</v>
      </c>
      <c r="M51" s="9">
        <v>17078.94</v>
      </c>
      <c r="N51" s="9">
        <v>3779.55</v>
      </c>
      <c r="O51" s="9">
        <f t="shared" si="0"/>
        <v>167699.82</v>
      </c>
    </row>
    <row r="52" ht="21.75" customHeight="1">
      <c r="B52" s="7" t="s">
        <v>33</v>
      </c>
      <c r="D52" s="9">
        <v>262.37</v>
      </c>
      <c r="O52" s="9">
        <f t="shared" si="0"/>
        <v>262.37</v>
      </c>
    </row>
    <row r="53" ht="21.75" customHeight="1">
      <c r="B53" s="7" t="s">
        <v>34</v>
      </c>
      <c r="D53" s="9">
        <v>59450.16</v>
      </c>
      <c r="O53" s="9">
        <f t="shared" si="0"/>
        <v>59450.16</v>
      </c>
    </row>
    <row r="54" ht="21.75" customHeight="1">
      <c r="B54" s="7" t="s">
        <v>35</v>
      </c>
      <c r="D54" s="9">
        <v>5838.89</v>
      </c>
      <c r="E54" s="9">
        <v>7034.69</v>
      </c>
      <c r="F54" s="9">
        <v>5357.95</v>
      </c>
      <c r="G54" s="9">
        <v>7034.69</v>
      </c>
      <c r="H54" s="9">
        <v>5357.95</v>
      </c>
      <c r="I54" s="9">
        <v>7034.69</v>
      </c>
      <c r="J54" s="9">
        <v>5357.95</v>
      </c>
      <c r="K54" s="9">
        <v>7034.69</v>
      </c>
      <c r="L54" s="9">
        <v>5357.95</v>
      </c>
      <c r="M54" s="9">
        <v>5357.95</v>
      </c>
      <c r="N54" s="9">
        <v>2474.97</v>
      </c>
      <c r="O54" s="9">
        <f t="shared" si="0"/>
        <v>63242.37</v>
      </c>
    </row>
    <row r="56" ht="21.75" customHeight="1">
      <c r="C56" s="13" t="s">
        <v>36</v>
      </c>
      <c r="D56" s="14">
        <f t="shared" si="2"/>
        <v>423032.09</v>
      </c>
      <c r="E56" s="14">
        <f t="shared" si="2"/>
        <v>170980.22</v>
      </c>
      <c r="F56" s="14">
        <f t="shared" si="2"/>
        <v>144217.92</v>
      </c>
      <c r="G56" s="14">
        <f t="shared" si="2"/>
        <v>170980.22</v>
      </c>
      <c r="H56" s="14">
        <f t="shared" si="2"/>
        <v>144217.92</v>
      </c>
      <c r="I56" s="14">
        <f t="shared" si="2"/>
        <v>170980.22</v>
      </c>
      <c r="J56" s="14">
        <f t="shared" si="2"/>
        <v>144217.92</v>
      </c>
      <c r="K56" s="14">
        <f t="shared" si="2"/>
        <v>170980.22</v>
      </c>
      <c r="L56" s="14">
        <f t="shared" si="2"/>
        <v>144217.92</v>
      </c>
      <c r="M56" s="14">
        <f t="shared" si="2"/>
        <v>144217.92</v>
      </c>
      <c r="N56" s="14">
        <f t="shared" si="2"/>
        <v>40202.21</v>
      </c>
      <c r="O56" s="14">
        <f t="shared" si="2"/>
        <v>1868244.78</v>
      </c>
    </row>
    <row r="57" ht="21.75" customHeight="1">
      <c r="B57" s="19" t="s">
        <v>41</v>
      </c>
      <c r="D57" s="20">
        <v>421345.64</v>
      </c>
      <c r="E57" s="20">
        <v>170980.22</v>
      </c>
      <c r="F57" s="20">
        <v>144217.92</v>
      </c>
      <c r="G57" s="20">
        <v>170980.22</v>
      </c>
      <c r="H57" s="20">
        <v>144217.92</v>
      </c>
      <c r="I57" s="20">
        <v>170980.22</v>
      </c>
      <c r="J57" s="20">
        <v>144217.92</v>
      </c>
      <c r="K57" s="20">
        <v>170980.22</v>
      </c>
      <c r="L57" s="20">
        <v>144217.92</v>
      </c>
      <c r="M57" s="20">
        <v>144217.92</v>
      </c>
      <c r="N57" s="20">
        <v>40202.21</v>
      </c>
      <c r="O57" s="21">
        <f t="shared" si="0"/>
        <v>1866558.33</v>
      </c>
    </row>
    <row r="58" ht="21.75" customHeight="1">
      <c r="B58" s="22" t="s">
        <v>42</v>
      </c>
      <c r="D58" s="23">
        <v>-191429.36</v>
      </c>
      <c r="E58" s="23">
        <v>-4971.3</v>
      </c>
      <c r="F58" s="23">
        <v>-13164.61</v>
      </c>
      <c r="G58" s="23">
        <v>-4971.3</v>
      </c>
      <c r="H58" s="23">
        <v>-13164.61</v>
      </c>
      <c r="I58" s="23">
        <v>-4971.3</v>
      </c>
      <c r="J58" s="23">
        <v>-13164.61</v>
      </c>
      <c r="K58" s="23">
        <v>-4971.3</v>
      </c>
      <c r="L58" s="23">
        <v>-13164.61</v>
      </c>
      <c r="M58" s="23">
        <v>-13164.61</v>
      </c>
      <c r="N58" s="23">
        <v>11625.28</v>
      </c>
      <c r="O58" s="24">
        <f t="shared" si="0"/>
        <v>-265512.33</v>
      </c>
    </row>
    <row r="59" ht="21.75" customHeight="1">
      <c r="B59" s="10" t="s">
        <v>40</v>
      </c>
      <c r="D59" s="18">
        <v>229916.28</v>
      </c>
      <c r="E59" s="18">
        <v>166008.92</v>
      </c>
      <c r="F59" s="18">
        <v>131053.31</v>
      </c>
      <c r="G59" s="18">
        <v>166008.92</v>
      </c>
      <c r="H59" s="18">
        <v>131053.31</v>
      </c>
      <c r="I59" s="18">
        <v>166008.92</v>
      </c>
      <c r="J59" s="18">
        <v>131053.31</v>
      </c>
      <c r="K59" s="18">
        <v>166008.92</v>
      </c>
      <c r="L59" s="18">
        <v>131053.31</v>
      </c>
      <c r="M59" s="18">
        <v>131053.31</v>
      </c>
      <c r="N59" s="18">
        <v>51827.49</v>
      </c>
      <c r="O59" s="11">
        <f t="shared" si="0"/>
        <v>1601046</v>
      </c>
    </row>
    <row r="60" ht="21.75" customHeight="1">
      <c r="B60" s="4" t="s">
        <v>43</v>
      </c>
      <c r="D60" s="16">
        <f t="shared" si="5" ref="D60:O60">D57-D59</f>
        <v>191429.36</v>
      </c>
      <c r="E60" s="16">
        <f t="shared" si="5"/>
        <v>4971.29999999999</v>
      </c>
      <c r="F60" s="16">
        <f t="shared" si="5"/>
        <v>13164.61</v>
      </c>
      <c r="G60" s="16">
        <f t="shared" si="5"/>
        <v>4971.29999999999</v>
      </c>
      <c r="H60" s="16">
        <f t="shared" si="5"/>
        <v>13164.61</v>
      </c>
      <c r="I60" s="16">
        <f t="shared" si="5"/>
        <v>4971.29999999999</v>
      </c>
      <c r="J60" s="16">
        <f t="shared" si="5"/>
        <v>13164.61</v>
      </c>
      <c r="K60" s="16">
        <f t="shared" si="5"/>
        <v>4971.29999999999</v>
      </c>
      <c r="L60" s="16">
        <f t="shared" si="5"/>
        <v>13164.61</v>
      </c>
      <c r="M60" s="16">
        <f t="shared" si="5"/>
        <v>13164.61</v>
      </c>
      <c r="N60" s="16">
        <f t="shared" si="5"/>
        <v>-11625.28</v>
      </c>
      <c r="O60" s="16">
        <f t="shared" si="5"/>
        <v>265512.33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7FF8C38-13E8-8981-5B0A-8078AE225A36}" mc:Ignorable="x14ac xr xr2 xr3">
  <dimension ref="A1:AX501"/>
  <sheetViews>
    <sheetView workbookViewId="0" tabSelected="1">
      <pane xSplit="1" ySplit="1" topLeftCell="B35" activePane="bottomRight" state="frozen"/>
      <selection pane="bottomLeft" activeCell="A2" sqref="A2"/>
      <selection pane="topRight" activeCell="B1" sqref="B1"/>
      <selection pane="bottomRight" activeCell="B42" sqref="B42:F42"/>
    </sheetView>
  </sheetViews>
  <sheetFormatPr defaultRowHeight="21.75" defaultColWidth="9.140625" customHeight="1"/>
  <cols>
    <col min="1" max="1" width="35.7109375" customWidth="1"/>
    <col min="2" max="2" width="10.421875" customWidth="1"/>
    <col min="3" max="3" width="12.140625" customWidth="1"/>
    <col min="4" max="4" width="11.7109375" customWidth="1"/>
    <col min="5" max="5" width="13.8515625" customWidth="1"/>
    <col min="6" max="6" width="10.8515625" customWidth="1"/>
    <col min="7" max="7" width="15.7109375" customWidth="1"/>
    <col min="8" max="8" width="9.8515625" customWidth="1"/>
    <col min="9" max="9" width="8.71093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18" customHeight="1">
      <c r="A2" s="2" t="s">
        <v>0</v>
      </c>
    </row>
    <row r="3" ht="15" customHeight="1">
      <c r="A3" s="3" t="s">
        <v>44</v>
      </c>
    </row>
    <row r="4" ht="15" customHeight="1">
      <c r="A4" s="4" t="s">
        <v>45</v>
      </c>
    </row>
    <row r="5" ht="15" customHeight="1"/>
    <row r="6" ht="15" customHeight="1">
      <c r="A6" s="25" t="s">
        <v>46</v>
      </c>
      <c r="B6" s="26" t="s">
        <v>47</v>
      </c>
    </row>
    <row r="7" ht="15" customHeight="1"/>
    <row r="8" ht="15" customHeight="1"/>
    <row r="9" ht="15" customHeight="1">
      <c r="A9" s="17" t="s">
        <v>48</v>
      </c>
    </row>
    <row r="10" ht="15" customHeight="1"/>
    <row r="11" ht="15" customHeight="1"/>
    <row r="12" ht="15" customHeight="1"/>
    <row r="13" ht="15" customHeight="1"/>
    <row r="14" ht="21.75" customHeight="1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55</v>
      </c>
    </row>
    <row r="15" ht="15" customHeight="1"/>
    <row r="16" ht="15" customHeight="1">
      <c r="A16" s="12" t="s">
        <v>56</v>
      </c>
    </row>
    <row r="17" ht="15" customHeight="1">
      <c r="A17" s="7" t="s">
        <v>57</v>
      </c>
      <c r="B17" s="9">
        <v>1686.45</v>
      </c>
      <c r="D17" s="9">
        <v>1686.45</v>
      </c>
    </row>
    <row r="18" ht="15" customHeight="1">
      <c r="A18" s="7" t="s">
        <v>58</v>
      </c>
      <c r="B18" s="9">
        <v>39048.7</v>
      </c>
      <c r="E18" s="9">
        <v>39048.7</v>
      </c>
    </row>
    <row r="19" ht="15" customHeight="1">
      <c r="A19" s="7" t="s">
        <v>59</v>
      </c>
      <c r="B19" s="9">
        <v>153576.44</v>
      </c>
      <c r="E19" s="9">
        <v>153576.44</v>
      </c>
    </row>
    <row r="20" ht="15" customHeight="1">
      <c r="A20" s="7" t="s">
        <v>60</v>
      </c>
      <c r="B20" s="9">
        <v>4980.7</v>
      </c>
      <c r="E20" s="9">
        <v>4980.7</v>
      </c>
    </row>
    <row r="21" ht="15" customHeight="1">
      <c r="A21" s="7" t="s">
        <v>61</v>
      </c>
      <c r="B21" s="9">
        <v>7221.77</v>
      </c>
      <c r="E21" s="9">
        <v>7221.77</v>
      </c>
    </row>
    <row r="22" ht="15" customHeight="1">
      <c r="A22" s="7" t="s">
        <v>62</v>
      </c>
      <c r="B22" s="9">
        <v>84027.83</v>
      </c>
      <c r="E22" s="9">
        <v>84027.83</v>
      </c>
    </row>
    <row r="23" ht="15" customHeight="1">
      <c r="A23" s="7" t="s">
        <v>63</v>
      </c>
      <c r="B23" s="9">
        <v>9631.81</v>
      </c>
      <c r="E23" s="9">
        <v>9631.81</v>
      </c>
    </row>
    <row r="24" ht="15" customHeight="1">
      <c r="A24" s="7" t="s">
        <v>64</v>
      </c>
      <c r="B24" s="9">
        <v>20401.97</v>
      </c>
      <c r="E24" s="9">
        <v>20401.97</v>
      </c>
    </row>
    <row r="25" ht="15" customHeight="1">
      <c r="A25" s="7" t="s">
        <v>65</v>
      </c>
      <c r="B25" s="9">
        <v>1644.48</v>
      </c>
      <c r="E25" s="9">
        <v>1644.48</v>
      </c>
    </row>
    <row r="26" ht="15" customHeight="1">
      <c r="A26" s="7" t="s">
        <v>66</v>
      </c>
      <c r="B26" s="9">
        <v>11153.66</v>
      </c>
      <c r="E26" s="9">
        <v>11153.66</v>
      </c>
    </row>
    <row r="27" ht="15" customHeight="1">
      <c r="A27" s="7" t="s">
        <v>67</v>
      </c>
      <c r="B27" s="9">
        <v>24156.38</v>
      </c>
      <c r="E27" s="9">
        <v>24156.38</v>
      </c>
    </row>
    <row r="28" ht="15" customHeight="1">
      <c r="A28" s="7" t="s">
        <v>68</v>
      </c>
      <c r="B28" s="9">
        <v>8313.83</v>
      </c>
      <c r="E28" s="9">
        <v>8313.83</v>
      </c>
    </row>
    <row r="29" ht="15" customHeight="1">
      <c r="A29" s="7" t="s">
        <v>69</v>
      </c>
      <c r="B29" s="9">
        <v>424.82</v>
      </c>
      <c r="E29" s="9">
        <v>424.82</v>
      </c>
    </row>
    <row r="30" ht="15" customHeight="1">
      <c r="A30" s="7" t="s">
        <v>70</v>
      </c>
      <c r="B30" s="9">
        <v>7388.84</v>
      </c>
      <c r="E30" s="9">
        <v>7388.84</v>
      </c>
    </row>
    <row r="31" ht="15" customHeight="1">
      <c r="A31" s="7" t="s">
        <v>71</v>
      </c>
      <c r="B31" s="9">
        <v>10157.17</v>
      </c>
      <c r="E31" s="9">
        <v>10157.17</v>
      </c>
    </row>
    <row r="32" ht="15" customHeight="1">
      <c r="A32" s="12" t="s">
        <v>72</v>
      </c>
    </row>
    <row r="33" ht="15" customHeight="1">
      <c r="A33" s="7" t="s">
        <v>72</v>
      </c>
      <c r="B33" s="9">
        <v>313548.45</v>
      </c>
      <c r="F33" s="9">
        <v>313548.45</v>
      </c>
    </row>
    <row r="34" ht="15" customHeight="1"/>
    <row r="35" ht="15" customHeight="1">
      <c r="A35" s="10" t="s">
        <v>73</v>
      </c>
      <c r="B35" s="11">
        <v>697363.3</v>
      </c>
      <c r="D35" s="11">
        <v>1686.45</v>
      </c>
      <c r="E35" s="11">
        <v>382128.4</v>
      </c>
      <c r="F35" s="11">
        <v>313548.45</v>
      </c>
    </row>
    <row r="36" ht="15" customHeight="1">
      <c r="A36" s="4" t="s">
        <v>74</v>
      </c>
      <c r="D36" s="27">
        <v>0.002</v>
      </c>
      <c r="E36" s="27">
        <v>0.548</v>
      </c>
      <c r="F36" s="27">
        <v>0.45</v>
      </c>
    </row>
    <row r="37" ht="15" customHeight="1">
      <c r="A37" s="28" t="s">
        <v>36</v>
      </c>
      <c r="B37" s="14">
        <f t="shared" si="0" ref="B37:F37">SUM(B17:B34)</f>
        <v>697363.3</v>
      </c>
      <c r="C37" s="14">
        <f t="shared" si="0"/>
        <v>0</v>
      </c>
      <c r="E37" s="28" t="s">
        <v>36</v>
      </c>
      <c r="F37" s="14">
        <f t="shared" si="0"/>
        <v>313548.45</v>
      </c>
    </row>
    <row r="38" ht="15" customHeight="1">
      <c r="A38" s="25" t="s">
        <v>75</v>
      </c>
    </row>
    <row r="39" ht="15" customHeight="1">
      <c r="A39" s="7" t="s">
        <v>76</v>
      </c>
      <c r="B39" s="9">
        <v>531007.07</v>
      </c>
      <c r="D39" s="9">
        <v>1284.15</v>
      </c>
      <c r="E39" s="9">
        <v>290971.55</v>
      </c>
      <c r="F39" s="9">
        <v>238751.37</v>
      </c>
    </row>
    <row r="40" ht="15" customHeight="1">
      <c r="A40" s="7" t="s">
        <v>77</v>
      </c>
      <c r="B40" s="9">
        <v>57862.97</v>
      </c>
      <c r="D40" s="9">
        <v>139.93</v>
      </c>
      <c r="E40" s="9">
        <v>31706.69</v>
      </c>
      <c r="F40" s="9">
        <v>26016.35</v>
      </c>
    </row>
    <row r="41" ht="15" customHeight="1">
      <c r="A41" s="7" t="s">
        <v>78</v>
      </c>
      <c r="B41" s="9">
        <v>108493.26</v>
      </c>
      <c r="D41" s="9">
        <v>262.37</v>
      </c>
      <c r="E41" s="9">
        <v>59450.16</v>
      </c>
      <c r="F41" s="9">
        <v>48780.73</v>
      </c>
    </row>
    <row r="42" ht="15" customHeight="1">
      <c r="A42" s="19" t="s">
        <v>79</v>
      </c>
      <c r="B42" s="21">
        <v>697363.3</v>
      </c>
      <c r="D42" s="21">
        <v>1686.45</v>
      </c>
      <c r="E42" s="21">
        <v>382128.4</v>
      </c>
      <c r="F42" s="21">
        <v>313548.45</v>
      </c>
    </row>
    <row r="43" ht="15" customHeight="1">
      <c r="A43" s="28" t="s">
        <v>36</v>
      </c>
      <c r="B43" s="14">
        <f t="shared" si="1" ref="B43:F43">SUM(B39:B41)</f>
        <v>697363.3</v>
      </c>
      <c r="C43" s="14">
        <f t="shared" si="1"/>
        <v>0</v>
      </c>
      <c r="D43" s="14">
        <f t="shared" si="1"/>
        <v>1686.45</v>
      </c>
      <c r="E43" s="14">
        <f t="shared" si="1"/>
        <v>382128.4</v>
      </c>
      <c r="F43" s="14">
        <f t="shared" si="1"/>
        <v>313548.45</v>
      </c>
    </row>
    <row r="44" ht="15" customHeight="1"/>
    <row r="45" ht="15" customHeight="1"/>
    <row r="46" ht="15" customHeight="1"/>
    <row r="47" ht="15" customHeight="1">
      <c r="A47" s="17" t="s">
        <v>39</v>
      </c>
    </row>
    <row r="48" ht="15" customHeight="1">
      <c r="A48" s="10" t="s">
        <v>40</v>
      </c>
    </row>
    <row r="49" ht="15" customHeight="1">
      <c r="A49" s="13" t="s">
        <v>80</v>
      </c>
      <c r="B49" s="13" t="s">
        <v>81</v>
      </c>
      <c r="C49" s="13" t="s">
        <v>82</v>
      </c>
      <c r="D49" s="13" t="s">
        <v>83</v>
      </c>
      <c r="E49" s="13" t="s">
        <v>84</v>
      </c>
      <c r="F49" s="13" t="s">
        <v>85</v>
      </c>
      <c r="G49" s="13" t="s">
        <v>86</v>
      </c>
      <c r="H49" s="13" t="s">
        <v>87</v>
      </c>
      <c r="I49" s="13" t="s">
        <v>88</v>
      </c>
    </row>
    <row r="50" ht="15" customHeight="1">
      <c r="A50" s="7" t="s">
        <v>89</v>
      </c>
      <c r="B50" s="9">
        <v>531007.07</v>
      </c>
      <c r="C50" s="9">
        <v>0</v>
      </c>
      <c r="D50" s="9">
        <v>0</v>
      </c>
      <c r="E50" s="9">
        <v>44250.63</v>
      </c>
      <c r="F50" s="9">
        <v>44250.63</v>
      </c>
      <c r="G50" s="9">
        <v>467447.02</v>
      </c>
      <c r="H50" s="6" t="s">
        <v>90</v>
      </c>
      <c r="I50" s="29">
        <v>27.5</v>
      </c>
    </row>
    <row r="51" ht="15" customHeight="1">
      <c r="A51" s="7" t="s">
        <v>91</v>
      </c>
      <c r="B51" s="9">
        <v>57862.97</v>
      </c>
      <c r="C51" s="9">
        <v>0</v>
      </c>
      <c r="D51" s="9">
        <v>57862.97</v>
      </c>
      <c r="E51" s="9">
        <v>57862.97</v>
      </c>
      <c r="F51" s="9">
        <v>57862.97</v>
      </c>
      <c r="G51" s="9">
        <v>0</v>
      </c>
      <c r="H51" s="6" t="s">
        <v>92</v>
      </c>
      <c r="I51" s="29">
        <v>15</v>
      </c>
    </row>
    <row r="52" ht="15" customHeight="1">
      <c r="A52" s="7" t="s">
        <v>93</v>
      </c>
      <c r="B52" s="9">
        <v>108493.26</v>
      </c>
      <c r="C52" s="9">
        <v>0</v>
      </c>
      <c r="D52" s="9">
        <v>108493.26</v>
      </c>
      <c r="E52" s="9">
        <v>108493.26</v>
      </c>
      <c r="F52" s="9">
        <v>108493.26</v>
      </c>
      <c r="G52" s="9">
        <v>0</v>
      </c>
      <c r="H52" s="6" t="s">
        <v>94</v>
      </c>
      <c r="I52" s="29">
        <v>5</v>
      </c>
    </row>
    <row r="53" ht="15" customHeight="1">
      <c r="A53" s="10" t="s">
        <v>17</v>
      </c>
      <c r="B53" s="11">
        <v>697363.3</v>
      </c>
      <c r="C53" s="11">
        <v>166356.23</v>
      </c>
      <c r="D53" s="11">
        <v>210606.86</v>
      </c>
      <c r="E53" s="11">
        <v>19309.42</v>
      </c>
      <c r="F53" s="11">
        <v>229916.28</v>
      </c>
      <c r="G53" s="11">
        <v>467447.02</v>
      </c>
    </row>
    <row r="54" ht="15" customHeight="1"/>
    <row r="55" ht="15" customHeight="1">
      <c r="A55" s="19" t="s">
        <v>95</v>
      </c>
    </row>
    <row r="56" ht="15" customHeight="1">
      <c r="A56" s="13" t="s">
        <v>80</v>
      </c>
      <c r="B56" s="13" t="s">
        <v>81</v>
      </c>
      <c r="C56" s="13" t="s">
        <v>82</v>
      </c>
      <c r="D56" s="13" t="s">
        <v>83</v>
      </c>
      <c r="E56" s="13" t="s">
        <v>84</v>
      </c>
      <c r="F56" s="13" t="s">
        <v>85</v>
      </c>
      <c r="G56" s="13" t="s">
        <v>86</v>
      </c>
      <c r="H56" s="13" t="s">
        <v>87</v>
      </c>
      <c r="I56" s="13" t="s">
        <v>88</v>
      </c>
    </row>
    <row r="57" ht="15" customHeight="1">
      <c r="A57" s="7" t="s">
        <v>96</v>
      </c>
      <c r="B57" s="9">
        <v>1284.15</v>
      </c>
      <c r="C57" s="9">
        <v>0</v>
      </c>
      <c r="D57" s="9">
        <v>1284.15</v>
      </c>
      <c r="E57" s="9">
        <v>1284.15</v>
      </c>
      <c r="F57" s="9">
        <v>0</v>
      </c>
      <c r="G57" s="9">
        <v>1284.15</v>
      </c>
      <c r="H57" s="6" t="s">
        <v>94</v>
      </c>
      <c r="I57" s="29">
        <v>7</v>
      </c>
    </row>
    <row r="58" ht="15" customHeight="1">
      <c r="A58" s="7" t="s">
        <v>97</v>
      </c>
      <c r="B58" s="9">
        <v>290971.55</v>
      </c>
      <c r="C58" s="9">
        <v>0</v>
      </c>
      <c r="D58" s="9">
        <v>290971.55</v>
      </c>
      <c r="E58" s="9">
        <v>290971.55</v>
      </c>
      <c r="F58" s="9">
        <v>0</v>
      </c>
      <c r="G58" s="9">
        <v>290971.55</v>
      </c>
      <c r="H58" s="6" t="s">
        <v>92</v>
      </c>
      <c r="I58" s="29">
        <v>15</v>
      </c>
    </row>
    <row r="59" ht="15" customHeight="1">
      <c r="A59" s="7" t="s">
        <v>98</v>
      </c>
      <c r="B59" s="9">
        <v>238751.37</v>
      </c>
      <c r="C59" s="9">
        <v>0</v>
      </c>
      <c r="D59" s="9">
        <v>0</v>
      </c>
      <c r="E59" s="9">
        <v>19895.95</v>
      </c>
      <c r="F59" s="9">
        <v>8681.87</v>
      </c>
      <c r="G59" s="9">
        <v>28577.82</v>
      </c>
      <c r="H59" s="6" t="s">
        <v>90</v>
      </c>
      <c r="I59" s="29">
        <v>27.5</v>
      </c>
    </row>
    <row r="60" ht="15" customHeight="1">
      <c r="A60" s="7" t="s">
        <v>99</v>
      </c>
      <c r="B60" s="9">
        <v>139.93</v>
      </c>
      <c r="C60" s="9">
        <v>0</v>
      </c>
      <c r="D60" s="9">
        <v>139.93</v>
      </c>
      <c r="E60" s="9">
        <v>139.93</v>
      </c>
      <c r="F60" s="9">
        <v>0</v>
      </c>
      <c r="G60" s="9">
        <v>139.93</v>
      </c>
      <c r="H60" s="6" t="s">
        <v>94</v>
      </c>
      <c r="I60" s="29">
        <v>7</v>
      </c>
    </row>
    <row r="61" ht="15" customHeight="1">
      <c r="A61" s="7" t="s">
        <v>100</v>
      </c>
      <c r="B61" s="9">
        <v>31706.69</v>
      </c>
      <c r="C61" s="9">
        <v>0</v>
      </c>
      <c r="D61" s="9">
        <v>31706.69</v>
      </c>
      <c r="E61" s="9">
        <v>31706.69</v>
      </c>
      <c r="F61" s="9">
        <v>0</v>
      </c>
      <c r="G61" s="9">
        <v>31706.69</v>
      </c>
      <c r="H61" s="6" t="s">
        <v>92</v>
      </c>
      <c r="I61" s="29">
        <v>15</v>
      </c>
    </row>
    <row r="62" ht="15" customHeight="1">
      <c r="A62" s="7" t="s">
        <v>101</v>
      </c>
      <c r="B62" s="9">
        <v>26016.35</v>
      </c>
      <c r="C62" s="9">
        <v>0</v>
      </c>
      <c r="D62" s="9">
        <v>0</v>
      </c>
      <c r="E62" s="9">
        <v>2168.03</v>
      </c>
      <c r="F62" s="9">
        <v>946.05</v>
      </c>
      <c r="G62" s="9">
        <v>3114.08</v>
      </c>
      <c r="H62" s="6" t="s">
        <v>90</v>
      </c>
      <c r="I62" s="29">
        <v>27.5</v>
      </c>
    </row>
    <row r="63" ht="15" customHeight="1">
      <c r="A63" s="7" t="s">
        <v>102</v>
      </c>
      <c r="B63" s="9">
        <v>262.37</v>
      </c>
      <c r="C63" s="9">
        <v>0</v>
      </c>
      <c r="D63" s="9">
        <v>262.37</v>
      </c>
      <c r="E63" s="9">
        <v>262.37</v>
      </c>
      <c r="F63" s="9">
        <v>0</v>
      </c>
      <c r="G63" s="9">
        <v>262.37</v>
      </c>
      <c r="H63" s="6" t="s">
        <v>94</v>
      </c>
      <c r="I63" s="29">
        <v>7</v>
      </c>
    </row>
    <row r="64" ht="15" customHeight="1">
      <c r="A64" s="7" t="s">
        <v>103</v>
      </c>
      <c r="B64" s="9">
        <v>59450.16</v>
      </c>
      <c r="C64" s="9">
        <v>0</v>
      </c>
      <c r="D64" s="9">
        <v>59450.16</v>
      </c>
      <c r="E64" s="9">
        <v>59450.16</v>
      </c>
      <c r="F64" s="9">
        <v>0</v>
      </c>
      <c r="G64" s="9">
        <v>59450.16</v>
      </c>
      <c r="H64" s="6" t="s">
        <v>92</v>
      </c>
      <c r="I64" s="29">
        <v>15</v>
      </c>
    </row>
    <row r="65" ht="15" customHeight="1">
      <c r="A65" s="7" t="s">
        <v>104</v>
      </c>
      <c r="B65" s="9">
        <v>48780.73</v>
      </c>
      <c r="C65" s="9">
        <v>0</v>
      </c>
      <c r="D65" s="9">
        <v>0</v>
      </c>
      <c r="E65" s="9">
        <v>4065.05</v>
      </c>
      <c r="F65" s="9">
        <v>1773.84</v>
      </c>
      <c r="G65" s="9">
        <v>5838.89</v>
      </c>
      <c r="H65" s="6" t="s">
        <v>90</v>
      </c>
      <c r="I65" s="29">
        <v>27.5</v>
      </c>
    </row>
    <row r="66" ht="15" customHeight="1">
      <c r="A66" s="19" t="s">
        <v>17</v>
      </c>
      <c r="B66" s="21">
        <v>697363.3</v>
      </c>
      <c r="C66" s="21">
        <v>383814.85</v>
      </c>
      <c r="D66" s="21">
        <v>409943.88</v>
      </c>
      <c r="E66" s="21">
        <v>11401.76</v>
      </c>
      <c r="F66" s="21">
        <v>421345.64</v>
      </c>
      <c r="G66" s="21">
        <v>276017.66</v>
      </c>
    </row>
    <row r="67" ht="15" customHeight="1"/>
    <row r="68" ht="15" customHeight="1">
      <c r="A68" s="17" t="s">
        <v>42</v>
      </c>
    </row>
    <row r="69" ht="15" customHeight="1">
      <c r="A69" s="26" t="s">
        <v>105</v>
      </c>
      <c r="B69" s="30">
        <v>229916.28</v>
      </c>
    </row>
    <row r="70" ht="15" customHeight="1">
      <c r="A70" s="26" t="s">
        <v>106</v>
      </c>
      <c r="B70" s="30">
        <v>421345.64</v>
      </c>
    </row>
    <row r="71" ht="15" customHeight="1">
      <c r="A71" s="22" t="s">
        <v>42</v>
      </c>
      <c r="B71" s="24">
        <v>-191429.36</v>
      </c>
    </row>
    <row r="72" ht="15" customHeight="1"/>
    <row r="73" ht="15" customHeight="1"/>
    <row r="74" ht="15" customHeight="1"/>
    <row r="75" ht="15" customHeight="1"/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91D7B27-B5A3-AF75-2CBF-94EC9595EED8}" mc:Ignorable="x14ac xr xr2 xr3">
  <dimension ref="A1:I86"/>
  <sheetViews>
    <sheetView workbookViewId="0">
      <pane xSplit="1" ySplit="1" topLeftCell="B14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6.00390625" customWidth="1"/>
    <col min="2" max="2" width="16.00390625" customWidth="1"/>
    <col min="3" max="7" width="14.00390625" customWidth="1"/>
    <col min="8" max="8" width="12.00390625" customWidth="1"/>
    <col min="9" max="9" width="1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18" customHeight="1">
      <c r="A2" s="2" t="s">
        <v>0</v>
      </c>
    </row>
    <row r="3" ht="15" customHeight="1">
      <c r="A3" s="3" t="s">
        <v>107</v>
      </c>
    </row>
    <row r="4" ht="15" customHeight="1">
      <c r="A4" s="4" t="s">
        <v>45</v>
      </c>
    </row>
    <row r="6" ht="15" customHeight="1">
      <c r="A6" s="25" t="s">
        <v>46</v>
      </c>
      <c r="B6" s="26" t="s">
        <v>47</v>
      </c>
    </row>
    <row r="9" ht="15" customHeight="1">
      <c r="A9" s="17" t="s">
        <v>108</v>
      </c>
    </row>
    <row r="14" ht="21.75" customHeight="1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55</v>
      </c>
    </row>
    <row r="16" ht="15" customHeight="1">
      <c r="A16" s="12" t="s">
        <v>109</v>
      </c>
    </row>
    <row r="17" ht="15" customHeight="1">
      <c r="A17" s="7" t="s">
        <v>110</v>
      </c>
      <c r="B17" s="9">
        <v>26445.19</v>
      </c>
      <c r="C17" s="9">
        <v>26445.19</v>
      </c>
    </row>
    <row r="18" ht="15" customHeight="1">
      <c r="A18" s="7" t="s">
        <v>111</v>
      </c>
      <c r="B18" s="9">
        <v>4635.69</v>
      </c>
      <c r="C18" s="9">
        <v>4635.69</v>
      </c>
    </row>
    <row r="19" ht="15" customHeight="1">
      <c r="A19" s="7" t="s">
        <v>112</v>
      </c>
      <c r="B19" s="9">
        <v>9118.09</v>
      </c>
      <c r="C19" s="9">
        <v>9118.09</v>
      </c>
    </row>
    <row r="20" ht="15" customHeight="1">
      <c r="A20" s="7" t="s">
        <v>113</v>
      </c>
      <c r="B20" s="9">
        <v>17166.07</v>
      </c>
      <c r="C20" s="9">
        <v>17166.07</v>
      </c>
    </row>
    <row r="21" ht="15" customHeight="1">
      <c r="A21" s="7" t="s">
        <v>114</v>
      </c>
      <c r="B21" s="9">
        <v>2842.52</v>
      </c>
      <c r="C21" s="9">
        <v>2842.52</v>
      </c>
    </row>
    <row r="22" ht="15" customHeight="1">
      <c r="A22" s="7" t="s">
        <v>115</v>
      </c>
      <c r="B22" s="9">
        <v>2418.44</v>
      </c>
      <c r="C22" s="9">
        <v>2418.44</v>
      </c>
    </row>
    <row r="23" ht="15" customHeight="1">
      <c r="A23" s="7" t="s">
        <v>116</v>
      </c>
      <c r="B23" s="9">
        <v>718.3</v>
      </c>
      <c r="C23" s="9">
        <v>718.3</v>
      </c>
    </row>
    <row r="24" ht="15" customHeight="1">
      <c r="A24" s="7" t="s">
        <v>117</v>
      </c>
      <c r="B24" s="9">
        <v>705.03</v>
      </c>
      <c r="C24" s="9">
        <v>705.03</v>
      </c>
    </row>
    <row r="25" ht="15" customHeight="1">
      <c r="A25" s="7" t="s">
        <v>118</v>
      </c>
      <c r="B25" s="9">
        <v>12363.8</v>
      </c>
      <c r="C25" s="9">
        <v>12363.8</v>
      </c>
    </row>
    <row r="26" ht="15" customHeight="1">
      <c r="A26" s="7" t="s">
        <v>119</v>
      </c>
      <c r="B26" s="9">
        <v>2600.58</v>
      </c>
      <c r="C26" s="9">
        <v>2600.58</v>
      </c>
    </row>
    <row r="27" ht="15" customHeight="1">
      <c r="A27" s="7" t="s">
        <v>120</v>
      </c>
      <c r="B27" s="9">
        <v>13431.92</v>
      </c>
      <c r="C27" s="9">
        <v>13431.92</v>
      </c>
    </row>
    <row r="28" ht="15" customHeight="1">
      <c r="A28" s="7" t="s">
        <v>121</v>
      </c>
      <c r="B28" s="9">
        <v>1140.5</v>
      </c>
      <c r="C28" s="9">
        <v>1140.5</v>
      </c>
    </row>
    <row r="29" ht="15" customHeight="1">
      <c r="A29" s="7" t="s">
        <v>122</v>
      </c>
      <c r="B29" s="9">
        <v>1360.86</v>
      </c>
      <c r="C29" s="9">
        <v>1360.86</v>
      </c>
    </row>
    <row r="30" ht="15" customHeight="1">
      <c r="A30" s="7" t="s">
        <v>123</v>
      </c>
      <c r="B30" s="9">
        <v>14831.54</v>
      </c>
      <c r="C30" s="9">
        <v>14831.54</v>
      </c>
    </row>
    <row r="31" ht="15" customHeight="1">
      <c r="A31" s="12" t="s">
        <v>124</v>
      </c>
    </row>
    <row r="32" ht="15" customHeight="1">
      <c r="A32" s="7" t="s">
        <v>125</v>
      </c>
      <c r="B32" s="9">
        <v>19166.81</v>
      </c>
      <c r="F32" s="9">
        <v>19166.81</v>
      </c>
    </row>
    <row r="33" ht="15" customHeight="1">
      <c r="A33" s="7" t="s">
        <v>126</v>
      </c>
      <c r="B33" s="9">
        <v>26894.18</v>
      </c>
      <c r="F33" s="9">
        <v>26894.18</v>
      </c>
    </row>
    <row r="34" ht="15" customHeight="1">
      <c r="A34" s="7" t="s">
        <v>127</v>
      </c>
      <c r="B34" s="9">
        <v>19273.71</v>
      </c>
      <c r="F34" s="9">
        <v>19273.71</v>
      </c>
    </row>
    <row r="35" ht="15" customHeight="1">
      <c r="A35" s="7" t="s">
        <v>128</v>
      </c>
      <c r="B35" s="9">
        <v>24003.39</v>
      </c>
      <c r="F35" s="9">
        <v>24003.39</v>
      </c>
    </row>
    <row r="36" ht="15" customHeight="1">
      <c r="A36" s="7" t="s">
        <v>129</v>
      </c>
      <c r="B36" s="9">
        <v>23233.4</v>
      </c>
      <c r="F36" s="9">
        <v>23233.4</v>
      </c>
    </row>
    <row r="37" ht="15" customHeight="1">
      <c r="A37" s="7" t="s">
        <v>130</v>
      </c>
      <c r="B37" s="9">
        <v>8832.92</v>
      </c>
      <c r="F37" s="9">
        <v>8832.92</v>
      </c>
    </row>
    <row r="38" ht="15" customHeight="1">
      <c r="A38" s="7" t="s">
        <v>131</v>
      </c>
      <c r="B38" s="9">
        <v>17315.31</v>
      </c>
      <c r="F38" s="9">
        <v>17315.31</v>
      </c>
    </row>
    <row r="39" ht="15" customHeight="1">
      <c r="A39" s="7" t="s">
        <v>132</v>
      </c>
      <c r="B39" s="9">
        <v>10659.46</v>
      </c>
      <c r="F39" s="9">
        <v>10659.46</v>
      </c>
    </row>
    <row r="40" ht="15" customHeight="1">
      <c r="A40" s="7" t="s">
        <v>133</v>
      </c>
      <c r="B40" s="9">
        <v>12873.87</v>
      </c>
      <c r="F40" s="9">
        <v>12873.87</v>
      </c>
    </row>
    <row r="41" ht="15" customHeight="1">
      <c r="A41" s="7" t="s">
        <v>134</v>
      </c>
      <c r="B41" s="9">
        <v>29302.11</v>
      </c>
      <c r="F41" s="9">
        <v>29302.11</v>
      </c>
    </row>
    <row r="42" ht="15" customHeight="1">
      <c r="A42" s="7" t="s">
        <v>135</v>
      </c>
      <c r="B42" s="9">
        <v>11976.41</v>
      </c>
      <c r="F42" s="9">
        <v>11976.41</v>
      </c>
    </row>
    <row r="43" ht="15" customHeight="1">
      <c r="A43" s="7" t="s">
        <v>136</v>
      </c>
      <c r="B43" s="9">
        <v>1737.32</v>
      </c>
      <c r="F43" s="9">
        <v>1737.32</v>
      </c>
    </row>
    <row r="44" ht="15" customHeight="1">
      <c r="A44" s="7" t="s">
        <v>137</v>
      </c>
      <c r="B44" s="9">
        <v>45720.62</v>
      </c>
      <c r="F44" s="9">
        <v>45720.62</v>
      </c>
    </row>
    <row r="45" ht="15" customHeight="1">
      <c r="A45" s="7" t="s">
        <v>138</v>
      </c>
      <c r="B45" s="9">
        <v>10815.9</v>
      </c>
      <c r="F45" s="9">
        <v>10815.9</v>
      </c>
    </row>
    <row r="46" ht="15" customHeight="1">
      <c r="A46" s="7" t="s">
        <v>139</v>
      </c>
      <c r="B46" s="9">
        <v>9740.22</v>
      </c>
      <c r="F46" s="9">
        <v>9740.22</v>
      </c>
    </row>
    <row r="47" ht="15" customHeight="1">
      <c r="A47" s="7" t="s">
        <v>140</v>
      </c>
      <c r="B47" s="9">
        <v>6970.48</v>
      </c>
      <c r="F47" s="9">
        <v>6970.48</v>
      </c>
    </row>
    <row r="49" ht="15" customHeight="1">
      <c r="A49" s="10" t="s">
        <v>141</v>
      </c>
      <c r="B49" s="11">
        <v>503524.71</v>
      </c>
      <c r="C49" s="11">
        <v>125763.32</v>
      </c>
      <c r="F49" s="11">
        <v>377761.39</v>
      </c>
    </row>
    <row r="50" ht="15" customHeight="1">
      <c r="A50" s="4" t="s">
        <v>142</v>
      </c>
      <c r="C50" s="27">
        <v>0.25</v>
      </c>
      <c r="F50" s="27">
        <v>0.75</v>
      </c>
    </row>
    <row r="51" ht="15" customHeight="1">
      <c r="A51" s="28" t="s">
        <v>36</v>
      </c>
      <c r="B51" s="14">
        <f t="shared" si="0" ref="B51:F51">SUM(B17:B48)</f>
        <v>388294.64</v>
      </c>
      <c r="C51" s="14">
        <f t="shared" si="0"/>
        <v>109778.53</v>
      </c>
      <c r="E51" s="28" t="s">
        <v>36</v>
      </c>
      <c r="F51" s="14">
        <f t="shared" si="0"/>
        <v>278516.11</v>
      </c>
    </row>
    <row r="52" ht="15" customHeight="1">
      <c r="A52" s="25" t="s">
        <v>75</v>
      </c>
    </row>
    <row r="53" ht="15" customHeight="1">
      <c r="A53" s="7" t="s">
        <v>76</v>
      </c>
      <c r="B53" s="9">
        <v>383408.73</v>
      </c>
      <c r="C53" s="9">
        <v>95762.44</v>
      </c>
      <c r="F53" s="9">
        <v>287646.29</v>
      </c>
    </row>
    <row r="54" ht="15" customHeight="1">
      <c r="A54" s="7" t="s">
        <v>77</v>
      </c>
      <c r="B54" s="9">
        <v>41779.44</v>
      </c>
      <c r="C54" s="9">
        <v>10435.08</v>
      </c>
      <c r="F54" s="9">
        <v>31344.36</v>
      </c>
    </row>
    <row r="55" ht="15" customHeight="1">
      <c r="A55" s="7" t="s">
        <v>78</v>
      </c>
      <c r="B55" s="9">
        <v>78336.54</v>
      </c>
      <c r="C55" s="9">
        <v>19565.8</v>
      </c>
      <c r="F55" s="9">
        <v>58770.74</v>
      </c>
    </row>
    <row r="56" ht="15" customHeight="1">
      <c r="A56" s="19" t="s">
        <v>79</v>
      </c>
      <c r="B56" s="21">
        <v>503524.71</v>
      </c>
      <c r="C56" s="21">
        <v>125763.32</v>
      </c>
      <c r="F56" s="21">
        <v>377761.39</v>
      </c>
    </row>
    <row r="57" ht="15" customHeight="1">
      <c r="A57" s="28" t="s">
        <v>36</v>
      </c>
      <c r="B57" s="14">
        <f t="shared" si="1" ref="B57:F57">SUM(B53:B55)</f>
        <v>503524.71</v>
      </c>
      <c r="C57" s="14">
        <f t="shared" si="1"/>
        <v>125763.32</v>
      </c>
      <c r="E57" s="28" t="s">
        <v>36</v>
      </c>
      <c r="F57" s="14">
        <f t="shared" si="1"/>
        <v>377761.39</v>
      </c>
    </row>
    <row r="61" ht="15" customHeight="1">
      <c r="A61" s="17" t="s">
        <v>39</v>
      </c>
    </row>
    <row r="62" ht="15" customHeight="1">
      <c r="A62" s="10" t="s">
        <v>40</v>
      </c>
    </row>
    <row r="63" ht="15" customHeight="1">
      <c r="A63" s="13" t="s">
        <v>80</v>
      </c>
      <c r="B63" s="13" t="s">
        <v>81</v>
      </c>
      <c r="C63" s="13" t="s">
        <v>82</v>
      </c>
      <c r="D63" s="13" t="s">
        <v>83</v>
      </c>
      <c r="E63" s="13" t="s">
        <v>84</v>
      </c>
      <c r="F63" s="13" t="s">
        <v>85</v>
      </c>
      <c r="G63" s="13" t="s">
        <v>86</v>
      </c>
      <c r="H63" s="13" t="s">
        <v>87</v>
      </c>
      <c r="I63" s="13" t="s">
        <v>88</v>
      </c>
    </row>
    <row r="64" ht="15" customHeight="1">
      <c r="A64" s="7" t="s">
        <v>89</v>
      </c>
      <c r="B64" s="9">
        <v>383408.73</v>
      </c>
      <c r="C64" s="9">
        <v>0</v>
      </c>
      <c r="D64" s="9">
        <v>0</v>
      </c>
      <c r="E64" s="9">
        <v>31950.77</v>
      </c>
      <c r="F64" s="9">
        <v>31950.77</v>
      </c>
      <c r="G64" s="9">
        <v>45892.94</v>
      </c>
      <c r="H64" s="6" t="s">
        <v>90</v>
      </c>
      <c r="I64" s="29">
        <v>27.5</v>
      </c>
    </row>
    <row r="65" ht="15" customHeight="1">
      <c r="A65" s="7" t="s">
        <v>91</v>
      </c>
      <c r="B65" s="9">
        <v>41779.44</v>
      </c>
      <c r="C65" s="9">
        <v>0</v>
      </c>
      <c r="D65" s="9">
        <v>41779.44</v>
      </c>
      <c r="E65" s="9">
        <v>41779.44</v>
      </c>
      <c r="F65" s="9">
        <v>41779.44</v>
      </c>
      <c r="G65" s="9">
        <v>0</v>
      </c>
      <c r="H65" s="6" t="s">
        <v>92</v>
      </c>
      <c r="I65" s="29">
        <v>15</v>
      </c>
    </row>
    <row r="66" ht="15" customHeight="1">
      <c r="A66" s="7" t="s">
        <v>93</v>
      </c>
      <c r="B66" s="9">
        <v>78336.54</v>
      </c>
      <c r="C66" s="9">
        <v>0</v>
      </c>
      <c r="D66" s="9">
        <v>78336.54</v>
      </c>
      <c r="E66" s="9">
        <v>78336.54</v>
      </c>
      <c r="F66" s="9">
        <v>78336.54</v>
      </c>
      <c r="G66" s="9">
        <v>0</v>
      </c>
      <c r="H66" s="6" t="s">
        <v>94</v>
      </c>
      <c r="I66" s="29">
        <v>5</v>
      </c>
    </row>
    <row r="67" ht="15" customHeight="1">
      <c r="A67" s="10" t="s">
        <v>17</v>
      </c>
      <c r="B67" s="11">
        <v>503524.71</v>
      </c>
      <c r="C67" s="11">
        <v>120115.98</v>
      </c>
      <c r="D67" s="11">
        <v>152066.75</v>
      </c>
      <c r="E67" s="11">
        <v>13942.17</v>
      </c>
      <c r="F67" s="11">
        <v>166008.92</v>
      </c>
      <c r="G67" s="11">
        <v>337515.79</v>
      </c>
    </row>
    <row r="69" ht="15" customHeight="1">
      <c r="A69" s="19" t="s">
        <v>95</v>
      </c>
    </row>
    <row r="70" ht="15" customHeight="1">
      <c r="A70" s="13" t="s">
        <v>80</v>
      </c>
      <c r="B70" s="13" t="s">
        <v>81</v>
      </c>
      <c r="C70" s="13" t="s">
        <v>82</v>
      </c>
      <c r="D70" s="13" t="s">
        <v>83</v>
      </c>
      <c r="E70" s="13" t="s">
        <v>84</v>
      </c>
      <c r="F70" s="13" t="s">
        <v>85</v>
      </c>
      <c r="G70" s="13" t="s">
        <v>86</v>
      </c>
      <c r="H70" s="13" t="s">
        <v>87</v>
      </c>
      <c r="I70" s="13" t="s">
        <v>88</v>
      </c>
    </row>
    <row r="71" ht="15" customHeight="1">
      <c r="A71" s="7" t="s">
        <v>143</v>
      </c>
      <c r="B71" s="9">
        <v>95762.44</v>
      </c>
      <c r="C71" s="9">
        <v>0</v>
      </c>
      <c r="D71" s="9">
        <v>95762.44</v>
      </c>
      <c r="E71" s="9">
        <v>95762.44</v>
      </c>
      <c r="F71" s="9">
        <v>0</v>
      </c>
      <c r="G71" s="9">
        <v>95762.44</v>
      </c>
      <c r="H71" s="6" t="s">
        <v>94</v>
      </c>
      <c r="I71" s="29">
        <v>5</v>
      </c>
    </row>
    <row r="72" ht="15" customHeight="1">
      <c r="A72" s="7" t="s">
        <v>98</v>
      </c>
      <c r="B72" s="9">
        <v>287646.29</v>
      </c>
      <c r="C72" s="9">
        <v>0</v>
      </c>
      <c r="D72" s="9">
        <v>0</v>
      </c>
      <c r="E72" s="9">
        <v>23970.53</v>
      </c>
      <c r="F72" s="9">
        <v>10459.87</v>
      </c>
      <c r="G72" s="9">
        <v>34430.4</v>
      </c>
      <c r="H72" s="6" t="s">
        <v>90</v>
      </c>
      <c r="I72" s="29">
        <v>27.5</v>
      </c>
    </row>
    <row r="73" ht="15" customHeight="1">
      <c r="A73" s="7" t="s">
        <v>144</v>
      </c>
      <c r="B73" s="9">
        <v>10435.08</v>
      </c>
      <c r="C73" s="9">
        <v>0</v>
      </c>
      <c r="D73" s="9">
        <v>10435.08</v>
      </c>
      <c r="E73" s="9">
        <v>10435.08</v>
      </c>
      <c r="F73" s="9">
        <v>0</v>
      </c>
      <c r="G73" s="9">
        <v>10435.08</v>
      </c>
      <c r="H73" s="6" t="s">
        <v>94</v>
      </c>
      <c r="I73" s="29">
        <v>5</v>
      </c>
    </row>
    <row r="74" ht="15" customHeight="1">
      <c r="A74" s="7" t="s">
        <v>101</v>
      </c>
      <c r="B74" s="9">
        <v>31344.36</v>
      </c>
      <c r="C74" s="9">
        <v>0</v>
      </c>
      <c r="D74" s="9">
        <v>0</v>
      </c>
      <c r="E74" s="9">
        <v>2612.02</v>
      </c>
      <c r="F74" s="9">
        <v>1139.79</v>
      </c>
      <c r="G74" s="9">
        <v>3751.81</v>
      </c>
      <c r="H74" s="6" t="s">
        <v>90</v>
      </c>
      <c r="I74" s="29">
        <v>27.5</v>
      </c>
    </row>
    <row r="75" ht="15" customHeight="1">
      <c r="A75" s="7" t="s">
        <v>145</v>
      </c>
      <c r="B75" s="9">
        <v>19565.8</v>
      </c>
      <c r="C75" s="9">
        <v>0</v>
      </c>
      <c r="D75" s="9">
        <v>19565.8</v>
      </c>
      <c r="E75" s="9">
        <v>19565.8</v>
      </c>
      <c r="F75" s="9">
        <v>0</v>
      </c>
      <c r="G75" s="9">
        <v>19565.8</v>
      </c>
      <c r="H75" s="6" t="s">
        <v>94</v>
      </c>
      <c r="I75" s="29">
        <v>5</v>
      </c>
    </row>
    <row r="76" ht="15" customHeight="1">
      <c r="A76" s="7" t="s">
        <v>104</v>
      </c>
      <c r="B76" s="9">
        <v>58770.74</v>
      </c>
      <c r="C76" s="9">
        <v>0</v>
      </c>
      <c r="D76" s="9">
        <v>0</v>
      </c>
      <c r="E76" s="9">
        <v>4897.57</v>
      </c>
      <c r="F76" s="9">
        <v>2137.12</v>
      </c>
      <c r="G76" s="9">
        <v>7034.69</v>
      </c>
      <c r="H76" s="6" t="s">
        <v>90</v>
      </c>
      <c r="I76" s="29">
        <v>27.5</v>
      </c>
    </row>
    <row r="77" ht="15" customHeight="1">
      <c r="A77" s="19" t="s">
        <v>17</v>
      </c>
      <c r="B77" s="21">
        <v>503524.71</v>
      </c>
      <c r="C77" s="21">
        <v>125763.32</v>
      </c>
      <c r="D77" s="21">
        <v>157243.44</v>
      </c>
      <c r="E77" s="21">
        <v>13736.78</v>
      </c>
      <c r="F77" s="21">
        <v>170980.22</v>
      </c>
      <c r="G77" s="21">
        <v>332544.49</v>
      </c>
    </row>
    <row r="79" ht="15" customHeight="1">
      <c r="A79" s="17" t="s">
        <v>42</v>
      </c>
    </row>
    <row r="80" ht="15" customHeight="1">
      <c r="A80" s="26" t="s">
        <v>105</v>
      </c>
      <c r="B80" s="30">
        <v>166008.92</v>
      </c>
    </row>
    <row r="81" ht="15" customHeight="1">
      <c r="A81" s="26" t="s">
        <v>106</v>
      </c>
      <c r="B81" s="30">
        <v>170980.22</v>
      </c>
    </row>
    <row r="82" ht="15" customHeight="1">
      <c r="A82" s="22" t="s">
        <v>42</v>
      </c>
      <c r="B82" s="24">
        <v>-4971.3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9100F66-F658-4488-5F98-D9404568BB44}" mc:Ignorable="x14ac xr xr2 xr3">
  <dimension ref="A1:I86"/>
  <sheetViews>
    <sheetView workbookViewId="0">
      <pane xSplit="1" ySplit="1" topLeftCell="B14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6.00390625" customWidth="1"/>
    <col min="2" max="2" width="16.00390625" customWidth="1"/>
    <col min="3" max="7" width="14.00390625" customWidth="1"/>
    <col min="8" max="8" width="12.00390625" customWidth="1"/>
    <col min="9" max="9" width="1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18" customHeight="1">
      <c r="A2" s="2" t="s">
        <v>0</v>
      </c>
    </row>
    <row r="3" ht="15" customHeight="1">
      <c r="A3" s="3" t="s">
        <v>146</v>
      </c>
    </row>
    <row r="4" ht="15" customHeight="1">
      <c r="A4" s="4" t="s">
        <v>45</v>
      </c>
    </row>
    <row r="6" ht="15" customHeight="1">
      <c r="A6" s="25" t="s">
        <v>46</v>
      </c>
      <c r="B6" s="26" t="s">
        <v>47</v>
      </c>
    </row>
    <row r="9" ht="15" customHeight="1">
      <c r="A9" s="17" t="s">
        <v>147</v>
      </c>
    </row>
    <row r="14" ht="21.75" customHeight="1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55</v>
      </c>
    </row>
    <row r="16" ht="15" customHeight="1">
      <c r="A16" s="12" t="s">
        <v>109</v>
      </c>
    </row>
    <row r="17" ht="15" customHeight="1">
      <c r="A17" s="7" t="s">
        <v>110</v>
      </c>
      <c r="B17" s="9">
        <v>20854.1</v>
      </c>
      <c r="C17" s="9">
        <v>20854.1</v>
      </c>
    </row>
    <row r="18" ht="15" customHeight="1">
      <c r="A18" s="7" t="s">
        <v>111</v>
      </c>
      <c r="B18" s="9">
        <v>3659.01</v>
      </c>
      <c r="C18" s="9">
        <v>3659.01</v>
      </c>
    </row>
    <row r="19" ht="15" customHeight="1">
      <c r="A19" s="7" t="s">
        <v>112</v>
      </c>
      <c r="B19" s="9">
        <v>7197.38</v>
      </c>
      <c r="C19" s="9">
        <v>7197.38</v>
      </c>
    </row>
    <row r="20" ht="15" customHeight="1">
      <c r="A20" s="7" t="s">
        <v>113</v>
      </c>
      <c r="B20" s="9">
        <v>13553.55</v>
      </c>
      <c r="C20" s="9">
        <v>13553.55</v>
      </c>
    </row>
    <row r="21" ht="15" customHeight="1">
      <c r="A21" s="7" t="s">
        <v>114</v>
      </c>
      <c r="B21" s="9">
        <v>2244.55</v>
      </c>
      <c r="C21" s="9">
        <v>2244.55</v>
      </c>
    </row>
    <row r="22" ht="15" customHeight="1">
      <c r="A22" s="7" t="s">
        <v>115</v>
      </c>
      <c r="B22" s="9">
        <v>1909.28</v>
      </c>
      <c r="C22" s="9">
        <v>1909.28</v>
      </c>
    </row>
    <row r="23" ht="15" customHeight="1">
      <c r="A23" s="7" t="s">
        <v>116</v>
      </c>
      <c r="B23" s="9">
        <v>567.1</v>
      </c>
      <c r="C23" s="9">
        <v>567.1</v>
      </c>
    </row>
    <row r="24" ht="15" customHeight="1">
      <c r="A24" s="7" t="s">
        <v>117</v>
      </c>
      <c r="B24" s="9">
        <v>556.82</v>
      </c>
      <c r="C24" s="9">
        <v>556.82</v>
      </c>
    </row>
    <row r="25" ht="15" customHeight="1">
      <c r="A25" s="7" t="s">
        <v>118</v>
      </c>
      <c r="B25" s="9">
        <v>9764.63</v>
      </c>
      <c r="C25" s="9">
        <v>9764.63</v>
      </c>
    </row>
    <row r="26" ht="15" customHeight="1">
      <c r="A26" s="7" t="s">
        <v>119</v>
      </c>
      <c r="B26" s="9">
        <v>2054.21</v>
      </c>
      <c r="C26" s="9">
        <v>2054.21</v>
      </c>
    </row>
    <row r="27" ht="15" customHeight="1">
      <c r="A27" s="7" t="s">
        <v>120</v>
      </c>
      <c r="B27" s="9">
        <v>10606.79</v>
      </c>
      <c r="C27" s="9">
        <v>10606.79</v>
      </c>
    </row>
    <row r="28" ht="15" customHeight="1">
      <c r="A28" s="7" t="s">
        <v>121</v>
      </c>
      <c r="B28" s="9">
        <v>900.48</v>
      </c>
      <c r="C28" s="9">
        <v>900.48</v>
      </c>
    </row>
    <row r="29" ht="15" customHeight="1">
      <c r="A29" s="7" t="s">
        <v>122</v>
      </c>
      <c r="B29" s="9">
        <v>1074.91</v>
      </c>
      <c r="C29" s="9">
        <v>1074.91</v>
      </c>
    </row>
    <row r="30" ht="15" customHeight="1">
      <c r="A30" s="7" t="s">
        <v>123</v>
      </c>
      <c r="B30" s="9">
        <v>11710.29</v>
      </c>
      <c r="C30" s="9">
        <v>11710.29</v>
      </c>
    </row>
    <row r="31" ht="15" customHeight="1">
      <c r="A31" s="12" t="s">
        <v>124</v>
      </c>
    </row>
    <row r="32" ht="15" customHeight="1">
      <c r="A32" s="7" t="s">
        <v>125</v>
      </c>
      <c r="B32" s="9">
        <v>15135.94</v>
      </c>
      <c r="F32" s="9">
        <v>15135.94</v>
      </c>
    </row>
    <row r="33" ht="15" customHeight="1">
      <c r="A33" s="7" t="s">
        <v>126</v>
      </c>
      <c r="B33" s="9">
        <v>21239.23</v>
      </c>
      <c r="F33" s="9">
        <v>21239.23</v>
      </c>
    </row>
    <row r="34" ht="15" customHeight="1">
      <c r="A34" s="7" t="s">
        <v>127</v>
      </c>
      <c r="B34" s="9">
        <v>15228.12</v>
      </c>
      <c r="F34" s="9">
        <v>15228.12</v>
      </c>
    </row>
    <row r="35" ht="15" customHeight="1">
      <c r="A35" s="7" t="s">
        <v>128</v>
      </c>
      <c r="B35" s="9">
        <v>18965.37</v>
      </c>
      <c r="F35" s="9">
        <v>18965.37</v>
      </c>
    </row>
    <row r="36" ht="15" customHeight="1">
      <c r="A36" s="7" t="s">
        <v>129</v>
      </c>
      <c r="B36" s="9">
        <v>18356.43</v>
      </c>
      <c r="F36" s="9">
        <v>18356.43</v>
      </c>
    </row>
    <row r="37" ht="15" customHeight="1">
      <c r="A37" s="7" t="s">
        <v>130</v>
      </c>
      <c r="B37" s="9">
        <v>6977.71</v>
      </c>
      <c r="F37" s="9">
        <v>6977.71</v>
      </c>
    </row>
    <row r="38" ht="15" customHeight="1">
      <c r="A38" s="7" t="s">
        <v>131</v>
      </c>
      <c r="B38" s="9">
        <v>13682.17</v>
      </c>
      <c r="F38" s="9">
        <v>13682.17</v>
      </c>
    </row>
    <row r="39" ht="15" customHeight="1">
      <c r="A39" s="7" t="s">
        <v>132</v>
      </c>
      <c r="B39" s="9">
        <v>8421.6</v>
      </c>
      <c r="F39" s="9">
        <v>8421.6</v>
      </c>
    </row>
    <row r="40" ht="15" customHeight="1">
      <c r="A40" s="7" t="s">
        <v>133</v>
      </c>
      <c r="B40" s="9">
        <v>10172.24</v>
      </c>
      <c r="F40" s="9">
        <v>10172.24</v>
      </c>
    </row>
    <row r="41" ht="15" customHeight="1">
      <c r="A41" s="7" t="s">
        <v>134</v>
      </c>
      <c r="B41" s="9">
        <v>23152.14</v>
      </c>
      <c r="F41" s="9">
        <v>23152.14</v>
      </c>
    </row>
    <row r="42" ht="15" customHeight="1">
      <c r="A42" s="7" t="s">
        <v>135</v>
      </c>
      <c r="B42" s="9">
        <v>9461.68</v>
      </c>
      <c r="F42" s="9">
        <v>9461.68</v>
      </c>
    </row>
    <row r="43" ht="15" customHeight="1">
      <c r="A43" s="7" t="s">
        <v>136</v>
      </c>
      <c r="B43" s="9">
        <v>1372.33</v>
      </c>
      <c r="F43" s="9">
        <v>1372.33</v>
      </c>
    </row>
    <row r="44" ht="15" customHeight="1">
      <c r="A44" s="7" t="s">
        <v>137</v>
      </c>
      <c r="B44" s="9">
        <v>36121.06</v>
      </c>
      <c r="F44" s="9">
        <v>36121.06</v>
      </c>
    </row>
    <row r="45" ht="15" customHeight="1">
      <c r="A45" s="7" t="s">
        <v>138</v>
      </c>
      <c r="B45" s="9">
        <v>8546.32</v>
      </c>
      <c r="F45" s="9">
        <v>8546.32</v>
      </c>
    </row>
    <row r="46" ht="15" customHeight="1">
      <c r="A46" s="7" t="s">
        <v>139</v>
      </c>
      <c r="B46" s="9">
        <v>7694.19</v>
      </c>
      <c r="F46" s="9">
        <v>7694.19</v>
      </c>
    </row>
    <row r="47" ht="15" customHeight="1">
      <c r="A47" s="7" t="s">
        <v>140</v>
      </c>
      <c r="B47" s="9">
        <v>5505.87</v>
      </c>
      <c r="F47" s="9">
        <v>5505.87</v>
      </c>
    </row>
    <row r="49" ht="15" customHeight="1">
      <c r="A49" s="10" t="s">
        <v>141</v>
      </c>
      <c r="B49" s="11">
        <v>397500.19</v>
      </c>
      <c r="C49" s="11">
        <v>99278.21</v>
      </c>
      <c r="F49" s="11">
        <v>298221.98</v>
      </c>
    </row>
    <row r="50" ht="15" customHeight="1">
      <c r="A50" s="4" t="s">
        <v>142</v>
      </c>
      <c r="C50" s="27">
        <v>0.25</v>
      </c>
      <c r="F50" s="27">
        <v>0.75</v>
      </c>
    </row>
    <row r="51" ht="15" customHeight="1">
      <c r="A51" s="28" t="s">
        <v>36</v>
      </c>
      <c r="B51" s="14">
        <f t="shared" si="0" ref="B51:F51">SUM(B17:B48)</f>
        <v>306685.5</v>
      </c>
      <c r="C51" s="14">
        <f t="shared" si="0"/>
        <v>86653.1</v>
      </c>
      <c r="E51" s="28" t="s">
        <v>36</v>
      </c>
      <c r="F51" s="14">
        <f t="shared" si="0"/>
        <v>220032.4</v>
      </c>
    </row>
    <row r="52" ht="15" customHeight="1">
      <c r="A52" s="25" t="s">
        <v>75</v>
      </c>
    </row>
    <row r="53" ht="15" customHeight="1">
      <c r="A53" s="7" t="s">
        <v>76</v>
      </c>
      <c r="B53" s="9">
        <v>302676.39</v>
      </c>
      <c r="C53" s="9">
        <v>83590.83</v>
      </c>
      <c r="F53" s="9">
        <v>219085.56</v>
      </c>
    </row>
    <row r="54" ht="15" customHeight="1">
      <c r="A54" s="7" t="s">
        <v>77</v>
      </c>
      <c r="B54" s="9">
        <v>32982.17</v>
      </c>
      <c r="C54" s="9">
        <v>9108.76</v>
      </c>
      <c r="F54" s="9">
        <v>23873.41</v>
      </c>
    </row>
    <row r="55" ht="15" customHeight="1">
      <c r="A55" s="7" t="s">
        <v>78</v>
      </c>
      <c r="B55" s="9">
        <v>61841.63</v>
      </c>
      <c r="C55" s="9">
        <v>17078.94</v>
      </c>
      <c r="F55" s="9">
        <v>44762.69</v>
      </c>
    </row>
    <row r="56" ht="15" customHeight="1">
      <c r="A56" s="19" t="s">
        <v>79</v>
      </c>
      <c r="B56" s="21">
        <v>397500.19</v>
      </c>
      <c r="C56" s="21">
        <v>109778.53</v>
      </c>
      <c r="F56" s="21">
        <v>287721.66</v>
      </c>
    </row>
    <row r="57" ht="15" customHeight="1">
      <c r="A57" s="28" t="s">
        <v>36</v>
      </c>
      <c r="B57" s="14">
        <f t="shared" si="1" ref="B57:F57">SUM(B53:B55)</f>
        <v>397500.19</v>
      </c>
      <c r="C57" s="14">
        <f t="shared" si="1"/>
        <v>109778.53</v>
      </c>
      <c r="E57" s="28" t="s">
        <v>36</v>
      </c>
      <c r="F57" s="14">
        <f t="shared" si="1"/>
        <v>287721.66</v>
      </c>
    </row>
    <row r="61" ht="15" customHeight="1">
      <c r="A61" s="17" t="s">
        <v>39</v>
      </c>
    </row>
    <row r="62" ht="15" customHeight="1">
      <c r="A62" s="10" t="s">
        <v>40</v>
      </c>
    </row>
    <row r="63" ht="15" customHeight="1">
      <c r="A63" s="13" t="s">
        <v>80</v>
      </c>
      <c r="B63" s="13" t="s">
        <v>81</v>
      </c>
      <c r="C63" s="13" t="s">
        <v>82</v>
      </c>
      <c r="D63" s="13" t="s">
        <v>83</v>
      </c>
      <c r="E63" s="13" t="s">
        <v>84</v>
      </c>
      <c r="F63" s="13" t="s">
        <v>85</v>
      </c>
      <c r="G63" s="13" t="s">
        <v>86</v>
      </c>
      <c r="H63" s="13" t="s">
        <v>87</v>
      </c>
      <c r="I63" s="13" t="s">
        <v>88</v>
      </c>
    </row>
    <row r="64" ht="15" customHeight="1">
      <c r="A64" s="7" t="s">
        <v>89</v>
      </c>
      <c r="B64" s="9">
        <v>302676.39</v>
      </c>
      <c r="C64" s="9">
        <v>0</v>
      </c>
      <c r="D64" s="9">
        <v>0</v>
      </c>
      <c r="E64" s="9">
        <v>25223.07</v>
      </c>
      <c r="F64" s="9">
        <v>25223.07</v>
      </c>
      <c r="G64" s="9">
        <v>36229.51</v>
      </c>
      <c r="H64" s="6" t="s">
        <v>90</v>
      </c>
      <c r="I64" s="29">
        <v>27.5</v>
      </c>
    </row>
    <row r="65" ht="15" customHeight="1">
      <c r="A65" s="7" t="s">
        <v>91</v>
      </c>
      <c r="B65" s="9">
        <v>32982.17</v>
      </c>
      <c r="C65" s="9">
        <v>0</v>
      </c>
      <c r="D65" s="9">
        <v>32982.17</v>
      </c>
      <c r="E65" s="9">
        <v>32982.17</v>
      </c>
      <c r="F65" s="9">
        <v>32982.17</v>
      </c>
      <c r="G65" s="9">
        <v>0</v>
      </c>
      <c r="H65" s="6" t="s">
        <v>92</v>
      </c>
      <c r="I65" s="29">
        <v>15</v>
      </c>
    </row>
    <row r="66" ht="15" customHeight="1">
      <c r="A66" s="7" t="s">
        <v>93</v>
      </c>
      <c r="B66" s="9">
        <v>61841.63</v>
      </c>
      <c r="C66" s="9">
        <v>0</v>
      </c>
      <c r="D66" s="9">
        <v>61841.63</v>
      </c>
      <c r="E66" s="9">
        <v>61841.63</v>
      </c>
      <c r="F66" s="9">
        <v>61841.63</v>
      </c>
      <c r="G66" s="9">
        <v>0</v>
      </c>
      <c r="H66" s="6" t="s">
        <v>94</v>
      </c>
      <c r="I66" s="29">
        <v>5</v>
      </c>
    </row>
    <row r="67" ht="15" customHeight="1">
      <c r="A67" s="10" t="s">
        <v>17</v>
      </c>
      <c r="B67" s="11">
        <v>397500.19</v>
      </c>
      <c r="C67" s="11">
        <v>94823.8</v>
      </c>
      <c r="D67" s="11">
        <v>120046.87</v>
      </c>
      <c r="E67" s="11">
        <v>11006.44</v>
      </c>
      <c r="F67" s="11">
        <v>131053.31</v>
      </c>
      <c r="G67" s="11">
        <v>266446.88</v>
      </c>
    </row>
    <row r="69" ht="15" customHeight="1">
      <c r="A69" s="19" t="s">
        <v>95</v>
      </c>
    </row>
    <row r="70" ht="15" customHeight="1">
      <c r="A70" s="13" t="s">
        <v>80</v>
      </c>
      <c r="B70" s="13" t="s">
        <v>81</v>
      </c>
      <c r="C70" s="13" t="s">
        <v>82</v>
      </c>
      <c r="D70" s="13" t="s">
        <v>83</v>
      </c>
      <c r="E70" s="13" t="s">
        <v>84</v>
      </c>
      <c r="F70" s="13" t="s">
        <v>85</v>
      </c>
      <c r="G70" s="13" t="s">
        <v>86</v>
      </c>
      <c r="H70" s="13" t="s">
        <v>87</v>
      </c>
      <c r="I70" s="13" t="s">
        <v>88</v>
      </c>
    </row>
    <row r="71" ht="15" customHeight="1">
      <c r="A71" s="7" t="s">
        <v>143</v>
      </c>
      <c r="B71" s="9">
        <v>83590.83</v>
      </c>
      <c r="C71" s="9">
        <v>0</v>
      </c>
      <c r="D71" s="9">
        <v>83590.83</v>
      </c>
      <c r="E71" s="9">
        <v>83590.83</v>
      </c>
      <c r="F71" s="9">
        <v>0</v>
      </c>
      <c r="G71" s="9">
        <v>83590.83</v>
      </c>
      <c r="H71" s="6" t="s">
        <v>94</v>
      </c>
      <c r="I71" s="29">
        <v>5</v>
      </c>
    </row>
    <row r="72" ht="15" customHeight="1">
      <c r="A72" s="7" t="s">
        <v>98</v>
      </c>
      <c r="B72" s="9">
        <v>219085.56</v>
      </c>
      <c r="C72" s="9">
        <v>0</v>
      </c>
      <c r="D72" s="9">
        <v>0</v>
      </c>
      <c r="E72" s="9">
        <v>18257.13</v>
      </c>
      <c r="F72" s="9">
        <v>7966.75</v>
      </c>
      <c r="G72" s="9">
        <v>26223.88</v>
      </c>
      <c r="H72" s="6" t="s">
        <v>90</v>
      </c>
      <c r="I72" s="29">
        <v>27.5</v>
      </c>
    </row>
    <row r="73" ht="15" customHeight="1">
      <c r="A73" s="7" t="s">
        <v>144</v>
      </c>
      <c r="B73" s="9">
        <v>9108.76</v>
      </c>
      <c r="C73" s="9">
        <v>0</v>
      </c>
      <c r="D73" s="9">
        <v>9108.76</v>
      </c>
      <c r="E73" s="9">
        <v>9108.76</v>
      </c>
      <c r="F73" s="9">
        <v>0</v>
      </c>
      <c r="G73" s="9">
        <v>9108.76</v>
      </c>
      <c r="H73" s="6" t="s">
        <v>94</v>
      </c>
      <c r="I73" s="29">
        <v>5</v>
      </c>
    </row>
    <row r="74" ht="15" customHeight="1">
      <c r="A74" s="7" t="s">
        <v>101</v>
      </c>
      <c r="B74" s="9">
        <v>23873.41</v>
      </c>
      <c r="C74" s="9">
        <v>0</v>
      </c>
      <c r="D74" s="9">
        <v>0</v>
      </c>
      <c r="E74" s="9">
        <v>1989.44</v>
      </c>
      <c r="F74" s="9">
        <v>868.12</v>
      </c>
      <c r="G74" s="9">
        <v>2857.56</v>
      </c>
      <c r="H74" s="6" t="s">
        <v>90</v>
      </c>
      <c r="I74" s="29">
        <v>27.5</v>
      </c>
    </row>
    <row r="75" ht="15" customHeight="1">
      <c r="A75" s="7" t="s">
        <v>145</v>
      </c>
      <c r="B75" s="9">
        <v>17078.94</v>
      </c>
      <c r="C75" s="9">
        <v>0</v>
      </c>
      <c r="D75" s="9">
        <v>17078.94</v>
      </c>
      <c r="E75" s="9">
        <v>17078.94</v>
      </c>
      <c r="F75" s="9">
        <v>0</v>
      </c>
      <c r="G75" s="9">
        <v>17078.94</v>
      </c>
      <c r="H75" s="6" t="s">
        <v>94</v>
      </c>
      <c r="I75" s="29">
        <v>5</v>
      </c>
    </row>
    <row r="76" ht="15" customHeight="1">
      <c r="A76" s="7" t="s">
        <v>104</v>
      </c>
      <c r="B76" s="9">
        <v>44762.69</v>
      </c>
      <c r="C76" s="9">
        <v>0</v>
      </c>
      <c r="D76" s="9">
        <v>0</v>
      </c>
      <c r="E76" s="9">
        <v>3730.22</v>
      </c>
      <c r="F76" s="9">
        <v>1627.73</v>
      </c>
      <c r="G76" s="9">
        <v>5357.95</v>
      </c>
      <c r="H76" s="6" t="s">
        <v>90</v>
      </c>
      <c r="I76" s="29">
        <v>27.5</v>
      </c>
    </row>
    <row r="77" ht="15" customHeight="1">
      <c r="A77" s="19" t="s">
        <v>17</v>
      </c>
      <c r="B77" s="21">
        <v>397500.19</v>
      </c>
      <c r="C77" s="21">
        <v>109778.53</v>
      </c>
      <c r="D77" s="21">
        <v>133755.32</v>
      </c>
      <c r="E77" s="21">
        <v>10462.6</v>
      </c>
      <c r="F77" s="21">
        <v>144217.92</v>
      </c>
      <c r="G77" s="21">
        <v>253282.27</v>
      </c>
    </row>
    <row r="79" ht="15" customHeight="1">
      <c r="A79" s="17" t="s">
        <v>42</v>
      </c>
    </row>
    <row r="80" ht="15" customHeight="1">
      <c r="A80" s="26" t="s">
        <v>105</v>
      </c>
      <c r="B80" s="30">
        <v>131053.31</v>
      </c>
    </row>
    <row r="81" ht="15" customHeight="1">
      <c r="A81" s="26" t="s">
        <v>106</v>
      </c>
      <c r="B81" s="30">
        <v>144217.92</v>
      </c>
    </row>
    <row r="82" ht="15" customHeight="1">
      <c r="A82" s="22" t="s">
        <v>42</v>
      </c>
      <c r="B82" s="24">
        <v>-13164.61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712CA3E-4F62-3FF8-5A58-49BA9BF22BE8}" mc:Ignorable="x14ac xr xr2 xr3">
  <dimension ref="A1:I86"/>
  <sheetViews>
    <sheetView workbookViewId="0">
      <pane xSplit="1" ySplit="1" topLeftCell="B14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6.00390625" customWidth="1"/>
    <col min="2" max="2" width="16.00390625" customWidth="1"/>
    <col min="3" max="7" width="14.00390625" customWidth="1"/>
    <col min="8" max="8" width="12.00390625" customWidth="1"/>
    <col min="9" max="9" width="1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18" customHeight="1">
      <c r="A2" s="2" t="s">
        <v>0</v>
      </c>
    </row>
    <row r="3" ht="15" customHeight="1">
      <c r="A3" s="3" t="s">
        <v>148</v>
      </c>
    </row>
    <row r="4" ht="15" customHeight="1">
      <c r="A4" s="4" t="s">
        <v>45</v>
      </c>
    </row>
    <row r="6" ht="15" customHeight="1">
      <c r="A6" s="25" t="s">
        <v>46</v>
      </c>
      <c r="B6" s="26" t="s">
        <v>47</v>
      </c>
    </row>
    <row r="9" ht="15" customHeight="1">
      <c r="A9" s="17" t="s">
        <v>149</v>
      </c>
    </row>
    <row r="14" ht="21.75" customHeight="1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55</v>
      </c>
    </row>
    <row r="16" ht="15" customHeight="1">
      <c r="A16" s="12" t="s">
        <v>109</v>
      </c>
    </row>
    <row r="17" ht="15" customHeight="1">
      <c r="A17" s="7" t="s">
        <v>110</v>
      </c>
      <c r="B17" s="9">
        <v>26445.19</v>
      </c>
      <c r="C17" s="9">
        <v>26445.19</v>
      </c>
    </row>
    <row r="18" ht="15" customHeight="1">
      <c r="A18" s="7" t="s">
        <v>111</v>
      </c>
      <c r="B18" s="9">
        <v>4635.69</v>
      </c>
      <c r="C18" s="9">
        <v>4635.69</v>
      </c>
    </row>
    <row r="19" ht="15" customHeight="1">
      <c r="A19" s="7" t="s">
        <v>112</v>
      </c>
      <c r="B19" s="9">
        <v>9118.09</v>
      </c>
      <c r="C19" s="9">
        <v>9118.09</v>
      </c>
    </row>
    <row r="20" ht="15" customHeight="1">
      <c r="A20" s="7" t="s">
        <v>113</v>
      </c>
      <c r="B20" s="9">
        <v>17166.07</v>
      </c>
      <c r="C20" s="9">
        <v>17166.07</v>
      </c>
    </row>
    <row r="21" ht="15" customHeight="1">
      <c r="A21" s="7" t="s">
        <v>114</v>
      </c>
      <c r="B21" s="9">
        <v>2842.52</v>
      </c>
      <c r="C21" s="9">
        <v>2842.52</v>
      </c>
    </row>
    <row r="22" ht="15" customHeight="1">
      <c r="A22" s="7" t="s">
        <v>115</v>
      </c>
      <c r="B22" s="9">
        <v>2418.44</v>
      </c>
      <c r="C22" s="9">
        <v>2418.44</v>
      </c>
    </row>
    <row r="23" ht="15" customHeight="1">
      <c r="A23" s="7" t="s">
        <v>116</v>
      </c>
      <c r="B23" s="9">
        <v>718.3</v>
      </c>
      <c r="C23" s="9">
        <v>718.3</v>
      </c>
    </row>
    <row r="24" ht="15" customHeight="1">
      <c r="A24" s="7" t="s">
        <v>117</v>
      </c>
      <c r="B24" s="9">
        <v>705.03</v>
      </c>
      <c r="C24" s="9">
        <v>705.03</v>
      </c>
    </row>
    <row r="25" ht="15" customHeight="1">
      <c r="A25" s="7" t="s">
        <v>118</v>
      </c>
      <c r="B25" s="9">
        <v>12363.8</v>
      </c>
      <c r="C25" s="9">
        <v>12363.8</v>
      </c>
    </row>
    <row r="26" ht="15" customHeight="1">
      <c r="A26" s="7" t="s">
        <v>119</v>
      </c>
      <c r="B26" s="9">
        <v>2600.58</v>
      </c>
      <c r="C26" s="9">
        <v>2600.58</v>
      </c>
    </row>
    <row r="27" ht="15" customHeight="1">
      <c r="A27" s="7" t="s">
        <v>120</v>
      </c>
      <c r="B27" s="9">
        <v>13431.92</v>
      </c>
      <c r="C27" s="9">
        <v>13431.92</v>
      </c>
    </row>
    <row r="28" ht="15" customHeight="1">
      <c r="A28" s="7" t="s">
        <v>121</v>
      </c>
      <c r="B28" s="9">
        <v>1140.5</v>
      </c>
      <c r="C28" s="9">
        <v>1140.5</v>
      </c>
    </row>
    <row r="29" ht="15" customHeight="1">
      <c r="A29" s="7" t="s">
        <v>122</v>
      </c>
      <c r="B29" s="9">
        <v>1360.86</v>
      </c>
      <c r="C29" s="9">
        <v>1360.86</v>
      </c>
    </row>
    <row r="30" ht="15" customHeight="1">
      <c r="A30" s="7" t="s">
        <v>123</v>
      </c>
      <c r="B30" s="9">
        <v>14831.54</v>
      </c>
      <c r="C30" s="9">
        <v>14831.54</v>
      </c>
    </row>
    <row r="31" ht="15" customHeight="1">
      <c r="A31" s="12" t="s">
        <v>124</v>
      </c>
    </row>
    <row r="32" ht="15" customHeight="1">
      <c r="A32" s="7" t="s">
        <v>125</v>
      </c>
      <c r="B32" s="9">
        <v>19166.81</v>
      </c>
      <c r="F32" s="9">
        <v>19166.81</v>
      </c>
    </row>
    <row r="33" ht="15" customHeight="1">
      <c r="A33" s="7" t="s">
        <v>126</v>
      </c>
      <c r="B33" s="9">
        <v>26894.18</v>
      </c>
      <c r="F33" s="9">
        <v>26894.18</v>
      </c>
    </row>
    <row r="34" ht="15" customHeight="1">
      <c r="A34" s="7" t="s">
        <v>127</v>
      </c>
      <c r="B34" s="9">
        <v>19273.71</v>
      </c>
      <c r="F34" s="9">
        <v>19273.71</v>
      </c>
    </row>
    <row r="35" ht="15" customHeight="1">
      <c r="A35" s="7" t="s">
        <v>128</v>
      </c>
      <c r="B35" s="9">
        <v>24003.39</v>
      </c>
      <c r="F35" s="9">
        <v>24003.39</v>
      </c>
    </row>
    <row r="36" ht="15" customHeight="1">
      <c r="A36" s="7" t="s">
        <v>129</v>
      </c>
      <c r="B36" s="9">
        <v>23233.4</v>
      </c>
      <c r="F36" s="9">
        <v>23233.4</v>
      </c>
    </row>
    <row r="37" ht="15" customHeight="1">
      <c r="A37" s="7" t="s">
        <v>130</v>
      </c>
      <c r="B37" s="9">
        <v>8832.92</v>
      </c>
      <c r="F37" s="9">
        <v>8832.92</v>
      </c>
    </row>
    <row r="38" ht="15" customHeight="1">
      <c r="A38" s="7" t="s">
        <v>131</v>
      </c>
      <c r="B38" s="9">
        <v>17315.31</v>
      </c>
      <c r="F38" s="9">
        <v>17315.31</v>
      </c>
    </row>
    <row r="39" ht="15" customHeight="1">
      <c r="A39" s="7" t="s">
        <v>132</v>
      </c>
      <c r="B39" s="9">
        <v>10659.46</v>
      </c>
      <c r="F39" s="9">
        <v>10659.46</v>
      </c>
    </row>
    <row r="40" ht="15" customHeight="1">
      <c r="A40" s="7" t="s">
        <v>133</v>
      </c>
      <c r="B40" s="9">
        <v>12873.87</v>
      </c>
      <c r="F40" s="9">
        <v>12873.87</v>
      </c>
    </row>
    <row r="41" ht="15" customHeight="1">
      <c r="A41" s="7" t="s">
        <v>134</v>
      </c>
      <c r="B41" s="9">
        <v>29302.11</v>
      </c>
      <c r="F41" s="9">
        <v>29302.11</v>
      </c>
    </row>
    <row r="42" ht="15" customHeight="1">
      <c r="A42" s="7" t="s">
        <v>135</v>
      </c>
      <c r="B42" s="9">
        <v>11976.41</v>
      </c>
      <c r="F42" s="9">
        <v>11976.41</v>
      </c>
    </row>
    <row r="43" ht="15" customHeight="1">
      <c r="A43" s="7" t="s">
        <v>136</v>
      </c>
      <c r="B43" s="9">
        <v>1737.32</v>
      </c>
      <c r="F43" s="9">
        <v>1737.32</v>
      </c>
    </row>
    <row r="44" ht="15" customHeight="1">
      <c r="A44" s="7" t="s">
        <v>137</v>
      </c>
      <c r="B44" s="9">
        <v>45720.62</v>
      </c>
      <c r="F44" s="9">
        <v>45720.62</v>
      </c>
    </row>
    <row r="45" ht="15" customHeight="1">
      <c r="A45" s="7" t="s">
        <v>138</v>
      </c>
      <c r="B45" s="9">
        <v>10815.9</v>
      </c>
      <c r="F45" s="9">
        <v>10815.9</v>
      </c>
    </row>
    <row r="46" ht="15" customHeight="1">
      <c r="A46" s="7" t="s">
        <v>139</v>
      </c>
      <c r="B46" s="9">
        <v>9740.22</v>
      </c>
      <c r="F46" s="9">
        <v>9740.22</v>
      </c>
    </row>
    <row r="47" ht="15" customHeight="1">
      <c r="A47" s="7" t="s">
        <v>140</v>
      </c>
      <c r="B47" s="9">
        <v>6970.48</v>
      </c>
      <c r="F47" s="9">
        <v>6970.48</v>
      </c>
    </row>
    <row r="49" ht="15" customHeight="1">
      <c r="A49" s="10" t="s">
        <v>141</v>
      </c>
      <c r="B49" s="11">
        <v>503524.71</v>
      </c>
      <c r="C49" s="11">
        <v>125763.32</v>
      </c>
      <c r="F49" s="11">
        <v>377761.39</v>
      </c>
    </row>
    <row r="50" ht="15" customHeight="1">
      <c r="A50" s="4" t="s">
        <v>142</v>
      </c>
      <c r="C50" s="27">
        <v>0.25</v>
      </c>
      <c r="F50" s="27">
        <v>0.75</v>
      </c>
    </row>
    <row r="51" ht="15" customHeight="1">
      <c r="A51" s="28" t="s">
        <v>36</v>
      </c>
      <c r="B51" s="14">
        <f t="shared" si="0" ref="B51:F51">SUM(B17:B48)</f>
        <v>388294.64</v>
      </c>
      <c r="C51" s="14">
        <f t="shared" si="0"/>
        <v>109778.53</v>
      </c>
      <c r="E51" s="28" t="s">
        <v>36</v>
      </c>
      <c r="F51" s="14">
        <f t="shared" si="0"/>
        <v>278516.11</v>
      </c>
    </row>
    <row r="52" ht="15" customHeight="1">
      <c r="A52" s="25" t="s">
        <v>75</v>
      </c>
    </row>
    <row r="53" ht="15" customHeight="1">
      <c r="A53" s="7" t="s">
        <v>76</v>
      </c>
      <c r="B53" s="9">
        <v>383408.73</v>
      </c>
      <c r="C53" s="9">
        <v>95762.44</v>
      </c>
      <c r="F53" s="9">
        <v>287646.29</v>
      </c>
    </row>
    <row r="54" ht="15" customHeight="1">
      <c r="A54" s="7" t="s">
        <v>77</v>
      </c>
      <c r="B54" s="9">
        <v>41779.44</v>
      </c>
      <c r="C54" s="9">
        <v>10435.08</v>
      </c>
      <c r="F54" s="9">
        <v>31344.36</v>
      </c>
    </row>
    <row r="55" ht="15" customHeight="1">
      <c r="A55" s="7" t="s">
        <v>78</v>
      </c>
      <c r="B55" s="9">
        <v>78336.54</v>
      </c>
      <c r="C55" s="9">
        <v>19565.8</v>
      </c>
      <c r="F55" s="9">
        <v>58770.74</v>
      </c>
    </row>
    <row r="56" ht="15" customHeight="1">
      <c r="A56" s="19" t="s">
        <v>79</v>
      </c>
      <c r="B56" s="21">
        <v>503524.71</v>
      </c>
      <c r="C56" s="21">
        <v>125763.32</v>
      </c>
      <c r="F56" s="21">
        <v>377761.39</v>
      </c>
    </row>
    <row r="57" ht="15" customHeight="1">
      <c r="A57" s="28" t="s">
        <v>36</v>
      </c>
      <c r="B57" s="14">
        <f t="shared" si="1" ref="B57:F57">SUM(B53:B55)</f>
        <v>503524.71</v>
      </c>
      <c r="C57" s="14">
        <f t="shared" si="1"/>
        <v>125763.32</v>
      </c>
      <c r="E57" s="28" t="s">
        <v>36</v>
      </c>
      <c r="F57" s="14">
        <f t="shared" si="1"/>
        <v>377761.39</v>
      </c>
    </row>
    <row r="61" ht="15" customHeight="1">
      <c r="A61" s="17" t="s">
        <v>39</v>
      </c>
    </row>
    <row r="62" ht="15" customHeight="1">
      <c r="A62" s="10" t="s">
        <v>40</v>
      </c>
    </row>
    <row r="63" ht="15" customHeight="1">
      <c r="A63" s="13" t="s">
        <v>80</v>
      </c>
      <c r="B63" s="13" t="s">
        <v>81</v>
      </c>
      <c r="C63" s="13" t="s">
        <v>82</v>
      </c>
      <c r="D63" s="13" t="s">
        <v>83</v>
      </c>
      <c r="E63" s="13" t="s">
        <v>84</v>
      </c>
      <c r="F63" s="13" t="s">
        <v>85</v>
      </c>
      <c r="G63" s="13" t="s">
        <v>86</v>
      </c>
      <c r="H63" s="13" t="s">
        <v>87</v>
      </c>
      <c r="I63" s="13" t="s">
        <v>88</v>
      </c>
    </row>
    <row r="64" ht="15" customHeight="1">
      <c r="A64" s="7" t="s">
        <v>89</v>
      </c>
      <c r="B64" s="9">
        <v>383408.73</v>
      </c>
      <c r="C64" s="9">
        <v>0</v>
      </c>
      <c r="D64" s="9">
        <v>0</v>
      </c>
      <c r="E64" s="9">
        <v>31950.77</v>
      </c>
      <c r="F64" s="9">
        <v>31950.77</v>
      </c>
      <c r="G64" s="9">
        <v>45892.94</v>
      </c>
      <c r="H64" s="6" t="s">
        <v>90</v>
      </c>
      <c r="I64" s="29">
        <v>27.5</v>
      </c>
    </row>
    <row r="65" ht="15" customHeight="1">
      <c r="A65" s="7" t="s">
        <v>91</v>
      </c>
      <c r="B65" s="9">
        <v>41779.44</v>
      </c>
      <c r="C65" s="9">
        <v>0</v>
      </c>
      <c r="D65" s="9">
        <v>41779.44</v>
      </c>
      <c r="E65" s="9">
        <v>41779.44</v>
      </c>
      <c r="F65" s="9">
        <v>41779.44</v>
      </c>
      <c r="G65" s="9">
        <v>0</v>
      </c>
      <c r="H65" s="6" t="s">
        <v>92</v>
      </c>
      <c r="I65" s="29">
        <v>15</v>
      </c>
    </row>
    <row r="66" ht="15" customHeight="1">
      <c r="A66" s="7" t="s">
        <v>93</v>
      </c>
      <c r="B66" s="9">
        <v>78336.54</v>
      </c>
      <c r="C66" s="9">
        <v>0</v>
      </c>
      <c r="D66" s="9">
        <v>78336.54</v>
      </c>
      <c r="E66" s="9">
        <v>78336.54</v>
      </c>
      <c r="F66" s="9">
        <v>78336.54</v>
      </c>
      <c r="G66" s="9">
        <v>0</v>
      </c>
      <c r="H66" s="6" t="s">
        <v>94</v>
      </c>
      <c r="I66" s="29">
        <v>5</v>
      </c>
    </row>
    <row r="67" ht="15" customHeight="1">
      <c r="A67" s="10" t="s">
        <v>17</v>
      </c>
      <c r="B67" s="11">
        <v>503524.71</v>
      </c>
      <c r="C67" s="11">
        <v>120115.98</v>
      </c>
      <c r="D67" s="11">
        <v>152066.75</v>
      </c>
      <c r="E67" s="11">
        <v>13942.17</v>
      </c>
      <c r="F67" s="11">
        <v>166008.92</v>
      </c>
      <c r="G67" s="11">
        <v>337515.79</v>
      </c>
    </row>
    <row r="69" ht="15" customHeight="1">
      <c r="A69" s="19" t="s">
        <v>95</v>
      </c>
    </row>
    <row r="70" ht="15" customHeight="1">
      <c r="A70" s="13" t="s">
        <v>80</v>
      </c>
      <c r="B70" s="13" t="s">
        <v>81</v>
      </c>
      <c r="C70" s="13" t="s">
        <v>82</v>
      </c>
      <c r="D70" s="13" t="s">
        <v>83</v>
      </c>
      <c r="E70" s="13" t="s">
        <v>84</v>
      </c>
      <c r="F70" s="13" t="s">
        <v>85</v>
      </c>
      <c r="G70" s="13" t="s">
        <v>86</v>
      </c>
      <c r="H70" s="13" t="s">
        <v>87</v>
      </c>
      <c r="I70" s="13" t="s">
        <v>88</v>
      </c>
    </row>
    <row r="71" ht="15" customHeight="1">
      <c r="A71" s="7" t="s">
        <v>143</v>
      </c>
      <c r="B71" s="9">
        <v>95762.44</v>
      </c>
      <c r="C71" s="9">
        <v>0</v>
      </c>
      <c r="D71" s="9">
        <v>95762.44</v>
      </c>
      <c r="E71" s="9">
        <v>95762.44</v>
      </c>
      <c r="F71" s="9">
        <v>0</v>
      </c>
      <c r="G71" s="9">
        <v>95762.44</v>
      </c>
      <c r="H71" s="6" t="s">
        <v>94</v>
      </c>
      <c r="I71" s="29">
        <v>5</v>
      </c>
    </row>
    <row r="72" ht="15" customHeight="1">
      <c r="A72" s="7" t="s">
        <v>98</v>
      </c>
      <c r="B72" s="9">
        <v>287646.29</v>
      </c>
      <c r="C72" s="9">
        <v>0</v>
      </c>
      <c r="D72" s="9">
        <v>0</v>
      </c>
      <c r="E72" s="9">
        <v>23970.53</v>
      </c>
      <c r="F72" s="9">
        <v>10459.87</v>
      </c>
      <c r="G72" s="9">
        <v>34430.4</v>
      </c>
      <c r="H72" s="6" t="s">
        <v>90</v>
      </c>
      <c r="I72" s="29">
        <v>27.5</v>
      </c>
    </row>
    <row r="73" ht="15" customHeight="1">
      <c r="A73" s="7" t="s">
        <v>144</v>
      </c>
      <c r="B73" s="9">
        <v>10435.08</v>
      </c>
      <c r="C73" s="9">
        <v>0</v>
      </c>
      <c r="D73" s="9">
        <v>10435.08</v>
      </c>
      <c r="E73" s="9">
        <v>10435.08</v>
      </c>
      <c r="F73" s="9">
        <v>0</v>
      </c>
      <c r="G73" s="9">
        <v>10435.08</v>
      </c>
      <c r="H73" s="6" t="s">
        <v>94</v>
      </c>
      <c r="I73" s="29">
        <v>5</v>
      </c>
    </row>
    <row r="74" ht="15" customHeight="1">
      <c r="A74" s="7" t="s">
        <v>101</v>
      </c>
      <c r="B74" s="9">
        <v>31344.36</v>
      </c>
      <c r="C74" s="9">
        <v>0</v>
      </c>
      <c r="D74" s="9">
        <v>0</v>
      </c>
      <c r="E74" s="9">
        <v>2612.02</v>
      </c>
      <c r="F74" s="9">
        <v>1139.79</v>
      </c>
      <c r="G74" s="9">
        <v>3751.81</v>
      </c>
      <c r="H74" s="6" t="s">
        <v>90</v>
      </c>
      <c r="I74" s="29">
        <v>27.5</v>
      </c>
    </row>
    <row r="75" ht="15" customHeight="1">
      <c r="A75" s="7" t="s">
        <v>145</v>
      </c>
      <c r="B75" s="9">
        <v>19565.8</v>
      </c>
      <c r="C75" s="9">
        <v>0</v>
      </c>
      <c r="D75" s="9">
        <v>19565.8</v>
      </c>
      <c r="E75" s="9">
        <v>19565.8</v>
      </c>
      <c r="F75" s="9">
        <v>0</v>
      </c>
      <c r="G75" s="9">
        <v>19565.8</v>
      </c>
      <c r="H75" s="6" t="s">
        <v>94</v>
      </c>
      <c r="I75" s="29">
        <v>5</v>
      </c>
    </row>
    <row r="76" ht="15" customHeight="1">
      <c r="A76" s="7" t="s">
        <v>104</v>
      </c>
      <c r="B76" s="9">
        <v>58770.74</v>
      </c>
      <c r="C76" s="9">
        <v>0</v>
      </c>
      <c r="D76" s="9">
        <v>0</v>
      </c>
      <c r="E76" s="9">
        <v>4897.57</v>
      </c>
      <c r="F76" s="9">
        <v>2137.12</v>
      </c>
      <c r="G76" s="9">
        <v>7034.69</v>
      </c>
      <c r="H76" s="6" t="s">
        <v>90</v>
      </c>
      <c r="I76" s="29">
        <v>27.5</v>
      </c>
    </row>
    <row r="77" ht="15" customHeight="1">
      <c r="A77" s="19" t="s">
        <v>17</v>
      </c>
      <c r="B77" s="21">
        <v>503524.71</v>
      </c>
      <c r="C77" s="21">
        <v>125763.32</v>
      </c>
      <c r="D77" s="21">
        <v>157243.44</v>
      </c>
      <c r="E77" s="21">
        <v>13736.78</v>
      </c>
      <c r="F77" s="21">
        <v>170980.22</v>
      </c>
      <c r="G77" s="21">
        <v>332544.49</v>
      </c>
    </row>
    <row r="79" ht="15" customHeight="1">
      <c r="A79" s="17" t="s">
        <v>42</v>
      </c>
    </row>
    <row r="80" ht="15" customHeight="1">
      <c r="A80" s="26" t="s">
        <v>105</v>
      </c>
      <c r="B80" s="30">
        <v>166008.92</v>
      </c>
    </row>
    <row r="81" ht="15" customHeight="1">
      <c r="A81" s="26" t="s">
        <v>106</v>
      </c>
      <c r="B81" s="30">
        <v>170980.22</v>
      </c>
    </row>
    <row r="82" ht="15" customHeight="1">
      <c r="A82" s="22" t="s">
        <v>42</v>
      </c>
      <c r="B82" s="24">
        <v>-4971.3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1878F18-3176-FB08-16E2-93149B83CA48}" mc:Ignorable="x14ac xr xr2 xr3">
  <dimension ref="A1:I86"/>
  <sheetViews>
    <sheetView workbookViewId="0">
      <pane xSplit="1" ySplit="1" topLeftCell="B14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6.00390625" customWidth="1"/>
    <col min="2" max="2" width="16.00390625" customWidth="1"/>
    <col min="3" max="7" width="14.00390625" customWidth="1"/>
    <col min="8" max="8" width="12.00390625" customWidth="1"/>
    <col min="9" max="9" width="1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18" customHeight="1">
      <c r="A2" s="2" t="s">
        <v>0</v>
      </c>
    </row>
    <row r="3" ht="15" customHeight="1">
      <c r="A3" s="3" t="s">
        <v>150</v>
      </c>
    </row>
    <row r="4" ht="15" customHeight="1">
      <c r="A4" s="4" t="s">
        <v>45</v>
      </c>
    </row>
    <row r="6" ht="15" customHeight="1">
      <c r="A6" s="25" t="s">
        <v>46</v>
      </c>
      <c r="B6" s="26" t="s">
        <v>47</v>
      </c>
    </row>
    <row r="9" ht="15" customHeight="1">
      <c r="A9" s="17" t="s">
        <v>151</v>
      </c>
    </row>
    <row r="14" ht="21.75" customHeight="1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55</v>
      </c>
    </row>
    <row r="16" ht="15" customHeight="1">
      <c r="A16" s="12" t="s">
        <v>109</v>
      </c>
    </row>
    <row r="17" ht="15" customHeight="1">
      <c r="A17" s="7" t="s">
        <v>110</v>
      </c>
      <c r="B17" s="9">
        <v>20854.1</v>
      </c>
      <c r="C17" s="9">
        <v>20854.1</v>
      </c>
    </row>
    <row r="18" ht="15" customHeight="1">
      <c r="A18" s="7" t="s">
        <v>111</v>
      </c>
      <c r="B18" s="9">
        <v>3659.01</v>
      </c>
      <c r="C18" s="9">
        <v>3659.01</v>
      </c>
    </row>
    <row r="19" ht="15" customHeight="1">
      <c r="A19" s="7" t="s">
        <v>112</v>
      </c>
      <c r="B19" s="9">
        <v>7197.38</v>
      </c>
      <c r="C19" s="9">
        <v>7197.38</v>
      </c>
    </row>
    <row r="20" ht="15" customHeight="1">
      <c r="A20" s="7" t="s">
        <v>113</v>
      </c>
      <c r="B20" s="9">
        <v>13553.55</v>
      </c>
      <c r="C20" s="9">
        <v>13553.55</v>
      </c>
    </row>
    <row r="21" ht="15" customHeight="1">
      <c r="A21" s="7" t="s">
        <v>114</v>
      </c>
      <c r="B21" s="9">
        <v>2244.55</v>
      </c>
      <c r="C21" s="9">
        <v>2244.55</v>
      </c>
    </row>
    <row r="22" ht="15" customHeight="1">
      <c r="A22" s="7" t="s">
        <v>115</v>
      </c>
      <c r="B22" s="9">
        <v>1909.28</v>
      </c>
      <c r="C22" s="9">
        <v>1909.28</v>
      </c>
    </row>
    <row r="23" ht="15" customHeight="1">
      <c r="A23" s="7" t="s">
        <v>116</v>
      </c>
      <c r="B23" s="9">
        <v>567.1</v>
      </c>
      <c r="C23" s="9">
        <v>567.1</v>
      </c>
    </row>
    <row r="24" ht="15" customHeight="1">
      <c r="A24" s="7" t="s">
        <v>117</v>
      </c>
      <c r="B24" s="9">
        <v>556.82</v>
      </c>
      <c r="C24" s="9">
        <v>556.82</v>
      </c>
    </row>
    <row r="25" ht="15" customHeight="1">
      <c r="A25" s="7" t="s">
        <v>118</v>
      </c>
      <c r="B25" s="9">
        <v>9764.63</v>
      </c>
      <c r="C25" s="9">
        <v>9764.63</v>
      </c>
    </row>
    <row r="26" ht="15" customHeight="1">
      <c r="A26" s="7" t="s">
        <v>119</v>
      </c>
      <c r="B26" s="9">
        <v>2054.21</v>
      </c>
      <c r="C26" s="9">
        <v>2054.21</v>
      </c>
    </row>
    <row r="27" ht="15" customHeight="1">
      <c r="A27" s="7" t="s">
        <v>120</v>
      </c>
      <c r="B27" s="9">
        <v>10606.79</v>
      </c>
      <c r="C27" s="9">
        <v>10606.79</v>
      </c>
    </row>
    <row r="28" ht="15" customHeight="1">
      <c r="A28" s="7" t="s">
        <v>121</v>
      </c>
      <c r="B28" s="9">
        <v>900.48</v>
      </c>
      <c r="C28" s="9">
        <v>900.48</v>
      </c>
    </row>
    <row r="29" ht="15" customHeight="1">
      <c r="A29" s="7" t="s">
        <v>122</v>
      </c>
      <c r="B29" s="9">
        <v>1074.91</v>
      </c>
      <c r="C29" s="9">
        <v>1074.91</v>
      </c>
    </row>
    <row r="30" ht="15" customHeight="1">
      <c r="A30" s="7" t="s">
        <v>123</v>
      </c>
      <c r="B30" s="9">
        <v>11710.29</v>
      </c>
      <c r="C30" s="9">
        <v>11710.29</v>
      </c>
    </row>
    <row r="31" ht="15" customHeight="1">
      <c r="A31" s="12" t="s">
        <v>124</v>
      </c>
    </row>
    <row r="32" ht="15" customHeight="1">
      <c r="A32" s="7" t="s">
        <v>125</v>
      </c>
      <c r="B32" s="9">
        <v>15135.94</v>
      </c>
      <c r="F32" s="9">
        <v>15135.94</v>
      </c>
    </row>
    <row r="33" ht="15" customHeight="1">
      <c r="A33" s="7" t="s">
        <v>126</v>
      </c>
      <c r="B33" s="9">
        <v>21239.23</v>
      </c>
      <c r="F33" s="9">
        <v>21239.23</v>
      </c>
    </row>
    <row r="34" ht="15" customHeight="1">
      <c r="A34" s="7" t="s">
        <v>127</v>
      </c>
      <c r="B34" s="9">
        <v>15228.12</v>
      </c>
      <c r="F34" s="9">
        <v>15228.12</v>
      </c>
    </row>
    <row r="35" ht="15" customHeight="1">
      <c r="A35" s="7" t="s">
        <v>128</v>
      </c>
      <c r="B35" s="9">
        <v>18965.37</v>
      </c>
      <c r="F35" s="9">
        <v>18965.37</v>
      </c>
    </row>
    <row r="36" ht="15" customHeight="1">
      <c r="A36" s="7" t="s">
        <v>129</v>
      </c>
      <c r="B36" s="9">
        <v>18356.43</v>
      </c>
      <c r="F36" s="9">
        <v>18356.43</v>
      </c>
    </row>
    <row r="37" ht="15" customHeight="1">
      <c r="A37" s="7" t="s">
        <v>130</v>
      </c>
      <c r="B37" s="9">
        <v>6977.71</v>
      </c>
      <c r="F37" s="9">
        <v>6977.71</v>
      </c>
    </row>
    <row r="38" ht="15" customHeight="1">
      <c r="A38" s="7" t="s">
        <v>131</v>
      </c>
      <c r="B38" s="9">
        <v>13682.17</v>
      </c>
      <c r="F38" s="9">
        <v>13682.17</v>
      </c>
    </row>
    <row r="39" ht="15" customHeight="1">
      <c r="A39" s="7" t="s">
        <v>132</v>
      </c>
      <c r="B39" s="9">
        <v>8421.6</v>
      </c>
      <c r="F39" s="9">
        <v>8421.6</v>
      </c>
    </row>
    <row r="40" ht="15" customHeight="1">
      <c r="A40" s="7" t="s">
        <v>133</v>
      </c>
      <c r="B40" s="9">
        <v>10172.24</v>
      </c>
      <c r="F40" s="9">
        <v>10172.24</v>
      </c>
    </row>
    <row r="41" ht="15" customHeight="1">
      <c r="A41" s="7" t="s">
        <v>134</v>
      </c>
      <c r="B41" s="9">
        <v>23152.14</v>
      </c>
      <c r="F41" s="9">
        <v>23152.14</v>
      </c>
    </row>
    <row r="42" ht="15" customHeight="1">
      <c r="A42" s="7" t="s">
        <v>135</v>
      </c>
      <c r="B42" s="9">
        <v>9461.68</v>
      </c>
      <c r="F42" s="9">
        <v>9461.68</v>
      </c>
    </row>
    <row r="43" ht="15" customHeight="1">
      <c r="A43" s="7" t="s">
        <v>136</v>
      </c>
      <c r="B43" s="9">
        <v>1372.33</v>
      </c>
      <c r="F43" s="9">
        <v>1372.33</v>
      </c>
    </row>
    <row r="44" ht="15" customHeight="1">
      <c r="A44" s="7" t="s">
        <v>137</v>
      </c>
      <c r="B44" s="9">
        <v>36121.06</v>
      </c>
      <c r="F44" s="9">
        <v>36121.06</v>
      </c>
    </row>
    <row r="45" ht="15" customHeight="1">
      <c r="A45" s="7" t="s">
        <v>138</v>
      </c>
      <c r="B45" s="9">
        <v>8546.32</v>
      </c>
      <c r="F45" s="9">
        <v>8546.32</v>
      </c>
    </row>
    <row r="46" ht="15" customHeight="1">
      <c r="A46" s="7" t="s">
        <v>139</v>
      </c>
      <c r="B46" s="9">
        <v>7694.19</v>
      </c>
      <c r="F46" s="9">
        <v>7694.19</v>
      </c>
    </row>
    <row r="47" ht="15" customHeight="1">
      <c r="A47" s="7" t="s">
        <v>140</v>
      </c>
      <c r="B47" s="9">
        <v>5505.87</v>
      </c>
      <c r="F47" s="9">
        <v>5505.87</v>
      </c>
    </row>
    <row r="49" ht="15" customHeight="1">
      <c r="A49" s="10" t="s">
        <v>141</v>
      </c>
      <c r="B49" s="11">
        <v>397500.19</v>
      </c>
      <c r="C49" s="11">
        <v>99278.21</v>
      </c>
      <c r="F49" s="11">
        <v>298221.98</v>
      </c>
    </row>
    <row r="50" ht="15" customHeight="1">
      <c r="A50" s="4" t="s">
        <v>142</v>
      </c>
      <c r="C50" s="27">
        <v>0.25</v>
      </c>
      <c r="F50" s="27">
        <v>0.75</v>
      </c>
    </row>
    <row r="51" ht="15" customHeight="1">
      <c r="A51" s="28" t="s">
        <v>36</v>
      </c>
      <c r="B51" s="14">
        <f t="shared" si="0" ref="B51:F51">SUM(B17:B48)</f>
        <v>306685.5</v>
      </c>
      <c r="C51" s="14">
        <f t="shared" si="0"/>
        <v>86653.1</v>
      </c>
      <c r="E51" s="28" t="s">
        <v>36</v>
      </c>
      <c r="F51" s="14">
        <f t="shared" si="0"/>
        <v>220032.4</v>
      </c>
    </row>
    <row r="52" ht="15" customHeight="1">
      <c r="A52" s="25" t="s">
        <v>75</v>
      </c>
    </row>
    <row r="53" ht="15" customHeight="1">
      <c r="A53" s="7" t="s">
        <v>76</v>
      </c>
      <c r="B53" s="9">
        <v>302676.39</v>
      </c>
      <c r="C53" s="9">
        <v>83590.83</v>
      </c>
      <c r="F53" s="9">
        <v>219085.56</v>
      </c>
    </row>
    <row r="54" ht="15" customHeight="1">
      <c r="A54" s="7" t="s">
        <v>77</v>
      </c>
      <c r="B54" s="9">
        <v>32982.17</v>
      </c>
      <c r="C54" s="9">
        <v>9108.76</v>
      </c>
      <c r="F54" s="9">
        <v>23873.41</v>
      </c>
    </row>
    <row r="55" ht="15" customHeight="1">
      <c r="A55" s="7" t="s">
        <v>78</v>
      </c>
      <c r="B55" s="9">
        <v>61841.63</v>
      </c>
      <c r="C55" s="9">
        <v>17078.94</v>
      </c>
      <c r="F55" s="9">
        <v>44762.69</v>
      </c>
    </row>
    <row r="56" ht="15" customHeight="1">
      <c r="A56" s="19" t="s">
        <v>79</v>
      </c>
      <c r="B56" s="21">
        <v>397500.19</v>
      </c>
      <c r="C56" s="21">
        <v>109778.53</v>
      </c>
      <c r="F56" s="21">
        <v>287721.66</v>
      </c>
    </row>
    <row r="57" ht="15" customHeight="1">
      <c r="A57" s="28" t="s">
        <v>36</v>
      </c>
      <c r="B57" s="14">
        <f t="shared" si="1" ref="B57:F57">SUM(B53:B55)</f>
        <v>397500.19</v>
      </c>
      <c r="C57" s="14">
        <f t="shared" si="1"/>
        <v>109778.53</v>
      </c>
      <c r="E57" s="28" t="s">
        <v>36</v>
      </c>
      <c r="F57" s="14">
        <f t="shared" si="1"/>
        <v>287721.66</v>
      </c>
    </row>
    <row r="61" ht="15" customHeight="1">
      <c r="A61" s="17" t="s">
        <v>39</v>
      </c>
    </row>
    <row r="62" ht="15" customHeight="1">
      <c r="A62" s="10" t="s">
        <v>40</v>
      </c>
    </row>
    <row r="63" ht="15" customHeight="1">
      <c r="A63" s="13" t="s">
        <v>80</v>
      </c>
      <c r="B63" s="13" t="s">
        <v>81</v>
      </c>
      <c r="C63" s="13" t="s">
        <v>82</v>
      </c>
      <c r="D63" s="13" t="s">
        <v>83</v>
      </c>
      <c r="E63" s="13" t="s">
        <v>84</v>
      </c>
      <c r="F63" s="13" t="s">
        <v>85</v>
      </c>
      <c r="G63" s="13" t="s">
        <v>86</v>
      </c>
      <c r="H63" s="13" t="s">
        <v>87</v>
      </c>
      <c r="I63" s="13" t="s">
        <v>88</v>
      </c>
    </row>
    <row r="64" ht="15" customHeight="1">
      <c r="A64" s="7" t="s">
        <v>89</v>
      </c>
      <c r="B64" s="9">
        <v>302676.39</v>
      </c>
      <c r="C64" s="9">
        <v>0</v>
      </c>
      <c r="D64" s="9">
        <v>0</v>
      </c>
      <c r="E64" s="9">
        <v>25223.07</v>
      </c>
      <c r="F64" s="9">
        <v>25223.07</v>
      </c>
      <c r="G64" s="9">
        <v>36229.51</v>
      </c>
      <c r="H64" s="6" t="s">
        <v>90</v>
      </c>
      <c r="I64" s="29">
        <v>27.5</v>
      </c>
    </row>
    <row r="65" ht="15" customHeight="1">
      <c r="A65" s="7" t="s">
        <v>91</v>
      </c>
      <c r="B65" s="9">
        <v>32982.17</v>
      </c>
      <c r="C65" s="9">
        <v>0</v>
      </c>
      <c r="D65" s="9">
        <v>32982.17</v>
      </c>
      <c r="E65" s="9">
        <v>32982.17</v>
      </c>
      <c r="F65" s="9">
        <v>32982.17</v>
      </c>
      <c r="G65" s="9">
        <v>0</v>
      </c>
      <c r="H65" s="6" t="s">
        <v>92</v>
      </c>
      <c r="I65" s="29">
        <v>15</v>
      </c>
    </row>
    <row r="66" ht="15" customHeight="1">
      <c r="A66" s="7" t="s">
        <v>93</v>
      </c>
      <c r="B66" s="9">
        <v>61841.63</v>
      </c>
      <c r="C66" s="9">
        <v>0</v>
      </c>
      <c r="D66" s="9">
        <v>61841.63</v>
      </c>
      <c r="E66" s="9">
        <v>61841.63</v>
      </c>
      <c r="F66" s="9">
        <v>61841.63</v>
      </c>
      <c r="G66" s="9">
        <v>0</v>
      </c>
      <c r="H66" s="6" t="s">
        <v>94</v>
      </c>
      <c r="I66" s="29">
        <v>5</v>
      </c>
    </row>
    <row r="67" ht="15" customHeight="1">
      <c r="A67" s="10" t="s">
        <v>17</v>
      </c>
      <c r="B67" s="11">
        <v>397500.19</v>
      </c>
      <c r="C67" s="11">
        <v>94823.8</v>
      </c>
      <c r="D67" s="11">
        <v>120046.87</v>
      </c>
      <c r="E67" s="11">
        <v>11006.44</v>
      </c>
      <c r="F67" s="11">
        <v>131053.31</v>
      </c>
      <c r="G67" s="11">
        <v>266446.88</v>
      </c>
    </row>
    <row r="69" ht="15" customHeight="1">
      <c r="A69" s="19" t="s">
        <v>95</v>
      </c>
    </row>
    <row r="70" ht="15" customHeight="1">
      <c r="A70" s="13" t="s">
        <v>80</v>
      </c>
      <c r="B70" s="13" t="s">
        <v>81</v>
      </c>
      <c r="C70" s="13" t="s">
        <v>82</v>
      </c>
      <c r="D70" s="13" t="s">
        <v>83</v>
      </c>
      <c r="E70" s="13" t="s">
        <v>84</v>
      </c>
      <c r="F70" s="13" t="s">
        <v>85</v>
      </c>
      <c r="G70" s="13" t="s">
        <v>86</v>
      </c>
      <c r="H70" s="13" t="s">
        <v>87</v>
      </c>
      <c r="I70" s="13" t="s">
        <v>88</v>
      </c>
    </row>
    <row r="71" ht="15" customHeight="1">
      <c r="A71" s="7" t="s">
        <v>143</v>
      </c>
      <c r="B71" s="9">
        <v>83590.83</v>
      </c>
      <c r="C71" s="9">
        <v>0</v>
      </c>
      <c r="D71" s="9">
        <v>83590.83</v>
      </c>
      <c r="E71" s="9">
        <v>83590.83</v>
      </c>
      <c r="F71" s="9">
        <v>0</v>
      </c>
      <c r="G71" s="9">
        <v>83590.83</v>
      </c>
      <c r="H71" s="6" t="s">
        <v>94</v>
      </c>
      <c r="I71" s="29">
        <v>5</v>
      </c>
    </row>
    <row r="72" ht="15" customHeight="1">
      <c r="A72" s="7" t="s">
        <v>98</v>
      </c>
      <c r="B72" s="9">
        <v>219085.56</v>
      </c>
      <c r="C72" s="9">
        <v>0</v>
      </c>
      <c r="D72" s="9">
        <v>0</v>
      </c>
      <c r="E72" s="9">
        <v>18257.13</v>
      </c>
      <c r="F72" s="9">
        <v>7966.75</v>
      </c>
      <c r="G72" s="9">
        <v>26223.88</v>
      </c>
      <c r="H72" s="6" t="s">
        <v>90</v>
      </c>
      <c r="I72" s="29">
        <v>27.5</v>
      </c>
    </row>
    <row r="73" ht="15" customHeight="1">
      <c r="A73" s="7" t="s">
        <v>144</v>
      </c>
      <c r="B73" s="9">
        <v>9108.76</v>
      </c>
      <c r="C73" s="9">
        <v>0</v>
      </c>
      <c r="D73" s="9">
        <v>9108.76</v>
      </c>
      <c r="E73" s="9">
        <v>9108.76</v>
      </c>
      <c r="F73" s="9">
        <v>0</v>
      </c>
      <c r="G73" s="9">
        <v>9108.76</v>
      </c>
      <c r="H73" s="6" t="s">
        <v>94</v>
      </c>
      <c r="I73" s="29">
        <v>5</v>
      </c>
    </row>
    <row r="74" ht="15" customHeight="1">
      <c r="A74" s="7" t="s">
        <v>101</v>
      </c>
      <c r="B74" s="9">
        <v>23873.41</v>
      </c>
      <c r="C74" s="9">
        <v>0</v>
      </c>
      <c r="D74" s="9">
        <v>0</v>
      </c>
      <c r="E74" s="9">
        <v>1989.44</v>
      </c>
      <c r="F74" s="9">
        <v>868.12</v>
      </c>
      <c r="G74" s="9">
        <v>2857.56</v>
      </c>
      <c r="H74" s="6" t="s">
        <v>90</v>
      </c>
      <c r="I74" s="29">
        <v>27.5</v>
      </c>
    </row>
    <row r="75" ht="15" customHeight="1">
      <c r="A75" s="7" t="s">
        <v>145</v>
      </c>
      <c r="B75" s="9">
        <v>17078.94</v>
      </c>
      <c r="C75" s="9">
        <v>0</v>
      </c>
      <c r="D75" s="9">
        <v>17078.94</v>
      </c>
      <c r="E75" s="9">
        <v>17078.94</v>
      </c>
      <c r="F75" s="9">
        <v>0</v>
      </c>
      <c r="G75" s="9">
        <v>17078.94</v>
      </c>
      <c r="H75" s="6" t="s">
        <v>94</v>
      </c>
      <c r="I75" s="29">
        <v>5</v>
      </c>
    </row>
    <row r="76" ht="15" customHeight="1">
      <c r="A76" s="7" t="s">
        <v>104</v>
      </c>
      <c r="B76" s="9">
        <v>44762.69</v>
      </c>
      <c r="C76" s="9">
        <v>0</v>
      </c>
      <c r="D76" s="9">
        <v>0</v>
      </c>
      <c r="E76" s="9">
        <v>3730.22</v>
      </c>
      <c r="F76" s="9">
        <v>1627.73</v>
      </c>
      <c r="G76" s="9">
        <v>5357.95</v>
      </c>
      <c r="H76" s="6" t="s">
        <v>90</v>
      </c>
      <c r="I76" s="29">
        <v>27.5</v>
      </c>
    </row>
    <row r="77" ht="15" customHeight="1">
      <c r="A77" s="19" t="s">
        <v>17</v>
      </c>
      <c r="B77" s="21">
        <v>397500.19</v>
      </c>
      <c r="C77" s="21">
        <v>109778.53</v>
      </c>
      <c r="D77" s="21">
        <v>133755.32</v>
      </c>
      <c r="E77" s="21">
        <v>10462.6</v>
      </c>
      <c r="F77" s="21">
        <v>144217.92</v>
      </c>
      <c r="G77" s="21">
        <v>253282.27</v>
      </c>
    </row>
    <row r="79" ht="15" customHeight="1">
      <c r="A79" s="17" t="s">
        <v>42</v>
      </c>
    </row>
    <row r="80" ht="15" customHeight="1">
      <c r="A80" s="26" t="s">
        <v>105</v>
      </c>
      <c r="B80" s="30">
        <v>131053.31</v>
      </c>
    </row>
    <row r="81" ht="15" customHeight="1">
      <c r="A81" s="26" t="s">
        <v>106</v>
      </c>
      <c r="B81" s="30">
        <v>144217.92</v>
      </c>
    </row>
    <row r="82" ht="15" customHeight="1">
      <c r="A82" s="22" t="s">
        <v>42</v>
      </c>
      <c r="B82" s="24">
        <v>-13164.61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D32BE78-4E18-93B9-B348-126864624BE9}" mc:Ignorable="x14ac xr xr2 xr3">
  <dimension ref="A1:I86"/>
  <sheetViews>
    <sheetView workbookViewId="0">
      <pane xSplit="1" ySplit="1" topLeftCell="B14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6.00390625" customWidth="1"/>
    <col min="2" max="2" width="16.00390625" customWidth="1"/>
    <col min="3" max="7" width="14.00390625" customWidth="1"/>
    <col min="8" max="8" width="12.00390625" customWidth="1"/>
    <col min="9" max="9" width="1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18" customHeight="1">
      <c r="A2" s="2" t="s">
        <v>0</v>
      </c>
    </row>
    <row r="3" ht="15" customHeight="1">
      <c r="A3" s="3" t="s">
        <v>152</v>
      </c>
    </row>
    <row r="4" ht="15" customHeight="1">
      <c r="A4" s="4" t="s">
        <v>45</v>
      </c>
    </row>
    <row r="6" ht="15" customHeight="1">
      <c r="A6" s="25" t="s">
        <v>46</v>
      </c>
      <c r="B6" s="26" t="s">
        <v>47</v>
      </c>
    </row>
    <row r="9" ht="15" customHeight="1">
      <c r="A9" s="17" t="s">
        <v>153</v>
      </c>
    </row>
    <row r="14" ht="21.75" customHeight="1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55</v>
      </c>
    </row>
    <row r="16" ht="15" customHeight="1">
      <c r="A16" s="12" t="s">
        <v>109</v>
      </c>
    </row>
    <row r="17" ht="15" customHeight="1">
      <c r="A17" s="7" t="s">
        <v>110</v>
      </c>
      <c r="B17" s="9">
        <v>26445.19</v>
      </c>
      <c r="C17" s="9">
        <v>26445.19</v>
      </c>
    </row>
    <row r="18" ht="15" customHeight="1">
      <c r="A18" s="7" t="s">
        <v>111</v>
      </c>
      <c r="B18" s="9">
        <v>4635.69</v>
      </c>
      <c r="C18" s="9">
        <v>4635.69</v>
      </c>
    </row>
    <row r="19" ht="15" customHeight="1">
      <c r="A19" s="7" t="s">
        <v>112</v>
      </c>
      <c r="B19" s="9">
        <v>9118.09</v>
      </c>
      <c r="C19" s="9">
        <v>9118.09</v>
      </c>
    </row>
    <row r="20" ht="15" customHeight="1">
      <c r="A20" s="7" t="s">
        <v>113</v>
      </c>
      <c r="B20" s="9">
        <v>17166.07</v>
      </c>
      <c r="C20" s="9">
        <v>17166.07</v>
      </c>
    </row>
    <row r="21" ht="15" customHeight="1">
      <c r="A21" s="7" t="s">
        <v>114</v>
      </c>
      <c r="B21" s="9">
        <v>2842.52</v>
      </c>
      <c r="C21" s="9">
        <v>2842.52</v>
      </c>
    </row>
    <row r="22" ht="15" customHeight="1">
      <c r="A22" s="7" t="s">
        <v>115</v>
      </c>
      <c r="B22" s="9">
        <v>2418.44</v>
      </c>
      <c r="C22" s="9">
        <v>2418.44</v>
      </c>
    </row>
    <row r="23" ht="15" customHeight="1">
      <c r="A23" s="7" t="s">
        <v>116</v>
      </c>
      <c r="B23" s="9">
        <v>718.3</v>
      </c>
      <c r="C23" s="9">
        <v>718.3</v>
      </c>
    </row>
    <row r="24" ht="15" customHeight="1">
      <c r="A24" s="7" t="s">
        <v>117</v>
      </c>
      <c r="B24" s="9">
        <v>705.03</v>
      </c>
      <c r="C24" s="9">
        <v>705.03</v>
      </c>
    </row>
    <row r="25" ht="15" customHeight="1">
      <c r="A25" s="7" t="s">
        <v>118</v>
      </c>
      <c r="B25" s="9">
        <v>12363.8</v>
      </c>
      <c r="C25" s="9">
        <v>12363.8</v>
      </c>
    </row>
    <row r="26" ht="15" customHeight="1">
      <c r="A26" s="7" t="s">
        <v>119</v>
      </c>
      <c r="B26" s="9">
        <v>2600.58</v>
      </c>
      <c r="C26" s="9">
        <v>2600.58</v>
      </c>
    </row>
    <row r="27" ht="15" customHeight="1">
      <c r="A27" s="7" t="s">
        <v>120</v>
      </c>
      <c r="B27" s="9">
        <v>13431.92</v>
      </c>
      <c r="C27" s="9">
        <v>13431.92</v>
      </c>
    </row>
    <row r="28" ht="15" customHeight="1">
      <c r="A28" s="7" t="s">
        <v>121</v>
      </c>
      <c r="B28" s="9">
        <v>1140.5</v>
      </c>
      <c r="C28" s="9">
        <v>1140.5</v>
      </c>
    </row>
    <row r="29" ht="15" customHeight="1">
      <c r="A29" s="7" t="s">
        <v>122</v>
      </c>
      <c r="B29" s="9">
        <v>1360.86</v>
      </c>
      <c r="C29" s="9">
        <v>1360.86</v>
      </c>
    </row>
    <row r="30" ht="15" customHeight="1">
      <c r="A30" s="7" t="s">
        <v>123</v>
      </c>
      <c r="B30" s="9">
        <v>14831.54</v>
      </c>
      <c r="C30" s="9">
        <v>14831.54</v>
      </c>
    </row>
    <row r="31" ht="15" customHeight="1">
      <c r="A31" s="12" t="s">
        <v>124</v>
      </c>
    </row>
    <row r="32" ht="15" customHeight="1">
      <c r="A32" s="7" t="s">
        <v>125</v>
      </c>
      <c r="B32" s="9">
        <v>19166.81</v>
      </c>
      <c r="F32" s="9">
        <v>19166.81</v>
      </c>
    </row>
    <row r="33" ht="15" customHeight="1">
      <c r="A33" s="7" t="s">
        <v>126</v>
      </c>
      <c r="B33" s="9">
        <v>26894.18</v>
      </c>
      <c r="F33" s="9">
        <v>26894.18</v>
      </c>
    </row>
    <row r="34" ht="15" customHeight="1">
      <c r="A34" s="7" t="s">
        <v>127</v>
      </c>
      <c r="B34" s="9">
        <v>19273.71</v>
      </c>
      <c r="F34" s="9">
        <v>19273.71</v>
      </c>
    </row>
    <row r="35" ht="15" customHeight="1">
      <c r="A35" s="7" t="s">
        <v>128</v>
      </c>
      <c r="B35" s="9">
        <v>24003.39</v>
      </c>
      <c r="F35" s="9">
        <v>24003.39</v>
      </c>
    </row>
    <row r="36" ht="15" customHeight="1">
      <c r="A36" s="7" t="s">
        <v>129</v>
      </c>
      <c r="B36" s="9">
        <v>23233.4</v>
      </c>
      <c r="F36" s="9">
        <v>23233.4</v>
      </c>
    </row>
    <row r="37" ht="15" customHeight="1">
      <c r="A37" s="7" t="s">
        <v>130</v>
      </c>
      <c r="B37" s="9">
        <v>8832.92</v>
      </c>
      <c r="F37" s="9">
        <v>8832.92</v>
      </c>
    </row>
    <row r="38" ht="15" customHeight="1">
      <c r="A38" s="7" t="s">
        <v>131</v>
      </c>
      <c r="B38" s="9">
        <v>17315.31</v>
      </c>
      <c r="F38" s="9">
        <v>17315.31</v>
      </c>
    </row>
    <row r="39" ht="15" customHeight="1">
      <c r="A39" s="7" t="s">
        <v>132</v>
      </c>
      <c r="B39" s="9">
        <v>10659.46</v>
      </c>
      <c r="F39" s="9">
        <v>10659.46</v>
      </c>
    </row>
    <row r="40" ht="15" customHeight="1">
      <c r="A40" s="7" t="s">
        <v>133</v>
      </c>
      <c r="B40" s="9">
        <v>12873.87</v>
      </c>
      <c r="F40" s="9">
        <v>12873.87</v>
      </c>
    </row>
    <row r="41" ht="15" customHeight="1">
      <c r="A41" s="7" t="s">
        <v>134</v>
      </c>
      <c r="B41" s="9">
        <v>29302.11</v>
      </c>
      <c r="F41" s="9">
        <v>29302.11</v>
      </c>
    </row>
    <row r="42" ht="15" customHeight="1">
      <c r="A42" s="7" t="s">
        <v>135</v>
      </c>
      <c r="B42" s="9">
        <v>11976.41</v>
      </c>
      <c r="F42" s="9">
        <v>11976.41</v>
      </c>
    </row>
    <row r="43" ht="15" customHeight="1">
      <c r="A43" s="7" t="s">
        <v>136</v>
      </c>
      <c r="B43" s="9">
        <v>1737.32</v>
      </c>
      <c r="F43" s="9">
        <v>1737.32</v>
      </c>
    </row>
    <row r="44" ht="15" customHeight="1">
      <c r="A44" s="7" t="s">
        <v>137</v>
      </c>
      <c r="B44" s="9">
        <v>45720.62</v>
      </c>
      <c r="F44" s="9">
        <v>45720.62</v>
      </c>
    </row>
    <row r="45" ht="15" customHeight="1">
      <c r="A45" s="7" t="s">
        <v>138</v>
      </c>
      <c r="B45" s="9">
        <v>10815.9</v>
      </c>
      <c r="F45" s="9">
        <v>10815.9</v>
      </c>
    </row>
    <row r="46" ht="15" customHeight="1">
      <c r="A46" s="7" t="s">
        <v>139</v>
      </c>
      <c r="B46" s="9">
        <v>9740.22</v>
      </c>
      <c r="F46" s="9">
        <v>9740.22</v>
      </c>
    </row>
    <row r="47" ht="15" customHeight="1">
      <c r="A47" s="7" t="s">
        <v>140</v>
      </c>
      <c r="B47" s="9">
        <v>6970.48</v>
      </c>
      <c r="F47" s="9">
        <v>6970.48</v>
      </c>
    </row>
    <row r="49" ht="15" customHeight="1">
      <c r="A49" s="10" t="s">
        <v>141</v>
      </c>
      <c r="B49" s="11">
        <v>503524.71</v>
      </c>
      <c r="C49" s="11">
        <v>125763.32</v>
      </c>
      <c r="F49" s="11">
        <v>377761.39</v>
      </c>
    </row>
    <row r="50" ht="15" customHeight="1">
      <c r="A50" s="4" t="s">
        <v>142</v>
      </c>
      <c r="C50" s="27">
        <v>0.25</v>
      </c>
      <c r="F50" s="27">
        <v>0.75</v>
      </c>
    </row>
    <row r="51" ht="15" customHeight="1">
      <c r="A51" s="28" t="s">
        <v>36</v>
      </c>
      <c r="B51" s="14">
        <f t="shared" si="0" ref="B51:F51">SUM(B17:B48)</f>
        <v>388294.64</v>
      </c>
      <c r="C51" s="14">
        <f t="shared" si="0"/>
        <v>109778.53</v>
      </c>
      <c r="E51" s="28" t="s">
        <v>36</v>
      </c>
      <c r="F51" s="14">
        <f t="shared" si="0"/>
        <v>278516.11</v>
      </c>
    </row>
    <row r="52" ht="15" customHeight="1">
      <c r="A52" s="25" t="s">
        <v>75</v>
      </c>
    </row>
    <row r="53" ht="15" customHeight="1">
      <c r="A53" s="7" t="s">
        <v>76</v>
      </c>
      <c r="B53" s="9">
        <v>383408.73</v>
      </c>
      <c r="C53" s="9">
        <v>95762.44</v>
      </c>
      <c r="F53" s="9">
        <v>287646.29</v>
      </c>
    </row>
    <row r="54" ht="15" customHeight="1">
      <c r="A54" s="7" t="s">
        <v>77</v>
      </c>
      <c r="B54" s="9">
        <v>41779.44</v>
      </c>
      <c r="C54" s="9">
        <v>10435.08</v>
      </c>
      <c r="F54" s="9">
        <v>31344.36</v>
      </c>
    </row>
    <row r="55" ht="15" customHeight="1">
      <c r="A55" s="7" t="s">
        <v>78</v>
      </c>
      <c r="B55" s="9">
        <v>78336.54</v>
      </c>
      <c r="C55" s="9">
        <v>19565.8</v>
      </c>
      <c r="F55" s="9">
        <v>58770.74</v>
      </c>
    </row>
    <row r="56" ht="15" customHeight="1">
      <c r="A56" s="19" t="s">
        <v>79</v>
      </c>
      <c r="B56" s="21">
        <v>503524.71</v>
      </c>
      <c r="C56" s="21">
        <v>125763.32</v>
      </c>
      <c r="F56" s="21">
        <v>377761.39</v>
      </c>
    </row>
    <row r="57" ht="15" customHeight="1">
      <c r="A57" s="28" t="s">
        <v>36</v>
      </c>
      <c r="B57" s="14">
        <f t="shared" si="1" ref="B57:F57">SUM(B53:B55)</f>
        <v>503524.71</v>
      </c>
      <c r="C57" s="14">
        <f t="shared" si="1"/>
        <v>125763.32</v>
      </c>
      <c r="E57" s="28" t="s">
        <v>36</v>
      </c>
      <c r="F57" s="14">
        <f t="shared" si="1"/>
        <v>377761.39</v>
      </c>
    </row>
    <row r="61" ht="15" customHeight="1">
      <c r="A61" s="17" t="s">
        <v>39</v>
      </c>
    </row>
    <row r="62" ht="15" customHeight="1">
      <c r="A62" s="10" t="s">
        <v>40</v>
      </c>
    </row>
    <row r="63" ht="15" customHeight="1">
      <c r="A63" s="13" t="s">
        <v>80</v>
      </c>
      <c r="B63" s="13" t="s">
        <v>81</v>
      </c>
      <c r="C63" s="13" t="s">
        <v>82</v>
      </c>
      <c r="D63" s="13" t="s">
        <v>83</v>
      </c>
      <c r="E63" s="13" t="s">
        <v>84</v>
      </c>
      <c r="F63" s="13" t="s">
        <v>85</v>
      </c>
      <c r="G63" s="13" t="s">
        <v>86</v>
      </c>
      <c r="H63" s="13" t="s">
        <v>87</v>
      </c>
      <c r="I63" s="13" t="s">
        <v>88</v>
      </c>
    </row>
    <row r="64" ht="15" customHeight="1">
      <c r="A64" s="7" t="s">
        <v>89</v>
      </c>
      <c r="B64" s="9">
        <v>383408.73</v>
      </c>
      <c r="C64" s="9">
        <v>0</v>
      </c>
      <c r="D64" s="9">
        <v>0</v>
      </c>
      <c r="E64" s="9">
        <v>31950.77</v>
      </c>
      <c r="F64" s="9">
        <v>31950.77</v>
      </c>
      <c r="G64" s="9">
        <v>45892.94</v>
      </c>
      <c r="H64" s="6" t="s">
        <v>90</v>
      </c>
      <c r="I64" s="29">
        <v>27.5</v>
      </c>
    </row>
    <row r="65" ht="15" customHeight="1">
      <c r="A65" s="7" t="s">
        <v>91</v>
      </c>
      <c r="B65" s="9">
        <v>41779.44</v>
      </c>
      <c r="C65" s="9">
        <v>0</v>
      </c>
      <c r="D65" s="9">
        <v>41779.44</v>
      </c>
      <c r="E65" s="9">
        <v>41779.44</v>
      </c>
      <c r="F65" s="9">
        <v>41779.44</v>
      </c>
      <c r="G65" s="9">
        <v>0</v>
      </c>
      <c r="H65" s="6" t="s">
        <v>92</v>
      </c>
      <c r="I65" s="29">
        <v>15</v>
      </c>
    </row>
    <row r="66" ht="15" customHeight="1">
      <c r="A66" s="7" t="s">
        <v>93</v>
      </c>
      <c r="B66" s="9">
        <v>78336.54</v>
      </c>
      <c r="C66" s="9">
        <v>0</v>
      </c>
      <c r="D66" s="9">
        <v>78336.54</v>
      </c>
      <c r="E66" s="9">
        <v>78336.54</v>
      </c>
      <c r="F66" s="9">
        <v>78336.54</v>
      </c>
      <c r="G66" s="9">
        <v>0</v>
      </c>
      <c r="H66" s="6" t="s">
        <v>94</v>
      </c>
      <c r="I66" s="29">
        <v>5</v>
      </c>
    </row>
    <row r="67" ht="15" customHeight="1">
      <c r="A67" s="10" t="s">
        <v>17</v>
      </c>
      <c r="B67" s="11">
        <v>503524.71</v>
      </c>
      <c r="C67" s="11">
        <v>120115.98</v>
      </c>
      <c r="D67" s="11">
        <v>152066.75</v>
      </c>
      <c r="E67" s="11">
        <v>13942.17</v>
      </c>
      <c r="F67" s="11">
        <v>166008.92</v>
      </c>
      <c r="G67" s="11">
        <v>337515.79</v>
      </c>
    </row>
    <row r="69" ht="15" customHeight="1">
      <c r="A69" s="19" t="s">
        <v>95</v>
      </c>
    </row>
    <row r="70" ht="15" customHeight="1">
      <c r="A70" s="13" t="s">
        <v>80</v>
      </c>
      <c r="B70" s="13" t="s">
        <v>81</v>
      </c>
      <c r="C70" s="13" t="s">
        <v>82</v>
      </c>
      <c r="D70" s="13" t="s">
        <v>83</v>
      </c>
      <c r="E70" s="13" t="s">
        <v>84</v>
      </c>
      <c r="F70" s="13" t="s">
        <v>85</v>
      </c>
      <c r="G70" s="13" t="s">
        <v>86</v>
      </c>
      <c r="H70" s="13" t="s">
        <v>87</v>
      </c>
      <c r="I70" s="13" t="s">
        <v>88</v>
      </c>
    </row>
    <row r="71" ht="15" customHeight="1">
      <c r="A71" s="7" t="s">
        <v>143</v>
      </c>
      <c r="B71" s="9">
        <v>95762.44</v>
      </c>
      <c r="C71" s="9">
        <v>0</v>
      </c>
      <c r="D71" s="9">
        <v>95762.44</v>
      </c>
      <c r="E71" s="9">
        <v>95762.44</v>
      </c>
      <c r="F71" s="9">
        <v>0</v>
      </c>
      <c r="G71" s="9">
        <v>95762.44</v>
      </c>
      <c r="H71" s="6" t="s">
        <v>94</v>
      </c>
      <c r="I71" s="29">
        <v>5</v>
      </c>
    </row>
    <row r="72" ht="15" customHeight="1">
      <c r="A72" s="7" t="s">
        <v>98</v>
      </c>
      <c r="B72" s="9">
        <v>287646.29</v>
      </c>
      <c r="C72" s="9">
        <v>0</v>
      </c>
      <c r="D72" s="9">
        <v>0</v>
      </c>
      <c r="E72" s="9">
        <v>23970.53</v>
      </c>
      <c r="F72" s="9">
        <v>10459.87</v>
      </c>
      <c r="G72" s="9">
        <v>34430.4</v>
      </c>
      <c r="H72" s="6" t="s">
        <v>90</v>
      </c>
      <c r="I72" s="29">
        <v>27.5</v>
      </c>
    </row>
    <row r="73" ht="15" customHeight="1">
      <c r="A73" s="7" t="s">
        <v>144</v>
      </c>
      <c r="B73" s="9">
        <v>10435.08</v>
      </c>
      <c r="C73" s="9">
        <v>0</v>
      </c>
      <c r="D73" s="9">
        <v>10435.08</v>
      </c>
      <c r="E73" s="9">
        <v>10435.08</v>
      </c>
      <c r="F73" s="9">
        <v>0</v>
      </c>
      <c r="G73" s="9">
        <v>10435.08</v>
      </c>
      <c r="H73" s="6" t="s">
        <v>94</v>
      </c>
      <c r="I73" s="29">
        <v>5</v>
      </c>
    </row>
    <row r="74" ht="15" customHeight="1">
      <c r="A74" s="7" t="s">
        <v>101</v>
      </c>
      <c r="B74" s="9">
        <v>31344.36</v>
      </c>
      <c r="C74" s="9">
        <v>0</v>
      </c>
      <c r="D74" s="9">
        <v>0</v>
      </c>
      <c r="E74" s="9">
        <v>2612.02</v>
      </c>
      <c r="F74" s="9">
        <v>1139.79</v>
      </c>
      <c r="G74" s="9">
        <v>3751.81</v>
      </c>
      <c r="H74" s="6" t="s">
        <v>90</v>
      </c>
      <c r="I74" s="29">
        <v>27.5</v>
      </c>
    </row>
    <row r="75" ht="15" customHeight="1">
      <c r="A75" s="7" t="s">
        <v>145</v>
      </c>
      <c r="B75" s="9">
        <v>19565.8</v>
      </c>
      <c r="C75" s="9">
        <v>0</v>
      </c>
      <c r="D75" s="9">
        <v>19565.8</v>
      </c>
      <c r="E75" s="9">
        <v>19565.8</v>
      </c>
      <c r="F75" s="9">
        <v>0</v>
      </c>
      <c r="G75" s="9">
        <v>19565.8</v>
      </c>
      <c r="H75" s="6" t="s">
        <v>94</v>
      </c>
      <c r="I75" s="29">
        <v>5</v>
      </c>
    </row>
    <row r="76" ht="15" customHeight="1">
      <c r="A76" s="7" t="s">
        <v>104</v>
      </c>
      <c r="B76" s="9">
        <v>58770.74</v>
      </c>
      <c r="C76" s="9">
        <v>0</v>
      </c>
      <c r="D76" s="9">
        <v>0</v>
      </c>
      <c r="E76" s="9">
        <v>4897.57</v>
      </c>
      <c r="F76" s="9">
        <v>2137.12</v>
      </c>
      <c r="G76" s="9">
        <v>7034.69</v>
      </c>
      <c r="H76" s="6" t="s">
        <v>90</v>
      </c>
      <c r="I76" s="29">
        <v>27.5</v>
      </c>
    </row>
    <row r="77" ht="15" customHeight="1">
      <c r="A77" s="19" t="s">
        <v>17</v>
      </c>
      <c r="B77" s="21">
        <v>503524.71</v>
      </c>
      <c r="C77" s="21">
        <v>125763.32</v>
      </c>
      <c r="D77" s="21">
        <v>157243.44</v>
      </c>
      <c r="E77" s="21">
        <v>13736.78</v>
      </c>
      <c r="F77" s="21">
        <v>170980.22</v>
      </c>
      <c r="G77" s="21">
        <v>332544.49</v>
      </c>
    </row>
    <row r="79" ht="15" customHeight="1">
      <c r="A79" s="17" t="s">
        <v>42</v>
      </c>
    </row>
    <row r="80" ht="15" customHeight="1">
      <c r="A80" s="26" t="s">
        <v>105</v>
      </c>
      <c r="B80" s="30">
        <v>166008.92</v>
      </c>
    </row>
    <row r="81" ht="15" customHeight="1">
      <c r="A81" s="26" t="s">
        <v>106</v>
      </c>
      <c r="B81" s="30">
        <v>170980.22</v>
      </c>
    </row>
    <row r="82" ht="15" customHeight="1">
      <c r="A82" s="22" t="s">
        <v>42</v>
      </c>
      <c r="B82" s="24">
        <v>-4971.3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DFF4A48-8AE2-46F8-6DF8-7E09A485C518}" mc:Ignorable="x14ac xr xr2 xr3">
  <dimension ref="A1:I86"/>
  <sheetViews>
    <sheetView workbookViewId="0">
      <pane xSplit="1" ySplit="1" topLeftCell="B14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6.00390625" customWidth="1"/>
    <col min="2" max="2" width="16.00390625" customWidth="1"/>
    <col min="3" max="7" width="14.00390625" customWidth="1"/>
    <col min="8" max="8" width="12.00390625" customWidth="1"/>
    <col min="9" max="9" width="1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18" customHeight="1">
      <c r="A2" s="2" t="s">
        <v>0</v>
      </c>
    </row>
    <row r="3" ht="15" customHeight="1">
      <c r="A3" s="3" t="s">
        <v>154</v>
      </c>
    </row>
    <row r="4" ht="15" customHeight="1">
      <c r="A4" s="4" t="s">
        <v>45</v>
      </c>
    </row>
    <row r="6" ht="15" customHeight="1">
      <c r="A6" s="25" t="s">
        <v>46</v>
      </c>
      <c r="B6" s="26" t="s">
        <v>47</v>
      </c>
    </row>
    <row r="9" ht="15" customHeight="1">
      <c r="A9" s="17" t="s">
        <v>155</v>
      </c>
    </row>
    <row r="14" ht="21.75" customHeight="1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55</v>
      </c>
    </row>
    <row r="16" ht="15" customHeight="1">
      <c r="A16" s="12" t="s">
        <v>109</v>
      </c>
    </row>
    <row r="17" ht="15" customHeight="1">
      <c r="A17" s="7" t="s">
        <v>110</v>
      </c>
      <c r="B17" s="9">
        <v>20854.1</v>
      </c>
      <c r="C17" s="9">
        <v>20854.1</v>
      </c>
    </row>
    <row r="18" ht="15" customHeight="1">
      <c r="A18" s="7" t="s">
        <v>111</v>
      </c>
      <c r="B18" s="9">
        <v>3659.01</v>
      </c>
      <c r="C18" s="9">
        <v>3659.01</v>
      </c>
    </row>
    <row r="19" ht="15" customHeight="1">
      <c r="A19" s="7" t="s">
        <v>112</v>
      </c>
      <c r="B19" s="9">
        <v>7197.38</v>
      </c>
      <c r="C19" s="9">
        <v>7197.38</v>
      </c>
    </row>
    <row r="20" ht="15" customHeight="1">
      <c r="A20" s="7" t="s">
        <v>113</v>
      </c>
      <c r="B20" s="9">
        <v>13553.55</v>
      </c>
      <c r="C20" s="9">
        <v>13553.55</v>
      </c>
    </row>
    <row r="21" ht="15" customHeight="1">
      <c r="A21" s="7" t="s">
        <v>114</v>
      </c>
      <c r="B21" s="9">
        <v>2244.55</v>
      </c>
      <c r="C21" s="9">
        <v>2244.55</v>
      </c>
    </row>
    <row r="22" ht="15" customHeight="1">
      <c r="A22" s="7" t="s">
        <v>115</v>
      </c>
      <c r="B22" s="9">
        <v>1909.28</v>
      </c>
      <c r="C22" s="9">
        <v>1909.28</v>
      </c>
    </row>
    <row r="23" ht="15" customHeight="1">
      <c r="A23" s="7" t="s">
        <v>116</v>
      </c>
      <c r="B23" s="9">
        <v>567.1</v>
      </c>
      <c r="C23" s="9">
        <v>567.1</v>
      </c>
    </row>
    <row r="24" ht="15" customHeight="1">
      <c r="A24" s="7" t="s">
        <v>117</v>
      </c>
      <c r="B24" s="9">
        <v>556.82</v>
      </c>
      <c r="C24" s="9">
        <v>556.82</v>
      </c>
    </row>
    <row r="25" ht="15" customHeight="1">
      <c r="A25" s="7" t="s">
        <v>118</v>
      </c>
      <c r="B25" s="9">
        <v>9764.63</v>
      </c>
      <c r="C25" s="9">
        <v>9764.63</v>
      </c>
    </row>
    <row r="26" ht="15" customHeight="1">
      <c r="A26" s="7" t="s">
        <v>119</v>
      </c>
      <c r="B26" s="9">
        <v>2054.21</v>
      </c>
      <c r="C26" s="9">
        <v>2054.21</v>
      </c>
    </row>
    <row r="27" ht="15" customHeight="1">
      <c r="A27" s="7" t="s">
        <v>120</v>
      </c>
      <c r="B27" s="9">
        <v>10606.79</v>
      </c>
      <c r="C27" s="9">
        <v>10606.79</v>
      </c>
    </row>
    <row r="28" ht="15" customHeight="1">
      <c r="A28" s="7" t="s">
        <v>121</v>
      </c>
      <c r="B28" s="9">
        <v>900.48</v>
      </c>
      <c r="C28" s="9">
        <v>900.48</v>
      </c>
    </row>
    <row r="29" ht="15" customHeight="1">
      <c r="A29" s="7" t="s">
        <v>122</v>
      </c>
      <c r="B29" s="9">
        <v>1074.91</v>
      </c>
      <c r="C29" s="9">
        <v>1074.91</v>
      </c>
    </row>
    <row r="30" ht="15" customHeight="1">
      <c r="A30" s="7" t="s">
        <v>123</v>
      </c>
      <c r="B30" s="9">
        <v>11710.29</v>
      </c>
      <c r="C30" s="9">
        <v>11710.29</v>
      </c>
    </row>
    <row r="31" ht="15" customHeight="1">
      <c r="A31" s="12" t="s">
        <v>124</v>
      </c>
    </row>
    <row r="32" ht="15" customHeight="1">
      <c r="A32" s="7" t="s">
        <v>125</v>
      </c>
      <c r="B32" s="9">
        <v>15135.94</v>
      </c>
      <c r="F32" s="9">
        <v>15135.94</v>
      </c>
    </row>
    <row r="33" ht="15" customHeight="1">
      <c r="A33" s="7" t="s">
        <v>126</v>
      </c>
      <c r="B33" s="9">
        <v>21239.23</v>
      </c>
      <c r="F33" s="9">
        <v>21239.23</v>
      </c>
    </row>
    <row r="34" ht="15" customHeight="1">
      <c r="A34" s="7" t="s">
        <v>127</v>
      </c>
      <c r="B34" s="9">
        <v>15228.12</v>
      </c>
      <c r="F34" s="9">
        <v>15228.12</v>
      </c>
    </row>
    <row r="35" ht="15" customHeight="1">
      <c r="A35" s="7" t="s">
        <v>128</v>
      </c>
      <c r="B35" s="9">
        <v>18965.37</v>
      </c>
      <c r="F35" s="9">
        <v>18965.37</v>
      </c>
    </row>
    <row r="36" ht="15" customHeight="1">
      <c r="A36" s="7" t="s">
        <v>129</v>
      </c>
      <c r="B36" s="9">
        <v>18356.43</v>
      </c>
      <c r="F36" s="9">
        <v>18356.43</v>
      </c>
    </row>
    <row r="37" ht="15" customHeight="1">
      <c r="A37" s="7" t="s">
        <v>130</v>
      </c>
      <c r="B37" s="9">
        <v>6977.71</v>
      </c>
      <c r="F37" s="9">
        <v>6977.71</v>
      </c>
    </row>
    <row r="38" ht="15" customHeight="1">
      <c r="A38" s="7" t="s">
        <v>131</v>
      </c>
      <c r="B38" s="9">
        <v>13682.17</v>
      </c>
      <c r="F38" s="9">
        <v>13682.17</v>
      </c>
    </row>
    <row r="39" ht="15" customHeight="1">
      <c r="A39" s="7" t="s">
        <v>132</v>
      </c>
      <c r="B39" s="9">
        <v>8421.6</v>
      </c>
      <c r="F39" s="9">
        <v>8421.6</v>
      </c>
    </row>
    <row r="40" ht="15" customHeight="1">
      <c r="A40" s="7" t="s">
        <v>133</v>
      </c>
      <c r="B40" s="9">
        <v>10172.24</v>
      </c>
      <c r="F40" s="9">
        <v>10172.24</v>
      </c>
    </row>
    <row r="41" ht="15" customHeight="1">
      <c r="A41" s="7" t="s">
        <v>134</v>
      </c>
      <c r="B41" s="9">
        <v>23152.14</v>
      </c>
      <c r="F41" s="9">
        <v>23152.14</v>
      </c>
    </row>
    <row r="42" ht="15" customHeight="1">
      <c r="A42" s="7" t="s">
        <v>135</v>
      </c>
      <c r="B42" s="9">
        <v>9461.68</v>
      </c>
      <c r="F42" s="9">
        <v>9461.68</v>
      </c>
    </row>
    <row r="43" ht="15" customHeight="1">
      <c r="A43" s="7" t="s">
        <v>136</v>
      </c>
      <c r="B43" s="9">
        <v>1372.33</v>
      </c>
      <c r="F43" s="9">
        <v>1372.33</v>
      </c>
    </row>
    <row r="44" ht="15" customHeight="1">
      <c r="A44" s="7" t="s">
        <v>137</v>
      </c>
      <c r="B44" s="9">
        <v>36121.06</v>
      </c>
      <c r="F44" s="9">
        <v>36121.06</v>
      </c>
    </row>
    <row r="45" ht="15" customHeight="1">
      <c r="A45" s="7" t="s">
        <v>138</v>
      </c>
      <c r="B45" s="9">
        <v>8546.32</v>
      </c>
      <c r="F45" s="9">
        <v>8546.32</v>
      </c>
    </row>
    <row r="46" ht="15" customHeight="1">
      <c r="A46" s="7" t="s">
        <v>139</v>
      </c>
      <c r="B46" s="9">
        <v>7694.19</v>
      </c>
      <c r="F46" s="9">
        <v>7694.19</v>
      </c>
    </row>
    <row r="47" ht="15" customHeight="1">
      <c r="A47" s="7" t="s">
        <v>140</v>
      </c>
      <c r="B47" s="9">
        <v>5505.87</v>
      </c>
      <c r="F47" s="9">
        <v>5505.87</v>
      </c>
    </row>
    <row r="49" ht="15" customHeight="1">
      <c r="A49" s="10" t="s">
        <v>141</v>
      </c>
      <c r="B49" s="11">
        <v>397500.19</v>
      </c>
      <c r="C49" s="11">
        <v>99278.21</v>
      </c>
      <c r="F49" s="11">
        <v>298221.98</v>
      </c>
    </row>
    <row r="50" ht="15" customHeight="1">
      <c r="A50" s="4" t="s">
        <v>142</v>
      </c>
      <c r="C50" s="27">
        <v>0.25</v>
      </c>
      <c r="F50" s="27">
        <v>0.75</v>
      </c>
    </row>
    <row r="51" ht="15" customHeight="1">
      <c r="A51" s="28" t="s">
        <v>36</v>
      </c>
      <c r="B51" s="14">
        <f t="shared" si="0" ref="B51:F51">SUM(B17:B48)</f>
        <v>306685.5</v>
      </c>
      <c r="C51" s="14">
        <f t="shared" si="0"/>
        <v>86653.1</v>
      </c>
      <c r="E51" s="28" t="s">
        <v>36</v>
      </c>
      <c r="F51" s="14">
        <f t="shared" si="0"/>
        <v>220032.4</v>
      </c>
    </row>
    <row r="52" ht="15" customHeight="1">
      <c r="A52" s="25" t="s">
        <v>75</v>
      </c>
    </row>
    <row r="53" ht="15" customHeight="1">
      <c r="A53" s="7" t="s">
        <v>76</v>
      </c>
      <c r="B53" s="9">
        <v>302676.39</v>
      </c>
      <c r="C53" s="9">
        <v>83590.83</v>
      </c>
      <c r="F53" s="9">
        <v>219085.56</v>
      </c>
    </row>
    <row r="54" ht="15" customHeight="1">
      <c r="A54" s="7" t="s">
        <v>77</v>
      </c>
      <c r="B54" s="9">
        <v>32982.17</v>
      </c>
      <c r="C54" s="9">
        <v>9108.76</v>
      </c>
      <c r="F54" s="9">
        <v>23873.41</v>
      </c>
    </row>
    <row r="55" ht="15" customHeight="1">
      <c r="A55" s="7" t="s">
        <v>78</v>
      </c>
      <c r="B55" s="9">
        <v>61841.63</v>
      </c>
      <c r="C55" s="9">
        <v>17078.94</v>
      </c>
      <c r="F55" s="9">
        <v>44762.69</v>
      </c>
    </row>
    <row r="56" ht="15" customHeight="1">
      <c r="A56" s="19" t="s">
        <v>79</v>
      </c>
      <c r="B56" s="21">
        <v>397500.19</v>
      </c>
      <c r="C56" s="21">
        <v>109778.53</v>
      </c>
      <c r="F56" s="21">
        <v>287721.66</v>
      </c>
    </row>
    <row r="57" ht="15" customHeight="1">
      <c r="A57" s="28" t="s">
        <v>36</v>
      </c>
      <c r="B57" s="14">
        <f t="shared" si="1" ref="B57:F57">SUM(B53:B55)</f>
        <v>397500.19</v>
      </c>
      <c r="C57" s="14">
        <f t="shared" si="1"/>
        <v>109778.53</v>
      </c>
      <c r="E57" s="28" t="s">
        <v>36</v>
      </c>
      <c r="F57" s="14">
        <f t="shared" si="1"/>
        <v>287721.66</v>
      </c>
    </row>
    <row r="61" ht="15" customHeight="1">
      <c r="A61" s="17" t="s">
        <v>39</v>
      </c>
    </row>
    <row r="62" ht="15" customHeight="1">
      <c r="A62" s="10" t="s">
        <v>40</v>
      </c>
    </row>
    <row r="63" ht="15" customHeight="1">
      <c r="A63" s="13" t="s">
        <v>80</v>
      </c>
      <c r="B63" s="13" t="s">
        <v>81</v>
      </c>
      <c r="C63" s="13" t="s">
        <v>82</v>
      </c>
      <c r="D63" s="13" t="s">
        <v>83</v>
      </c>
      <c r="E63" s="13" t="s">
        <v>84</v>
      </c>
      <c r="F63" s="13" t="s">
        <v>85</v>
      </c>
      <c r="G63" s="13" t="s">
        <v>86</v>
      </c>
      <c r="H63" s="13" t="s">
        <v>87</v>
      </c>
      <c r="I63" s="13" t="s">
        <v>88</v>
      </c>
    </row>
    <row r="64" ht="15" customHeight="1">
      <c r="A64" s="7" t="s">
        <v>89</v>
      </c>
      <c r="B64" s="9">
        <v>302676.39</v>
      </c>
      <c r="C64" s="9">
        <v>0</v>
      </c>
      <c r="D64" s="9">
        <v>0</v>
      </c>
      <c r="E64" s="9">
        <v>25223.07</v>
      </c>
      <c r="F64" s="9">
        <v>25223.07</v>
      </c>
      <c r="G64" s="9">
        <v>36229.51</v>
      </c>
      <c r="H64" s="6" t="s">
        <v>90</v>
      </c>
      <c r="I64" s="29">
        <v>27.5</v>
      </c>
    </row>
    <row r="65" ht="15" customHeight="1">
      <c r="A65" s="7" t="s">
        <v>91</v>
      </c>
      <c r="B65" s="9">
        <v>32982.17</v>
      </c>
      <c r="C65" s="9">
        <v>0</v>
      </c>
      <c r="D65" s="9">
        <v>32982.17</v>
      </c>
      <c r="E65" s="9">
        <v>32982.17</v>
      </c>
      <c r="F65" s="9">
        <v>32982.17</v>
      </c>
      <c r="G65" s="9">
        <v>0</v>
      </c>
      <c r="H65" s="6" t="s">
        <v>92</v>
      </c>
      <c r="I65" s="29">
        <v>15</v>
      </c>
    </row>
    <row r="66" ht="15" customHeight="1">
      <c r="A66" s="7" t="s">
        <v>93</v>
      </c>
      <c r="B66" s="9">
        <v>61841.63</v>
      </c>
      <c r="C66" s="9">
        <v>0</v>
      </c>
      <c r="D66" s="9">
        <v>61841.63</v>
      </c>
      <c r="E66" s="9">
        <v>61841.63</v>
      </c>
      <c r="F66" s="9">
        <v>61841.63</v>
      </c>
      <c r="G66" s="9">
        <v>0</v>
      </c>
      <c r="H66" s="6" t="s">
        <v>94</v>
      </c>
      <c r="I66" s="29">
        <v>5</v>
      </c>
    </row>
    <row r="67" ht="15" customHeight="1">
      <c r="A67" s="10" t="s">
        <v>17</v>
      </c>
      <c r="B67" s="11">
        <v>397500.19</v>
      </c>
      <c r="C67" s="11">
        <v>94823.8</v>
      </c>
      <c r="D67" s="11">
        <v>120046.87</v>
      </c>
      <c r="E67" s="11">
        <v>11006.44</v>
      </c>
      <c r="F67" s="11">
        <v>131053.31</v>
      </c>
      <c r="G67" s="11">
        <v>266446.88</v>
      </c>
    </row>
    <row r="69" ht="15" customHeight="1">
      <c r="A69" s="19" t="s">
        <v>95</v>
      </c>
    </row>
    <row r="70" ht="15" customHeight="1">
      <c r="A70" s="13" t="s">
        <v>80</v>
      </c>
      <c r="B70" s="13" t="s">
        <v>81</v>
      </c>
      <c r="C70" s="13" t="s">
        <v>82</v>
      </c>
      <c r="D70" s="13" t="s">
        <v>83</v>
      </c>
      <c r="E70" s="13" t="s">
        <v>84</v>
      </c>
      <c r="F70" s="13" t="s">
        <v>85</v>
      </c>
      <c r="G70" s="13" t="s">
        <v>86</v>
      </c>
      <c r="H70" s="13" t="s">
        <v>87</v>
      </c>
      <c r="I70" s="13" t="s">
        <v>88</v>
      </c>
    </row>
    <row r="71" ht="15" customHeight="1">
      <c r="A71" s="7" t="s">
        <v>143</v>
      </c>
      <c r="B71" s="9">
        <v>83590.83</v>
      </c>
      <c r="C71" s="9">
        <v>0</v>
      </c>
      <c r="D71" s="9">
        <v>83590.83</v>
      </c>
      <c r="E71" s="9">
        <v>83590.83</v>
      </c>
      <c r="F71" s="9">
        <v>0</v>
      </c>
      <c r="G71" s="9">
        <v>83590.83</v>
      </c>
      <c r="H71" s="6" t="s">
        <v>94</v>
      </c>
      <c r="I71" s="29">
        <v>5</v>
      </c>
    </row>
    <row r="72" ht="15" customHeight="1">
      <c r="A72" s="7" t="s">
        <v>98</v>
      </c>
      <c r="B72" s="9">
        <v>219085.56</v>
      </c>
      <c r="C72" s="9">
        <v>0</v>
      </c>
      <c r="D72" s="9">
        <v>0</v>
      </c>
      <c r="E72" s="9">
        <v>18257.13</v>
      </c>
      <c r="F72" s="9">
        <v>7966.75</v>
      </c>
      <c r="G72" s="9">
        <v>26223.88</v>
      </c>
      <c r="H72" s="6" t="s">
        <v>90</v>
      </c>
      <c r="I72" s="29">
        <v>27.5</v>
      </c>
    </row>
    <row r="73" ht="15" customHeight="1">
      <c r="A73" s="7" t="s">
        <v>144</v>
      </c>
      <c r="B73" s="9">
        <v>9108.76</v>
      </c>
      <c r="C73" s="9">
        <v>0</v>
      </c>
      <c r="D73" s="9">
        <v>9108.76</v>
      </c>
      <c r="E73" s="9">
        <v>9108.76</v>
      </c>
      <c r="F73" s="9">
        <v>0</v>
      </c>
      <c r="G73" s="9">
        <v>9108.76</v>
      </c>
      <c r="H73" s="6" t="s">
        <v>94</v>
      </c>
      <c r="I73" s="29">
        <v>5</v>
      </c>
    </row>
    <row r="74" ht="15" customHeight="1">
      <c r="A74" s="7" t="s">
        <v>101</v>
      </c>
      <c r="B74" s="9">
        <v>23873.41</v>
      </c>
      <c r="C74" s="9">
        <v>0</v>
      </c>
      <c r="D74" s="9">
        <v>0</v>
      </c>
      <c r="E74" s="9">
        <v>1989.44</v>
      </c>
      <c r="F74" s="9">
        <v>868.12</v>
      </c>
      <c r="G74" s="9">
        <v>2857.56</v>
      </c>
      <c r="H74" s="6" t="s">
        <v>90</v>
      </c>
      <c r="I74" s="29">
        <v>27.5</v>
      </c>
    </row>
    <row r="75" ht="15" customHeight="1">
      <c r="A75" s="7" t="s">
        <v>145</v>
      </c>
      <c r="B75" s="9">
        <v>17078.94</v>
      </c>
      <c r="C75" s="9">
        <v>0</v>
      </c>
      <c r="D75" s="9">
        <v>17078.94</v>
      </c>
      <c r="E75" s="9">
        <v>17078.94</v>
      </c>
      <c r="F75" s="9">
        <v>0</v>
      </c>
      <c r="G75" s="9">
        <v>17078.94</v>
      </c>
      <c r="H75" s="6" t="s">
        <v>94</v>
      </c>
      <c r="I75" s="29">
        <v>5</v>
      </c>
    </row>
    <row r="76" ht="15" customHeight="1">
      <c r="A76" s="7" t="s">
        <v>104</v>
      </c>
      <c r="B76" s="9">
        <v>44762.69</v>
      </c>
      <c r="C76" s="9">
        <v>0</v>
      </c>
      <c r="D76" s="9">
        <v>0</v>
      </c>
      <c r="E76" s="9">
        <v>3730.22</v>
      </c>
      <c r="F76" s="9">
        <v>1627.73</v>
      </c>
      <c r="G76" s="9">
        <v>5357.95</v>
      </c>
      <c r="H76" s="6" t="s">
        <v>90</v>
      </c>
      <c r="I76" s="29">
        <v>27.5</v>
      </c>
    </row>
    <row r="77" ht="15" customHeight="1">
      <c r="A77" s="19" t="s">
        <v>17</v>
      </c>
      <c r="B77" s="21">
        <v>397500.19</v>
      </c>
      <c r="C77" s="21">
        <v>109778.53</v>
      </c>
      <c r="D77" s="21">
        <v>133755.32</v>
      </c>
      <c r="E77" s="21">
        <v>10462.6</v>
      </c>
      <c r="F77" s="21">
        <v>144217.92</v>
      </c>
      <c r="G77" s="21">
        <v>253282.27</v>
      </c>
    </row>
    <row r="79" ht="15" customHeight="1">
      <c r="A79" s="17" t="s">
        <v>42</v>
      </c>
    </row>
    <row r="80" ht="15" customHeight="1">
      <c r="A80" s="26" t="s">
        <v>105</v>
      </c>
      <c r="B80" s="30">
        <v>131053.31</v>
      </c>
    </row>
    <row r="81" ht="15" customHeight="1">
      <c r="A81" s="26" t="s">
        <v>106</v>
      </c>
      <c r="B81" s="30">
        <v>144217.92</v>
      </c>
    </row>
    <row r="82" ht="15" customHeight="1">
      <c r="A82" s="22" t="s">
        <v>42</v>
      </c>
      <c r="B82" s="24">
        <v>-13164.61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FE453CA-1399-6B98-7408-54D21EE7E793}" mc:Ignorable="x14ac xr xr2 xr3">
  <dimension ref="A1:I86"/>
  <sheetViews>
    <sheetView workbookViewId="0">
      <pane xSplit="1" ySplit="1" topLeftCell="B14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6.00390625" customWidth="1"/>
    <col min="2" max="2" width="16.00390625" customWidth="1"/>
    <col min="3" max="7" width="14.00390625" customWidth="1"/>
    <col min="8" max="8" width="12.00390625" customWidth="1"/>
    <col min="9" max="9" width="1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18" customHeight="1">
      <c r="A2" s="2" t="s">
        <v>0</v>
      </c>
    </row>
    <row r="3" ht="15" customHeight="1">
      <c r="A3" s="3" t="s">
        <v>156</v>
      </c>
    </row>
    <row r="4" ht="15" customHeight="1">
      <c r="A4" s="4" t="s">
        <v>45</v>
      </c>
    </row>
    <row r="6" ht="15" customHeight="1">
      <c r="A6" s="25" t="s">
        <v>46</v>
      </c>
      <c r="B6" s="26" t="s">
        <v>47</v>
      </c>
    </row>
    <row r="9" ht="15" customHeight="1">
      <c r="A9" s="17" t="s">
        <v>157</v>
      </c>
    </row>
    <row r="14" ht="21.75" customHeight="1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55</v>
      </c>
    </row>
    <row r="16" ht="15" customHeight="1">
      <c r="A16" s="12" t="s">
        <v>109</v>
      </c>
    </row>
    <row r="17" ht="15" customHeight="1">
      <c r="A17" s="7" t="s">
        <v>110</v>
      </c>
      <c r="B17" s="9">
        <v>26445.19</v>
      </c>
      <c r="C17" s="9">
        <v>26445.19</v>
      </c>
    </row>
    <row r="18" ht="15" customHeight="1">
      <c r="A18" s="7" t="s">
        <v>111</v>
      </c>
      <c r="B18" s="9">
        <v>4635.69</v>
      </c>
      <c r="C18" s="9">
        <v>4635.69</v>
      </c>
    </row>
    <row r="19" ht="15" customHeight="1">
      <c r="A19" s="7" t="s">
        <v>112</v>
      </c>
      <c r="B19" s="9">
        <v>9118.09</v>
      </c>
      <c r="C19" s="9">
        <v>9118.09</v>
      </c>
    </row>
    <row r="20" ht="15" customHeight="1">
      <c r="A20" s="7" t="s">
        <v>113</v>
      </c>
      <c r="B20" s="9">
        <v>17166.07</v>
      </c>
      <c r="C20" s="9">
        <v>17166.07</v>
      </c>
    </row>
    <row r="21" ht="15" customHeight="1">
      <c r="A21" s="7" t="s">
        <v>114</v>
      </c>
      <c r="B21" s="9">
        <v>2842.52</v>
      </c>
      <c r="C21" s="9">
        <v>2842.52</v>
      </c>
    </row>
    <row r="22" ht="15" customHeight="1">
      <c r="A22" s="7" t="s">
        <v>115</v>
      </c>
      <c r="B22" s="9">
        <v>2418.44</v>
      </c>
      <c r="C22" s="9">
        <v>2418.44</v>
      </c>
    </row>
    <row r="23" ht="15" customHeight="1">
      <c r="A23" s="7" t="s">
        <v>116</v>
      </c>
      <c r="B23" s="9">
        <v>718.3</v>
      </c>
      <c r="C23" s="9">
        <v>718.3</v>
      </c>
    </row>
    <row r="24" ht="15" customHeight="1">
      <c r="A24" s="7" t="s">
        <v>117</v>
      </c>
      <c r="B24" s="9">
        <v>705.03</v>
      </c>
      <c r="C24" s="9">
        <v>705.03</v>
      </c>
    </row>
    <row r="25" ht="15" customHeight="1">
      <c r="A25" s="7" t="s">
        <v>118</v>
      </c>
      <c r="B25" s="9">
        <v>12363.8</v>
      </c>
      <c r="C25" s="9">
        <v>12363.8</v>
      </c>
    </row>
    <row r="26" ht="15" customHeight="1">
      <c r="A26" s="7" t="s">
        <v>119</v>
      </c>
      <c r="B26" s="9">
        <v>2600.58</v>
      </c>
      <c r="C26" s="9">
        <v>2600.58</v>
      </c>
    </row>
    <row r="27" ht="15" customHeight="1">
      <c r="A27" s="7" t="s">
        <v>120</v>
      </c>
      <c r="B27" s="9">
        <v>13431.92</v>
      </c>
      <c r="C27" s="9">
        <v>13431.92</v>
      </c>
    </row>
    <row r="28" ht="15" customHeight="1">
      <c r="A28" s="7" t="s">
        <v>121</v>
      </c>
      <c r="B28" s="9">
        <v>1140.5</v>
      </c>
      <c r="C28" s="9">
        <v>1140.5</v>
      </c>
    </row>
    <row r="29" ht="15" customHeight="1">
      <c r="A29" s="7" t="s">
        <v>122</v>
      </c>
      <c r="B29" s="9">
        <v>1360.86</v>
      </c>
      <c r="C29" s="9">
        <v>1360.86</v>
      </c>
    </row>
    <row r="30" ht="15" customHeight="1">
      <c r="A30" s="7" t="s">
        <v>123</v>
      </c>
      <c r="B30" s="9">
        <v>14831.54</v>
      </c>
      <c r="C30" s="9">
        <v>14831.54</v>
      </c>
    </row>
    <row r="31" ht="15" customHeight="1">
      <c r="A31" s="12" t="s">
        <v>124</v>
      </c>
    </row>
    <row r="32" ht="15" customHeight="1">
      <c r="A32" s="7" t="s">
        <v>125</v>
      </c>
      <c r="B32" s="9">
        <v>19166.81</v>
      </c>
      <c r="F32" s="9">
        <v>19166.81</v>
      </c>
    </row>
    <row r="33" ht="15" customHeight="1">
      <c r="A33" s="7" t="s">
        <v>126</v>
      </c>
      <c r="B33" s="9">
        <v>26894.18</v>
      </c>
      <c r="F33" s="9">
        <v>26894.18</v>
      </c>
    </row>
    <row r="34" ht="15" customHeight="1">
      <c r="A34" s="7" t="s">
        <v>127</v>
      </c>
      <c r="B34" s="9">
        <v>19273.71</v>
      </c>
      <c r="F34" s="9">
        <v>19273.71</v>
      </c>
    </row>
    <row r="35" ht="15" customHeight="1">
      <c r="A35" s="7" t="s">
        <v>128</v>
      </c>
      <c r="B35" s="9">
        <v>24003.39</v>
      </c>
      <c r="F35" s="9">
        <v>24003.39</v>
      </c>
    </row>
    <row r="36" ht="15" customHeight="1">
      <c r="A36" s="7" t="s">
        <v>129</v>
      </c>
      <c r="B36" s="9">
        <v>23233.4</v>
      </c>
      <c r="F36" s="9">
        <v>23233.4</v>
      </c>
    </row>
    <row r="37" ht="15" customHeight="1">
      <c r="A37" s="7" t="s">
        <v>130</v>
      </c>
      <c r="B37" s="9">
        <v>8832.92</v>
      </c>
      <c r="F37" s="9">
        <v>8832.92</v>
      </c>
    </row>
    <row r="38" ht="15" customHeight="1">
      <c r="A38" s="7" t="s">
        <v>131</v>
      </c>
      <c r="B38" s="9">
        <v>17315.31</v>
      </c>
      <c r="F38" s="9">
        <v>17315.31</v>
      </c>
    </row>
    <row r="39" ht="15" customHeight="1">
      <c r="A39" s="7" t="s">
        <v>132</v>
      </c>
      <c r="B39" s="9">
        <v>10659.46</v>
      </c>
      <c r="F39" s="9">
        <v>10659.46</v>
      </c>
    </row>
    <row r="40" ht="15" customHeight="1">
      <c r="A40" s="7" t="s">
        <v>133</v>
      </c>
      <c r="B40" s="9">
        <v>12873.87</v>
      </c>
      <c r="F40" s="9">
        <v>12873.87</v>
      </c>
    </row>
    <row r="41" ht="15" customHeight="1">
      <c r="A41" s="7" t="s">
        <v>134</v>
      </c>
      <c r="B41" s="9">
        <v>29302.11</v>
      </c>
      <c r="F41" s="9">
        <v>29302.11</v>
      </c>
    </row>
    <row r="42" ht="15" customHeight="1">
      <c r="A42" s="7" t="s">
        <v>135</v>
      </c>
      <c r="B42" s="9">
        <v>11976.41</v>
      </c>
      <c r="F42" s="9">
        <v>11976.41</v>
      </c>
    </row>
    <row r="43" ht="15" customHeight="1">
      <c r="A43" s="7" t="s">
        <v>136</v>
      </c>
      <c r="B43" s="9">
        <v>1737.32</v>
      </c>
      <c r="F43" s="9">
        <v>1737.32</v>
      </c>
    </row>
    <row r="44" ht="15" customHeight="1">
      <c r="A44" s="7" t="s">
        <v>137</v>
      </c>
      <c r="B44" s="9">
        <v>45720.62</v>
      </c>
      <c r="F44" s="9">
        <v>45720.62</v>
      </c>
    </row>
    <row r="45" ht="15" customHeight="1">
      <c r="A45" s="7" t="s">
        <v>138</v>
      </c>
      <c r="B45" s="9">
        <v>10815.9</v>
      </c>
      <c r="F45" s="9">
        <v>10815.9</v>
      </c>
    </row>
    <row r="46" ht="15" customHeight="1">
      <c r="A46" s="7" t="s">
        <v>139</v>
      </c>
      <c r="B46" s="9">
        <v>9740.22</v>
      </c>
      <c r="F46" s="9">
        <v>9740.22</v>
      </c>
    </row>
    <row r="47" ht="15" customHeight="1">
      <c r="A47" s="7" t="s">
        <v>140</v>
      </c>
      <c r="B47" s="9">
        <v>6970.48</v>
      </c>
      <c r="F47" s="9">
        <v>6970.48</v>
      </c>
    </row>
    <row r="49" ht="15" customHeight="1">
      <c r="A49" s="10" t="s">
        <v>141</v>
      </c>
      <c r="B49" s="11">
        <v>503524.71</v>
      </c>
      <c r="C49" s="11">
        <v>125763.32</v>
      </c>
      <c r="F49" s="11">
        <v>377761.39</v>
      </c>
    </row>
    <row r="50" ht="15" customHeight="1">
      <c r="A50" s="4" t="s">
        <v>142</v>
      </c>
      <c r="C50" s="27">
        <v>0.25</v>
      </c>
      <c r="F50" s="27">
        <v>0.75</v>
      </c>
    </row>
    <row r="51" ht="15" customHeight="1">
      <c r="A51" s="28" t="s">
        <v>36</v>
      </c>
      <c r="B51" s="14">
        <f t="shared" si="0" ref="B51:F51">SUM(B17:B48)</f>
        <v>388294.64</v>
      </c>
      <c r="C51" s="14">
        <f t="shared" si="0"/>
        <v>109778.53</v>
      </c>
      <c r="E51" s="28" t="s">
        <v>36</v>
      </c>
      <c r="F51" s="14">
        <f t="shared" si="0"/>
        <v>278516.11</v>
      </c>
    </row>
    <row r="52" ht="15" customHeight="1">
      <c r="A52" s="25" t="s">
        <v>75</v>
      </c>
    </row>
    <row r="53" ht="15" customHeight="1">
      <c r="A53" s="7" t="s">
        <v>76</v>
      </c>
      <c r="B53" s="9">
        <v>383408.73</v>
      </c>
      <c r="C53" s="9">
        <v>95762.44</v>
      </c>
      <c r="F53" s="9">
        <v>287646.29</v>
      </c>
    </row>
    <row r="54" ht="15" customHeight="1">
      <c r="A54" s="7" t="s">
        <v>77</v>
      </c>
      <c r="B54" s="9">
        <v>41779.44</v>
      </c>
      <c r="C54" s="9">
        <v>10435.08</v>
      </c>
      <c r="F54" s="9">
        <v>31344.36</v>
      </c>
    </row>
    <row r="55" ht="15" customHeight="1">
      <c r="A55" s="7" t="s">
        <v>78</v>
      </c>
      <c r="B55" s="9">
        <v>78336.54</v>
      </c>
      <c r="C55" s="9">
        <v>19565.8</v>
      </c>
      <c r="F55" s="9">
        <v>58770.74</v>
      </c>
    </row>
    <row r="56" ht="15" customHeight="1">
      <c r="A56" s="19" t="s">
        <v>79</v>
      </c>
      <c r="B56" s="21">
        <v>503524.71</v>
      </c>
      <c r="C56" s="21">
        <v>125763.32</v>
      </c>
      <c r="F56" s="21">
        <v>377761.39</v>
      </c>
    </row>
    <row r="57" ht="15" customHeight="1">
      <c r="A57" s="28" t="s">
        <v>36</v>
      </c>
      <c r="B57" s="14">
        <f t="shared" si="1" ref="B57:F57">SUM(B53:B55)</f>
        <v>503524.71</v>
      </c>
      <c r="C57" s="14">
        <f t="shared" si="1"/>
        <v>125763.32</v>
      </c>
      <c r="E57" s="28" t="s">
        <v>36</v>
      </c>
      <c r="F57" s="14">
        <f t="shared" si="1"/>
        <v>377761.39</v>
      </c>
    </row>
    <row r="61" ht="15" customHeight="1">
      <c r="A61" s="17" t="s">
        <v>39</v>
      </c>
    </row>
    <row r="62" ht="15" customHeight="1">
      <c r="A62" s="10" t="s">
        <v>40</v>
      </c>
    </row>
    <row r="63" ht="15" customHeight="1">
      <c r="A63" s="13" t="s">
        <v>80</v>
      </c>
      <c r="B63" s="13" t="s">
        <v>81</v>
      </c>
      <c r="C63" s="13" t="s">
        <v>82</v>
      </c>
      <c r="D63" s="13" t="s">
        <v>83</v>
      </c>
      <c r="E63" s="13" t="s">
        <v>84</v>
      </c>
      <c r="F63" s="13" t="s">
        <v>85</v>
      </c>
      <c r="G63" s="13" t="s">
        <v>86</v>
      </c>
      <c r="H63" s="13" t="s">
        <v>87</v>
      </c>
      <c r="I63" s="13" t="s">
        <v>88</v>
      </c>
    </row>
    <row r="64" ht="15" customHeight="1">
      <c r="A64" s="7" t="s">
        <v>89</v>
      </c>
      <c r="B64" s="9">
        <v>383408.73</v>
      </c>
      <c r="C64" s="9">
        <v>0</v>
      </c>
      <c r="D64" s="9">
        <v>0</v>
      </c>
      <c r="E64" s="9">
        <v>31950.77</v>
      </c>
      <c r="F64" s="9">
        <v>31950.77</v>
      </c>
      <c r="G64" s="9">
        <v>45892.94</v>
      </c>
      <c r="H64" s="6" t="s">
        <v>90</v>
      </c>
      <c r="I64" s="29">
        <v>27.5</v>
      </c>
    </row>
    <row r="65" ht="15" customHeight="1">
      <c r="A65" s="7" t="s">
        <v>91</v>
      </c>
      <c r="B65" s="9">
        <v>41779.44</v>
      </c>
      <c r="C65" s="9">
        <v>0</v>
      </c>
      <c r="D65" s="9">
        <v>41779.44</v>
      </c>
      <c r="E65" s="9">
        <v>41779.44</v>
      </c>
      <c r="F65" s="9">
        <v>41779.44</v>
      </c>
      <c r="G65" s="9">
        <v>0</v>
      </c>
      <c r="H65" s="6" t="s">
        <v>92</v>
      </c>
      <c r="I65" s="29">
        <v>15</v>
      </c>
    </row>
    <row r="66" ht="15" customHeight="1">
      <c r="A66" s="7" t="s">
        <v>93</v>
      </c>
      <c r="B66" s="9">
        <v>78336.54</v>
      </c>
      <c r="C66" s="9">
        <v>0</v>
      </c>
      <c r="D66" s="9">
        <v>78336.54</v>
      </c>
      <c r="E66" s="9">
        <v>78336.54</v>
      </c>
      <c r="F66" s="9">
        <v>78336.54</v>
      </c>
      <c r="G66" s="9">
        <v>0</v>
      </c>
      <c r="H66" s="6" t="s">
        <v>94</v>
      </c>
      <c r="I66" s="29">
        <v>5</v>
      </c>
    </row>
    <row r="67" ht="15" customHeight="1">
      <c r="A67" s="10" t="s">
        <v>17</v>
      </c>
      <c r="B67" s="11">
        <v>503524.71</v>
      </c>
      <c r="C67" s="11">
        <v>120115.98</v>
      </c>
      <c r="D67" s="11">
        <v>152066.75</v>
      </c>
      <c r="E67" s="11">
        <v>13942.17</v>
      </c>
      <c r="F67" s="11">
        <v>166008.92</v>
      </c>
      <c r="G67" s="11">
        <v>337515.79</v>
      </c>
    </row>
    <row r="69" ht="15" customHeight="1">
      <c r="A69" s="19" t="s">
        <v>95</v>
      </c>
    </row>
    <row r="70" ht="15" customHeight="1">
      <c r="A70" s="13" t="s">
        <v>80</v>
      </c>
      <c r="B70" s="13" t="s">
        <v>81</v>
      </c>
      <c r="C70" s="13" t="s">
        <v>82</v>
      </c>
      <c r="D70" s="13" t="s">
        <v>83</v>
      </c>
      <c r="E70" s="13" t="s">
        <v>84</v>
      </c>
      <c r="F70" s="13" t="s">
        <v>85</v>
      </c>
      <c r="G70" s="13" t="s">
        <v>86</v>
      </c>
      <c r="H70" s="13" t="s">
        <v>87</v>
      </c>
      <c r="I70" s="13" t="s">
        <v>88</v>
      </c>
    </row>
    <row r="71" ht="15" customHeight="1">
      <c r="A71" s="7" t="s">
        <v>143</v>
      </c>
      <c r="B71" s="9">
        <v>95762.44</v>
      </c>
      <c r="C71" s="9">
        <v>0</v>
      </c>
      <c r="D71" s="9">
        <v>95762.44</v>
      </c>
      <c r="E71" s="9">
        <v>95762.44</v>
      </c>
      <c r="F71" s="9">
        <v>0</v>
      </c>
      <c r="G71" s="9">
        <v>95762.44</v>
      </c>
      <c r="H71" s="6" t="s">
        <v>94</v>
      </c>
      <c r="I71" s="29">
        <v>5</v>
      </c>
    </row>
    <row r="72" ht="15" customHeight="1">
      <c r="A72" s="7" t="s">
        <v>98</v>
      </c>
      <c r="B72" s="9">
        <v>287646.29</v>
      </c>
      <c r="C72" s="9">
        <v>0</v>
      </c>
      <c r="D72" s="9">
        <v>0</v>
      </c>
      <c r="E72" s="9">
        <v>23970.53</v>
      </c>
      <c r="F72" s="9">
        <v>10459.87</v>
      </c>
      <c r="G72" s="9">
        <v>34430.4</v>
      </c>
      <c r="H72" s="6" t="s">
        <v>90</v>
      </c>
      <c r="I72" s="29">
        <v>27.5</v>
      </c>
    </row>
    <row r="73" ht="15" customHeight="1">
      <c r="A73" s="7" t="s">
        <v>144</v>
      </c>
      <c r="B73" s="9">
        <v>10435.08</v>
      </c>
      <c r="C73" s="9">
        <v>0</v>
      </c>
      <c r="D73" s="9">
        <v>10435.08</v>
      </c>
      <c r="E73" s="9">
        <v>10435.08</v>
      </c>
      <c r="F73" s="9">
        <v>0</v>
      </c>
      <c r="G73" s="9">
        <v>10435.08</v>
      </c>
      <c r="H73" s="6" t="s">
        <v>94</v>
      </c>
      <c r="I73" s="29">
        <v>5</v>
      </c>
    </row>
    <row r="74" ht="15" customHeight="1">
      <c r="A74" s="7" t="s">
        <v>101</v>
      </c>
      <c r="B74" s="9">
        <v>31344.36</v>
      </c>
      <c r="C74" s="9">
        <v>0</v>
      </c>
      <c r="D74" s="9">
        <v>0</v>
      </c>
      <c r="E74" s="9">
        <v>2612.02</v>
      </c>
      <c r="F74" s="9">
        <v>1139.79</v>
      </c>
      <c r="G74" s="9">
        <v>3751.81</v>
      </c>
      <c r="H74" s="6" t="s">
        <v>90</v>
      </c>
      <c r="I74" s="29">
        <v>27.5</v>
      </c>
    </row>
    <row r="75" ht="15" customHeight="1">
      <c r="A75" s="7" t="s">
        <v>145</v>
      </c>
      <c r="B75" s="9">
        <v>19565.8</v>
      </c>
      <c r="C75" s="9">
        <v>0</v>
      </c>
      <c r="D75" s="9">
        <v>19565.8</v>
      </c>
      <c r="E75" s="9">
        <v>19565.8</v>
      </c>
      <c r="F75" s="9">
        <v>0</v>
      </c>
      <c r="G75" s="9">
        <v>19565.8</v>
      </c>
      <c r="H75" s="6" t="s">
        <v>94</v>
      </c>
      <c r="I75" s="29">
        <v>5</v>
      </c>
    </row>
    <row r="76" ht="15" customHeight="1">
      <c r="A76" s="7" t="s">
        <v>104</v>
      </c>
      <c r="B76" s="9">
        <v>58770.74</v>
      </c>
      <c r="C76" s="9">
        <v>0</v>
      </c>
      <c r="D76" s="9">
        <v>0</v>
      </c>
      <c r="E76" s="9">
        <v>4897.57</v>
      </c>
      <c r="F76" s="9">
        <v>2137.12</v>
      </c>
      <c r="G76" s="9">
        <v>7034.69</v>
      </c>
      <c r="H76" s="6" t="s">
        <v>90</v>
      </c>
      <c r="I76" s="29">
        <v>27.5</v>
      </c>
    </row>
    <row r="77" ht="15" customHeight="1">
      <c r="A77" s="19" t="s">
        <v>17</v>
      </c>
      <c r="B77" s="21">
        <v>503524.71</v>
      </c>
      <c r="C77" s="21">
        <v>125763.32</v>
      </c>
      <c r="D77" s="21">
        <v>157243.44</v>
      </c>
      <c r="E77" s="21">
        <v>13736.78</v>
      </c>
      <c r="F77" s="21">
        <v>170980.22</v>
      </c>
      <c r="G77" s="21">
        <v>332544.49</v>
      </c>
    </row>
    <row r="79" ht="15" customHeight="1">
      <c r="A79" s="17" t="s">
        <v>42</v>
      </c>
    </row>
    <row r="80" ht="15" customHeight="1">
      <c r="A80" s="26" t="s">
        <v>105</v>
      </c>
      <c r="B80" s="30">
        <v>166008.92</v>
      </c>
    </row>
    <row r="81" ht="15" customHeight="1">
      <c r="A81" s="26" t="s">
        <v>106</v>
      </c>
      <c r="B81" s="30">
        <v>170980.22</v>
      </c>
    </row>
    <row r="82" ht="15" customHeight="1">
      <c r="A82" s="22" t="s">
        <v>42</v>
      </c>
      <c r="B82" s="24">
        <v>-4971.3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CA79C98-1ED8-AA08-59B8-11EFC6202D18}" mc:Ignorable="x14ac xr xr2 xr3">
  <dimension ref="A1:I86"/>
  <sheetViews>
    <sheetView workbookViewId="0">
      <pane xSplit="1" ySplit="1" topLeftCell="B14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6.00390625" customWidth="1"/>
    <col min="2" max="2" width="16.00390625" customWidth="1"/>
    <col min="3" max="7" width="14.00390625" customWidth="1"/>
    <col min="8" max="8" width="12.00390625" customWidth="1"/>
    <col min="9" max="9" width="1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18" customHeight="1">
      <c r="A2" s="2" t="s">
        <v>0</v>
      </c>
    </row>
    <row r="3" ht="15" customHeight="1">
      <c r="A3" s="3" t="s">
        <v>158</v>
      </c>
    </row>
    <row r="4" ht="15" customHeight="1">
      <c r="A4" s="4" t="s">
        <v>45</v>
      </c>
    </row>
    <row r="6" ht="15" customHeight="1">
      <c r="A6" s="25" t="s">
        <v>46</v>
      </c>
      <c r="B6" s="26" t="s">
        <v>47</v>
      </c>
    </row>
    <row r="9" ht="15" customHeight="1">
      <c r="A9" s="17" t="s">
        <v>159</v>
      </c>
    </row>
    <row r="14" ht="21.75" customHeight="1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55</v>
      </c>
    </row>
    <row r="16" ht="15" customHeight="1">
      <c r="A16" s="12" t="s">
        <v>109</v>
      </c>
    </row>
    <row r="17" ht="15" customHeight="1">
      <c r="A17" s="7" t="s">
        <v>110</v>
      </c>
      <c r="B17" s="9">
        <v>20854.1</v>
      </c>
      <c r="C17" s="9">
        <v>20854.1</v>
      </c>
    </row>
    <row r="18" ht="15" customHeight="1">
      <c r="A18" s="7" t="s">
        <v>111</v>
      </c>
      <c r="B18" s="9">
        <v>3659.01</v>
      </c>
      <c r="C18" s="9">
        <v>3659.01</v>
      </c>
    </row>
    <row r="19" ht="15" customHeight="1">
      <c r="A19" s="7" t="s">
        <v>112</v>
      </c>
      <c r="B19" s="9">
        <v>7197.38</v>
      </c>
      <c r="C19" s="9">
        <v>7197.38</v>
      </c>
    </row>
    <row r="20" ht="15" customHeight="1">
      <c r="A20" s="7" t="s">
        <v>113</v>
      </c>
      <c r="B20" s="9">
        <v>13553.55</v>
      </c>
      <c r="C20" s="9">
        <v>13553.55</v>
      </c>
    </row>
    <row r="21" ht="15" customHeight="1">
      <c r="A21" s="7" t="s">
        <v>114</v>
      </c>
      <c r="B21" s="9">
        <v>2244.55</v>
      </c>
      <c r="C21" s="9">
        <v>2244.55</v>
      </c>
    </row>
    <row r="22" ht="15" customHeight="1">
      <c r="A22" s="7" t="s">
        <v>115</v>
      </c>
      <c r="B22" s="9">
        <v>1909.28</v>
      </c>
      <c r="C22" s="9">
        <v>1909.28</v>
      </c>
    </row>
    <row r="23" ht="15" customHeight="1">
      <c r="A23" s="7" t="s">
        <v>116</v>
      </c>
      <c r="B23" s="9">
        <v>567.1</v>
      </c>
      <c r="C23" s="9">
        <v>567.1</v>
      </c>
    </row>
    <row r="24" ht="15" customHeight="1">
      <c r="A24" s="7" t="s">
        <v>117</v>
      </c>
      <c r="B24" s="9">
        <v>556.82</v>
      </c>
      <c r="C24" s="9">
        <v>556.82</v>
      </c>
    </row>
    <row r="25" ht="15" customHeight="1">
      <c r="A25" s="7" t="s">
        <v>118</v>
      </c>
      <c r="B25" s="9">
        <v>9764.63</v>
      </c>
      <c r="C25" s="9">
        <v>9764.63</v>
      </c>
    </row>
    <row r="26" ht="15" customHeight="1">
      <c r="A26" s="7" t="s">
        <v>119</v>
      </c>
      <c r="B26" s="9">
        <v>2054.21</v>
      </c>
      <c r="C26" s="9">
        <v>2054.21</v>
      </c>
    </row>
    <row r="27" ht="15" customHeight="1">
      <c r="A27" s="7" t="s">
        <v>120</v>
      </c>
      <c r="B27" s="9">
        <v>10606.79</v>
      </c>
      <c r="C27" s="9">
        <v>10606.79</v>
      </c>
    </row>
    <row r="28" ht="15" customHeight="1">
      <c r="A28" s="7" t="s">
        <v>121</v>
      </c>
      <c r="B28" s="9">
        <v>900.48</v>
      </c>
      <c r="C28" s="9">
        <v>900.48</v>
      </c>
    </row>
    <row r="29" ht="15" customHeight="1">
      <c r="A29" s="7" t="s">
        <v>122</v>
      </c>
      <c r="B29" s="9">
        <v>1074.91</v>
      </c>
      <c r="C29" s="9">
        <v>1074.91</v>
      </c>
    </row>
    <row r="30" ht="15" customHeight="1">
      <c r="A30" s="7" t="s">
        <v>123</v>
      </c>
      <c r="B30" s="9">
        <v>11710.29</v>
      </c>
      <c r="C30" s="9">
        <v>11710.29</v>
      </c>
    </row>
    <row r="31" ht="15" customHeight="1">
      <c r="A31" s="12" t="s">
        <v>124</v>
      </c>
    </row>
    <row r="32" ht="15" customHeight="1">
      <c r="A32" s="7" t="s">
        <v>125</v>
      </c>
      <c r="B32" s="9">
        <v>15135.94</v>
      </c>
      <c r="F32" s="9">
        <v>15135.94</v>
      </c>
    </row>
    <row r="33" ht="15" customHeight="1">
      <c r="A33" s="7" t="s">
        <v>126</v>
      </c>
      <c r="B33" s="9">
        <v>21239.23</v>
      </c>
      <c r="F33" s="9">
        <v>21239.23</v>
      </c>
    </row>
    <row r="34" ht="15" customHeight="1">
      <c r="A34" s="7" t="s">
        <v>127</v>
      </c>
      <c r="B34" s="9">
        <v>15228.12</v>
      </c>
      <c r="F34" s="9">
        <v>15228.12</v>
      </c>
    </row>
    <row r="35" ht="15" customHeight="1">
      <c r="A35" s="7" t="s">
        <v>128</v>
      </c>
      <c r="B35" s="9">
        <v>18965.37</v>
      </c>
      <c r="F35" s="9">
        <v>18965.37</v>
      </c>
    </row>
    <row r="36" ht="15" customHeight="1">
      <c r="A36" s="7" t="s">
        <v>129</v>
      </c>
      <c r="B36" s="9">
        <v>18356.43</v>
      </c>
      <c r="F36" s="9">
        <v>18356.43</v>
      </c>
    </row>
    <row r="37" ht="15" customHeight="1">
      <c r="A37" s="7" t="s">
        <v>130</v>
      </c>
      <c r="B37" s="9">
        <v>6977.71</v>
      </c>
      <c r="F37" s="9">
        <v>6977.71</v>
      </c>
    </row>
    <row r="38" ht="15" customHeight="1">
      <c r="A38" s="7" t="s">
        <v>131</v>
      </c>
      <c r="B38" s="9">
        <v>13682.17</v>
      </c>
      <c r="F38" s="9">
        <v>13682.17</v>
      </c>
    </row>
    <row r="39" ht="15" customHeight="1">
      <c r="A39" s="7" t="s">
        <v>132</v>
      </c>
      <c r="B39" s="9">
        <v>8421.6</v>
      </c>
      <c r="F39" s="9">
        <v>8421.6</v>
      </c>
    </row>
    <row r="40" ht="15" customHeight="1">
      <c r="A40" s="7" t="s">
        <v>133</v>
      </c>
      <c r="B40" s="9">
        <v>10172.24</v>
      </c>
      <c r="F40" s="9">
        <v>10172.24</v>
      </c>
    </row>
    <row r="41" ht="15" customHeight="1">
      <c r="A41" s="7" t="s">
        <v>134</v>
      </c>
      <c r="B41" s="9">
        <v>23152.14</v>
      </c>
      <c r="F41" s="9">
        <v>23152.14</v>
      </c>
    </row>
    <row r="42" ht="15" customHeight="1">
      <c r="A42" s="7" t="s">
        <v>135</v>
      </c>
      <c r="B42" s="9">
        <v>9461.68</v>
      </c>
      <c r="F42" s="9">
        <v>9461.68</v>
      </c>
    </row>
    <row r="43" ht="15" customHeight="1">
      <c r="A43" s="7" t="s">
        <v>136</v>
      </c>
      <c r="B43" s="9">
        <v>1372.33</v>
      </c>
      <c r="F43" s="9">
        <v>1372.33</v>
      </c>
    </row>
    <row r="44" ht="15" customHeight="1">
      <c r="A44" s="7" t="s">
        <v>137</v>
      </c>
      <c r="B44" s="9">
        <v>36121.06</v>
      </c>
      <c r="F44" s="9">
        <v>36121.06</v>
      </c>
    </row>
    <row r="45" ht="15" customHeight="1">
      <c r="A45" s="7" t="s">
        <v>138</v>
      </c>
      <c r="B45" s="9">
        <v>8546.32</v>
      </c>
      <c r="F45" s="9">
        <v>8546.32</v>
      </c>
    </row>
    <row r="46" ht="15" customHeight="1">
      <c r="A46" s="7" t="s">
        <v>139</v>
      </c>
      <c r="B46" s="9">
        <v>7694.19</v>
      </c>
      <c r="F46" s="9">
        <v>7694.19</v>
      </c>
    </row>
    <row r="47" ht="15" customHeight="1">
      <c r="A47" s="7" t="s">
        <v>140</v>
      </c>
      <c r="B47" s="9">
        <v>5505.87</v>
      </c>
      <c r="F47" s="9">
        <v>5505.87</v>
      </c>
    </row>
    <row r="49" ht="15" customHeight="1">
      <c r="A49" s="10" t="s">
        <v>141</v>
      </c>
      <c r="B49" s="11">
        <v>397500.19</v>
      </c>
      <c r="C49" s="11">
        <v>99278.21</v>
      </c>
      <c r="F49" s="11">
        <v>298221.98</v>
      </c>
    </row>
    <row r="50" ht="15" customHeight="1">
      <c r="A50" s="4" t="s">
        <v>142</v>
      </c>
      <c r="C50" s="27">
        <v>0.25</v>
      </c>
      <c r="F50" s="27">
        <v>0.75</v>
      </c>
    </row>
    <row r="51" ht="15" customHeight="1">
      <c r="A51" s="28" t="s">
        <v>36</v>
      </c>
      <c r="B51" s="14">
        <f t="shared" si="0" ref="B51:F51">SUM(B17:B48)</f>
        <v>306685.5</v>
      </c>
      <c r="C51" s="14">
        <f t="shared" si="0"/>
        <v>86653.1</v>
      </c>
      <c r="E51" s="28" t="s">
        <v>36</v>
      </c>
      <c r="F51" s="14">
        <f t="shared" si="0"/>
        <v>220032.4</v>
      </c>
    </row>
    <row r="52" ht="15" customHeight="1">
      <c r="A52" s="25" t="s">
        <v>75</v>
      </c>
    </row>
    <row r="53" ht="15" customHeight="1">
      <c r="A53" s="7" t="s">
        <v>76</v>
      </c>
      <c r="B53" s="9">
        <v>302676.39</v>
      </c>
      <c r="C53" s="9">
        <v>83590.83</v>
      </c>
      <c r="F53" s="9">
        <v>219085.56</v>
      </c>
    </row>
    <row r="54" ht="15" customHeight="1">
      <c r="A54" s="7" t="s">
        <v>77</v>
      </c>
      <c r="B54" s="9">
        <v>32982.17</v>
      </c>
      <c r="C54" s="9">
        <v>9108.76</v>
      </c>
      <c r="F54" s="9">
        <v>23873.41</v>
      </c>
    </row>
    <row r="55" ht="15" customHeight="1">
      <c r="A55" s="7" t="s">
        <v>78</v>
      </c>
      <c r="B55" s="9">
        <v>61841.63</v>
      </c>
      <c r="C55" s="9">
        <v>17078.94</v>
      </c>
      <c r="F55" s="9">
        <v>44762.69</v>
      </c>
    </row>
    <row r="56" ht="15" customHeight="1">
      <c r="A56" s="19" t="s">
        <v>79</v>
      </c>
      <c r="B56" s="21">
        <v>397500.19</v>
      </c>
      <c r="C56" s="21">
        <v>109778.53</v>
      </c>
      <c r="F56" s="21">
        <v>287721.66</v>
      </c>
    </row>
    <row r="57" ht="15" customHeight="1">
      <c r="A57" s="28" t="s">
        <v>36</v>
      </c>
      <c r="B57" s="14">
        <f t="shared" si="1" ref="B57:F57">SUM(B53:B55)</f>
        <v>397500.19</v>
      </c>
      <c r="C57" s="14">
        <f t="shared" si="1"/>
        <v>109778.53</v>
      </c>
      <c r="E57" s="28" t="s">
        <v>36</v>
      </c>
      <c r="F57" s="14">
        <f t="shared" si="1"/>
        <v>287721.66</v>
      </c>
    </row>
    <row r="61" ht="15" customHeight="1">
      <c r="A61" s="17" t="s">
        <v>39</v>
      </c>
    </row>
    <row r="62" ht="15" customHeight="1">
      <c r="A62" s="10" t="s">
        <v>40</v>
      </c>
    </row>
    <row r="63" ht="15" customHeight="1">
      <c r="A63" s="13" t="s">
        <v>80</v>
      </c>
      <c r="B63" s="13" t="s">
        <v>81</v>
      </c>
      <c r="C63" s="13" t="s">
        <v>82</v>
      </c>
      <c r="D63" s="13" t="s">
        <v>83</v>
      </c>
      <c r="E63" s="13" t="s">
        <v>84</v>
      </c>
      <c r="F63" s="13" t="s">
        <v>85</v>
      </c>
      <c r="G63" s="13" t="s">
        <v>86</v>
      </c>
      <c r="H63" s="13" t="s">
        <v>87</v>
      </c>
      <c r="I63" s="13" t="s">
        <v>88</v>
      </c>
    </row>
    <row r="64" ht="15" customHeight="1">
      <c r="A64" s="7" t="s">
        <v>89</v>
      </c>
      <c r="B64" s="9">
        <v>302676.39</v>
      </c>
      <c r="C64" s="9">
        <v>0</v>
      </c>
      <c r="D64" s="9">
        <v>0</v>
      </c>
      <c r="E64" s="9">
        <v>25223.07</v>
      </c>
      <c r="F64" s="9">
        <v>25223.07</v>
      </c>
      <c r="G64" s="9">
        <v>36229.51</v>
      </c>
      <c r="H64" s="6" t="s">
        <v>90</v>
      </c>
      <c r="I64" s="29">
        <v>27.5</v>
      </c>
    </row>
    <row r="65" ht="15" customHeight="1">
      <c r="A65" s="7" t="s">
        <v>91</v>
      </c>
      <c r="B65" s="9">
        <v>32982.17</v>
      </c>
      <c r="C65" s="9">
        <v>0</v>
      </c>
      <c r="D65" s="9">
        <v>32982.17</v>
      </c>
      <c r="E65" s="9">
        <v>32982.17</v>
      </c>
      <c r="F65" s="9">
        <v>32982.17</v>
      </c>
      <c r="G65" s="9">
        <v>0</v>
      </c>
      <c r="H65" s="6" t="s">
        <v>92</v>
      </c>
      <c r="I65" s="29">
        <v>15</v>
      </c>
    </row>
    <row r="66" ht="15" customHeight="1">
      <c r="A66" s="7" t="s">
        <v>93</v>
      </c>
      <c r="B66" s="9">
        <v>61841.63</v>
      </c>
      <c r="C66" s="9">
        <v>0</v>
      </c>
      <c r="D66" s="9">
        <v>61841.63</v>
      </c>
      <c r="E66" s="9">
        <v>61841.63</v>
      </c>
      <c r="F66" s="9">
        <v>61841.63</v>
      </c>
      <c r="G66" s="9">
        <v>0</v>
      </c>
      <c r="H66" s="6" t="s">
        <v>94</v>
      </c>
      <c r="I66" s="29">
        <v>5</v>
      </c>
    </row>
    <row r="67" ht="15" customHeight="1">
      <c r="A67" s="10" t="s">
        <v>17</v>
      </c>
      <c r="B67" s="11">
        <v>397500.19</v>
      </c>
      <c r="C67" s="11">
        <v>94823.8</v>
      </c>
      <c r="D67" s="11">
        <v>120046.87</v>
      </c>
      <c r="E67" s="11">
        <v>11006.44</v>
      </c>
      <c r="F67" s="11">
        <v>131053.31</v>
      </c>
      <c r="G67" s="11">
        <v>266446.88</v>
      </c>
    </row>
    <row r="69" ht="15" customHeight="1">
      <c r="A69" s="19" t="s">
        <v>95</v>
      </c>
    </row>
    <row r="70" ht="15" customHeight="1">
      <c r="A70" s="13" t="s">
        <v>80</v>
      </c>
      <c r="B70" s="13" t="s">
        <v>81</v>
      </c>
      <c r="C70" s="13" t="s">
        <v>82</v>
      </c>
      <c r="D70" s="13" t="s">
        <v>83</v>
      </c>
      <c r="E70" s="13" t="s">
        <v>84</v>
      </c>
      <c r="F70" s="13" t="s">
        <v>85</v>
      </c>
      <c r="G70" s="13" t="s">
        <v>86</v>
      </c>
      <c r="H70" s="13" t="s">
        <v>87</v>
      </c>
      <c r="I70" s="13" t="s">
        <v>88</v>
      </c>
    </row>
    <row r="71" ht="15" customHeight="1">
      <c r="A71" s="7" t="s">
        <v>143</v>
      </c>
      <c r="B71" s="9">
        <v>83590.83</v>
      </c>
      <c r="C71" s="9">
        <v>0</v>
      </c>
      <c r="D71" s="9">
        <v>83590.83</v>
      </c>
      <c r="E71" s="9">
        <v>83590.83</v>
      </c>
      <c r="F71" s="9">
        <v>0</v>
      </c>
      <c r="G71" s="9">
        <v>83590.83</v>
      </c>
      <c r="H71" s="6" t="s">
        <v>94</v>
      </c>
      <c r="I71" s="29">
        <v>5</v>
      </c>
    </row>
    <row r="72" ht="15" customHeight="1">
      <c r="A72" s="7" t="s">
        <v>98</v>
      </c>
      <c r="B72" s="9">
        <v>219085.56</v>
      </c>
      <c r="C72" s="9">
        <v>0</v>
      </c>
      <c r="D72" s="9">
        <v>0</v>
      </c>
      <c r="E72" s="9">
        <v>18257.13</v>
      </c>
      <c r="F72" s="9">
        <v>7966.75</v>
      </c>
      <c r="G72" s="9">
        <v>26223.88</v>
      </c>
      <c r="H72" s="6" t="s">
        <v>90</v>
      </c>
      <c r="I72" s="29">
        <v>27.5</v>
      </c>
    </row>
    <row r="73" ht="15" customHeight="1">
      <c r="A73" s="7" t="s">
        <v>144</v>
      </c>
      <c r="B73" s="9">
        <v>9108.76</v>
      </c>
      <c r="C73" s="9">
        <v>0</v>
      </c>
      <c r="D73" s="9">
        <v>9108.76</v>
      </c>
      <c r="E73" s="9">
        <v>9108.76</v>
      </c>
      <c r="F73" s="9">
        <v>0</v>
      </c>
      <c r="G73" s="9">
        <v>9108.76</v>
      </c>
      <c r="H73" s="6" t="s">
        <v>94</v>
      </c>
      <c r="I73" s="29">
        <v>5</v>
      </c>
    </row>
    <row r="74" ht="15" customHeight="1">
      <c r="A74" s="7" t="s">
        <v>101</v>
      </c>
      <c r="B74" s="9">
        <v>23873.41</v>
      </c>
      <c r="C74" s="9">
        <v>0</v>
      </c>
      <c r="D74" s="9">
        <v>0</v>
      </c>
      <c r="E74" s="9">
        <v>1989.44</v>
      </c>
      <c r="F74" s="9">
        <v>868.12</v>
      </c>
      <c r="G74" s="9">
        <v>2857.56</v>
      </c>
      <c r="H74" s="6" t="s">
        <v>90</v>
      </c>
      <c r="I74" s="29">
        <v>27.5</v>
      </c>
    </row>
    <row r="75" ht="15" customHeight="1">
      <c r="A75" s="7" t="s">
        <v>145</v>
      </c>
      <c r="B75" s="9">
        <v>17078.94</v>
      </c>
      <c r="C75" s="9">
        <v>0</v>
      </c>
      <c r="D75" s="9">
        <v>17078.94</v>
      </c>
      <c r="E75" s="9">
        <v>17078.94</v>
      </c>
      <c r="F75" s="9">
        <v>0</v>
      </c>
      <c r="G75" s="9">
        <v>17078.94</v>
      </c>
      <c r="H75" s="6" t="s">
        <v>94</v>
      </c>
      <c r="I75" s="29">
        <v>5</v>
      </c>
    </row>
    <row r="76" ht="15" customHeight="1">
      <c r="A76" s="7" t="s">
        <v>104</v>
      </c>
      <c r="B76" s="9">
        <v>44762.69</v>
      </c>
      <c r="C76" s="9">
        <v>0</v>
      </c>
      <c r="D76" s="9">
        <v>0</v>
      </c>
      <c r="E76" s="9">
        <v>3730.22</v>
      </c>
      <c r="F76" s="9">
        <v>1627.73</v>
      </c>
      <c r="G76" s="9">
        <v>5357.95</v>
      </c>
      <c r="H76" s="6" t="s">
        <v>90</v>
      </c>
      <c r="I76" s="29">
        <v>27.5</v>
      </c>
    </row>
    <row r="77" ht="15" customHeight="1">
      <c r="A77" s="19" t="s">
        <v>17</v>
      </c>
      <c r="B77" s="21">
        <v>397500.19</v>
      </c>
      <c r="C77" s="21">
        <v>109778.53</v>
      </c>
      <c r="D77" s="21">
        <v>133755.32</v>
      </c>
      <c r="E77" s="21">
        <v>10462.6</v>
      </c>
      <c r="F77" s="21">
        <v>144217.92</v>
      </c>
      <c r="G77" s="21">
        <v>253282.27</v>
      </c>
    </row>
    <row r="79" ht="15" customHeight="1">
      <c r="A79" s="17" t="s">
        <v>42</v>
      </c>
    </row>
    <row r="80" ht="15" customHeight="1">
      <c r="A80" s="26" t="s">
        <v>105</v>
      </c>
      <c r="B80" s="30">
        <v>131053.31</v>
      </c>
    </row>
    <row r="81" ht="15" customHeight="1">
      <c r="A81" s="26" t="s">
        <v>106</v>
      </c>
      <c r="B81" s="30">
        <v>144217.92</v>
      </c>
    </row>
    <row r="82" ht="15" customHeight="1">
      <c r="A82" s="22" t="s">
        <v>42</v>
      </c>
      <c r="B82" s="24">
        <v>-13164.61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4D8AB18-9FBA-A65F-4E18-55F4FF52F118}" mc:Ignorable="x14ac xr xr2 xr3">
  <dimension ref="A1:I86"/>
  <sheetViews>
    <sheetView workbookViewId="0">
      <pane xSplit="1" ySplit="1" topLeftCell="B14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6.00390625" customWidth="1"/>
    <col min="2" max="2" width="16.00390625" customWidth="1"/>
    <col min="3" max="7" width="14.00390625" customWidth="1"/>
    <col min="8" max="8" width="12.00390625" customWidth="1"/>
    <col min="9" max="9" width="1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18" customHeight="1">
      <c r="A2" s="2" t="s">
        <v>0</v>
      </c>
    </row>
    <row r="3" ht="15" customHeight="1">
      <c r="A3" s="3" t="s">
        <v>160</v>
      </c>
    </row>
    <row r="4" ht="15" customHeight="1">
      <c r="A4" s="4" t="s">
        <v>45</v>
      </c>
    </row>
    <row r="6" ht="15" customHeight="1">
      <c r="A6" s="25" t="s">
        <v>46</v>
      </c>
      <c r="B6" s="26" t="s">
        <v>47</v>
      </c>
    </row>
    <row r="9" ht="15" customHeight="1">
      <c r="A9" s="17" t="s">
        <v>161</v>
      </c>
    </row>
    <row r="14" ht="21.75" customHeight="1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55</v>
      </c>
    </row>
    <row r="16" ht="15" customHeight="1">
      <c r="A16" s="12" t="s">
        <v>109</v>
      </c>
    </row>
    <row r="17" ht="15" customHeight="1">
      <c r="A17" s="7" t="s">
        <v>110</v>
      </c>
      <c r="B17" s="9">
        <v>20854.1</v>
      </c>
      <c r="C17" s="9">
        <v>20854.1</v>
      </c>
    </row>
    <row r="18" ht="15" customHeight="1">
      <c r="A18" s="7" t="s">
        <v>111</v>
      </c>
      <c r="B18" s="9">
        <v>3659.01</v>
      </c>
      <c r="C18" s="9">
        <v>3659.01</v>
      </c>
    </row>
    <row r="19" ht="15" customHeight="1">
      <c r="A19" s="7" t="s">
        <v>112</v>
      </c>
      <c r="B19" s="9">
        <v>7197.38</v>
      </c>
      <c r="C19" s="9">
        <v>7197.38</v>
      </c>
    </row>
    <row r="20" ht="15" customHeight="1">
      <c r="A20" s="7" t="s">
        <v>113</v>
      </c>
      <c r="B20" s="9">
        <v>13553.55</v>
      </c>
      <c r="C20" s="9">
        <v>13553.55</v>
      </c>
    </row>
    <row r="21" ht="15" customHeight="1">
      <c r="A21" s="7" t="s">
        <v>114</v>
      </c>
      <c r="B21" s="9">
        <v>2244.55</v>
      </c>
      <c r="C21" s="9">
        <v>2244.55</v>
      </c>
    </row>
    <row r="22" ht="15" customHeight="1">
      <c r="A22" s="7" t="s">
        <v>115</v>
      </c>
      <c r="B22" s="9">
        <v>1909.28</v>
      </c>
      <c r="C22" s="9">
        <v>1909.28</v>
      </c>
    </row>
    <row r="23" ht="15" customHeight="1">
      <c r="A23" s="7" t="s">
        <v>116</v>
      </c>
      <c r="B23" s="9">
        <v>567.1</v>
      </c>
      <c r="C23" s="9">
        <v>567.1</v>
      </c>
    </row>
    <row r="24" ht="15" customHeight="1">
      <c r="A24" s="7" t="s">
        <v>117</v>
      </c>
      <c r="B24" s="9">
        <v>556.82</v>
      </c>
      <c r="C24" s="9">
        <v>556.82</v>
      </c>
    </row>
    <row r="25" ht="15" customHeight="1">
      <c r="A25" s="7" t="s">
        <v>118</v>
      </c>
      <c r="B25" s="9">
        <v>9764.63</v>
      </c>
      <c r="C25" s="9">
        <v>9764.63</v>
      </c>
    </row>
    <row r="26" ht="15" customHeight="1">
      <c r="A26" s="7" t="s">
        <v>119</v>
      </c>
      <c r="B26" s="9">
        <v>2054.21</v>
      </c>
      <c r="C26" s="9">
        <v>2054.21</v>
      </c>
    </row>
    <row r="27" ht="15" customHeight="1">
      <c r="A27" s="7" t="s">
        <v>120</v>
      </c>
      <c r="B27" s="9">
        <v>10606.79</v>
      </c>
      <c r="C27" s="9">
        <v>10606.79</v>
      </c>
    </row>
    <row r="28" ht="15" customHeight="1">
      <c r="A28" s="7" t="s">
        <v>121</v>
      </c>
      <c r="B28" s="9">
        <v>900.48</v>
      </c>
      <c r="C28" s="9">
        <v>900.48</v>
      </c>
    </row>
    <row r="29" ht="15" customHeight="1">
      <c r="A29" s="7" t="s">
        <v>122</v>
      </c>
      <c r="B29" s="9">
        <v>1074.91</v>
      </c>
      <c r="C29" s="9">
        <v>1074.91</v>
      </c>
    </row>
    <row r="30" ht="15" customHeight="1">
      <c r="A30" s="7" t="s">
        <v>123</v>
      </c>
      <c r="B30" s="9">
        <v>11710.29</v>
      </c>
      <c r="C30" s="9">
        <v>11710.29</v>
      </c>
    </row>
    <row r="31" ht="15" customHeight="1">
      <c r="A31" s="12" t="s">
        <v>124</v>
      </c>
    </row>
    <row r="32" ht="15" customHeight="1">
      <c r="A32" s="7" t="s">
        <v>125</v>
      </c>
      <c r="B32" s="9">
        <v>15135.94</v>
      </c>
      <c r="F32" s="9">
        <v>15135.94</v>
      </c>
    </row>
    <row r="33" ht="15" customHeight="1">
      <c r="A33" s="7" t="s">
        <v>126</v>
      </c>
      <c r="B33" s="9">
        <v>21239.23</v>
      </c>
      <c r="F33" s="9">
        <v>21239.23</v>
      </c>
    </row>
    <row r="34" ht="15" customHeight="1">
      <c r="A34" s="7" t="s">
        <v>127</v>
      </c>
      <c r="B34" s="9">
        <v>15228.12</v>
      </c>
      <c r="F34" s="9">
        <v>15228.12</v>
      </c>
    </row>
    <row r="35" ht="15" customHeight="1">
      <c r="A35" s="7" t="s">
        <v>128</v>
      </c>
      <c r="B35" s="9">
        <v>18965.37</v>
      </c>
      <c r="F35" s="9">
        <v>18965.37</v>
      </c>
    </row>
    <row r="36" ht="15" customHeight="1">
      <c r="A36" s="7" t="s">
        <v>129</v>
      </c>
      <c r="B36" s="9">
        <v>18356.43</v>
      </c>
      <c r="F36" s="9">
        <v>18356.43</v>
      </c>
    </row>
    <row r="37" ht="15" customHeight="1">
      <c r="A37" s="7" t="s">
        <v>130</v>
      </c>
      <c r="B37" s="9">
        <v>6977.71</v>
      </c>
      <c r="F37" s="9">
        <v>6977.71</v>
      </c>
    </row>
    <row r="38" ht="15" customHeight="1">
      <c r="A38" s="7" t="s">
        <v>131</v>
      </c>
      <c r="B38" s="9">
        <v>13682.17</v>
      </c>
      <c r="F38" s="9">
        <v>13682.17</v>
      </c>
    </row>
    <row r="39" ht="15" customHeight="1">
      <c r="A39" s="7" t="s">
        <v>132</v>
      </c>
      <c r="B39" s="9">
        <v>8421.6</v>
      </c>
      <c r="F39" s="9">
        <v>8421.6</v>
      </c>
    </row>
    <row r="40" ht="15" customHeight="1">
      <c r="A40" s="7" t="s">
        <v>133</v>
      </c>
      <c r="B40" s="9">
        <v>10172.24</v>
      </c>
      <c r="F40" s="9">
        <v>10172.24</v>
      </c>
    </row>
    <row r="41" ht="15" customHeight="1">
      <c r="A41" s="7" t="s">
        <v>134</v>
      </c>
      <c r="B41" s="9">
        <v>23152.14</v>
      </c>
      <c r="F41" s="9">
        <v>23152.14</v>
      </c>
    </row>
    <row r="42" ht="15" customHeight="1">
      <c r="A42" s="7" t="s">
        <v>135</v>
      </c>
      <c r="B42" s="9">
        <v>9461.68</v>
      </c>
      <c r="F42" s="9">
        <v>9461.68</v>
      </c>
    </row>
    <row r="43" ht="15" customHeight="1">
      <c r="A43" s="7" t="s">
        <v>136</v>
      </c>
      <c r="B43" s="9">
        <v>1372.33</v>
      </c>
      <c r="F43" s="9">
        <v>1372.33</v>
      </c>
    </row>
    <row r="44" ht="15" customHeight="1">
      <c r="A44" s="7" t="s">
        <v>137</v>
      </c>
      <c r="B44" s="9">
        <v>36121.06</v>
      </c>
      <c r="F44" s="9">
        <v>36121.06</v>
      </c>
    </row>
    <row r="45" ht="15" customHeight="1">
      <c r="A45" s="7" t="s">
        <v>138</v>
      </c>
      <c r="B45" s="9">
        <v>8546.32</v>
      </c>
      <c r="F45" s="9">
        <v>8546.32</v>
      </c>
    </row>
    <row r="46" ht="15" customHeight="1">
      <c r="A46" s="7" t="s">
        <v>139</v>
      </c>
      <c r="B46" s="9">
        <v>7694.19</v>
      </c>
      <c r="F46" s="9">
        <v>7694.19</v>
      </c>
    </row>
    <row r="47" ht="15" customHeight="1">
      <c r="A47" s="7" t="s">
        <v>140</v>
      </c>
      <c r="B47" s="9">
        <v>5505.87</v>
      </c>
      <c r="F47" s="9">
        <v>5505.87</v>
      </c>
    </row>
    <row r="49" ht="15" customHeight="1">
      <c r="A49" s="10" t="s">
        <v>141</v>
      </c>
      <c r="B49" s="11">
        <v>397500.19</v>
      </c>
      <c r="C49" s="11">
        <v>99278.21</v>
      </c>
      <c r="F49" s="11">
        <v>298221.98</v>
      </c>
    </row>
    <row r="50" ht="15" customHeight="1">
      <c r="A50" s="4" t="s">
        <v>142</v>
      </c>
      <c r="C50" s="27">
        <v>0.25</v>
      </c>
      <c r="F50" s="27">
        <v>0.75</v>
      </c>
    </row>
    <row r="51" ht="15" customHeight="1">
      <c r="A51" s="28" t="s">
        <v>36</v>
      </c>
      <c r="B51" s="14">
        <f t="shared" si="0" ref="B51:F51">SUM(B17:B48)</f>
        <v>306685.5</v>
      </c>
      <c r="C51" s="14">
        <f t="shared" si="0"/>
        <v>86653.1</v>
      </c>
      <c r="E51" s="28" t="s">
        <v>36</v>
      </c>
      <c r="F51" s="14">
        <f t="shared" si="0"/>
        <v>220032.4</v>
      </c>
    </row>
    <row r="52" ht="15" customHeight="1">
      <c r="A52" s="25" t="s">
        <v>75</v>
      </c>
    </row>
    <row r="53" ht="15" customHeight="1">
      <c r="A53" s="7" t="s">
        <v>76</v>
      </c>
      <c r="B53" s="9">
        <v>302676.39</v>
      </c>
      <c r="C53" s="9">
        <v>83590.83</v>
      </c>
      <c r="F53" s="9">
        <v>219085.56</v>
      </c>
    </row>
    <row r="54" ht="15" customHeight="1">
      <c r="A54" s="7" t="s">
        <v>77</v>
      </c>
      <c r="B54" s="9">
        <v>32982.17</v>
      </c>
      <c r="C54" s="9">
        <v>9108.76</v>
      </c>
      <c r="F54" s="9">
        <v>23873.41</v>
      </c>
    </row>
    <row r="55" ht="15" customHeight="1">
      <c r="A55" s="7" t="s">
        <v>78</v>
      </c>
      <c r="B55" s="9">
        <v>61841.63</v>
      </c>
      <c r="C55" s="9">
        <v>17078.94</v>
      </c>
      <c r="F55" s="9">
        <v>44762.69</v>
      </c>
    </row>
    <row r="56" ht="15" customHeight="1">
      <c r="A56" s="19" t="s">
        <v>79</v>
      </c>
      <c r="B56" s="21">
        <v>397500.19</v>
      </c>
      <c r="C56" s="21">
        <v>109778.53</v>
      </c>
      <c r="F56" s="21">
        <v>287721.66</v>
      </c>
    </row>
    <row r="57" ht="15" customHeight="1">
      <c r="A57" s="28" t="s">
        <v>36</v>
      </c>
      <c r="B57" s="14">
        <f t="shared" si="1" ref="B57:F57">SUM(B53:B55)</f>
        <v>397500.19</v>
      </c>
      <c r="C57" s="14">
        <f t="shared" si="1"/>
        <v>109778.53</v>
      </c>
      <c r="E57" s="28" t="s">
        <v>36</v>
      </c>
      <c r="F57" s="14">
        <f t="shared" si="1"/>
        <v>287721.66</v>
      </c>
    </row>
    <row r="61" ht="15" customHeight="1">
      <c r="A61" s="17" t="s">
        <v>39</v>
      </c>
    </row>
    <row r="62" ht="15" customHeight="1">
      <c r="A62" s="10" t="s">
        <v>40</v>
      </c>
    </row>
    <row r="63" ht="15" customHeight="1">
      <c r="A63" s="13" t="s">
        <v>80</v>
      </c>
      <c r="B63" s="13" t="s">
        <v>81</v>
      </c>
      <c r="C63" s="13" t="s">
        <v>82</v>
      </c>
      <c r="D63" s="13" t="s">
        <v>83</v>
      </c>
      <c r="E63" s="13" t="s">
        <v>84</v>
      </c>
      <c r="F63" s="13" t="s">
        <v>85</v>
      </c>
      <c r="G63" s="13" t="s">
        <v>86</v>
      </c>
      <c r="H63" s="13" t="s">
        <v>87</v>
      </c>
      <c r="I63" s="13" t="s">
        <v>88</v>
      </c>
    </row>
    <row r="64" ht="15" customHeight="1">
      <c r="A64" s="7" t="s">
        <v>89</v>
      </c>
      <c r="B64" s="9">
        <v>302676.39</v>
      </c>
      <c r="C64" s="9">
        <v>0</v>
      </c>
      <c r="D64" s="9">
        <v>0</v>
      </c>
      <c r="E64" s="9">
        <v>25223.07</v>
      </c>
      <c r="F64" s="9">
        <v>25223.07</v>
      </c>
      <c r="G64" s="9">
        <v>36229.51</v>
      </c>
      <c r="H64" s="6" t="s">
        <v>90</v>
      </c>
      <c r="I64" s="29">
        <v>27.5</v>
      </c>
    </row>
    <row r="65" ht="15" customHeight="1">
      <c r="A65" s="7" t="s">
        <v>91</v>
      </c>
      <c r="B65" s="9">
        <v>32982.17</v>
      </c>
      <c r="C65" s="9">
        <v>0</v>
      </c>
      <c r="D65" s="9">
        <v>32982.17</v>
      </c>
      <c r="E65" s="9">
        <v>32982.17</v>
      </c>
      <c r="F65" s="9">
        <v>32982.17</v>
      </c>
      <c r="G65" s="9">
        <v>0</v>
      </c>
      <c r="H65" s="6" t="s">
        <v>92</v>
      </c>
      <c r="I65" s="29">
        <v>15</v>
      </c>
    </row>
    <row r="66" ht="15" customHeight="1">
      <c r="A66" s="7" t="s">
        <v>93</v>
      </c>
      <c r="B66" s="9">
        <v>61841.63</v>
      </c>
      <c r="C66" s="9">
        <v>0</v>
      </c>
      <c r="D66" s="9">
        <v>61841.63</v>
      </c>
      <c r="E66" s="9">
        <v>61841.63</v>
      </c>
      <c r="F66" s="9">
        <v>61841.63</v>
      </c>
      <c r="G66" s="9">
        <v>0</v>
      </c>
      <c r="H66" s="6" t="s">
        <v>94</v>
      </c>
      <c r="I66" s="29">
        <v>5</v>
      </c>
    </row>
    <row r="67" ht="15" customHeight="1">
      <c r="A67" s="10" t="s">
        <v>17</v>
      </c>
      <c r="B67" s="11">
        <v>397500.19</v>
      </c>
      <c r="C67" s="11">
        <v>94823.8</v>
      </c>
      <c r="D67" s="11">
        <v>120046.87</v>
      </c>
      <c r="E67" s="11">
        <v>11006.44</v>
      </c>
      <c r="F67" s="11">
        <v>131053.31</v>
      </c>
      <c r="G67" s="11">
        <v>266446.88</v>
      </c>
    </row>
    <row r="69" ht="15" customHeight="1">
      <c r="A69" s="19" t="s">
        <v>95</v>
      </c>
    </row>
    <row r="70" ht="15" customHeight="1">
      <c r="A70" s="13" t="s">
        <v>80</v>
      </c>
      <c r="B70" s="13" t="s">
        <v>81</v>
      </c>
      <c r="C70" s="13" t="s">
        <v>82</v>
      </c>
      <c r="D70" s="13" t="s">
        <v>83</v>
      </c>
      <c r="E70" s="13" t="s">
        <v>84</v>
      </c>
      <c r="F70" s="13" t="s">
        <v>85</v>
      </c>
      <c r="G70" s="13" t="s">
        <v>86</v>
      </c>
      <c r="H70" s="13" t="s">
        <v>87</v>
      </c>
      <c r="I70" s="13" t="s">
        <v>88</v>
      </c>
    </row>
    <row r="71" ht="15" customHeight="1">
      <c r="A71" s="7" t="s">
        <v>143</v>
      </c>
      <c r="B71" s="9">
        <v>83590.83</v>
      </c>
      <c r="C71" s="9">
        <v>0</v>
      </c>
      <c r="D71" s="9">
        <v>83590.83</v>
      </c>
      <c r="E71" s="9">
        <v>83590.83</v>
      </c>
      <c r="F71" s="9">
        <v>0</v>
      </c>
      <c r="G71" s="9">
        <v>83590.83</v>
      </c>
      <c r="H71" s="6" t="s">
        <v>94</v>
      </c>
      <c r="I71" s="29">
        <v>5</v>
      </c>
    </row>
    <row r="72" ht="15" customHeight="1">
      <c r="A72" s="7" t="s">
        <v>98</v>
      </c>
      <c r="B72" s="9">
        <v>219085.56</v>
      </c>
      <c r="C72" s="9">
        <v>0</v>
      </c>
      <c r="D72" s="9">
        <v>0</v>
      </c>
      <c r="E72" s="9">
        <v>18257.13</v>
      </c>
      <c r="F72" s="9">
        <v>7966.75</v>
      </c>
      <c r="G72" s="9">
        <v>26223.88</v>
      </c>
      <c r="H72" s="6" t="s">
        <v>90</v>
      </c>
      <c r="I72" s="29">
        <v>27.5</v>
      </c>
    </row>
    <row r="73" ht="15" customHeight="1">
      <c r="A73" s="7" t="s">
        <v>144</v>
      </c>
      <c r="B73" s="9">
        <v>9108.76</v>
      </c>
      <c r="C73" s="9">
        <v>0</v>
      </c>
      <c r="D73" s="9">
        <v>9108.76</v>
      </c>
      <c r="E73" s="9">
        <v>9108.76</v>
      </c>
      <c r="F73" s="9">
        <v>0</v>
      </c>
      <c r="G73" s="9">
        <v>9108.76</v>
      </c>
      <c r="H73" s="6" t="s">
        <v>94</v>
      </c>
      <c r="I73" s="29">
        <v>5</v>
      </c>
    </row>
    <row r="74" ht="15" customHeight="1">
      <c r="A74" s="7" t="s">
        <v>101</v>
      </c>
      <c r="B74" s="9">
        <v>23873.41</v>
      </c>
      <c r="C74" s="9">
        <v>0</v>
      </c>
      <c r="D74" s="9">
        <v>0</v>
      </c>
      <c r="E74" s="9">
        <v>1989.44</v>
      </c>
      <c r="F74" s="9">
        <v>868.12</v>
      </c>
      <c r="G74" s="9">
        <v>2857.56</v>
      </c>
      <c r="H74" s="6" t="s">
        <v>90</v>
      </c>
      <c r="I74" s="29">
        <v>27.5</v>
      </c>
    </row>
    <row r="75" ht="15" customHeight="1">
      <c r="A75" s="7" t="s">
        <v>145</v>
      </c>
      <c r="B75" s="9">
        <v>17078.94</v>
      </c>
      <c r="C75" s="9">
        <v>0</v>
      </c>
      <c r="D75" s="9">
        <v>17078.94</v>
      </c>
      <c r="E75" s="9">
        <v>17078.94</v>
      </c>
      <c r="F75" s="9">
        <v>0</v>
      </c>
      <c r="G75" s="9">
        <v>17078.94</v>
      </c>
      <c r="H75" s="6" t="s">
        <v>94</v>
      </c>
      <c r="I75" s="29">
        <v>5</v>
      </c>
    </row>
    <row r="76" ht="15" customHeight="1">
      <c r="A76" s="7" t="s">
        <v>104</v>
      </c>
      <c r="B76" s="9">
        <v>44762.69</v>
      </c>
      <c r="C76" s="9">
        <v>0</v>
      </c>
      <c r="D76" s="9">
        <v>0</v>
      </c>
      <c r="E76" s="9">
        <v>3730.22</v>
      </c>
      <c r="F76" s="9">
        <v>1627.73</v>
      </c>
      <c r="G76" s="9">
        <v>5357.95</v>
      </c>
      <c r="H76" s="6" t="s">
        <v>90</v>
      </c>
      <c r="I76" s="29">
        <v>27.5</v>
      </c>
    </row>
    <row r="77" ht="15" customHeight="1">
      <c r="A77" s="19" t="s">
        <v>17</v>
      </c>
      <c r="B77" s="21">
        <v>397500.19</v>
      </c>
      <c r="C77" s="21">
        <v>109778.53</v>
      </c>
      <c r="D77" s="21">
        <v>133755.32</v>
      </c>
      <c r="E77" s="21">
        <v>10462.6</v>
      </c>
      <c r="F77" s="21">
        <v>144217.92</v>
      </c>
      <c r="G77" s="21">
        <v>253282.27</v>
      </c>
    </row>
    <row r="79" ht="15" customHeight="1">
      <c r="A79" s="17" t="s">
        <v>42</v>
      </c>
    </row>
    <row r="80" ht="15" customHeight="1">
      <c r="A80" s="26" t="s">
        <v>105</v>
      </c>
      <c r="B80" s="30">
        <v>131053.31</v>
      </c>
    </row>
    <row r="81" ht="15" customHeight="1">
      <c r="A81" s="26" t="s">
        <v>106</v>
      </c>
      <c r="B81" s="30">
        <v>144217.92</v>
      </c>
    </row>
    <row r="82" ht="15" customHeight="1">
      <c r="A82" s="22" t="s">
        <v>42</v>
      </c>
      <c r="B82" s="24">
        <v>-13164.61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24CD3FC-A8A2-B188-A9B8-5D24A5D3A2C8}" mc:Ignorable="x14ac xr xr2 xr3">
  <dimension ref="A1:I87"/>
  <sheetViews>
    <sheetView workbookViewId="0">
      <pane xSplit="1" ySplit="1" topLeftCell="B14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36.00390625" customWidth="1"/>
    <col min="2" max="2" width="16.00390625" customWidth="1"/>
    <col min="3" max="7" width="14.00390625" customWidth="1"/>
    <col min="8" max="8" width="12.00390625" customWidth="1"/>
    <col min="9" max="9" width="1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18" customHeight="1">
      <c r="A2" s="2" t="s">
        <v>0</v>
      </c>
    </row>
    <row r="3" ht="15" customHeight="1">
      <c r="A3" s="3" t="s">
        <v>162</v>
      </c>
    </row>
    <row r="4" ht="15" customHeight="1">
      <c r="A4" s="4" t="s">
        <v>45</v>
      </c>
    </row>
    <row r="6" ht="15" customHeight="1">
      <c r="A6" s="25" t="s">
        <v>46</v>
      </c>
      <c r="B6" s="26" t="s">
        <v>47</v>
      </c>
    </row>
    <row r="9" ht="15" customHeight="1">
      <c r="A9" s="17" t="s">
        <v>163</v>
      </c>
    </row>
    <row r="14" ht="21.75" customHeight="1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55</v>
      </c>
    </row>
    <row r="16" ht="15" customHeight="1">
      <c r="A16" s="12" t="s">
        <v>109</v>
      </c>
    </row>
    <row r="17" ht="15" customHeight="1">
      <c r="A17" s="7" t="s">
        <v>110</v>
      </c>
      <c r="B17" s="9">
        <v>2291.97</v>
      </c>
      <c r="C17" s="9">
        <v>2291.97</v>
      </c>
    </row>
    <row r="18" ht="15" customHeight="1">
      <c r="A18" s="7" t="s">
        <v>111</v>
      </c>
      <c r="B18" s="9">
        <v>2430.16</v>
      </c>
      <c r="C18" s="9">
        <v>2430.16</v>
      </c>
    </row>
    <row r="19" ht="15" customHeight="1">
      <c r="A19" s="7" t="s">
        <v>112</v>
      </c>
      <c r="B19" s="9">
        <v>2419.4</v>
      </c>
      <c r="C19" s="9">
        <v>2419.4</v>
      </c>
    </row>
    <row r="20" ht="15" customHeight="1">
      <c r="A20" s="7" t="s">
        <v>113</v>
      </c>
      <c r="B20" s="9">
        <v>555.89</v>
      </c>
      <c r="C20" s="9">
        <v>555.89</v>
      </c>
    </row>
    <row r="21" ht="15" customHeight="1">
      <c r="A21" s="7" t="s">
        <v>164</v>
      </c>
      <c r="B21" s="9">
        <v>599.12</v>
      </c>
      <c r="C21" s="9">
        <v>599.12</v>
      </c>
    </row>
    <row r="22" ht="15" customHeight="1">
      <c r="A22" s="7" t="s">
        <v>115</v>
      </c>
      <c r="B22" s="9">
        <v>1112.48</v>
      </c>
      <c r="C22" s="9">
        <v>1112.48</v>
      </c>
    </row>
    <row r="23" ht="15" customHeight="1">
      <c r="A23" s="7" t="s">
        <v>116</v>
      </c>
      <c r="B23" s="9">
        <v>269.36</v>
      </c>
      <c r="C23" s="9">
        <v>269.36</v>
      </c>
    </row>
    <row r="24" ht="15" customHeight="1">
      <c r="A24" s="7" t="s">
        <v>117</v>
      </c>
      <c r="B24" s="9">
        <v>92.21</v>
      </c>
      <c r="C24" s="9">
        <v>92.21</v>
      </c>
    </row>
    <row r="25" ht="15" customHeight="1">
      <c r="A25" s="7" t="s">
        <v>118</v>
      </c>
      <c r="B25" s="9">
        <v>1299.33</v>
      </c>
      <c r="C25" s="9">
        <v>1299.33</v>
      </c>
    </row>
    <row r="26" ht="15" customHeight="1">
      <c r="A26" s="7" t="s">
        <v>119</v>
      </c>
      <c r="B26" s="9">
        <v>3490.05</v>
      </c>
      <c r="C26" s="9">
        <v>3490.05</v>
      </c>
    </row>
    <row r="27" ht="15" customHeight="1">
      <c r="A27" s="7" t="s">
        <v>165</v>
      </c>
      <c r="B27" s="9">
        <v>3357.95</v>
      </c>
      <c r="C27" s="9">
        <v>3357.95</v>
      </c>
    </row>
    <row r="28" ht="15" customHeight="1">
      <c r="A28" s="7" t="s">
        <v>121</v>
      </c>
      <c r="B28" s="9">
        <v>554.78</v>
      </c>
      <c r="C28" s="9">
        <v>554.78</v>
      </c>
    </row>
    <row r="29" ht="15" customHeight="1">
      <c r="A29" s="7" t="s">
        <v>166</v>
      </c>
      <c r="B29" s="9">
        <v>2385.48</v>
      </c>
      <c r="C29" s="9">
        <v>2385.48</v>
      </c>
    </row>
    <row r="30" ht="15" customHeight="1">
      <c r="A30" s="7" t="s">
        <v>123</v>
      </c>
      <c r="B30" s="9">
        <v>3435.67</v>
      </c>
      <c r="C30" s="9">
        <v>3435.67</v>
      </c>
    </row>
    <row r="31" ht="15" customHeight="1">
      <c r="A31" s="12" t="s">
        <v>124</v>
      </c>
    </row>
    <row r="32" ht="15" customHeight="1">
      <c r="A32" s="7" t="s">
        <v>125</v>
      </c>
      <c r="B32" s="9">
        <v>14287.74</v>
      </c>
      <c r="F32" s="9">
        <v>14287.74</v>
      </c>
    </row>
    <row r="33" ht="15" customHeight="1">
      <c r="A33" s="7" t="s">
        <v>126</v>
      </c>
      <c r="B33" s="9">
        <v>9649.9</v>
      </c>
      <c r="F33" s="9">
        <v>9649.9</v>
      </c>
    </row>
    <row r="34" ht="15" customHeight="1">
      <c r="A34" s="7" t="s">
        <v>127</v>
      </c>
      <c r="B34" s="9">
        <v>10065.83</v>
      </c>
      <c r="F34" s="9">
        <v>10065.83</v>
      </c>
    </row>
    <row r="35" ht="15" customHeight="1">
      <c r="A35" s="7" t="s">
        <v>128</v>
      </c>
      <c r="B35" s="9">
        <v>5264.8</v>
      </c>
      <c r="F35" s="9">
        <v>5264.8</v>
      </c>
    </row>
    <row r="36" ht="15" customHeight="1">
      <c r="A36" s="7" t="s">
        <v>129</v>
      </c>
      <c r="B36" s="9">
        <v>12711.3</v>
      </c>
      <c r="F36" s="9">
        <v>12711.3</v>
      </c>
    </row>
    <row r="37" ht="15" customHeight="1">
      <c r="A37" s="7" t="s">
        <v>130</v>
      </c>
      <c r="B37" s="9">
        <v>5317.82</v>
      </c>
      <c r="F37" s="9">
        <v>5317.82</v>
      </c>
    </row>
    <row r="38" ht="15" customHeight="1">
      <c r="A38" s="7" t="s">
        <v>131</v>
      </c>
      <c r="B38" s="9">
        <v>6989.18</v>
      </c>
      <c r="F38" s="9">
        <v>6989.18</v>
      </c>
    </row>
    <row r="39" ht="15" customHeight="1">
      <c r="A39" s="7" t="s">
        <v>132</v>
      </c>
      <c r="B39" s="9">
        <v>4903.35</v>
      </c>
      <c r="F39" s="9">
        <v>4903.35</v>
      </c>
    </row>
    <row r="40" ht="15" customHeight="1">
      <c r="A40" s="7" t="s">
        <v>133</v>
      </c>
      <c r="B40" s="9">
        <v>4624.69</v>
      </c>
      <c r="F40" s="9">
        <v>4624.69</v>
      </c>
    </row>
    <row r="41" ht="15" customHeight="1">
      <c r="A41" s="7" t="s">
        <v>134</v>
      </c>
      <c r="B41" s="9">
        <v>14835.75</v>
      </c>
      <c r="F41" s="9">
        <v>14835.75</v>
      </c>
    </row>
    <row r="42" ht="15" customHeight="1">
      <c r="A42" s="7" t="s">
        <v>135</v>
      </c>
      <c r="B42" s="9">
        <v>5494.23</v>
      </c>
      <c r="F42" s="9">
        <v>5494.23</v>
      </c>
    </row>
    <row r="43" ht="15" customHeight="1">
      <c r="A43" s="7" t="s">
        <v>136</v>
      </c>
      <c r="B43" s="9">
        <v>966.23</v>
      </c>
      <c r="F43" s="9">
        <v>966.23</v>
      </c>
    </row>
    <row r="44" ht="15" customHeight="1">
      <c r="A44" s="7" t="s">
        <v>167</v>
      </c>
      <c r="B44" s="9">
        <v>569.85</v>
      </c>
      <c r="F44" s="9">
        <v>569.85</v>
      </c>
    </row>
    <row r="45" ht="15" customHeight="1">
      <c r="A45" s="7" t="s">
        <v>137</v>
      </c>
      <c r="B45" s="9">
        <v>27454.27</v>
      </c>
      <c r="F45" s="9">
        <v>27454.27</v>
      </c>
    </row>
    <row r="46" ht="15" customHeight="1">
      <c r="A46" s="7" t="s">
        <v>139</v>
      </c>
      <c r="B46" s="9">
        <v>3061.44</v>
      </c>
      <c r="F46" s="9">
        <v>3061.44</v>
      </c>
    </row>
    <row r="47" ht="15" customHeight="1">
      <c r="A47" s="7" t="s">
        <v>168</v>
      </c>
      <c r="B47" s="9">
        <v>6574.58</v>
      </c>
      <c r="F47" s="9">
        <v>6574.58</v>
      </c>
    </row>
    <row r="48" ht="15" customHeight="1">
      <c r="A48" s="7" t="s">
        <v>140</v>
      </c>
      <c r="B48" s="9">
        <v>134.1</v>
      </c>
      <c r="F48" s="9">
        <v>134.1</v>
      </c>
    </row>
    <row r="50" ht="15" customHeight="1">
      <c r="A50" s="10" t="s">
        <v>141</v>
      </c>
      <c r="B50" s="11">
        <v>157198.91</v>
      </c>
      <c r="C50" s="11">
        <v>24293.85</v>
      </c>
      <c r="F50" s="11">
        <v>132905.06</v>
      </c>
    </row>
    <row r="51" ht="15" customHeight="1">
      <c r="A51" s="4" t="s">
        <v>142</v>
      </c>
      <c r="C51" s="27">
        <v>0.155</v>
      </c>
      <c r="F51" s="27">
        <v>0.845</v>
      </c>
    </row>
    <row r="52" ht="15" customHeight="1">
      <c r="A52" s="28" t="s">
        <v>36</v>
      </c>
      <c r="B52" s="14">
        <f t="shared" si="0" ref="B52:F52">SUM(B17:B49)</f>
        <v>157198.91</v>
      </c>
      <c r="C52" s="14">
        <f t="shared" si="0"/>
        <v>24293.85</v>
      </c>
      <c r="E52" s="28" t="s">
        <v>36</v>
      </c>
      <c r="F52" s="14">
        <f t="shared" si="0"/>
        <v>132905.06</v>
      </c>
    </row>
    <row r="53" ht="15" customHeight="1">
      <c r="A53" s="25" t="s">
        <v>75</v>
      </c>
    </row>
    <row r="54" ht="15" customHeight="1">
      <c r="A54" s="7" t="s">
        <v>76</v>
      </c>
      <c r="B54" s="9">
        <v>119699.06</v>
      </c>
      <c r="C54" s="9">
        <v>18498.54</v>
      </c>
      <c r="F54" s="9">
        <v>101200.52</v>
      </c>
    </row>
    <row r="55" ht="15" customHeight="1">
      <c r="A55" s="7" t="s">
        <v>77</v>
      </c>
      <c r="B55" s="9">
        <v>13043.42</v>
      </c>
      <c r="C55" s="9">
        <v>2015.76</v>
      </c>
      <c r="F55" s="9">
        <v>11027.66</v>
      </c>
    </row>
    <row r="56" ht="15" customHeight="1">
      <c r="A56" s="7" t="s">
        <v>78</v>
      </c>
      <c r="B56" s="9">
        <v>24456.43</v>
      </c>
      <c r="C56" s="9">
        <v>3779.55</v>
      </c>
      <c r="F56" s="9">
        <v>20676.88</v>
      </c>
    </row>
    <row r="57" ht="15" customHeight="1">
      <c r="A57" s="19" t="s">
        <v>79</v>
      </c>
      <c r="B57" s="21">
        <v>157198.91</v>
      </c>
      <c r="C57" s="21">
        <v>24293.85</v>
      </c>
      <c r="F57" s="21">
        <v>132905.06</v>
      </c>
    </row>
    <row r="58" ht="15" customHeight="1">
      <c r="A58" s="28" t="s">
        <v>36</v>
      </c>
      <c r="B58" s="14">
        <f t="shared" si="1" ref="B58:F58">SUM(B54:B56)</f>
        <v>157198.91</v>
      </c>
      <c r="C58" s="14">
        <f t="shared" si="1"/>
        <v>24293.85</v>
      </c>
      <c r="E58" s="28" t="s">
        <v>36</v>
      </c>
      <c r="F58" s="14">
        <f t="shared" si="1"/>
        <v>132905.06</v>
      </c>
    </row>
    <row r="62" ht="15" customHeight="1">
      <c r="A62" s="17" t="s">
        <v>39</v>
      </c>
    </row>
    <row r="63" ht="15" customHeight="1">
      <c r="A63" s="10" t="s">
        <v>40</v>
      </c>
    </row>
    <row r="64" ht="15" customHeight="1">
      <c r="A64" s="13" t="s">
        <v>80</v>
      </c>
      <c r="B64" s="13" t="s">
        <v>81</v>
      </c>
      <c r="C64" s="13" t="s">
        <v>82</v>
      </c>
      <c r="D64" s="13" t="s">
        <v>83</v>
      </c>
      <c r="E64" s="13" t="s">
        <v>84</v>
      </c>
      <c r="F64" s="13" t="s">
        <v>85</v>
      </c>
      <c r="G64" s="13" t="s">
        <v>86</v>
      </c>
      <c r="H64" s="13" t="s">
        <v>87</v>
      </c>
      <c r="I64" s="13" t="s">
        <v>88</v>
      </c>
    </row>
    <row r="65" ht="15" customHeight="1">
      <c r="A65" s="7" t="s">
        <v>89</v>
      </c>
      <c r="B65" s="9">
        <v>119699.06</v>
      </c>
      <c r="C65" s="9">
        <v>0</v>
      </c>
      <c r="D65" s="9">
        <v>0</v>
      </c>
      <c r="E65" s="9">
        <v>9974.94</v>
      </c>
      <c r="F65" s="9">
        <v>9974.94</v>
      </c>
      <c r="G65" s="9">
        <v>14327.64</v>
      </c>
      <c r="H65" s="6" t="s">
        <v>90</v>
      </c>
      <c r="I65" s="29">
        <v>27.5</v>
      </c>
    </row>
    <row r="66" ht="15" customHeight="1">
      <c r="A66" s="7" t="s">
        <v>91</v>
      </c>
      <c r="B66" s="9">
        <v>13043.42</v>
      </c>
      <c r="C66" s="9">
        <v>0</v>
      </c>
      <c r="D66" s="9">
        <v>13043.42</v>
      </c>
      <c r="E66" s="9">
        <v>13043.42</v>
      </c>
      <c r="F66" s="9">
        <v>13043.42</v>
      </c>
      <c r="G66" s="9">
        <v>0</v>
      </c>
      <c r="H66" s="6" t="s">
        <v>92</v>
      </c>
      <c r="I66" s="29">
        <v>15</v>
      </c>
    </row>
    <row r="67" ht="15" customHeight="1">
      <c r="A67" s="7" t="s">
        <v>93</v>
      </c>
      <c r="B67" s="9">
        <v>24456.43</v>
      </c>
      <c r="C67" s="9">
        <v>0</v>
      </c>
      <c r="D67" s="9">
        <v>24456.43</v>
      </c>
      <c r="E67" s="9">
        <v>24456.43</v>
      </c>
      <c r="F67" s="9">
        <v>24456.43</v>
      </c>
      <c r="G67" s="9">
        <v>0</v>
      </c>
      <c r="H67" s="6" t="s">
        <v>94</v>
      </c>
      <c r="I67" s="29">
        <v>5</v>
      </c>
    </row>
    <row r="68" ht="15" customHeight="1">
      <c r="A68" s="10" t="s">
        <v>17</v>
      </c>
      <c r="B68" s="11">
        <v>157198.91</v>
      </c>
      <c r="C68" s="11">
        <v>37499.85</v>
      </c>
      <c r="D68" s="11">
        <v>47474.79</v>
      </c>
      <c r="E68" s="11">
        <v>4352.7</v>
      </c>
      <c r="F68" s="11">
        <v>51827.49</v>
      </c>
      <c r="G68" s="11">
        <v>105371.42</v>
      </c>
    </row>
    <row r="70" ht="15" customHeight="1">
      <c r="A70" s="19" t="s">
        <v>95</v>
      </c>
    </row>
    <row r="71" ht="15" customHeight="1">
      <c r="A71" s="13" t="s">
        <v>80</v>
      </c>
      <c r="B71" s="13" t="s">
        <v>81</v>
      </c>
      <c r="C71" s="13" t="s">
        <v>82</v>
      </c>
      <c r="D71" s="13" t="s">
        <v>83</v>
      </c>
      <c r="E71" s="13" t="s">
        <v>84</v>
      </c>
      <c r="F71" s="13" t="s">
        <v>85</v>
      </c>
      <c r="G71" s="13" t="s">
        <v>86</v>
      </c>
      <c r="H71" s="13" t="s">
        <v>87</v>
      </c>
      <c r="I71" s="13" t="s">
        <v>88</v>
      </c>
    </row>
    <row r="72" ht="15" customHeight="1">
      <c r="A72" s="7" t="s">
        <v>143</v>
      </c>
      <c r="B72" s="9">
        <v>18498.54</v>
      </c>
      <c r="C72" s="9">
        <v>0</v>
      </c>
      <c r="D72" s="9">
        <v>18498.54</v>
      </c>
      <c r="E72" s="9">
        <v>18498.54</v>
      </c>
      <c r="F72" s="9">
        <v>0</v>
      </c>
      <c r="G72" s="9">
        <v>18498.54</v>
      </c>
      <c r="H72" s="6" t="s">
        <v>94</v>
      </c>
      <c r="I72" s="29">
        <v>5</v>
      </c>
    </row>
    <row r="73" ht="15" customHeight="1">
      <c r="A73" s="7" t="s">
        <v>98</v>
      </c>
      <c r="B73" s="9">
        <v>101200.52</v>
      </c>
      <c r="C73" s="9">
        <v>0</v>
      </c>
      <c r="D73" s="9">
        <v>0</v>
      </c>
      <c r="E73" s="9">
        <v>8433.38</v>
      </c>
      <c r="F73" s="9">
        <v>3680.02</v>
      </c>
      <c r="G73" s="9">
        <v>12113.4</v>
      </c>
      <c r="H73" s="6" t="s">
        <v>90</v>
      </c>
      <c r="I73" s="29">
        <v>27.5</v>
      </c>
    </row>
    <row r="74" ht="15" customHeight="1">
      <c r="A74" s="7" t="s">
        <v>144</v>
      </c>
      <c r="B74" s="9">
        <v>2015.76</v>
      </c>
      <c r="C74" s="9">
        <v>0</v>
      </c>
      <c r="D74" s="9">
        <v>2015.76</v>
      </c>
      <c r="E74" s="9">
        <v>2015.76</v>
      </c>
      <c r="F74" s="9">
        <v>0</v>
      </c>
      <c r="G74" s="9">
        <v>2015.76</v>
      </c>
      <c r="H74" s="6" t="s">
        <v>94</v>
      </c>
      <c r="I74" s="29">
        <v>5</v>
      </c>
    </row>
    <row r="75" ht="15" customHeight="1">
      <c r="A75" s="7" t="s">
        <v>101</v>
      </c>
      <c r="B75" s="9">
        <v>11027.66</v>
      </c>
      <c r="C75" s="9">
        <v>0</v>
      </c>
      <c r="D75" s="9">
        <v>0</v>
      </c>
      <c r="E75" s="9">
        <v>918.98</v>
      </c>
      <c r="F75" s="9">
        <v>401.01</v>
      </c>
      <c r="G75" s="9">
        <v>1319.99</v>
      </c>
      <c r="H75" s="6" t="s">
        <v>90</v>
      </c>
      <c r="I75" s="29">
        <v>27.5</v>
      </c>
    </row>
    <row r="76" ht="15" customHeight="1">
      <c r="A76" s="7" t="s">
        <v>145</v>
      </c>
      <c r="B76" s="9">
        <v>3779.55</v>
      </c>
      <c r="C76" s="9">
        <v>0</v>
      </c>
      <c r="D76" s="9">
        <v>3779.55</v>
      </c>
      <c r="E76" s="9">
        <v>3779.55</v>
      </c>
      <c r="F76" s="9">
        <v>0</v>
      </c>
      <c r="G76" s="9">
        <v>3779.55</v>
      </c>
      <c r="H76" s="6" t="s">
        <v>94</v>
      </c>
      <c r="I76" s="29">
        <v>5</v>
      </c>
    </row>
    <row r="77" ht="15" customHeight="1">
      <c r="A77" s="7" t="s">
        <v>104</v>
      </c>
      <c r="B77" s="9">
        <v>20676.88</v>
      </c>
      <c r="C77" s="9">
        <v>0</v>
      </c>
      <c r="D77" s="9">
        <v>0</v>
      </c>
      <c r="E77" s="9">
        <v>1723.08</v>
      </c>
      <c r="F77" s="9">
        <v>751.89</v>
      </c>
      <c r="G77" s="9">
        <v>2474.97</v>
      </c>
      <c r="H77" s="6" t="s">
        <v>90</v>
      </c>
      <c r="I77" s="29">
        <v>27.5</v>
      </c>
    </row>
    <row r="78" ht="15" customHeight="1">
      <c r="A78" s="19" t="s">
        <v>17</v>
      </c>
      <c r="B78" s="21">
        <v>157198.91</v>
      </c>
      <c r="C78" s="21">
        <v>24293.85</v>
      </c>
      <c r="D78" s="21">
        <v>35369.29</v>
      </c>
      <c r="E78" s="21">
        <v>4832.92</v>
      </c>
      <c r="F78" s="21">
        <v>40202.21</v>
      </c>
      <c r="G78" s="21">
        <v>116996.7</v>
      </c>
    </row>
    <row r="80" ht="15" customHeight="1">
      <c r="A80" s="17" t="s">
        <v>42</v>
      </c>
    </row>
    <row r="81" ht="15" customHeight="1">
      <c r="A81" s="26" t="s">
        <v>105</v>
      </c>
      <c r="B81" s="30">
        <v>51827.49</v>
      </c>
    </row>
    <row r="82" ht="15" customHeight="1">
      <c r="A82" s="26" t="s">
        <v>106</v>
      </c>
      <c r="B82" s="30">
        <v>40202.21</v>
      </c>
    </row>
    <row r="83" ht="15" customHeight="1">
      <c r="A83" s="22" t="s">
        <v>42</v>
      </c>
      <c r="B83" s="24">
        <v>11625.28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2026-07-07T17:54:35Z</dcterms:created>
  <dcterms:modified xsi:type="dcterms:W3CDTF">2026-07-07T17:54:35Z</dcterms:modified>
</cp:coreProperties>
</file>