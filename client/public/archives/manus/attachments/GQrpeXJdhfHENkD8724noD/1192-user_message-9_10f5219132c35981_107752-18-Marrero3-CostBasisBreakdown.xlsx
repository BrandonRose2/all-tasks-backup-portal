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1c5d9a258335f6/Desktop/Completed CSS/Completed CSS/107752/18/"/>
    </mc:Choice>
  </mc:AlternateContent>
  <xr:revisionPtr revIDLastSave="0" documentId="8_{20AFBA74-2CC3-4529-92F7-D98ADF7FEDC6}" xr6:coauthVersionLast="47" xr6:coauthVersionMax="47" xr10:uidLastSave="{00000000-0000-0000-0000-000000000000}"/>
  <bookViews>
    <workbookView xWindow="57480" yWindow="-120" windowWidth="29040" windowHeight="15720" xr2:uid="{2520D097-9C47-4B84-9B9D-C34BB1C8B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74" i="1" l="1"/>
  <c r="E172" i="1"/>
  <c r="B173" i="1"/>
  <c r="E173" i="1" s="1"/>
  <c r="C173" i="1"/>
  <c r="D173" i="1"/>
  <c r="B174" i="1"/>
  <c r="C174" i="1"/>
  <c r="D174" i="1"/>
  <c r="C172" i="1"/>
  <c r="D172" i="1"/>
  <c r="B172" i="1"/>
  <c r="C169" i="1"/>
  <c r="D169" i="1"/>
  <c r="B169" i="1"/>
  <c r="E167" i="1"/>
  <c r="E169" i="1" s="1"/>
  <c r="E168" i="1"/>
  <c r="E166" i="1"/>
  <c r="B161" i="1"/>
  <c r="C161" i="1"/>
  <c r="D161" i="1"/>
  <c r="B162" i="1"/>
  <c r="C162" i="1"/>
  <c r="D162" i="1"/>
  <c r="C160" i="1"/>
  <c r="D160" i="1"/>
  <c r="B160" i="1"/>
  <c r="C157" i="1"/>
  <c r="D157" i="1"/>
  <c r="B157" i="1"/>
  <c r="E155" i="1"/>
  <c r="E156" i="1"/>
  <c r="E154" i="1"/>
  <c r="E157" i="1" s="1"/>
  <c r="E137" i="1"/>
  <c r="B137" i="1"/>
  <c r="C137" i="1"/>
  <c r="D137" i="1"/>
  <c r="B138" i="1"/>
  <c r="E138" i="1" s="1"/>
  <c r="B143" i="1" s="1"/>
  <c r="C143" i="1" s="1"/>
  <c r="C138" i="1"/>
  <c r="D138" i="1"/>
  <c r="C136" i="1"/>
  <c r="D136" i="1"/>
  <c r="B136" i="1"/>
  <c r="E136" i="1" s="1"/>
  <c r="B141" i="1" s="1"/>
  <c r="C141" i="1" s="1"/>
  <c r="C133" i="1"/>
  <c r="D133" i="1"/>
  <c r="B133" i="1"/>
  <c r="E131" i="1"/>
  <c r="E132" i="1"/>
  <c r="E130" i="1"/>
  <c r="E133" i="1" s="1"/>
  <c r="E126" i="1"/>
  <c r="E124" i="1"/>
  <c r="B125" i="1"/>
  <c r="E125" i="1" s="1"/>
  <c r="B142" i="1" s="1"/>
  <c r="C142" i="1" s="1"/>
  <c r="C125" i="1"/>
  <c r="D125" i="1"/>
  <c r="B126" i="1"/>
  <c r="C126" i="1"/>
  <c r="D126" i="1"/>
  <c r="C124" i="1"/>
  <c r="D124" i="1"/>
  <c r="B124" i="1"/>
  <c r="C121" i="1"/>
  <c r="D121" i="1"/>
  <c r="B121" i="1"/>
  <c r="E119" i="1"/>
  <c r="E121" i="1" s="1"/>
  <c r="E120" i="1"/>
  <c r="E118" i="1"/>
  <c r="B101" i="1"/>
  <c r="C101" i="1"/>
  <c r="D101" i="1"/>
  <c r="B102" i="1"/>
  <c r="E102" i="1" s="1"/>
  <c r="C102" i="1"/>
  <c r="D102" i="1"/>
  <c r="C100" i="1"/>
  <c r="D100" i="1"/>
  <c r="B100" i="1"/>
  <c r="E100" i="1" s="1"/>
  <c r="C97" i="1"/>
  <c r="D97" i="1"/>
  <c r="B97" i="1"/>
  <c r="E95" i="1"/>
  <c r="E96" i="1"/>
  <c r="E94" i="1"/>
  <c r="B89" i="1"/>
  <c r="C89" i="1"/>
  <c r="D89" i="1"/>
  <c r="B90" i="1"/>
  <c r="C90" i="1"/>
  <c r="D90" i="1"/>
  <c r="C88" i="1"/>
  <c r="D88" i="1"/>
  <c r="B88" i="1"/>
  <c r="C85" i="1"/>
  <c r="D85" i="1"/>
  <c r="B85" i="1"/>
  <c r="E84" i="1"/>
  <c r="E83" i="1"/>
  <c r="E82" i="1"/>
  <c r="B65" i="1"/>
  <c r="C65" i="1"/>
  <c r="D65" i="1"/>
  <c r="B66" i="1"/>
  <c r="C66" i="1"/>
  <c r="D66" i="1"/>
  <c r="C64" i="1"/>
  <c r="D64" i="1"/>
  <c r="B64" i="1"/>
  <c r="C61" i="1"/>
  <c r="D61" i="1"/>
  <c r="B61" i="1"/>
  <c r="E59" i="1"/>
  <c r="E60" i="1"/>
  <c r="E58" i="1"/>
  <c r="B53" i="1"/>
  <c r="C53" i="1"/>
  <c r="D53" i="1"/>
  <c r="B54" i="1"/>
  <c r="C54" i="1"/>
  <c r="D54" i="1"/>
  <c r="C52" i="1"/>
  <c r="D52" i="1"/>
  <c r="B52" i="1"/>
  <c r="C49" i="1"/>
  <c r="D49" i="1"/>
  <c r="B49" i="1"/>
  <c r="E47" i="1"/>
  <c r="E48" i="1"/>
  <c r="E46" i="1"/>
  <c r="E89" i="1" l="1"/>
  <c r="B106" i="1" s="1"/>
  <c r="C106" i="1" s="1"/>
  <c r="E162" i="1"/>
  <c r="B179" i="1" s="1"/>
  <c r="C179" i="1" s="1"/>
  <c r="E97" i="1"/>
  <c r="E101" i="1"/>
  <c r="E161" i="1"/>
  <c r="B178" i="1" s="1"/>
  <c r="C178" i="1" s="1"/>
  <c r="E160" i="1"/>
  <c r="B177" i="1" s="1"/>
  <c r="C177" i="1" s="1"/>
  <c r="E88" i="1"/>
  <c r="B105" i="1" s="1"/>
  <c r="C105" i="1" s="1"/>
  <c r="E90" i="1"/>
  <c r="B107" i="1" s="1"/>
  <c r="C107" i="1" s="1"/>
  <c r="E85" i="1"/>
  <c r="E64" i="1"/>
  <c r="E49" i="1"/>
  <c r="E61" i="1"/>
  <c r="E54" i="1"/>
  <c r="E66" i="1"/>
  <c r="E53" i="1"/>
  <c r="E65" i="1"/>
  <c r="E52" i="1"/>
  <c r="B69" i="1" l="1"/>
  <c r="C69" i="1" s="1"/>
  <c r="B70" i="1"/>
  <c r="C70" i="1" s="1"/>
  <c r="B71" i="1"/>
  <c r="C71" i="1" s="1"/>
  <c r="C28" i="1" l="1"/>
  <c r="D28" i="1"/>
  <c r="C29" i="1"/>
  <c r="D29" i="1"/>
  <c r="C30" i="1"/>
  <c r="D30" i="1"/>
  <c r="B29" i="1"/>
  <c r="B30" i="1"/>
  <c r="B28" i="1"/>
  <c r="C25" i="1"/>
  <c r="D25" i="1"/>
  <c r="B25" i="1"/>
  <c r="E23" i="1"/>
  <c r="E24" i="1"/>
  <c r="E22" i="1"/>
  <c r="C16" i="1"/>
  <c r="D16" i="1"/>
  <c r="C17" i="1"/>
  <c r="D17" i="1"/>
  <c r="C18" i="1"/>
  <c r="D18" i="1"/>
  <c r="B17" i="1"/>
  <c r="B18" i="1"/>
  <c r="B16" i="1"/>
  <c r="C13" i="1"/>
  <c r="D13" i="1"/>
  <c r="B13" i="1"/>
  <c r="E12" i="1"/>
  <c r="E10" i="1"/>
  <c r="E11" i="1"/>
  <c r="E28" i="1" l="1"/>
  <c r="E25" i="1"/>
  <c r="E30" i="1"/>
  <c r="E29" i="1"/>
  <c r="E16" i="1"/>
  <c r="E13" i="1"/>
  <c r="E18" i="1"/>
  <c r="B35" i="1" s="1"/>
  <c r="C35" i="1" s="1"/>
  <c r="E17" i="1"/>
  <c r="B33" i="1" l="1"/>
  <c r="C33" i="1" s="1"/>
  <c r="B34" i="1"/>
  <c r="C34" i="1" s="1"/>
</calcChain>
</file>

<file path=xl/sharedStrings.xml><?xml version="1.0" encoding="utf-8"?>
<sst xmlns="http://schemas.openxmlformats.org/spreadsheetml/2006/main" count="145" uniqueCount="43">
  <si>
    <t>Asset # 3-Building - Havenwood Drive</t>
  </si>
  <si>
    <t>Asset # 8-Building - Kayla Court</t>
  </si>
  <si>
    <t>Asset # 13-Building - Smith Square</t>
  </si>
  <si>
    <t>Asset # 18-Building - Ames</t>
  </si>
  <si>
    <t>Asset # 23-Building - Gentry</t>
  </si>
  <si>
    <t>Asset # 17-Land Improvements - Ames</t>
  </si>
  <si>
    <t>Asset # 19-Equipment - Ames</t>
  </si>
  <si>
    <t>Total</t>
  </si>
  <si>
    <t>Ames - Cost Tie Back to Depreciation Schedule</t>
  </si>
  <si>
    <t>Assets Used From Dep. Schedule:</t>
  </si>
  <si>
    <t>530 Ames (1 Unit) - CS Study Figures:</t>
  </si>
  <si>
    <t>46 Identical Units - Totals:</t>
  </si>
  <si>
    <t>540 Freedom (1 Unit) - CS Study Figures:</t>
  </si>
  <si>
    <t>2 Identical Units - Totals:</t>
  </si>
  <si>
    <t>Tie Back to Depreciation Schedule:</t>
  </si>
  <si>
    <t>Havenwood - Cost Tie Back to Depreciation Schedule</t>
  </si>
  <si>
    <t>Asset # 2-Land Improvements - Havenwood Drive</t>
  </si>
  <si>
    <t>Asset # 4-Equipment - Havenwood Drive</t>
  </si>
  <si>
    <t>3112 Havenwood  (1 Unit) - CS Study Figures:</t>
  </si>
  <si>
    <t>19 Identical Units - Totals:</t>
  </si>
  <si>
    <t>3117 Barbwood (1 Unit) - CS Study Figures:</t>
  </si>
  <si>
    <t>3 Identical Units - Totals:</t>
  </si>
  <si>
    <t>Kayla Court - Cost Tie Back to Depreciation Schedule</t>
  </si>
  <si>
    <t>Asset # 7- Land Improvements - Kayla Court</t>
  </si>
  <si>
    <t>Asset # 9-Equipment - Kayla Court</t>
  </si>
  <si>
    <t>7112 Kayla  (1 Unit) - CS Study Figures:</t>
  </si>
  <si>
    <t>Gentry - Cost Tie Back to Depreciation Schedule</t>
  </si>
  <si>
    <t>Asset # 22-Land Improvements - Gentry</t>
  </si>
  <si>
    <t>Asset # 24-Equipment - Gentry</t>
  </si>
  <si>
    <t>6805 Sayres  (1 Unit) - CS Study Figures:</t>
  </si>
  <si>
    <t>32 Identical Units - Totals:</t>
  </si>
  <si>
    <t>6800 Sayres  (1 Unit) - CS Study Figures:</t>
  </si>
  <si>
    <t>6 Identical Units - Totals:</t>
  </si>
  <si>
    <t>30 Identical Units - Totals:</t>
  </si>
  <si>
    <t>7141 Kayla  (1 Unit) - CS Study Figures:</t>
  </si>
  <si>
    <t>7 Identical Units - Totals:</t>
  </si>
  <si>
    <t>Smith Square - Cost Tie Back to Depreciation Schedule</t>
  </si>
  <si>
    <t>Asset # 12-Land Improvements - Smith Square</t>
  </si>
  <si>
    <t>Asset # 14-Equipment - Smith Square</t>
  </si>
  <si>
    <t>1209 Smith Square  (1 Unit) - CS Study Figures:</t>
  </si>
  <si>
    <t>24 Identical Units - Totals:</t>
  </si>
  <si>
    <t>1208 Smith Square  (1 Unit) - CS Study Figures:</t>
  </si>
  <si>
    <t>4 Identical Units - 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</si>
</sst>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8">
    <xf numFmtId="0" fontId="0" fillId="0" borderId="0" xfId="0"/>
    <xf numFmtId="44" fontId="0" fillId="0" borderId="0" xfId="1" applyFont="1"/>
    <xf numFmtId="44" fontId="0" fillId="0" borderId="0" xfId="0" applyNumberForma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0" xfId="2"/>
    <xf numFmtId="0" fontId="3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Normal 2" xfId="2" xr:uid="{D85F0EF1-22BA-4345-B241-79427A470B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53F4-0550-46BF-8D54-895FE97EF184}">
  <dimension ref="A2:E179"/>
  <sheetViews>
    <sheetView tabSelected="1" workbookViewId="0">
      <selection activeCell="M11" sqref="M11"/>
    </sheetView>
  </sheetViews>
  <sheetFormatPr defaultRowHeight="15" x14ac:dyDescent="0.25"/>
  <cols>
    <col min="1" max="1" width="43.7109375" customWidth="1"/>
    <col min="2" max="2" width="14.5703125" bestFit="1" customWidth="1"/>
    <col min="3" max="3" width="11.5703125" bestFit="1" customWidth="1"/>
    <col min="4" max="5" width="14.28515625" bestFit="1" customWidth="1"/>
  </cols>
  <sheetData>
    <row r="2" spans="1:5" x14ac:dyDescent="0.25">
      <c r="A2" s="7" t="s">
        <v>8</v>
      </c>
      <c r="B2" s="7"/>
      <c r="C2" s="7"/>
      <c r="D2" s="7"/>
      <c r="E2" s="7"/>
    </row>
    <row r="3" spans="1:5" x14ac:dyDescent="0.25">
      <c r="A3" s="4" t="s">
        <v>9</v>
      </c>
      <c r="B3" s="3"/>
      <c r="C3" s="3"/>
      <c r="D3" s="3"/>
      <c r="E3" s="3"/>
    </row>
    <row r="4" spans="1:5" x14ac:dyDescent="0.25">
      <c r="A4" t="s">
        <v>5</v>
      </c>
      <c r="B4" s="1">
        <v>127145</v>
      </c>
    </row>
    <row r="5" spans="1:5" x14ac:dyDescent="0.25">
      <c r="A5" t="s">
        <v>3</v>
      </c>
      <c r="B5" s="1">
        <v>1652880</v>
      </c>
    </row>
    <row r="6" spans="1:5" x14ac:dyDescent="0.25">
      <c r="A6" t="s">
        <v>6</v>
      </c>
      <c r="B6" s="1">
        <v>339052</v>
      </c>
    </row>
    <row r="8" spans="1:5" x14ac:dyDescent="0.25">
      <c r="A8" s="5" t="s">
        <v>10</v>
      </c>
    </row>
    <row r="9" spans="1:5" x14ac:dyDescent="0.25">
      <c r="B9">
        <v>5</v>
      </c>
      <c r="C9">
        <v>15</v>
      </c>
      <c r="D9">
        <v>27.5</v>
      </c>
      <c r="E9" t="s">
        <v>7</v>
      </c>
    </row>
    <row r="10" spans="1:5" x14ac:dyDescent="0.25">
      <c r="A10" t="s">
        <v>5</v>
      </c>
      <c r="B10" s="1">
        <v>482.57</v>
      </c>
      <c r="C10" s="1">
        <v>43.98</v>
      </c>
      <c r="D10" s="1">
        <v>2105.12</v>
      </c>
      <c r="E10" s="1">
        <f>SUM(B10:D10)</f>
        <v>2631.67</v>
      </c>
    </row>
    <row r="11" spans="1:5" x14ac:dyDescent="0.25">
      <c r="A11" t="s">
        <v>3</v>
      </c>
      <c r="B11" s="1">
        <v>6273.36</v>
      </c>
      <c r="C11" s="1">
        <v>571.72</v>
      </c>
      <c r="D11" s="1">
        <v>27366.46</v>
      </c>
      <c r="E11" s="1">
        <f>SUM(B11:D11)</f>
        <v>34211.54</v>
      </c>
    </row>
    <row r="12" spans="1:5" x14ac:dyDescent="0.25">
      <c r="A12" t="s">
        <v>6</v>
      </c>
      <c r="B12" s="1">
        <v>1286.8399999999999</v>
      </c>
      <c r="C12" s="1">
        <v>117.28</v>
      </c>
      <c r="D12" s="1">
        <v>5613.63</v>
      </c>
      <c r="E12" s="1">
        <f>SUM(B12:D12)</f>
        <v>7017.75</v>
      </c>
    </row>
    <row r="13" spans="1:5" x14ac:dyDescent="0.25">
      <c r="A13" t="s">
        <v>7</v>
      </c>
      <c r="B13" s="2">
        <f>SUM(B10:B12)</f>
        <v>8042.7699999999995</v>
      </c>
      <c r="C13" s="2">
        <f t="shared" ref="C13:D13" si="0">SUM(C10:C12)</f>
        <v>732.98</v>
      </c>
      <c r="D13" s="2">
        <f t="shared" si="0"/>
        <v>35085.21</v>
      </c>
      <c r="E13" s="2">
        <f>SUM(E10:E12)</f>
        <v>43860.959999999999</v>
      </c>
    </row>
    <row r="15" spans="1:5" x14ac:dyDescent="0.25">
      <c r="A15" s="5" t="s">
        <v>11</v>
      </c>
    </row>
    <row r="16" spans="1:5" x14ac:dyDescent="0.25">
      <c r="A16" t="s">
        <v>5</v>
      </c>
      <c r="B16" s="1">
        <f t="shared" ref="B16:D18" si="1">+B10*46</f>
        <v>22198.22</v>
      </c>
      <c r="C16" s="1">
        <f t="shared" si="1"/>
        <v>2023.08</v>
      </c>
      <c r="D16" s="1">
        <f t="shared" si="1"/>
        <v>96835.51999999999</v>
      </c>
      <c r="E16" s="2">
        <f>SUM(B16:D16)</f>
        <v>121056.81999999999</v>
      </c>
    </row>
    <row r="17" spans="1:5" x14ac:dyDescent="0.25">
      <c r="A17" t="s">
        <v>3</v>
      </c>
      <c r="B17" s="1">
        <f t="shared" si="1"/>
        <v>288574.56</v>
      </c>
      <c r="C17" s="1">
        <f t="shared" si="1"/>
        <v>26299.120000000003</v>
      </c>
      <c r="D17" s="1">
        <f t="shared" si="1"/>
        <v>1258857.1599999999</v>
      </c>
      <c r="E17" s="2">
        <f t="shared" ref="E17:E18" si="2">SUM(B17:D17)</f>
        <v>1573730.8399999999</v>
      </c>
    </row>
    <row r="18" spans="1:5" x14ac:dyDescent="0.25">
      <c r="A18" t="s">
        <v>6</v>
      </c>
      <c r="B18" s="1">
        <f t="shared" si="1"/>
        <v>59194.64</v>
      </c>
      <c r="C18" s="1">
        <f t="shared" si="1"/>
        <v>5394.88</v>
      </c>
      <c r="D18" s="1">
        <f t="shared" si="1"/>
        <v>258226.98</v>
      </c>
      <c r="E18" s="2">
        <f t="shared" si="2"/>
        <v>322816.5</v>
      </c>
    </row>
    <row r="19" spans="1:5" x14ac:dyDescent="0.25">
      <c r="B19" s="1"/>
      <c r="C19" s="1"/>
      <c r="D19" s="1"/>
      <c r="E19" s="2"/>
    </row>
    <row r="20" spans="1:5" x14ac:dyDescent="0.25">
      <c r="A20" s="5" t="s">
        <v>12</v>
      </c>
    </row>
    <row r="21" spans="1:5" x14ac:dyDescent="0.25">
      <c r="B21">
        <v>5</v>
      </c>
      <c r="C21">
        <v>15</v>
      </c>
      <c r="D21">
        <v>27.5</v>
      </c>
      <c r="E21" t="s">
        <v>7</v>
      </c>
    </row>
    <row r="22" spans="1:5" x14ac:dyDescent="0.25">
      <c r="A22" t="s">
        <v>5</v>
      </c>
      <c r="B22" s="1">
        <v>525.01</v>
      </c>
      <c r="C22" s="1">
        <v>81.08</v>
      </c>
      <c r="D22" s="1">
        <v>2438.11</v>
      </c>
      <c r="E22" s="1">
        <f>SUM(B22:D22)</f>
        <v>3044.2000000000003</v>
      </c>
    </row>
    <row r="23" spans="1:5" x14ac:dyDescent="0.25">
      <c r="A23" t="s">
        <v>3</v>
      </c>
      <c r="B23" s="1">
        <v>6825.05</v>
      </c>
      <c r="C23" s="1">
        <v>1054.03</v>
      </c>
      <c r="D23" s="1">
        <v>31695.39</v>
      </c>
      <c r="E23" s="1">
        <f t="shared" ref="E23:E24" si="3">SUM(B23:D23)</f>
        <v>39574.47</v>
      </c>
    </row>
    <row r="24" spans="1:5" x14ac:dyDescent="0.25">
      <c r="A24" t="s">
        <v>6</v>
      </c>
      <c r="B24" s="1">
        <v>1400.01</v>
      </c>
      <c r="C24" s="1">
        <v>216.21</v>
      </c>
      <c r="D24" s="1">
        <v>6501.61</v>
      </c>
      <c r="E24" s="1">
        <f t="shared" si="3"/>
        <v>8117.83</v>
      </c>
    </row>
    <row r="25" spans="1:5" x14ac:dyDescent="0.25">
      <c r="A25" t="s">
        <v>7</v>
      </c>
      <c r="B25" s="2">
        <f>SUM(B22:B24)</f>
        <v>8750.07</v>
      </c>
      <c r="C25" s="2">
        <f t="shared" ref="C25:E25" si="4">SUM(C22:C24)</f>
        <v>1351.32</v>
      </c>
      <c r="D25" s="2">
        <f t="shared" si="4"/>
        <v>40635.11</v>
      </c>
      <c r="E25" s="2">
        <f t="shared" si="4"/>
        <v>50736.5</v>
      </c>
    </row>
    <row r="27" spans="1:5" x14ac:dyDescent="0.25">
      <c r="A27" s="5" t="s">
        <v>13</v>
      </c>
    </row>
    <row r="28" spans="1:5" x14ac:dyDescent="0.25">
      <c r="A28" t="s">
        <v>5</v>
      </c>
      <c r="B28" s="1">
        <f>+B22*2</f>
        <v>1050.02</v>
      </c>
      <c r="C28" s="1">
        <f t="shared" ref="C28:D28" si="5">+C22*2</f>
        <v>162.16</v>
      </c>
      <c r="D28" s="1">
        <f t="shared" si="5"/>
        <v>4876.22</v>
      </c>
      <c r="E28" s="2">
        <f>SUM(B28:D28)</f>
        <v>6088.4000000000005</v>
      </c>
    </row>
    <row r="29" spans="1:5" x14ac:dyDescent="0.25">
      <c r="A29" t="s">
        <v>3</v>
      </c>
      <c r="B29" s="1">
        <f t="shared" ref="B29:D30" si="6">+B23*2</f>
        <v>13650.1</v>
      </c>
      <c r="C29" s="1">
        <f t="shared" si="6"/>
        <v>2108.06</v>
      </c>
      <c r="D29" s="1">
        <f t="shared" si="6"/>
        <v>63390.78</v>
      </c>
      <c r="E29" s="2">
        <f t="shared" ref="E29:E30" si="7">SUM(B29:D29)</f>
        <v>79148.94</v>
      </c>
    </row>
    <row r="30" spans="1:5" x14ac:dyDescent="0.25">
      <c r="A30" t="s">
        <v>6</v>
      </c>
      <c r="B30" s="1">
        <f t="shared" si="6"/>
        <v>2800.02</v>
      </c>
      <c r="C30" s="1">
        <f t="shared" si="6"/>
        <v>432.42</v>
      </c>
      <c r="D30" s="1">
        <f t="shared" si="6"/>
        <v>13003.22</v>
      </c>
      <c r="E30" s="2">
        <f t="shared" si="7"/>
        <v>16235.66</v>
      </c>
    </row>
    <row r="32" spans="1:5" x14ac:dyDescent="0.25">
      <c r="A32" s="5" t="s">
        <v>14</v>
      </c>
    </row>
    <row r="33" spans="1:5" x14ac:dyDescent="0.25">
      <c r="A33" t="s">
        <v>5</v>
      </c>
      <c r="B33" s="2">
        <f>ROUND(E16+E28,0)</f>
        <v>127145</v>
      </c>
      <c r="C33" t="b">
        <f>+B33=B4</f>
        <v>1</v>
      </c>
    </row>
    <row r="34" spans="1:5" x14ac:dyDescent="0.25">
      <c r="A34" t="s">
        <v>3</v>
      </c>
      <c r="B34" s="2">
        <f>ROUND(E17+E29,0)</f>
        <v>1652880</v>
      </c>
      <c r="C34" t="b">
        <f t="shared" ref="C34:C35" si="8">+B34=B5</f>
        <v>1</v>
      </c>
    </row>
    <row r="35" spans="1:5" x14ac:dyDescent="0.25">
      <c r="A35" t="s">
        <v>6</v>
      </c>
      <c r="B35" s="2">
        <f>ROUND(E18+E30,0)</f>
        <v>339052</v>
      </c>
      <c r="C35" t="b">
        <f t="shared" si="8"/>
        <v>1</v>
      </c>
    </row>
    <row r="38" spans="1:5" x14ac:dyDescent="0.25">
      <c r="A38" s="7" t="s">
        <v>15</v>
      </c>
      <c r="B38" s="7"/>
      <c r="C38" s="7"/>
      <c r="D38" s="7"/>
      <c r="E38" s="7"/>
    </row>
    <row r="39" spans="1:5" x14ac:dyDescent="0.25">
      <c r="A39" s="4" t="s">
        <v>9</v>
      </c>
    </row>
    <row r="40" spans="1:5" x14ac:dyDescent="0.25">
      <c r="A40" t="s">
        <v>16</v>
      </c>
      <c r="B40" s="1">
        <v>55121</v>
      </c>
    </row>
    <row r="41" spans="1:5" x14ac:dyDescent="0.25">
      <c r="A41" t="s">
        <v>0</v>
      </c>
      <c r="B41" s="1">
        <v>716569</v>
      </c>
    </row>
    <row r="42" spans="1:5" x14ac:dyDescent="0.25">
      <c r="A42" t="s">
        <v>17</v>
      </c>
      <c r="B42" s="1">
        <v>146988</v>
      </c>
    </row>
    <row r="44" spans="1:5" x14ac:dyDescent="0.25">
      <c r="A44" s="5" t="s">
        <v>18</v>
      </c>
    </row>
    <row r="45" spans="1:5" x14ac:dyDescent="0.25">
      <c r="B45">
        <v>5</v>
      </c>
      <c r="C45">
        <v>15</v>
      </c>
      <c r="D45">
        <v>27.5</v>
      </c>
      <c r="E45" t="s">
        <v>7</v>
      </c>
    </row>
    <row r="46" spans="1:5" x14ac:dyDescent="0.25">
      <c r="A46" t="s">
        <v>16</v>
      </c>
      <c r="B46" s="1">
        <v>429.55</v>
      </c>
      <c r="C46" s="1">
        <v>61.26</v>
      </c>
      <c r="D46" s="1">
        <v>2007.69</v>
      </c>
      <c r="E46" s="1">
        <f>SUM(B46:D46)</f>
        <v>2498.5</v>
      </c>
    </row>
    <row r="47" spans="1:5" x14ac:dyDescent="0.25">
      <c r="A47" t="s">
        <v>0</v>
      </c>
      <c r="B47" s="1">
        <v>5584.08</v>
      </c>
      <c r="C47" s="1">
        <v>796.29</v>
      </c>
      <c r="D47" s="1">
        <v>26099.99</v>
      </c>
      <c r="E47" s="1">
        <f t="shared" ref="E47:E48" si="9">SUM(B47:D47)</f>
        <v>32480.36</v>
      </c>
    </row>
    <row r="48" spans="1:5" x14ac:dyDescent="0.25">
      <c r="A48" t="s">
        <v>17</v>
      </c>
      <c r="B48" s="1">
        <v>1145.45</v>
      </c>
      <c r="C48" s="1">
        <v>163.34</v>
      </c>
      <c r="D48" s="1">
        <v>5353.82</v>
      </c>
      <c r="E48" s="1">
        <f t="shared" si="9"/>
        <v>6662.61</v>
      </c>
    </row>
    <row r="49" spans="1:5" x14ac:dyDescent="0.25">
      <c r="A49" t="s">
        <v>7</v>
      </c>
      <c r="B49" s="2">
        <f>SUM(B46:B48)</f>
        <v>7159.08</v>
      </c>
      <c r="C49" s="2">
        <f t="shared" ref="C49:E49" si="10">SUM(C46:C48)</f>
        <v>1020.89</v>
      </c>
      <c r="D49" s="2">
        <f t="shared" si="10"/>
        <v>33461.5</v>
      </c>
      <c r="E49" s="2">
        <f t="shared" si="10"/>
        <v>41641.47</v>
      </c>
    </row>
    <row r="51" spans="1:5" x14ac:dyDescent="0.25">
      <c r="A51" s="5" t="s">
        <v>19</v>
      </c>
    </row>
    <row r="52" spans="1:5" x14ac:dyDescent="0.25">
      <c r="A52" t="s">
        <v>16</v>
      </c>
      <c r="B52" s="1">
        <f>+B46*19</f>
        <v>8161.45</v>
      </c>
      <c r="C52" s="1">
        <f t="shared" ref="C52:D52" si="11">+C46*19</f>
        <v>1163.94</v>
      </c>
      <c r="D52" s="1">
        <f t="shared" si="11"/>
        <v>38146.11</v>
      </c>
      <c r="E52" s="2">
        <f>SUM(B52:D52)</f>
        <v>47471.5</v>
      </c>
    </row>
    <row r="53" spans="1:5" x14ac:dyDescent="0.25">
      <c r="A53" t="s">
        <v>0</v>
      </c>
      <c r="B53" s="1">
        <f t="shared" ref="B53:D53" si="12">+B47*19</f>
        <v>106097.52</v>
      </c>
      <c r="C53" s="1">
        <f t="shared" si="12"/>
        <v>15129.509999999998</v>
      </c>
      <c r="D53" s="1">
        <f t="shared" si="12"/>
        <v>495899.81000000006</v>
      </c>
      <c r="E53" s="2">
        <f t="shared" ref="E53:E54" si="13">SUM(B53:D53)</f>
        <v>617126.84000000008</v>
      </c>
    </row>
    <row r="54" spans="1:5" x14ac:dyDescent="0.25">
      <c r="A54" t="s">
        <v>17</v>
      </c>
      <c r="B54" s="1">
        <f t="shared" ref="B54:D54" si="14">+B48*19</f>
        <v>21763.55</v>
      </c>
      <c r="C54" s="1">
        <f t="shared" si="14"/>
        <v>3103.46</v>
      </c>
      <c r="D54" s="1">
        <f t="shared" si="14"/>
        <v>101722.57999999999</v>
      </c>
      <c r="E54" s="2">
        <f t="shared" si="13"/>
        <v>126589.58999999998</v>
      </c>
    </row>
    <row r="56" spans="1:5" x14ac:dyDescent="0.25">
      <c r="A56" s="5" t="s">
        <v>20</v>
      </c>
    </row>
    <row r="57" spans="1:5" x14ac:dyDescent="0.25">
      <c r="B57">
        <v>5</v>
      </c>
      <c r="C57">
        <v>15</v>
      </c>
      <c r="D57">
        <v>27.5</v>
      </c>
      <c r="E57" t="s">
        <v>7</v>
      </c>
    </row>
    <row r="58" spans="1:5" x14ac:dyDescent="0.25">
      <c r="A58" t="s">
        <v>16</v>
      </c>
      <c r="B58" s="1">
        <v>343.3</v>
      </c>
      <c r="C58" s="1">
        <v>42.45</v>
      </c>
      <c r="D58" s="1">
        <v>2164.0700000000002</v>
      </c>
      <c r="E58" s="1">
        <f>SUM(B58:D58)</f>
        <v>2549.8200000000002</v>
      </c>
    </row>
    <row r="59" spans="1:5" x14ac:dyDescent="0.25">
      <c r="A59" t="s">
        <v>0</v>
      </c>
      <c r="B59" s="1">
        <v>4462.87</v>
      </c>
      <c r="C59" s="1">
        <v>551.83000000000004</v>
      </c>
      <c r="D59" s="1">
        <v>28132.7</v>
      </c>
      <c r="E59" s="1">
        <f t="shared" ref="E59:E60" si="15">SUM(B59:D59)</f>
        <v>33147.4</v>
      </c>
    </row>
    <row r="60" spans="1:5" x14ac:dyDescent="0.25">
      <c r="A60" t="s">
        <v>17</v>
      </c>
      <c r="B60" s="1">
        <v>915.46</v>
      </c>
      <c r="C60" s="1">
        <v>113.2</v>
      </c>
      <c r="D60" s="1">
        <v>5770.78</v>
      </c>
      <c r="E60" s="1">
        <f t="shared" si="15"/>
        <v>6799.44</v>
      </c>
    </row>
    <row r="61" spans="1:5" x14ac:dyDescent="0.25">
      <c r="A61" t="s">
        <v>7</v>
      </c>
      <c r="B61" s="2">
        <f>SUM(B58:B60)</f>
        <v>5721.63</v>
      </c>
      <c r="C61" s="2">
        <f t="shared" ref="C61:E61" si="16">SUM(C58:C60)</f>
        <v>707.48000000000013</v>
      </c>
      <c r="D61" s="2">
        <f t="shared" si="16"/>
        <v>36067.550000000003</v>
      </c>
      <c r="E61" s="2">
        <f t="shared" si="16"/>
        <v>42496.66</v>
      </c>
    </row>
    <row r="63" spans="1:5" x14ac:dyDescent="0.25">
      <c r="A63" s="5" t="s">
        <v>21</v>
      </c>
    </row>
    <row r="64" spans="1:5" x14ac:dyDescent="0.25">
      <c r="A64" t="s">
        <v>16</v>
      </c>
      <c r="B64" s="1">
        <f>+B58*3</f>
        <v>1029.9000000000001</v>
      </c>
      <c r="C64" s="1">
        <f t="shared" ref="C64:D64" si="17">+C58*3</f>
        <v>127.35000000000001</v>
      </c>
      <c r="D64" s="1">
        <f t="shared" si="17"/>
        <v>6492.2100000000009</v>
      </c>
      <c r="E64" s="1">
        <f>SUM(B64:D64)</f>
        <v>7649.4600000000009</v>
      </c>
    </row>
    <row r="65" spans="1:5" x14ac:dyDescent="0.25">
      <c r="A65" t="s">
        <v>0</v>
      </c>
      <c r="B65" s="1">
        <f t="shared" ref="B65:D65" si="18">+B59*3</f>
        <v>13388.61</v>
      </c>
      <c r="C65" s="1">
        <f t="shared" si="18"/>
        <v>1655.4900000000002</v>
      </c>
      <c r="D65" s="1">
        <f t="shared" si="18"/>
        <v>84398.1</v>
      </c>
      <c r="E65" s="1">
        <f t="shared" ref="E65:E66" si="19">SUM(B65:D65)</f>
        <v>99442.200000000012</v>
      </c>
    </row>
    <row r="66" spans="1:5" x14ac:dyDescent="0.25">
      <c r="A66" t="s">
        <v>17</v>
      </c>
      <c r="B66" s="1">
        <f t="shared" ref="B66:D66" si="20">+B60*3</f>
        <v>2746.38</v>
      </c>
      <c r="C66" s="1">
        <f t="shared" si="20"/>
        <v>339.6</v>
      </c>
      <c r="D66" s="1">
        <f t="shared" si="20"/>
        <v>17312.34</v>
      </c>
      <c r="E66" s="1">
        <f t="shared" si="19"/>
        <v>20398.32</v>
      </c>
    </row>
    <row r="68" spans="1:5" x14ac:dyDescent="0.25">
      <c r="A68" s="5" t="s">
        <v>14</v>
      </c>
    </row>
    <row r="69" spans="1:5" x14ac:dyDescent="0.25">
      <c r="A69" t="s">
        <v>16</v>
      </c>
      <c r="B69" s="2">
        <f>+ROUND(E52+E64,0)</f>
        <v>55121</v>
      </c>
      <c r="C69" t="b">
        <f>+B69=B40</f>
        <v>1</v>
      </c>
    </row>
    <row r="70" spans="1:5" x14ac:dyDescent="0.25">
      <c r="A70" t="s">
        <v>0</v>
      </c>
      <c r="B70" s="2">
        <f t="shared" ref="B70:B71" si="21">+ROUND(E53+E65,0)</f>
        <v>716569</v>
      </c>
      <c r="C70" t="b">
        <f t="shared" ref="C70:C71" si="22">+B70=B41</f>
        <v>1</v>
      </c>
    </row>
    <row r="71" spans="1:5" x14ac:dyDescent="0.25">
      <c r="A71" t="s">
        <v>17</v>
      </c>
      <c r="B71" s="2">
        <f t="shared" si="21"/>
        <v>146988</v>
      </c>
      <c r="C71" t="b">
        <f t="shared" si="22"/>
        <v>1</v>
      </c>
    </row>
    <row r="72" spans="1:5" x14ac:dyDescent="0.25">
      <c r="B72" s="2"/>
    </row>
    <row r="73" spans="1:5" x14ac:dyDescent="0.25">
      <c r="B73" s="2"/>
    </row>
    <row r="74" spans="1:5" x14ac:dyDescent="0.25">
      <c r="A74" s="7" t="s">
        <v>26</v>
      </c>
      <c r="B74" s="7"/>
      <c r="C74" s="7"/>
      <c r="D74" s="7"/>
      <c r="E74" s="7"/>
    </row>
    <row r="75" spans="1:5" x14ac:dyDescent="0.25">
      <c r="A75" s="4" t="s">
        <v>9</v>
      </c>
      <c r="B75" s="2"/>
    </row>
    <row r="76" spans="1:5" x14ac:dyDescent="0.25">
      <c r="A76" t="s">
        <v>27</v>
      </c>
      <c r="B76" s="2">
        <v>48962</v>
      </c>
    </row>
    <row r="77" spans="1:5" x14ac:dyDescent="0.25">
      <c r="A77" t="s">
        <v>4</v>
      </c>
      <c r="B77" s="2">
        <v>1354621</v>
      </c>
    </row>
    <row r="78" spans="1:5" x14ac:dyDescent="0.25">
      <c r="A78" t="s">
        <v>28</v>
      </c>
      <c r="B78" s="2">
        <v>228490</v>
      </c>
    </row>
    <row r="79" spans="1:5" x14ac:dyDescent="0.25">
      <c r="B79" s="2"/>
    </row>
    <row r="80" spans="1:5" x14ac:dyDescent="0.25">
      <c r="A80" s="5" t="s">
        <v>29</v>
      </c>
      <c r="B80" s="2"/>
    </row>
    <row r="81" spans="1:5" x14ac:dyDescent="0.25">
      <c r="B81">
        <v>5</v>
      </c>
      <c r="C81">
        <v>15</v>
      </c>
      <c r="D81">
        <v>27.5</v>
      </c>
      <c r="E81" t="s">
        <v>7</v>
      </c>
    </row>
    <row r="82" spans="1:5" x14ac:dyDescent="0.25">
      <c r="A82" t="s">
        <v>27</v>
      </c>
      <c r="B82" s="1">
        <v>191.68</v>
      </c>
      <c r="C82" s="1">
        <v>21.63</v>
      </c>
      <c r="D82" s="1">
        <v>1064.4100000000001</v>
      </c>
      <c r="E82" s="1">
        <f>SUM(B82:D82)</f>
        <v>1277.72</v>
      </c>
    </row>
    <row r="83" spans="1:5" x14ac:dyDescent="0.25">
      <c r="A83" t="s">
        <v>4</v>
      </c>
      <c r="B83" s="1">
        <v>5303.35</v>
      </c>
      <c r="C83" s="1">
        <v>598.37</v>
      </c>
      <c r="D83" s="1">
        <v>29448.79</v>
      </c>
      <c r="E83" s="1">
        <f>SUM(B83:D83)</f>
        <v>35350.51</v>
      </c>
    </row>
    <row r="84" spans="1:5" x14ac:dyDescent="0.25">
      <c r="A84" t="s">
        <v>28</v>
      </c>
      <c r="B84" s="1">
        <v>894.54</v>
      </c>
      <c r="C84" s="1">
        <v>100.93</v>
      </c>
      <c r="D84" s="1">
        <v>4967.26</v>
      </c>
      <c r="E84" s="1">
        <f>SUM(B84:D84)</f>
        <v>5962.7300000000005</v>
      </c>
    </row>
    <row r="85" spans="1:5" x14ac:dyDescent="0.25">
      <c r="A85" t="s">
        <v>7</v>
      </c>
      <c r="B85" s="2">
        <f>SUM(B82:B84)</f>
        <v>6389.5700000000006</v>
      </c>
      <c r="C85" s="2">
        <f t="shared" ref="C85:E85" si="23">SUM(C82:C84)</f>
        <v>720.93000000000006</v>
      </c>
      <c r="D85" s="2">
        <f t="shared" si="23"/>
        <v>35480.46</v>
      </c>
      <c r="E85" s="2">
        <f t="shared" si="23"/>
        <v>42590.960000000006</v>
      </c>
    </row>
    <row r="86" spans="1:5" x14ac:dyDescent="0.25">
      <c r="B86" s="2"/>
    </row>
    <row r="87" spans="1:5" x14ac:dyDescent="0.25">
      <c r="A87" s="5" t="s">
        <v>30</v>
      </c>
      <c r="B87" s="2"/>
    </row>
    <row r="88" spans="1:5" x14ac:dyDescent="0.25">
      <c r="A88" t="s">
        <v>27</v>
      </c>
      <c r="B88" s="2">
        <f>+B82*32</f>
        <v>6133.76</v>
      </c>
      <c r="C88" s="2">
        <f t="shared" ref="C88:D88" si="24">+C82*32</f>
        <v>692.16</v>
      </c>
      <c r="D88" s="2">
        <f t="shared" si="24"/>
        <v>34061.120000000003</v>
      </c>
      <c r="E88" s="2">
        <f>SUM(B88:D88)</f>
        <v>40887.040000000001</v>
      </c>
    </row>
    <row r="89" spans="1:5" x14ac:dyDescent="0.25">
      <c r="A89" t="s">
        <v>4</v>
      </c>
      <c r="B89" s="2">
        <f t="shared" ref="B89:D89" si="25">+B83*32</f>
        <v>169707.2</v>
      </c>
      <c r="C89" s="2">
        <f t="shared" si="25"/>
        <v>19147.84</v>
      </c>
      <c r="D89" s="2">
        <f t="shared" si="25"/>
        <v>942361.28</v>
      </c>
      <c r="E89" s="2">
        <f t="shared" ref="E89:E90" si="26">SUM(B89:D89)</f>
        <v>1131216.32</v>
      </c>
    </row>
    <row r="90" spans="1:5" x14ac:dyDescent="0.25">
      <c r="A90" t="s">
        <v>28</v>
      </c>
      <c r="B90" s="2">
        <f t="shared" ref="B90:D90" si="27">+B84*32</f>
        <v>28625.279999999999</v>
      </c>
      <c r="C90" s="2">
        <f t="shared" si="27"/>
        <v>3229.76</v>
      </c>
      <c r="D90" s="2">
        <f t="shared" si="27"/>
        <v>158952.32000000001</v>
      </c>
      <c r="E90" s="2">
        <f t="shared" si="26"/>
        <v>190807.36000000002</v>
      </c>
    </row>
    <row r="91" spans="1:5" x14ac:dyDescent="0.25">
      <c r="B91" s="2"/>
    </row>
    <row r="92" spans="1:5" x14ac:dyDescent="0.25">
      <c r="A92" s="5" t="s">
        <v>31</v>
      </c>
      <c r="B92" s="2"/>
    </row>
    <row r="93" spans="1:5" x14ac:dyDescent="0.25">
      <c r="A93" s="5"/>
      <c r="B93">
        <v>5</v>
      </c>
      <c r="C93">
        <v>15</v>
      </c>
      <c r="D93">
        <v>27.5</v>
      </c>
      <c r="E93" t="s">
        <v>7</v>
      </c>
    </row>
    <row r="94" spans="1:5" x14ac:dyDescent="0.25">
      <c r="A94" t="s">
        <v>27</v>
      </c>
      <c r="B94" s="1">
        <v>216.67</v>
      </c>
      <c r="C94" s="1">
        <v>30.76</v>
      </c>
      <c r="D94" s="1">
        <v>1098.3800000000001</v>
      </c>
      <c r="E94" s="1">
        <f>SUM(B94:D94)</f>
        <v>1345.8100000000002</v>
      </c>
    </row>
    <row r="95" spans="1:5" x14ac:dyDescent="0.25">
      <c r="A95" t="s">
        <v>4</v>
      </c>
      <c r="B95" s="1">
        <v>5994.73</v>
      </c>
      <c r="C95" s="1">
        <v>850.95</v>
      </c>
      <c r="D95" s="1">
        <v>30388.45</v>
      </c>
      <c r="E95" s="1">
        <f t="shared" ref="E95:E96" si="28">SUM(B95:D95)</f>
        <v>37234.129999999997</v>
      </c>
    </row>
    <row r="96" spans="1:5" x14ac:dyDescent="0.25">
      <c r="A96" t="s">
        <v>28</v>
      </c>
      <c r="B96" s="1">
        <v>1011.16</v>
      </c>
      <c r="C96" s="1">
        <v>143.53</v>
      </c>
      <c r="D96" s="1">
        <v>5125.76</v>
      </c>
      <c r="E96" s="1">
        <f t="shared" si="28"/>
        <v>6280.4500000000007</v>
      </c>
    </row>
    <row r="97" spans="1:5" x14ac:dyDescent="0.25">
      <c r="A97" t="s">
        <v>7</v>
      </c>
      <c r="B97" s="2">
        <f>SUM(B94:B96)</f>
        <v>7222.5599999999995</v>
      </c>
      <c r="C97" s="2">
        <f t="shared" ref="C97:E97" si="29">SUM(C94:C96)</f>
        <v>1025.24</v>
      </c>
      <c r="D97" s="2">
        <f t="shared" si="29"/>
        <v>36612.590000000004</v>
      </c>
      <c r="E97" s="2">
        <f t="shared" si="29"/>
        <v>44860.39</v>
      </c>
    </row>
    <row r="98" spans="1:5" x14ac:dyDescent="0.25">
      <c r="B98" s="2"/>
    </row>
    <row r="99" spans="1:5" x14ac:dyDescent="0.25">
      <c r="A99" s="5" t="s">
        <v>32</v>
      </c>
      <c r="B99" s="2"/>
    </row>
    <row r="100" spans="1:5" x14ac:dyDescent="0.25">
      <c r="A100" t="s">
        <v>27</v>
      </c>
      <c r="B100" s="2">
        <f>+B94*6</f>
        <v>1300.02</v>
      </c>
      <c r="C100" s="2">
        <f t="shared" ref="C100:D100" si="30">+C94*6</f>
        <v>184.56</v>
      </c>
      <c r="D100" s="2">
        <f t="shared" si="30"/>
        <v>6590.2800000000007</v>
      </c>
      <c r="E100" s="2">
        <f>SUM(B100:D100)</f>
        <v>8074.8600000000006</v>
      </c>
    </row>
    <row r="101" spans="1:5" x14ac:dyDescent="0.25">
      <c r="A101" t="s">
        <v>4</v>
      </c>
      <c r="B101" s="2">
        <f t="shared" ref="B101:D101" si="31">+B95*6</f>
        <v>35968.379999999997</v>
      </c>
      <c r="C101" s="2">
        <f t="shared" si="31"/>
        <v>5105.7000000000007</v>
      </c>
      <c r="D101" s="2">
        <f t="shared" si="31"/>
        <v>182330.7</v>
      </c>
      <c r="E101" s="2">
        <f t="shared" ref="E101:E102" si="32">SUM(B101:D101)</f>
        <v>223404.78000000003</v>
      </c>
    </row>
    <row r="102" spans="1:5" x14ac:dyDescent="0.25">
      <c r="A102" t="s">
        <v>28</v>
      </c>
      <c r="B102" s="2">
        <f t="shared" ref="B102:D102" si="33">+B96*6</f>
        <v>6066.96</v>
      </c>
      <c r="C102" s="2">
        <f t="shared" si="33"/>
        <v>861.18000000000006</v>
      </c>
      <c r="D102" s="2">
        <f t="shared" si="33"/>
        <v>30754.560000000001</v>
      </c>
      <c r="E102" s="2">
        <f t="shared" si="32"/>
        <v>37682.700000000004</v>
      </c>
    </row>
    <row r="103" spans="1:5" x14ac:dyDescent="0.25">
      <c r="B103" s="2"/>
    </row>
    <row r="104" spans="1:5" x14ac:dyDescent="0.25">
      <c r="A104" s="5" t="s">
        <v>14</v>
      </c>
      <c r="B104" s="2"/>
    </row>
    <row r="105" spans="1:5" x14ac:dyDescent="0.25">
      <c r="A105" t="s">
        <v>27</v>
      </c>
      <c r="B105" s="2">
        <f>+ROUND(E88+E100,0)</f>
        <v>48962</v>
      </c>
      <c r="C105" t="b">
        <f>+B105=B76</f>
        <v>1</v>
      </c>
    </row>
    <row r="106" spans="1:5" x14ac:dyDescent="0.25">
      <c r="A106" t="s">
        <v>4</v>
      </c>
      <c r="B106" s="2">
        <f t="shared" ref="B106:B107" si="34">+ROUND(E89+E101,0)</f>
        <v>1354621</v>
      </c>
      <c r="C106" t="b">
        <f t="shared" ref="C106:C107" si="35">+B106=B77</f>
        <v>1</v>
      </c>
    </row>
    <row r="107" spans="1:5" x14ac:dyDescent="0.25">
      <c r="A107" t="s">
        <v>28</v>
      </c>
      <c r="B107" s="2">
        <f t="shared" si="34"/>
        <v>228490</v>
      </c>
      <c r="C107" t="b">
        <f t="shared" si="35"/>
        <v>1</v>
      </c>
    </row>
    <row r="108" spans="1:5" x14ac:dyDescent="0.25">
      <c r="B108" s="2"/>
    </row>
    <row r="110" spans="1:5" x14ac:dyDescent="0.25">
      <c r="A110" s="7" t="s">
        <v>22</v>
      </c>
      <c r="B110" s="7"/>
      <c r="C110" s="7"/>
      <c r="D110" s="7"/>
      <c r="E110" s="7"/>
    </row>
    <row r="111" spans="1:5" x14ac:dyDescent="0.25">
      <c r="A111" s="4" t="s">
        <v>9</v>
      </c>
      <c r="B111" s="3"/>
      <c r="C111" s="3"/>
      <c r="D111" s="3"/>
      <c r="E111" s="3"/>
    </row>
    <row r="112" spans="1:5" x14ac:dyDescent="0.25">
      <c r="A112" t="s">
        <v>23</v>
      </c>
      <c r="B112" s="1">
        <v>98354</v>
      </c>
    </row>
    <row r="113" spans="1:5" x14ac:dyDescent="0.25">
      <c r="A113" t="s">
        <v>1</v>
      </c>
      <c r="B113" s="1">
        <v>1278607</v>
      </c>
    </row>
    <row r="114" spans="1:5" x14ac:dyDescent="0.25">
      <c r="A114" t="s">
        <v>24</v>
      </c>
      <c r="B114" s="1">
        <v>262278</v>
      </c>
    </row>
    <row r="116" spans="1:5" x14ac:dyDescent="0.25">
      <c r="A116" s="5" t="s">
        <v>25</v>
      </c>
    </row>
    <row r="117" spans="1:5" x14ac:dyDescent="0.25">
      <c r="B117">
        <v>5</v>
      </c>
      <c r="C117">
        <v>15</v>
      </c>
      <c r="D117">
        <v>27.5</v>
      </c>
      <c r="E117" t="s">
        <v>7</v>
      </c>
    </row>
    <row r="118" spans="1:5" x14ac:dyDescent="0.25">
      <c r="A118" t="s">
        <v>23</v>
      </c>
      <c r="B118" s="1">
        <v>446.64</v>
      </c>
      <c r="C118" s="1">
        <v>39.81</v>
      </c>
      <c r="D118" s="1">
        <v>2188.33</v>
      </c>
      <c r="E118" s="1">
        <f>SUM(B118:D118)</f>
        <v>2674.7799999999997</v>
      </c>
    </row>
    <row r="119" spans="1:5" x14ac:dyDescent="0.25">
      <c r="A119" t="s">
        <v>1</v>
      </c>
      <c r="B119" s="1">
        <v>5806.35</v>
      </c>
      <c r="C119" s="1">
        <v>517.48</v>
      </c>
      <c r="D119" s="1">
        <v>28448.53</v>
      </c>
      <c r="E119" s="1">
        <f t="shared" ref="E119:E120" si="36">SUM(B119:D119)</f>
        <v>34772.36</v>
      </c>
    </row>
    <row r="120" spans="1:5" x14ac:dyDescent="0.25">
      <c r="A120" t="s">
        <v>24</v>
      </c>
      <c r="B120" s="1">
        <v>1191.04</v>
      </c>
      <c r="C120" s="1">
        <v>106.15</v>
      </c>
      <c r="D120" s="1">
        <v>5835.59</v>
      </c>
      <c r="E120" s="1">
        <f t="shared" si="36"/>
        <v>7132.7800000000007</v>
      </c>
    </row>
    <row r="121" spans="1:5" x14ac:dyDescent="0.25">
      <c r="A121" t="s">
        <v>7</v>
      </c>
      <c r="B121" s="1">
        <f>SUM(B118:B120)</f>
        <v>7444.0300000000007</v>
      </c>
      <c r="C121" s="1">
        <f t="shared" ref="C121:E121" si="37">SUM(C118:C120)</f>
        <v>663.43999999999994</v>
      </c>
      <c r="D121" s="1">
        <f t="shared" si="37"/>
        <v>36472.449999999997</v>
      </c>
      <c r="E121" s="1">
        <f t="shared" si="37"/>
        <v>44579.92</v>
      </c>
    </row>
    <row r="123" spans="1:5" x14ac:dyDescent="0.25">
      <c r="A123" s="5" t="s">
        <v>33</v>
      </c>
    </row>
    <row r="124" spans="1:5" x14ac:dyDescent="0.25">
      <c r="A124" t="s">
        <v>23</v>
      </c>
      <c r="B124" s="1">
        <f>+B118*30</f>
        <v>13399.199999999999</v>
      </c>
      <c r="C124" s="1">
        <f t="shared" ref="C124:D124" si="38">+C118*30</f>
        <v>1194.3000000000002</v>
      </c>
      <c r="D124" s="1">
        <f t="shared" si="38"/>
        <v>65649.899999999994</v>
      </c>
      <c r="E124" s="1">
        <f>SUM(B124:D124)</f>
        <v>80243.399999999994</v>
      </c>
    </row>
    <row r="125" spans="1:5" x14ac:dyDescent="0.25">
      <c r="A125" t="s">
        <v>1</v>
      </c>
      <c r="B125" s="1">
        <f t="shared" ref="B125:D125" si="39">+B119*30</f>
        <v>174190.5</v>
      </c>
      <c r="C125" s="1">
        <f t="shared" si="39"/>
        <v>15524.400000000001</v>
      </c>
      <c r="D125" s="1">
        <f t="shared" si="39"/>
        <v>853455.89999999991</v>
      </c>
      <c r="E125" s="1">
        <f t="shared" ref="E125:E126" si="40">SUM(B125:D125)</f>
        <v>1043170.7999999999</v>
      </c>
    </row>
    <row r="126" spans="1:5" x14ac:dyDescent="0.25">
      <c r="A126" t="s">
        <v>24</v>
      </c>
      <c r="B126" s="1">
        <f t="shared" ref="B126:D126" si="41">+B120*30</f>
        <v>35731.199999999997</v>
      </c>
      <c r="C126" s="1">
        <f t="shared" si="41"/>
        <v>3184.5</v>
      </c>
      <c r="D126" s="1">
        <f t="shared" si="41"/>
        <v>175067.7</v>
      </c>
      <c r="E126" s="1">
        <f t="shared" si="40"/>
        <v>213983.40000000002</v>
      </c>
    </row>
    <row r="128" spans="1:5" x14ac:dyDescent="0.25">
      <c r="A128" s="5" t="s">
        <v>34</v>
      </c>
    </row>
    <row r="129" spans="1:5" x14ac:dyDescent="0.25">
      <c r="B129">
        <v>5</v>
      </c>
      <c r="C129">
        <v>15</v>
      </c>
      <c r="D129">
        <v>27.5</v>
      </c>
      <c r="E129" t="s">
        <v>7</v>
      </c>
    </row>
    <row r="130" spans="1:5" x14ac:dyDescent="0.25">
      <c r="A130" t="s">
        <v>23</v>
      </c>
      <c r="B130" s="1">
        <v>423.08</v>
      </c>
      <c r="C130" s="1">
        <v>47.96</v>
      </c>
      <c r="D130" s="1">
        <v>2116.17</v>
      </c>
      <c r="E130" s="1">
        <f>SUM(B130:D130)</f>
        <v>2587.21</v>
      </c>
    </row>
    <row r="131" spans="1:5" x14ac:dyDescent="0.25">
      <c r="A131" t="s">
        <v>1</v>
      </c>
      <c r="B131" s="1">
        <v>5500.06</v>
      </c>
      <c r="C131" s="1">
        <v>623.38</v>
      </c>
      <c r="D131" s="1">
        <v>27510.32</v>
      </c>
      <c r="E131" s="1">
        <f t="shared" ref="E131:E132" si="42">SUM(B131:D131)</f>
        <v>33633.760000000002</v>
      </c>
    </row>
    <row r="132" spans="1:5" x14ac:dyDescent="0.25">
      <c r="A132" t="s">
        <v>24</v>
      </c>
      <c r="B132" s="1">
        <v>1128.22</v>
      </c>
      <c r="C132" s="1">
        <v>127.87</v>
      </c>
      <c r="D132" s="1">
        <v>5643.13</v>
      </c>
      <c r="E132" s="1">
        <f t="shared" si="42"/>
        <v>6899.22</v>
      </c>
    </row>
    <row r="133" spans="1:5" x14ac:dyDescent="0.25">
      <c r="A133" t="s">
        <v>7</v>
      </c>
      <c r="B133" s="2">
        <f>SUM(B130:B132)</f>
        <v>7051.3600000000006</v>
      </c>
      <c r="C133" s="2">
        <f t="shared" ref="C133:E133" si="43">SUM(C130:C132)</f>
        <v>799.21</v>
      </c>
      <c r="D133" s="2">
        <f t="shared" si="43"/>
        <v>35269.619999999995</v>
      </c>
      <c r="E133" s="2">
        <f t="shared" si="43"/>
        <v>43120.19</v>
      </c>
    </row>
    <row r="135" spans="1:5" x14ac:dyDescent="0.25">
      <c r="A135" s="5" t="s">
        <v>35</v>
      </c>
    </row>
    <row r="136" spans="1:5" x14ac:dyDescent="0.25">
      <c r="A136" t="s">
        <v>23</v>
      </c>
      <c r="B136" s="1">
        <f>+B130*7</f>
        <v>2961.56</v>
      </c>
      <c r="C136" s="1">
        <f t="shared" ref="C136:D136" si="44">+C130*7</f>
        <v>335.72</v>
      </c>
      <c r="D136" s="1">
        <f t="shared" si="44"/>
        <v>14813.19</v>
      </c>
      <c r="E136" s="1">
        <f>SUM(B136:D136)</f>
        <v>18110.47</v>
      </c>
    </row>
    <row r="137" spans="1:5" x14ac:dyDescent="0.25">
      <c r="A137" t="s">
        <v>1</v>
      </c>
      <c r="B137" s="1">
        <f t="shared" ref="B137:D137" si="45">+B131*7</f>
        <v>38500.420000000006</v>
      </c>
      <c r="C137" s="1">
        <f t="shared" si="45"/>
        <v>4363.66</v>
      </c>
      <c r="D137" s="1">
        <f t="shared" si="45"/>
        <v>192572.24</v>
      </c>
      <c r="E137" s="1">
        <f t="shared" ref="E137:E138" si="46">SUM(B137:D137)</f>
        <v>235436.32</v>
      </c>
    </row>
    <row r="138" spans="1:5" x14ac:dyDescent="0.25">
      <c r="A138" t="s">
        <v>24</v>
      </c>
      <c r="B138" s="1">
        <f t="shared" ref="B138:D138" si="47">+B132*7</f>
        <v>7897.54</v>
      </c>
      <c r="C138" s="1">
        <f t="shared" si="47"/>
        <v>895.09</v>
      </c>
      <c r="D138" s="1">
        <f t="shared" si="47"/>
        <v>39501.910000000003</v>
      </c>
      <c r="E138" s="1">
        <f t="shared" si="46"/>
        <v>48294.54</v>
      </c>
    </row>
    <row r="140" spans="1:5" x14ac:dyDescent="0.25">
      <c r="A140" s="5" t="s">
        <v>14</v>
      </c>
    </row>
    <row r="141" spans="1:5" x14ac:dyDescent="0.25">
      <c r="A141" t="s">
        <v>23</v>
      </c>
      <c r="B141" s="2">
        <f>ROUND(E124+E136,0)</f>
        <v>98354</v>
      </c>
      <c r="C141" t="b">
        <f>+B141=B112</f>
        <v>1</v>
      </c>
    </row>
    <row r="142" spans="1:5" x14ac:dyDescent="0.25">
      <c r="A142" t="s">
        <v>1</v>
      </c>
      <c r="B142" s="2">
        <f t="shared" ref="B142:B143" si="48">ROUND(E125+E137,0)</f>
        <v>1278607</v>
      </c>
      <c r="C142" t="b">
        <f t="shared" ref="C142:C143" si="49">+B142=B113</f>
        <v>1</v>
      </c>
    </row>
    <row r="143" spans="1:5" x14ac:dyDescent="0.25">
      <c r="A143" t="s">
        <v>24</v>
      </c>
      <c r="B143" s="2">
        <f t="shared" si="48"/>
        <v>262278</v>
      </c>
      <c r="C143" t="b">
        <f t="shared" si="49"/>
        <v>1</v>
      </c>
    </row>
    <row r="146" spans="1:5" x14ac:dyDescent="0.25">
      <c r="A146" s="7" t="s">
        <v>36</v>
      </c>
      <c r="B146" s="7"/>
      <c r="C146" s="7"/>
      <c r="D146" s="7"/>
      <c r="E146" s="7"/>
    </row>
    <row r="147" spans="1:5" x14ac:dyDescent="0.25">
      <c r="A147" s="4" t="s">
        <v>9</v>
      </c>
    </row>
    <row r="148" spans="1:5" x14ac:dyDescent="0.25">
      <c r="A148" t="s">
        <v>37</v>
      </c>
      <c r="B148" s="1">
        <v>52733</v>
      </c>
    </row>
    <row r="149" spans="1:5" x14ac:dyDescent="0.25">
      <c r="A149" s="6" t="s">
        <v>2</v>
      </c>
      <c r="B149" s="1">
        <v>685526</v>
      </c>
    </row>
    <row r="150" spans="1:5" x14ac:dyDescent="0.25">
      <c r="A150" s="6" t="s">
        <v>38</v>
      </c>
      <c r="B150" s="1">
        <v>140621</v>
      </c>
    </row>
    <row r="152" spans="1:5" x14ac:dyDescent="0.25">
      <c r="A152" s="5" t="s">
        <v>39</v>
      </c>
    </row>
    <row r="153" spans="1:5" x14ac:dyDescent="0.25">
      <c r="B153">
        <v>5</v>
      </c>
      <c r="C153">
        <v>15</v>
      </c>
      <c r="D153">
        <v>27.5</v>
      </c>
      <c r="E153" t="s">
        <v>7</v>
      </c>
    </row>
    <row r="154" spans="1:5" x14ac:dyDescent="0.25">
      <c r="A154" t="s">
        <v>37</v>
      </c>
      <c r="B154" s="1">
        <v>339.79</v>
      </c>
      <c r="C154" s="1">
        <v>53.32</v>
      </c>
      <c r="D154" s="1">
        <v>1433.22</v>
      </c>
      <c r="E154" s="1">
        <f>SUM(B154:D154)</f>
        <v>1826.33</v>
      </c>
    </row>
    <row r="155" spans="1:5" x14ac:dyDescent="0.25">
      <c r="A155" s="6" t="s">
        <v>2</v>
      </c>
      <c r="B155" s="1">
        <v>4417.3599999999997</v>
      </c>
      <c r="C155" s="1">
        <v>693.08</v>
      </c>
      <c r="D155" s="1">
        <v>18631.810000000001</v>
      </c>
      <c r="E155" s="1">
        <f t="shared" ref="E155:E156" si="50">SUM(B155:D155)</f>
        <v>23742.25</v>
      </c>
    </row>
    <row r="156" spans="1:5" x14ac:dyDescent="0.25">
      <c r="A156" s="6" t="s">
        <v>38</v>
      </c>
      <c r="B156" s="1">
        <v>906.13</v>
      </c>
      <c r="C156" s="1">
        <v>142.16999999999999</v>
      </c>
      <c r="D156" s="1">
        <v>3821.92</v>
      </c>
      <c r="E156" s="1">
        <f t="shared" si="50"/>
        <v>4870.22</v>
      </c>
    </row>
    <row r="157" spans="1:5" x14ac:dyDescent="0.25">
      <c r="A157" t="s">
        <v>7</v>
      </c>
      <c r="B157" s="2">
        <f>SUM(B154:B156)</f>
        <v>5663.28</v>
      </c>
      <c r="C157" s="2">
        <f t="shared" ref="C157:E157" si="51">SUM(C154:C156)</f>
        <v>888.57</v>
      </c>
      <c r="D157" s="2">
        <f t="shared" si="51"/>
        <v>23886.950000000004</v>
      </c>
      <c r="E157" s="2">
        <f t="shared" si="51"/>
        <v>30438.800000000003</v>
      </c>
    </row>
    <row r="159" spans="1:5" x14ac:dyDescent="0.25">
      <c r="A159" s="5" t="s">
        <v>40</v>
      </c>
    </row>
    <row r="160" spans="1:5" x14ac:dyDescent="0.25">
      <c r="A160" t="s">
        <v>37</v>
      </c>
      <c r="B160" s="1">
        <f>+B154*24</f>
        <v>8154.9600000000009</v>
      </c>
      <c r="C160" s="1">
        <f t="shared" ref="C160:D160" si="52">+C154*24</f>
        <v>1279.68</v>
      </c>
      <c r="D160" s="1">
        <f t="shared" si="52"/>
        <v>34397.279999999999</v>
      </c>
      <c r="E160" s="1">
        <f>SUM(B160:D160)</f>
        <v>43831.92</v>
      </c>
    </row>
    <row r="161" spans="1:5" x14ac:dyDescent="0.25">
      <c r="A161" s="6" t="s">
        <v>2</v>
      </c>
      <c r="B161" s="1">
        <f t="shared" ref="B161:D161" si="53">+B155*24</f>
        <v>106016.63999999998</v>
      </c>
      <c r="C161" s="1">
        <f t="shared" si="53"/>
        <v>16633.920000000002</v>
      </c>
      <c r="D161" s="1">
        <f t="shared" si="53"/>
        <v>447163.44000000006</v>
      </c>
      <c r="E161" s="1">
        <f t="shared" ref="E161:E162" si="54">SUM(B161:D161)</f>
        <v>569814</v>
      </c>
    </row>
    <row r="162" spans="1:5" x14ac:dyDescent="0.25">
      <c r="A162" s="6" t="s">
        <v>38</v>
      </c>
      <c r="B162" s="1">
        <f t="shared" ref="B162:D162" si="55">+B156*24</f>
        <v>21747.119999999999</v>
      </c>
      <c r="C162" s="1">
        <f t="shared" si="55"/>
        <v>3412.08</v>
      </c>
      <c r="D162" s="1">
        <f t="shared" si="55"/>
        <v>91726.080000000002</v>
      </c>
      <c r="E162" s="1">
        <f t="shared" si="54"/>
        <v>116885.28</v>
      </c>
    </row>
    <row r="164" spans="1:5" x14ac:dyDescent="0.25">
      <c r="A164" s="5" t="s">
        <v>41</v>
      </c>
    </row>
    <row r="165" spans="1:5" x14ac:dyDescent="0.25">
      <c r="B165">
        <v>5</v>
      </c>
      <c r="C165">
        <v>15</v>
      </c>
      <c r="D165">
        <v>27.5</v>
      </c>
      <c r="E165" t="s">
        <v>7</v>
      </c>
    </row>
    <row r="166" spans="1:5" x14ac:dyDescent="0.25">
      <c r="A166" t="s">
        <v>37</v>
      </c>
      <c r="B166" s="1">
        <v>379.08</v>
      </c>
      <c r="C166" s="1">
        <v>67.23</v>
      </c>
      <c r="D166" s="1">
        <v>1778.93</v>
      </c>
      <c r="E166" s="1">
        <f>SUM(B166:D166)</f>
        <v>2225.2400000000002</v>
      </c>
    </row>
    <row r="167" spans="1:5" x14ac:dyDescent="0.25">
      <c r="A167" s="6" t="s">
        <v>2</v>
      </c>
      <c r="B167" s="1">
        <v>4927.97</v>
      </c>
      <c r="C167" s="1">
        <v>874</v>
      </c>
      <c r="D167" s="1">
        <v>23126.01</v>
      </c>
      <c r="E167" s="1">
        <f t="shared" ref="E167:E168" si="56">SUM(B167:D167)</f>
        <v>28927.98</v>
      </c>
    </row>
    <row r="168" spans="1:5" x14ac:dyDescent="0.25">
      <c r="A168" s="6" t="s">
        <v>38</v>
      </c>
      <c r="B168" s="1">
        <v>1010.87</v>
      </c>
      <c r="C168" s="1">
        <v>179.28</v>
      </c>
      <c r="D168" s="1">
        <v>4743.8100000000004</v>
      </c>
      <c r="E168" s="1">
        <f t="shared" si="56"/>
        <v>5933.9600000000009</v>
      </c>
    </row>
    <row r="169" spans="1:5" x14ac:dyDescent="0.25">
      <c r="A169" t="s">
        <v>7</v>
      </c>
      <c r="B169" s="2">
        <f>SUM(B166:B168)</f>
        <v>6317.92</v>
      </c>
      <c r="C169" s="2">
        <f t="shared" ref="C169:E169" si="57">SUM(C166:C168)</f>
        <v>1120.51</v>
      </c>
      <c r="D169" s="2">
        <f t="shared" si="57"/>
        <v>29648.75</v>
      </c>
      <c r="E169" s="2">
        <f t="shared" si="57"/>
        <v>37087.18</v>
      </c>
    </row>
    <row r="171" spans="1:5" x14ac:dyDescent="0.25">
      <c r="A171" s="5" t="s">
        <v>42</v>
      </c>
    </row>
    <row r="172" spans="1:5" x14ac:dyDescent="0.25">
      <c r="A172" t="s">
        <v>37</v>
      </c>
      <c r="B172" s="1">
        <f>+B166*4</f>
        <v>1516.32</v>
      </c>
      <c r="C172" s="1">
        <f t="shared" ref="C172:D172" si="58">+C166*4</f>
        <v>268.92</v>
      </c>
      <c r="D172" s="1">
        <f t="shared" si="58"/>
        <v>7115.72</v>
      </c>
      <c r="E172" s="1">
        <f>SUM(B172:D172)</f>
        <v>8900.9600000000009</v>
      </c>
    </row>
    <row r="173" spans="1:5" x14ac:dyDescent="0.25">
      <c r="A173" s="6" t="s">
        <v>2</v>
      </c>
      <c r="B173" s="1">
        <f t="shared" ref="B173:D173" si="59">+B167*4</f>
        <v>19711.88</v>
      </c>
      <c r="C173" s="1">
        <f t="shared" si="59"/>
        <v>3496</v>
      </c>
      <c r="D173" s="1">
        <f t="shared" si="59"/>
        <v>92504.04</v>
      </c>
      <c r="E173" s="1">
        <f t="shared" ref="E173:E174" si="60">SUM(B173:D173)</f>
        <v>115711.92</v>
      </c>
    </row>
    <row r="174" spans="1:5" x14ac:dyDescent="0.25">
      <c r="A174" s="6" t="s">
        <v>38</v>
      </c>
      <c r="B174" s="1">
        <f t="shared" ref="B174:D174" si="61">+B168*4</f>
        <v>4043.48</v>
      </c>
      <c r="C174" s="1">
        <f t="shared" si="61"/>
        <v>717.12</v>
      </c>
      <c r="D174" s="1">
        <f t="shared" si="61"/>
        <v>18975.240000000002</v>
      </c>
      <c r="E174" s="1">
        <f t="shared" si="60"/>
        <v>23735.840000000004</v>
      </c>
    </row>
    <row r="176" spans="1:5" x14ac:dyDescent="0.25">
      <c r="A176" s="5" t="s">
        <v>14</v>
      </c>
    </row>
    <row r="177" spans="1:3" x14ac:dyDescent="0.25">
      <c r="A177" t="s">
        <v>37</v>
      </c>
      <c r="B177" s="2">
        <f>ROUND(E160+E172,0)</f>
        <v>52733</v>
      </c>
      <c r="C177" t="b">
        <f>+B148=B177</f>
        <v>1</v>
      </c>
    </row>
    <row r="178" spans="1:3" x14ac:dyDescent="0.25">
      <c r="A178" s="6" t="s">
        <v>2</v>
      </c>
      <c r="B178" s="2">
        <f t="shared" ref="B178:B179" si="62">ROUND(E161+E173,0)</f>
        <v>685526</v>
      </c>
      <c r="C178" t="b">
        <f t="shared" ref="C178:C179" si="63">+B149=B178</f>
        <v>1</v>
      </c>
    </row>
    <row r="179" spans="1:3" x14ac:dyDescent="0.25">
      <c r="A179" s="6" t="s">
        <v>38</v>
      </c>
      <c r="B179" s="2">
        <f t="shared" si="62"/>
        <v>140621</v>
      </c>
      <c r="C179" t="b">
        <f t="shared" si="63"/>
        <v>1</v>
      </c>
    </row>
  </sheetData>
  <mergeCells count="5">
    <mergeCell ref="A2:E2"/>
    <mergeCell ref="A38:E38"/>
    <mergeCell ref="A110:E110"/>
    <mergeCell ref="A74:E74"/>
    <mergeCell ref="A146:E14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Taylor</dc:creator>
  <cp:lastModifiedBy>Joshua Jacobs</cp:lastModifiedBy>
  <dcterms:created xsi:type="dcterms:W3CDTF">2026-04-23T14:13:50Z</dcterms:created>
  <dcterms:modified xsi:type="dcterms:W3CDTF">2026-04-27T15:37:25Z</dcterms:modified>
</cp:coreProperties>
</file>