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6DE72C6D-98DE-4ADB-B204-D9E0A9E8D49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mmary" sheetId="1" r:id="rId1"/>
    <sheet name="site" sheetId="12" r:id="rId2"/>
    <sheet name="bldg 1" sheetId="2" r:id="rId3"/>
    <sheet name="bldg 2" sheetId="3" r:id="rId4"/>
    <sheet name="bldg 3" sheetId="4" r:id="rId5"/>
    <sheet name="bldg 4" sheetId="5" r:id="rId6"/>
    <sheet name="bldg 5" sheetId="6" r:id="rId7"/>
    <sheet name="bldg 6" sheetId="7" r:id="rId8"/>
    <sheet name="bldg 7" sheetId="8" r:id="rId9"/>
    <sheet name="bldg 8" sheetId="9" r:id="rId10"/>
    <sheet name="bldg 9" sheetId="10" r:id="rId11"/>
    <sheet name="office" sheetId="11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12" l="1"/>
  <c r="R35" i="1"/>
  <c r="R21" i="1"/>
  <c r="R22" i="1"/>
  <c r="R23" i="1"/>
  <c r="R24" i="1"/>
  <c r="R25" i="1"/>
  <c r="R26" i="1"/>
  <c r="R27" i="1"/>
  <c r="R28" i="1"/>
  <c r="R20" i="1"/>
  <c r="R12" i="1"/>
  <c r="R13" i="1"/>
  <c r="R11" i="1"/>
  <c r="F35" i="1"/>
  <c r="F48" i="3"/>
  <c r="C48" i="3"/>
  <c r="B48" i="3"/>
  <c r="D37" i="12"/>
  <c r="E37" i="12"/>
  <c r="B37" i="12"/>
  <c r="C49" i="11"/>
  <c r="F49" i="11"/>
  <c r="B49" i="11"/>
  <c r="B62" i="11"/>
  <c r="B63" i="11"/>
  <c r="B61" i="10"/>
  <c r="B62" i="10"/>
  <c r="B61" i="9"/>
  <c r="B62" i="9"/>
  <c r="B60" i="8"/>
  <c r="B61" i="8"/>
  <c r="B61" i="7"/>
  <c r="B62" i="7"/>
  <c r="B60" i="6"/>
  <c r="B61" i="6"/>
  <c r="B61" i="5"/>
  <c r="B62" i="5"/>
  <c r="B60" i="4"/>
  <c r="B61" i="4"/>
  <c r="B61" i="3"/>
  <c r="B62" i="3"/>
  <c r="B60" i="2"/>
  <c r="B61" i="2"/>
  <c r="B48" i="12"/>
  <c r="B47" i="12"/>
  <c r="F58" i="11"/>
  <c r="B58" i="11"/>
  <c r="C58" i="11"/>
  <c r="F57" i="10"/>
  <c r="B57" i="10"/>
  <c r="C57" i="10"/>
  <c r="F57" i="9"/>
  <c r="B57" i="9"/>
  <c r="C57" i="9"/>
  <c r="F56" i="8"/>
  <c r="B56" i="8"/>
  <c r="C56" i="8"/>
  <c r="F57" i="7"/>
  <c r="B57" i="7"/>
  <c r="C57" i="7"/>
  <c r="F56" i="6"/>
  <c r="B56" i="6"/>
  <c r="C56" i="6"/>
  <c r="F57" i="5"/>
  <c r="B57" i="5"/>
  <c r="C57" i="5"/>
  <c r="F56" i="4"/>
  <c r="B56" i="4"/>
  <c r="C56" i="4"/>
  <c r="C57" i="3"/>
  <c r="F57" i="3"/>
  <c r="B57" i="3"/>
  <c r="R53" i="1"/>
  <c r="R54" i="1"/>
  <c r="T32" i="1"/>
  <c r="U32" i="1"/>
  <c r="V32" i="1"/>
  <c r="W32" i="1"/>
  <c r="X32" i="1"/>
  <c r="Y32" i="1"/>
  <c r="Z32" i="1"/>
  <c r="AA32" i="1"/>
  <c r="AB32" i="1"/>
  <c r="AC32" i="1"/>
  <c r="AD32" i="1"/>
  <c r="AF32" i="1"/>
  <c r="H54" i="1"/>
  <c r="I54" i="1"/>
  <c r="J54" i="1"/>
  <c r="K54" i="1"/>
  <c r="L54" i="1"/>
  <c r="M54" i="1"/>
  <c r="N54" i="1"/>
  <c r="O54" i="1"/>
  <c r="P54" i="1"/>
  <c r="F54" i="1"/>
  <c r="G54" i="1"/>
  <c r="G32" i="1"/>
  <c r="G15" i="1"/>
  <c r="E43" i="12"/>
  <c r="F43" i="12"/>
  <c r="B43" i="12"/>
  <c r="E34" i="12"/>
  <c r="F48" i="10"/>
  <c r="C48" i="10"/>
  <c r="B48" i="10"/>
  <c r="F48" i="9"/>
  <c r="C48" i="9"/>
  <c r="B48" i="9"/>
  <c r="F47" i="8"/>
  <c r="C47" i="8"/>
  <c r="B47" i="8"/>
  <c r="F48" i="7"/>
  <c r="C48" i="7"/>
  <c r="B48" i="7"/>
  <c r="F47" i="6"/>
  <c r="C47" i="6"/>
  <c r="B47" i="6"/>
  <c r="F48" i="5"/>
  <c r="C48" i="5"/>
  <c r="B48" i="5"/>
  <c r="F47" i="4"/>
  <c r="C47" i="4"/>
  <c r="B47" i="4"/>
  <c r="C56" i="2"/>
  <c r="F56" i="2"/>
  <c r="B56" i="2"/>
  <c r="C47" i="2"/>
  <c r="F47" i="2"/>
  <c r="B47" i="2"/>
  <c r="R16" i="1"/>
  <c r="F53" i="1"/>
  <c r="P53" i="1"/>
  <c r="O53" i="1"/>
  <c r="N53" i="1"/>
  <c r="M53" i="1"/>
  <c r="L53" i="1"/>
  <c r="K53" i="1"/>
  <c r="J53" i="1"/>
  <c r="I53" i="1"/>
  <c r="H53" i="1"/>
  <c r="G53" i="1"/>
  <c r="F33" i="1"/>
  <c r="P33" i="1"/>
  <c r="P35" i="1" s="1"/>
  <c r="O33" i="1"/>
  <c r="O35" i="1" s="1"/>
  <c r="N33" i="1"/>
  <c r="N35" i="1" s="1"/>
  <c r="M33" i="1"/>
  <c r="M35" i="1" s="1"/>
  <c r="L33" i="1"/>
  <c r="L35" i="1" s="1"/>
  <c r="K33" i="1"/>
  <c r="K35" i="1" s="1"/>
  <c r="J33" i="1"/>
  <c r="J35" i="1" s="1"/>
  <c r="I33" i="1"/>
  <c r="I35" i="1" s="1"/>
  <c r="H33" i="1"/>
  <c r="H35" i="1" s="1"/>
  <c r="G33" i="1"/>
  <c r="G35" i="1" s="1"/>
  <c r="F32" i="1"/>
  <c r="P32" i="1"/>
  <c r="O32" i="1"/>
  <c r="N32" i="1"/>
  <c r="M32" i="1"/>
  <c r="L32" i="1"/>
  <c r="K32" i="1"/>
  <c r="J32" i="1"/>
  <c r="I32" i="1"/>
  <c r="H32" i="1"/>
  <c r="F15" i="1"/>
  <c r="P15" i="1"/>
  <c r="O15" i="1"/>
  <c r="N15" i="1"/>
  <c r="M15" i="1"/>
  <c r="L15" i="1"/>
  <c r="K15" i="1"/>
  <c r="J15" i="1"/>
  <c r="I15" i="1"/>
  <c r="H15" i="1"/>
  <c r="R15" i="1" s="1"/>
  <c r="R32" i="1" l="1"/>
</calcChain>
</file>

<file path=xl/sharedStrings.xml><?xml version="1.0" encoding="utf-8"?>
<sst xmlns="http://schemas.openxmlformats.org/spreadsheetml/2006/main" count="663" uniqueCount="137">
  <si>
    <t>Coral Village Housing LP</t>
  </si>
  <si>
    <t>Summary of Cost Seg Adjustments</t>
  </si>
  <si>
    <t>As of December 31, 2024</t>
  </si>
  <si>
    <t>end deprec</t>
  </si>
  <si>
    <t>Acq Date</t>
  </si>
  <si>
    <t>Asset Description</t>
  </si>
  <si>
    <t>#</t>
  </si>
  <si>
    <t>site</t>
  </si>
  <si>
    <t>bldg 1</t>
  </si>
  <si>
    <t>bldg 2</t>
  </si>
  <si>
    <t>bldg 3</t>
  </si>
  <si>
    <t>bldg 4</t>
  </si>
  <si>
    <t>bldg 5</t>
  </si>
  <si>
    <t>bldg 6</t>
  </si>
  <si>
    <t>bldg 7</t>
  </si>
  <si>
    <t>bldg 8</t>
  </si>
  <si>
    <t>bldg 9</t>
  </si>
  <si>
    <t>office</t>
  </si>
  <si>
    <t>total cost</t>
  </si>
  <si>
    <t>total</t>
  </si>
  <si>
    <t>10/30/20</t>
  </si>
  <si>
    <t>2- Building - Coral Village Housing LP</t>
  </si>
  <si>
    <t>3- Land Improvements - Coral Village Housing LP</t>
  </si>
  <si>
    <t>4- Equipment - Coral Village Housing LP</t>
  </si>
  <si>
    <t>Total</t>
  </si>
  <si>
    <t>MACRS Reclassification</t>
  </si>
  <si>
    <t>2 - Building - Coral Village Housing LP - 5yr</t>
  </si>
  <si>
    <t>2 - Building - Coral Village Housing LP - Site - 15yr</t>
  </si>
  <si>
    <t>2 - Building - Coral Village Housing LP - 27.5yr</t>
  </si>
  <si>
    <t>3 - Land Imp - Coral Village Housing LP - 5yr</t>
  </si>
  <si>
    <t>3 - Land Imp - Coral Village Housing LP - Site - 15yr</t>
  </si>
  <si>
    <t>3 - Land Imp - Coral Village Housing LP - 27.5yr</t>
  </si>
  <si>
    <t>4 - Equipment - Coral Village Housing LP - 5yr</t>
  </si>
  <si>
    <t>4 - Equipment - Coral Village Housing LP - Site - 15yr</t>
  </si>
  <si>
    <t>4 - Equipment - Coral Village Housing LP - 27.5yr</t>
  </si>
  <si>
    <t>Total MACRS Reclassification</t>
  </si>
  <si>
    <t>Difference (should be zero)</t>
  </si>
  <si>
    <t>This is the Year 7 Personal Property Value</t>
  </si>
  <si>
    <t>End Depreciation Reconciliation</t>
  </si>
  <si>
    <t>Before Cost Segregation (As Previously Filed)</t>
  </si>
  <si>
    <t>After Cost Segregation (Corrected)</t>
  </si>
  <si>
    <t>Section 481(a) Adjustment</t>
  </si>
  <si>
    <t>Cost Segregation Study - Site</t>
  </si>
  <si>
    <t>Report #107752-03</t>
  </si>
  <si>
    <t>Acquisition Date:</t>
  </si>
  <si>
    <t>Coral Village Housing LP - Site</t>
  </si>
  <si>
    <t>Property Category</t>
  </si>
  <si>
    <t>Cost</t>
  </si>
  <si>
    <t>5 Year</t>
  </si>
  <si>
    <t>7 Year</t>
  </si>
  <si>
    <t>15 Year</t>
  </si>
  <si>
    <t>27.5 Year</t>
  </si>
  <si>
    <t>15 year QIP</t>
  </si>
  <si>
    <t>Site Components</t>
  </si>
  <si>
    <t>Movable Shed</t>
  </si>
  <si>
    <t>Site Work / Improvements</t>
  </si>
  <si>
    <t>Site Drainage</t>
  </si>
  <si>
    <t>Parking Lot</t>
  </si>
  <si>
    <t>Exterior Signage</t>
  </si>
  <si>
    <t>Parking Lot Striping / Barriers</t>
  </si>
  <si>
    <t>Sidewalks / Curbs</t>
  </si>
  <si>
    <t>Landscaping &amp; Flagpole</t>
  </si>
  <si>
    <t xml:space="preserve">Security Lighting Poles </t>
  </si>
  <si>
    <t>Exterior Fencing</t>
  </si>
  <si>
    <t>Dumpster Enclosures</t>
  </si>
  <si>
    <t>Swimming Pool</t>
  </si>
  <si>
    <t>Fire Hydrants</t>
  </si>
  <si>
    <t>Wood Bridge</t>
  </si>
  <si>
    <t>Exterior Equipment Concrete Pads</t>
  </si>
  <si>
    <t>Mailboxes</t>
  </si>
  <si>
    <t>Site Utilities</t>
  </si>
  <si>
    <t>Total Site Cost</t>
  </si>
  <si>
    <t>% of Site Cost</t>
  </si>
  <si>
    <t>Asset Allocation:</t>
  </si>
  <si>
    <t>Asset #2 Building</t>
  </si>
  <si>
    <t>Asset #3 Land Improvements</t>
  </si>
  <si>
    <t>Asset #4 Equipment</t>
  </si>
  <si>
    <t>Total Allocation:</t>
  </si>
  <si>
    <t>Cost Segregation Study - Bldg 1</t>
  </si>
  <si>
    <t>Coral Village Housing LP - Bldg 1</t>
  </si>
  <si>
    <t>Building Components</t>
  </si>
  <si>
    <t>Cabinets / Millwork</t>
  </si>
  <si>
    <t>Moldings</t>
  </si>
  <si>
    <t>Flooring - Vinyl Plank</t>
  </si>
  <si>
    <t>Door &amp; Window Guards</t>
  </si>
  <si>
    <t>Window Treatments</t>
  </si>
  <si>
    <t>Specialty HVAC - Dryer Vents</t>
  </si>
  <si>
    <t>Building Signage</t>
  </si>
  <si>
    <t>Specialty Electrical - Appliances</t>
  </si>
  <si>
    <t>Communication / Data</t>
  </si>
  <si>
    <t>Specialty Plumbing - Kitchen Sinks / Laundry</t>
  </si>
  <si>
    <t>Security / Exterior Lighting</t>
  </si>
  <si>
    <t>Access Control</t>
  </si>
  <si>
    <t>Appliances</t>
  </si>
  <si>
    <t>Building Structure</t>
  </si>
  <si>
    <t>Foundations</t>
  </si>
  <si>
    <t>HVAC</t>
  </si>
  <si>
    <t>Electrical</t>
  </si>
  <si>
    <t>Plumbing</t>
  </si>
  <si>
    <t>Fire Protection &amp; Alarm</t>
  </si>
  <si>
    <t>Exterior Façade / Building Skin</t>
  </si>
  <si>
    <t>Doors &amp; Frames</t>
  </si>
  <si>
    <t>Windows</t>
  </si>
  <si>
    <t>Ceiling Systems</t>
  </si>
  <si>
    <t>Interior Framing / Partitions</t>
  </si>
  <si>
    <t>Painting</t>
  </si>
  <si>
    <t>Gutter Systems</t>
  </si>
  <si>
    <t>Structural Framing</t>
  </si>
  <si>
    <t>Stairs / Balconies</t>
  </si>
  <si>
    <t>Bathroom Accessories</t>
  </si>
  <si>
    <t>Cabinets / Millwork - Restrooms</t>
  </si>
  <si>
    <t>Total Building Cost</t>
  </si>
  <si>
    <t>% of Building Cost</t>
  </si>
  <si>
    <t>Cost Segregation Study - Bldg 2</t>
  </si>
  <si>
    <t>Coral Village Housing LP - Bldg 2</t>
  </si>
  <si>
    <t>Flooring - Carpet</t>
  </si>
  <si>
    <t>Cost Segregation Study - Bldg 3</t>
  </si>
  <si>
    <t>Coral Village Housing LP - Bldg 3</t>
  </si>
  <si>
    <t>Cost Segregation Study - Bldg 4</t>
  </si>
  <si>
    <t>Coral Village Housing LP - Bldg 4</t>
  </si>
  <si>
    <t>Cost Segregation Study - Bldg 5</t>
  </si>
  <si>
    <t>Coral Village Housing LP - Bldg 5</t>
  </si>
  <si>
    <t>Cost Segregation Study - Bldg 6</t>
  </si>
  <si>
    <t>Coral Village Housing LP - Bldg 6</t>
  </si>
  <si>
    <t>Cost Segregation Study - Bldg 7</t>
  </si>
  <si>
    <t>Coral Village Housing LP - Bldg 7</t>
  </si>
  <si>
    <t>Cost Segregation Study - Bldg 8</t>
  </si>
  <si>
    <t>Coral Village Housing LP - Bldg 8</t>
  </si>
  <si>
    <t>Cost Segregation Study - Bldg 9</t>
  </si>
  <si>
    <t>Coral Village Housing LP - Bldg 9</t>
  </si>
  <si>
    <t>Cost Segregation Study - Office</t>
  </si>
  <si>
    <t>Coral Village Housing LP - Office</t>
  </si>
  <si>
    <t>Security System</t>
  </si>
  <si>
    <t>Specialty Plumbing - Kitchen Sink / Laundry</t>
  </si>
  <si>
    <t>Canopies / Awnings</t>
  </si>
  <si>
    <t>Emergency Lighting</t>
  </si>
  <si>
    <t>Ceramic Tile Flooring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</si>
</sst>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0.0%"/>
    <numFmt numFmtId="166" formatCode="_([$$-409]* #,##0.00_);_([$$-409]* \(#,##0.00\);_([$$-409]* &quot;-&quot;??_);_(@_)"/>
  </numFmts>
  <fonts count="13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1"/>
      <color theme="6"/>
      <name val="Calibri"/>
      <family val="2"/>
      <scheme val="minor"/>
    </font>
    <font>
      <sz val="11"/>
      <color rgb="FFFF0000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6"/>
      <name val="Calibri"/>
    </font>
    <font>
      <b/>
      <sz val="11"/>
      <color rgb="FFFF0000"/>
      <name val="Calibri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</font>
    <font>
      <b/>
      <sz val="11"/>
      <color theme="6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2" fillId="0" borderId="0" xfId="0" applyNumberFormat="1" applyFont="1"/>
    <xf numFmtId="0" fontId="1" fillId="3" borderId="0" xfId="0" applyFont="1" applyFill="1"/>
    <xf numFmtId="44" fontId="1" fillId="3" borderId="0" xfId="0" applyNumberFormat="1" applyFont="1" applyFill="1"/>
    <xf numFmtId="39" fontId="2" fillId="0" borderId="0" xfId="0" applyNumberFormat="1" applyFont="1"/>
    <xf numFmtId="0" fontId="1" fillId="5" borderId="0" xfId="0" applyFont="1" applyFill="1"/>
    <xf numFmtId="164" fontId="2" fillId="0" borderId="0" xfId="0" applyNumberFormat="1" applyFont="1"/>
    <xf numFmtId="164" fontId="1" fillId="3" borderId="0" xfId="0" applyNumberFormat="1" applyFont="1" applyFill="1"/>
    <xf numFmtId="165" fontId="2" fillId="0" borderId="0" xfId="0" applyNumberFormat="1" applyFont="1"/>
    <xf numFmtId="166" fontId="2" fillId="0" borderId="0" xfId="0" applyNumberFormat="1" applyFont="1"/>
    <xf numFmtId="166" fontId="0" fillId="0" borderId="0" xfId="0" applyNumberFormat="1"/>
    <xf numFmtId="0" fontId="3" fillId="0" borderId="0" xfId="0" applyFont="1"/>
    <xf numFmtId="44" fontId="3" fillId="0" borderId="0" xfId="0" applyNumberFormat="1" applyFont="1"/>
    <xf numFmtId="166" fontId="3" fillId="0" borderId="0" xfId="0" applyNumberFormat="1" applyFont="1"/>
    <xf numFmtId="39" fontId="4" fillId="0" borderId="0" xfId="0" applyNumberFormat="1" applyFont="1"/>
    <xf numFmtId="164" fontId="0" fillId="0" borderId="0" xfId="0" applyNumberFormat="1"/>
    <xf numFmtId="164" fontId="3" fillId="0" borderId="0" xfId="0" applyNumberFormat="1" applyFont="1"/>
    <xf numFmtId="39" fontId="7" fillId="0" borderId="0" xfId="0" applyNumberFormat="1" applyFont="1"/>
    <xf numFmtId="0" fontId="1" fillId="2" borderId="0" xfId="0" applyFont="1" applyFill="1" applyAlignment="1">
      <alignment horizontal="center"/>
    </xf>
    <xf numFmtId="166" fontId="0" fillId="6" borderId="0" xfId="0" applyNumberFormat="1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" fillId="4" borderId="0" xfId="0" applyFont="1" applyFill="1"/>
    <xf numFmtId="0" fontId="5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39" fontId="8" fillId="4" borderId="0" xfId="0" applyNumberFormat="1" applyFont="1" applyFill="1"/>
    <xf numFmtId="166" fontId="8" fillId="4" borderId="0" xfId="0" applyNumberFormat="1" applyFont="1" applyFill="1"/>
    <xf numFmtId="0" fontId="10" fillId="7" borderId="0" xfId="0" applyFont="1" applyFill="1"/>
    <xf numFmtId="0" fontId="11" fillId="7" borderId="0" xfId="0" applyFont="1" applyFill="1"/>
    <xf numFmtId="166" fontId="7" fillId="0" borderId="0" xfId="0" applyNumberFormat="1" applyFont="1"/>
    <xf numFmtId="166" fontId="6" fillId="6" borderId="0" xfId="0" applyNumberFormat="1" applyFont="1" applyFill="1"/>
    <xf numFmtId="166" fontId="0" fillId="0" borderId="0" xfId="0" applyNumberFormat="1" applyAlignment="1">
      <alignment horizontal="center"/>
    </xf>
    <xf numFmtId="166" fontId="12" fillId="0" borderId="0" xfId="0" applyNumberFormat="1" applyFont="1"/>
    <xf numFmtId="164" fontId="1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4"/>
  <sheetViews>
    <sheetView tabSelected="1" topLeftCell="A6" workbookViewId="0">
      <selection activeCell="B27" sqref="B27"/>
    </sheetView>
  </sheetViews>
  <sheetFormatPr defaultRowHeight="15"/>
  <cols>
    <col min="1" max="1" width="14" customWidth="1"/>
    <col min="2" max="2" width="50" customWidth="1"/>
    <col min="3" max="4" width="12" customWidth="1"/>
    <col min="5" max="5" width="5" style="23" customWidth="1"/>
    <col min="6" max="16" width="16" customWidth="1"/>
    <col min="18" max="18" width="16" customWidth="1"/>
    <col min="20" max="30" width="16" customWidth="1"/>
    <col min="32" max="32" width="16" customWidth="1"/>
  </cols>
  <sheetData>
    <row r="1" spans="1:32">
      <c r="A1" s="1" t="s">
        <v>0</v>
      </c>
    </row>
    <row r="2" spans="1:32">
      <c r="A2" s="2" t="s">
        <v>1</v>
      </c>
    </row>
    <row r="3" spans="1:32">
      <c r="A3" s="2" t="s">
        <v>2</v>
      </c>
    </row>
    <row r="9" spans="1:32">
      <c r="T9" s="33" t="s">
        <v>3</v>
      </c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</row>
    <row r="10" spans="1:32">
      <c r="A10" s="3" t="s">
        <v>4</v>
      </c>
      <c r="B10" s="3" t="s">
        <v>5</v>
      </c>
      <c r="E10" s="21" t="s">
        <v>6</v>
      </c>
      <c r="F10" s="21" t="s">
        <v>7</v>
      </c>
      <c r="G10" s="21" t="s">
        <v>8</v>
      </c>
      <c r="H10" s="21" t="s">
        <v>9</v>
      </c>
      <c r="I10" s="21" t="s">
        <v>10</v>
      </c>
      <c r="J10" s="21" t="s">
        <v>11</v>
      </c>
      <c r="K10" s="21" t="s">
        <v>12</v>
      </c>
      <c r="L10" s="21" t="s">
        <v>13</v>
      </c>
      <c r="M10" s="21" t="s">
        <v>14</v>
      </c>
      <c r="N10" s="21" t="s">
        <v>15</v>
      </c>
      <c r="O10" s="21" t="s">
        <v>16</v>
      </c>
      <c r="P10" s="21" t="s">
        <v>17</v>
      </c>
      <c r="R10" s="21" t="s">
        <v>18</v>
      </c>
      <c r="T10" s="21" t="s">
        <v>8</v>
      </c>
      <c r="U10" s="21" t="s">
        <v>9</v>
      </c>
      <c r="V10" s="21" t="s">
        <v>10</v>
      </c>
      <c r="W10" s="21" t="s">
        <v>11</v>
      </c>
      <c r="X10" s="21" t="s">
        <v>12</v>
      </c>
      <c r="Y10" s="21" t="s">
        <v>13</v>
      </c>
      <c r="Z10" s="21" t="s">
        <v>14</v>
      </c>
      <c r="AA10" s="21" t="s">
        <v>15</v>
      </c>
      <c r="AB10" s="21" t="s">
        <v>16</v>
      </c>
      <c r="AC10" s="21" t="s">
        <v>17</v>
      </c>
      <c r="AD10" s="21" t="s">
        <v>7</v>
      </c>
      <c r="AF10" s="3" t="s">
        <v>19</v>
      </c>
    </row>
    <row r="11" spans="1:32">
      <c r="A11" s="2" t="s">
        <v>20</v>
      </c>
      <c r="B11" s="2" t="s">
        <v>21</v>
      </c>
      <c r="E11" s="24">
        <v>2</v>
      </c>
      <c r="F11" s="12">
        <v>531007.07000000007</v>
      </c>
      <c r="G11" s="12">
        <v>383408.73</v>
      </c>
      <c r="H11" s="12">
        <v>302676.39</v>
      </c>
      <c r="I11" s="12">
        <v>383408.73</v>
      </c>
      <c r="J11" s="12">
        <v>302676.39</v>
      </c>
      <c r="K11" s="12">
        <v>383408.73</v>
      </c>
      <c r="L11" s="12">
        <v>302676.39</v>
      </c>
      <c r="M11" s="12">
        <v>383408.73</v>
      </c>
      <c r="N11" s="12">
        <v>302676.39</v>
      </c>
      <c r="O11" s="12">
        <v>302676.39</v>
      </c>
      <c r="P11" s="12">
        <v>119699.06</v>
      </c>
      <c r="Q11" s="13"/>
      <c r="R11" s="12">
        <f>SUM(F11:P11)</f>
        <v>3697723.0000000005</v>
      </c>
    </row>
    <row r="12" spans="1:32">
      <c r="A12" s="2" t="s">
        <v>20</v>
      </c>
      <c r="B12" s="2" t="s">
        <v>22</v>
      </c>
      <c r="E12" s="24">
        <v>3</v>
      </c>
      <c r="F12" s="12">
        <v>57862.97</v>
      </c>
      <c r="G12" s="12">
        <v>41779.440000000002</v>
      </c>
      <c r="H12" s="12">
        <v>32982.17</v>
      </c>
      <c r="I12" s="12">
        <v>41779.440000000002</v>
      </c>
      <c r="J12" s="12">
        <v>32982.17</v>
      </c>
      <c r="K12" s="12">
        <v>41779.440000000002</v>
      </c>
      <c r="L12" s="12">
        <v>32982.17</v>
      </c>
      <c r="M12" s="12">
        <v>41779.440000000002</v>
      </c>
      <c r="N12" s="12">
        <v>32982.17</v>
      </c>
      <c r="O12" s="12">
        <v>32982.17</v>
      </c>
      <c r="P12" s="12">
        <v>13043.42</v>
      </c>
      <c r="Q12" s="13"/>
      <c r="R12" s="12">
        <f>SUM(F12:P12)</f>
        <v>402934.99999999994</v>
      </c>
    </row>
    <row r="13" spans="1:32">
      <c r="A13" s="2" t="s">
        <v>20</v>
      </c>
      <c r="B13" s="2" t="s">
        <v>23</v>
      </c>
      <c r="E13" s="24">
        <v>4</v>
      </c>
      <c r="F13" s="12">
        <v>108493.26</v>
      </c>
      <c r="G13" s="12">
        <v>78336.539999999994</v>
      </c>
      <c r="H13" s="12">
        <v>61841.63</v>
      </c>
      <c r="I13" s="12">
        <v>78336.539999999994</v>
      </c>
      <c r="J13" s="12">
        <v>61841.63</v>
      </c>
      <c r="K13" s="12">
        <v>78336.539999999994</v>
      </c>
      <c r="L13" s="12">
        <v>61841.63</v>
      </c>
      <c r="M13" s="12">
        <v>78336.539999999994</v>
      </c>
      <c r="N13" s="12">
        <v>61841.63</v>
      </c>
      <c r="O13" s="12">
        <v>61841.63</v>
      </c>
      <c r="P13" s="12">
        <v>24456.43</v>
      </c>
      <c r="Q13" s="13"/>
      <c r="R13" s="12">
        <f>SUM(F13:P13)</f>
        <v>755504</v>
      </c>
    </row>
    <row r="14" spans="1:32"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2"/>
    </row>
    <row r="15" spans="1:32">
      <c r="F15" s="16">
        <f>SUM(F11:F14)</f>
        <v>697363.3</v>
      </c>
      <c r="G15" s="16">
        <f>SUM(G11:G14)</f>
        <v>503524.70999999996</v>
      </c>
      <c r="H15" s="16">
        <f>SUM(H11:H14)</f>
        <v>397500.19</v>
      </c>
      <c r="I15" s="16">
        <f>SUM(I11:I14)</f>
        <v>503524.70999999996</v>
      </c>
      <c r="J15" s="16">
        <f>SUM(J11:J14)</f>
        <v>397500.19</v>
      </c>
      <c r="K15" s="16">
        <f>SUM(K11:K14)</f>
        <v>503524.70999999996</v>
      </c>
      <c r="L15" s="16">
        <f>SUM(L11:L14)</f>
        <v>397500.19</v>
      </c>
      <c r="M15" s="16">
        <f>SUM(M11:M14)</f>
        <v>503524.70999999996</v>
      </c>
      <c r="N15" s="16">
        <f>SUM(N11:N14)</f>
        <v>397500.19</v>
      </c>
      <c r="O15" s="16">
        <f>SUM(O11:O14)</f>
        <v>397500.19</v>
      </c>
      <c r="P15" s="16">
        <f>SUM(P11:P14)</f>
        <v>157198.91</v>
      </c>
      <c r="Q15" s="13"/>
      <c r="R15" s="34">
        <f>SUM(G15:P15)</f>
        <v>4158798.6999999997</v>
      </c>
    </row>
    <row r="16" spans="1:32">
      <c r="B16" s="1" t="s">
        <v>24</v>
      </c>
      <c r="F16" s="12">
        <v>697363.3</v>
      </c>
      <c r="G16" s="12">
        <v>503524.71</v>
      </c>
      <c r="H16" s="12">
        <v>397500.19</v>
      </c>
      <c r="I16" s="12">
        <v>503524.71</v>
      </c>
      <c r="J16" s="12">
        <v>397500.19</v>
      </c>
      <c r="K16" s="12">
        <v>503524.71</v>
      </c>
      <c r="L16" s="12">
        <v>397500.19</v>
      </c>
      <c r="M16" s="12">
        <v>503524.71</v>
      </c>
      <c r="N16" s="12">
        <v>397500.19</v>
      </c>
      <c r="O16" s="12">
        <v>397500.19</v>
      </c>
      <c r="P16" s="12">
        <v>157198.91</v>
      </c>
      <c r="Q16" s="13"/>
      <c r="R16" s="12">
        <f>SUM(G16:P16)</f>
        <v>4158798.7</v>
      </c>
      <c r="T16" s="4">
        <v>166008.92000000001</v>
      </c>
      <c r="U16" s="4">
        <v>131053.31</v>
      </c>
      <c r="V16" s="4">
        <v>166008.92000000001</v>
      </c>
      <c r="W16" s="4">
        <v>131053.31</v>
      </c>
      <c r="X16" s="4">
        <v>166008.92000000001</v>
      </c>
      <c r="Y16" s="4">
        <v>131053.31</v>
      </c>
      <c r="Z16" s="4">
        <v>166008.92000000001</v>
      </c>
      <c r="AA16" s="4">
        <v>131053.31</v>
      </c>
      <c r="AB16" s="4">
        <v>131053.31</v>
      </c>
      <c r="AC16" s="4">
        <v>51827.49</v>
      </c>
      <c r="AD16" s="4">
        <v>229916.28</v>
      </c>
      <c r="AF16" s="4">
        <v>1601046</v>
      </c>
    </row>
    <row r="17" spans="2:32"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2"/>
      <c r="T17" s="4">
        <v>166008.92000000001</v>
      </c>
      <c r="U17" s="4">
        <v>131053.31</v>
      </c>
      <c r="V17" s="4">
        <v>166008.92000000001</v>
      </c>
      <c r="W17" s="4">
        <v>131053.31</v>
      </c>
      <c r="X17" s="4">
        <v>166008.92000000001</v>
      </c>
      <c r="Y17" s="4">
        <v>131053.31</v>
      </c>
      <c r="Z17" s="4">
        <v>166008.92000000001</v>
      </c>
      <c r="AA17" s="4">
        <v>131053.31</v>
      </c>
      <c r="AB17" s="4">
        <v>131053.31</v>
      </c>
      <c r="AC17" s="4">
        <v>51827.49</v>
      </c>
      <c r="AD17" s="4">
        <v>229916.28</v>
      </c>
      <c r="AF17" s="4">
        <v>1601046</v>
      </c>
    </row>
    <row r="18" spans="2:32">
      <c r="B18" s="1" t="s">
        <v>25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2"/>
    </row>
    <row r="19" spans="2:32"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2"/>
    </row>
    <row r="20" spans="2:32">
      <c r="B20" s="2" t="s">
        <v>26</v>
      </c>
      <c r="F20" s="13"/>
      <c r="G20" s="12">
        <v>95762.44</v>
      </c>
      <c r="H20" s="12">
        <v>83590.83</v>
      </c>
      <c r="I20" s="12">
        <v>95762.44</v>
      </c>
      <c r="J20" s="12">
        <v>83590.83</v>
      </c>
      <c r="K20" s="12">
        <v>95762.44</v>
      </c>
      <c r="L20" s="12">
        <v>83590.83</v>
      </c>
      <c r="M20" s="12">
        <v>95762.44</v>
      </c>
      <c r="N20" s="12">
        <v>83590.83</v>
      </c>
      <c r="O20" s="12">
        <v>83590.83</v>
      </c>
      <c r="P20" s="12">
        <v>18498.54</v>
      </c>
      <c r="Q20" s="13"/>
      <c r="R20" s="12">
        <f>SUM(F20:P20)</f>
        <v>819502.45</v>
      </c>
      <c r="T20" s="4">
        <v>95762.44</v>
      </c>
      <c r="U20" s="4">
        <v>83590.83</v>
      </c>
      <c r="V20" s="4">
        <v>95762.44</v>
      </c>
      <c r="W20" s="4">
        <v>83590.83</v>
      </c>
      <c r="X20" s="4">
        <v>95762.44</v>
      </c>
      <c r="Y20" s="4">
        <v>83590.83</v>
      </c>
      <c r="Z20" s="4">
        <v>95762.44</v>
      </c>
      <c r="AA20" s="4">
        <v>83590.83</v>
      </c>
      <c r="AB20" s="4">
        <v>83590.83</v>
      </c>
      <c r="AC20" s="4">
        <v>18498.54</v>
      </c>
      <c r="AF20" s="4">
        <v>819502.45</v>
      </c>
    </row>
    <row r="21" spans="2:32">
      <c r="B21" s="2" t="s">
        <v>27</v>
      </c>
      <c r="F21" s="12">
        <v>290971.55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2">
        <f>SUM(F21:P21)</f>
        <v>290971.55</v>
      </c>
      <c r="AD21" s="4">
        <v>290971.55</v>
      </c>
      <c r="AF21" s="4">
        <v>290971.55</v>
      </c>
    </row>
    <row r="22" spans="2:32">
      <c r="B22" s="2" t="s">
        <v>28</v>
      </c>
      <c r="F22" s="12">
        <v>238751.37000000011</v>
      </c>
      <c r="G22" s="12">
        <v>287646.28999999998</v>
      </c>
      <c r="H22" s="12">
        <v>219085.56</v>
      </c>
      <c r="I22" s="12">
        <v>287646.28999999998</v>
      </c>
      <c r="J22" s="12">
        <v>219085.56</v>
      </c>
      <c r="K22" s="12">
        <v>287646.28999999998</v>
      </c>
      <c r="L22" s="12">
        <v>219085.56</v>
      </c>
      <c r="M22" s="12">
        <v>287646.28999999998</v>
      </c>
      <c r="N22" s="12">
        <v>219085.56</v>
      </c>
      <c r="O22" s="12">
        <v>219085.56</v>
      </c>
      <c r="P22" s="12">
        <v>101200.52</v>
      </c>
      <c r="Q22" s="13"/>
      <c r="R22" s="12">
        <f>SUM(F22:P22)</f>
        <v>2585964.8500000006</v>
      </c>
      <c r="T22" s="4">
        <v>287646.28999999998</v>
      </c>
      <c r="U22" s="4">
        <v>219085.56</v>
      </c>
      <c r="V22" s="4">
        <v>287646.28999999998</v>
      </c>
      <c r="W22" s="4">
        <v>219085.56</v>
      </c>
      <c r="X22" s="4">
        <v>287646.28999999998</v>
      </c>
      <c r="Y22" s="4">
        <v>219085.56</v>
      </c>
      <c r="Z22" s="4">
        <v>287646.28999999998</v>
      </c>
      <c r="AA22" s="4">
        <v>219085.56</v>
      </c>
      <c r="AB22" s="4">
        <v>219085.56</v>
      </c>
      <c r="AC22" s="4">
        <v>101200.52</v>
      </c>
      <c r="AD22" s="4">
        <v>238751.37000000011</v>
      </c>
      <c r="AF22" s="4">
        <v>2585964.85</v>
      </c>
    </row>
    <row r="23" spans="2:32">
      <c r="B23" s="2" t="s">
        <v>29</v>
      </c>
      <c r="F23" s="13"/>
      <c r="G23" s="12">
        <v>10435.08</v>
      </c>
      <c r="H23" s="12">
        <v>9108.76</v>
      </c>
      <c r="I23" s="12">
        <v>10435.08</v>
      </c>
      <c r="J23" s="12">
        <v>9108.76</v>
      </c>
      <c r="K23" s="12">
        <v>10435.08</v>
      </c>
      <c r="L23" s="12">
        <v>9108.76</v>
      </c>
      <c r="M23" s="12">
        <v>10435.08</v>
      </c>
      <c r="N23" s="12">
        <v>9108.76</v>
      </c>
      <c r="O23" s="12">
        <v>9108.76</v>
      </c>
      <c r="P23" s="12">
        <v>2015.76</v>
      </c>
      <c r="Q23" s="13"/>
      <c r="R23" s="12">
        <f>SUM(F23:P23)</f>
        <v>89299.87999999999</v>
      </c>
      <c r="T23" s="4">
        <v>10435.08</v>
      </c>
      <c r="U23" s="4">
        <v>9108.76</v>
      </c>
      <c r="V23" s="4">
        <v>10435.08</v>
      </c>
      <c r="W23" s="4">
        <v>9108.76</v>
      </c>
      <c r="X23" s="4">
        <v>10435.08</v>
      </c>
      <c r="Y23" s="4">
        <v>9108.76</v>
      </c>
      <c r="Z23" s="4">
        <v>10435.08</v>
      </c>
      <c r="AA23" s="4">
        <v>9108.76</v>
      </c>
      <c r="AB23" s="4">
        <v>9108.76</v>
      </c>
      <c r="AC23" s="4">
        <v>2015.76</v>
      </c>
      <c r="AF23" s="4">
        <v>89299.87999999999</v>
      </c>
    </row>
    <row r="24" spans="2:32">
      <c r="B24" s="2" t="s">
        <v>30</v>
      </c>
      <c r="F24" s="12">
        <v>31706.69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2">
        <f>SUM(F24:P24)</f>
        <v>31706.69</v>
      </c>
      <c r="AD24" s="4">
        <v>31706.69</v>
      </c>
      <c r="AF24" s="4">
        <v>31706.69</v>
      </c>
    </row>
    <row r="25" spans="2:32">
      <c r="B25" s="2" t="s">
        <v>31</v>
      </c>
      <c r="F25" s="12">
        <v>26016.35</v>
      </c>
      <c r="G25" s="12">
        <v>31344.36</v>
      </c>
      <c r="H25" s="12">
        <v>23873.41</v>
      </c>
      <c r="I25" s="12">
        <v>31344.36</v>
      </c>
      <c r="J25" s="12">
        <v>23873.41</v>
      </c>
      <c r="K25" s="12">
        <v>31344.36</v>
      </c>
      <c r="L25" s="12">
        <v>23873.41</v>
      </c>
      <c r="M25" s="12">
        <v>31344.36</v>
      </c>
      <c r="N25" s="12">
        <v>23873.41</v>
      </c>
      <c r="O25" s="12">
        <v>23873.41</v>
      </c>
      <c r="P25" s="12">
        <v>11027.66</v>
      </c>
      <c r="Q25" s="13"/>
      <c r="R25" s="12">
        <f>SUM(F25:P25)</f>
        <v>281788.5</v>
      </c>
      <c r="T25" s="4">
        <v>31344.36</v>
      </c>
      <c r="U25" s="4">
        <v>23873.41</v>
      </c>
      <c r="V25" s="4">
        <v>31344.36</v>
      </c>
      <c r="W25" s="4">
        <v>23873.41</v>
      </c>
      <c r="X25" s="4">
        <v>31344.36</v>
      </c>
      <c r="Y25" s="4">
        <v>23873.41</v>
      </c>
      <c r="Z25" s="4">
        <v>31344.36</v>
      </c>
      <c r="AA25" s="4">
        <v>23873.41</v>
      </c>
      <c r="AB25" s="4">
        <v>23873.41</v>
      </c>
      <c r="AC25" s="4">
        <v>11027.66</v>
      </c>
      <c r="AD25" s="4">
        <v>26016.35</v>
      </c>
      <c r="AF25" s="4">
        <v>281788.50000000012</v>
      </c>
    </row>
    <row r="26" spans="2:32">
      <c r="B26" s="2" t="s">
        <v>32</v>
      </c>
      <c r="F26" s="13"/>
      <c r="G26" s="12">
        <v>19565.8</v>
      </c>
      <c r="H26" s="12">
        <v>17078.939999999999</v>
      </c>
      <c r="I26" s="12">
        <v>19565.8</v>
      </c>
      <c r="J26" s="12">
        <v>17078.939999999999</v>
      </c>
      <c r="K26" s="12">
        <v>19565.8</v>
      </c>
      <c r="L26" s="12">
        <v>17078.939999999999</v>
      </c>
      <c r="M26" s="12">
        <v>19565.8</v>
      </c>
      <c r="N26" s="12">
        <v>17078.939999999999</v>
      </c>
      <c r="O26" s="12">
        <v>17078.939999999999</v>
      </c>
      <c r="P26" s="12">
        <v>3779.55</v>
      </c>
      <c r="Q26" s="13"/>
      <c r="R26" s="12">
        <f>SUM(F26:P26)</f>
        <v>167437.44999999998</v>
      </c>
      <c r="T26" s="4">
        <v>19565.8</v>
      </c>
      <c r="U26" s="4">
        <v>17078.939999999999</v>
      </c>
      <c r="V26" s="4">
        <v>19565.8</v>
      </c>
      <c r="W26" s="4">
        <v>17078.939999999999</v>
      </c>
      <c r="X26" s="4">
        <v>19565.8</v>
      </c>
      <c r="Y26" s="4">
        <v>17078.939999999999</v>
      </c>
      <c r="Z26" s="4">
        <v>19565.8</v>
      </c>
      <c r="AA26" s="4">
        <v>17078.939999999999</v>
      </c>
      <c r="AB26" s="4">
        <v>17078.939999999999</v>
      </c>
      <c r="AC26" s="4">
        <v>3779.55</v>
      </c>
      <c r="AF26" s="4">
        <v>167437.45000000001</v>
      </c>
    </row>
    <row r="27" spans="2:32">
      <c r="B27" s="2" t="s">
        <v>33</v>
      </c>
      <c r="F27" s="12">
        <v>59450.16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2">
        <f>SUM(F27:P27)</f>
        <v>59450.16</v>
      </c>
      <c r="AD27" s="4">
        <v>59450.16</v>
      </c>
      <c r="AF27" s="4">
        <v>59450.16</v>
      </c>
    </row>
    <row r="28" spans="2:32">
      <c r="B28" s="2" t="s">
        <v>34</v>
      </c>
      <c r="F28" s="12">
        <v>48780.73000000001</v>
      </c>
      <c r="G28" s="12">
        <v>58770.739999999991</v>
      </c>
      <c r="H28" s="12">
        <v>44762.69</v>
      </c>
      <c r="I28" s="12">
        <v>58770.739999999991</v>
      </c>
      <c r="J28" s="12">
        <v>44762.69</v>
      </c>
      <c r="K28" s="12">
        <v>58770.739999999991</v>
      </c>
      <c r="L28" s="12">
        <v>44762.69</v>
      </c>
      <c r="M28" s="12">
        <v>58770.739999999991</v>
      </c>
      <c r="N28" s="12">
        <v>44762.69</v>
      </c>
      <c r="O28" s="12">
        <v>44762.69</v>
      </c>
      <c r="P28" s="12">
        <v>20676.88</v>
      </c>
      <c r="Q28" s="13"/>
      <c r="R28" s="12">
        <f>SUM(F28:P28)</f>
        <v>528354.0199999999</v>
      </c>
      <c r="T28" s="4">
        <v>58770.739999999991</v>
      </c>
      <c r="U28" s="4">
        <v>44762.69</v>
      </c>
      <c r="V28" s="4">
        <v>58770.739999999991</v>
      </c>
      <c r="W28" s="4">
        <v>44762.69</v>
      </c>
      <c r="X28" s="4">
        <v>58770.739999999991</v>
      </c>
      <c r="Y28" s="4">
        <v>44762.69</v>
      </c>
      <c r="Z28" s="4">
        <v>58770.739999999991</v>
      </c>
      <c r="AA28" s="4">
        <v>44762.69</v>
      </c>
      <c r="AB28" s="4">
        <v>44762.69</v>
      </c>
      <c r="AC28" s="4">
        <v>20676.88</v>
      </c>
      <c r="AD28" s="4">
        <v>48780.73000000001</v>
      </c>
      <c r="AF28" s="4">
        <v>528354.02</v>
      </c>
    </row>
    <row r="29" spans="2:32">
      <c r="R29" s="12"/>
    </row>
    <row r="30" spans="2:32">
      <c r="R30" s="12"/>
    </row>
    <row r="31" spans="2:32">
      <c r="R31" s="12"/>
    </row>
    <row r="32" spans="2:32" s="14" customFormat="1">
      <c r="E32" s="25"/>
      <c r="F32" s="15">
        <f>SUM(F20:F31)</f>
        <v>695676.85000000009</v>
      </c>
      <c r="G32" s="15">
        <f>SUM(G20:G31)</f>
        <v>503524.70999999996</v>
      </c>
      <c r="H32" s="15">
        <f>SUM(H20:H31)</f>
        <v>397500.19</v>
      </c>
      <c r="I32" s="15">
        <f>SUM(I20:I31)</f>
        <v>503524.70999999996</v>
      </c>
      <c r="J32" s="15">
        <f>SUM(J20:J31)</f>
        <v>397500.19</v>
      </c>
      <c r="K32" s="15">
        <f>SUM(K20:K31)</f>
        <v>503524.70999999996</v>
      </c>
      <c r="L32" s="15">
        <f>SUM(L20:L31)</f>
        <v>397500.19</v>
      </c>
      <c r="M32" s="15">
        <f>SUM(M20:M31)</f>
        <v>503524.70999999996</v>
      </c>
      <c r="N32" s="15">
        <f>SUM(N20:N31)</f>
        <v>397500.19</v>
      </c>
      <c r="O32" s="15">
        <f>SUM(O20:O31)</f>
        <v>397500.19</v>
      </c>
      <c r="P32" s="15">
        <f>SUM(P20:P31)</f>
        <v>157198.90999999997</v>
      </c>
      <c r="Q32" s="15"/>
      <c r="R32" s="15">
        <f t="shared" ref="Q32:R32" si="0">SUM(R20:R31)</f>
        <v>4854475.55</v>
      </c>
      <c r="S32" s="15"/>
      <c r="T32" s="15">
        <f t="shared" ref="T32" si="1">SUM(T20:T31)</f>
        <v>503524.70999999996</v>
      </c>
      <c r="U32" s="15">
        <f t="shared" ref="U32" si="2">SUM(U20:U31)</f>
        <v>397500.19</v>
      </c>
      <c r="V32" s="15">
        <f t="shared" ref="V32" si="3">SUM(V20:V31)</f>
        <v>503524.70999999996</v>
      </c>
      <c r="W32" s="15">
        <f t="shared" ref="W32" si="4">SUM(W20:W31)</f>
        <v>397500.19</v>
      </c>
      <c r="X32" s="15">
        <f t="shared" ref="X32" si="5">SUM(X20:X31)</f>
        <v>503524.70999999996</v>
      </c>
      <c r="Y32" s="15">
        <f t="shared" ref="Y32" si="6">SUM(Y20:Y31)</f>
        <v>397500.19</v>
      </c>
      <c r="Z32" s="15">
        <f t="shared" ref="Z32" si="7">SUM(Z20:Z31)</f>
        <v>503524.70999999996</v>
      </c>
      <c r="AA32" s="15">
        <f t="shared" ref="AA32" si="8">SUM(AA20:AA31)</f>
        <v>397500.19</v>
      </c>
      <c r="AB32" s="15">
        <f t="shared" ref="AB32" si="9">SUM(AB20:AB31)</f>
        <v>397500.19</v>
      </c>
      <c r="AC32" s="15">
        <f t="shared" ref="AC32" si="10">SUM(AC20:AC31)</f>
        <v>157198.90999999997</v>
      </c>
      <c r="AD32" s="15">
        <f t="shared" ref="AD32" si="11">SUM(AD20:AD31)</f>
        <v>695676.85000000009</v>
      </c>
      <c r="AE32" s="15"/>
      <c r="AF32" s="15">
        <f t="shared" ref="AF32" si="12">SUM(AF20:AF31)</f>
        <v>4854475.5500000007</v>
      </c>
    </row>
    <row r="33" spans="2:19">
      <c r="B33" s="5" t="s">
        <v>35</v>
      </c>
      <c r="F33" s="6">
        <f>SUM(F20:F31)</f>
        <v>695676.85000000009</v>
      </c>
      <c r="G33" s="6">
        <f>SUM(G20:G31)</f>
        <v>503524.70999999996</v>
      </c>
      <c r="H33" s="6">
        <f>SUM(H20:H31)</f>
        <v>397500.19</v>
      </c>
      <c r="I33" s="6">
        <f>SUM(I20:I31)</f>
        <v>503524.70999999996</v>
      </c>
      <c r="J33" s="6">
        <f>SUM(J20:J31)</f>
        <v>397500.19</v>
      </c>
      <c r="K33" s="6">
        <f>SUM(K20:K31)</f>
        <v>503524.70999999996</v>
      </c>
      <c r="L33" s="6">
        <f>SUM(L20:L31)</f>
        <v>397500.19</v>
      </c>
      <c r="M33" s="6">
        <f>SUM(M20:M31)</f>
        <v>503524.70999999996</v>
      </c>
      <c r="N33" s="6">
        <f>SUM(N20:N31)</f>
        <v>397500.19</v>
      </c>
      <c r="O33" s="6">
        <f>SUM(O20:O31)</f>
        <v>397500.19</v>
      </c>
      <c r="P33" s="6">
        <f>SUM(P20:P31)</f>
        <v>157198.90999999997</v>
      </c>
      <c r="R33" s="6">
        <v>4856162</v>
      </c>
    </row>
    <row r="35" spans="2:19">
      <c r="B35" s="1" t="s">
        <v>36</v>
      </c>
      <c r="F35" s="22">
        <f>F33-F32</f>
        <v>0</v>
      </c>
      <c r="G35" s="22">
        <f>+G16-G33</f>
        <v>0</v>
      </c>
      <c r="H35" s="22">
        <f>+H16-H33</f>
        <v>0</v>
      </c>
      <c r="I35" s="22">
        <f>+I16-I33</f>
        <v>0</v>
      </c>
      <c r="J35" s="22">
        <f>+J16-J33</f>
        <v>0</v>
      </c>
      <c r="K35" s="22">
        <f>+K16-K33</f>
        <v>0</v>
      </c>
      <c r="L35" s="22">
        <f>+L16-L33</f>
        <v>0</v>
      </c>
      <c r="M35" s="22">
        <f>+M16-M33</f>
        <v>0</v>
      </c>
      <c r="N35" s="22">
        <f>+N16-N33</f>
        <v>0</v>
      </c>
      <c r="O35" s="22">
        <f>+O16-O33</f>
        <v>0</v>
      </c>
      <c r="P35" s="22">
        <f>+P16-P33</f>
        <v>0</v>
      </c>
      <c r="Q35" s="13"/>
      <c r="R35" s="35">
        <f>R33-R32</f>
        <v>1686.4500000001863</v>
      </c>
      <c r="S35" s="28" t="s">
        <v>37</v>
      </c>
    </row>
    <row r="36" spans="2:19"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 spans="2:19">
      <c r="B37" s="1" t="s">
        <v>38</v>
      </c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spans="2:19">
      <c r="B38" s="2" t="s">
        <v>39</v>
      </c>
      <c r="F38" s="12">
        <v>229916.28</v>
      </c>
      <c r="G38" s="12">
        <v>166008.92000000001</v>
      </c>
      <c r="H38" s="12">
        <v>131053.31</v>
      </c>
      <c r="I38" s="12">
        <v>166008.92000000001</v>
      </c>
      <c r="J38" s="12">
        <v>131053.31</v>
      </c>
      <c r="K38" s="12">
        <v>166008.92000000001</v>
      </c>
      <c r="L38" s="12">
        <v>131053.31</v>
      </c>
      <c r="M38" s="12">
        <v>166008.92000000001</v>
      </c>
      <c r="N38" s="12">
        <v>131053.31</v>
      </c>
      <c r="O38" s="12">
        <v>131053.31</v>
      </c>
      <c r="P38" s="12">
        <v>51827.49</v>
      </c>
      <c r="R38" s="12">
        <v>1601046</v>
      </c>
    </row>
    <row r="39" spans="2:19">
      <c r="B39" s="2" t="s">
        <v>26</v>
      </c>
      <c r="F39" s="13"/>
      <c r="G39" s="12">
        <v>32517.73494678504</v>
      </c>
      <c r="H39" s="12">
        <v>30327.7732613753</v>
      </c>
      <c r="I39" s="12">
        <v>32517.73494678504</v>
      </c>
      <c r="J39" s="12">
        <v>30327.7732613753</v>
      </c>
      <c r="K39" s="12">
        <v>32517.73494678504</v>
      </c>
      <c r="L39" s="12">
        <v>30327.7732613753</v>
      </c>
      <c r="M39" s="12">
        <v>32517.73494678504</v>
      </c>
      <c r="N39" s="12">
        <v>30327.7732613753</v>
      </c>
      <c r="O39" s="12">
        <v>30327.7732613753</v>
      </c>
      <c r="P39" s="12">
        <v>4730.8355367947524</v>
      </c>
      <c r="R39" s="12">
        <v>286440.64163081138</v>
      </c>
    </row>
    <row r="40" spans="2:19">
      <c r="B40" s="2" t="s">
        <v>27</v>
      </c>
      <c r="F40" s="12">
        <v>175804.48233588139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R40" s="12">
        <v>175804.48233588139</v>
      </c>
    </row>
    <row r="41" spans="2:19">
      <c r="B41" s="2" t="s">
        <v>28</v>
      </c>
      <c r="F41" s="12">
        <v>144253.14437041181</v>
      </c>
      <c r="G41" s="12">
        <v>97675.099095700381</v>
      </c>
      <c r="H41" s="12">
        <v>79486.914874770766</v>
      </c>
      <c r="I41" s="12">
        <v>97675.099095700381</v>
      </c>
      <c r="J41" s="12">
        <v>79486.914874770766</v>
      </c>
      <c r="K41" s="12">
        <v>97675.099095700381</v>
      </c>
      <c r="L41" s="12">
        <v>79486.914874770766</v>
      </c>
      <c r="M41" s="12">
        <v>97675.099095700381</v>
      </c>
      <c r="N41" s="12">
        <v>79486.914874770766</v>
      </c>
      <c r="O41" s="12">
        <v>79486.914874770766</v>
      </c>
      <c r="P41" s="12">
        <v>25881.124475667159</v>
      </c>
      <c r="R41" s="12">
        <v>958269.23960273445</v>
      </c>
    </row>
    <row r="42" spans="2:19">
      <c r="B42" s="2" t="s">
        <v>29</v>
      </c>
      <c r="F42" s="13"/>
      <c r="G42" s="12">
        <v>3543.4055939729351</v>
      </c>
      <c r="H42" s="12">
        <v>3304.769290749774</v>
      </c>
      <c r="I42" s="12">
        <v>3543.4055939729351</v>
      </c>
      <c r="J42" s="12">
        <v>3304.769290749774</v>
      </c>
      <c r="K42" s="12">
        <v>3543.4055939729351</v>
      </c>
      <c r="L42" s="12">
        <v>3304.769290749774</v>
      </c>
      <c r="M42" s="12">
        <v>3543.4055939729351</v>
      </c>
      <c r="N42" s="12">
        <v>3304.769290749774</v>
      </c>
      <c r="O42" s="12">
        <v>3304.769290749774</v>
      </c>
      <c r="P42" s="12">
        <v>515.51252378022207</v>
      </c>
      <c r="R42" s="12">
        <v>31212.981353420819</v>
      </c>
    </row>
    <row r="43" spans="2:19">
      <c r="B43" s="2" t="s">
        <v>30</v>
      </c>
      <c r="F43" s="12">
        <v>19157.124543737249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R43" s="12">
        <v>19157.124543737249</v>
      </c>
    </row>
    <row r="44" spans="2:19">
      <c r="B44" s="2" t="s">
        <v>31</v>
      </c>
      <c r="F44" s="12">
        <v>15719.0314448925</v>
      </c>
      <c r="G44" s="12">
        <v>10643.50063090091</v>
      </c>
      <c r="H44" s="12">
        <v>8661.5644976350814</v>
      </c>
      <c r="I44" s="12">
        <v>10643.50063090091</v>
      </c>
      <c r="J44" s="12">
        <v>8661.5644976350814</v>
      </c>
      <c r="K44" s="12">
        <v>10643.50063090091</v>
      </c>
      <c r="L44" s="12">
        <v>8661.5644976350814</v>
      </c>
      <c r="M44" s="12">
        <v>10643.50063090091</v>
      </c>
      <c r="N44" s="12">
        <v>8661.5644976350814</v>
      </c>
      <c r="O44" s="12">
        <v>8661.5644976350814</v>
      </c>
      <c r="P44" s="12">
        <v>2820.2250456354941</v>
      </c>
      <c r="R44" s="12">
        <v>104421.0815023071</v>
      </c>
    </row>
    <row r="45" spans="2:19">
      <c r="B45" s="2" t="s">
        <v>32</v>
      </c>
      <c r="F45" s="13"/>
      <c r="G45" s="12">
        <v>6643.8939778665472</v>
      </c>
      <c r="H45" s="12">
        <v>6196.4478623388841</v>
      </c>
      <c r="I45" s="12">
        <v>6643.8939778665472</v>
      </c>
      <c r="J45" s="12">
        <v>6196.4478623388841</v>
      </c>
      <c r="K45" s="12">
        <v>6643.8939778665472</v>
      </c>
      <c r="L45" s="12">
        <v>6196.4478623388841</v>
      </c>
      <c r="M45" s="12">
        <v>6643.8939778665472</v>
      </c>
      <c r="N45" s="12">
        <v>6196.4478623388841</v>
      </c>
      <c r="O45" s="12">
        <v>6196.4478623388841</v>
      </c>
      <c r="P45" s="12">
        <v>966.58598208791648</v>
      </c>
      <c r="R45" s="12">
        <v>58524.401205248527</v>
      </c>
    </row>
    <row r="46" spans="2:19">
      <c r="B46" s="2" t="s">
        <v>33</v>
      </c>
      <c r="F46" s="12">
        <v>35919.678757546317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R46" s="12">
        <v>35919.678757546317</v>
      </c>
    </row>
    <row r="47" spans="2:19">
      <c r="B47" s="2" t="s">
        <v>34</v>
      </c>
      <c r="F47" s="12">
        <v>29473.228518789569</v>
      </c>
      <c r="G47" s="12">
        <v>19956.58575477418</v>
      </c>
      <c r="H47" s="12">
        <v>16240.45021313022</v>
      </c>
      <c r="I47" s="12">
        <v>19956.58575477418</v>
      </c>
      <c r="J47" s="12">
        <v>16240.45021313022</v>
      </c>
      <c r="K47" s="12">
        <v>19956.58575477418</v>
      </c>
      <c r="L47" s="12">
        <v>16240.45021313022</v>
      </c>
      <c r="M47" s="12">
        <v>19956.58575477418</v>
      </c>
      <c r="N47" s="12">
        <v>16240.45021313022</v>
      </c>
      <c r="O47" s="12">
        <v>16240.45021313022</v>
      </c>
      <c r="P47" s="12">
        <v>5287.9264360344487</v>
      </c>
      <c r="R47" s="12">
        <v>195789.74903957179</v>
      </c>
    </row>
    <row r="51" spans="2:18">
      <c r="B51" s="2" t="s">
        <v>40</v>
      </c>
      <c r="F51" s="17"/>
      <c r="G51" s="20"/>
      <c r="H51" s="20"/>
      <c r="I51" s="20"/>
      <c r="J51" s="20"/>
      <c r="K51" s="20"/>
      <c r="L51" s="20"/>
      <c r="M51" s="20"/>
      <c r="N51" s="20"/>
      <c r="O51" s="20"/>
      <c r="P51" s="20"/>
      <c r="R51" s="7"/>
    </row>
    <row r="52" spans="2:18" s="28" customFormat="1">
      <c r="B52" s="26" t="s">
        <v>41</v>
      </c>
      <c r="E52" s="29"/>
      <c r="F52" s="30">
        <v>-191429.36</v>
      </c>
      <c r="G52" s="30">
        <v>-4971.3</v>
      </c>
      <c r="H52" s="30">
        <v>-13164.61</v>
      </c>
      <c r="I52" s="30">
        <v>-4971.3</v>
      </c>
      <c r="J52" s="30">
        <v>-13164.61</v>
      </c>
      <c r="K52" s="30">
        <v>-4971.3</v>
      </c>
      <c r="L52" s="30">
        <v>-13164.61</v>
      </c>
      <c r="M52" s="30">
        <v>-4971.3</v>
      </c>
      <c r="N52" s="30">
        <v>-13164.61</v>
      </c>
      <c r="O52" s="30">
        <v>-13164.61</v>
      </c>
      <c r="P52" s="30">
        <v>11625.28</v>
      </c>
      <c r="R52" s="30">
        <v>-265512.33</v>
      </c>
    </row>
    <row r="53" spans="2:18">
      <c r="F53" s="13">
        <f>SUM(F39:F50)</f>
        <v>420326.68997125886</v>
      </c>
      <c r="G53" s="13">
        <f>SUM(G39:G50)</f>
        <v>170980.22</v>
      </c>
      <c r="H53" s="13">
        <f>SUM(H39:H50)</f>
        <v>144217.92000000001</v>
      </c>
      <c r="I53" s="13">
        <f>SUM(I39:I50)</f>
        <v>170980.22</v>
      </c>
      <c r="J53" s="13">
        <f>SUM(J39:J50)</f>
        <v>144217.92000000001</v>
      </c>
      <c r="K53" s="13">
        <f>SUM(K39:K50)</f>
        <v>170980.22</v>
      </c>
      <c r="L53" s="13">
        <f>SUM(L39:L50)</f>
        <v>144217.92000000001</v>
      </c>
      <c r="M53" s="13">
        <f>SUM(M39:M50)</f>
        <v>170980.22</v>
      </c>
      <c r="N53" s="13">
        <f>SUM(N39:N50)</f>
        <v>144217.92000000001</v>
      </c>
      <c r="O53" s="13">
        <f>SUM(O39:O50)</f>
        <v>144217.92000000001</v>
      </c>
      <c r="P53" s="13">
        <f>SUM(P39:P50)</f>
        <v>40202.209999999992</v>
      </c>
      <c r="Q53" s="13"/>
      <c r="R53" s="13">
        <f t="shared" ref="Q53:R53" si="13">SUM(R39:R50)</f>
        <v>1865539.3799712588</v>
      </c>
    </row>
    <row r="54" spans="2:18" s="13" customFormat="1">
      <c r="E54" s="36"/>
      <c r="F54" s="16">
        <f>SUM(F39:F47)</f>
        <v>420326.68997125886</v>
      </c>
      <c r="G54" s="16">
        <f>SUM(G39:G47)</f>
        <v>170980.22</v>
      </c>
      <c r="H54" s="16">
        <f t="shared" ref="H54:P54" si="14">SUM(H39:H47)</f>
        <v>144217.92000000001</v>
      </c>
      <c r="I54" s="16">
        <f t="shared" si="14"/>
        <v>170980.22</v>
      </c>
      <c r="J54" s="16">
        <f t="shared" si="14"/>
        <v>144217.92000000001</v>
      </c>
      <c r="K54" s="16">
        <f t="shared" si="14"/>
        <v>170980.22</v>
      </c>
      <c r="L54" s="16">
        <f t="shared" si="14"/>
        <v>144217.92000000001</v>
      </c>
      <c r="M54" s="16">
        <f t="shared" si="14"/>
        <v>170980.22</v>
      </c>
      <c r="N54" s="16">
        <f t="shared" si="14"/>
        <v>144217.92000000001</v>
      </c>
      <c r="O54" s="16">
        <f t="shared" si="14"/>
        <v>144217.92000000001</v>
      </c>
      <c r="P54" s="16">
        <f t="shared" si="14"/>
        <v>40202.209999999992</v>
      </c>
      <c r="R54" s="16">
        <f>SUM(R39:R47)</f>
        <v>1865539.3799712588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8"/>
  <sheetViews>
    <sheetView topLeftCell="A11" workbookViewId="0">
      <selection activeCell="F38" sqref="F38"/>
    </sheetView>
  </sheetViews>
  <sheetFormatPr defaultRowHeight="15"/>
  <cols>
    <col min="1" max="1" width="45" customWidth="1"/>
    <col min="2" max="2" width="16" customWidth="1"/>
    <col min="3" max="7" width="14" customWidth="1"/>
  </cols>
  <sheetData>
    <row r="1" spans="1:7">
      <c r="A1" s="1" t="s">
        <v>0</v>
      </c>
    </row>
    <row r="2" spans="1:7">
      <c r="A2" s="2" t="s">
        <v>42</v>
      </c>
    </row>
    <row r="3" spans="1:7">
      <c r="A3" s="2" t="s">
        <v>43</v>
      </c>
    </row>
    <row r="5" spans="1:7">
      <c r="A5" s="2" t="s">
        <v>44</v>
      </c>
      <c r="B5" s="2" t="s">
        <v>20</v>
      </c>
    </row>
    <row r="8" spans="1:7">
      <c r="A8" s="1" t="s">
        <v>45</v>
      </c>
    </row>
    <row r="13" spans="1:7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>
        <v>52</v>
      </c>
    </row>
    <row r="15" spans="1:7">
      <c r="A15" s="8" t="s">
        <v>53</v>
      </c>
    </row>
    <row r="16" spans="1:7">
      <c r="A16" s="2" t="s">
        <v>54</v>
      </c>
      <c r="B16" s="9">
        <v>1686.45</v>
      </c>
      <c r="D16">
        <v>1686.45</v>
      </c>
    </row>
    <row r="17" spans="1:5">
      <c r="A17" s="2" t="s">
        <v>55</v>
      </c>
      <c r="B17" s="9"/>
    </row>
    <row r="18" spans="1:5">
      <c r="A18" s="2" t="s">
        <v>56</v>
      </c>
      <c r="B18" s="9">
        <v>39048.699999999997</v>
      </c>
      <c r="E18" s="9">
        <v>39048.699999999997</v>
      </c>
    </row>
    <row r="19" spans="1:5">
      <c r="A19" s="2" t="s">
        <v>57</v>
      </c>
      <c r="B19" s="9">
        <v>153576.44</v>
      </c>
      <c r="E19" s="9">
        <v>153576.44</v>
      </c>
    </row>
    <row r="20" spans="1:5">
      <c r="A20" s="2" t="s">
        <v>58</v>
      </c>
      <c r="B20" s="9">
        <v>4980.6999999999989</v>
      </c>
      <c r="E20" s="9">
        <v>4980.6999999999989</v>
      </c>
    </row>
    <row r="21" spans="1:5">
      <c r="A21" s="2" t="s">
        <v>59</v>
      </c>
      <c r="B21" s="9">
        <v>7221.77</v>
      </c>
      <c r="E21" s="9">
        <v>7221.77</v>
      </c>
    </row>
    <row r="22" spans="1:5">
      <c r="A22" s="2" t="s">
        <v>60</v>
      </c>
      <c r="B22" s="9">
        <v>84027.83</v>
      </c>
      <c r="E22" s="9">
        <v>84027.83</v>
      </c>
    </row>
    <row r="23" spans="1:5">
      <c r="A23" s="2" t="s">
        <v>61</v>
      </c>
      <c r="B23" s="9">
        <v>9631.81</v>
      </c>
      <c r="E23" s="9">
        <v>9631.81</v>
      </c>
    </row>
    <row r="24" spans="1:5">
      <c r="A24" s="2" t="s">
        <v>62</v>
      </c>
      <c r="B24" s="9">
        <v>20401.97</v>
      </c>
      <c r="E24" s="9">
        <v>20401.97</v>
      </c>
    </row>
    <row r="25" spans="1:5">
      <c r="A25" s="2" t="s">
        <v>63</v>
      </c>
      <c r="B25" s="9">
        <v>1644.48</v>
      </c>
      <c r="E25" s="9">
        <v>1644.48</v>
      </c>
    </row>
    <row r="26" spans="1:5">
      <c r="A26" s="2" t="s">
        <v>64</v>
      </c>
      <c r="B26" s="9">
        <v>11153.66</v>
      </c>
      <c r="E26" s="9">
        <v>11153.66</v>
      </c>
    </row>
    <row r="27" spans="1:5">
      <c r="A27" s="2" t="s">
        <v>65</v>
      </c>
      <c r="B27" s="9">
        <v>24156.38</v>
      </c>
      <c r="E27" s="9">
        <v>24156.38</v>
      </c>
    </row>
    <row r="28" spans="1:5">
      <c r="A28" s="2" t="s">
        <v>66</v>
      </c>
      <c r="B28" s="9">
        <v>8313.83</v>
      </c>
      <c r="E28" s="9">
        <v>8313.83</v>
      </c>
    </row>
    <row r="29" spans="1:5">
      <c r="A29" s="2" t="s">
        <v>67</v>
      </c>
      <c r="B29" s="9">
        <v>424.82</v>
      </c>
      <c r="E29" s="9">
        <v>424.82</v>
      </c>
    </row>
    <row r="30" spans="1:5">
      <c r="A30" s="2" t="s">
        <v>68</v>
      </c>
      <c r="B30" s="9">
        <v>7388.84</v>
      </c>
      <c r="E30" s="9">
        <v>7388.84</v>
      </c>
    </row>
    <row r="31" spans="1:5">
      <c r="A31" s="2" t="s">
        <v>69</v>
      </c>
      <c r="B31" s="9">
        <v>10157.17</v>
      </c>
      <c r="E31" s="9">
        <v>10157.17</v>
      </c>
    </row>
    <row r="33" spans="1:7">
      <c r="A33" s="8" t="s">
        <v>70</v>
      </c>
      <c r="B33">
        <v>313548.45</v>
      </c>
      <c r="F33" s="13">
        <v>313548.45</v>
      </c>
    </row>
    <row r="34" spans="1:7">
      <c r="B34" s="18"/>
      <c r="C34" s="18"/>
      <c r="D34" s="18"/>
      <c r="E34" s="18">
        <f t="shared" ref="C34:F34" si="0">SUM(E16:E31)</f>
        <v>382128.39999999997</v>
      </c>
      <c r="F34" s="18"/>
    </row>
    <row r="35" spans="1:7">
      <c r="A35" s="5" t="s">
        <v>71</v>
      </c>
      <c r="B35" s="10">
        <v>697363.3</v>
      </c>
      <c r="E35" s="10">
        <v>382128.4</v>
      </c>
      <c r="F35" s="10">
        <v>313548.45</v>
      </c>
      <c r="G35" s="18"/>
    </row>
    <row r="36" spans="1:7">
      <c r="A36" s="2" t="s">
        <v>72</v>
      </c>
      <c r="E36" s="11">
        <v>0.54800000000000004</v>
      </c>
      <c r="F36" s="11">
        <v>0.45</v>
      </c>
    </row>
    <row r="37" spans="1:7">
      <c r="B37" s="38">
        <f>SUM(B16:B33)</f>
        <v>697363.3</v>
      </c>
      <c r="C37" s="38"/>
      <c r="D37" s="38">
        <f>SUM(D16:D33)</f>
        <v>1686.45</v>
      </c>
      <c r="E37" s="38">
        <f>SUM(E16:E33)</f>
        <v>382128.39999999997</v>
      </c>
      <c r="F37" s="38">
        <f>SUM(F16:F33)</f>
        <v>313548.45</v>
      </c>
      <c r="G37" s="18"/>
    </row>
    <row r="38" spans="1:7">
      <c r="A38" s="1" t="s">
        <v>73</v>
      </c>
    </row>
    <row r="39" spans="1:7">
      <c r="A39" s="2" t="s">
        <v>74</v>
      </c>
      <c r="B39" s="9">
        <v>531007.07000000007</v>
      </c>
      <c r="E39" s="9">
        <v>290971.55</v>
      </c>
      <c r="F39" s="9">
        <v>238751.37000000011</v>
      </c>
    </row>
    <row r="40" spans="1:7">
      <c r="A40" s="2" t="s">
        <v>75</v>
      </c>
      <c r="B40" s="9">
        <v>57862.97</v>
      </c>
      <c r="E40" s="9">
        <v>31706.69</v>
      </c>
      <c r="F40" s="9">
        <v>26016.35</v>
      </c>
    </row>
    <row r="41" spans="1:7">
      <c r="A41" s="2" t="s">
        <v>76</v>
      </c>
      <c r="B41" s="9">
        <v>108493.26</v>
      </c>
      <c r="E41" s="9">
        <v>59450.16</v>
      </c>
      <c r="F41" s="9">
        <v>48780.73000000001</v>
      </c>
    </row>
    <row r="42" spans="1:7">
      <c r="A42" s="5" t="s">
        <v>77</v>
      </c>
      <c r="B42" s="10">
        <v>697363.3</v>
      </c>
      <c r="E42" s="10">
        <v>382128.4</v>
      </c>
      <c r="F42" s="10">
        <v>313548.45</v>
      </c>
    </row>
    <row r="43" spans="1:7">
      <c r="B43" s="19">
        <f>SUM(B39:B41)</f>
        <v>697363.3</v>
      </c>
      <c r="C43" s="19"/>
      <c r="D43" s="19"/>
      <c r="E43" s="19">
        <f t="shared" ref="C43:F43" si="1">SUM(E39:E41)</f>
        <v>382128.4</v>
      </c>
      <c r="F43" s="19">
        <f t="shared" si="1"/>
        <v>313548.45000000007</v>
      </c>
      <c r="G43" s="18"/>
    </row>
    <row r="44" spans="1:7">
      <c r="A44" s="1" t="s">
        <v>38</v>
      </c>
    </row>
    <row r="45" spans="1:7">
      <c r="A45" s="2" t="s">
        <v>39</v>
      </c>
      <c r="B45" s="12">
        <v>229916.28</v>
      </c>
    </row>
    <row r="46" spans="1:7">
      <c r="A46" s="2" t="s">
        <v>40</v>
      </c>
      <c r="B46" s="12">
        <v>421345.64</v>
      </c>
    </row>
    <row r="47" spans="1:7" s="27" customFormat="1">
      <c r="A47" s="26" t="s">
        <v>41</v>
      </c>
      <c r="B47" s="31">
        <f>B45-B46</f>
        <v>-191429.36000000002</v>
      </c>
    </row>
    <row r="48" spans="1:7">
      <c r="B48" s="37">
        <f>B45-B46</f>
        <v>-191429.36000000002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1"/>
  <sheetViews>
    <sheetView topLeftCell="A36" workbookViewId="0">
      <selection activeCell="B56" sqref="B56:F56"/>
    </sheetView>
  </sheetViews>
  <sheetFormatPr defaultRowHeight="15"/>
  <cols>
    <col min="1" max="1" width="45" customWidth="1"/>
    <col min="2" max="2" width="16" customWidth="1"/>
    <col min="3" max="7" width="14" customWidth="1"/>
  </cols>
  <sheetData>
    <row r="1" spans="1:7">
      <c r="A1" s="1" t="s">
        <v>0</v>
      </c>
    </row>
    <row r="2" spans="1:7">
      <c r="A2" s="2" t="s">
        <v>78</v>
      </c>
    </row>
    <row r="3" spans="1:7">
      <c r="A3" s="2" t="s">
        <v>43</v>
      </c>
    </row>
    <row r="5" spans="1:7">
      <c r="A5" s="2" t="s">
        <v>44</v>
      </c>
      <c r="B5" s="2" t="s">
        <v>20</v>
      </c>
    </row>
    <row r="8" spans="1:7">
      <c r="A8" s="1" t="s">
        <v>79</v>
      </c>
    </row>
    <row r="13" spans="1:7">
      <c r="A13" s="3" t="s">
        <v>46</v>
      </c>
      <c r="B13" s="21" t="s">
        <v>47</v>
      </c>
      <c r="C13" s="21" t="s">
        <v>48</v>
      </c>
      <c r="D13" s="21" t="s">
        <v>49</v>
      </c>
      <c r="E13" s="21" t="s">
        <v>50</v>
      </c>
      <c r="F13" s="21" t="s">
        <v>51</v>
      </c>
      <c r="G13" s="21" t="s">
        <v>52</v>
      </c>
    </row>
    <row r="15" spans="1:7">
      <c r="A15" s="8" t="s">
        <v>80</v>
      </c>
    </row>
    <row r="16" spans="1:7">
      <c r="A16" s="2" t="s">
        <v>81</v>
      </c>
      <c r="B16" s="9">
        <v>26757.81</v>
      </c>
      <c r="C16" s="9">
        <v>26757.81</v>
      </c>
    </row>
    <row r="17" spans="1:6">
      <c r="A17" s="2" t="s">
        <v>82</v>
      </c>
      <c r="B17" s="9">
        <v>7990.89</v>
      </c>
      <c r="C17" s="9">
        <v>7990.89</v>
      </c>
    </row>
    <row r="18" spans="1:6">
      <c r="A18" s="2" t="s">
        <v>83</v>
      </c>
      <c r="B18" s="9">
        <v>37800.94</v>
      </c>
      <c r="C18" s="9">
        <v>37800.94</v>
      </c>
    </row>
    <row r="19" spans="1:6">
      <c r="A19" s="2" t="s">
        <v>84</v>
      </c>
      <c r="B19" s="9">
        <v>2842.52</v>
      </c>
      <c r="C19" s="9">
        <v>2842.52</v>
      </c>
    </row>
    <row r="20" spans="1:6">
      <c r="A20" s="2" t="s">
        <v>85</v>
      </c>
      <c r="B20" s="9">
        <v>2418.44</v>
      </c>
      <c r="C20" s="9">
        <v>2418.44</v>
      </c>
    </row>
    <row r="21" spans="1:6">
      <c r="A21" s="2" t="s">
        <v>86</v>
      </c>
      <c r="B21" s="9">
        <v>718.30000000000007</v>
      </c>
      <c r="C21" s="9">
        <v>718.30000000000007</v>
      </c>
    </row>
    <row r="22" spans="1:6">
      <c r="A22" s="2" t="s">
        <v>87</v>
      </c>
      <c r="B22" s="9">
        <v>705.03</v>
      </c>
      <c r="C22" s="9">
        <v>705.03</v>
      </c>
    </row>
    <row r="23" spans="1:6">
      <c r="A23" s="2" t="s">
        <v>88</v>
      </c>
      <c r="B23" s="9">
        <v>12363.8</v>
      </c>
      <c r="C23" s="9">
        <v>12363.8</v>
      </c>
    </row>
    <row r="24" spans="1:6">
      <c r="A24" s="2" t="s">
        <v>89</v>
      </c>
      <c r="B24" s="9">
        <v>3400.77</v>
      </c>
      <c r="C24" s="9">
        <v>3400.77</v>
      </c>
    </row>
    <row r="25" spans="1:6">
      <c r="A25" s="2" t="s">
        <v>90</v>
      </c>
      <c r="B25" s="9">
        <v>13431.92</v>
      </c>
      <c r="C25" s="9">
        <v>13431.92</v>
      </c>
    </row>
    <row r="26" spans="1:6">
      <c r="A26" s="2" t="s">
        <v>91</v>
      </c>
      <c r="B26" s="9">
        <v>1140.5</v>
      </c>
      <c r="C26" s="9">
        <v>1140.5</v>
      </c>
    </row>
    <row r="27" spans="1:6">
      <c r="A27" s="2" t="s">
        <v>92</v>
      </c>
      <c r="B27" s="9">
        <v>1360.86</v>
      </c>
      <c r="C27" s="9">
        <v>1360.86</v>
      </c>
    </row>
    <row r="28" spans="1:6">
      <c r="A28" s="2" t="s">
        <v>93</v>
      </c>
      <c r="B28" s="9">
        <v>14831.54</v>
      </c>
      <c r="C28" s="9">
        <v>14831.54</v>
      </c>
    </row>
    <row r="30" spans="1:6">
      <c r="A30" s="8" t="s">
        <v>94</v>
      </c>
    </row>
    <row r="31" spans="1:6">
      <c r="A31" s="2" t="s">
        <v>95</v>
      </c>
      <c r="B31" s="9">
        <v>25110.720000000001</v>
      </c>
      <c r="F31" s="9">
        <v>25110.720000000001</v>
      </c>
    </row>
    <row r="32" spans="1:6">
      <c r="A32" s="2" t="s">
        <v>96</v>
      </c>
      <c r="B32" s="9">
        <v>35390.339999999997</v>
      </c>
      <c r="F32" s="9">
        <v>35390.339999999997</v>
      </c>
    </row>
    <row r="33" spans="1:6">
      <c r="A33" s="2" t="s">
        <v>97</v>
      </c>
      <c r="B33" s="9">
        <v>29008.33</v>
      </c>
      <c r="F33" s="9">
        <v>29008.33</v>
      </c>
    </row>
    <row r="34" spans="1:6">
      <c r="A34" s="2" t="s">
        <v>98</v>
      </c>
      <c r="B34" s="9">
        <v>31389.040000000001</v>
      </c>
      <c r="F34" s="9">
        <v>31389.040000000001</v>
      </c>
    </row>
    <row r="35" spans="1:6">
      <c r="A35" s="2" t="s">
        <v>99</v>
      </c>
      <c r="B35" s="9">
        <v>26496.62</v>
      </c>
      <c r="F35" s="9">
        <v>26496.62</v>
      </c>
    </row>
    <row r="36" spans="1:6">
      <c r="A36" s="2" t="s">
        <v>100</v>
      </c>
      <c r="B36" s="9">
        <v>12009.05</v>
      </c>
      <c r="F36" s="9">
        <v>12009.05</v>
      </c>
    </row>
    <row r="37" spans="1:6">
      <c r="A37" s="2" t="s">
        <v>101</v>
      </c>
      <c r="B37" s="9">
        <v>23153.47</v>
      </c>
      <c r="F37" s="9">
        <v>23153.47</v>
      </c>
    </row>
    <row r="38" spans="1:6">
      <c r="A38" s="2" t="s">
        <v>102</v>
      </c>
      <c r="B38" s="9">
        <v>10659.46</v>
      </c>
      <c r="F38" s="9">
        <v>10659.46</v>
      </c>
    </row>
    <row r="39" spans="1:6">
      <c r="A39" s="2" t="s">
        <v>103</v>
      </c>
      <c r="B39" s="9">
        <v>16835.060000000001</v>
      </c>
      <c r="F39" s="9">
        <v>16835.060000000001</v>
      </c>
    </row>
    <row r="40" spans="1:6">
      <c r="A40" s="2" t="s">
        <v>104</v>
      </c>
      <c r="B40" s="9">
        <v>39604.25</v>
      </c>
      <c r="F40" s="9">
        <v>39604.25</v>
      </c>
    </row>
    <row r="41" spans="1:6">
      <c r="A41" s="2" t="s">
        <v>105</v>
      </c>
      <c r="B41" s="9">
        <v>16001</v>
      </c>
      <c r="F41" s="9">
        <v>16001</v>
      </c>
    </row>
    <row r="42" spans="1:6">
      <c r="A42" s="2" t="s">
        <v>106</v>
      </c>
      <c r="B42" s="9">
        <v>1863.69</v>
      </c>
      <c r="F42" s="9">
        <v>1863.69</v>
      </c>
    </row>
    <row r="43" spans="1:6">
      <c r="A43" s="2" t="s">
        <v>107</v>
      </c>
      <c r="B43" s="9">
        <v>82713.759999999995</v>
      </c>
      <c r="F43" s="9">
        <v>82713.759999999995</v>
      </c>
    </row>
    <row r="44" spans="1:6">
      <c r="A44" s="2" t="s">
        <v>108</v>
      </c>
      <c r="B44" s="9">
        <v>10815.9</v>
      </c>
      <c r="F44" s="9">
        <v>10815.9</v>
      </c>
    </row>
    <row r="45" spans="1:6">
      <c r="A45" s="2" t="s">
        <v>109</v>
      </c>
      <c r="B45" s="9">
        <v>9740.2199999999993</v>
      </c>
      <c r="F45" s="9">
        <v>9740.2199999999993</v>
      </c>
    </row>
    <row r="46" spans="1:6">
      <c r="A46" s="2" t="s">
        <v>110</v>
      </c>
      <c r="B46" s="9">
        <v>6970.48</v>
      </c>
      <c r="F46" s="9">
        <v>6970.48</v>
      </c>
    </row>
    <row r="47" spans="1:6">
      <c r="B47" s="19">
        <f>SUM(B16:B46)</f>
        <v>503524.71</v>
      </c>
      <c r="C47" s="19">
        <f t="shared" ref="C47:F47" si="0">SUM(C16:C46)</f>
        <v>125763.32000000004</v>
      </c>
      <c r="D47" s="19"/>
      <c r="E47" s="19"/>
      <c r="F47" s="19">
        <f t="shared" si="0"/>
        <v>377761.38999999996</v>
      </c>
    </row>
    <row r="48" spans="1:6">
      <c r="A48" s="5" t="s">
        <v>111</v>
      </c>
      <c r="B48" s="10">
        <v>503524.71</v>
      </c>
      <c r="C48" s="10">
        <v>125763.32</v>
      </c>
      <c r="F48" s="10">
        <v>377761.39</v>
      </c>
    </row>
    <row r="49" spans="1:6">
      <c r="A49" s="2" t="s">
        <v>112</v>
      </c>
      <c r="C49" s="11">
        <v>0.25</v>
      </c>
      <c r="F49" s="11">
        <v>0.75</v>
      </c>
    </row>
    <row r="51" spans="1:6">
      <c r="A51" s="1" t="s">
        <v>73</v>
      </c>
    </row>
    <row r="52" spans="1:6">
      <c r="A52" s="2" t="s">
        <v>74</v>
      </c>
      <c r="B52" s="9">
        <v>383408.73</v>
      </c>
      <c r="C52" s="9">
        <v>95762.44</v>
      </c>
      <c r="F52" s="9">
        <v>287646.28999999998</v>
      </c>
    </row>
    <row r="53" spans="1:6">
      <c r="A53" s="2" t="s">
        <v>75</v>
      </c>
      <c r="B53" s="9">
        <v>41779.440000000002</v>
      </c>
      <c r="C53" s="9">
        <v>10435.08</v>
      </c>
      <c r="F53" s="9">
        <v>31344.36</v>
      </c>
    </row>
    <row r="54" spans="1:6">
      <c r="A54" s="2" t="s">
        <v>76</v>
      </c>
      <c r="B54" s="9">
        <v>78336.539999999994</v>
      </c>
      <c r="C54" s="9">
        <v>19565.8</v>
      </c>
      <c r="F54" s="9">
        <v>58770.739999999991</v>
      </c>
    </row>
    <row r="55" spans="1:6">
      <c r="A55" s="5" t="s">
        <v>77</v>
      </c>
      <c r="B55" s="10">
        <v>503524.71</v>
      </c>
      <c r="C55" s="10">
        <v>125763.32</v>
      </c>
      <c r="F55" s="10">
        <v>377761.39</v>
      </c>
    </row>
    <row r="56" spans="1:6">
      <c r="B56" s="19">
        <f>SUM(B52:B54)</f>
        <v>503524.70999999996</v>
      </c>
      <c r="C56" s="19">
        <f t="shared" ref="C56:F56" si="1">SUM(C52:C54)</f>
        <v>125763.32</v>
      </c>
      <c r="D56" s="19"/>
      <c r="E56" s="19"/>
      <c r="F56" s="19">
        <f t="shared" si="1"/>
        <v>377761.38999999996</v>
      </c>
    </row>
    <row r="57" spans="1:6">
      <c r="A57" s="1" t="s">
        <v>38</v>
      </c>
    </row>
    <row r="58" spans="1:6">
      <c r="A58" s="2" t="s">
        <v>39</v>
      </c>
      <c r="B58" s="4">
        <v>166008.92000000001</v>
      </c>
    </row>
    <row r="59" spans="1:6">
      <c r="A59" s="2" t="s">
        <v>40</v>
      </c>
      <c r="B59" s="7">
        <v>170980.22</v>
      </c>
    </row>
    <row r="60" spans="1:6" s="27" customFormat="1">
      <c r="A60" s="26" t="s">
        <v>41</v>
      </c>
      <c r="B60" s="31">
        <f>B58-B59</f>
        <v>-4971.2999999999884</v>
      </c>
    </row>
    <row r="61" spans="1:6">
      <c r="B61" s="37">
        <f>B58-B59</f>
        <v>-4971.2999999999884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2"/>
  <sheetViews>
    <sheetView topLeftCell="A38" workbookViewId="0">
      <selection activeCell="B57" sqref="B57"/>
    </sheetView>
  </sheetViews>
  <sheetFormatPr defaultRowHeight="15"/>
  <cols>
    <col min="1" max="1" width="45" customWidth="1"/>
    <col min="2" max="2" width="16" customWidth="1"/>
    <col min="3" max="7" width="14" customWidth="1"/>
  </cols>
  <sheetData>
    <row r="1" spans="1:7">
      <c r="A1" s="1" t="s">
        <v>0</v>
      </c>
    </row>
    <row r="2" spans="1:7">
      <c r="A2" s="2" t="s">
        <v>113</v>
      </c>
    </row>
    <row r="3" spans="1:7">
      <c r="A3" s="2" t="s">
        <v>43</v>
      </c>
    </row>
    <row r="5" spans="1:7">
      <c r="A5" s="2" t="s">
        <v>44</v>
      </c>
      <c r="B5" s="2" t="s">
        <v>20</v>
      </c>
    </row>
    <row r="8" spans="1:7">
      <c r="A8" s="1" t="s">
        <v>114</v>
      </c>
    </row>
    <row r="13" spans="1:7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>
        <v>52</v>
      </c>
    </row>
    <row r="15" spans="1:7">
      <c r="A15" s="8" t="s">
        <v>80</v>
      </c>
    </row>
    <row r="16" spans="1:7">
      <c r="A16" s="2" t="s">
        <v>81</v>
      </c>
      <c r="B16" s="9">
        <v>26445.19</v>
      </c>
      <c r="C16" s="9">
        <v>26445.19</v>
      </c>
    </row>
    <row r="17" spans="1:6">
      <c r="A17" s="2" t="s">
        <v>82</v>
      </c>
      <c r="B17" s="9">
        <v>4635.6899999999996</v>
      </c>
      <c r="C17" s="9">
        <v>4635.6899999999996</v>
      </c>
    </row>
    <row r="18" spans="1:6">
      <c r="A18" s="2" t="s">
        <v>115</v>
      </c>
      <c r="B18" s="9">
        <v>9118.09</v>
      </c>
      <c r="C18" s="9">
        <v>9118.09</v>
      </c>
    </row>
    <row r="19" spans="1:6">
      <c r="A19" s="2" t="s">
        <v>83</v>
      </c>
      <c r="B19" s="9">
        <v>17166.07</v>
      </c>
      <c r="C19" s="9">
        <v>17166.07</v>
      </c>
    </row>
    <row r="20" spans="1:6">
      <c r="A20" s="2" t="s">
        <v>84</v>
      </c>
      <c r="B20" s="9">
        <v>2842.52</v>
      </c>
      <c r="C20" s="9">
        <v>2842.52</v>
      </c>
    </row>
    <row r="21" spans="1:6">
      <c r="A21" s="2" t="s">
        <v>85</v>
      </c>
      <c r="B21" s="9">
        <v>2418.44</v>
      </c>
      <c r="C21" s="9">
        <v>2418.44</v>
      </c>
    </row>
    <row r="22" spans="1:6">
      <c r="A22" s="2" t="s">
        <v>86</v>
      </c>
      <c r="B22" s="9">
        <v>718.30000000000007</v>
      </c>
      <c r="C22" s="9">
        <v>718.30000000000007</v>
      </c>
    </row>
    <row r="23" spans="1:6">
      <c r="A23" s="2" t="s">
        <v>87</v>
      </c>
      <c r="B23" s="9">
        <v>705.03</v>
      </c>
      <c r="C23" s="9">
        <v>705.03</v>
      </c>
    </row>
    <row r="24" spans="1:6">
      <c r="A24" s="2" t="s">
        <v>88</v>
      </c>
      <c r="B24" s="9">
        <v>12363.8</v>
      </c>
      <c r="C24" s="9">
        <v>12363.8</v>
      </c>
    </row>
    <row r="25" spans="1:6">
      <c r="A25" s="2" t="s">
        <v>89</v>
      </c>
      <c r="B25" s="9">
        <v>2600.58</v>
      </c>
      <c r="C25" s="9">
        <v>2600.58</v>
      </c>
    </row>
    <row r="26" spans="1:6">
      <c r="A26" s="2" t="s">
        <v>90</v>
      </c>
      <c r="B26" s="9">
        <v>13431.92</v>
      </c>
      <c r="C26" s="9">
        <v>13431.92</v>
      </c>
    </row>
    <row r="27" spans="1:6">
      <c r="A27" s="2" t="s">
        <v>91</v>
      </c>
      <c r="B27" s="9">
        <v>1140.5</v>
      </c>
      <c r="C27" s="9">
        <v>1140.5</v>
      </c>
    </row>
    <row r="28" spans="1:6">
      <c r="A28" s="2" t="s">
        <v>92</v>
      </c>
      <c r="B28" s="9">
        <v>1360.86</v>
      </c>
      <c r="C28" s="9">
        <v>1360.86</v>
      </c>
    </row>
    <row r="29" spans="1:6">
      <c r="A29" s="2" t="s">
        <v>93</v>
      </c>
      <c r="B29" s="9">
        <v>14831.54</v>
      </c>
      <c r="C29" s="9">
        <v>14831.54</v>
      </c>
    </row>
    <row r="31" spans="1:6">
      <c r="A31" s="8" t="s">
        <v>94</v>
      </c>
    </row>
    <row r="32" spans="1:6">
      <c r="A32" s="2" t="s">
        <v>95</v>
      </c>
      <c r="B32" s="9">
        <v>19166.810000000001</v>
      </c>
      <c r="F32" s="9">
        <v>19166.810000000001</v>
      </c>
    </row>
    <row r="33" spans="1:6">
      <c r="A33" s="2" t="s">
        <v>96</v>
      </c>
      <c r="B33" s="9">
        <v>26894.18</v>
      </c>
      <c r="F33" s="9">
        <v>26894.18</v>
      </c>
    </row>
    <row r="34" spans="1:6">
      <c r="A34" s="2" t="s">
        <v>97</v>
      </c>
      <c r="B34" s="9">
        <v>19273.71</v>
      </c>
      <c r="F34" s="9">
        <v>19273.71</v>
      </c>
    </row>
    <row r="35" spans="1:6">
      <c r="A35" s="2" t="s">
        <v>98</v>
      </c>
      <c r="B35" s="9">
        <v>24003.39</v>
      </c>
      <c r="F35" s="9">
        <v>24003.39</v>
      </c>
    </row>
    <row r="36" spans="1:6">
      <c r="A36" s="2" t="s">
        <v>99</v>
      </c>
      <c r="B36" s="9">
        <v>23233.4</v>
      </c>
      <c r="F36" s="9">
        <v>23233.4</v>
      </c>
    </row>
    <row r="37" spans="1:6">
      <c r="A37" s="2" t="s">
        <v>100</v>
      </c>
      <c r="B37" s="9">
        <v>8832.92</v>
      </c>
      <c r="F37" s="9">
        <v>8832.92</v>
      </c>
    </row>
    <row r="38" spans="1:6">
      <c r="A38" s="2" t="s">
        <v>101</v>
      </c>
      <c r="B38" s="9">
        <v>17315.310000000001</v>
      </c>
      <c r="F38" s="9">
        <v>17315.310000000001</v>
      </c>
    </row>
    <row r="39" spans="1:6">
      <c r="A39" s="2" t="s">
        <v>102</v>
      </c>
      <c r="B39" s="9">
        <v>10659.46</v>
      </c>
      <c r="F39" s="9">
        <v>10659.46</v>
      </c>
    </row>
    <row r="40" spans="1:6">
      <c r="A40" s="2" t="s">
        <v>103</v>
      </c>
      <c r="B40" s="9">
        <v>12873.87</v>
      </c>
      <c r="F40" s="9">
        <v>12873.87</v>
      </c>
    </row>
    <row r="41" spans="1:6">
      <c r="A41" s="2" t="s">
        <v>104</v>
      </c>
      <c r="B41" s="9">
        <v>29302.11</v>
      </c>
      <c r="F41" s="9">
        <v>29302.11</v>
      </c>
    </row>
    <row r="42" spans="1:6">
      <c r="A42" s="2" t="s">
        <v>105</v>
      </c>
      <c r="B42" s="9">
        <v>11976.41</v>
      </c>
      <c r="F42" s="9">
        <v>11976.41</v>
      </c>
    </row>
    <row r="43" spans="1:6">
      <c r="A43" s="2" t="s">
        <v>106</v>
      </c>
      <c r="B43" s="9">
        <v>1737.32</v>
      </c>
      <c r="F43" s="9">
        <v>1737.32</v>
      </c>
    </row>
    <row r="44" spans="1:6">
      <c r="A44" s="2" t="s">
        <v>107</v>
      </c>
      <c r="B44" s="9">
        <v>63061.18</v>
      </c>
      <c r="F44" s="9">
        <v>63061.18</v>
      </c>
    </row>
    <row r="45" spans="1:6">
      <c r="A45" s="2" t="s">
        <v>108</v>
      </c>
      <c r="B45" s="9">
        <v>10815.9</v>
      </c>
      <c r="F45" s="9">
        <v>10815.9</v>
      </c>
    </row>
    <row r="46" spans="1:6">
      <c r="A46" s="2" t="s">
        <v>109</v>
      </c>
      <c r="B46" s="9">
        <v>5272.42</v>
      </c>
      <c r="F46" s="9">
        <v>5272.42</v>
      </c>
    </row>
    <row r="47" spans="1:6">
      <c r="A47" s="2" t="s">
        <v>110</v>
      </c>
      <c r="B47" s="9">
        <v>3303.27</v>
      </c>
      <c r="F47" s="9">
        <v>3303.27</v>
      </c>
    </row>
    <row r="48" spans="1:6">
      <c r="B48" s="19">
        <f>SUM(B16:B47)</f>
        <v>397500.19</v>
      </c>
      <c r="C48" s="19">
        <f>SUM(C16:C47)</f>
        <v>109778.53</v>
      </c>
      <c r="D48" s="19"/>
      <c r="E48" s="19"/>
      <c r="F48" s="19">
        <f>SUM(F16:F47)</f>
        <v>287721.66000000003</v>
      </c>
    </row>
    <row r="49" spans="1:6">
      <c r="A49" s="5" t="s">
        <v>111</v>
      </c>
      <c r="B49" s="10">
        <v>397500.19</v>
      </c>
      <c r="C49" s="10">
        <v>109778.53</v>
      </c>
      <c r="F49" s="10">
        <v>287721.65999999997</v>
      </c>
    </row>
    <row r="50" spans="1:6">
      <c r="A50" s="2" t="s">
        <v>112</v>
      </c>
      <c r="C50" s="11">
        <v>0.27600000000000002</v>
      </c>
      <c r="F50" s="11">
        <v>0.72399999999999998</v>
      </c>
    </row>
    <row r="52" spans="1:6">
      <c r="A52" s="1" t="s">
        <v>73</v>
      </c>
    </row>
    <row r="53" spans="1:6">
      <c r="A53" s="2" t="s">
        <v>74</v>
      </c>
      <c r="B53" s="9">
        <v>302676.39</v>
      </c>
      <c r="C53" s="9">
        <v>83590.83</v>
      </c>
      <c r="F53" s="9">
        <v>219085.56</v>
      </c>
    </row>
    <row r="54" spans="1:6">
      <c r="A54" s="2" t="s">
        <v>75</v>
      </c>
      <c r="B54" s="9">
        <v>32982.17</v>
      </c>
      <c r="C54" s="9">
        <v>9108.76</v>
      </c>
      <c r="F54" s="9">
        <v>23873.41</v>
      </c>
    </row>
    <row r="55" spans="1:6">
      <c r="A55" s="2" t="s">
        <v>76</v>
      </c>
      <c r="B55" s="9">
        <v>61841.63</v>
      </c>
      <c r="C55" s="9">
        <v>17078.939999999999</v>
      </c>
      <c r="F55" s="9">
        <v>44762.69</v>
      </c>
    </row>
    <row r="56" spans="1:6">
      <c r="A56" s="5" t="s">
        <v>77</v>
      </c>
      <c r="B56" s="10">
        <v>397500.19</v>
      </c>
      <c r="C56" s="10">
        <v>109778.53</v>
      </c>
      <c r="F56" s="10">
        <v>287721.65999999997</v>
      </c>
    </row>
    <row r="57" spans="1:6">
      <c r="B57" s="19">
        <f>SUM(B53:B55)</f>
        <v>397500.19</v>
      </c>
      <c r="C57" s="19">
        <f>SUM(C53:C55)</f>
        <v>109778.53</v>
      </c>
      <c r="D57" s="19"/>
      <c r="E57" s="19"/>
      <c r="F57" s="19">
        <f>SUM(F53:F55)</f>
        <v>287721.66000000003</v>
      </c>
    </row>
    <row r="58" spans="1:6">
      <c r="A58" s="1" t="s">
        <v>38</v>
      </c>
    </row>
    <row r="59" spans="1:6">
      <c r="A59" s="2" t="s">
        <v>39</v>
      </c>
      <c r="B59" s="4">
        <v>131053.31</v>
      </c>
    </row>
    <row r="60" spans="1:6">
      <c r="A60" s="2" t="s">
        <v>40</v>
      </c>
      <c r="B60" s="7">
        <v>144217.92000000001</v>
      </c>
    </row>
    <row r="61" spans="1:6" s="27" customFormat="1">
      <c r="A61" s="26" t="s">
        <v>41</v>
      </c>
      <c r="B61" s="31">
        <f>B59-B60</f>
        <v>-13164.610000000015</v>
      </c>
    </row>
    <row r="62" spans="1:6">
      <c r="B62" s="37">
        <f>B59-B60</f>
        <v>-13164.610000000015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1"/>
  <sheetViews>
    <sheetView topLeftCell="A46" workbookViewId="0">
      <selection activeCell="A60" sqref="A60:XFD60"/>
    </sheetView>
  </sheetViews>
  <sheetFormatPr defaultRowHeight="15"/>
  <cols>
    <col min="1" max="1" width="45" customWidth="1"/>
    <col min="2" max="2" width="16" customWidth="1"/>
    <col min="3" max="7" width="14" customWidth="1"/>
  </cols>
  <sheetData>
    <row r="1" spans="1:7">
      <c r="A1" s="1" t="s">
        <v>0</v>
      </c>
    </row>
    <row r="2" spans="1:7">
      <c r="A2" s="2" t="s">
        <v>116</v>
      </c>
    </row>
    <row r="3" spans="1:7">
      <c r="A3" s="2" t="s">
        <v>43</v>
      </c>
    </row>
    <row r="5" spans="1:7">
      <c r="A5" s="2" t="s">
        <v>44</v>
      </c>
      <c r="B5" s="2" t="s">
        <v>20</v>
      </c>
    </row>
    <row r="8" spans="1:7">
      <c r="A8" s="1" t="s">
        <v>117</v>
      </c>
    </row>
    <row r="13" spans="1:7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>
        <v>52</v>
      </c>
    </row>
    <row r="15" spans="1:7">
      <c r="A15" s="8" t="s">
        <v>80</v>
      </c>
    </row>
    <row r="16" spans="1:7">
      <c r="A16" s="2" t="s">
        <v>81</v>
      </c>
      <c r="B16" s="9">
        <v>26757.81</v>
      </c>
      <c r="C16" s="9">
        <v>26757.81</v>
      </c>
    </row>
    <row r="17" spans="1:6">
      <c r="A17" s="2" t="s">
        <v>82</v>
      </c>
      <c r="B17" s="9">
        <v>7990.89</v>
      </c>
      <c r="C17" s="9">
        <v>7990.89</v>
      </c>
    </row>
    <row r="18" spans="1:6">
      <c r="A18" s="2" t="s">
        <v>83</v>
      </c>
      <c r="B18" s="9">
        <v>37800.94</v>
      </c>
      <c r="C18" s="9">
        <v>37800.94</v>
      </c>
    </row>
    <row r="19" spans="1:6">
      <c r="A19" s="2" t="s">
        <v>84</v>
      </c>
      <c r="B19" s="9">
        <v>2842.52</v>
      </c>
      <c r="C19" s="9">
        <v>2842.52</v>
      </c>
    </row>
    <row r="20" spans="1:6">
      <c r="A20" s="2" t="s">
        <v>85</v>
      </c>
      <c r="B20" s="9">
        <v>2418.44</v>
      </c>
      <c r="C20" s="9">
        <v>2418.44</v>
      </c>
    </row>
    <row r="21" spans="1:6">
      <c r="A21" s="2" t="s">
        <v>86</v>
      </c>
      <c r="B21" s="9">
        <v>718.30000000000007</v>
      </c>
      <c r="C21" s="9">
        <v>718.30000000000007</v>
      </c>
    </row>
    <row r="22" spans="1:6">
      <c r="A22" s="2" t="s">
        <v>87</v>
      </c>
      <c r="B22" s="9">
        <v>705.03</v>
      </c>
      <c r="C22" s="9">
        <v>705.03</v>
      </c>
    </row>
    <row r="23" spans="1:6">
      <c r="A23" s="2" t="s">
        <v>88</v>
      </c>
      <c r="B23" s="9">
        <v>12363.8</v>
      </c>
      <c r="C23" s="9">
        <v>12363.8</v>
      </c>
    </row>
    <row r="24" spans="1:6">
      <c r="A24" s="2" t="s">
        <v>89</v>
      </c>
      <c r="B24" s="9">
        <v>3400.77</v>
      </c>
      <c r="C24" s="9">
        <v>3400.77</v>
      </c>
    </row>
    <row r="25" spans="1:6">
      <c r="A25" s="2" t="s">
        <v>90</v>
      </c>
      <c r="B25" s="9">
        <v>13431.92</v>
      </c>
      <c r="C25" s="9">
        <v>13431.92</v>
      </c>
    </row>
    <row r="26" spans="1:6">
      <c r="A26" s="2" t="s">
        <v>91</v>
      </c>
      <c r="B26" s="9">
        <v>1140.5</v>
      </c>
      <c r="C26" s="9">
        <v>1140.5</v>
      </c>
    </row>
    <row r="27" spans="1:6">
      <c r="A27" s="2" t="s">
        <v>92</v>
      </c>
      <c r="B27" s="9">
        <v>1360.86</v>
      </c>
      <c r="C27" s="9">
        <v>1360.86</v>
      </c>
    </row>
    <row r="28" spans="1:6">
      <c r="A28" s="2" t="s">
        <v>93</v>
      </c>
      <c r="B28" s="9">
        <v>14831.54</v>
      </c>
      <c r="C28" s="9">
        <v>14831.54</v>
      </c>
    </row>
    <row r="30" spans="1:6">
      <c r="A30" s="8" t="s">
        <v>94</v>
      </c>
    </row>
    <row r="31" spans="1:6">
      <c r="A31" s="2" t="s">
        <v>95</v>
      </c>
      <c r="B31" s="9">
        <v>25110.720000000001</v>
      </c>
      <c r="F31" s="9">
        <v>25110.720000000001</v>
      </c>
    </row>
    <row r="32" spans="1:6">
      <c r="A32" s="2" t="s">
        <v>96</v>
      </c>
      <c r="B32" s="9">
        <v>35390.339999999997</v>
      </c>
      <c r="F32" s="9">
        <v>35390.339999999997</v>
      </c>
    </row>
    <row r="33" spans="1:6">
      <c r="A33" s="2" t="s">
        <v>97</v>
      </c>
      <c r="B33" s="9">
        <v>29008.33</v>
      </c>
      <c r="F33" s="9">
        <v>29008.33</v>
      </c>
    </row>
    <row r="34" spans="1:6">
      <c r="A34" s="2" t="s">
        <v>98</v>
      </c>
      <c r="B34" s="9">
        <v>31389.040000000001</v>
      </c>
      <c r="F34" s="9">
        <v>31389.040000000001</v>
      </c>
    </row>
    <row r="35" spans="1:6">
      <c r="A35" s="2" t="s">
        <v>99</v>
      </c>
      <c r="B35" s="9">
        <v>26496.62</v>
      </c>
      <c r="F35" s="9">
        <v>26496.62</v>
      </c>
    </row>
    <row r="36" spans="1:6">
      <c r="A36" s="2" t="s">
        <v>100</v>
      </c>
      <c r="B36" s="9">
        <v>12009.05</v>
      </c>
      <c r="F36" s="9">
        <v>12009.05</v>
      </c>
    </row>
    <row r="37" spans="1:6">
      <c r="A37" s="2" t="s">
        <v>101</v>
      </c>
      <c r="B37" s="9">
        <v>23153.47</v>
      </c>
      <c r="F37" s="9">
        <v>23153.47</v>
      </c>
    </row>
    <row r="38" spans="1:6">
      <c r="A38" s="2" t="s">
        <v>102</v>
      </c>
      <c r="B38" s="9">
        <v>10659.46</v>
      </c>
      <c r="F38" s="9">
        <v>10659.46</v>
      </c>
    </row>
    <row r="39" spans="1:6">
      <c r="A39" s="2" t="s">
        <v>103</v>
      </c>
      <c r="B39" s="9">
        <v>16835.060000000001</v>
      </c>
      <c r="F39" s="9">
        <v>16835.060000000001</v>
      </c>
    </row>
    <row r="40" spans="1:6">
      <c r="A40" s="2" t="s">
        <v>104</v>
      </c>
      <c r="B40" s="9">
        <v>39604.25</v>
      </c>
      <c r="F40" s="9">
        <v>39604.25</v>
      </c>
    </row>
    <row r="41" spans="1:6">
      <c r="A41" s="2" t="s">
        <v>105</v>
      </c>
      <c r="B41" s="9">
        <v>16001</v>
      </c>
      <c r="F41" s="9">
        <v>16001</v>
      </c>
    </row>
    <row r="42" spans="1:6">
      <c r="A42" s="2" t="s">
        <v>106</v>
      </c>
      <c r="B42" s="9">
        <v>1863.69</v>
      </c>
      <c r="F42" s="9">
        <v>1863.69</v>
      </c>
    </row>
    <row r="43" spans="1:6">
      <c r="A43" s="2" t="s">
        <v>107</v>
      </c>
      <c r="B43" s="9">
        <v>82713.759999999995</v>
      </c>
      <c r="F43" s="9">
        <v>82713.759999999995</v>
      </c>
    </row>
    <row r="44" spans="1:6">
      <c r="A44" s="2" t="s">
        <v>108</v>
      </c>
      <c r="B44" s="9">
        <v>10815.9</v>
      </c>
      <c r="F44" s="9">
        <v>10815.9</v>
      </c>
    </row>
    <row r="45" spans="1:6">
      <c r="A45" s="2" t="s">
        <v>109</v>
      </c>
      <c r="B45" s="9">
        <v>9740.2199999999993</v>
      </c>
      <c r="F45" s="9">
        <v>9740.2199999999993</v>
      </c>
    </row>
    <row r="46" spans="1:6">
      <c r="A46" s="2" t="s">
        <v>110</v>
      </c>
      <c r="B46" s="9">
        <v>6970.48</v>
      </c>
      <c r="F46" s="9">
        <v>6970.48</v>
      </c>
    </row>
    <row r="47" spans="1:6">
      <c r="B47" s="19">
        <f>SUM(B16:B46)</f>
        <v>503524.71</v>
      </c>
      <c r="C47" s="19">
        <f t="shared" ref="C47:F47" si="0">SUM(C16:C46)</f>
        <v>125763.32000000004</v>
      </c>
      <c r="D47" s="19"/>
      <c r="E47" s="19"/>
      <c r="F47" s="19">
        <f t="shared" si="0"/>
        <v>377761.38999999996</v>
      </c>
    </row>
    <row r="48" spans="1:6">
      <c r="A48" s="5" t="s">
        <v>111</v>
      </c>
      <c r="B48" s="10">
        <v>503524.71</v>
      </c>
      <c r="C48" s="10">
        <v>125763.32</v>
      </c>
      <c r="F48" s="10">
        <v>377761.39</v>
      </c>
    </row>
    <row r="49" spans="1:6">
      <c r="A49" s="2" t="s">
        <v>112</v>
      </c>
      <c r="C49" s="11">
        <v>0.25</v>
      </c>
      <c r="F49" s="11">
        <v>0.75</v>
      </c>
    </row>
    <row r="51" spans="1:6">
      <c r="A51" s="1" t="s">
        <v>73</v>
      </c>
    </row>
    <row r="52" spans="1:6">
      <c r="A52" s="2" t="s">
        <v>74</v>
      </c>
      <c r="B52" s="9">
        <v>383408.73</v>
      </c>
      <c r="C52" s="9">
        <v>95762.44</v>
      </c>
      <c r="F52" s="9">
        <v>287646.28999999998</v>
      </c>
    </row>
    <row r="53" spans="1:6">
      <c r="A53" s="2" t="s">
        <v>75</v>
      </c>
      <c r="B53" s="9">
        <v>41779.440000000002</v>
      </c>
      <c r="C53" s="9">
        <v>10435.08</v>
      </c>
      <c r="F53" s="9">
        <v>31344.36</v>
      </c>
    </row>
    <row r="54" spans="1:6">
      <c r="A54" s="2" t="s">
        <v>76</v>
      </c>
      <c r="B54" s="9">
        <v>78336.539999999994</v>
      </c>
      <c r="C54" s="9">
        <v>19565.8</v>
      </c>
      <c r="F54" s="9">
        <v>58770.739999999991</v>
      </c>
    </row>
    <row r="55" spans="1:6">
      <c r="A55" s="5" t="s">
        <v>77</v>
      </c>
      <c r="B55" s="10">
        <v>503524.71</v>
      </c>
      <c r="C55" s="10">
        <v>125763.32</v>
      </c>
      <c r="F55" s="10">
        <v>377761.39</v>
      </c>
    </row>
    <row r="56" spans="1:6">
      <c r="B56" s="19">
        <f>SUM(B52:B54)</f>
        <v>503524.70999999996</v>
      </c>
      <c r="C56" s="19">
        <f>SUM(C52:C54)</f>
        <v>125763.32</v>
      </c>
      <c r="D56" s="19"/>
      <c r="E56" s="19"/>
      <c r="F56" s="19">
        <f>SUM(F52:F54)</f>
        <v>377761.38999999996</v>
      </c>
    </row>
    <row r="57" spans="1:6">
      <c r="A57" s="1" t="s">
        <v>38</v>
      </c>
    </row>
    <row r="58" spans="1:6">
      <c r="A58" s="2" t="s">
        <v>39</v>
      </c>
      <c r="B58" s="12">
        <v>166008.92000000001</v>
      </c>
    </row>
    <row r="59" spans="1:6">
      <c r="A59" s="2" t="s">
        <v>40</v>
      </c>
      <c r="B59" s="12">
        <v>170980.22</v>
      </c>
    </row>
    <row r="60" spans="1:6" s="27" customFormat="1">
      <c r="A60" s="26" t="s">
        <v>41</v>
      </c>
      <c r="B60" s="31">
        <f>B58-B59</f>
        <v>-4971.2999999999884</v>
      </c>
    </row>
    <row r="61" spans="1:6">
      <c r="B61" s="37">
        <f>B58-B59</f>
        <v>-4971.2999999999884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2"/>
  <sheetViews>
    <sheetView topLeftCell="A36" workbookViewId="0">
      <selection activeCell="A61" sqref="A61:XFD61"/>
    </sheetView>
  </sheetViews>
  <sheetFormatPr defaultRowHeight="15"/>
  <cols>
    <col min="1" max="1" width="45" customWidth="1"/>
    <col min="2" max="2" width="16" customWidth="1"/>
    <col min="3" max="7" width="14" customWidth="1"/>
  </cols>
  <sheetData>
    <row r="1" spans="1:7">
      <c r="A1" s="1" t="s">
        <v>0</v>
      </c>
    </row>
    <row r="2" spans="1:7">
      <c r="A2" s="2" t="s">
        <v>118</v>
      </c>
    </row>
    <row r="3" spans="1:7">
      <c r="A3" s="2" t="s">
        <v>43</v>
      </c>
    </row>
    <row r="5" spans="1:7">
      <c r="A5" s="2" t="s">
        <v>44</v>
      </c>
      <c r="B5" s="2" t="s">
        <v>20</v>
      </c>
    </row>
    <row r="8" spans="1:7">
      <c r="A8" s="1" t="s">
        <v>119</v>
      </c>
    </row>
    <row r="13" spans="1:7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>
        <v>52</v>
      </c>
    </row>
    <row r="15" spans="1:7">
      <c r="A15" s="8" t="s">
        <v>80</v>
      </c>
    </row>
    <row r="16" spans="1:7">
      <c r="A16" s="2" t="s">
        <v>81</v>
      </c>
      <c r="B16" s="9">
        <v>26445.19</v>
      </c>
      <c r="C16" s="9">
        <v>26445.19</v>
      </c>
    </row>
    <row r="17" spans="1:6">
      <c r="A17" s="2" t="s">
        <v>82</v>
      </c>
      <c r="B17" s="9">
        <v>4635.6899999999996</v>
      </c>
      <c r="C17" s="9">
        <v>4635.6899999999996</v>
      </c>
    </row>
    <row r="18" spans="1:6">
      <c r="A18" s="2" t="s">
        <v>115</v>
      </c>
      <c r="B18" s="9">
        <v>9118.09</v>
      </c>
      <c r="C18" s="9">
        <v>9118.09</v>
      </c>
    </row>
    <row r="19" spans="1:6">
      <c r="A19" s="2" t="s">
        <v>83</v>
      </c>
      <c r="B19" s="9">
        <v>17166.07</v>
      </c>
      <c r="C19" s="9">
        <v>17166.07</v>
      </c>
    </row>
    <row r="20" spans="1:6">
      <c r="A20" s="2" t="s">
        <v>84</v>
      </c>
      <c r="B20" s="9">
        <v>2842.52</v>
      </c>
      <c r="C20" s="9">
        <v>2842.52</v>
      </c>
    </row>
    <row r="21" spans="1:6">
      <c r="A21" s="2" t="s">
        <v>85</v>
      </c>
      <c r="B21" s="9">
        <v>2418.44</v>
      </c>
      <c r="C21" s="9">
        <v>2418.44</v>
      </c>
    </row>
    <row r="22" spans="1:6">
      <c r="A22" s="2" t="s">
        <v>86</v>
      </c>
      <c r="B22" s="9">
        <v>718.30000000000007</v>
      </c>
      <c r="C22" s="9">
        <v>718.30000000000007</v>
      </c>
    </row>
    <row r="23" spans="1:6">
      <c r="A23" s="2" t="s">
        <v>87</v>
      </c>
      <c r="B23" s="9">
        <v>705.03</v>
      </c>
      <c r="C23" s="9">
        <v>705.03</v>
      </c>
    </row>
    <row r="24" spans="1:6">
      <c r="A24" s="2" t="s">
        <v>88</v>
      </c>
      <c r="B24" s="9">
        <v>12363.8</v>
      </c>
      <c r="C24" s="9">
        <v>12363.8</v>
      </c>
    </row>
    <row r="25" spans="1:6">
      <c r="A25" s="2" t="s">
        <v>89</v>
      </c>
      <c r="B25" s="9">
        <v>2600.58</v>
      </c>
      <c r="C25" s="9">
        <v>2600.58</v>
      </c>
    </row>
    <row r="26" spans="1:6">
      <c r="A26" s="2" t="s">
        <v>90</v>
      </c>
      <c r="B26" s="9">
        <v>13431.92</v>
      </c>
      <c r="C26" s="9">
        <v>13431.92</v>
      </c>
    </row>
    <row r="27" spans="1:6">
      <c r="A27" s="2" t="s">
        <v>91</v>
      </c>
      <c r="B27" s="9">
        <v>1140.5</v>
      </c>
      <c r="C27" s="9">
        <v>1140.5</v>
      </c>
    </row>
    <row r="28" spans="1:6">
      <c r="A28" s="2" t="s">
        <v>92</v>
      </c>
      <c r="B28" s="9">
        <v>1360.86</v>
      </c>
      <c r="C28" s="9">
        <v>1360.86</v>
      </c>
    </row>
    <row r="29" spans="1:6">
      <c r="A29" s="2" t="s">
        <v>93</v>
      </c>
      <c r="B29" s="9">
        <v>14831.54</v>
      </c>
      <c r="C29" s="9">
        <v>14831.54</v>
      </c>
    </row>
    <row r="31" spans="1:6">
      <c r="A31" s="8" t="s">
        <v>94</v>
      </c>
    </row>
    <row r="32" spans="1:6">
      <c r="A32" s="2" t="s">
        <v>95</v>
      </c>
      <c r="B32" s="9">
        <v>19166.810000000001</v>
      </c>
      <c r="F32" s="9">
        <v>19166.810000000001</v>
      </c>
    </row>
    <row r="33" spans="1:6">
      <c r="A33" s="2" t="s">
        <v>96</v>
      </c>
      <c r="B33" s="9">
        <v>26894.18</v>
      </c>
      <c r="F33" s="9">
        <v>26894.18</v>
      </c>
    </row>
    <row r="34" spans="1:6">
      <c r="A34" s="2" t="s">
        <v>97</v>
      </c>
      <c r="B34" s="9">
        <v>19273.71</v>
      </c>
      <c r="F34" s="9">
        <v>19273.71</v>
      </c>
    </row>
    <row r="35" spans="1:6">
      <c r="A35" s="2" t="s">
        <v>98</v>
      </c>
      <c r="B35" s="9">
        <v>24003.39</v>
      </c>
      <c r="F35" s="9">
        <v>24003.39</v>
      </c>
    </row>
    <row r="36" spans="1:6">
      <c r="A36" s="2" t="s">
        <v>99</v>
      </c>
      <c r="B36" s="9">
        <v>23233.4</v>
      </c>
      <c r="F36" s="9">
        <v>23233.4</v>
      </c>
    </row>
    <row r="37" spans="1:6">
      <c r="A37" s="2" t="s">
        <v>100</v>
      </c>
      <c r="B37" s="9">
        <v>8832.92</v>
      </c>
      <c r="F37" s="9">
        <v>8832.92</v>
      </c>
    </row>
    <row r="38" spans="1:6">
      <c r="A38" s="2" t="s">
        <v>101</v>
      </c>
      <c r="B38" s="9">
        <v>17315.310000000001</v>
      </c>
      <c r="F38" s="9">
        <v>17315.310000000001</v>
      </c>
    </row>
    <row r="39" spans="1:6">
      <c r="A39" s="2" t="s">
        <v>102</v>
      </c>
      <c r="B39" s="9">
        <v>10659.46</v>
      </c>
      <c r="F39" s="9">
        <v>10659.46</v>
      </c>
    </row>
    <row r="40" spans="1:6">
      <c r="A40" s="2" t="s">
        <v>103</v>
      </c>
      <c r="B40" s="9">
        <v>12873.87</v>
      </c>
      <c r="F40" s="9">
        <v>12873.87</v>
      </c>
    </row>
    <row r="41" spans="1:6">
      <c r="A41" s="2" t="s">
        <v>104</v>
      </c>
      <c r="B41" s="9">
        <v>29302.11</v>
      </c>
      <c r="F41" s="9">
        <v>29302.11</v>
      </c>
    </row>
    <row r="42" spans="1:6">
      <c r="A42" s="2" t="s">
        <v>105</v>
      </c>
      <c r="B42" s="9">
        <v>11976.41</v>
      </c>
      <c r="F42" s="9">
        <v>11976.41</v>
      </c>
    </row>
    <row r="43" spans="1:6">
      <c r="A43" s="2" t="s">
        <v>106</v>
      </c>
      <c r="B43" s="9">
        <v>1737.32</v>
      </c>
      <c r="F43" s="9">
        <v>1737.32</v>
      </c>
    </row>
    <row r="44" spans="1:6">
      <c r="A44" s="2" t="s">
        <v>107</v>
      </c>
      <c r="B44" s="9">
        <v>63061.18</v>
      </c>
      <c r="F44" s="9">
        <v>63061.18</v>
      </c>
    </row>
    <row r="45" spans="1:6">
      <c r="A45" s="2" t="s">
        <v>108</v>
      </c>
      <c r="B45" s="9">
        <v>10815.9</v>
      </c>
      <c r="F45" s="9">
        <v>10815.9</v>
      </c>
    </row>
    <row r="46" spans="1:6">
      <c r="A46" s="2" t="s">
        <v>109</v>
      </c>
      <c r="B46" s="9">
        <v>5272.42</v>
      </c>
      <c r="F46" s="9">
        <v>5272.42</v>
      </c>
    </row>
    <row r="47" spans="1:6">
      <c r="A47" s="2" t="s">
        <v>110</v>
      </c>
      <c r="B47" s="9">
        <v>3303.27</v>
      </c>
      <c r="F47" s="9">
        <v>3303.27</v>
      </c>
    </row>
    <row r="48" spans="1:6">
      <c r="B48" s="19">
        <f>SUM(B17:B47)</f>
        <v>371055</v>
      </c>
      <c r="C48" s="19">
        <f t="shared" ref="C48:F48" si="0">SUM(C17:C47)</f>
        <v>83333.34</v>
      </c>
      <c r="D48" s="19"/>
      <c r="E48" s="19"/>
      <c r="F48" s="19">
        <f t="shared" si="0"/>
        <v>287721.66000000003</v>
      </c>
    </row>
    <row r="49" spans="1:6">
      <c r="A49" s="5" t="s">
        <v>111</v>
      </c>
      <c r="B49" s="10">
        <v>397500.19</v>
      </c>
      <c r="C49" s="10">
        <v>109778.53</v>
      </c>
      <c r="F49" s="10">
        <v>287721.65999999997</v>
      </c>
    </row>
    <row r="50" spans="1:6">
      <c r="A50" s="2" t="s">
        <v>112</v>
      </c>
      <c r="C50" s="11">
        <v>0.27600000000000002</v>
      </c>
      <c r="F50" s="11">
        <v>0.72399999999999998</v>
      </c>
    </row>
    <row r="52" spans="1:6">
      <c r="A52" s="1" t="s">
        <v>73</v>
      </c>
    </row>
    <row r="53" spans="1:6">
      <c r="A53" s="2" t="s">
        <v>74</v>
      </c>
      <c r="B53" s="9">
        <v>302676.39</v>
      </c>
      <c r="C53" s="9">
        <v>83590.83</v>
      </c>
      <c r="F53" s="9">
        <v>219085.56</v>
      </c>
    </row>
    <row r="54" spans="1:6">
      <c r="A54" s="2" t="s">
        <v>75</v>
      </c>
      <c r="B54" s="9">
        <v>32982.17</v>
      </c>
      <c r="C54" s="9">
        <v>9108.76</v>
      </c>
      <c r="F54" s="9">
        <v>23873.41</v>
      </c>
    </row>
    <row r="55" spans="1:6">
      <c r="A55" s="2" t="s">
        <v>76</v>
      </c>
      <c r="B55" s="9">
        <v>61841.63</v>
      </c>
      <c r="C55" s="9">
        <v>17078.939999999999</v>
      </c>
      <c r="F55" s="9">
        <v>44762.69</v>
      </c>
    </row>
    <row r="56" spans="1:6">
      <c r="A56" s="5" t="s">
        <v>77</v>
      </c>
      <c r="B56" s="10">
        <v>397500.19</v>
      </c>
      <c r="C56" s="10">
        <v>109778.53</v>
      </c>
      <c r="F56" s="10">
        <v>287721.65999999997</v>
      </c>
    </row>
    <row r="57" spans="1:6">
      <c r="B57" s="19">
        <f>SUM(B53:B55)</f>
        <v>397500.19</v>
      </c>
      <c r="C57" s="19">
        <f>SUM(C53:C55)</f>
        <v>109778.53</v>
      </c>
      <c r="D57" s="19"/>
      <c r="E57" s="19"/>
      <c r="F57" s="19">
        <f>SUM(F53:F55)</f>
        <v>287721.66000000003</v>
      </c>
    </row>
    <row r="58" spans="1:6">
      <c r="A58" s="1" t="s">
        <v>38</v>
      </c>
    </row>
    <row r="59" spans="1:6">
      <c r="A59" s="2" t="s">
        <v>39</v>
      </c>
      <c r="B59" s="4">
        <v>131053.31</v>
      </c>
    </row>
    <row r="60" spans="1:6">
      <c r="A60" s="2" t="s">
        <v>40</v>
      </c>
      <c r="B60" s="7">
        <v>144217.92000000001</v>
      </c>
    </row>
    <row r="61" spans="1:6" s="27" customFormat="1">
      <c r="A61" s="26" t="s">
        <v>41</v>
      </c>
      <c r="B61" s="31">
        <f>B59-B60</f>
        <v>-13164.610000000015</v>
      </c>
    </row>
    <row r="62" spans="1:6">
      <c r="B62" s="37">
        <f>B59-B60</f>
        <v>-13164.610000000015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1"/>
  <sheetViews>
    <sheetView topLeftCell="A42" workbookViewId="0">
      <selection activeCell="A60" sqref="A60:XFD60"/>
    </sheetView>
  </sheetViews>
  <sheetFormatPr defaultRowHeight="15"/>
  <cols>
    <col min="1" max="1" width="45" customWidth="1"/>
    <col min="2" max="2" width="16" customWidth="1"/>
    <col min="3" max="7" width="14" customWidth="1"/>
  </cols>
  <sheetData>
    <row r="1" spans="1:7">
      <c r="A1" s="1" t="s">
        <v>0</v>
      </c>
    </row>
    <row r="2" spans="1:7">
      <c r="A2" s="2" t="s">
        <v>120</v>
      </c>
    </row>
    <row r="3" spans="1:7">
      <c r="A3" s="2" t="s">
        <v>43</v>
      </c>
    </row>
    <row r="5" spans="1:7">
      <c r="A5" s="2" t="s">
        <v>44</v>
      </c>
      <c r="B5" s="2" t="s">
        <v>20</v>
      </c>
    </row>
    <row r="8" spans="1:7">
      <c r="A8" s="1" t="s">
        <v>121</v>
      </c>
    </row>
    <row r="13" spans="1:7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>
        <v>52</v>
      </c>
    </row>
    <row r="15" spans="1:7">
      <c r="A15" s="8" t="s">
        <v>80</v>
      </c>
    </row>
    <row r="16" spans="1:7">
      <c r="A16" s="2" t="s">
        <v>81</v>
      </c>
      <c r="B16" s="9">
        <v>26757.81</v>
      </c>
      <c r="C16" s="9">
        <v>26757.81</v>
      </c>
    </row>
    <row r="17" spans="1:6">
      <c r="A17" s="2" t="s">
        <v>82</v>
      </c>
      <c r="B17" s="9">
        <v>7990.89</v>
      </c>
      <c r="C17" s="9">
        <v>7990.89</v>
      </c>
    </row>
    <row r="18" spans="1:6">
      <c r="A18" s="2" t="s">
        <v>83</v>
      </c>
      <c r="B18" s="9">
        <v>37800.94</v>
      </c>
      <c r="C18" s="9">
        <v>37800.94</v>
      </c>
    </row>
    <row r="19" spans="1:6">
      <c r="A19" s="2" t="s">
        <v>84</v>
      </c>
      <c r="B19" s="9">
        <v>2842.52</v>
      </c>
      <c r="C19" s="9">
        <v>2842.52</v>
      </c>
    </row>
    <row r="20" spans="1:6">
      <c r="A20" s="2" t="s">
        <v>85</v>
      </c>
      <c r="B20" s="9">
        <v>2418.44</v>
      </c>
      <c r="C20" s="9">
        <v>2418.44</v>
      </c>
    </row>
    <row r="21" spans="1:6">
      <c r="A21" s="2" t="s">
        <v>86</v>
      </c>
      <c r="B21" s="9">
        <v>718.30000000000007</v>
      </c>
      <c r="C21" s="9">
        <v>718.30000000000007</v>
      </c>
    </row>
    <row r="22" spans="1:6">
      <c r="A22" s="2" t="s">
        <v>87</v>
      </c>
      <c r="B22" s="9">
        <v>705.03</v>
      </c>
      <c r="C22" s="9">
        <v>705.03</v>
      </c>
    </row>
    <row r="23" spans="1:6">
      <c r="A23" s="2" t="s">
        <v>88</v>
      </c>
      <c r="B23" s="9">
        <v>12363.8</v>
      </c>
      <c r="C23" s="9">
        <v>12363.8</v>
      </c>
    </row>
    <row r="24" spans="1:6">
      <c r="A24" s="2" t="s">
        <v>89</v>
      </c>
      <c r="B24" s="9">
        <v>3400.77</v>
      </c>
      <c r="C24" s="9">
        <v>3400.77</v>
      </c>
    </row>
    <row r="25" spans="1:6">
      <c r="A25" s="2" t="s">
        <v>90</v>
      </c>
      <c r="B25" s="9">
        <v>13431.92</v>
      </c>
      <c r="C25" s="9">
        <v>13431.92</v>
      </c>
    </row>
    <row r="26" spans="1:6">
      <c r="A26" s="2" t="s">
        <v>91</v>
      </c>
      <c r="B26" s="9">
        <v>1140.5</v>
      </c>
      <c r="C26" s="9">
        <v>1140.5</v>
      </c>
    </row>
    <row r="27" spans="1:6">
      <c r="A27" s="2" t="s">
        <v>92</v>
      </c>
      <c r="B27" s="9">
        <v>1360.86</v>
      </c>
      <c r="C27" s="9">
        <v>1360.86</v>
      </c>
    </row>
    <row r="28" spans="1:6">
      <c r="A28" s="2" t="s">
        <v>93</v>
      </c>
      <c r="B28" s="9">
        <v>14831.54</v>
      </c>
      <c r="C28" s="9">
        <v>14831.54</v>
      </c>
    </row>
    <row r="30" spans="1:6">
      <c r="A30" s="8" t="s">
        <v>94</v>
      </c>
    </row>
    <row r="31" spans="1:6">
      <c r="A31" s="2" t="s">
        <v>95</v>
      </c>
      <c r="B31" s="9">
        <v>25110.720000000001</v>
      </c>
      <c r="F31" s="9">
        <v>25110.720000000001</v>
      </c>
    </row>
    <row r="32" spans="1:6">
      <c r="A32" s="2" t="s">
        <v>96</v>
      </c>
      <c r="B32" s="9">
        <v>35390.339999999997</v>
      </c>
      <c r="F32" s="9">
        <v>35390.339999999997</v>
      </c>
    </row>
    <row r="33" spans="1:6">
      <c r="A33" s="2" t="s">
        <v>97</v>
      </c>
      <c r="B33" s="9">
        <v>29008.33</v>
      </c>
      <c r="F33" s="9">
        <v>29008.33</v>
      </c>
    </row>
    <row r="34" spans="1:6">
      <c r="A34" s="2" t="s">
        <v>98</v>
      </c>
      <c r="B34" s="9">
        <v>31389.040000000001</v>
      </c>
      <c r="F34" s="9">
        <v>31389.040000000001</v>
      </c>
    </row>
    <row r="35" spans="1:6">
      <c r="A35" s="2" t="s">
        <v>99</v>
      </c>
      <c r="B35" s="9">
        <v>26496.62</v>
      </c>
      <c r="F35" s="9">
        <v>26496.62</v>
      </c>
    </row>
    <row r="36" spans="1:6">
      <c r="A36" s="2" t="s">
        <v>100</v>
      </c>
      <c r="B36" s="9">
        <v>12009.05</v>
      </c>
      <c r="F36" s="9">
        <v>12009.05</v>
      </c>
    </row>
    <row r="37" spans="1:6">
      <c r="A37" s="2" t="s">
        <v>101</v>
      </c>
      <c r="B37" s="9">
        <v>23153.47</v>
      </c>
      <c r="F37" s="9">
        <v>23153.47</v>
      </c>
    </row>
    <row r="38" spans="1:6">
      <c r="A38" s="2" t="s">
        <v>102</v>
      </c>
      <c r="B38" s="9">
        <v>10659.46</v>
      </c>
      <c r="F38" s="9">
        <v>10659.46</v>
      </c>
    </row>
    <row r="39" spans="1:6">
      <c r="A39" s="2" t="s">
        <v>103</v>
      </c>
      <c r="B39" s="9">
        <v>16835.060000000001</v>
      </c>
      <c r="F39" s="9">
        <v>16835.060000000001</v>
      </c>
    </row>
    <row r="40" spans="1:6">
      <c r="A40" s="2" t="s">
        <v>104</v>
      </c>
      <c r="B40" s="9">
        <v>39604.25</v>
      </c>
      <c r="F40" s="9">
        <v>39604.25</v>
      </c>
    </row>
    <row r="41" spans="1:6">
      <c r="A41" s="2" t="s">
        <v>105</v>
      </c>
      <c r="B41" s="9">
        <v>16001</v>
      </c>
      <c r="F41" s="9">
        <v>16001</v>
      </c>
    </row>
    <row r="42" spans="1:6">
      <c r="A42" s="2" t="s">
        <v>106</v>
      </c>
      <c r="B42" s="9">
        <v>1863.69</v>
      </c>
      <c r="F42" s="9">
        <v>1863.69</v>
      </c>
    </row>
    <row r="43" spans="1:6">
      <c r="A43" s="2" t="s">
        <v>107</v>
      </c>
      <c r="B43" s="9">
        <v>82713.759999999995</v>
      </c>
      <c r="F43" s="9">
        <v>82713.759999999995</v>
      </c>
    </row>
    <row r="44" spans="1:6">
      <c r="A44" s="2" t="s">
        <v>108</v>
      </c>
      <c r="B44" s="9">
        <v>10815.9</v>
      </c>
      <c r="F44" s="9">
        <v>10815.9</v>
      </c>
    </row>
    <row r="45" spans="1:6">
      <c r="A45" s="2" t="s">
        <v>109</v>
      </c>
      <c r="B45" s="9">
        <v>9740.2199999999993</v>
      </c>
      <c r="F45" s="9">
        <v>9740.2199999999993</v>
      </c>
    </row>
    <row r="46" spans="1:6">
      <c r="A46" s="2" t="s">
        <v>110</v>
      </c>
      <c r="B46" s="9">
        <v>6970.48</v>
      </c>
      <c r="F46" s="9">
        <v>6970.48</v>
      </c>
    </row>
    <row r="47" spans="1:6">
      <c r="B47" s="19">
        <f>SUM(B16:B46)</f>
        <v>503524.71</v>
      </c>
      <c r="C47" s="19">
        <f t="shared" ref="C47:F47" si="0">SUM(C16:C46)</f>
        <v>125763.32000000004</v>
      </c>
      <c r="D47" s="19"/>
      <c r="E47" s="19"/>
      <c r="F47" s="19">
        <f t="shared" si="0"/>
        <v>377761.38999999996</v>
      </c>
    </row>
    <row r="48" spans="1:6">
      <c r="A48" s="5" t="s">
        <v>111</v>
      </c>
      <c r="B48" s="10">
        <v>503524.71</v>
      </c>
      <c r="C48" s="10">
        <v>125763.32</v>
      </c>
      <c r="F48" s="10">
        <v>377761.39</v>
      </c>
    </row>
    <row r="49" spans="1:6">
      <c r="A49" s="2" t="s">
        <v>112</v>
      </c>
      <c r="C49" s="11">
        <v>0.25</v>
      </c>
      <c r="F49" s="11">
        <v>0.75</v>
      </c>
    </row>
    <row r="51" spans="1:6">
      <c r="A51" s="1" t="s">
        <v>73</v>
      </c>
    </row>
    <row r="52" spans="1:6">
      <c r="A52" s="2" t="s">
        <v>74</v>
      </c>
      <c r="B52" s="9">
        <v>383408.73</v>
      </c>
      <c r="C52" s="9">
        <v>95762.44</v>
      </c>
      <c r="F52" s="9">
        <v>287646.28999999998</v>
      </c>
    </row>
    <row r="53" spans="1:6">
      <c r="A53" s="2" t="s">
        <v>75</v>
      </c>
      <c r="B53" s="9">
        <v>41779.440000000002</v>
      </c>
      <c r="C53" s="9">
        <v>10435.08</v>
      </c>
      <c r="F53" s="9">
        <v>31344.36</v>
      </c>
    </row>
    <row r="54" spans="1:6">
      <c r="A54" s="2" t="s">
        <v>76</v>
      </c>
      <c r="B54" s="9">
        <v>78336.539999999994</v>
      </c>
      <c r="C54" s="9">
        <v>19565.8</v>
      </c>
      <c r="F54" s="9">
        <v>58770.739999999991</v>
      </c>
    </row>
    <row r="55" spans="1:6">
      <c r="A55" s="5" t="s">
        <v>77</v>
      </c>
      <c r="B55" s="10">
        <v>503524.71</v>
      </c>
      <c r="C55" s="10">
        <v>125763.32</v>
      </c>
      <c r="F55" s="10">
        <v>377761.39</v>
      </c>
    </row>
    <row r="56" spans="1:6">
      <c r="B56" s="19">
        <f>SUM(B52:B54)</f>
        <v>503524.70999999996</v>
      </c>
      <c r="C56" s="19">
        <f>SUM(C52:C54)</f>
        <v>125763.32</v>
      </c>
      <c r="D56" s="19"/>
      <c r="E56" s="19"/>
      <c r="F56" s="19">
        <f>SUM(F52:F54)</f>
        <v>377761.38999999996</v>
      </c>
    </row>
    <row r="57" spans="1:6">
      <c r="A57" s="1" t="s">
        <v>38</v>
      </c>
    </row>
    <row r="58" spans="1:6">
      <c r="A58" s="2" t="s">
        <v>39</v>
      </c>
      <c r="B58" s="4">
        <v>166008.92000000001</v>
      </c>
    </row>
    <row r="59" spans="1:6">
      <c r="A59" s="2" t="s">
        <v>40</v>
      </c>
      <c r="B59" s="7">
        <v>170980.22</v>
      </c>
    </row>
    <row r="60" spans="1:6" s="27" customFormat="1">
      <c r="A60" s="26" t="s">
        <v>41</v>
      </c>
      <c r="B60" s="31">
        <f>B58-B59</f>
        <v>-4971.2999999999884</v>
      </c>
    </row>
    <row r="61" spans="1:6">
      <c r="B61" s="37">
        <f>B58-B59</f>
        <v>-4971.2999999999884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2"/>
  <sheetViews>
    <sheetView topLeftCell="A46" workbookViewId="0">
      <selection activeCell="A61" sqref="A61:XFD61"/>
    </sheetView>
  </sheetViews>
  <sheetFormatPr defaultRowHeight="15"/>
  <cols>
    <col min="1" max="1" width="45" customWidth="1"/>
    <col min="2" max="2" width="16" customWidth="1"/>
    <col min="3" max="7" width="14" customWidth="1"/>
  </cols>
  <sheetData>
    <row r="1" spans="1:7">
      <c r="A1" s="1" t="s">
        <v>0</v>
      </c>
    </row>
    <row r="2" spans="1:7">
      <c r="A2" s="2" t="s">
        <v>122</v>
      </c>
    </row>
    <row r="3" spans="1:7">
      <c r="A3" s="2" t="s">
        <v>43</v>
      </c>
    </row>
    <row r="5" spans="1:7">
      <c r="A5" s="2" t="s">
        <v>44</v>
      </c>
      <c r="B5" s="2" t="s">
        <v>20</v>
      </c>
    </row>
    <row r="8" spans="1:7">
      <c r="A8" s="1" t="s">
        <v>123</v>
      </c>
    </row>
    <row r="13" spans="1:7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>
        <v>52</v>
      </c>
    </row>
    <row r="15" spans="1:7">
      <c r="A15" s="8" t="s">
        <v>80</v>
      </c>
    </row>
    <row r="16" spans="1:7">
      <c r="A16" s="2" t="s">
        <v>81</v>
      </c>
      <c r="B16" s="9">
        <v>26445.19</v>
      </c>
      <c r="C16" s="9">
        <v>26445.19</v>
      </c>
    </row>
    <row r="17" spans="1:6">
      <c r="A17" s="2" t="s">
        <v>82</v>
      </c>
      <c r="B17" s="9">
        <v>4635.6899999999996</v>
      </c>
      <c r="C17" s="9">
        <v>4635.6899999999996</v>
      </c>
    </row>
    <row r="18" spans="1:6">
      <c r="A18" s="2" t="s">
        <v>115</v>
      </c>
      <c r="B18" s="9">
        <v>9118.09</v>
      </c>
      <c r="C18" s="9">
        <v>9118.09</v>
      </c>
    </row>
    <row r="19" spans="1:6">
      <c r="A19" s="2" t="s">
        <v>83</v>
      </c>
      <c r="B19" s="9">
        <v>17166.07</v>
      </c>
      <c r="C19" s="9">
        <v>17166.07</v>
      </c>
    </row>
    <row r="20" spans="1:6">
      <c r="A20" s="2" t="s">
        <v>84</v>
      </c>
      <c r="B20" s="9">
        <v>2842.52</v>
      </c>
      <c r="C20" s="9">
        <v>2842.52</v>
      </c>
    </row>
    <row r="21" spans="1:6">
      <c r="A21" s="2" t="s">
        <v>85</v>
      </c>
      <c r="B21" s="9">
        <v>2418.44</v>
      </c>
      <c r="C21" s="9">
        <v>2418.44</v>
      </c>
    </row>
    <row r="22" spans="1:6">
      <c r="A22" s="2" t="s">
        <v>86</v>
      </c>
      <c r="B22" s="9">
        <v>718.30000000000007</v>
      </c>
      <c r="C22" s="9">
        <v>718.30000000000007</v>
      </c>
    </row>
    <row r="23" spans="1:6">
      <c r="A23" s="2" t="s">
        <v>87</v>
      </c>
      <c r="B23" s="9">
        <v>705.03</v>
      </c>
      <c r="C23" s="9">
        <v>705.03</v>
      </c>
    </row>
    <row r="24" spans="1:6">
      <c r="A24" s="2" t="s">
        <v>88</v>
      </c>
      <c r="B24" s="9">
        <v>12363.8</v>
      </c>
      <c r="C24" s="9">
        <v>12363.8</v>
      </c>
    </row>
    <row r="25" spans="1:6">
      <c r="A25" s="2" t="s">
        <v>89</v>
      </c>
      <c r="B25" s="9">
        <v>2600.58</v>
      </c>
      <c r="C25" s="9">
        <v>2600.58</v>
      </c>
    </row>
    <row r="26" spans="1:6">
      <c r="A26" s="2" t="s">
        <v>90</v>
      </c>
      <c r="B26" s="9">
        <v>13431.92</v>
      </c>
      <c r="C26" s="9">
        <v>13431.92</v>
      </c>
    </row>
    <row r="27" spans="1:6">
      <c r="A27" s="2" t="s">
        <v>91</v>
      </c>
      <c r="B27" s="9">
        <v>1140.5</v>
      </c>
      <c r="C27" s="9">
        <v>1140.5</v>
      </c>
    </row>
    <row r="28" spans="1:6">
      <c r="A28" s="2" t="s">
        <v>92</v>
      </c>
      <c r="B28" s="9">
        <v>1360.86</v>
      </c>
      <c r="C28" s="9">
        <v>1360.86</v>
      </c>
    </row>
    <row r="29" spans="1:6">
      <c r="A29" s="2" t="s">
        <v>93</v>
      </c>
      <c r="B29" s="9">
        <v>14831.54</v>
      </c>
      <c r="C29" s="9">
        <v>14831.54</v>
      </c>
    </row>
    <row r="31" spans="1:6">
      <c r="A31" s="8" t="s">
        <v>94</v>
      </c>
    </row>
    <row r="32" spans="1:6">
      <c r="A32" s="2" t="s">
        <v>95</v>
      </c>
      <c r="B32" s="9">
        <v>19166.810000000001</v>
      </c>
      <c r="F32" s="9">
        <v>19166.810000000001</v>
      </c>
    </row>
    <row r="33" spans="1:6">
      <c r="A33" s="2" t="s">
        <v>96</v>
      </c>
      <c r="B33" s="9">
        <v>26894.18</v>
      </c>
      <c r="F33" s="9">
        <v>26894.18</v>
      </c>
    </row>
    <row r="34" spans="1:6">
      <c r="A34" s="2" t="s">
        <v>97</v>
      </c>
      <c r="B34" s="9">
        <v>19273.71</v>
      </c>
      <c r="F34" s="9">
        <v>19273.71</v>
      </c>
    </row>
    <row r="35" spans="1:6">
      <c r="A35" s="2" t="s">
        <v>98</v>
      </c>
      <c r="B35" s="9">
        <v>24003.39</v>
      </c>
      <c r="F35" s="9">
        <v>24003.39</v>
      </c>
    </row>
    <row r="36" spans="1:6">
      <c r="A36" s="2" t="s">
        <v>99</v>
      </c>
      <c r="B36" s="9">
        <v>23233.4</v>
      </c>
      <c r="F36" s="9">
        <v>23233.4</v>
      </c>
    </row>
    <row r="37" spans="1:6">
      <c r="A37" s="2" t="s">
        <v>100</v>
      </c>
      <c r="B37" s="9">
        <v>8832.92</v>
      </c>
      <c r="F37" s="9">
        <v>8832.92</v>
      </c>
    </row>
    <row r="38" spans="1:6">
      <c r="A38" s="2" t="s">
        <v>101</v>
      </c>
      <c r="B38" s="9">
        <v>17315.310000000001</v>
      </c>
      <c r="F38" s="9">
        <v>17315.310000000001</v>
      </c>
    </row>
    <row r="39" spans="1:6">
      <c r="A39" s="2" t="s">
        <v>102</v>
      </c>
      <c r="B39" s="9">
        <v>10659.46</v>
      </c>
      <c r="F39" s="9">
        <v>10659.46</v>
      </c>
    </row>
    <row r="40" spans="1:6">
      <c r="A40" s="2" t="s">
        <v>103</v>
      </c>
      <c r="B40" s="9">
        <v>12873.87</v>
      </c>
      <c r="F40" s="9">
        <v>12873.87</v>
      </c>
    </row>
    <row r="41" spans="1:6">
      <c r="A41" s="2" t="s">
        <v>104</v>
      </c>
      <c r="B41" s="9">
        <v>29302.11</v>
      </c>
      <c r="F41" s="9">
        <v>29302.11</v>
      </c>
    </row>
    <row r="42" spans="1:6">
      <c r="A42" s="2" t="s">
        <v>105</v>
      </c>
      <c r="B42" s="9">
        <v>11976.41</v>
      </c>
      <c r="F42" s="9">
        <v>11976.41</v>
      </c>
    </row>
    <row r="43" spans="1:6">
      <c r="A43" s="2" t="s">
        <v>106</v>
      </c>
      <c r="B43" s="9">
        <v>1737.32</v>
      </c>
      <c r="F43" s="9">
        <v>1737.32</v>
      </c>
    </row>
    <row r="44" spans="1:6">
      <c r="A44" s="2" t="s">
        <v>107</v>
      </c>
      <c r="B44" s="9">
        <v>63061.18</v>
      </c>
      <c r="F44" s="9">
        <v>63061.18</v>
      </c>
    </row>
    <row r="45" spans="1:6">
      <c r="A45" s="2" t="s">
        <v>108</v>
      </c>
      <c r="B45" s="9">
        <v>10815.9</v>
      </c>
      <c r="F45" s="9">
        <v>10815.9</v>
      </c>
    </row>
    <row r="46" spans="1:6">
      <c r="A46" s="2" t="s">
        <v>109</v>
      </c>
      <c r="B46" s="9">
        <v>5272.42</v>
      </c>
      <c r="F46" s="9">
        <v>5272.42</v>
      </c>
    </row>
    <row r="47" spans="1:6">
      <c r="A47" s="2" t="s">
        <v>110</v>
      </c>
      <c r="B47" s="9">
        <v>3303.27</v>
      </c>
      <c r="F47" s="9">
        <v>3303.27</v>
      </c>
    </row>
    <row r="48" spans="1:6">
      <c r="B48" s="19">
        <f>SUM(B17:B47)</f>
        <v>371055</v>
      </c>
      <c r="C48" s="19">
        <f t="shared" ref="C48:F48" si="0">SUM(C17:C47)</f>
        <v>83333.34</v>
      </c>
      <c r="D48" s="19"/>
      <c r="E48" s="19"/>
      <c r="F48" s="19">
        <f t="shared" si="0"/>
        <v>287721.66000000003</v>
      </c>
    </row>
    <row r="49" spans="1:6">
      <c r="A49" s="5" t="s">
        <v>111</v>
      </c>
      <c r="B49" s="10">
        <v>397500.19</v>
      </c>
      <c r="C49" s="10">
        <v>109778.53</v>
      </c>
      <c r="F49" s="10">
        <v>287721.65999999997</v>
      </c>
    </row>
    <row r="50" spans="1:6">
      <c r="A50" s="2" t="s">
        <v>112</v>
      </c>
      <c r="C50" s="11">
        <v>0.27600000000000002</v>
      </c>
      <c r="F50" s="11">
        <v>0.72399999999999998</v>
      </c>
    </row>
    <row r="52" spans="1:6">
      <c r="A52" s="1" t="s">
        <v>73</v>
      </c>
    </row>
    <row r="53" spans="1:6">
      <c r="A53" s="2" t="s">
        <v>74</v>
      </c>
      <c r="B53" s="9">
        <v>302676.39</v>
      </c>
      <c r="C53" s="9">
        <v>83590.83</v>
      </c>
      <c r="F53" s="9">
        <v>219085.56</v>
      </c>
    </row>
    <row r="54" spans="1:6">
      <c r="A54" s="2" t="s">
        <v>75</v>
      </c>
      <c r="B54" s="9">
        <v>32982.17</v>
      </c>
      <c r="C54" s="9">
        <v>9108.76</v>
      </c>
      <c r="F54" s="9">
        <v>23873.41</v>
      </c>
    </row>
    <row r="55" spans="1:6">
      <c r="A55" s="2" t="s">
        <v>76</v>
      </c>
      <c r="B55" s="9">
        <v>61841.63</v>
      </c>
      <c r="C55" s="9">
        <v>17078.939999999999</v>
      </c>
      <c r="F55" s="9">
        <v>44762.69</v>
      </c>
    </row>
    <row r="56" spans="1:6">
      <c r="A56" s="5" t="s">
        <v>77</v>
      </c>
      <c r="B56" s="10">
        <v>397500.19</v>
      </c>
      <c r="C56" s="10">
        <v>109778.53</v>
      </c>
      <c r="F56" s="10">
        <v>287721.65999999997</v>
      </c>
    </row>
    <row r="57" spans="1:6">
      <c r="B57" s="19">
        <f>SUM(B53:B55)</f>
        <v>397500.19</v>
      </c>
      <c r="C57" s="19">
        <f>SUM(C53:C55)</f>
        <v>109778.53</v>
      </c>
      <c r="D57" s="19"/>
      <c r="E57" s="19"/>
      <c r="F57" s="19">
        <f>SUM(F53:F55)</f>
        <v>287721.66000000003</v>
      </c>
    </row>
    <row r="58" spans="1:6">
      <c r="A58" s="1" t="s">
        <v>38</v>
      </c>
    </row>
    <row r="59" spans="1:6">
      <c r="A59" s="2" t="s">
        <v>39</v>
      </c>
      <c r="B59" s="4">
        <v>131053.31</v>
      </c>
    </row>
    <row r="60" spans="1:6">
      <c r="A60" s="2" t="s">
        <v>40</v>
      </c>
      <c r="B60" s="7">
        <v>144217.92000000001</v>
      </c>
    </row>
    <row r="61" spans="1:6" s="27" customFormat="1">
      <c r="A61" s="26" t="s">
        <v>41</v>
      </c>
      <c r="B61" s="31">
        <f>B59-B60</f>
        <v>-13164.610000000015</v>
      </c>
    </row>
    <row r="62" spans="1:6">
      <c r="B62" s="37">
        <f>B59-B60</f>
        <v>-13164.610000000015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1"/>
  <sheetViews>
    <sheetView topLeftCell="A42" workbookViewId="0">
      <selection activeCell="A60" sqref="A60:XFD60"/>
    </sheetView>
  </sheetViews>
  <sheetFormatPr defaultRowHeight="15"/>
  <cols>
    <col min="1" max="1" width="45" customWidth="1"/>
    <col min="2" max="2" width="16" customWidth="1"/>
    <col min="3" max="7" width="14" customWidth="1"/>
  </cols>
  <sheetData>
    <row r="1" spans="1:7">
      <c r="A1" s="1" t="s">
        <v>0</v>
      </c>
    </row>
    <row r="2" spans="1:7">
      <c r="A2" s="2" t="s">
        <v>124</v>
      </c>
    </row>
    <row r="3" spans="1:7">
      <c r="A3" s="2" t="s">
        <v>43</v>
      </c>
    </row>
    <row r="5" spans="1:7">
      <c r="A5" s="2" t="s">
        <v>44</v>
      </c>
      <c r="B5" s="2" t="s">
        <v>20</v>
      </c>
    </row>
    <row r="8" spans="1:7">
      <c r="A8" s="1" t="s">
        <v>125</v>
      </c>
    </row>
    <row r="13" spans="1:7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>
        <v>52</v>
      </c>
    </row>
    <row r="15" spans="1:7">
      <c r="A15" s="8" t="s">
        <v>80</v>
      </c>
    </row>
    <row r="16" spans="1:7">
      <c r="A16" s="2" t="s">
        <v>81</v>
      </c>
      <c r="B16" s="9">
        <v>26757.81</v>
      </c>
      <c r="C16" s="9">
        <v>26757.81</v>
      </c>
    </row>
    <row r="17" spans="1:6">
      <c r="A17" s="2" t="s">
        <v>82</v>
      </c>
      <c r="B17" s="9">
        <v>7990.89</v>
      </c>
      <c r="C17" s="9">
        <v>7990.89</v>
      </c>
    </row>
    <row r="18" spans="1:6">
      <c r="A18" s="2" t="s">
        <v>83</v>
      </c>
      <c r="B18" s="9">
        <v>37800.94</v>
      </c>
      <c r="C18" s="9">
        <v>37800.94</v>
      </c>
    </row>
    <row r="19" spans="1:6">
      <c r="A19" s="2" t="s">
        <v>84</v>
      </c>
      <c r="B19" s="9">
        <v>2842.52</v>
      </c>
      <c r="C19" s="9">
        <v>2842.52</v>
      </c>
    </row>
    <row r="20" spans="1:6">
      <c r="A20" s="2" t="s">
        <v>85</v>
      </c>
      <c r="B20" s="9">
        <v>2418.44</v>
      </c>
      <c r="C20" s="9">
        <v>2418.44</v>
      </c>
    </row>
    <row r="21" spans="1:6">
      <c r="A21" s="2" t="s">
        <v>86</v>
      </c>
      <c r="B21" s="9">
        <v>718.30000000000007</v>
      </c>
      <c r="C21" s="9">
        <v>718.30000000000007</v>
      </c>
    </row>
    <row r="22" spans="1:6">
      <c r="A22" s="2" t="s">
        <v>87</v>
      </c>
      <c r="B22" s="9">
        <v>705.03</v>
      </c>
      <c r="C22" s="9">
        <v>705.03</v>
      </c>
    </row>
    <row r="23" spans="1:6">
      <c r="A23" s="2" t="s">
        <v>88</v>
      </c>
      <c r="B23" s="9">
        <v>12363.8</v>
      </c>
      <c r="C23" s="9">
        <v>12363.8</v>
      </c>
    </row>
    <row r="24" spans="1:6">
      <c r="A24" s="2" t="s">
        <v>89</v>
      </c>
      <c r="B24" s="9">
        <v>3400.77</v>
      </c>
      <c r="C24" s="9">
        <v>3400.77</v>
      </c>
    </row>
    <row r="25" spans="1:6">
      <c r="A25" s="2" t="s">
        <v>90</v>
      </c>
      <c r="B25" s="9">
        <v>13431.92</v>
      </c>
      <c r="C25" s="9">
        <v>13431.92</v>
      </c>
    </row>
    <row r="26" spans="1:6">
      <c r="A26" s="2" t="s">
        <v>91</v>
      </c>
      <c r="B26" s="9">
        <v>1140.5</v>
      </c>
      <c r="C26" s="9">
        <v>1140.5</v>
      </c>
    </row>
    <row r="27" spans="1:6">
      <c r="A27" s="2" t="s">
        <v>92</v>
      </c>
      <c r="B27" s="9">
        <v>1360.86</v>
      </c>
      <c r="C27" s="9">
        <v>1360.86</v>
      </c>
    </row>
    <row r="28" spans="1:6">
      <c r="A28" s="2" t="s">
        <v>93</v>
      </c>
      <c r="B28" s="9">
        <v>14831.54</v>
      </c>
      <c r="C28" s="9">
        <v>14831.54</v>
      </c>
    </row>
    <row r="30" spans="1:6">
      <c r="A30" s="8" t="s">
        <v>94</v>
      </c>
    </row>
    <row r="31" spans="1:6">
      <c r="A31" s="2" t="s">
        <v>95</v>
      </c>
      <c r="B31" s="9">
        <v>25110.720000000001</v>
      </c>
      <c r="F31" s="9">
        <v>25110.720000000001</v>
      </c>
    </row>
    <row r="32" spans="1:6">
      <c r="A32" s="2" t="s">
        <v>96</v>
      </c>
      <c r="B32" s="9">
        <v>35390.339999999997</v>
      </c>
      <c r="F32" s="9">
        <v>35390.339999999997</v>
      </c>
    </row>
    <row r="33" spans="1:6">
      <c r="A33" s="2" t="s">
        <v>97</v>
      </c>
      <c r="B33" s="9">
        <v>29008.33</v>
      </c>
      <c r="F33" s="9">
        <v>29008.33</v>
      </c>
    </row>
    <row r="34" spans="1:6">
      <c r="A34" s="2" t="s">
        <v>98</v>
      </c>
      <c r="B34" s="9">
        <v>31389.040000000001</v>
      </c>
      <c r="F34" s="9">
        <v>31389.040000000001</v>
      </c>
    </row>
    <row r="35" spans="1:6">
      <c r="A35" s="2" t="s">
        <v>99</v>
      </c>
      <c r="B35" s="9">
        <v>26496.62</v>
      </c>
      <c r="F35" s="9">
        <v>26496.62</v>
      </c>
    </row>
    <row r="36" spans="1:6">
      <c r="A36" s="2" t="s">
        <v>100</v>
      </c>
      <c r="B36" s="9">
        <v>12009.05</v>
      </c>
      <c r="F36" s="9">
        <v>12009.05</v>
      </c>
    </row>
    <row r="37" spans="1:6">
      <c r="A37" s="2" t="s">
        <v>101</v>
      </c>
      <c r="B37" s="9">
        <v>23153.47</v>
      </c>
      <c r="F37" s="9">
        <v>23153.47</v>
      </c>
    </row>
    <row r="38" spans="1:6">
      <c r="A38" s="2" t="s">
        <v>102</v>
      </c>
      <c r="B38" s="9">
        <v>10659.46</v>
      </c>
      <c r="F38" s="9">
        <v>10659.46</v>
      </c>
    </row>
    <row r="39" spans="1:6">
      <c r="A39" s="2" t="s">
        <v>103</v>
      </c>
      <c r="B39" s="9">
        <v>16835.060000000001</v>
      </c>
      <c r="F39" s="9">
        <v>16835.060000000001</v>
      </c>
    </row>
    <row r="40" spans="1:6">
      <c r="A40" s="2" t="s">
        <v>104</v>
      </c>
      <c r="B40" s="9">
        <v>39604.25</v>
      </c>
      <c r="F40" s="9">
        <v>39604.25</v>
      </c>
    </row>
    <row r="41" spans="1:6">
      <c r="A41" s="2" t="s">
        <v>105</v>
      </c>
      <c r="B41" s="9">
        <v>16001</v>
      </c>
      <c r="F41" s="9">
        <v>16001</v>
      </c>
    </row>
    <row r="42" spans="1:6">
      <c r="A42" s="2" t="s">
        <v>106</v>
      </c>
      <c r="B42" s="9">
        <v>1863.69</v>
      </c>
      <c r="F42" s="9">
        <v>1863.69</v>
      </c>
    </row>
    <row r="43" spans="1:6">
      <c r="A43" s="2" t="s">
        <v>107</v>
      </c>
      <c r="B43" s="9">
        <v>82713.759999999995</v>
      </c>
      <c r="F43" s="9">
        <v>82713.759999999995</v>
      </c>
    </row>
    <row r="44" spans="1:6">
      <c r="A44" s="2" t="s">
        <v>108</v>
      </c>
      <c r="B44" s="9">
        <v>10815.9</v>
      </c>
      <c r="F44" s="9">
        <v>10815.9</v>
      </c>
    </row>
    <row r="45" spans="1:6">
      <c r="A45" s="2" t="s">
        <v>109</v>
      </c>
      <c r="B45" s="9">
        <v>9740.2199999999993</v>
      </c>
      <c r="F45" s="9">
        <v>9740.2199999999993</v>
      </c>
    </row>
    <row r="46" spans="1:6">
      <c r="A46" s="2" t="s">
        <v>110</v>
      </c>
      <c r="B46" s="9">
        <v>6970.48</v>
      </c>
      <c r="F46" s="9">
        <v>6970.48</v>
      </c>
    </row>
    <row r="47" spans="1:6">
      <c r="B47" s="19">
        <f>SUM(B16:B46)</f>
        <v>503524.71</v>
      </c>
      <c r="C47" s="19">
        <f t="shared" ref="C47:F47" si="0">SUM(C16:C46)</f>
        <v>125763.32000000004</v>
      </c>
      <c r="D47" s="19"/>
      <c r="E47" s="19"/>
      <c r="F47" s="19">
        <f t="shared" si="0"/>
        <v>377761.38999999996</v>
      </c>
    </row>
    <row r="48" spans="1:6">
      <c r="A48" s="5" t="s">
        <v>111</v>
      </c>
      <c r="B48" s="10">
        <v>503524.71</v>
      </c>
      <c r="C48" s="10">
        <v>125763.32</v>
      </c>
      <c r="F48" s="10">
        <v>377761.39</v>
      </c>
    </row>
    <row r="49" spans="1:6">
      <c r="A49" s="2" t="s">
        <v>112</v>
      </c>
      <c r="C49" s="11">
        <v>0.25</v>
      </c>
      <c r="F49" s="11">
        <v>0.75</v>
      </c>
    </row>
    <row r="51" spans="1:6">
      <c r="A51" s="1" t="s">
        <v>73</v>
      </c>
    </row>
    <row r="52" spans="1:6">
      <c r="A52" s="2" t="s">
        <v>74</v>
      </c>
      <c r="B52" s="9">
        <v>383408.73</v>
      </c>
      <c r="C52" s="9">
        <v>95762.44</v>
      </c>
      <c r="F52" s="9">
        <v>287646.28999999998</v>
      </c>
    </row>
    <row r="53" spans="1:6">
      <c r="A53" s="2" t="s">
        <v>75</v>
      </c>
      <c r="B53" s="9">
        <v>41779.440000000002</v>
      </c>
      <c r="C53" s="9">
        <v>10435.08</v>
      </c>
      <c r="F53" s="9">
        <v>31344.36</v>
      </c>
    </row>
    <row r="54" spans="1:6">
      <c r="A54" s="2" t="s">
        <v>76</v>
      </c>
      <c r="B54" s="9">
        <v>78336.539999999994</v>
      </c>
      <c r="C54" s="9">
        <v>19565.8</v>
      </c>
      <c r="F54" s="9">
        <v>58770.739999999991</v>
      </c>
    </row>
    <row r="55" spans="1:6">
      <c r="A55" s="5" t="s">
        <v>77</v>
      </c>
      <c r="B55" s="10">
        <v>503524.71</v>
      </c>
      <c r="C55" s="10">
        <v>125763.32</v>
      </c>
      <c r="F55" s="10">
        <v>377761.39</v>
      </c>
    </row>
    <row r="56" spans="1:6">
      <c r="B56" s="19">
        <f>SUM(B52:B54)</f>
        <v>503524.70999999996</v>
      </c>
      <c r="C56" s="19">
        <f>SUM(C52:C54)</f>
        <v>125763.32</v>
      </c>
      <c r="D56" s="19"/>
      <c r="E56" s="19"/>
      <c r="F56" s="19">
        <f>SUM(F52:F54)</f>
        <v>377761.38999999996</v>
      </c>
    </row>
    <row r="57" spans="1:6">
      <c r="A57" s="1" t="s">
        <v>38</v>
      </c>
    </row>
    <row r="58" spans="1:6">
      <c r="A58" s="2" t="s">
        <v>39</v>
      </c>
      <c r="B58" s="12">
        <v>166008.92000000001</v>
      </c>
    </row>
    <row r="59" spans="1:6">
      <c r="A59" s="2" t="s">
        <v>40</v>
      </c>
      <c r="B59" s="12">
        <v>170980.22</v>
      </c>
    </row>
    <row r="60" spans="1:6" s="27" customFormat="1">
      <c r="A60" s="26" t="s">
        <v>41</v>
      </c>
      <c r="B60" s="31">
        <f>B58-B59</f>
        <v>-4971.2999999999884</v>
      </c>
    </row>
    <row r="61" spans="1:6">
      <c r="B61" s="37">
        <f>B58-B59</f>
        <v>-4971.2999999999884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2"/>
  <sheetViews>
    <sheetView topLeftCell="A41" workbookViewId="0">
      <selection activeCell="A61" sqref="A61:XFD61"/>
    </sheetView>
  </sheetViews>
  <sheetFormatPr defaultRowHeight="15"/>
  <cols>
    <col min="1" max="1" width="45" customWidth="1"/>
    <col min="2" max="2" width="16" customWidth="1"/>
    <col min="3" max="7" width="14" customWidth="1"/>
  </cols>
  <sheetData>
    <row r="1" spans="1:7">
      <c r="A1" s="1" t="s">
        <v>0</v>
      </c>
    </row>
    <row r="2" spans="1:7">
      <c r="A2" s="2" t="s">
        <v>126</v>
      </c>
    </row>
    <row r="3" spans="1:7">
      <c r="A3" s="2" t="s">
        <v>43</v>
      </c>
    </row>
    <row r="5" spans="1:7">
      <c r="A5" s="2" t="s">
        <v>44</v>
      </c>
      <c r="B5" s="2" t="s">
        <v>20</v>
      </c>
    </row>
    <row r="8" spans="1:7">
      <c r="A8" s="1" t="s">
        <v>127</v>
      </c>
    </row>
    <row r="13" spans="1:7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>
        <v>52</v>
      </c>
    </row>
    <row r="15" spans="1:7">
      <c r="A15" s="8" t="s">
        <v>80</v>
      </c>
    </row>
    <row r="16" spans="1:7">
      <c r="A16" s="2" t="s">
        <v>81</v>
      </c>
      <c r="B16" s="9">
        <v>26445.19</v>
      </c>
      <c r="C16" s="9">
        <v>26445.19</v>
      </c>
    </row>
    <row r="17" spans="1:6">
      <c r="A17" s="2" t="s">
        <v>82</v>
      </c>
      <c r="B17" s="9">
        <v>4635.6899999999996</v>
      </c>
      <c r="C17" s="9">
        <v>4635.6899999999996</v>
      </c>
    </row>
    <row r="18" spans="1:6">
      <c r="A18" s="2" t="s">
        <v>115</v>
      </c>
      <c r="B18" s="9">
        <v>9118.09</v>
      </c>
      <c r="C18" s="9">
        <v>9118.09</v>
      </c>
    </row>
    <row r="19" spans="1:6">
      <c r="A19" s="2" t="s">
        <v>83</v>
      </c>
      <c r="B19" s="9">
        <v>17166.07</v>
      </c>
      <c r="C19" s="9">
        <v>17166.07</v>
      </c>
    </row>
    <row r="20" spans="1:6">
      <c r="A20" s="2" t="s">
        <v>84</v>
      </c>
      <c r="B20" s="9">
        <v>2842.52</v>
      </c>
      <c r="C20" s="9">
        <v>2842.52</v>
      </c>
    </row>
    <row r="21" spans="1:6">
      <c r="A21" s="2" t="s">
        <v>85</v>
      </c>
      <c r="B21" s="9">
        <v>2418.44</v>
      </c>
      <c r="C21" s="9">
        <v>2418.44</v>
      </c>
    </row>
    <row r="22" spans="1:6">
      <c r="A22" s="2" t="s">
        <v>86</v>
      </c>
      <c r="B22" s="9">
        <v>718.30000000000007</v>
      </c>
      <c r="C22" s="9">
        <v>718.30000000000007</v>
      </c>
    </row>
    <row r="23" spans="1:6">
      <c r="A23" s="2" t="s">
        <v>87</v>
      </c>
      <c r="B23" s="9">
        <v>705.03</v>
      </c>
      <c r="C23" s="9">
        <v>705.03</v>
      </c>
    </row>
    <row r="24" spans="1:6">
      <c r="A24" s="2" t="s">
        <v>88</v>
      </c>
      <c r="B24" s="9">
        <v>12363.8</v>
      </c>
      <c r="C24" s="9">
        <v>12363.8</v>
      </c>
    </row>
    <row r="25" spans="1:6">
      <c r="A25" s="2" t="s">
        <v>89</v>
      </c>
      <c r="B25" s="9">
        <v>2600.58</v>
      </c>
      <c r="C25" s="9">
        <v>2600.58</v>
      </c>
    </row>
    <row r="26" spans="1:6">
      <c r="A26" s="2" t="s">
        <v>90</v>
      </c>
      <c r="B26" s="9">
        <v>13431.92</v>
      </c>
      <c r="C26" s="9">
        <v>13431.92</v>
      </c>
    </row>
    <row r="27" spans="1:6">
      <c r="A27" s="2" t="s">
        <v>91</v>
      </c>
      <c r="B27" s="9">
        <v>1140.5</v>
      </c>
      <c r="C27" s="9">
        <v>1140.5</v>
      </c>
    </row>
    <row r="28" spans="1:6">
      <c r="A28" s="2" t="s">
        <v>92</v>
      </c>
      <c r="B28" s="9">
        <v>1360.86</v>
      </c>
      <c r="C28" s="9">
        <v>1360.86</v>
      </c>
    </row>
    <row r="29" spans="1:6">
      <c r="A29" s="2" t="s">
        <v>93</v>
      </c>
      <c r="B29" s="9">
        <v>14831.54</v>
      </c>
      <c r="C29" s="9">
        <v>14831.54</v>
      </c>
    </row>
    <row r="31" spans="1:6">
      <c r="A31" s="8" t="s">
        <v>94</v>
      </c>
    </row>
    <row r="32" spans="1:6">
      <c r="A32" s="2" t="s">
        <v>95</v>
      </c>
      <c r="B32" s="9">
        <v>19166.810000000001</v>
      </c>
      <c r="F32" s="9">
        <v>19166.810000000001</v>
      </c>
    </row>
    <row r="33" spans="1:6">
      <c r="A33" s="2" t="s">
        <v>96</v>
      </c>
      <c r="B33" s="9">
        <v>26894.18</v>
      </c>
      <c r="F33" s="9">
        <v>26894.18</v>
      </c>
    </row>
    <row r="34" spans="1:6">
      <c r="A34" s="2" t="s">
        <v>97</v>
      </c>
      <c r="B34" s="9">
        <v>19273.71</v>
      </c>
      <c r="F34" s="9">
        <v>19273.71</v>
      </c>
    </row>
    <row r="35" spans="1:6">
      <c r="A35" s="2" t="s">
        <v>98</v>
      </c>
      <c r="B35" s="9">
        <v>24003.39</v>
      </c>
      <c r="F35" s="9">
        <v>24003.39</v>
      </c>
    </row>
    <row r="36" spans="1:6">
      <c r="A36" s="2" t="s">
        <v>99</v>
      </c>
      <c r="B36" s="9">
        <v>23233.4</v>
      </c>
      <c r="F36" s="9">
        <v>23233.4</v>
      </c>
    </row>
    <row r="37" spans="1:6">
      <c r="A37" s="2" t="s">
        <v>100</v>
      </c>
      <c r="B37" s="9">
        <v>8832.92</v>
      </c>
      <c r="F37" s="9">
        <v>8832.92</v>
      </c>
    </row>
    <row r="38" spans="1:6">
      <c r="A38" s="2" t="s">
        <v>101</v>
      </c>
      <c r="B38" s="9">
        <v>17315.310000000001</v>
      </c>
      <c r="F38" s="9">
        <v>17315.310000000001</v>
      </c>
    </row>
    <row r="39" spans="1:6">
      <c r="A39" s="2" t="s">
        <v>102</v>
      </c>
      <c r="B39" s="9">
        <v>10659.46</v>
      </c>
      <c r="F39" s="9">
        <v>10659.46</v>
      </c>
    </row>
    <row r="40" spans="1:6">
      <c r="A40" s="2" t="s">
        <v>103</v>
      </c>
      <c r="B40" s="9">
        <v>12873.87</v>
      </c>
      <c r="F40" s="9">
        <v>12873.87</v>
      </c>
    </row>
    <row r="41" spans="1:6">
      <c r="A41" s="2" t="s">
        <v>104</v>
      </c>
      <c r="B41" s="9">
        <v>29302.11</v>
      </c>
      <c r="F41" s="9">
        <v>29302.11</v>
      </c>
    </row>
    <row r="42" spans="1:6">
      <c r="A42" s="2" t="s">
        <v>105</v>
      </c>
      <c r="B42" s="9">
        <v>11976.41</v>
      </c>
      <c r="F42" s="9">
        <v>11976.41</v>
      </c>
    </row>
    <row r="43" spans="1:6">
      <c r="A43" s="2" t="s">
        <v>106</v>
      </c>
      <c r="B43" s="9">
        <v>1737.32</v>
      </c>
      <c r="F43" s="9">
        <v>1737.32</v>
      </c>
    </row>
    <row r="44" spans="1:6">
      <c r="A44" s="2" t="s">
        <v>107</v>
      </c>
      <c r="B44" s="9">
        <v>63061.18</v>
      </c>
      <c r="F44" s="9">
        <v>63061.18</v>
      </c>
    </row>
    <row r="45" spans="1:6">
      <c r="A45" s="2" t="s">
        <v>108</v>
      </c>
      <c r="B45" s="9">
        <v>10815.9</v>
      </c>
      <c r="F45" s="9">
        <v>10815.9</v>
      </c>
    </row>
    <row r="46" spans="1:6">
      <c r="A46" s="2" t="s">
        <v>109</v>
      </c>
      <c r="B46" s="9">
        <v>5272.42</v>
      </c>
      <c r="F46" s="9">
        <v>5272.42</v>
      </c>
    </row>
    <row r="47" spans="1:6">
      <c r="A47" s="2" t="s">
        <v>110</v>
      </c>
      <c r="B47" s="9">
        <v>3303.27</v>
      </c>
      <c r="F47" s="9">
        <v>3303.27</v>
      </c>
    </row>
    <row r="48" spans="1:6">
      <c r="B48" s="19">
        <f>SUM(B17:B47)</f>
        <v>371055</v>
      </c>
      <c r="C48" s="19">
        <f t="shared" ref="C48:F48" si="0">SUM(C17:C47)</f>
        <v>83333.34</v>
      </c>
      <c r="D48" s="19"/>
      <c r="E48" s="19"/>
      <c r="F48" s="19">
        <f t="shared" si="0"/>
        <v>287721.66000000003</v>
      </c>
    </row>
    <row r="49" spans="1:6">
      <c r="A49" s="5" t="s">
        <v>111</v>
      </c>
      <c r="B49" s="10">
        <v>397500.19</v>
      </c>
      <c r="C49" s="10">
        <v>109778.53</v>
      </c>
      <c r="F49" s="10">
        <v>287721.65999999997</v>
      </c>
    </row>
    <row r="50" spans="1:6">
      <c r="A50" s="2" t="s">
        <v>112</v>
      </c>
      <c r="C50" s="11">
        <v>0.27600000000000002</v>
      </c>
      <c r="F50" s="11">
        <v>0.72399999999999998</v>
      </c>
    </row>
    <row r="52" spans="1:6">
      <c r="A52" s="1" t="s">
        <v>73</v>
      </c>
    </row>
    <row r="53" spans="1:6">
      <c r="A53" s="2" t="s">
        <v>74</v>
      </c>
      <c r="B53" s="9">
        <v>302676.39</v>
      </c>
      <c r="C53" s="9">
        <v>83590.83</v>
      </c>
      <c r="F53" s="9">
        <v>219085.56</v>
      </c>
    </row>
    <row r="54" spans="1:6">
      <c r="A54" s="2" t="s">
        <v>75</v>
      </c>
      <c r="B54" s="9">
        <v>32982.17</v>
      </c>
      <c r="C54" s="9">
        <v>9108.76</v>
      </c>
      <c r="F54" s="9">
        <v>23873.41</v>
      </c>
    </row>
    <row r="55" spans="1:6">
      <c r="A55" s="2" t="s">
        <v>76</v>
      </c>
      <c r="B55" s="9">
        <v>61841.63</v>
      </c>
      <c r="C55" s="9">
        <v>17078.939999999999</v>
      </c>
      <c r="F55" s="9">
        <v>44762.69</v>
      </c>
    </row>
    <row r="56" spans="1:6">
      <c r="A56" s="5" t="s">
        <v>77</v>
      </c>
      <c r="B56" s="10">
        <v>397500.19</v>
      </c>
      <c r="C56" s="10">
        <v>109778.53</v>
      </c>
      <c r="F56" s="10">
        <v>287721.65999999997</v>
      </c>
    </row>
    <row r="57" spans="1:6">
      <c r="B57" s="19">
        <f>SUM(B53:B55)</f>
        <v>397500.19</v>
      </c>
      <c r="C57" s="19">
        <f>SUM(C53:C55)</f>
        <v>109778.53</v>
      </c>
      <c r="D57" s="19"/>
      <c r="E57" s="19"/>
      <c r="F57" s="19">
        <f>SUM(F53:F55)</f>
        <v>287721.66000000003</v>
      </c>
    </row>
    <row r="58" spans="1:6">
      <c r="A58" s="1" t="s">
        <v>38</v>
      </c>
    </row>
    <row r="59" spans="1:6">
      <c r="A59" s="2" t="s">
        <v>39</v>
      </c>
      <c r="B59" s="4">
        <v>131053.31</v>
      </c>
    </row>
    <row r="60" spans="1:6">
      <c r="A60" s="2" t="s">
        <v>40</v>
      </c>
      <c r="B60" s="7">
        <v>144217.92000000001</v>
      </c>
    </row>
    <row r="61" spans="1:6" s="27" customFormat="1">
      <c r="A61" s="26" t="s">
        <v>41</v>
      </c>
      <c r="B61" s="31">
        <f>B59-B60</f>
        <v>-13164.610000000015</v>
      </c>
    </row>
    <row r="62" spans="1:6">
      <c r="B62" s="37">
        <f>B59-B60</f>
        <v>-13164.610000000015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2"/>
  <sheetViews>
    <sheetView topLeftCell="A36" workbookViewId="0">
      <selection activeCell="A61" sqref="A61:XFD61"/>
    </sheetView>
  </sheetViews>
  <sheetFormatPr defaultRowHeight="15"/>
  <cols>
    <col min="1" max="1" width="45" customWidth="1"/>
    <col min="2" max="2" width="16" customWidth="1"/>
    <col min="3" max="7" width="14" customWidth="1"/>
  </cols>
  <sheetData>
    <row r="1" spans="1:7">
      <c r="A1" s="1" t="s">
        <v>0</v>
      </c>
    </row>
    <row r="2" spans="1:7">
      <c r="A2" s="2" t="s">
        <v>128</v>
      </c>
    </row>
    <row r="3" spans="1:7">
      <c r="A3" s="2" t="s">
        <v>43</v>
      </c>
    </row>
    <row r="5" spans="1:7">
      <c r="A5" s="2" t="s">
        <v>44</v>
      </c>
      <c r="B5" s="2" t="s">
        <v>20</v>
      </c>
    </row>
    <row r="8" spans="1:7">
      <c r="A8" s="1" t="s">
        <v>129</v>
      </c>
    </row>
    <row r="13" spans="1:7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>
        <v>52</v>
      </c>
    </row>
    <row r="15" spans="1:7">
      <c r="A15" s="8" t="s">
        <v>80</v>
      </c>
    </row>
    <row r="16" spans="1:7">
      <c r="A16" s="2" t="s">
        <v>81</v>
      </c>
      <c r="B16" s="9">
        <v>26445.19</v>
      </c>
      <c r="C16" s="9">
        <v>26445.19</v>
      </c>
    </row>
    <row r="17" spans="1:6">
      <c r="A17" s="2" t="s">
        <v>82</v>
      </c>
      <c r="B17" s="9">
        <v>4635.6899999999996</v>
      </c>
      <c r="C17" s="9">
        <v>4635.6899999999996</v>
      </c>
    </row>
    <row r="18" spans="1:6">
      <c r="A18" s="2" t="s">
        <v>115</v>
      </c>
      <c r="B18" s="9">
        <v>9118.09</v>
      </c>
      <c r="C18" s="9">
        <v>9118.09</v>
      </c>
    </row>
    <row r="19" spans="1:6">
      <c r="A19" s="2" t="s">
        <v>83</v>
      </c>
      <c r="B19" s="9">
        <v>17166.07</v>
      </c>
      <c r="C19" s="9">
        <v>17166.07</v>
      </c>
    </row>
    <row r="20" spans="1:6">
      <c r="A20" s="2" t="s">
        <v>84</v>
      </c>
      <c r="B20" s="9">
        <v>2842.52</v>
      </c>
      <c r="C20" s="9">
        <v>2842.52</v>
      </c>
    </row>
    <row r="21" spans="1:6">
      <c r="A21" s="2" t="s">
        <v>85</v>
      </c>
      <c r="B21" s="9">
        <v>2418.44</v>
      </c>
      <c r="C21" s="9">
        <v>2418.44</v>
      </c>
    </row>
    <row r="22" spans="1:6">
      <c r="A22" s="2" t="s">
        <v>86</v>
      </c>
      <c r="B22" s="9">
        <v>718.30000000000007</v>
      </c>
      <c r="C22" s="9">
        <v>718.30000000000007</v>
      </c>
    </row>
    <row r="23" spans="1:6">
      <c r="A23" s="2" t="s">
        <v>87</v>
      </c>
      <c r="B23" s="9">
        <v>705.03</v>
      </c>
      <c r="C23" s="9">
        <v>705.03</v>
      </c>
    </row>
    <row r="24" spans="1:6">
      <c r="A24" s="2" t="s">
        <v>88</v>
      </c>
      <c r="B24" s="9">
        <v>12363.8</v>
      </c>
      <c r="C24" s="9">
        <v>12363.8</v>
      </c>
    </row>
    <row r="25" spans="1:6">
      <c r="A25" s="2" t="s">
        <v>89</v>
      </c>
      <c r="B25" s="9">
        <v>2600.58</v>
      </c>
      <c r="C25" s="9">
        <v>2600.58</v>
      </c>
    </row>
    <row r="26" spans="1:6">
      <c r="A26" s="2" t="s">
        <v>90</v>
      </c>
      <c r="B26" s="9">
        <v>13431.92</v>
      </c>
      <c r="C26" s="9">
        <v>13431.92</v>
      </c>
    </row>
    <row r="27" spans="1:6">
      <c r="A27" s="2" t="s">
        <v>91</v>
      </c>
      <c r="B27" s="9">
        <v>1140.5</v>
      </c>
      <c r="C27" s="9">
        <v>1140.5</v>
      </c>
    </row>
    <row r="28" spans="1:6">
      <c r="A28" s="2" t="s">
        <v>92</v>
      </c>
      <c r="B28" s="9">
        <v>1360.86</v>
      </c>
      <c r="C28" s="9">
        <v>1360.86</v>
      </c>
    </row>
    <row r="29" spans="1:6">
      <c r="A29" s="2" t="s">
        <v>93</v>
      </c>
      <c r="B29" s="9">
        <v>14831.54</v>
      </c>
      <c r="C29" s="9">
        <v>14831.54</v>
      </c>
    </row>
    <row r="31" spans="1:6">
      <c r="A31" s="8" t="s">
        <v>94</v>
      </c>
    </row>
    <row r="32" spans="1:6">
      <c r="A32" s="2" t="s">
        <v>95</v>
      </c>
      <c r="B32" s="9">
        <v>19166.810000000001</v>
      </c>
      <c r="F32" s="9">
        <v>19166.810000000001</v>
      </c>
    </row>
    <row r="33" spans="1:6">
      <c r="A33" s="2" t="s">
        <v>96</v>
      </c>
      <c r="B33" s="9">
        <v>26894.18</v>
      </c>
      <c r="F33" s="9">
        <v>26894.18</v>
      </c>
    </row>
    <row r="34" spans="1:6">
      <c r="A34" s="2" t="s">
        <v>97</v>
      </c>
      <c r="B34" s="9">
        <v>19273.71</v>
      </c>
      <c r="F34" s="9">
        <v>19273.71</v>
      </c>
    </row>
    <row r="35" spans="1:6">
      <c r="A35" s="2" t="s">
        <v>98</v>
      </c>
      <c r="B35" s="9">
        <v>24003.39</v>
      </c>
      <c r="F35" s="9">
        <v>24003.39</v>
      </c>
    </row>
    <row r="36" spans="1:6">
      <c r="A36" s="2" t="s">
        <v>99</v>
      </c>
      <c r="B36" s="9">
        <v>23233.4</v>
      </c>
      <c r="F36" s="9">
        <v>23233.4</v>
      </c>
    </row>
    <row r="37" spans="1:6">
      <c r="A37" s="2" t="s">
        <v>100</v>
      </c>
      <c r="B37" s="9">
        <v>8832.92</v>
      </c>
      <c r="F37" s="9">
        <v>8832.92</v>
      </c>
    </row>
    <row r="38" spans="1:6">
      <c r="A38" s="2" t="s">
        <v>101</v>
      </c>
      <c r="B38" s="9">
        <v>17315.310000000001</v>
      </c>
      <c r="F38" s="9">
        <v>17315.310000000001</v>
      </c>
    </row>
    <row r="39" spans="1:6">
      <c r="A39" s="2" t="s">
        <v>102</v>
      </c>
      <c r="B39" s="9">
        <v>10659.46</v>
      </c>
      <c r="F39" s="9">
        <v>10659.46</v>
      </c>
    </row>
    <row r="40" spans="1:6">
      <c r="A40" s="2" t="s">
        <v>103</v>
      </c>
      <c r="B40" s="9">
        <v>12873.87</v>
      </c>
      <c r="F40" s="9">
        <v>12873.87</v>
      </c>
    </row>
    <row r="41" spans="1:6">
      <c r="A41" s="2" t="s">
        <v>104</v>
      </c>
      <c r="B41" s="9">
        <v>29302.11</v>
      </c>
      <c r="F41" s="9">
        <v>29302.11</v>
      </c>
    </row>
    <row r="42" spans="1:6">
      <c r="A42" s="2" t="s">
        <v>105</v>
      </c>
      <c r="B42" s="9">
        <v>11976.41</v>
      </c>
      <c r="F42" s="9">
        <v>11976.41</v>
      </c>
    </row>
    <row r="43" spans="1:6">
      <c r="A43" s="2" t="s">
        <v>106</v>
      </c>
      <c r="B43" s="9">
        <v>1737.32</v>
      </c>
      <c r="F43" s="9">
        <v>1737.32</v>
      </c>
    </row>
    <row r="44" spans="1:6">
      <c r="A44" s="2" t="s">
        <v>107</v>
      </c>
      <c r="B44" s="9">
        <v>63061.18</v>
      </c>
      <c r="F44" s="9">
        <v>63061.18</v>
      </c>
    </row>
    <row r="45" spans="1:6">
      <c r="A45" s="2" t="s">
        <v>108</v>
      </c>
      <c r="B45" s="9">
        <v>10815.9</v>
      </c>
      <c r="F45" s="9">
        <v>10815.9</v>
      </c>
    </row>
    <row r="46" spans="1:6">
      <c r="A46" s="2" t="s">
        <v>109</v>
      </c>
      <c r="B46" s="9">
        <v>5272.42</v>
      </c>
      <c r="F46" s="9">
        <v>5272.42</v>
      </c>
    </row>
    <row r="47" spans="1:6">
      <c r="A47" s="2" t="s">
        <v>110</v>
      </c>
      <c r="B47" s="9">
        <v>3303.27</v>
      </c>
      <c r="F47" s="9">
        <v>3303.27</v>
      </c>
    </row>
    <row r="48" spans="1:6">
      <c r="B48" s="19">
        <f>SUM(B17:B47)</f>
        <v>371055</v>
      </c>
      <c r="C48" s="19">
        <f t="shared" ref="C48:F48" si="0">SUM(C17:C47)</f>
        <v>83333.34</v>
      </c>
      <c r="D48" s="19"/>
      <c r="E48" s="19"/>
      <c r="F48" s="19">
        <f t="shared" si="0"/>
        <v>287721.66000000003</v>
      </c>
    </row>
    <row r="49" spans="1:6">
      <c r="A49" s="5" t="s">
        <v>111</v>
      </c>
      <c r="B49" s="10">
        <v>397500.19</v>
      </c>
      <c r="C49" s="10">
        <v>109778.53</v>
      </c>
      <c r="F49" s="10">
        <v>287721.65999999997</v>
      </c>
    </row>
    <row r="50" spans="1:6">
      <c r="A50" s="2" t="s">
        <v>112</v>
      </c>
      <c r="C50" s="11">
        <v>0.27600000000000002</v>
      </c>
      <c r="F50" s="11">
        <v>0.72399999999999998</v>
      </c>
    </row>
    <row r="52" spans="1:6">
      <c r="A52" s="1" t="s">
        <v>73</v>
      </c>
    </row>
    <row r="53" spans="1:6">
      <c r="A53" s="2" t="s">
        <v>74</v>
      </c>
      <c r="B53" s="9">
        <v>302676.39</v>
      </c>
      <c r="C53" s="9">
        <v>83590.83</v>
      </c>
      <c r="F53" s="9">
        <v>219085.56</v>
      </c>
    </row>
    <row r="54" spans="1:6">
      <c r="A54" s="2" t="s">
        <v>75</v>
      </c>
      <c r="B54" s="9">
        <v>32982.17</v>
      </c>
      <c r="C54" s="9">
        <v>9108.76</v>
      </c>
      <c r="F54" s="9">
        <v>23873.41</v>
      </c>
    </row>
    <row r="55" spans="1:6">
      <c r="A55" s="2" t="s">
        <v>76</v>
      </c>
      <c r="B55" s="9">
        <v>61841.63</v>
      </c>
      <c r="C55" s="9">
        <v>17078.939999999999</v>
      </c>
      <c r="F55" s="9">
        <v>44762.69</v>
      </c>
    </row>
    <row r="56" spans="1:6">
      <c r="A56" s="5" t="s">
        <v>77</v>
      </c>
      <c r="B56" s="10">
        <v>397500.19</v>
      </c>
      <c r="C56" s="10">
        <v>109778.53</v>
      </c>
      <c r="F56" s="10">
        <v>287721.65999999997</v>
      </c>
    </row>
    <row r="57" spans="1:6">
      <c r="B57" s="19">
        <f>SUM(B53:B55)</f>
        <v>397500.19</v>
      </c>
      <c r="C57" s="19">
        <f>SUM(C53:C55)</f>
        <v>109778.53</v>
      </c>
      <c r="D57" s="19"/>
      <c r="E57" s="19"/>
      <c r="F57" s="19">
        <f>SUM(F53:F55)</f>
        <v>287721.66000000003</v>
      </c>
    </row>
    <row r="58" spans="1:6">
      <c r="A58" s="1" t="s">
        <v>38</v>
      </c>
    </row>
    <row r="59" spans="1:6">
      <c r="A59" s="2" t="s">
        <v>39</v>
      </c>
      <c r="B59" s="4">
        <v>131053.31</v>
      </c>
    </row>
    <row r="60" spans="1:6">
      <c r="A60" s="2" t="s">
        <v>40</v>
      </c>
      <c r="B60" s="7">
        <v>144217.92000000001</v>
      </c>
    </row>
    <row r="61" spans="1:6" s="27" customFormat="1">
      <c r="A61" s="26" t="s">
        <v>41</v>
      </c>
      <c r="B61" s="31">
        <f>B59-B60</f>
        <v>-13164.610000000015</v>
      </c>
    </row>
    <row r="62" spans="1:6">
      <c r="B62" s="37">
        <f>B59-B60</f>
        <v>-13164.610000000015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3"/>
  <sheetViews>
    <sheetView topLeftCell="A29" workbookViewId="0">
      <selection activeCell="A62" sqref="A62:XFD62"/>
    </sheetView>
  </sheetViews>
  <sheetFormatPr defaultRowHeight="15"/>
  <cols>
    <col min="1" max="1" width="45" customWidth="1"/>
    <col min="2" max="2" width="16" customWidth="1"/>
    <col min="3" max="7" width="14" customWidth="1"/>
  </cols>
  <sheetData>
    <row r="1" spans="1:7">
      <c r="A1" s="1" t="s">
        <v>0</v>
      </c>
    </row>
    <row r="2" spans="1:7">
      <c r="A2" s="2" t="s">
        <v>130</v>
      </c>
    </row>
    <row r="3" spans="1:7">
      <c r="A3" s="2" t="s">
        <v>43</v>
      </c>
    </row>
    <row r="5" spans="1:7">
      <c r="A5" s="2" t="s">
        <v>44</v>
      </c>
      <c r="B5" s="2" t="s">
        <v>20</v>
      </c>
    </row>
    <row r="8" spans="1:7">
      <c r="A8" s="1" t="s">
        <v>131</v>
      </c>
    </row>
    <row r="13" spans="1:7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>
        <v>52</v>
      </c>
    </row>
    <row r="15" spans="1:7">
      <c r="A15" s="8" t="s">
        <v>80</v>
      </c>
    </row>
    <row r="16" spans="1:7">
      <c r="A16" s="2" t="s">
        <v>81</v>
      </c>
      <c r="B16" s="9">
        <v>2291.9699999999998</v>
      </c>
      <c r="C16" s="9">
        <v>2291.9699999999998</v>
      </c>
    </row>
    <row r="17" spans="1:6">
      <c r="A17" s="2" t="s">
        <v>82</v>
      </c>
      <c r="B17" s="9">
        <v>2430.16</v>
      </c>
      <c r="C17" s="9">
        <v>2430.16</v>
      </c>
    </row>
    <row r="18" spans="1:6">
      <c r="A18" s="2" t="s">
        <v>115</v>
      </c>
      <c r="B18" s="9">
        <v>2419.4</v>
      </c>
      <c r="C18" s="9">
        <v>2419.4</v>
      </c>
    </row>
    <row r="19" spans="1:6">
      <c r="A19" s="2" t="s">
        <v>83</v>
      </c>
      <c r="B19" s="9">
        <v>555.89</v>
      </c>
      <c r="C19" s="9">
        <v>555.89</v>
      </c>
    </row>
    <row r="20" spans="1:6">
      <c r="A20" s="2" t="s">
        <v>132</v>
      </c>
      <c r="B20" s="9">
        <v>599.11999999999989</v>
      </c>
      <c r="C20" s="9">
        <v>599.11999999999989</v>
      </c>
    </row>
    <row r="21" spans="1:6">
      <c r="A21" s="2" t="s">
        <v>85</v>
      </c>
      <c r="B21" s="9">
        <v>1112.48</v>
      </c>
      <c r="C21" s="9">
        <v>1112.48</v>
      </c>
    </row>
    <row r="22" spans="1:6">
      <c r="A22" s="2" t="s">
        <v>86</v>
      </c>
      <c r="B22" s="9">
        <v>269.36</v>
      </c>
      <c r="C22" s="9">
        <v>269.36</v>
      </c>
    </row>
    <row r="23" spans="1:6">
      <c r="A23" s="2" t="s">
        <v>87</v>
      </c>
      <c r="B23" s="9">
        <v>92.210000000000008</v>
      </c>
      <c r="C23" s="9">
        <v>92.210000000000008</v>
      </c>
    </row>
    <row r="24" spans="1:6">
      <c r="A24" s="2" t="s">
        <v>88</v>
      </c>
      <c r="B24" s="9">
        <v>1299.33</v>
      </c>
      <c r="C24" s="9">
        <v>1299.33</v>
      </c>
    </row>
    <row r="25" spans="1:6">
      <c r="A25" s="2" t="s">
        <v>89</v>
      </c>
      <c r="B25" s="9">
        <v>3490.05</v>
      </c>
      <c r="C25" s="9">
        <v>3490.05</v>
      </c>
    </row>
    <row r="26" spans="1:6">
      <c r="A26" s="2" t="s">
        <v>133</v>
      </c>
      <c r="B26" s="9">
        <v>3357.95</v>
      </c>
      <c r="C26" s="9">
        <v>3357.95</v>
      </c>
    </row>
    <row r="27" spans="1:6">
      <c r="A27" s="2" t="s">
        <v>91</v>
      </c>
      <c r="B27" s="9">
        <v>554.78</v>
      </c>
      <c r="C27" s="9">
        <v>554.78</v>
      </c>
    </row>
    <row r="28" spans="1:6">
      <c r="A28" s="2" t="s">
        <v>134</v>
      </c>
      <c r="B28" s="9">
        <v>2385.48</v>
      </c>
      <c r="C28" s="9">
        <v>2385.48</v>
      </c>
    </row>
    <row r="29" spans="1:6">
      <c r="A29" s="2" t="s">
        <v>93</v>
      </c>
      <c r="B29" s="9">
        <v>3435.67</v>
      </c>
      <c r="C29" s="9">
        <v>3435.67</v>
      </c>
    </row>
    <row r="31" spans="1:6">
      <c r="A31" s="8" t="s">
        <v>94</v>
      </c>
    </row>
    <row r="32" spans="1:6">
      <c r="A32" s="2" t="s">
        <v>95</v>
      </c>
      <c r="B32" s="9">
        <v>14287.74</v>
      </c>
      <c r="F32" s="9">
        <v>14287.74</v>
      </c>
    </row>
    <row r="33" spans="1:6">
      <c r="A33" s="2" t="s">
        <v>96</v>
      </c>
      <c r="B33" s="9">
        <v>9649.9</v>
      </c>
      <c r="F33" s="9">
        <v>9649.9</v>
      </c>
    </row>
    <row r="34" spans="1:6">
      <c r="A34" s="2" t="s">
        <v>97</v>
      </c>
      <c r="B34" s="9">
        <v>10065.83</v>
      </c>
      <c r="F34" s="9">
        <v>10065.83</v>
      </c>
    </row>
    <row r="35" spans="1:6">
      <c r="A35" s="2" t="s">
        <v>98</v>
      </c>
      <c r="B35" s="9">
        <v>5264.8</v>
      </c>
      <c r="F35" s="9">
        <v>5264.8</v>
      </c>
    </row>
    <row r="36" spans="1:6">
      <c r="A36" s="2" t="s">
        <v>99</v>
      </c>
      <c r="B36" s="9">
        <v>12711.3</v>
      </c>
      <c r="F36" s="9">
        <v>12711.3</v>
      </c>
    </row>
    <row r="37" spans="1:6">
      <c r="A37" s="2" t="s">
        <v>100</v>
      </c>
      <c r="B37" s="9">
        <v>5317.8200000000006</v>
      </c>
      <c r="F37" s="9">
        <v>5317.8200000000006</v>
      </c>
    </row>
    <row r="38" spans="1:6">
      <c r="A38" s="2" t="s">
        <v>101</v>
      </c>
      <c r="B38" s="9">
        <v>6989.18</v>
      </c>
      <c r="F38" s="9">
        <v>6989.18</v>
      </c>
    </row>
    <row r="39" spans="1:6">
      <c r="A39" s="2" t="s">
        <v>102</v>
      </c>
      <c r="B39" s="9">
        <v>4903.3500000000004</v>
      </c>
      <c r="F39" s="9">
        <v>4903.3500000000004</v>
      </c>
    </row>
    <row r="40" spans="1:6">
      <c r="A40" s="2" t="s">
        <v>103</v>
      </c>
      <c r="B40" s="9">
        <v>4624.6900000000014</v>
      </c>
      <c r="F40" s="9">
        <v>4624.6900000000014</v>
      </c>
    </row>
    <row r="41" spans="1:6">
      <c r="A41" s="2" t="s">
        <v>104</v>
      </c>
      <c r="B41" s="9">
        <v>14835.75</v>
      </c>
      <c r="F41" s="9">
        <v>14835.75</v>
      </c>
    </row>
    <row r="42" spans="1:6">
      <c r="A42" s="2" t="s">
        <v>105</v>
      </c>
      <c r="B42" s="9">
        <v>5494.23</v>
      </c>
      <c r="F42" s="9">
        <v>5494.23</v>
      </c>
    </row>
    <row r="43" spans="1:6">
      <c r="A43" s="2" t="s">
        <v>106</v>
      </c>
      <c r="B43" s="9">
        <v>966.2299999999999</v>
      </c>
      <c r="F43" s="9">
        <v>966.2299999999999</v>
      </c>
    </row>
    <row r="44" spans="1:6">
      <c r="A44" s="2" t="s">
        <v>135</v>
      </c>
      <c r="B44" s="9">
        <v>569.85</v>
      </c>
      <c r="F44" s="9">
        <v>569.85</v>
      </c>
    </row>
    <row r="45" spans="1:6">
      <c r="A45" s="2" t="s">
        <v>107</v>
      </c>
      <c r="B45" s="9">
        <v>27454.27</v>
      </c>
      <c r="F45" s="9">
        <v>27454.27</v>
      </c>
    </row>
    <row r="46" spans="1:6">
      <c r="A46" s="2" t="s">
        <v>109</v>
      </c>
      <c r="B46" s="9">
        <v>3061.44</v>
      </c>
      <c r="F46" s="9">
        <v>3061.44</v>
      </c>
    </row>
    <row r="47" spans="1:6">
      <c r="A47" s="2" t="s">
        <v>136</v>
      </c>
      <c r="B47" s="9">
        <v>6574.58</v>
      </c>
      <c r="F47" s="9">
        <v>6574.58</v>
      </c>
    </row>
    <row r="48" spans="1:6">
      <c r="A48" s="2" t="s">
        <v>110</v>
      </c>
      <c r="B48" s="9">
        <v>134.1</v>
      </c>
      <c r="F48" s="9">
        <v>134.1</v>
      </c>
    </row>
    <row r="49" spans="1:6">
      <c r="B49" s="19">
        <f>SUM(B16:B48)</f>
        <v>157198.91</v>
      </c>
      <c r="C49" s="19">
        <f>SUM(C16:C48)</f>
        <v>24293.85</v>
      </c>
      <c r="D49" s="19"/>
      <c r="E49" s="19"/>
      <c r="F49" s="19">
        <f>SUM(F16:F48)</f>
        <v>132905.06000000003</v>
      </c>
    </row>
    <row r="50" spans="1:6">
      <c r="A50" s="5" t="s">
        <v>111</v>
      </c>
      <c r="B50" s="10">
        <v>157198.91</v>
      </c>
      <c r="C50" s="10">
        <v>24293.85</v>
      </c>
      <c r="F50" s="10">
        <v>132905.06</v>
      </c>
    </row>
    <row r="51" spans="1:6">
      <c r="A51" s="2" t="s">
        <v>112</v>
      </c>
      <c r="C51" s="11">
        <v>0.155</v>
      </c>
      <c r="F51" s="11">
        <v>0.84499999999999997</v>
      </c>
    </row>
    <row r="53" spans="1:6">
      <c r="A53" s="1" t="s">
        <v>73</v>
      </c>
    </row>
    <row r="54" spans="1:6">
      <c r="A54" s="2" t="s">
        <v>74</v>
      </c>
      <c r="B54" s="9">
        <v>119699.06</v>
      </c>
      <c r="C54" s="9">
        <v>18498.54</v>
      </c>
      <c r="F54" s="9">
        <v>101200.52</v>
      </c>
    </row>
    <row r="55" spans="1:6">
      <c r="A55" s="2" t="s">
        <v>75</v>
      </c>
      <c r="B55" s="9">
        <v>13043.42</v>
      </c>
      <c r="C55" s="9">
        <v>2015.76</v>
      </c>
      <c r="F55" s="9">
        <v>11027.66</v>
      </c>
    </row>
    <row r="56" spans="1:6">
      <c r="A56" s="2" t="s">
        <v>76</v>
      </c>
      <c r="B56" s="9">
        <v>24456.43</v>
      </c>
      <c r="C56" s="9">
        <v>3779.55</v>
      </c>
      <c r="F56" s="9">
        <v>20676.88</v>
      </c>
    </row>
    <row r="57" spans="1:6">
      <c r="A57" s="5" t="s">
        <v>77</v>
      </c>
      <c r="B57" s="10">
        <v>157198.91</v>
      </c>
      <c r="C57" s="10">
        <v>24293.85</v>
      </c>
      <c r="F57" s="10">
        <v>132905.06</v>
      </c>
    </row>
    <row r="58" spans="1:6">
      <c r="B58" s="19">
        <f>SUM(B54:B56)</f>
        <v>157198.91</v>
      </c>
      <c r="C58" s="19">
        <f>SUM(C54:C56)</f>
        <v>24293.85</v>
      </c>
      <c r="D58" s="19"/>
      <c r="E58" s="19"/>
      <c r="F58" s="19">
        <f>SUM(F54:F56)</f>
        <v>132905.06</v>
      </c>
    </row>
    <row r="59" spans="1:6">
      <c r="A59" s="1" t="s">
        <v>38</v>
      </c>
    </row>
    <row r="60" spans="1:6">
      <c r="A60" s="2" t="s">
        <v>39</v>
      </c>
      <c r="B60" s="12">
        <v>51827.49</v>
      </c>
    </row>
    <row r="61" spans="1:6">
      <c r="A61" s="2" t="s">
        <v>40</v>
      </c>
      <c r="B61" s="12">
        <v>40202.21</v>
      </c>
    </row>
    <row r="62" spans="1:6" s="27" customFormat="1">
      <c r="A62" s="26" t="s">
        <v>41</v>
      </c>
      <c r="B62" s="31">
        <f>B60-B61</f>
        <v>11625.279999999999</v>
      </c>
    </row>
    <row r="63" spans="1:6">
      <c r="B63" s="37">
        <f>B60-B61</f>
        <v>11625.279999999999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2026-06-24T20:47:07Z</dcterms:created>
  <dcterms:modified xsi:type="dcterms:W3CDTF">2026-06-25T00:24:01Z</dcterms:modified>
  <cp:category/>
  <cp:contentStatus/>
</cp:coreProperties>
</file>