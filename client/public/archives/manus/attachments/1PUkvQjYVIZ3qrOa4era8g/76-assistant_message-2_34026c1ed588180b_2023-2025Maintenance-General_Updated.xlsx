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10" yWindow="351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</definedName>
    <definedName name="QB_FORMULA_0" localSheetId="0" hidden="1">Sheet1!$T$50,Sheet1!$V$50,Sheet1!$Z$50,Sheet1!$T$51,Sheet1!$V$51,Sheet1!$Z$51,Sheet1!$T$52,Sheet1!$V$52,Sheet1!$Z$52</definedName>
    <definedName name="QB_ROW_110020" localSheetId="0" hidden="1">Sheet1!$C$3</definedName>
    <definedName name="QB_ROW_110320" localSheetId="0" hidden="1">Sheet1!$C$50</definedName>
    <definedName name="QB_ROW_252010" localSheetId="0" hidden="1">Sheet1!$B$2</definedName>
    <definedName name="QB_ROW_252310" localSheetId="0" hidden="1">Sheet1!$B$51</definedName>
    <definedName name="QB_ROW_25301" localSheetId="0" hidden="1">Sheet1!$A$52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7F6000"/>
      <sz val="9"/>
    </font>
    <font>
      <b val="1"/>
      <color rgb="00C00000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2F9EE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6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166" fontId="5" fillId="6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52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7.140625" customWidth="1" style="15" min="3" max="3"/>
    <col width="2.28515625" customWidth="1" style="15" min="4" max="5"/>
    <col width="11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5703125" bestFit="1" customWidth="1" style="15" min="10" max="10"/>
    <col width="2.28515625" customWidth="1" style="15" min="11" max="11"/>
    <col width="22.2851562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6.85546875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7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6520-05 · Maintenance-General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CAGM01102023PAY</t>
        </is>
      </c>
      <c r="K4" s="4" t="n"/>
      <c r="L4" s="4" t="inlineStr">
        <is>
          <t>CARLOS ALBERTO G MEDINA</t>
        </is>
      </c>
      <c r="M4" s="4" t="n"/>
      <c r="N4" s="4" t="inlineStr">
        <is>
          <t>CAGM0102023PAY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2320.75</v>
      </c>
      <c r="U4" s="4" t="n"/>
      <c r="V4" s="8" t="n"/>
      <c r="W4" s="4" t="n"/>
      <c r="X4" s="8" t="n">
        <v>2320.75</v>
      </c>
      <c r="Y4" s="4" t="n"/>
      <c r="Z4" s="8" t="n">
        <v>2320.75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45044</v>
      </c>
      <c r="I5" s="4" t="n"/>
      <c r="J5" s="4" t="inlineStr">
        <is>
          <t>JG042123</t>
        </is>
      </c>
      <c r="K5" s="4" t="n"/>
      <c r="L5" s="4" t="inlineStr">
        <is>
          <t>Jeremias Morales</t>
        </is>
      </c>
      <c r="M5" s="4" t="n"/>
      <c r="N5" s="4" t="inlineStr">
        <is>
          <t>04/03/23-04/14/23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1600</v>
      </c>
      <c r="U5" s="4" t="n"/>
      <c r="V5" s="8" t="n"/>
      <c r="W5" s="4" t="n"/>
      <c r="X5" s="8" t="n">
        <v>1600</v>
      </c>
      <c r="Y5" s="4" t="n"/>
      <c r="Z5" s="8" t="n">
        <v>3920.75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45068</v>
      </c>
      <c r="I6" s="4" t="n"/>
      <c r="J6" s="4" t="inlineStr">
        <is>
          <t>CM052523</t>
        </is>
      </c>
      <c r="K6" s="4" t="n"/>
      <c r="L6" s="4" t="inlineStr">
        <is>
          <t>CARLOS ALBERTO G MEDINA</t>
        </is>
      </c>
      <c r="M6" s="4" t="n"/>
      <c r="N6" s="4" t="inlineStr">
        <is>
          <t>05/01/23-05/15/23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2200</v>
      </c>
      <c r="U6" s="4" t="n"/>
      <c r="V6" s="8" t="n"/>
      <c r="W6" s="4" t="n"/>
      <c r="X6" s="8" t="n">
        <v>2200</v>
      </c>
      <c r="Y6" s="4" t="n"/>
      <c r="Z6" s="8" t="n">
        <v>6120.75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45119</v>
      </c>
      <c r="I7" s="4" t="n"/>
      <c r="J7" s="4" t="inlineStr">
        <is>
          <t>CM071223</t>
        </is>
      </c>
      <c r="K7" s="4" t="n"/>
      <c r="L7" s="4" t="inlineStr">
        <is>
          <t>CARLOS ALBERTO G MEDINA</t>
        </is>
      </c>
      <c r="M7" s="4" t="n"/>
      <c r="N7" s="4" t="inlineStr">
        <is>
          <t>PAY 071223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2000</v>
      </c>
      <c r="U7" s="4" t="n"/>
      <c r="V7" s="8" t="n"/>
      <c r="W7" s="4" t="n"/>
      <c r="X7" s="8" t="n">
        <v>2000</v>
      </c>
      <c r="Y7" s="4" t="n"/>
      <c r="Z7" s="8" t="n">
        <v>8120.75</v>
      </c>
    </row>
    <row r="8">
      <c r="A8" s="4" t="n"/>
      <c r="B8" s="4" t="n"/>
      <c r="C8" s="4" t="n"/>
      <c r="D8" s="4" t="n"/>
      <c r="E8" s="4" t="n"/>
      <c r="F8" s="4" t="inlineStr">
        <is>
          <t>General Journal</t>
        </is>
      </c>
      <c r="G8" s="4" t="n"/>
      <c r="H8" s="5" t="n">
        <v>45260</v>
      </c>
      <c r="I8" s="4" t="n"/>
      <c r="J8" s="4" t="inlineStr">
        <is>
          <t>JE2020-541</t>
        </is>
      </c>
      <c r="K8" s="4" t="n"/>
      <c r="L8" s="4" t="inlineStr">
        <is>
          <t>Carlos Sanchez</t>
        </is>
      </c>
      <c r="M8" s="4" t="n"/>
      <c r="N8" s="4" t="inlineStr">
        <is>
          <t>TO CLOSE WITH CARLOS SANCHES AP OTHERS</t>
        </is>
      </c>
      <c r="O8" s="4" t="n"/>
      <c r="P8" s="6" t="n"/>
      <c r="Q8" s="4" t="n"/>
      <c r="R8" s="4" t="inlineStr">
        <is>
          <t>2110-03 · Accounts Payable-Others</t>
        </is>
      </c>
      <c r="S8" s="4" t="n"/>
      <c r="T8" s="8" t="n"/>
      <c r="U8" s="4" t="n"/>
      <c r="V8" s="8" t="n">
        <v>262.13</v>
      </c>
      <c r="W8" s="4" t="n"/>
      <c r="X8" s="8" t="n">
        <v>-262.13</v>
      </c>
      <c r="Y8" s="4" t="n"/>
      <c r="Z8" s="8" t="n">
        <v>7858.62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45405</v>
      </c>
      <c r="I9" s="4" t="n"/>
      <c r="J9" s="4" t="inlineStr">
        <is>
          <t>DD04222024</t>
        </is>
      </c>
      <c r="K9" s="4" t="n"/>
      <c r="L9" s="4" t="inlineStr">
        <is>
          <t>Devin Dwayne Dotson</t>
        </is>
      </c>
      <c r="M9" s="4" t="n"/>
      <c r="N9" s="4" t="inlineStr">
        <is>
          <t>SERVICES: APRIL 2 - 15, 2024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1200</v>
      </c>
      <c r="U9" s="4" t="n"/>
      <c r="V9" s="8" t="n"/>
      <c r="W9" s="4" t="n"/>
      <c r="X9" s="8" t="n">
        <v>1200</v>
      </c>
      <c r="Y9" s="4" t="n"/>
      <c r="Z9" s="8" t="n">
        <v>9058.620000000001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45405</v>
      </c>
      <c r="I10" s="4" t="n"/>
      <c r="J10" s="4" t="inlineStr">
        <is>
          <t>DS04222024</t>
        </is>
      </c>
      <c r="K10" s="4" t="n"/>
      <c r="L10" s="4" t="inlineStr">
        <is>
          <t>DONTE STEWART</t>
        </is>
      </c>
      <c r="M10" s="4" t="n"/>
      <c r="N10" s="4" t="inlineStr">
        <is>
          <t>SERVICES: APRIL 2 - 15, 2024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1200</v>
      </c>
      <c r="U10" s="4" t="n"/>
      <c r="V10" s="8" t="n"/>
      <c r="W10" s="4" t="n"/>
      <c r="X10" s="8" t="n">
        <v>1200</v>
      </c>
      <c r="Y10" s="4" t="n"/>
      <c r="Z10" s="8" t="n">
        <v>10258.62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45405</v>
      </c>
      <c r="I11" s="4" t="n"/>
      <c r="J11" s="4" t="inlineStr">
        <is>
          <t>DA04222024</t>
        </is>
      </c>
      <c r="K11" s="4" t="n"/>
      <c r="L11" s="4" t="inlineStr">
        <is>
          <t>Donald Anson Jr</t>
        </is>
      </c>
      <c r="M11" s="4" t="n"/>
      <c r="N11" s="4" t="inlineStr">
        <is>
          <t>SERVICES: APRIL 2 - 15, 2024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1200</v>
      </c>
      <c r="U11" s="4" t="n"/>
      <c r="V11" s="8" t="n"/>
      <c r="W11" s="4" t="n"/>
      <c r="X11" s="8" t="n">
        <v>1200</v>
      </c>
      <c r="Y11" s="4" t="n"/>
      <c r="Z11" s="8" t="n">
        <v>11458.62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45420</v>
      </c>
      <c r="I12" s="4" t="n"/>
      <c r="J12" s="4" t="inlineStr">
        <is>
          <t>DD050624</t>
        </is>
      </c>
      <c r="K12" s="4" t="n"/>
      <c r="L12" s="4" t="inlineStr">
        <is>
          <t>Devin Dwayne Dotson</t>
        </is>
      </c>
      <c r="M12" s="4" t="n"/>
      <c r="N12" s="4" t="inlineStr">
        <is>
          <t>PERIOD: 04/16/24 - 4/30/24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1408</v>
      </c>
      <c r="U12" s="4" t="n"/>
      <c r="V12" s="8" t="n"/>
      <c r="W12" s="4" t="n"/>
      <c r="X12" s="8" t="n">
        <v>1408</v>
      </c>
      <c r="Y12" s="4" t="n"/>
      <c r="Z12" s="8" t="n">
        <v>12866.62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45420</v>
      </c>
      <c r="I13" s="4" t="n"/>
      <c r="J13" s="4" t="inlineStr">
        <is>
          <t>DS050624</t>
        </is>
      </c>
      <c r="K13" s="4" t="n"/>
      <c r="L13" s="4" t="inlineStr">
        <is>
          <t>DONTE STEWART</t>
        </is>
      </c>
      <c r="M13" s="4" t="n"/>
      <c r="N13" s="4" t="inlineStr">
        <is>
          <t>PERIOD: 04/16/24 - 04/30/24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1408</v>
      </c>
      <c r="U13" s="4" t="n"/>
      <c r="V13" s="8" t="n"/>
      <c r="W13" s="4" t="n"/>
      <c r="X13" s="8" t="n">
        <v>1408</v>
      </c>
      <c r="Y13" s="4" t="n"/>
      <c r="Z13" s="8" t="n">
        <v>14274.62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45420</v>
      </c>
      <c r="I14" s="4" t="n"/>
      <c r="J14" s="4" t="inlineStr">
        <is>
          <t>DA050624</t>
        </is>
      </c>
      <c r="K14" s="4" t="n"/>
      <c r="L14" s="4" t="inlineStr">
        <is>
          <t>Donald Anson Jr</t>
        </is>
      </c>
      <c r="M14" s="4" t="n"/>
      <c r="N14" s="4" t="inlineStr">
        <is>
          <t>PERIOD: 04/16/24 - 04/30/24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1408</v>
      </c>
      <c r="U14" s="4" t="n"/>
      <c r="V14" s="8" t="n"/>
      <c r="W14" s="4" t="n"/>
      <c r="X14" s="8" t="n">
        <v>1408</v>
      </c>
      <c r="Y14" s="4" t="n"/>
      <c r="Z14" s="8" t="n">
        <v>15682.62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45435</v>
      </c>
      <c r="I15" s="4" t="n"/>
      <c r="J15" s="4" t="inlineStr">
        <is>
          <t>DS052024-PAY</t>
        </is>
      </c>
      <c r="K15" s="4" t="n"/>
      <c r="L15" s="4" t="inlineStr">
        <is>
          <t>DONTE STEWART</t>
        </is>
      </c>
      <c r="M15" s="4" t="n"/>
      <c r="N15" s="4" t="inlineStr">
        <is>
          <t>PAY 052424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1024</v>
      </c>
      <c r="U15" s="4" t="n"/>
      <c r="V15" s="8" t="n"/>
      <c r="W15" s="4" t="n"/>
      <c r="X15" s="8" t="n">
        <v>1024</v>
      </c>
      <c r="Y15" s="4" t="n"/>
      <c r="Z15" s="8" t="n">
        <v>16706.62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45435</v>
      </c>
      <c r="I16" s="4" t="n"/>
      <c r="J16" s="4" t="inlineStr">
        <is>
          <t>DA052024</t>
        </is>
      </c>
      <c r="K16" s="4" t="n"/>
      <c r="L16" s="4" t="inlineStr">
        <is>
          <t>Donald Anson Jr</t>
        </is>
      </c>
      <c r="M16" s="4" t="n"/>
      <c r="N16" s="4" t="inlineStr">
        <is>
          <t>PAY 052424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1024</v>
      </c>
      <c r="U16" s="4" t="n"/>
      <c r="V16" s="8" t="n"/>
      <c r="W16" s="4" t="n"/>
      <c r="X16" s="8" t="n">
        <v>1024</v>
      </c>
      <c r="Y16" s="4" t="n"/>
      <c r="Z16" s="8" t="n">
        <v>17730.62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45435</v>
      </c>
      <c r="I17" s="4" t="n"/>
      <c r="J17" s="4" t="inlineStr">
        <is>
          <t>DD052024</t>
        </is>
      </c>
      <c r="K17" s="4" t="n"/>
      <c r="L17" s="4" t="inlineStr">
        <is>
          <t>Devin Dwayne Dotson</t>
        </is>
      </c>
      <c r="M17" s="4" t="n"/>
      <c r="N17" s="4" t="inlineStr">
        <is>
          <t>PAY 052424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1024</v>
      </c>
      <c r="U17" s="4" t="n"/>
      <c r="V17" s="8" t="n"/>
      <c r="W17" s="4" t="n"/>
      <c r="X17" s="8" t="n">
        <v>1024</v>
      </c>
      <c r="Y17" s="4" t="n"/>
      <c r="Z17" s="8" t="n">
        <v>18754.62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45467</v>
      </c>
      <c r="I18" s="4" t="n"/>
      <c r="J18" s="4" t="inlineStr">
        <is>
          <t>DS061924WAH</t>
        </is>
      </c>
      <c r="K18" s="4" t="n"/>
      <c r="L18" s="4" t="inlineStr">
        <is>
          <t>DONTE STEWART</t>
        </is>
      </c>
      <c r="M18" s="4" t="n"/>
      <c r="N18" s="4" t="inlineStr">
        <is>
          <t>JUNE 10-14, 2024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640</v>
      </c>
      <c r="U18" s="4" t="n"/>
      <c r="V18" s="8" t="n"/>
      <c r="W18" s="4" t="n"/>
      <c r="X18" s="8" t="n">
        <v>640</v>
      </c>
      <c r="Y18" s="4" t="n"/>
      <c r="Z18" s="8" t="n">
        <v>19394.62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45467</v>
      </c>
      <c r="I19" s="4" t="n"/>
      <c r="J19" s="4" t="inlineStr">
        <is>
          <t>DD061924-PAY</t>
        </is>
      </c>
      <c r="K19" s="4" t="n"/>
      <c r="L19" s="4" t="inlineStr">
        <is>
          <t>Devin Dwayne Dotson</t>
        </is>
      </c>
      <c r="M19" s="4" t="n"/>
      <c r="N19" s="4" t="inlineStr">
        <is>
          <t>PAY 062524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1280</v>
      </c>
      <c r="U19" s="4" t="n"/>
      <c r="V19" s="8" t="n"/>
      <c r="W19" s="4" t="n"/>
      <c r="X19" s="8" t="n">
        <v>1280</v>
      </c>
      <c r="Y19" s="4" t="n"/>
      <c r="Z19" s="8" t="n">
        <v>20674.62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45467</v>
      </c>
      <c r="I20" s="4" t="n"/>
      <c r="J20" s="4" t="inlineStr">
        <is>
          <t>DA061824-PAY</t>
        </is>
      </c>
      <c r="K20" s="4" t="n"/>
      <c r="L20" s="4" t="inlineStr">
        <is>
          <t>Donald Anson Jr</t>
        </is>
      </c>
      <c r="M20" s="4" t="n"/>
      <c r="N20" s="4" t="inlineStr">
        <is>
          <t>JUNE 10-14, 2024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640</v>
      </c>
      <c r="U20" s="4" t="n"/>
      <c r="V20" s="8" t="n"/>
      <c r="W20" s="4" t="n"/>
      <c r="X20" s="8" t="n">
        <v>640</v>
      </c>
      <c r="Y20" s="4" t="n"/>
      <c r="Z20" s="8" t="n">
        <v>21314.62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45481</v>
      </c>
      <c r="I21" s="4" t="n"/>
      <c r="J21" s="4" t="inlineStr">
        <is>
          <t>DD070524-PAY</t>
        </is>
      </c>
      <c r="K21" s="4" t="n"/>
      <c r="L21" s="4" t="inlineStr">
        <is>
          <t>Devin Dwayne Dotson</t>
        </is>
      </c>
      <c r="M21" s="4" t="n"/>
      <c r="N21" s="4" t="inlineStr">
        <is>
          <t>PAY 071024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768</v>
      </c>
      <c r="U21" s="4" t="n"/>
      <c r="V21" s="8" t="n"/>
      <c r="W21" s="4" t="n"/>
      <c r="X21" s="8" t="n">
        <v>768</v>
      </c>
      <c r="Y21" s="4" t="n"/>
      <c r="Z21" s="8" t="n">
        <v>22082.62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45481</v>
      </c>
      <c r="I22" s="4" t="n"/>
      <c r="J22" s="4" t="inlineStr">
        <is>
          <t>DA070524</t>
        </is>
      </c>
      <c r="K22" s="4" t="n"/>
      <c r="L22" s="4" t="inlineStr">
        <is>
          <t>Donald Anson Jr</t>
        </is>
      </c>
      <c r="M22" s="4" t="n"/>
      <c r="N22" s="4" t="inlineStr">
        <is>
          <t>PAY 071024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768</v>
      </c>
      <c r="U22" s="4" t="n"/>
      <c r="V22" s="8" t="n"/>
      <c r="W22" s="4" t="n"/>
      <c r="X22" s="8" t="n">
        <v>768</v>
      </c>
      <c r="Y22" s="4" t="n"/>
      <c r="Z22" s="8" t="n">
        <v>22850.62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45481</v>
      </c>
      <c r="I23" s="4" t="n"/>
      <c r="J23" s="4" t="inlineStr">
        <is>
          <t>DS070524-PAY</t>
        </is>
      </c>
      <c r="K23" s="4" t="n"/>
      <c r="L23" s="4" t="inlineStr">
        <is>
          <t>DONTE STEWART</t>
        </is>
      </c>
      <c r="M23" s="4" t="n"/>
      <c r="N23" s="4" t="inlineStr">
        <is>
          <t>PAY 071024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768</v>
      </c>
      <c r="U23" s="4" t="n"/>
      <c r="V23" s="8" t="n"/>
      <c r="W23" s="4" t="n"/>
      <c r="X23" s="8" t="n">
        <v>768</v>
      </c>
      <c r="Y23" s="4" t="n"/>
      <c r="Z23" s="8" t="n">
        <v>23618.62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45483</v>
      </c>
      <c r="I24" s="4" t="n"/>
      <c r="J24" s="4" t="inlineStr">
        <is>
          <t>BR071024-WAH</t>
        </is>
      </c>
      <c r="K24" s="4" t="n"/>
      <c r="L24" s="4" t="inlineStr">
        <is>
          <t>Brayan Alberto Garcia Rivas</t>
        </is>
      </c>
      <c r="M24" s="4" t="n"/>
      <c r="N24" s="4" t="inlineStr">
        <is>
          <t>PERIOD: 06/17/24 - 06/28/24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1760</v>
      </c>
      <c r="U24" s="4" t="n"/>
      <c r="V24" s="8" t="n"/>
      <c r="W24" s="4" t="n"/>
      <c r="X24" s="8" t="n">
        <v>1760</v>
      </c>
      <c r="Y24" s="4" t="n"/>
      <c r="Z24" s="8" t="n">
        <v>25378.62</v>
      </c>
    </row>
    <row r="25">
      <c r="A25" s="4" t="n"/>
      <c r="B25" s="4" t="n"/>
      <c r="C25" s="4" t="n"/>
      <c r="D25" s="4" t="n"/>
      <c r="E25" s="4" t="n"/>
      <c r="F25" s="4" t="inlineStr">
        <is>
          <t>General Journal</t>
        </is>
      </c>
      <c r="G25" s="4" t="n"/>
      <c r="H25" s="5" t="n">
        <v>45657</v>
      </c>
      <c r="I25" s="4" t="n"/>
      <c r="J25" s="4" t="inlineStr">
        <is>
          <t>JE2020-797</t>
        </is>
      </c>
      <c r="K25" s="4" t="n"/>
      <c r="L25" s="4" t="n"/>
      <c r="M25" s="4" t="n"/>
      <c r="N25" s="4" t="inlineStr">
        <is>
          <t>2024 AUDITOR AJE #2</t>
        </is>
      </c>
      <c r="O25" s="4" t="n"/>
      <c r="P25" s="6" t="n"/>
      <c r="Q25" s="4" t="n"/>
      <c r="R25" s="4" t="inlineStr">
        <is>
          <t>1900-04 · Investment-Earnings</t>
        </is>
      </c>
      <c r="S25" s="4" t="n"/>
      <c r="T25" s="8" t="n"/>
      <c r="U25" s="4" t="n"/>
      <c r="V25" s="8" t="n">
        <v>1623.94</v>
      </c>
      <c r="W25" s="4" t="n"/>
      <c r="X25" s="8" t="n">
        <v>-1623.94</v>
      </c>
      <c r="Y25" s="4" t="n"/>
      <c r="Z25" s="8" t="n">
        <v>23754.68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45804</v>
      </c>
      <c r="I26" s="4" t="n"/>
      <c r="J26" s="4" t="inlineStr">
        <is>
          <t>RL05272025WAH</t>
        </is>
      </c>
      <c r="K26" s="4" t="n"/>
      <c r="L26" s="4" t="inlineStr">
        <is>
          <t>Anaheim Gardens Housing</t>
        </is>
      </c>
      <c r="M26" s="4" t="n"/>
      <c r="N26" s="4" t="inlineStr">
        <is>
          <t>for Robert Luna services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1201.35</v>
      </c>
      <c r="U26" s="4" t="n"/>
      <c r="V26" s="8" t="n"/>
      <c r="W26" s="4" t="n"/>
      <c r="X26" s="8" t="n">
        <v>1201.35</v>
      </c>
      <c r="Y26" s="4" t="n"/>
      <c r="Z26" s="8" t="n">
        <v>24956.03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45847</v>
      </c>
      <c r="I27" s="4" t="n"/>
      <c r="J27" s="4" t="inlineStr">
        <is>
          <t>DD071025-PAY</t>
        </is>
      </c>
      <c r="K27" s="4" t="n"/>
      <c r="L27" s="4" t="inlineStr">
        <is>
          <t>Devin Dwayne Dotson</t>
        </is>
      </c>
      <c r="M27" s="4" t="n"/>
      <c r="N27" s="4" t="inlineStr">
        <is>
          <t>06/18/25 - 06/30/25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1224</v>
      </c>
      <c r="U27" s="4" t="n"/>
      <c r="V27" s="8" t="n"/>
      <c r="W27" s="4" t="n"/>
      <c r="X27" s="8" t="n">
        <v>1224</v>
      </c>
      <c r="Y27" s="4" t="n"/>
      <c r="Z27" s="8" t="n">
        <v>26180.03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45847</v>
      </c>
      <c r="I28" s="4" t="n"/>
      <c r="J28" s="4" t="inlineStr">
        <is>
          <t>DA071025-PAY</t>
        </is>
      </c>
      <c r="K28" s="4" t="n"/>
      <c r="L28" s="4" t="inlineStr">
        <is>
          <t>Donald Anson Jr</t>
        </is>
      </c>
      <c r="M28" s="4" t="n"/>
      <c r="N28" s="4" t="inlineStr">
        <is>
          <t>06/18/25 - 06/30/25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1224</v>
      </c>
      <c r="U28" s="4" t="n"/>
      <c r="V28" s="8" t="n"/>
      <c r="W28" s="4" t="n"/>
      <c r="X28" s="8" t="n">
        <v>1224</v>
      </c>
      <c r="Y28" s="4" t="n"/>
      <c r="Z28" s="8" t="n">
        <v>27404.03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45847</v>
      </c>
      <c r="I29" s="4" t="n"/>
      <c r="J29" s="4" t="inlineStr">
        <is>
          <t>DS071025-PAY</t>
        </is>
      </c>
      <c r="K29" s="4" t="n"/>
      <c r="L29" s="4" t="inlineStr">
        <is>
          <t>DONTE STEWART</t>
        </is>
      </c>
      <c r="M29" s="4" t="n"/>
      <c r="N29" s="4" t="inlineStr">
        <is>
          <t>06/18/25 - 06/30/25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1224</v>
      </c>
      <c r="U29" s="4" t="n"/>
      <c r="V29" s="8" t="n"/>
      <c r="W29" s="4" t="n"/>
      <c r="X29" s="8" t="n">
        <v>1224</v>
      </c>
      <c r="Y29" s="4" t="n"/>
      <c r="Z29" s="8" t="n">
        <v>28628.03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45847</v>
      </c>
      <c r="I30" s="4" t="n"/>
      <c r="J30" s="4" t="inlineStr">
        <is>
          <t>SC071025-PAY</t>
        </is>
      </c>
      <c r="K30" s="4" t="n"/>
      <c r="L30" s="4" t="inlineStr">
        <is>
          <t>Samuel Carpio</t>
        </is>
      </c>
      <c r="M30" s="4" t="n"/>
      <c r="N30" s="4" t="inlineStr">
        <is>
          <t>06/16/25 - 06/30/25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1496</v>
      </c>
      <c r="U30" s="4" t="n"/>
      <c r="V30" s="8" t="n"/>
      <c r="W30" s="4" t="n"/>
      <c r="X30" s="8" t="n">
        <v>1496</v>
      </c>
      <c r="Y30" s="4" t="n"/>
      <c r="Z30" s="8" t="n">
        <v>30124.03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45847</v>
      </c>
      <c r="I31" s="4" t="n"/>
      <c r="J31" s="4" t="inlineStr">
        <is>
          <t>OA071025-PAY</t>
        </is>
      </c>
      <c r="K31" s="4" t="n"/>
      <c r="L31" s="4" t="inlineStr">
        <is>
          <t>Oscar Alvarado</t>
        </is>
      </c>
      <c r="M31" s="4" t="n"/>
      <c r="N31" s="4" t="inlineStr">
        <is>
          <t>06/18/25 - 06/30/25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1512</v>
      </c>
      <c r="U31" s="4" t="n"/>
      <c r="V31" s="8" t="n"/>
      <c r="W31" s="4" t="n"/>
      <c r="X31" s="8" t="n">
        <v>1512</v>
      </c>
      <c r="Y31" s="4" t="n"/>
      <c r="Z31" s="8" t="n">
        <v>31636.03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45861</v>
      </c>
      <c r="I32" s="4" t="n"/>
      <c r="J32" s="4" t="inlineStr">
        <is>
          <t>DD072525-PAY</t>
        </is>
      </c>
      <c r="K32" s="4" t="n"/>
      <c r="L32" s="4" t="inlineStr">
        <is>
          <t>Devin Dwayne Dotson</t>
        </is>
      </c>
      <c r="M32" s="4" t="n"/>
      <c r="N32" s="4" t="inlineStr">
        <is>
          <t>07/01/25 - 07/15/25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1496</v>
      </c>
      <c r="U32" s="4" t="n"/>
      <c r="V32" s="8" t="n"/>
      <c r="W32" s="4" t="n"/>
      <c r="X32" s="8" t="n">
        <v>1496</v>
      </c>
      <c r="Y32" s="4" t="n"/>
      <c r="Z32" s="8" t="n">
        <v>33132.03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45861</v>
      </c>
      <c r="I33" s="4" t="n"/>
      <c r="J33" s="4" t="inlineStr">
        <is>
          <t>DA072525-PAY</t>
        </is>
      </c>
      <c r="K33" s="4" t="n"/>
      <c r="L33" s="4" t="inlineStr">
        <is>
          <t>Donald Anson Jr</t>
        </is>
      </c>
      <c r="M33" s="4" t="n"/>
      <c r="N33" s="4" t="inlineStr">
        <is>
          <t>07/01/25 - 07/15/25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1496</v>
      </c>
      <c r="U33" s="4" t="n"/>
      <c r="V33" s="8" t="n"/>
      <c r="W33" s="4" t="n"/>
      <c r="X33" s="8" t="n">
        <v>1496</v>
      </c>
      <c r="Y33" s="4" t="n"/>
      <c r="Z33" s="8" t="n">
        <v>34628.03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45861</v>
      </c>
      <c r="I34" s="4" t="n"/>
      <c r="J34" s="4" t="inlineStr">
        <is>
          <t>DS072525-PAY</t>
        </is>
      </c>
      <c r="K34" s="4" t="n"/>
      <c r="L34" s="4" t="inlineStr">
        <is>
          <t>DONTE STEWART</t>
        </is>
      </c>
      <c r="M34" s="4" t="n"/>
      <c r="N34" s="4" t="inlineStr">
        <is>
          <t>07/01/25 - 07/15/25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1496</v>
      </c>
      <c r="U34" s="4" t="n"/>
      <c r="V34" s="8" t="n"/>
      <c r="W34" s="4" t="n"/>
      <c r="X34" s="8" t="n">
        <v>1496</v>
      </c>
      <c r="Y34" s="4" t="n"/>
      <c r="Z34" s="8" t="n">
        <v>36124.03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45861</v>
      </c>
      <c r="I35" s="4" t="n"/>
      <c r="J35" s="4" t="inlineStr">
        <is>
          <t>SC072525-PAY</t>
        </is>
      </c>
      <c r="K35" s="4" t="n"/>
      <c r="L35" s="4" t="inlineStr">
        <is>
          <t>Samuel Carpio</t>
        </is>
      </c>
      <c r="M35" s="4" t="n"/>
      <c r="N35" s="4" t="inlineStr">
        <is>
          <t>07/01/25 - 07/15/25 (INCLUDES 07/12/25 &amp; 07/13/25)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1768</v>
      </c>
      <c r="U35" s="4" t="n"/>
      <c r="V35" s="8" t="n"/>
      <c r="W35" s="4" t="n"/>
      <c r="X35" s="8" t="n">
        <v>1768</v>
      </c>
      <c r="Y35" s="4" t="n"/>
      <c r="Z35" s="8" t="n">
        <v>37892.03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45861</v>
      </c>
      <c r="I36" s="4" t="n"/>
      <c r="J36" s="4" t="inlineStr">
        <is>
          <t>OA072525-PAY</t>
        </is>
      </c>
      <c r="K36" s="4" t="n"/>
      <c r="L36" s="4" t="inlineStr">
        <is>
          <t>Oscar Alvarado</t>
        </is>
      </c>
      <c r="M36" s="4" t="n"/>
      <c r="N36" s="4" t="inlineStr">
        <is>
          <t>07/01/25 - 07/15/25 (INCLUDES 07/12/25 &amp; 07/13/25)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2184</v>
      </c>
      <c r="U36" s="4" t="n"/>
      <c r="V36" s="8" t="n"/>
      <c r="W36" s="4" t="n"/>
      <c r="X36" s="8" t="n">
        <v>2184</v>
      </c>
      <c r="Y36" s="4" t="n"/>
      <c r="Z36" s="8" t="n">
        <v>40076.03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45876</v>
      </c>
      <c r="I37" s="4" t="n"/>
      <c r="J37" s="4" t="inlineStr">
        <is>
          <t>DS080825</t>
        </is>
      </c>
      <c r="K37" s="4" t="n"/>
      <c r="L37" s="4" t="inlineStr">
        <is>
          <t>DONTE STEWART</t>
        </is>
      </c>
      <c r="M37" s="4" t="n"/>
      <c r="N37" s="4" t="inlineStr">
        <is>
          <t>07/16/25 - 07/25/25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1088</v>
      </c>
      <c r="U37" s="4" t="n"/>
      <c r="V37" s="8" t="n"/>
      <c r="W37" s="4" t="n"/>
      <c r="X37" s="8" t="n">
        <v>1088</v>
      </c>
      <c r="Y37" s="4" t="n"/>
      <c r="Z37" s="8" t="n">
        <v>41164.03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45876</v>
      </c>
      <c r="I38" s="4" t="n"/>
      <c r="J38" s="4" t="inlineStr">
        <is>
          <t>DA080825-PAY</t>
        </is>
      </c>
      <c r="K38" s="4" t="n"/>
      <c r="L38" s="4" t="inlineStr">
        <is>
          <t>Donald Anson Jr</t>
        </is>
      </c>
      <c r="M38" s="4" t="n"/>
      <c r="N38" s="4" t="inlineStr">
        <is>
          <t>0716/25 - 07/25/25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1088</v>
      </c>
      <c r="U38" s="4" t="n"/>
      <c r="V38" s="8" t="n"/>
      <c r="W38" s="4" t="n"/>
      <c r="X38" s="8" t="n">
        <v>1088</v>
      </c>
      <c r="Y38" s="4" t="n"/>
      <c r="Z38" s="8" t="n">
        <v>42252.03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45876</v>
      </c>
      <c r="I39" s="4" t="n"/>
      <c r="J39" s="4" t="inlineStr">
        <is>
          <t>DT080525</t>
        </is>
      </c>
      <c r="K39" s="4" t="n"/>
      <c r="L39" s="4" t="inlineStr">
        <is>
          <t>DARRYL THROWER</t>
        </is>
      </c>
      <c r="M39" s="4" t="n"/>
      <c r="N39" s="4" t="inlineStr">
        <is>
          <t>07/05/25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136</v>
      </c>
      <c r="U39" s="4" t="n"/>
      <c r="V39" s="8" t="n"/>
      <c r="W39" s="4" t="n"/>
      <c r="X39" s="8" t="n">
        <v>136</v>
      </c>
      <c r="Y39" s="4" t="n"/>
      <c r="Z39" s="8" t="n">
        <v>42388.03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45876</v>
      </c>
      <c r="I40" s="4" t="n"/>
      <c r="J40" s="4" t="inlineStr">
        <is>
          <t>DD080825-PAY</t>
        </is>
      </c>
      <c r="K40" s="4" t="n"/>
      <c r="L40" s="4" t="inlineStr">
        <is>
          <t>Devin Dwayne Dotson</t>
        </is>
      </c>
      <c r="M40" s="4" t="n"/>
      <c r="N40" s="4" t="inlineStr">
        <is>
          <t>07/16/25 - 07/25/25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1088</v>
      </c>
      <c r="U40" s="4" t="n"/>
      <c r="V40" s="8" t="n"/>
      <c r="W40" s="4" t="n"/>
      <c r="X40" s="8" t="n">
        <v>1088</v>
      </c>
      <c r="Y40" s="4" t="n"/>
      <c r="Z40" s="8" t="n">
        <v>43476.03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45876</v>
      </c>
      <c r="I41" s="4" t="n"/>
      <c r="J41" s="4" t="inlineStr">
        <is>
          <t>SC080825PAY</t>
        </is>
      </c>
      <c r="K41" s="4" t="n"/>
      <c r="L41" s="4" t="inlineStr">
        <is>
          <t>Samuel Carpio</t>
        </is>
      </c>
      <c r="M41" s="4" t="n"/>
      <c r="N41" s="4" t="inlineStr">
        <is>
          <t>07/16/25 - 07/25/25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1360</v>
      </c>
      <c r="U41" s="4" t="n"/>
      <c r="V41" s="8" t="n"/>
      <c r="W41" s="4" t="n"/>
      <c r="X41" s="8" t="n">
        <v>1360</v>
      </c>
      <c r="Y41" s="4" t="n"/>
      <c r="Z41" s="8" t="n">
        <v>44836.03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45876</v>
      </c>
      <c r="I42" s="4" t="n"/>
      <c r="J42" s="4" t="inlineStr">
        <is>
          <t>OA080825PAY</t>
        </is>
      </c>
      <c r="K42" s="4" t="n"/>
      <c r="L42" s="4" t="inlineStr">
        <is>
          <t>Oscar Alvarado</t>
        </is>
      </c>
      <c r="M42" s="4" t="n"/>
      <c r="N42" s="4" t="inlineStr">
        <is>
          <t>07/16/25 - 08/01/25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2520</v>
      </c>
      <c r="U42" s="4" t="n"/>
      <c r="V42" s="8" t="n"/>
      <c r="W42" s="4" t="n"/>
      <c r="X42" s="8" t="n">
        <v>2520</v>
      </c>
      <c r="Y42" s="4" t="n"/>
      <c r="Z42" s="8" t="n">
        <v>47356.03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45953</v>
      </c>
      <c r="I43" s="4" t="n"/>
      <c r="J43" s="4" t="inlineStr">
        <is>
          <t>JL102325-PAY</t>
        </is>
      </c>
      <c r="K43" s="4" t="n"/>
      <c r="L43" s="4" t="inlineStr">
        <is>
          <t>Juan Angel Ramos Lopez</t>
        </is>
      </c>
      <c r="M43" s="4" t="n"/>
      <c r="N43" s="4" t="inlineStr">
        <is>
          <t>SERVICES:10/14/25 - 10/17/25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800</v>
      </c>
      <c r="U43" s="4" t="n"/>
      <c r="V43" s="8" t="n"/>
      <c r="W43" s="4" t="n"/>
      <c r="X43" s="8" t="n">
        <v>800</v>
      </c>
      <c r="Y43" s="4" t="n"/>
      <c r="Z43" s="8" t="n">
        <v>48156.03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45968</v>
      </c>
      <c r="I44" s="4" t="n"/>
      <c r="J44" s="4" t="inlineStr">
        <is>
          <t>JR110725-PAY</t>
        </is>
      </c>
      <c r="K44" s="4" t="n"/>
      <c r="L44" s="4" t="inlineStr">
        <is>
          <t>Juan Angel Ramos Lopez</t>
        </is>
      </c>
      <c r="M44" s="4" t="n"/>
      <c r="N44" s="4" t="inlineStr">
        <is>
          <t>PERIOD: 10/20/25 - 10/31/25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2000</v>
      </c>
      <c r="U44" s="4" t="n"/>
      <c r="V44" s="8" t="n"/>
      <c r="W44" s="4" t="n"/>
      <c r="X44" s="8" t="n">
        <v>2000</v>
      </c>
      <c r="Y44" s="4" t="n"/>
      <c r="Z44" s="8" t="n">
        <v>50156.03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45980</v>
      </c>
      <c r="I45" s="4" t="n"/>
      <c r="J45" s="4" t="inlineStr">
        <is>
          <t>JR112025-PAY</t>
        </is>
      </c>
      <c r="K45" s="4" t="n"/>
      <c r="L45" s="4" t="inlineStr">
        <is>
          <t>Juan Angel Ramos Lopez</t>
        </is>
      </c>
      <c r="M45" s="4" t="n"/>
      <c r="N45" s="4" t="inlineStr">
        <is>
          <t>11/03/25 - 11/14/25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2000</v>
      </c>
      <c r="U45" s="4" t="n"/>
      <c r="V45" s="8" t="n"/>
      <c r="W45" s="4" t="n"/>
      <c r="X45" s="8" t="n">
        <v>2000</v>
      </c>
      <c r="Y45" s="4" t="n"/>
      <c r="Z45" s="8" t="n">
        <v>52156.03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45994</v>
      </c>
      <c r="I46" s="4" t="n"/>
      <c r="J46" s="4" t="inlineStr">
        <is>
          <t>JR120425-PAY</t>
        </is>
      </c>
      <c r="K46" s="4" t="n"/>
      <c r="L46" s="4" t="inlineStr">
        <is>
          <t>Juan Angel Ramos Lopez</t>
        </is>
      </c>
      <c r="M46" s="4" t="n"/>
      <c r="N46" s="4" t="inlineStr">
        <is>
          <t>11/17/25 -11/28/25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2000</v>
      </c>
      <c r="U46" s="4" t="n"/>
      <c r="V46" s="8" t="n"/>
      <c r="W46" s="4" t="n"/>
      <c r="X46" s="8" t="n">
        <v>2000</v>
      </c>
      <c r="Y46" s="4" t="n"/>
      <c r="Z46" s="8" t="n">
        <v>54156.03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46009</v>
      </c>
      <c r="I47" s="4" t="n"/>
      <c r="J47" s="4" t="inlineStr">
        <is>
          <t>JL121825-PAY</t>
        </is>
      </c>
      <c r="K47" s="4" t="n"/>
      <c r="L47" s="4" t="inlineStr">
        <is>
          <t>Juan Angel Ramos Lopez</t>
        </is>
      </c>
      <c r="M47" s="4" t="n"/>
      <c r="N47" s="4" t="inlineStr">
        <is>
          <t>12/01/25 - 12/12/25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2000</v>
      </c>
      <c r="U47" s="4" t="n"/>
      <c r="V47" s="8" t="n"/>
      <c r="W47" s="4" t="n"/>
      <c r="X47" s="8" t="n">
        <v>2000</v>
      </c>
      <c r="Y47" s="4" t="n"/>
      <c r="Z47" s="8" t="n">
        <v>56156.03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46022</v>
      </c>
      <c r="I48" s="4" t="n"/>
      <c r="J48" s="4" t="inlineStr">
        <is>
          <t>JR123125-PAY</t>
        </is>
      </c>
      <c r="K48" s="4" t="n"/>
      <c r="L48" s="4" t="inlineStr">
        <is>
          <t>Juan Angel Ramos Lopez</t>
        </is>
      </c>
      <c r="M48" s="4" t="n"/>
      <c r="N48" s="4" t="inlineStr">
        <is>
          <t>12/15/25 - 12/26/25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2000</v>
      </c>
      <c r="U48" s="4" t="n"/>
      <c r="V48" s="8" t="n"/>
      <c r="W48" s="4" t="n"/>
      <c r="X48" s="8" t="n">
        <v>2000</v>
      </c>
      <c r="Y48" s="4" t="n"/>
      <c r="Z48" s="8" t="n">
        <v>58156.03</v>
      </c>
    </row>
    <row r="49" ht="15.75" customHeight="1" s="15" thickBot="1">
      <c r="A49" s="4" t="n"/>
      <c r="B49" s="4" t="n"/>
      <c r="C49" s="4" t="n"/>
      <c r="D49" s="4" t="n"/>
      <c r="E49" s="4" t="n"/>
      <c r="F49" s="4" t="inlineStr">
        <is>
          <t>General Journal</t>
        </is>
      </c>
      <c r="G49" s="4" t="n"/>
      <c r="H49" s="5" t="n">
        <v>46022</v>
      </c>
      <c r="I49" s="4" t="n"/>
      <c r="J49" s="4" t="inlineStr">
        <is>
          <t>JE2020-1065</t>
        </is>
      </c>
      <c r="K49" s="4" t="n"/>
      <c r="L49" s="4" t="n"/>
      <c r="M49" s="4" t="n"/>
      <c r="N49" s="4" t="inlineStr">
        <is>
          <t>AUDITOR AJE # 9 12/31/25</t>
        </is>
      </c>
      <c r="O49" s="4" t="n"/>
      <c r="P49" s="6" t="n"/>
      <c r="Q49" s="4" t="n"/>
      <c r="R49" s="4" t="inlineStr">
        <is>
          <t>2125-00 · Accrued Management Fee</t>
        </is>
      </c>
      <c r="S49" s="4" t="n"/>
      <c r="T49" s="8" t="n">
        <v>2000</v>
      </c>
      <c r="U49" s="4" t="n"/>
      <c r="V49" s="8" t="n"/>
      <c r="W49" s="4" t="n"/>
      <c r="X49" s="8" t="n">
        <v>2000</v>
      </c>
      <c r="Y49" s="4" t="n"/>
      <c r="Z49" s="8" t="n">
        <v>60156.03</v>
      </c>
    </row>
    <row r="50" ht="15.75" customHeight="1" s="15" thickBot="1">
      <c r="A50" s="4" t="n"/>
      <c r="B50" s="4" t="n"/>
      <c r="C50" s="4" t="inlineStr">
        <is>
          <t>Total 6520-05 · Maintenance-General</t>
        </is>
      </c>
      <c r="D50" s="4" t="n"/>
      <c r="E50" s="4" t="n"/>
      <c r="F50" s="4" t="n"/>
      <c r="G50" s="4" t="n"/>
      <c r="H50" s="5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9">
        <f>ROUND(SUM(T3:T49),5)</f>
        <v/>
      </c>
      <c r="U50" s="4" t="n"/>
      <c r="V50" s="9">
        <f>ROUND(SUM(V3:V49),5)</f>
        <v/>
      </c>
      <c r="W50" s="4" t="n"/>
      <c r="X50" s="8" t="n"/>
      <c r="Y50" s="4" t="n"/>
      <c r="Z50" s="9">
        <f>Z49</f>
        <v/>
      </c>
    </row>
    <row r="51" ht="15.75" customHeight="1" s="15" thickBot="1">
      <c r="A51" s="4" t="n"/>
      <c r="B51" s="4" t="inlineStr">
        <is>
          <t>Total 65200 · Maintenance</t>
        </is>
      </c>
      <c r="C51" s="4" t="n"/>
      <c r="D51" s="4" t="n"/>
      <c r="E51" s="4" t="n"/>
      <c r="F51" s="4" t="n"/>
      <c r="G51" s="4" t="n"/>
      <c r="H51" s="5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9">
        <f>T50</f>
        <v/>
      </c>
      <c r="U51" s="4" t="n"/>
      <c r="V51" s="9">
        <f>V50</f>
        <v/>
      </c>
      <c r="W51" s="4" t="n"/>
      <c r="X51" s="8" t="n"/>
      <c r="Y51" s="4" t="n"/>
      <c r="Z51" s="9">
        <f>Z50</f>
        <v/>
      </c>
    </row>
    <row r="52" ht="12" customFormat="1" customHeight="1" s="11" thickBot="1">
      <c r="A52" s="1" t="inlineStr">
        <is>
          <t>TOTAL</t>
        </is>
      </c>
      <c r="B52" s="1" t="n"/>
      <c r="C52" s="1" t="n"/>
      <c r="D52" s="1" t="n"/>
      <c r="E52" s="1" t="n"/>
      <c r="F52" s="1" t="n"/>
      <c r="G52" s="1" t="n"/>
      <c r="H52" s="2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">
        <f>T51</f>
        <v/>
      </c>
      <c r="U52" s="1" t="n"/>
      <c r="V52" s="10">
        <f>V51</f>
        <v/>
      </c>
      <c r="W52" s="1" t="n"/>
      <c r="X52" s="3" t="n"/>
      <c r="Y52" s="1" t="n"/>
      <c r="Z52" s="10">
        <f>Z51</f>
        <v/>
      </c>
    </row>
    <row r="53" ht="15.75" customHeight="1" s="15" thickTop="1"/>
  </sheetData>
  <pageMargins left="0.7" right="0.7" top="0.75" bottom="0.75" header="0.1" footer="0.3"/>
  <pageSetup orientation="portrait"/>
  <headerFooter>
    <oddHeader>&amp;L&amp;"Arial,Bold"&amp;8 5:47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General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Status</t>
        </is>
      </c>
    </row>
    <row r="3" ht="30" customHeight="1" s="15">
      <c r="A3" s="18" t="inlineStr">
        <is>
          <t>Anaheim Gardens Housing</t>
        </is>
      </c>
      <c r="B3" s="18" t="n"/>
      <c r="C3" s="18" t="n"/>
      <c r="D3" s="19" t="n">
        <v>24956.03</v>
      </c>
      <c r="E3" s="19" t="n">
        <v>24956.03</v>
      </c>
      <c r="F3" s="20" t="inlineStr">
        <is>
          <t>2025: No 1099 found</t>
        </is>
      </c>
    </row>
    <row r="4" ht="30" customHeight="1" s="15">
      <c r="A4" s="21" t="inlineStr">
        <is>
          <t>Brayan Alberto Garcia Rivas</t>
        </is>
      </c>
      <c r="B4" s="21" t="n"/>
      <c r="C4" s="22" t="n">
        <v>25378.62</v>
      </c>
      <c r="D4" s="21" t="n"/>
      <c r="E4" s="22" t="n">
        <v>25378.62</v>
      </c>
      <c r="F4" s="23" t="inlineStr">
        <is>
          <t>2024: MISMATCH (WB=$25,378.62 / 1099=$1,760.00)</t>
        </is>
      </c>
    </row>
    <row r="5" ht="30" customHeight="1" s="15">
      <c r="A5" s="18" t="inlineStr">
        <is>
          <t>CARLOS ALBERTO G MEDINA</t>
        </is>
      </c>
      <c r="B5" s="19" t="n">
        <v>16562.25</v>
      </c>
      <c r="C5" s="18" t="n"/>
      <c r="D5" s="18" t="n"/>
      <c r="E5" s="19" t="n">
        <v>16562.25</v>
      </c>
      <c r="F5" s="23" t="inlineStr">
        <is>
          <t>2023: MISMATCH (WB=$16,562.25 / 1099=$6,920.75)</t>
        </is>
      </c>
    </row>
    <row r="6" ht="30" customHeight="1" s="15">
      <c r="A6" s="21" t="inlineStr">
        <is>
          <t>Carlos Sanchez</t>
        </is>
      </c>
      <c r="B6" s="22" t="n">
        <v>7858.62</v>
      </c>
      <c r="C6" s="21" t="n"/>
      <c r="D6" s="21" t="n"/>
      <c r="E6" s="22" t="n">
        <v>7858.62</v>
      </c>
      <c r="F6" s="23" t="inlineStr">
        <is>
          <t>2023: MISMATCH (WB=$7,858.62 / 1099=$6,920.75)</t>
        </is>
      </c>
    </row>
    <row r="7" ht="30" customHeight="1" s="15">
      <c r="A7" s="18" t="inlineStr">
        <is>
          <t>DARRYL THROWER</t>
        </is>
      </c>
      <c r="B7" s="18" t="n"/>
      <c r="C7" s="18" t="n"/>
      <c r="D7" s="19" t="n">
        <v>42388.03</v>
      </c>
      <c r="E7" s="19" t="n">
        <v>42388.03</v>
      </c>
      <c r="F7" s="20" t="inlineStr">
        <is>
          <t>2025: No 1099 found</t>
        </is>
      </c>
    </row>
    <row r="8" ht="30" customHeight="1" s="15">
      <c r="A8" s="21" t="inlineStr">
        <is>
          <t>Devin Dwayne Dotson</t>
        </is>
      </c>
      <c r="B8" s="21" t="n"/>
      <c r="C8" s="22" t="n">
        <v>83437.09999999999</v>
      </c>
      <c r="D8" s="22" t="n">
        <v>102788.09</v>
      </c>
      <c r="E8" s="22" t="n">
        <v>186225.19</v>
      </c>
      <c r="F8" s="23" t="inlineStr">
        <is>
          <t>2024: MISMATCH (WB=$83,437.10 / 1099=$5,680.00) | 2025: MISMATCH (WB=$102,788.09 / 1099=$3,808.00)</t>
        </is>
      </c>
    </row>
    <row r="9" ht="30" customHeight="1" s="15">
      <c r="A9" s="18" t="inlineStr">
        <is>
          <t>Donald Anson Jr</t>
        </is>
      </c>
      <c r="B9" s="18" t="n"/>
      <c r="C9" s="19" t="n">
        <v>89037.09999999999</v>
      </c>
      <c r="D9" s="19" t="n">
        <v>104284.09</v>
      </c>
      <c r="E9" s="19" t="n">
        <v>193321.19</v>
      </c>
      <c r="F9" s="23" t="inlineStr">
        <is>
          <t>2024: MISMATCH (WB=$89,037.10 / 1099=$5,040.00) | 2025: MISMATCH (WB=$104,284.09 / 1099=$3,808.00)</t>
        </is>
      </c>
    </row>
    <row r="10" ht="30" customHeight="1" s="15">
      <c r="A10" s="21" t="inlineStr">
        <is>
          <t>DONTE STEWART</t>
        </is>
      </c>
      <c r="B10" s="21" t="n"/>
      <c r="C10" s="22" t="n">
        <v>84253.09999999999</v>
      </c>
      <c r="D10" s="22" t="n">
        <v>105916.09</v>
      </c>
      <c r="E10" s="22" t="n">
        <v>190169.19</v>
      </c>
      <c r="F10" s="23" t="inlineStr">
        <is>
          <t>2024: MISMATCH (WB=$84,253.10 / 1099=$5,040.00) | 2025: MISMATCH (WB=$105,916.09 / 1099=$3,808.00)</t>
        </is>
      </c>
    </row>
    <row r="11" ht="30" customHeight="1" s="15">
      <c r="A11" s="18" t="inlineStr">
        <is>
          <t>Jeremias Morales</t>
        </is>
      </c>
      <c r="B11" s="19" t="n">
        <v>3920.75</v>
      </c>
      <c r="C11" s="18" t="n"/>
      <c r="D11" s="18" t="n"/>
      <c r="E11" s="19" t="n">
        <v>3920.75</v>
      </c>
      <c r="F11" s="23" t="inlineStr">
        <is>
          <t>2023: MISMATCH (WB=$3,920.75 / 1099=$1,600.00)</t>
        </is>
      </c>
    </row>
    <row r="12" ht="30" customHeight="1" s="15">
      <c r="A12" s="21" t="inlineStr">
        <is>
          <t>Juan Angel Ramos Lopez</t>
        </is>
      </c>
      <c r="B12" s="21" t="n"/>
      <c r="C12" s="21" t="n"/>
      <c r="D12" s="22" t="n">
        <v>318936.18</v>
      </c>
      <c r="E12" s="22" t="n">
        <v>318936.18</v>
      </c>
      <c r="F12" s="23" t="inlineStr">
        <is>
          <t>2025: MISMATCH (WB=$318,936.18 / 1099=$10,800.00)</t>
        </is>
      </c>
    </row>
    <row r="13" ht="30" customHeight="1" s="15">
      <c r="A13" s="18" t="inlineStr">
        <is>
          <t>Oscar Alvarado</t>
        </is>
      </c>
      <c r="B13" s="18" t="n"/>
      <c r="C13" s="18" t="n"/>
      <c r="D13" s="19" t="n">
        <v>119068.09</v>
      </c>
      <c r="E13" s="19" t="n">
        <v>119068.09</v>
      </c>
      <c r="F13" s="20" t="inlineStr">
        <is>
          <t>2025: No 1099 found</t>
        </is>
      </c>
    </row>
    <row r="14" ht="30" customHeight="1" s="15">
      <c r="A14" s="21" t="inlineStr">
        <is>
          <t>Samuel Carpio</t>
        </is>
      </c>
      <c r="B14" s="21" t="n"/>
      <c r="C14" s="21" t="n"/>
      <c r="D14" s="22" t="n">
        <v>112852.09</v>
      </c>
      <c r="E14" s="22" t="n">
        <v>112852.09</v>
      </c>
      <c r="F14" s="23" t="inlineStr">
        <is>
          <t>2025: MISMATCH (WB=$112,852.09 / 1099=$4,624.00)</t>
        </is>
      </c>
    </row>
    <row r="15" ht="30" customHeight="1" s="15">
      <c r="A15" s="18" t="inlineStr">
        <is>
          <t>Unknown</t>
        </is>
      </c>
      <c r="B15" s="18" t="n"/>
      <c r="C15" s="19" t="n">
        <v>23754.68</v>
      </c>
      <c r="D15" s="19" t="n">
        <v>60156.03</v>
      </c>
      <c r="E15" s="19" t="n">
        <v>83910.70999999999</v>
      </c>
      <c r="F15" s="20" t="inlineStr">
        <is>
          <t>2024: No 1099 found | 2025: No 1099 found</t>
        </is>
      </c>
    </row>
    <row r="16" ht="22" customHeight="1" s="15">
      <c r="A16" s="24" t="inlineStr">
        <is>
          <t>GRAND TOTAL</t>
        </is>
      </c>
      <c r="B16" s="25" t="n">
        <v>28341.62</v>
      </c>
      <c r="C16" s="25" t="n">
        <v>305860.6</v>
      </c>
      <c r="D16" s="25" t="n">
        <v>991344.72</v>
      </c>
      <c r="E16" s="25" t="n">
        <v>1325546.94</v>
      </c>
      <c r="F16" s="2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4" customWidth="1" style="15" min="5" max="5"/>
    <col width="16" customWidth="1" style="15" min="6" max="6"/>
    <col width="30" customWidth="1" style="15" min="7" max="7"/>
  </cols>
  <sheetData>
    <row r="1" ht="28" customHeight="1" s="15">
      <c r="A1" s="26" t="inlineStr">
        <is>
          <t>General — 1099-NEC Verification Report</t>
        </is>
      </c>
    </row>
    <row r="2">
      <c r="A2" s="27" t="inlineStr">
        <is>
          <t>Contractor / Payee</t>
        </is>
      </c>
      <c r="B2" s="27" t="inlineStr">
        <is>
          <t>Year</t>
        </is>
      </c>
      <c r="C2" s="27" t="inlineStr">
        <is>
          <t>Workbook Total</t>
        </is>
      </c>
      <c r="D2" s="27" t="inlineStr">
        <is>
          <t>1099-NEC Amount</t>
        </is>
      </c>
      <c r="E2" s="27" t="inlineStr">
        <is>
          <t>Difference</t>
        </is>
      </c>
      <c r="F2" s="27" t="inlineStr">
        <is>
          <t>Status</t>
        </is>
      </c>
      <c r="G2" s="27" t="inlineStr">
        <is>
          <t>Notes</t>
        </is>
      </c>
    </row>
    <row r="3">
      <c r="A3" s="28" t="inlineStr">
        <is>
          <t>Anaheim Gardens Housing</t>
        </is>
      </c>
      <c r="B3" s="28" t="n">
        <v>2025</v>
      </c>
      <c r="C3" s="29" t="n">
        <v>24956.03</v>
      </c>
      <c r="D3" s="28" t="inlineStr">
        <is>
          <t>N/A</t>
        </is>
      </c>
      <c r="E3" s="28" t="inlineStr">
        <is>
          <t>N/A</t>
        </is>
      </c>
      <c r="F3" s="28" t="inlineStr">
        <is>
          <t>NO 1099 FOUND</t>
        </is>
      </c>
      <c r="G3" s="28" t="inlineStr">
        <is>
          <t>Paid $600+ but no matching 1099-NEC on file</t>
        </is>
      </c>
    </row>
    <row r="4">
      <c r="A4" s="30" t="inlineStr">
        <is>
          <t>Brayan Alberto Garcia Rivas</t>
        </is>
      </c>
      <c r="B4" s="30" t="n">
        <v>2024</v>
      </c>
      <c r="C4" s="31" t="n">
        <v>25378.62</v>
      </c>
      <c r="D4" s="31" t="n">
        <v>1760</v>
      </c>
      <c r="E4" s="31" t="n">
        <v>23618.62</v>
      </c>
      <c r="F4" s="30" t="inlineStr">
        <is>
          <t>OVER-REPORTED</t>
        </is>
      </c>
      <c r="G4" s="30" t="inlineStr">
        <is>
          <t>Workbook shows $23,618.62 MORE than 1099</t>
        </is>
      </c>
    </row>
    <row r="5">
      <c r="A5" s="30" t="inlineStr">
        <is>
          <t>CARLOS ALBERTO G MEDINA</t>
        </is>
      </c>
      <c r="B5" s="30" t="n">
        <v>2023</v>
      </c>
      <c r="C5" s="31" t="n">
        <v>16562.25</v>
      </c>
      <c r="D5" s="31" t="n">
        <v>6920.75</v>
      </c>
      <c r="E5" s="31" t="n">
        <v>9641.5</v>
      </c>
      <c r="F5" s="30" t="inlineStr">
        <is>
          <t>OVER-REPORTED</t>
        </is>
      </c>
      <c r="G5" s="30" t="inlineStr">
        <is>
          <t>Workbook shows $9,641.50 MORE than 1099</t>
        </is>
      </c>
    </row>
    <row r="6">
      <c r="A6" s="30" t="inlineStr">
        <is>
          <t>Carlos Sanchez</t>
        </is>
      </c>
      <c r="B6" s="30" t="n">
        <v>2023</v>
      </c>
      <c r="C6" s="31" t="n">
        <v>7858.62</v>
      </c>
      <c r="D6" s="31" t="n">
        <v>6920.75</v>
      </c>
      <c r="E6" s="31" t="n">
        <v>937.8699999999999</v>
      </c>
      <c r="F6" s="30" t="inlineStr">
        <is>
          <t>OVER-REPORTED</t>
        </is>
      </c>
      <c r="G6" s="30" t="inlineStr">
        <is>
          <t>Workbook shows $937.87 MORE than 1099</t>
        </is>
      </c>
    </row>
    <row r="7">
      <c r="A7" s="28" t="inlineStr">
        <is>
          <t>DARRYL THROWER</t>
        </is>
      </c>
      <c r="B7" s="28" t="n">
        <v>2025</v>
      </c>
      <c r="C7" s="29" t="n">
        <v>42388.03</v>
      </c>
      <c r="D7" s="28" t="inlineStr">
        <is>
          <t>N/A</t>
        </is>
      </c>
      <c r="E7" s="28" t="inlineStr">
        <is>
          <t>N/A</t>
        </is>
      </c>
      <c r="F7" s="28" t="inlineStr">
        <is>
          <t>NO 1099 FOUND</t>
        </is>
      </c>
      <c r="G7" s="28" t="inlineStr">
        <is>
          <t>Paid $600+ but no matching 1099-NEC on file</t>
        </is>
      </c>
    </row>
    <row r="8">
      <c r="A8" s="30" t="inlineStr">
        <is>
          <t>Devin Dwayne Dotson</t>
        </is>
      </c>
      <c r="B8" s="30" t="n">
        <v>2024</v>
      </c>
      <c r="C8" s="31" t="n">
        <v>83437.09999999999</v>
      </c>
      <c r="D8" s="31" t="n">
        <v>5680</v>
      </c>
      <c r="E8" s="31" t="n">
        <v>77757.09999999999</v>
      </c>
      <c r="F8" s="30" t="inlineStr">
        <is>
          <t>OVER-REPORTED</t>
        </is>
      </c>
      <c r="G8" s="30" t="inlineStr">
        <is>
          <t>Workbook shows $77,757.10 MORE than 1099</t>
        </is>
      </c>
    </row>
    <row r="9">
      <c r="A9" s="30" t="inlineStr">
        <is>
          <t>Devin Dwayne Dotson</t>
        </is>
      </c>
      <c r="B9" s="30" t="n">
        <v>2025</v>
      </c>
      <c r="C9" s="31" t="n">
        <v>102788.09</v>
      </c>
      <c r="D9" s="31" t="n">
        <v>3808</v>
      </c>
      <c r="E9" s="31" t="n">
        <v>98980.09</v>
      </c>
      <c r="F9" s="30" t="inlineStr">
        <is>
          <t>OVER-REPORTED</t>
        </is>
      </c>
      <c r="G9" s="30" t="inlineStr">
        <is>
          <t>Workbook shows $98,980.09 MORE than 1099</t>
        </is>
      </c>
    </row>
    <row r="10">
      <c r="A10" s="30" t="inlineStr">
        <is>
          <t>Donald Anson Jr</t>
        </is>
      </c>
      <c r="B10" s="30" t="n">
        <v>2024</v>
      </c>
      <c r="C10" s="31" t="n">
        <v>89037.09999999999</v>
      </c>
      <c r="D10" s="31" t="n">
        <v>5040</v>
      </c>
      <c r="E10" s="31" t="n">
        <v>83997.09999999999</v>
      </c>
      <c r="F10" s="30" t="inlineStr">
        <is>
          <t>OVER-REPORTED</t>
        </is>
      </c>
      <c r="G10" s="30" t="inlineStr">
        <is>
          <t>Workbook shows $83,997.10 MORE than 1099</t>
        </is>
      </c>
    </row>
    <row r="11">
      <c r="A11" s="30" t="inlineStr">
        <is>
          <t>Donald Anson Jr</t>
        </is>
      </c>
      <c r="B11" s="30" t="n">
        <v>2025</v>
      </c>
      <c r="C11" s="31" t="n">
        <v>104284.09</v>
      </c>
      <c r="D11" s="31" t="n">
        <v>3808</v>
      </c>
      <c r="E11" s="31" t="n">
        <v>100476.09</v>
      </c>
      <c r="F11" s="30" t="inlineStr">
        <is>
          <t>OVER-REPORTED</t>
        </is>
      </c>
      <c r="G11" s="30" t="inlineStr">
        <is>
          <t>Workbook shows $100,476.09 MORE than 1099</t>
        </is>
      </c>
    </row>
    <row r="12">
      <c r="A12" s="30" t="inlineStr">
        <is>
          <t>DONTE STEWART</t>
        </is>
      </c>
      <c r="B12" s="30" t="n">
        <v>2024</v>
      </c>
      <c r="C12" s="31" t="n">
        <v>84253.09999999999</v>
      </c>
      <c r="D12" s="31" t="n">
        <v>5040</v>
      </c>
      <c r="E12" s="31" t="n">
        <v>79213.09999999999</v>
      </c>
      <c r="F12" s="30" t="inlineStr">
        <is>
          <t>OVER-REPORTED</t>
        </is>
      </c>
      <c r="G12" s="30" t="inlineStr">
        <is>
          <t>Workbook shows $79,213.10 MORE than 1099</t>
        </is>
      </c>
    </row>
    <row r="13">
      <c r="A13" s="30" t="inlineStr">
        <is>
          <t>DONTE STEWART</t>
        </is>
      </c>
      <c r="B13" s="30" t="n">
        <v>2025</v>
      </c>
      <c r="C13" s="31" t="n">
        <v>105916.09</v>
      </c>
      <c r="D13" s="31" t="n">
        <v>3808</v>
      </c>
      <c r="E13" s="31" t="n">
        <v>102108.09</v>
      </c>
      <c r="F13" s="30" t="inlineStr">
        <is>
          <t>OVER-REPORTED</t>
        </is>
      </c>
      <c r="G13" s="30" t="inlineStr">
        <is>
          <t>Workbook shows $102,108.09 MORE than 1099</t>
        </is>
      </c>
    </row>
    <row r="14">
      <c r="A14" s="30" t="inlineStr">
        <is>
          <t>Jeremias Morales</t>
        </is>
      </c>
      <c r="B14" s="30" t="n">
        <v>2023</v>
      </c>
      <c r="C14" s="31" t="n">
        <v>3920.75</v>
      </c>
      <c r="D14" s="31" t="n">
        <v>1600</v>
      </c>
      <c r="E14" s="31" t="n">
        <v>2320.75</v>
      </c>
      <c r="F14" s="30" t="inlineStr">
        <is>
          <t>OVER-REPORTED</t>
        </is>
      </c>
      <c r="G14" s="30" t="inlineStr">
        <is>
          <t>Workbook shows $2,320.75 MORE than 1099</t>
        </is>
      </c>
    </row>
    <row r="15">
      <c r="A15" s="30" t="inlineStr">
        <is>
          <t>Juan Angel Ramos Lopez</t>
        </is>
      </c>
      <c r="B15" s="30" t="n">
        <v>2025</v>
      </c>
      <c r="C15" s="31" t="n">
        <v>318936.18</v>
      </c>
      <c r="D15" s="31" t="n">
        <v>10800</v>
      </c>
      <c r="E15" s="31" t="n">
        <v>308136.18</v>
      </c>
      <c r="F15" s="30" t="inlineStr">
        <is>
          <t>OVER-REPORTED</t>
        </is>
      </c>
      <c r="G15" s="30" t="inlineStr">
        <is>
          <t>Workbook shows $308,136.18 MORE than 1099</t>
        </is>
      </c>
    </row>
    <row r="16">
      <c r="A16" s="28" t="inlineStr">
        <is>
          <t>Oscar Alvarado</t>
        </is>
      </c>
      <c r="B16" s="28" t="n">
        <v>2025</v>
      </c>
      <c r="C16" s="29" t="n">
        <v>119068.09</v>
      </c>
      <c r="D16" s="28" t="inlineStr">
        <is>
          <t>N/A</t>
        </is>
      </c>
      <c r="E16" s="28" t="inlineStr">
        <is>
          <t>N/A</t>
        </is>
      </c>
      <c r="F16" s="28" t="inlineStr">
        <is>
          <t>NO 1099 FOUND</t>
        </is>
      </c>
      <c r="G16" s="28" t="inlineStr">
        <is>
          <t>Paid $600+ but no matching 1099-NEC on file</t>
        </is>
      </c>
    </row>
    <row r="17">
      <c r="A17" s="30" t="inlineStr">
        <is>
          <t>Samuel Carpio</t>
        </is>
      </c>
      <c r="B17" s="30" t="n">
        <v>2025</v>
      </c>
      <c r="C17" s="31" t="n">
        <v>112852.09</v>
      </c>
      <c r="D17" s="31" t="n">
        <v>4624</v>
      </c>
      <c r="E17" s="31" t="n">
        <v>108228.09</v>
      </c>
      <c r="F17" s="30" t="inlineStr">
        <is>
          <t>OVER-REPORTED</t>
        </is>
      </c>
      <c r="G17" s="30" t="inlineStr">
        <is>
          <t>Workbook shows $108,228.09 MORE than 1099</t>
        </is>
      </c>
    </row>
    <row r="18">
      <c r="A18" s="28" t="inlineStr">
        <is>
          <t>Unknown</t>
        </is>
      </c>
      <c r="B18" s="28" t="n">
        <v>2024</v>
      </c>
      <c r="C18" s="29" t="n">
        <v>23754.68</v>
      </c>
      <c r="D18" s="28" t="inlineStr">
        <is>
          <t>N/A</t>
        </is>
      </c>
      <c r="E18" s="28" t="inlineStr">
        <is>
          <t>N/A</t>
        </is>
      </c>
      <c r="F18" s="28" t="inlineStr">
        <is>
          <t>NO 1099 FOUND</t>
        </is>
      </c>
      <c r="G18" s="28" t="inlineStr">
        <is>
          <t>Paid $600+ but no matching 1099-NEC on file</t>
        </is>
      </c>
    </row>
    <row r="19">
      <c r="A19" s="28" t="inlineStr">
        <is>
          <t>Unknown</t>
        </is>
      </c>
      <c r="B19" s="28" t="n">
        <v>2025</v>
      </c>
      <c r="C19" s="29" t="n">
        <v>60156.03</v>
      </c>
      <c r="D19" s="28" t="inlineStr">
        <is>
          <t>N/A</t>
        </is>
      </c>
      <c r="E19" s="28" t="inlineStr">
        <is>
          <t>N/A</t>
        </is>
      </c>
      <c r="F19" s="28" t="inlineStr">
        <is>
          <t>NO 1099 FOUND</t>
        </is>
      </c>
      <c r="G19" s="28" t="inlineStr">
        <is>
          <t>Paid $600+ but no matching 1099-NEC on file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2026-05-08T00:46:50Z</dcterms:created>
  <dcterms:modified xmlns:dcterms="http://purl.org/dc/terms/" xmlns:xsi="http://www.w3.org/2001/XMLSchema-instance" xsi:type="dcterms:W3CDTF">2026-05-08T18:53:07Z</dcterms:modified>
  <cp:lastModifiedBy>Nicole Chriqui</cp:lastModifiedBy>
</cp:coreProperties>
</file>