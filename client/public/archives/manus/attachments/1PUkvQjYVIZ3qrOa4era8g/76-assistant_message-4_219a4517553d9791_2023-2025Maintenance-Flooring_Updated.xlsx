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80" yWindow="78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Sheet1!#REF!,Sheet1!#REF!,Sheet1!$4:$4,Sheet1!#REF!,Sheet1!#REF!,Sheet1!#REF!,Sheet1!#REF!,Sheet1!$5:$5,Sheet1!#REF!,Sheet1!#REF!,Sheet1!$6:$6,Sheet1!$7:$7,Sheet1!#REF!,Sheet1!$8:$8,Sheet1!$9:$9,Sheet1!$10:$10</definedName>
    <definedName name="QB_DATA_1" localSheetId="0" hidden="1">Sheet1!$11:$11,Sheet1!#REF!</definedName>
    <definedName name="QB_FORMULA_0" localSheetId="0" hidden="1">Sheet1!$T$12,Sheet1!$V$12,Sheet1!$Z$12,Sheet1!$T$13,Sheet1!$V$13,Sheet1!$Z$13,Sheet1!$T$14,Sheet1!$V$14,Sheet1!$Z$14</definedName>
    <definedName name="QB_ROW_252010" localSheetId="0" hidden="1">Sheet1!$B$2</definedName>
    <definedName name="QB_ROW_252310" localSheetId="0" hidden="1">Sheet1!$B$13</definedName>
    <definedName name="QB_ROW_25301" localSheetId="0" hidden="1">Sheet1!$A$14</definedName>
    <definedName name="QB_ROW_77020" localSheetId="0" hidden="1">Sheet1!$C$3</definedName>
    <definedName name="QB_ROW_77320" localSheetId="0" hidden="1">Sheet1!$C$12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C00000"/>
      <sz val="9"/>
    </font>
    <font>
      <color rgb="00375623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7" borderId="4" applyAlignment="1" pivotButton="0" quotePrefix="0" xfId="0">
      <alignment horizontal="left" vertical="center"/>
    </xf>
    <xf numFmtId="166" fontId="5" fillId="7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14"/>
  <sheetViews>
    <sheetView tabSelected="1" workbookViewId="0">
      <pane xSplit="3" ySplit="1" topLeftCell="D5" activePane="bottomRight" state="frozenSplit"/>
      <selection pane="topRight" activeCell="D1" sqref="D1"/>
      <selection pane="bottomLeft" activeCell="A2" sqref="A2"/>
      <selection pane="bottomRight" activeCell="J14" sqref="J14"/>
    </sheetView>
  </sheetViews>
  <sheetFormatPr baseColWidth="8" defaultRowHeight="15"/>
  <cols>
    <col width="3" customWidth="1" style="1" min="1" max="2"/>
    <col width="26.85546875" customWidth="1" style="1" min="3" max="3"/>
    <col width="2.28515625" customWidth="1" style="1" min="4" max="5"/>
    <col width="11.85546875" bestFit="1" customWidth="1" style="1" min="6" max="6"/>
    <col width="2.28515625" customWidth="1" style="1" min="7" max="7"/>
    <col width="8.7109375" bestFit="1" customWidth="1" style="1" min="8" max="8"/>
    <col width="2.28515625" customWidth="1" style="1" min="9" max="9"/>
    <col width="14" bestFit="1" customWidth="1" style="1" min="10" max="10"/>
    <col width="2.28515625" customWidth="1" style="1" min="11" max="11"/>
    <col width="22.28515625" bestFit="1" customWidth="1" style="1" min="12" max="12"/>
    <col width="2.28515625" customWidth="1" style="1" min="13" max="13"/>
    <col width="30.7109375" customWidth="1" style="1" min="14" max="14"/>
    <col width="2.28515625" customWidth="1" style="1" min="15" max="15"/>
    <col width="3.28515625" bestFit="1" customWidth="1" style="1" min="16" max="16"/>
    <col width="2.28515625" customWidth="1" style="1" min="17" max="17"/>
    <col width="23.85546875" bestFit="1" customWidth="1" style="1" min="18" max="18"/>
    <col width="2.28515625" customWidth="1" style="1" min="19" max="19"/>
    <col width="7.85546875" bestFit="1" customWidth="1" style="1" min="20" max="20"/>
    <col width="2.28515625" customWidth="1" style="1" min="21" max="21"/>
    <col width="7.85546875" bestFit="1" customWidth="1" style="1" min="22" max="22"/>
    <col width="2.28515625" customWidth="1" style="1" min="23" max="23"/>
    <col width="13.85546875" bestFit="1" customWidth="1" style="1" min="24" max="24"/>
    <col width="2.28515625" customWidth="1" style="1" min="25" max="25"/>
    <col width="7.85546875" bestFit="1" customWidth="1" style="1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thickTop="1">
      <c r="A2" s="2" t="n"/>
      <c r="B2" s="2" t="inlineStr">
        <is>
          <t>65200 · Maintenance</t>
        </is>
      </c>
      <c r="C2" s="2" t="n"/>
      <c r="D2" s="2" t="n"/>
      <c r="E2" s="2" t="n"/>
      <c r="F2" s="2" t="n"/>
      <c r="G2" s="2" t="n"/>
      <c r="H2" s="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4" t="n"/>
      <c r="U2" s="2" t="n"/>
      <c r="V2" s="4" t="n"/>
      <c r="W2" s="2" t="n"/>
      <c r="X2" s="4" t="n"/>
      <c r="Y2" s="2" t="n"/>
      <c r="Z2" s="4" t="n"/>
    </row>
    <row r="3">
      <c r="A3" s="2" t="n"/>
      <c r="B3" s="2" t="n"/>
      <c r="C3" s="2" t="inlineStr">
        <is>
          <t>6520-04 · Maintenance-flooring</t>
        </is>
      </c>
      <c r="D3" s="2" t="n"/>
      <c r="E3" s="2" t="n"/>
      <c r="F3" s="2" t="n"/>
      <c r="G3" s="2" t="n"/>
      <c r="H3" s="3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4" t="n"/>
      <c r="U3" s="2" t="n"/>
      <c r="V3" s="4" t="n"/>
      <c r="W3" s="2" t="n"/>
      <c r="X3" s="4" t="n"/>
      <c r="Y3" s="2" t="n"/>
      <c r="Z3" s="4" t="n"/>
    </row>
    <row r="4">
      <c r="A4" s="5" t="n"/>
      <c r="B4" s="5" t="n"/>
      <c r="C4" s="5" t="n"/>
      <c r="D4" s="5" t="n"/>
      <c r="E4" s="5" t="n"/>
      <c r="F4" s="5" t="inlineStr">
        <is>
          <t>Bill</t>
        </is>
      </c>
      <c r="G4" s="5" t="n"/>
      <c r="H4" s="6" t="n">
        <v>45163</v>
      </c>
      <c r="I4" s="5" t="n"/>
      <c r="J4" s="5" t="inlineStr">
        <is>
          <t>H109</t>
        </is>
      </c>
      <c r="K4" s="5" t="n"/>
      <c r="L4" s="5" t="inlineStr">
        <is>
          <t>CARLOS ALBERTO G MEDINA</t>
        </is>
      </c>
      <c r="M4" s="5" t="n"/>
      <c r="N4" s="5" t="inlineStr">
        <is>
          <t>Tile Room</t>
        </is>
      </c>
      <c r="O4" s="5" t="n"/>
      <c r="P4" s="7" t="n"/>
      <c r="Q4" s="5" t="n"/>
      <c r="R4" s="5" t="inlineStr">
        <is>
          <t>2110-00 · Accounts Payable</t>
        </is>
      </c>
      <c r="S4" s="5" t="n"/>
      <c r="T4" s="8" t="n">
        <v>400</v>
      </c>
      <c r="U4" s="5" t="n"/>
      <c r="V4" s="8" t="n"/>
      <c r="W4" s="5" t="n"/>
      <c r="X4" s="8" t="n">
        <v>400</v>
      </c>
      <c r="Y4" s="5" t="n"/>
      <c r="Z4" s="8" t="n">
        <v>8441.68</v>
      </c>
    </row>
    <row r="5">
      <c r="A5" s="5" t="n"/>
      <c r="B5" s="5" t="n"/>
      <c r="C5" s="5" t="n"/>
      <c r="D5" s="5" t="n"/>
      <c r="E5" s="5" t="n"/>
      <c r="F5" s="5" t="inlineStr">
        <is>
          <t>Bill</t>
        </is>
      </c>
      <c r="G5" s="5" t="n"/>
      <c r="H5" s="6" t="n">
        <v>45467</v>
      </c>
      <c r="I5" s="5" t="n"/>
      <c r="J5" s="5" t="inlineStr">
        <is>
          <t>CM061924</t>
        </is>
      </c>
      <c r="K5" s="5" t="n"/>
      <c r="L5" s="5" t="inlineStr">
        <is>
          <t>CARLOS ALBERTO G MEDINA</t>
        </is>
      </c>
      <c r="M5" s="5" t="n"/>
      <c r="N5" s="5" t="inlineStr">
        <is>
          <t>700 W LAUREL #E102</t>
        </is>
      </c>
      <c r="O5" s="5" t="n"/>
      <c r="P5" s="7" t="n"/>
      <c r="Q5" s="5" t="n"/>
      <c r="R5" s="5" t="inlineStr">
        <is>
          <t>2110-00 · Accounts Payable</t>
        </is>
      </c>
      <c r="S5" s="5" t="n"/>
      <c r="T5" s="8" t="n">
        <v>3404.8</v>
      </c>
      <c r="U5" s="5" t="n"/>
      <c r="V5" s="8" t="n"/>
      <c r="W5" s="5" t="n"/>
      <c r="X5" s="8" t="n">
        <v>3404.8</v>
      </c>
      <c r="Y5" s="5" t="n"/>
      <c r="Z5" s="8" t="n">
        <v>3804.8</v>
      </c>
    </row>
    <row r="6">
      <c r="A6" s="5" t="n"/>
      <c r="B6" s="5" t="n"/>
      <c r="C6" s="5" t="n"/>
      <c r="D6" s="5" t="n"/>
      <c r="E6" s="5" t="n"/>
      <c r="F6" s="5" t="inlineStr">
        <is>
          <t>Bill</t>
        </is>
      </c>
      <c r="G6" s="5" t="n"/>
      <c r="H6" s="6" t="n">
        <v>45547</v>
      </c>
      <c r="I6" s="5" t="n"/>
      <c r="J6" s="5" t="inlineStr">
        <is>
          <t>MG081424-L102</t>
        </is>
      </c>
      <c r="K6" s="5" t="n"/>
      <c r="L6" s="5" t="inlineStr">
        <is>
          <t>Miguel Angel Garcia</t>
        </is>
      </c>
      <c r="M6" s="5" t="n"/>
      <c r="N6" s="5" t="inlineStr">
        <is>
          <t>#MG081424-L102</t>
        </is>
      </c>
      <c r="O6" s="5" t="n"/>
      <c r="P6" s="7" t="n"/>
      <c r="Q6" s="5" t="n"/>
      <c r="R6" s="5" t="inlineStr">
        <is>
          <t>2110-00 · Accounts Payable</t>
        </is>
      </c>
      <c r="S6" s="5" t="n"/>
      <c r="T6" s="8" t="n">
        <v>695</v>
      </c>
      <c r="U6" s="5" t="n"/>
      <c r="V6" s="8" t="n"/>
      <c r="W6" s="5" t="n"/>
      <c r="X6" s="8" t="n">
        <v>695</v>
      </c>
      <c r="Y6" s="5" t="n"/>
      <c r="Z6" s="8" t="n">
        <v>9622.610000000001</v>
      </c>
    </row>
    <row r="7">
      <c r="A7" s="5" t="n"/>
      <c r="B7" s="5" t="n"/>
      <c r="C7" s="5" t="n"/>
      <c r="D7" s="5" t="n"/>
      <c r="E7" s="5" t="n"/>
      <c r="F7" s="5" t="inlineStr">
        <is>
          <t>Bill</t>
        </is>
      </c>
      <c r="G7" s="5" t="n"/>
      <c r="H7" s="6" t="n">
        <v>45635</v>
      </c>
      <c r="I7" s="5" t="n"/>
      <c r="J7" s="5" t="inlineStr">
        <is>
          <t>MAG092724WAH</t>
        </is>
      </c>
      <c r="K7" s="5" t="n"/>
      <c r="L7" s="5" t="inlineStr">
        <is>
          <t>Miguel Angel Garcia</t>
        </is>
      </c>
      <c r="M7" s="5" t="n"/>
      <c r="N7" s="5" t="inlineStr">
        <is>
          <t>UNIT L-101</t>
        </is>
      </c>
      <c r="O7" s="5" t="n"/>
      <c r="P7" s="7" t="n"/>
      <c r="Q7" s="5" t="n"/>
      <c r="R7" s="5" t="inlineStr">
        <is>
          <t>2110-00 · Accounts Payable</t>
        </is>
      </c>
      <c r="S7" s="5" t="n"/>
      <c r="T7" s="8" t="n">
        <v>1365</v>
      </c>
      <c r="U7" s="5" t="n"/>
      <c r="V7" s="8" t="n"/>
      <c r="W7" s="5" t="n"/>
      <c r="X7" s="8" t="n">
        <v>1365</v>
      </c>
      <c r="Y7" s="5" t="n"/>
      <c r="Z7" s="8" t="n">
        <v>10987.61</v>
      </c>
    </row>
    <row r="8">
      <c r="A8" s="5" t="n"/>
      <c r="B8" s="5" t="n"/>
      <c r="C8" s="5" t="n"/>
      <c r="D8" s="5" t="n"/>
      <c r="E8" s="5" t="n"/>
      <c r="F8" s="5" t="inlineStr">
        <is>
          <t>Bill</t>
        </is>
      </c>
      <c r="G8" s="5" t="n"/>
      <c r="H8" s="6" t="n">
        <v>45705</v>
      </c>
      <c r="I8" s="5" t="n"/>
      <c r="J8" s="5" t="inlineStr">
        <is>
          <t>MAG010325-A103</t>
        </is>
      </c>
      <c r="K8" s="5" t="n"/>
      <c r="L8" s="5" t="inlineStr">
        <is>
          <t>Miguel Angel Garcia</t>
        </is>
      </c>
      <c r="M8" s="5" t="n"/>
      <c r="N8" s="5" t="inlineStr">
        <is>
          <t>UNIT A103</t>
        </is>
      </c>
      <c r="O8" s="5" t="n"/>
      <c r="P8" s="7" t="n"/>
      <c r="Q8" s="5" t="n"/>
      <c r="R8" s="5" t="inlineStr">
        <is>
          <t>2110-00 · Accounts Payable</t>
        </is>
      </c>
      <c r="S8" s="5" t="n"/>
      <c r="T8" s="8" t="n">
        <v>2407.5</v>
      </c>
      <c r="U8" s="5" t="n"/>
      <c r="V8" s="8" t="n"/>
      <c r="W8" s="5" t="n"/>
      <c r="X8" s="8" t="n">
        <v>2407.5</v>
      </c>
      <c r="Y8" s="5" t="n"/>
      <c r="Z8" s="8" t="n">
        <v>5042.5</v>
      </c>
    </row>
    <row r="9">
      <c r="A9" s="5" t="n"/>
      <c r="B9" s="5" t="n"/>
      <c r="C9" s="5" t="n"/>
      <c r="D9" s="5" t="n"/>
      <c r="E9" s="5" t="n"/>
      <c r="F9" s="5" t="inlineStr">
        <is>
          <t>Bill</t>
        </is>
      </c>
      <c r="G9" s="5" t="n"/>
      <c r="H9" s="6" t="n">
        <v>45891</v>
      </c>
      <c r="I9" s="5" t="n"/>
      <c r="J9" s="5" t="inlineStr">
        <is>
          <t>MG082125</t>
        </is>
      </c>
      <c r="K9" s="5" t="n"/>
      <c r="L9" s="5" t="inlineStr">
        <is>
          <t>Miguel Angel Garcia</t>
        </is>
      </c>
      <c r="M9" s="5" t="n"/>
      <c r="N9" s="5" t="inlineStr">
        <is>
          <t>UNIT# B104</t>
        </is>
      </c>
      <c r="O9" s="5" t="n"/>
      <c r="P9" s="7" t="n"/>
      <c r="Q9" s="5" t="n"/>
      <c r="R9" s="5" t="inlineStr">
        <is>
          <t>2110-00 · Accounts Payable</t>
        </is>
      </c>
      <c r="S9" s="5" t="n"/>
      <c r="T9" s="8" t="n">
        <v>2387.5</v>
      </c>
      <c r="U9" s="5" t="n"/>
      <c r="V9" s="8" t="n"/>
      <c r="W9" s="5" t="n"/>
      <c r="X9" s="8" t="n">
        <v>2387.5</v>
      </c>
      <c r="Y9" s="5" t="n"/>
      <c r="Z9" s="8" t="n">
        <v>7430</v>
      </c>
    </row>
    <row r="10">
      <c r="A10" s="5" t="n"/>
      <c r="B10" s="5" t="n"/>
      <c r="C10" s="5" t="n"/>
      <c r="D10" s="5" t="n"/>
      <c r="E10" s="5" t="n"/>
      <c r="F10" s="5" t="inlineStr">
        <is>
          <t>Bill</t>
        </is>
      </c>
      <c r="G10" s="5" t="n"/>
      <c r="H10" s="6" t="n">
        <v>45910</v>
      </c>
      <c r="I10" s="5" t="n"/>
      <c r="J10" s="5" t="inlineStr">
        <is>
          <t>MAG060325-C104</t>
        </is>
      </c>
      <c r="K10" s="5" t="n"/>
      <c r="L10" s="5" t="inlineStr">
        <is>
          <t>Miguel Angel Garcia</t>
        </is>
      </c>
      <c r="M10" s="5" t="n"/>
      <c r="N10" s="5" t="inlineStr">
        <is>
          <t>UNIT C104</t>
        </is>
      </c>
      <c r="O10" s="5" t="n"/>
      <c r="P10" s="7" t="n"/>
      <c r="Q10" s="5" t="n"/>
      <c r="R10" s="5" t="inlineStr">
        <is>
          <t>2110-00 · Accounts Payable</t>
        </is>
      </c>
      <c r="S10" s="5" t="n"/>
      <c r="T10" s="8" t="n">
        <v>2440</v>
      </c>
      <c r="U10" s="5" t="n"/>
      <c r="V10" s="8" t="n"/>
      <c r="W10" s="5" t="n"/>
      <c r="X10" s="8" t="n">
        <v>2440</v>
      </c>
      <c r="Y10" s="5" t="n"/>
      <c r="Z10" s="8" t="n">
        <v>9870</v>
      </c>
    </row>
    <row r="11" ht="15.75" customHeight="1" thickBot="1">
      <c r="A11" s="5" t="n"/>
      <c r="B11" s="5" t="n"/>
      <c r="C11" s="5" t="n"/>
      <c r="D11" s="5" t="n"/>
      <c r="E11" s="5" t="n"/>
      <c r="F11" s="5" t="inlineStr">
        <is>
          <t>Bill</t>
        </is>
      </c>
      <c r="G11" s="5" t="n"/>
      <c r="H11" s="6" t="n">
        <v>45910</v>
      </c>
      <c r="I11" s="5" t="n"/>
      <c r="J11" s="5" t="inlineStr">
        <is>
          <t>MAG062525-H109</t>
        </is>
      </c>
      <c r="K11" s="5" t="n"/>
      <c r="L11" s="5" t="inlineStr">
        <is>
          <t>Miguel Angel Garcia</t>
        </is>
      </c>
      <c r="M11" s="5" t="n"/>
      <c r="N11" s="5" t="inlineStr">
        <is>
          <t>UNIT H109</t>
        </is>
      </c>
      <c r="O11" s="5" t="n"/>
      <c r="P11" s="7" t="n"/>
      <c r="Q11" s="5" t="n"/>
      <c r="R11" s="5" t="inlineStr">
        <is>
          <t>2110-00 · Accounts Payable</t>
        </is>
      </c>
      <c r="S11" s="5" t="n"/>
      <c r="T11" s="8" t="n">
        <v>1522.5</v>
      </c>
      <c r="U11" s="5" t="n"/>
      <c r="V11" s="8" t="n"/>
      <c r="W11" s="5" t="n"/>
      <c r="X11" s="8" t="n">
        <v>1522.5</v>
      </c>
      <c r="Y11" s="5" t="n"/>
      <c r="Z11" s="8" t="n">
        <v>11392.5</v>
      </c>
    </row>
    <row r="12" ht="15.75" customHeight="1" thickBot="1">
      <c r="A12" s="5" t="n"/>
      <c r="B12" s="5" t="n"/>
      <c r="C12" s="5" t="inlineStr">
        <is>
          <t>Total 6520-04 · Maintenance-flooring</t>
        </is>
      </c>
      <c r="D12" s="5" t="n"/>
      <c r="E12" s="5" t="n"/>
      <c r="F12" s="5" t="n"/>
      <c r="G12" s="5" t="n"/>
      <c r="H12" s="6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9">
        <f>ROUND(SUM(T3:T11),5)</f>
        <v/>
      </c>
      <c r="U12" s="5" t="n"/>
      <c r="V12" s="9">
        <f>ROUND(SUM(V3:V11),5)</f>
        <v/>
      </c>
      <c r="W12" s="5" t="n"/>
      <c r="X12" s="8" t="n"/>
      <c r="Y12" s="5" t="n"/>
      <c r="Z12" s="9">
        <f>#REF!</f>
        <v/>
      </c>
    </row>
    <row r="13" ht="15.75" customHeight="1" thickBot="1">
      <c r="A13" s="5" t="n"/>
      <c r="B13" s="5" t="inlineStr">
        <is>
          <t>Total 65200 · Maintenance</t>
        </is>
      </c>
      <c r="C13" s="5" t="n"/>
      <c r="D13" s="5" t="n"/>
      <c r="E13" s="5" t="n"/>
      <c r="F13" s="5" t="n"/>
      <c r="G13" s="5" t="n"/>
      <c r="H13" s="6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9">
        <f>T12</f>
        <v/>
      </c>
      <c r="U13" s="5" t="n"/>
      <c r="V13" s="9">
        <f>V12</f>
        <v/>
      </c>
      <c r="W13" s="5" t="n"/>
      <c r="X13" s="8" t="n"/>
      <c r="Y13" s="5" t="n"/>
      <c r="Z13" s="9">
        <f>Z12</f>
        <v/>
      </c>
    </row>
    <row r="14" ht="12" customFormat="1" customHeight="1" s="11" thickBot="1">
      <c r="A14" s="2" t="inlineStr">
        <is>
          <t>TOTAL</t>
        </is>
      </c>
      <c r="B14" s="2" t="n"/>
      <c r="C14" s="2" t="n"/>
      <c r="D14" s="2" t="n"/>
      <c r="E14" s="2" t="n"/>
      <c r="F14" s="2" t="n"/>
      <c r="G14" s="2" t="n"/>
      <c r="H14" s="3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10">
        <f>T13</f>
        <v/>
      </c>
      <c r="U14" s="2" t="n"/>
      <c r="V14" s="10">
        <f>V13</f>
        <v/>
      </c>
      <c r="W14" s="2" t="n"/>
      <c r="X14" s="4" t="n"/>
      <c r="Y14" s="2" t="n"/>
      <c r="Z14" s="10">
        <f>Z13</f>
        <v/>
      </c>
    </row>
    <row r="15" ht="15.75" customHeight="1" thickTop="1"/>
  </sheetData>
  <pageMargins left="0.7" right="0.7" top="0.75" bottom="0.75" header="0.1" footer="0.3"/>
  <pageSetup orientation="portrait"/>
  <headerFooter>
    <oddHeader>&amp;L&amp;"Arial,Bold"&amp;8 2:48 PM_x000a_05/07/26_x000a_Cash Basis&amp;C&amp;"Arial,Bold"&amp;10 WILMINGTON ARMS HOUSING LP_x000a_Transaction Detail By Account_x000a_January 2023 through December 2025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235A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5" t="inlineStr">
        <is>
          <t>Flooring — Personnel Payment Summary (2023–2025)</t>
        </is>
      </c>
    </row>
    <row r="2" ht="20" customHeight="1">
      <c r="A2" s="16" t="inlineStr">
        <is>
          <t>Contractor / Payee</t>
        </is>
      </c>
      <c r="B2" s="16" t="inlineStr">
        <is>
          <t>2023 Total</t>
        </is>
      </c>
      <c r="C2" s="16" t="inlineStr">
        <is>
          <t>2024 Total</t>
        </is>
      </c>
      <c r="D2" s="16" t="inlineStr">
        <is>
          <t>2025 Total</t>
        </is>
      </c>
      <c r="E2" s="16" t="inlineStr">
        <is>
          <t>Grand Total</t>
        </is>
      </c>
      <c r="F2" s="16" t="inlineStr">
        <is>
          <t>1099 Status</t>
        </is>
      </c>
    </row>
    <row r="3" ht="30" customHeight="1">
      <c r="A3" s="17" t="inlineStr">
        <is>
          <t>CARLOS ALBERTO G MEDINA</t>
        </is>
      </c>
      <c r="B3" s="18" t="n">
        <v>400</v>
      </c>
      <c r="C3" s="18" t="n">
        <v>3404.8</v>
      </c>
      <c r="D3" s="17" t="n"/>
      <c r="E3" s="18" t="n">
        <v>3804.8</v>
      </c>
      <c r="F3" s="19" t="inlineStr">
        <is>
          <t>2023: MISMATCH (WB=$400.00 / 1099=$6,920.75) | 2024: MATCH</t>
        </is>
      </c>
    </row>
    <row r="4" ht="30" customHeight="1">
      <c r="A4" s="20" t="inlineStr">
        <is>
          <t>Miguel Angel Garcia</t>
        </is>
      </c>
      <c r="B4" s="20" t="n"/>
      <c r="C4" s="21" t="n">
        <v>2060</v>
      </c>
      <c r="D4" s="21" t="n">
        <v>8757.5</v>
      </c>
      <c r="E4" s="21" t="n">
        <v>10817.5</v>
      </c>
      <c r="F4" s="22" t="inlineStr">
        <is>
          <t>2024: MATCH | 2025: MATCH</t>
        </is>
      </c>
    </row>
    <row r="5" ht="22" customHeight="1">
      <c r="A5" s="23" t="inlineStr">
        <is>
          <t>GRAND TOTAL</t>
        </is>
      </c>
      <c r="B5" s="24" t="n">
        <v>400</v>
      </c>
      <c r="C5" s="24" t="n">
        <v>5464.8</v>
      </c>
      <c r="D5" s="24" t="n">
        <v>8757.5</v>
      </c>
      <c r="E5" s="24" t="n">
        <v>14622.3</v>
      </c>
      <c r="F5" s="2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6" customWidth="1" min="4" max="4"/>
    <col width="14" customWidth="1" min="5" max="5"/>
    <col width="16" customWidth="1" min="6" max="6"/>
    <col width="30" customWidth="1" min="7" max="7"/>
  </cols>
  <sheetData>
    <row r="1" ht="28" customHeight="1">
      <c r="A1" s="25" t="inlineStr">
        <is>
          <t>Flooring — 1099-NEC Verification Report</t>
        </is>
      </c>
    </row>
    <row r="2">
      <c r="A2" s="26" t="inlineStr">
        <is>
          <t>Contractor / Payee</t>
        </is>
      </c>
      <c r="B2" s="26" t="inlineStr">
        <is>
          <t>Year</t>
        </is>
      </c>
      <c r="C2" s="26" t="inlineStr">
        <is>
          <t>Workbook Total</t>
        </is>
      </c>
      <c r="D2" s="26" t="inlineStr">
        <is>
          <t>1099-NEC Amount</t>
        </is>
      </c>
      <c r="E2" s="26" t="inlineStr">
        <is>
          <t>Difference</t>
        </is>
      </c>
      <c r="F2" s="26" t="inlineStr">
        <is>
          <t>Status</t>
        </is>
      </c>
      <c r="G2" s="26" t="inlineStr">
        <is>
          <t>Notes</t>
        </is>
      </c>
    </row>
    <row r="3">
      <c r="A3" s="27" t="inlineStr">
        <is>
          <t>CARLOS ALBERTO G MEDINA</t>
        </is>
      </c>
      <c r="B3" s="27" t="n">
        <v>2023</v>
      </c>
      <c r="C3" s="28" t="n">
        <v>400</v>
      </c>
      <c r="D3" s="28" t="n">
        <v>6920.75</v>
      </c>
      <c r="E3" s="28" t="n">
        <v>-6520.75</v>
      </c>
      <c r="F3" s="27" t="inlineStr">
        <is>
          <t>UNDER-REPORTED</t>
        </is>
      </c>
      <c r="G3" s="27" t="inlineStr">
        <is>
          <t>Workbook shows $6,520.75 LESS than 1099</t>
        </is>
      </c>
    </row>
    <row r="4">
      <c r="A4" s="29" t="inlineStr">
        <is>
          <t>CARLOS ALBERTO G MEDINA</t>
        </is>
      </c>
      <c r="B4" s="29" t="n">
        <v>2024</v>
      </c>
      <c r="C4" s="30" t="n">
        <v>3404.8</v>
      </c>
      <c r="D4" s="30" t="n">
        <v>3404.8</v>
      </c>
      <c r="E4" s="30" t="n">
        <v>0</v>
      </c>
      <c r="F4" s="29" t="inlineStr">
        <is>
          <t>MATCH</t>
        </is>
      </c>
      <c r="G4" s="29" t="inlineStr">
        <is>
          <t>Amounts agree</t>
        </is>
      </c>
    </row>
    <row r="5">
      <c r="A5" s="29" t="inlineStr">
        <is>
          <t>Miguel Angel Garcia</t>
        </is>
      </c>
      <c r="B5" s="29" t="n">
        <v>2024</v>
      </c>
      <c r="C5" s="30" t="n">
        <v>2060</v>
      </c>
      <c r="D5" s="30" t="n">
        <v>2060</v>
      </c>
      <c r="E5" s="30" t="n">
        <v>0</v>
      </c>
      <c r="F5" s="29" t="inlineStr">
        <is>
          <t>MATCH</t>
        </is>
      </c>
      <c r="G5" s="29" t="inlineStr">
        <is>
          <t>Amounts agree</t>
        </is>
      </c>
    </row>
    <row r="6">
      <c r="A6" s="29" t="inlineStr">
        <is>
          <t>Miguel Angel Garcia</t>
        </is>
      </c>
      <c r="B6" s="29" t="n">
        <v>2025</v>
      </c>
      <c r="C6" s="30" t="n">
        <v>8757.5</v>
      </c>
      <c r="D6" s="30" t="n">
        <v>8757.5</v>
      </c>
      <c r="E6" s="30" t="n">
        <v>0</v>
      </c>
      <c r="F6" s="29" t="inlineStr">
        <is>
          <t>MATCH</t>
        </is>
      </c>
      <c r="G6" s="29" t="inlineStr">
        <is>
          <t>Amounts agree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2026-05-07T21:47:49Z</dcterms:created>
  <dcterms:modified xmlns:dcterms="http://purl.org/dc/terms/" xmlns:xsi="http://www.w3.org/2001/XMLSchema-instance" xsi:type="dcterms:W3CDTF">2026-05-08T18:53:08Z</dcterms:modified>
  <cp:lastModifiedBy>Nicole Chriqui</cp:lastModifiedBy>
</cp:coreProperties>
</file>