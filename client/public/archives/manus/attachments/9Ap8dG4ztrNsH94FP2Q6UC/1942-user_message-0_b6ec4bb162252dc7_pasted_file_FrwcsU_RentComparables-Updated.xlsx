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1" activeTab="1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21 - Boca Ciega" sheetId="2" state="visible" r:id="rId2"/>
    <sheet xmlns:r="http://schemas.openxmlformats.org/officeDocument/2006/relationships" name="13 - Jefferson" sheetId="3" state="visible" r:id="rId3"/>
    <sheet xmlns:r="http://schemas.openxmlformats.org/officeDocument/2006/relationships" name="18 - Opa Locka" sheetId="4" state="visible" r:id="rId4"/>
    <sheet xmlns:r="http://schemas.openxmlformats.org/officeDocument/2006/relationships" name="14 - Macedonia" sheetId="5" state="visible" r:id="rId5"/>
    <sheet xmlns:r="http://schemas.openxmlformats.org/officeDocument/2006/relationships" name="48 - Coral Village" sheetId="6" state="visible" r:id="rId6"/>
    <sheet xmlns:r="http://schemas.openxmlformats.org/officeDocument/2006/relationships" name="15 - Holiday" sheetId="7" state="visible" r:id="rId7"/>
    <sheet xmlns:r="http://schemas.openxmlformats.org/officeDocument/2006/relationships" name="16 - Cumberland" sheetId="8" state="visible" r:id="rId8"/>
    <sheet xmlns:r="http://schemas.openxmlformats.org/officeDocument/2006/relationships" name="17 - Village Green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\$#,##0"/>
    <numFmt numFmtId="165" formatCode="&quot;$&quot;#,##0"/>
    <numFmt numFmtId="166" formatCode="&quot;$&quot;#,##0.00"/>
  </numFmts>
  <fonts count="68">
    <font>
      <name val="Calibri"/>
      <color theme="1"/>
      <sz val="11"/>
      <scheme val="minor"/>
    </font>
    <font>
      <name val="Calibri"/>
      <b val="1"/>
      <color rgb="FFFFFFFF"/>
      <sz val="14"/>
    </font>
    <font>
      <name val="Calibri"/>
      <b val="1"/>
      <i val="1"/>
      <color rgb="FF595959"/>
      <sz val="12"/>
    </font>
    <font>
      <name val="Calibri"/>
      <b val="1"/>
      <color rgb="FFFFFFFF"/>
      <sz val="11"/>
    </font>
    <font>
      <name val="Calibri"/>
      <b val="1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1F3864"/>
      <sz val="10"/>
    </font>
    <font>
      <name val="Calibri"/>
      <b val="1"/>
      <sz val="9"/>
    </font>
    <font>
      <name val="Calibri"/>
      <sz val="9"/>
    </font>
    <font>
      <name val="Calibri"/>
      <b val="1"/>
      <color rgb="FFFF0000"/>
      <sz val="9"/>
    </font>
    <font>
      <name val="Calibri"/>
      <b val="1"/>
      <color rgb="FFFF7F00"/>
      <sz val="9"/>
    </font>
    <font>
      <name val="Calibri"/>
      <b val="1"/>
      <color rgb="FF7030A0"/>
      <sz val="9"/>
    </font>
    <font>
      <name val="Calibri"/>
      <b val="1"/>
      <color rgb="FF000000"/>
      <sz val="10"/>
    </font>
    <font>
      <name val="Calibri"/>
      <color rgb="FF000000"/>
      <sz val="10"/>
    </font>
    <font>
      <name val="Calibri"/>
      <b val="1"/>
      <color rgb="FFFFFFFF"/>
      <sz val="10"/>
    </font>
    <font>
      <name val="Aptos Narrow"/>
      <b val="1"/>
      <color rgb="FF000000"/>
      <sz val="10"/>
    </font>
    <font>
      <name val="Aptos Narrow"/>
      <color rgb="FF000000"/>
      <sz val="10"/>
    </font>
    <font>
      <name val="Calibri"/>
      <sz val="11"/>
    </font>
    <font>
      <name val="Aptos Narrow"/>
      <b val="1"/>
      <color rgb="FF595959"/>
      <sz val="8"/>
    </font>
    <font>
      <name val="Aptos Narrow"/>
      <b val="1"/>
      <color rgb="FFFFFFFF"/>
      <sz val="11"/>
    </font>
    <font>
      <name val="Aptos Narrow"/>
      <color rgb="FFFFFFFF"/>
      <sz val="9"/>
    </font>
    <font>
      <name val="Aptos Narrow"/>
      <b val="1"/>
      <color rgb="FFFFFFFF"/>
      <sz val="10"/>
    </font>
    <font>
      <name val="Aptos Narrow"/>
      <color rgb="FF000000"/>
      <sz val="9"/>
    </font>
    <font>
      <name val="Corbel"/>
      <b val="1"/>
      <i val="1"/>
      <color theme="0"/>
      <sz val="11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sz val="8"/>
    </font>
    <font>
      <name val="Abadi"/>
      <sz val="12"/>
    </font>
    <font>
      <name val="Abadi"/>
      <b val="1"/>
      <sz val="12"/>
    </font>
    <font>
      <name val="Calibri"/>
      <b val="1"/>
      <sz val="8"/>
    </font>
    <font>
      <name val="Calibri"/>
      <b val="1"/>
      <color theme="0"/>
      <sz val="10"/>
    </font>
    <font>
      <name val="Abadi"/>
      <color theme="0"/>
      <sz val="12"/>
    </font>
    <font>
      <name val="Calibri"/>
      <b val="1"/>
      <color theme="0"/>
      <sz val="9"/>
    </font>
    <font>
      <name val="Calibri"/>
      <b val="1"/>
      <color theme="0"/>
      <sz val="12"/>
    </font>
    <font>
      <name val="Calibri"/>
      <b val="1"/>
      <color rgb="FFFFFF00"/>
      <sz val="10"/>
    </font>
    <font>
      <name val="Calibri"/>
      <color theme="1"/>
      <sz val="11"/>
    </font>
    <font>
      <name val="Calibri"/>
      <b val="1"/>
      <color rgb="FFFFD700"/>
      <sz val="14"/>
    </font>
    <font>
      <name val="Calibri"/>
      <color rgb="FFFFFFFF"/>
      <sz val="10"/>
    </font>
    <font>
      <name val="Calibri"/>
      <b val="1"/>
      <color rgb="FFFFFFFF"/>
      <sz val="12"/>
    </font>
    <font>
      <name val="Calibri"/>
      <color rgb="FFFFFFFF"/>
      <sz val="12"/>
    </font>
    <font>
      <name val="Calibri"/>
      <b val="1"/>
      <color rgb="FFFFFF00"/>
      <sz val="12"/>
    </font>
    <font>
      <name val="Calibri"/>
      <color theme="0"/>
      <sz val="9"/>
    </font>
    <font>
      <name val="Aparajita"/>
      <b val="1"/>
      <color rgb="FFFFFF00"/>
      <sz val="16"/>
    </font>
    <font>
      <name val="Aptos Narrow"/>
      <b val="1"/>
      <color rgb="FF000000"/>
      <sz val="12"/>
    </font>
    <font>
      <name val="Calibri"/>
      <b val="1"/>
      <color rgb="FF000000"/>
      <sz val="12"/>
    </font>
    <font>
      <name val="Calibri"/>
      <color rgb="FF000000"/>
      <sz val="12"/>
    </font>
    <font>
      <name val="Aptos Narrow"/>
      <color rgb="FF000000"/>
      <sz val="12"/>
    </font>
    <font>
      <name val="Aptos Narrow"/>
      <b val="1"/>
      <color rgb="FFFFFFFF"/>
      <sz val="16"/>
    </font>
    <font>
      <name val="Calibri"/>
      <color theme="1"/>
      <sz val="16"/>
      <scheme val="minor"/>
    </font>
    <font>
      <name val="Calibri"/>
      <b val="1"/>
      <color theme="1"/>
      <sz val="12"/>
      <scheme val="minor"/>
    </font>
    <font>
      <name val="Aptos Narrow"/>
      <b val="1"/>
      <color theme="1"/>
      <sz val="12"/>
    </font>
    <font>
      <name val="Aptos Narrow"/>
      <b val="1"/>
      <color theme="6" tint="0.5999938962981048"/>
      <sz val="11"/>
    </font>
    <font>
      <name val="Calibri"/>
      <b val="1"/>
      <color theme="6" tint="0.5999938962981048"/>
      <sz val="11"/>
      <scheme val="minor"/>
    </font>
    <font>
      <name val="Calibri"/>
      <color theme="1"/>
      <sz val="12"/>
      <scheme val="minor"/>
    </font>
    <font>
      <name val="Aparajita"/>
      <b val="1"/>
      <color rgb="FFFFFFFF"/>
      <sz val="14"/>
    </font>
    <font>
      <name val="Aparajita"/>
      <b val="1"/>
      <color theme="0"/>
      <sz val="14"/>
    </font>
    <font>
      <name val="Calibri"/>
      <sz val="12"/>
    </font>
    <font>
      <name val="Calibri"/>
      <color theme="0"/>
      <sz val="12"/>
      <scheme val="minor"/>
    </font>
    <font>
      <name val="Calibri"/>
      <b val="1"/>
      <color rgb="FFFFD700"/>
      <sz val="12"/>
    </font>
    <font/>
    <font>
      <b val="1"/>
      <color rgb="FF000000"/>
      <sz val="10"/>
    </font>
    <font>
      <b val="1"/>
      <color rgb="FFFFFFFF"/>
      <sz val="10"/>
    </font>
    <font>
      <b val="1"/>
      <i val="1"/>
      <color rgb="FF000000"/>
      <sz val="9"/>
    </font>
    <font>
      <b val="1"/>
      <color rgb="FFFFFF00"/>
      <sz val="10"/>
    </font>
    <font>
      <color rgb="FF000000"/>
      <sz val="10"/>
    </font>
    <font>
      <i val="1"/>
      <color rgb="FF666666"/>
      <sz val="9"/>
    </font>
    <font>
      <b val="1"/>
      <color rgb="FF000000"/>
      <sz val="9"/>
    </font>
  </fonts>
  <fills count="31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3" tint="0.7999816888943144"/>
        <bgColor indexed="65"/>
      </patternFill>
    </fill>
    <fill>
      <patternFill patternType="solid">
        <fgColor rgb="FFD6E4F0"/>
      </patternFill>
    </fill>
    <fill>
      <patternFill patternType="solid">
        <fgColor rgb="FFDEEBF7"/>
      </patternFill>
    </fill>
    <fill>
      <patternFill patternType="solid">
        <fgColor rgb="FFC6EFCE"/>
      </patternFill>
    </fill>
    <fill>
      <patternFill patternType="solid">
        <fgColor rgb="FFD9F2DC"/>
      </patternFill>
    </fill>
    <fill>
      <patternFill patternType="solid">
        <fgColor rgb="FFE8F8EB"/>
      </patternFill>
    </fill>
    <fill>
      <patternFill patternType="solid">
        <fgColor rgb="FFDAEEF3"/>
      </patternFill>
    </fill>
    <fill>
      <patternFill patternType="solid">
        <fgColor rgb="FFE2F0FB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6DCE4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C55A11"/>
      </patternFill>
    </fill>
    <fill>
      <patternFill patternType="solid">
        <fgColor rgb="FF375623"/>
      </patternFill>
    </fill>
    <fill>
      <patternFill patternType="solid">
        <fgColor rgb="FFDEEAF1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BDD7EE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4B0082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DCE6F1"/>
      </patternFill>
    </fill>
  </fills>
  <borders count="56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1F3864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BFBFBF"/>
      </right>
      <top style="medium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000000"/>
      </top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medium">
        <color rgb="FF000000"/>
      </top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medium">
        <color rgb="FF000000"/>
      </bottom>
      <diagonal/>
    </border>
    <border>
      <left/>
      <right style="medium">
        <color rgb="FF1F3864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theme="3" tint="-0.249977111117893"/>
      </left>
      <right/>
      <top style="medium">
        <color theme="3" tint="-0.249977111117893"/>
      </top>
      <bottom/>
      <diagonal/>
    </border>
    <border>
      <left/>
      <right/>
      <top style="medium">
        <color theme="3" tint="-0.249977111117893"/>
      </top>
      <bottom/>
      <diagonal/>
    </border>
    <border>
      <left/>
      <right style="medium">
        <color theme="3" tint="-0.249977111117893"/>
      </right>
      <top style="medium">
        <color theme="3" tint="-0.249977111117893"/>
      </top>
      <bottom/>
      <diagonal/>
    </border>
    <border>
      <left style="medium">
        <color theme="3" tint="-0.249977111117893"/>
      </left>
      <right/>
      <top/>
      <bottom/>
      <diagonal/>
    </border>
    <border>
      <left/>
      <right style="medium">
        <color theme="3" tint="-0.249977111117893"/>
      </right>
      <top/>
      <bottom/>
      <diagonal/>
    </border>
    <border>
      <left style="medium">
        <color theme="3" tint="-0.24997711111789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theme="3" tint="-0.249977111117893"/>
      </right>
      <top style="thin">
        <color rgb="FFBFBFBF"/>
      </top>
      <bottom style="thin">
        <color rgb="FFBFBFBF"/>
      </bottom>
      <diagonal/>
    </border>
    <border>
      <left style="medium">
        <color theme="3" tint="-0.249977111117893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medium">
        <color theme="3" tint="-0.249977111117893"/>
      </right>
      <top style="thin">
        <color rgb="FFBFBFBF"/>
      </top>
      <bottom/>
      <diagonal/>
    </border>
    <border>
      <left style="medium">
        <color theme="2" tint="-0.499984740745262"/>
      </left>
      <right/>
      <top style="medium">
        <color theme="2" tint="-0.499984740745262"/>
      </top>
      <bottom/>
      <diagonal/>
    </border>
    <border>
      <left/>
      <right/>
      <top style="medium">
        <color theme="2" tint="-0.499984740745262"/>
      </top>
      <bottom/>
      <diagonal/>
    </border>
    <border>
      <left/>
      <right style="medium">
        <color theme="2" tint="-0.499984740745262"/>
      </right>
      <top style="medium">
        <color theme="2" tint="-0.499984740745262"/>
      </top>
      <bottom/>
      <diagonal/>
    </border>
    <border>
      <left style="medium">
        <color theme="2" tint="-0.499984740745262"/>
      </left>
      <right/>
      <top/>
      <bottom/>
      <diagonal/>
    </border>
    <border>
      <left/>
      <right style="medium">
        <color theme="2" tint="-0.499984740745262"/>
      </right>
      <top/>
      <bottom/>
      <diagonal/>
    </border>
    <border>
      <left style="medium">
        <color theme="2" tint="-0.499984740745262"/>
      </left>
      <right/>
      <top/>
      <bottom style="medium">
        <color theme="2" tint="-0.499984740745262"/>
      </bottom>
      <diagonal/>
    </border>
    <border>
      <left/>
      <right/>
      <top/>
      <bottom style="medium">
        <color theme="2" tint="-0.499984740745262"/>
      </bottom>
      <diagonal/>
    </border>
    <border>
      <left/>
      <right style="medium">
        <color theme="2" tint="-0.499984740745262"/>
      </right>
      <top/>
      <bottom style="medium">
        <color theme="2" tint="-0.499984740745262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theme="3" tint="-0.249977111117893"/>
      </left>
      <right style="medium">
        <color theme="3" tint="-0.249977111117893"/>
      </right>
      <top style="medium">
        <color theme="3" tint="-0.249977111117893"/>
      </top>
      <bottom/>
      <diagonal/>
    </border>
    <border>
      <left style="medium">
        <color theme="3" tint="-0.249977111117893"/>
      </left>
      <right style="medium">
        <color theme="3" tint="-0.249977111117893"/>
      </right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10"/>
  </cellStyleXfs>
  <cellXfs count="477"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3" borderId="1" pivotButton="0" quotePrefix="0" xfId="0"/>
    <xf numFmtId="0" fontId="0" fillId="3" borderId="2" applyAlignment="1" pivotButton="0" quotePrefix="0" xfId="0">
      <alignment horizontal="center"/>
    </xf>
    <xf numFmtId="0" fontId="0" fillId="3" borderId="2" pivotButton="0" quotePrefix="0" xfId="0"/>
    <xf numFmtId="0" fontId="0" fillId="2" borderId="1" pivotButton="0" quotePrefix="0" xfId="0"/>
    <xf numFmtId="0" fontId="0" fillId="4" borderId="1" pivotButton="0" quotePrefix="0" xfId="0"/>
    <xf numFmtId="0" fontId="0" fillId="4" borderId="2" applyAlignment="1" pivotButton="0" quotePrefix="0" xfId="0">
      <alignment horizontal="center"/>
    </xf>
    <xf numFmtId="0" fontId="0" fillId="4" borderId="2" pivotButton="0" quotePrefix="0" xfId="0"/>
    <xf numFmtId="0" fontId="4" fillId="4" borderId="2" pivotButton="0" quotePrefix="0" xfId="0"/>
    <xf numFmtId="0" fontId="3" fillId="16" borderId="2" applyAlignment="1" pivotButton="0" quotePrefix="0" xfId="0">
      <alignment horizontal="center"/>
    </xf>
    <xf numFmtId="0" fontId="0" fillId="0" borderId="10" pivotButton="0" quotePrefix="0" xfId="0"/>
    <xf numFmtId="0" fontId="17" fillId="0" borderId="10" pivotButton="0" quotePrefix="0" xfId="0"/>
    <xf numFmtId="0" fontId="15" fillId="14" borderId="9" applyAlignment="1" pivotButton="0" quotePrefix="0" xfId="0">
      <alignment horizontal="center" vertical="center"/>
    </xf>
    <xf numFmtId="164" fontId="16" fillId="19" borderId="9" applyAlignment="1" pivotButton="0" quotePrefix="0" xfId="0">
      <alignment horizontal="center" vertical="center"/>
    </xf>
    <xf numFmtId="164" fontId="15" fillId="22" borderId="9" applyAlignment="1" pivotButton="0" quotePrefix="0" xfId="0">
      <alignment horizontal="center" vertical="center"/>
    </xf>
    <xf numFmtId="164" fontId="15" fillId="21" borderId="9" applyAlignment="1" pivotButton="0" quotePrefix="0" xfId="0">
      <alignment horizontal="center" vertical="center"/>
    </xf>
    <xf numFmtId="0" fontId="15" fillId="13" borderId="9" applyAlignment="1" pivotButton="0" quotePrefix="0" xfId="0">
      <alignment horizontal="center" vertical="center"/>
    </xf>
    <xf numFmtId="0" fontId="14" fillId="15" borderId="9" applyAlignment="1" pivotButton="0" quotePrefix="0" xfId="0">
      <alignment horizontal="center" vertical="center" wrapText="1"/>
    </xf>
    <xf numFmtId="0" fontId="14" fillId="16" borderId="9" applyAlignment="1" pivotButton="0" quotePrefix="0" xfId="0">
      <alignment horizontal="center" vertical="center" wrapText="1"/>
    </xf>
    <xf numFmtId="0" fontId="14" fillId="17" borderId="9" applyAlignment="1" pivotButton="0" quotePrefix="0" xfId="0">
      <alignment horizontal="center" vertical="center" wrapText="1"/>
    </xf>
    <xf numFmtId="0" fontId="14" fillId="18" borderId="9" applyAlignment="1" pivotButton="0" quotePrefix="0" xfId="0">
      <alignment horizontal="center" vertical="center" wrapText="1"/>
    </xf>
    <xf numFmtId="0" fontId="12" fillId="19" borderId="9" applyAlignment="1" pivotButton="0" quotePrefix="0" xfId="0">
      <alignment horizontal="center" vertical="center" wrapText="1"/>
    </xf>
    <xf numFmtId="0" fontId="13" fillId="19" borderId="9" applyAlignment="1" pivotButton="0" quotePrefix="0" xfId="0">
      <alignment horizontal="center" vertical="center" wrapText="1"/>
    </xf>
    <xf numFmtId="164" fontId="13" fillId="20" borderId="9" applyAlignment="1" pivotButton="0" quotePrefix="0" xfId="0">
      <alignment horizontal="center" vertical="center" wrapText="1"/>
    </xf>
    <xf numFmtId="164" fontId="13" fillId="19" borderId="9" applyAlignment="1" pivotButton="0" quotePrefix="0" xfId="0">
      <alignment horizontal="center" vertical="center" wrapText="1"/>
    </xf>
    <xf numFmtId="164" fontId="12" fillId="21" borderId="9" applyAlignment="1" pivotButton="0" quotePrefix="0" xfId="0">
      <alignment horizontal="center" vertical="center" wrapText="1"/>
    </xf>
    <xf numFmtId="0" fontId="12" fillId="21" borderId="9" applyAlignment="1" pivotButton="0" quotePrefix="0" xfId="0">
      <alignment horizontal="center" vertical="center" wrapText="1"/>
    </xf>
    <xf numFmtId="164" fontId="13" fillId="21" borderId="9" applyAlignment="1" pivotButton="0" quotePrefix="0" xfId="0">
      <alignment horizontal="center" vertical="center" wrapText="1"/>
    </xf>
    <xf numFmtId="165" fontId="17" fillId="0" borderId="10" pivotButton="0" quotePrefix="0" xfId="0"/>
    <xf numFmtId="165" fontId="14" fillId="16" borderId="9" applyAlignment="1" pivotButton="0" quotePrefix="0" xfId="0">
      <alignment horizontal="center" vertical="center" wrapText="1"/>
    </xf>
    <xf numFmtId="164" fontId="14" fillId="16" borderId="9" applyAlignment="1" pivotButton="0" quotePrefix="0" xfId="0">
      <alignment horizontal="center" vertical="center" wrapText="1"/>
    </xf>
    <xf numFmtId="165" fontId="13" fillId="19" borderId="9" applyAlignment="1" pivotButton="0" quotePrefix="0" xfId="0">
      <alignment horizontal="center" vertical="center" wrapText="1"/>
    </xf>
    <xf numFmtId="165" fontId="14" fillId="15" borderId="9" applyAlignment="1" pivotButton="0" quotePrefix="0" xfId="0">
      <alignment horizontal="center" vertical="center" wrapText="1"/>
    </xf>
    <xf numFmtId="0" fontId="13" fillId="20" borderId="9" applyAlignment="1" pivotButton="0" quotePrefix="0" xfId="0">
      <alignment horizontal="center" vertical="center" wrapText="1"/>
    </xf>
    <xf numFmtId="0" fontId="20" fillId="16" borderId="9" applyAlignment="1" pivotButton="0" quotePrefix="0" xfId="0">
      <alignment horizontal="center" vertical="center"/>
    </xf>
    <xf numFmtId="0" fontId="19" fillId="15" borderId="9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9" fillId="22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0" fontId="11" fillId="12" borderId="2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165" fontId="17" fillId="0" borderId="10" applyAlignment="1" pivotButton="0" quotePrefix="0" xfId="0">
      <alignment horizontal="center" vertical="center"/>
    </xf>
    <xf numFmtId="0" fontId="24" fillId="2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8" fillId="7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left" vertical="center" wrapText="1"/>
    </xf>
    <xf numFmtId="0" fontId="8" fillId="12" borderId="2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/>
    </xf>
    <xf numFmtId="0" fontId="26" fillId="8" borderId="2" applyAlignment="1" pivotButton="0" quotePrefix="0" xfId="0">
      <alignment horizontal="center" vertical="center" wrapText="1"/>
    </xf>
    <xf numFmtId="0" fontId="26" fillId="12" borderId="2" applyAlignment="1" pivotButton="0" quotePrefix="0" xfId="0">
      <alignment horizontal="center" vertical="center" wrapText="1"/>
    </xf>
    <xf numFmtId="0" fontId="27" fillId="8" borderId="2" applyAlignment="1" pivotButton="0" quotePrefix="0" xfId="0">
      <alignment horizontal="center" vertical="center" wrapText="1"/>
    </xf>
    <xf numFmtId="0" fontId="27" fillId="12" borderId="2" applyAlignment="1" pivotButton="0" quotePrefix="0" xfId="0">
      <alignment horizontal="center" vertical="center" wrapText="1"/>
    </xf>
    <xf numFmtId="0" fontId="14" fillId="15" borderId="2" applyAlignment="1" pivotButton="0" quotePrefix="0" xfId="0">
      <alignment horizontal="center" vertical="center" wrapText="1"/>
    </xf>
    <xf numFmtId="0" fontId="28" fillId="8" borderId="2" applyAlignment="1" pivotButton="0" quotePrefix="0" xfId="0">
      <alignment horizontal="center" vertical="center" wrapText="1"/>
    </xf>
    <xf numFmtId="0" fontId="28" fillId="12" borderId="2" applyAlignment="1" pivotButton="0" quotePrefix="0" xfId="0">
      <alignment horizontal="center" vertical="center" wrapText="1"/>
    </xf>
    <xf numFmtId="0" fontId="29" fillId="22" borderId="2" applyAlignment="1" pivotButton="0" quotePrefix="0" xfId="0">
      <alignment horizontal="center" vertical="center" wrapText="1"/>
    </xf>
    <xf numFmtId="0" fontId="29" fillId="10" borderId="2" applyAlignment="1" pivotButton="0" quotePrefix="0" xfId="0">
      <alignment horizontal="center" vertical="center" wrapText="1"/>
    </xf>
    <xf numFmtId="0" fontId="29" fillId="11" borderId="2" applyAlignment="1" pivotButton="0" quotePrefix="0" xfId="0">
      <alignment horizontal="center" vertical="center" wrapText="1"/>
    </xf>
    <xf numFmtId="0" fontId="30" fillId="22" borderId="2" applyAlignment="1" pivotButton="0" quotePrefix="0" xfId="0">
      <alignment horizontal="center" vertical="center" wrapText="1"/>
    </xf>
    <xf numFmtId="0" fontId="30" fillId="10" borderId="2" applyAlignment="1" pivotButton="0" quotePrefix="0" xfId="0">
      <alignment horizontal="center" vertical="center" wrapText="1"/>
    </xf>
    <xf numFmtId="0" fontId="30" fillId="11" borderId="2" applyAlignment="1" pivotButton="0" quotePrefix="0" xfId="0">
      <alignment horizontal="center" vertical="center" wrapText="1"/>
    </xf>
    <xf numFmtId="0" fontId="31" fillId="24" borderId="2" applyAlignment="1" pivotButton="0" quotePrefix="0" xfId="0">
      <alignment horizontal="center" vertical="center" wrapText="1"/>
    </xf>
    <xf numFmtId="0" fontId="32" fillId="24" borderId="2" applyAlignment="1" pivotButton="0" quotePrefix="0" xfId="0">
      <alignment horizontal="center" vertical="center" wrapText="1"/>
    </xf>
    <xf numFmtId="0" fontId="33" fillId="24" borderId="2" applyAlignment="1" pivotButton="0" quotePrefix="0" xfId="0">
      <alignment horizontal="center" vertical="center" wrapText="1"/>
    </xf>
    <xf numFmtId="0" fontId="34" fillId="24" borderId="2" applyAlignment="1" pivotButton="0" quotePrefix="0" xfId="0">
      <alignment horizontal="center" vertical="center" wrapText="1"/>
    </xf>
    <xf numFmtId="0" fontId="33" fillId="24" borderId="2" applyAlignment="1" pivotButton="0" quotePrefix="0" xfId="0">
      <alignment horizontal="left" vertical="center" wrapText="1"/>
    </xf>
    <xf numFmtId="0" fontId="14" fillId="17" borderId="11" applyAlignment="1" pivotButton="0" quotePrefix="0" xfId="0">
      <alignment horizontal="center" vertical="center" wrapText="1"/>
    </xf>
    <xf numFmtId="0" fontId="35" fillId="15" borderId="10" applyAlignment="1" pivotButton="0" quotePrefix="0" xfId="0">
      <alignment horizontal="center" vertical="center" wrapText="1"/>
    </xf>
    <xf numFmtId="0" fontId="35" fillId="15" borderId="8" applyAlignment="1" pivotButton="0" quotePrefix="0" xfId="0">
      <alignment horizontal="center" vertical="center" wrapText="1"/>
    </xf>
    <xf numFmtId="0" fontId="8" fillId="6" borderId="13" applyAlignment="1" pivotButton="0" quotePrefix="0" xfId="0">
      <alignment horizontal="center" vertical="center" wrapText="1"/>
    </xf>
    <xf numFmtId="0" fontId="24" fillId="20" borderId="13" applyAlignment="1" pivotButton="0" quotePrefix="0" xfId="0">
      <alignment horizontal="center" vertical="center" wrapText="1"/>
    </xf>
    <xf numFmtId="0" fontId="30" fillId="22" borderId="16" applyAlignment="1" pivotButton="0" quotePrefix="0" xfId="0">
      <alignment horizontal="center" vertical="center" wrapText="1"/>
    </xf>
    <xf numFmtId="0" fontId="24" fillId="20" borderId="16" applyAlignment="1" pivotButton="0" quotePrefix="0" xfId="0">
      <alignment horizontal="center" vertical="center" wrapText="1"/>
    </xf>
    <xf numFmtId="0" fontId="9" fillId="22" borderId="16" applyAlignment="1" pivotButton="0" quotePrefix="0" xfId="0">
      <alignment horizontal="center" vertical="center" wrapText="1"/>
    </xf>
    <xf numFmtId="0" fontId="8" fillId="6" borderId="17" applyAlignment="1" pivotButton="0" quotePrefix="0" xfId="0">
      <alignment horizontal="center" vertical="center" wrapText="1"/>
    </xf>
    <xf numFmtId="0" fontId="24" fillId="20" borderId="17" applyAlignment="1" pivotButton="0" quotePrefix="0" xfId="0">
      <alignment horizontal="center" vertical="center" wrapText="1"/>
    </xf>
    <xf numFmtId="0" fontId="26" fillId="12" borderId="18" applyAlignment="1" pivotButton="0" quotePrefix="0" xfId="0">
      <alignment horizontal="center" vertical="center" wrapText="1"/>
    </xf>
    <xf numFmtId="0" fontId="27" fillId="12" borderId="18" applyAlignment="1" pivotButton="0" quotePrefix="0" xfId="0">
      <alignment horizontal="center" vertical="center" wrapText="1"/>
    </xf>
    <xf numFmtId="0" fontId="28" fillId="12" borderId="18" applyAlignment="1" pivotButton="0" quotePrefix="0" xfId="0">
      <alignment horizontal="center" vertical="center" wrapText="1"/>
    </xf>
    <xf numFmtId="0" fontId="8" fillId="6" borderId="18" applyAlignment="1" pivotButton="0" quotePrefix="0" xfId="0">
      <alignment horizontal="center" vertical="center" wrapText="1"/>
    </xf>
    <xf numFmtId="0" fontId="24" fillId="20" borderId="18" applyAlignment="1" pivotButton="0" quotePrefix="0" xfId="0">
      <alignment horizontal="center" vertical="center" wrapText="1"/>
    </xf>
    <xf numFmtId="0" fontId="8" fillId="12" borderId="18" applyAlignment="1" pivotButton="0" quotePrefix="0" xfId="0">
      <alignment horizontal="center" vertical="center" wrapText="1"/>
    </xf>
    <xf numFmtId="0" fontId="11" fillId="12" borderId="18" applyAlignment="1" pivotButton="0" quotePrefix="0" xfId="0">
      <alignment horizontal="center" vertical="center" wrapText="1"/>
    </xf>
    <xf numFmtId="0" fontId="8" fillId="12" borderId="18" applyAlignment="1" pivotButton="0" quotePrefix="0" xfId="0">
      <alignment horizontal="left" vertical="center" wrapText="1"/>
    </xf>
    <xf numFmtId="0" fontId="25" fillId="22" borderId="2" applyAlignment="1" pivotButton="0" quotePrefix="0" xfId="0">
      <alignment horizontal="center" vertical="center" wrapText="1"/>
    </xf>
    <xf numFmtId="0" fontId="7" fillId="22" borderId="2" applyAlignment="1" pivotButton="0" quotePrefix="0" xfId="0">
      <alignment horizontal="center" vertical="center" wrapText="1"/>
    </xf>
    <xf numFmtId="0" fontId="7" fillId="22" borderId="2" applyAlignment="1" pivotButton="0" quotePrefix="0" xfId="0">
      <alignment horizontal="left" vertical="center" wrapText="1"/>
    </xf>
    <xf numFmtId="0" fontId="25" fillId="10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left" vertical="center" wrapText="1"/>
    </xf>
    <xf numFmtId="0" fontId="25" fillId="11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left" vertical="center" wrapText="1"/>
    </xf>
    <xf numFmtId="0" fontId="26" fillId="7" borderId="12" applyAlignment="1" pivotButton="0" quotePrefix="0" xfId="0">
      <alignment horizontal="center" vertical="center" wrapText="1"/>
    </xf>
    <xf numFmtId="0" fontId="27" fillId="7" borderId="13" applyAlignment="1" pivotButton="0" quotePrefix="0" xfId="0">
      <alignment horizontal="center" vertical="center" wrapText="1"/>
    </xf>
    <xf numFmtId="0" fontId="28" fillId="7" borderId="13" applyAlignment="1" pivotButton="0" quotePrefix="0" xfId="0">
      <alignment horizontal="center" vertical="center" wrapText="1"/>
    </xf>
    <xf numFmtId="0" fontId="26" fillId="7" borderId="13" applyAlignment="1" pivotButton="0" quotePrefix="0" xfId="0">
      <alignment horizontal="center" vertical="center" wrapText="1"/>
    </xf>
    <xf numFmtId="0" fontId="8" fillId="7" borderId="13" applyAlignment="1" pivotButton="0" quotePrefix="0" xfId="0">
      <alignment horizontal="center" vertical="center" wrapText="1"/>
    </xf>
    <xf numFmtId="0" fontId="9" fillId="7" borderId="13" applyAlignment="1" pivotButton="0" quotePrefix="0" xfId="0">
      <alignment horizontal="center" vertical="center" wrapText="1"/>
    </xf>
    <xf numFmtId="0" fontId="8" fillId="7" borderId="13" applyAlignment="1" pivotButton="0" quotePrefix="0" xfId="0">
      <alignment horizontal="left" vertical="center" wrapText="1"/>
    </xf>
    <xf numFmtId="0" fontId="8" fillId="7" borderId="19" applyAlignment="1" pivotButton="0" quotePrefix="0" xfId="0">
      <alignment horizontal="center" vertical="center" wrapText="1"/>
    </xf>
    <xf numFmtId="0" fontId="25" fillId="22" borderId="14" applyAlignment="1" pivotButton="0" quotePrefix="0" xfId="0">
      <alignment horizontal="center" vertical="center" wrapText="1"/>
    </xf>
    <xf numFmtId="0" fontId="7" fillId="22" borderId="20" applyAlignment="1" pivotButton="0" quotePrefix="0" xfId="0">
      <alignment horizontal="center" vertical="center" wrapText="1"/>
    </xf>
    <xf numFmtId="0" fontId="25" fillId="10" borderId="14" applyAlignment="1" pivotButton="0" quotePrefix="0" xfId="0">
      <alignment horizontal="center" vertical="center" wrapText="1"/>
    </xf>
    <xf numFmtId="0" fontId="7" fillId="10" borderId="20" applyAlignment="1" pivotButton="0" quotePrefix="0" xfId="0">
      <alignment horizontal="center" vertical="center" wrapText="1"/>
    </xf>
    <xf numFmtId="0" fontId="25" fillId="11" borderId="14" applyAlignment="1" pivotButton="0" quotePrefix="0" xfId="0">
      <alignment horizontal="center" vertical="center" wrapText="1"/>
    </xf>
    <xf numFmtId="0" fontId="7" fillId="11" borderId="20" applyAlignment="1" pivotButton="0" quotePrefix="0" xfId="0">
      <alignment horizontal="center" vertical="center" wrapText="1"/>
    </xf>
    <xf numFmtId="0" fontId="25" fillId="22" borderId="15" applyAlignment="1" pivotButton="0" quotePrefix="0" xfId="0">
      <alignment horizontal="center" vertical="center" wrapText="1"/>
    </xf>
    <xf numFmtId="0" fontId="29" fillId="22" borderId="16" applyAlignment="1" pivotButton="0" quotePrefix="0" xfId="0">
      <alignment horizontal="center" vertical="center" wrapText="1"/>
    </xf>
    <xf numFmtId="0" fontId="25" fillId="22" borderId="16" applyAlignment="1" pivotButton="0" quotePrefix="0" xfId="0">
      <alignment horizontal="center" vertical="center" wrapText="1"/>
    </xf>
    <xf numFmtId="0" fontId="7" fillId="6" borderId="16" applyAlignment="1" pivotButton="0" quotePrefix="0" xfId="0">
      <alignment horizontal="center" vertical="center" wrapText="1"/>
    </xf>
    <xf numFmtId="0" fontId="7" fillId="22" borderId="16" applyAlignment="1" pivotButton="0" quotePrefix="0" xfId="0">
      <alignment horizontal="center" vertical="center" wrapText="1"/>
    </xf>
    <xf numFmtId="0" fontId="7" fillId="22" borderId="16" applyAlignment="1" pivotButton="0" quotePrefix="0" xfId="0">
      <alignment horizontal="left" vertical="center" wrapText="1"/>
    </xf>
    <xf numFmtId="0" fontId="7" fillId="22" borderId="21" applyAlignment="1" pivotButton="0" quotePrefix="0" xfId="0">
      <alignment horizontal="center" vertical="center" wrapText="1"/>
    </xf>
    <xf numFmtId="0" fontId="26" fillId="9" borderId="17" applyAlignment="1" pivotButton="0" quotePrefix="0" xfId="0">
      <alignment horizontal="center" vertical="center" wrapText="1"/>
    </xf>
    <xf numFmtId="0" fontId="27" fillId="9" borderId="17" applyAlignment="1" pivotButton="0" quotePrefix="0" xfId="0">
      <alignment horizontal="center" vertical="center" wrapText="1"/>
    </xf>
    <xf numFmtId="0" fontId="28" fillId="9" borderId="17" applyAlignment="1" pivotButton="0" quotePrefix="0" xfId="0">
      <alignment horizontal="center" vertical="center" wrapText="1"/>
    </xf>
    <xf numFmtId="0" fontId="8" fillId="9" borderId="17" applyAlignment="1" pivotButton="0" quotePrefix="0" xfId="0">
      <alignment horizontal="center" vertical="center" wrapText="1"/>
    </xf>
    <xf numFmtId="0" fontId="10" fillId="9" borderId="17" applyAlignment="1" pivotButton="0" quotePrefix="0" xfId="0">
      <alignment horizontal="center" vertical="center" wrapText="1"/>
    </xf>
    <xf numFmtId="0" fontId="8" fillId="9" borderId="17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16" borderId="10" applyAlignment="1" pivotButton="0" quotePrefix="0" xfId="0">
      <alignment horizontal="center" vertical="center"/>
    </xf>
    <xf numFmtId="0" fontId="18" fillId="13" borderId="10" applyAlignment="1" pivotButton="0" quotePrefix="0" xfId="0">
      <alignment horizontal="center" vertical="center"/>
    </xf>
    <xf numFmtId="0" fontId="36" fillId="0" borderId="10" applyAlignment="1" pivotButton="0" quotePrefix="0" xfId="0">
      <alignment horizontal="center" vertical="center"/>
    </xf>
    <xf numFmtId="0" fontId="36" fillId="0" borderId="10" applyAlignment="1" pivotButton="0" quotePrefix="0" xfId="0">
      <alignment horizontal="left" vertical="center"/>
    </xf>
    <xf numFmtId="0" fontId="36" fillId="0" borderId="10" pivotButton="0" quotePrefix="0" xfId="0"/>
    <xf numFmtId="0" fontId="36" fillId="0" borderId="5" pivotButton="0" quotePrefix="0" xfId="0"/>
    <xf numFmtId="0" fontId="36" fillId="0" borderId="6" pivotButton="0" quotePrefix="0" xfId="0"/>
    <xf numFmtId="164" fontId="17" fillId="0" borderId="10" applyAlignment="1" pivotButton="0" quotePrefix="0" xfId="0">
      <alignment horizontal="center" vertical="center"/>
    </xf>
    <xf numFmtId="0" fontId="36" fillId="0" borderId="7" pivotButton="0" quotePrefix="0" xfId="0"/>
    <xf numFmtId="0" fontId="36" fillId="0" borderId="8" pivotButton="0" quotePrefix="0" xfId="0"/>
    <xf numFmtId="164" fontId="36" fillId="0" borderId="10" pivotButton="0" quotePrefix="0" xfId="0"/>
    <xf numFmtId="164" fontId="36" fillId="0" borderId="7" pivotButton="0" quotePrefix="0" xfId="0"/>
    <xf numFmtId="164" fontId="36" fillId="0" borderId="8" pivotButton="0" quotePrefix="0" xfId="0"/>
    <xf numFmtId="164" fontId="14" fillId="17" borderId="11" applyAlignment="1" pivotButton="0" quotePrefix="0" xfId="0">
      <alignment horizontal="center" vertical="center" wrapText="1"/>
    </xf>
    <xf numFmtId="164" fontId="24" fillId="20" borderId="2" applyAlignment="1" pivotButton="0" quotePrefix="0" xfId="0">
      <alignment horizontal="center" vertical="center" wrapText="1"/>
    </xf>
    <xf numFmtId="164" fontId="24" fillId="20" borderId="16" applyAlignment="1" pivotButton="0" quotePrefix="0" xfId="0">
      <alignment horizontal="center" vertical="center" wrapText="1"/>
    </xf>
    <xf numFmtId="164" fontId="24" fillId="20" borderId="18" applyAlignment="1" pivotButton="0" quotePrefix="0" xfId="0">
      <alignment horizontal="center" vertical="center" wrapText="1"/>
    </xf>
    <xf numFmtId="164" fontId="14" fillId="15" borderId="9" applyAlignment="1" pivotButton="0" quotePrefix="0" xfId="0">
      <alignment horizontal="center" vertical="center" wrapText="1"/>
    </xf>
    <xf numFmtId="164" fontId="14" fillId="18" borderId="9" applyAlignment="1" pivotButton="0" quotePrefix="0" xfId="0">
      <alignment horizontal="center" vertical="center" wrapText="1"/>
    </xf>
    <xf numFmtId="165" fontId="36" fillId="0" borderId="10" pivotButton="0" quotePrefix="0" xfId="0"/>
    <xf numFmtId="164" fontId="7" fillId="10" borderId="2" applyAlignment="1" pivotButton="0" quotePrefix="0" xfId="0">
      <alignment horizontal="center" vertical="center" wrapText="1"/>
    </xf>
    <xf numFmtId="164" fontId="7" fillId="22" borderId="2" applyAlignment="1" pivotButton="0" quotePrefix="0" xfId="0">
      <alignment horizontal="center" vertical="center" wrapText="1"/>
    </xf>
    <xf numFmtId="164" fontId="8" fillId="12" borderId="18" applyAlignment="1" pivotButton="0" quotePrefix="0" xfId="0">
      <alignment horizontal="center" vertical="center" wrapText="1"/>
    </xf>
    <xf numFmtId="164" fontId="7" fillId="22" borderId="16" applyAlignment="1" pivotButton="0" quotePrefix="0" xfId="0">
      <alignment horizontal="center" vertical="center" wrapText="1"/>
    </xf>
    <xf numFmtId="164" fontId="36" fillId="0" borderId="10" applyAlignment="1" pivotButton="0" quotePrefix="0" xfId="0">
      <alignment horizontal="center" vertical="center"/>
    </xf>
    <xf numFmtId="165" fontId="24" fillId="20" borderId="2" applyAlignment="1" pivotButton="0" quotePrefix="0" xfId="0">
      <alignment horizontal="center" vertical="center" wrapText="1"/>
    </xf>
    <xf numFmtId="165" fontId="7" fillId="10" borderId="2" applyAlignment="1" pivotButton="0" quotePrefix="0" xfId="0">
      <alignment horizontal="center" vertical="center" wrapText="1"/>
    </xf>
    <xf numFmtId="165" fontId="24" fillId="20" borderId="16" applyAlignment="1" pivotButton="0" quotePrefix="0" xfId="0">
      <alignment horizontal="center" vertical="center" wrapText="1"/>
    </xf>
    <xf numFmtId="165" fontId="7" fillId="22" borderId="16" applyAlignment="1" pivotButton="0" quotePrefix="0" xfId="0">
      <alignment horizontal="center" vertical="center" wrapText="1"/>
    </xf>
    <xf numFmtId="165" fontId="24" fillId="20" borderId="18" applyAlignment="1" pivotButton="0" quotePrefix="0" xfId="0">
      <alignment horizontal="center" vertical="center" wrapText="1"/>
    </xf>
    <xf numFmtId="165" fontId="36" fillId="0" borderId="7" pivotButton="0" quotePrefix="0" xfId="0"/>
    <xf numFmtId="165" fontId="8" fillId="12" borderId="18" applyAlignment="1" pivotButton="0" quotePrefix="0" xfId="0">
      <alignment horizontal="center" vertical="center" wrapText="1"/>
    </xf>
    <xf numFmtId="165" fontId="7" fillId="22" borderId="2" applyAlignment="1" pivotButton="0" quotePrefix="0" xfId="0">
      <alignment horizontal="center" vertical="center" wrapText="1"/>
    </xf>
    <xf numFmtId="165" fontId="14" fillId="17" borderId="11" applyAlignment="1" pivotButton="0" quotePrefix="0" xfId="0">
      <alignment horizontal="center" vertical="center" wrapText="1"/>
    </xf>
    <xf numFmtId="165" fontId="7" fillId="11" borderId="2" applyAlignment="1" pivotButton="0" quotePrefix="0" xfId="0">
      <alignment horizontal="center" vertical="center" wrapText="1"/>
    </xf>
    <xf numFmtId="0" fontId="22" fillId="16" borderId="10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/>
    </xf>
    <xf numFmtId="0" fontId="0" fillId="3" borderId="10" pivotButton="0" quotePrefix="0" xfId="0"/>
    <xf numFmtId="0" fontId="0" fillId="2" borderId="10" pivotButton="0" quotePrefix="0" xfId="0"/>
    <xf numFmtId="0" fontId="0" fillId="4" borderId="10" pivotButton="0" quotePrefix="0" xfId="0"/>
    <xf numFmtId="0" fontId="37" fillId="25" borderId="2" applyAlignment="1" pivotButton="0" quotePrefix="0" xfId="0">
      <alignment horizontal="center" vertical="center" wrapText="1"/>
    </xf>
    <xf numFmtId="0" fontId="38" fillId="25" borderId="2" applyAlignment="1" pivotButton="0" quotePrefix="0" xfId="0">
      <alignment horizontal="center" vertical="center" wrapText="1"/>
    </xf>
    <xf numFmtId="0" fontId="39" fillId="25" borderId="2" applyAlignment="1" pivotButton="0" quotePrefix="0" xfId="0">
      <alignment horizontal="center" vertical="center" wrapText="1"/>
    </xf>
    <xf numFmtId="0" fontId="35" fillId="15" borderId="8" applyAlignment="1" pivotButton="0" quotePrefix="0" xfId="0">
      <alignment horizontal="center" vertical="center" wrapText="1"/>
    </xf>
    <xf numFmtId="0" fontId="23" fillId="23" borderId="10" applyAlignment="1" pivotButton="0" quotePrefix="0" xfId="0">
      <alignment horizontal="left" vertical="center" wrapText="1"/>
    </xf>
    <xf numFmtId="0" fontId="6" fillId="5" borderId="10" applyAlignment="1" pivotButton="0" quotePrefix="0" xfId="0">
      <alignment horizontal="center" vertical="center" wrapText="1"/>
    </xf>
    <xf numFmtId="0" fontId="20" fillId="16" borderId="9" applyAlignment="1" pivotButton="0" quotePrefix="0" xfId="0">
      <alignment horizontal="center" vertical="center"/>
    </xf>
    <xf numFmtId="0" fontId="3" fillId="16" borderId="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1" fillId="15" borderId="10" applyAlignment="1" pivotButton="0" quotePrefix="0" xfId="0">
      <alignment horizontal="center" vertical="center"/>
    </xf>
    <xf numFmtId="0" fontId="21" fillId="16" borderId="9" applyAlignment="1" pivotButton="0" quotePrefix="0" xfId="0">
      <alignment horizontal="center" vertical="center"/>
    </xf>
    <xf numFmtId="0" fontId="17" fillId="0" borderId="10" applyAlignment="1" pivotButton="0" quotePrefix="0" xfId="0">
      <alignment horizontal="center" vertical="center"/>
    </xf>
    <xf numFmtId="0" fontId="14" fillId="15" borderId="9" applyAlignment="1" pivotButton="0" quotePrefix="0" xfId="0">
      <alignment horizontal="center" vertical="center" wrapText="1"/>
    </xf>
    <xf numFmtId="0" fontId="14" fillId="15" borderId="2" applyAlignment="1" pivotButton="0" quotePrefix="0" xfId="0">
      <alignment horizontal="center" vertical="center" wrapText="1"/>
    </xf>
    <xf numFmtId="0" fontId="12" fillId="21" borderId="9" applyAlignment="1" pivotButton="0" quotePrefix="0" xfId="0">
      <alignment horizontal="center" vertical="center" wrapText="1"/>
    </xf>
    <xf numFmtId="0" fontId="12" fillId="19" borderId="9" applyAlignment="1" pivotButton="0" quotePrefix="0" xfId="0">
      <alignment horizontal="center" vertical="center" wrapText="1"/>
    </xf>
    <xf numFmtId="0" fontId="14" fillId="15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164" fontId="43" fillId="24" borderId="9" applyAlignment="1" pivotButton="0" quotePrefix="0" xfId="0">
      <alignment horizontal="center" vertical="center"/>
    </xf>
    <xf numFmtId="164" fontId="44" fillId="21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center" vertical="center" wrapText="1"/>
    </xf>
    <xf numFmtId="0" fontId="46" fillId="19" borderId="9" applyAlignment="1" pivotButton="0" quotePrefix="0" xfId="0">
      <alignment horizontal="center" vertical="center" wrapText="1"/>
    </xf>
    <xf numFmtId="164" fontId="46" fillId="20" borderId="9" applyAlignment="1" pivotButton="0" quotePrefix="0" xfId="0">
      <alignment horizontal="center" vertical="center" wrapText="1"/>
    </xf>
    <xf numFmtId="164" fontId="46" fillId="19" borderId="9" applyAlignment="1" pivotButton="0" quotePrefix="0" xfId="0">
      <alignment horizontal="center" vertical="center" wrapText="1"/>
    </xf>
    <xf numFmtId="164" fontId="47" fillId="22" borderId="9" applyAlignment="1" pivotButton="0" quotePrefix="0" xfId="0">
      <alignment horizontal="center" vertical="center"/>
    </xf>
    <xf numFmtId="0" fontId="44" fillId="14" borderId="9" applyAlignment="1" pivotButton="0" quotePrefix="0" xfId="0">
      <alignment horizontal="center" vertical="center"/>
    </xf>
    <xf numFmtId="0" fontId="44" fillId="13" borderId="9" applyAlignment="1" pivotButton="0" quotePrefix="0" xfId="0">
      <alignment horizontal="center" vertical="center"/>
    </xf>
    <xf numFmtId="0" fontId="48" fillId="15" borderId="9" applyAlignment="1" pivotButton="0" quotePrefix="0" xfId="0">
      <alignment horizontal="center" vertical="center"/>
    </xf>
    <xf numFmtId="0" fontId="50" fillId="0" borderId="10" applyAlignment="1" pivotButton="0" quotePrefix="0" xfId="0">
      <alignment horizontal="center" vertical="center"/>
    </xf>
    <xf numFmtId="0" fontId="51" fillId="13" borderId="10" applyAlignment="1" pivotButton="0" quotePrefix="0" xfId="0">
      <alignment horizontal="center" vertical="center"/>
    </xf>
    <xf numFmtId="0" fontId="52" fillId="27" borderId="9" applyAlignment="1" pivotButton="0" quotePrefix="0" xfId="0">
      <alignment horizontal="center" vertical="center"/>
    </xf>
    <xf numFmtId="0" fontId="41" fillId="15" borderId="10" applyAlignment="1" pivotButton="0" quotePrefix="0" xfId="0">
      <alignment horizontal="center" vertical="center" wrapText="1"/>
    </xf>
    <xf numFmtId="0" fontId="55" fillId="16" borderId="9" applyAlignment="1" pivotButton="0" quotePrefix="0" xfId="0">
      <alignment horizontal="center" vertical="center" wrapText="1"/>
    </xf>
    <xf numFmtId="0" fontId="55" fillId="17" borderId="9" applyAlignment="1" pivotButton="0" quotePrefix="0" xfId="0">
      <alignment horizontal="center" vertical="center" wrapText="1"/>
    </xf>
    <xf numFmtId="0" fontId="55" fillId="16" borderId="9" applyAlignment="1" pivotButton="0" quotePrefix="0" xfId="0">
      <alignment horizontal="center" vertical="center"/>
    </xf>
    <xf numFmtId="0" fontId="41" fillId="15" borderId="22" applyAlignment="1" pivotButton="0" quotePrefix="0" xfId="0">
      <alignment horizontal="center" vertical="center" wrapText="1"/>
    </xf>
    <xf numFmtId="0" fontId="54" fillId="0" borderId="10" applyAlignment="1" pivotButton="0" quotePrefix="0" xfId="0">
      <alignment horizontal="center" vertical="center"/>
    </xf>
    <xf numFmtId="0" fontId="55" fillId="16" borderId="26" applyAlignment="1" pivotButton="0" quotePrefix="0" xfId="0">
      <alignment horizontal="center" vertical="center" wrapText="1"/>
    </xf>
    <xf numFmtId="0" fontId="55" fillId="17" borderId="26" applyAlignment="1" pivotButton="0" quotePrefix="0" xfId="0">
      <alignment horizontal="center" vertical="center" wrapText="1"/>
    </xf>
    <xf numFmtId="0" fontId="55" fillId="15" borderId="26" applyAlignment="1" pivotButton="0" quotePrefix="0" xfId="0">
      <alignment horizontal="center" vertical="center" wrapText="1"/>
    </xf>
    <xf numFmtId="0" fontId="55" fillId="18" borderId="27" applyAlignment="1" pivotButton="0" quotePrefix="0" xfId="0">
      <alignment horizontal="center" vertical="center" wrapText="1"/>
    </xf>
    <xf numFmtId="0" fontId="45" fillId="19" borderId="28" applyAlignment="1" pivotButton="0" quotePrefix="0" xfId="0">
      <alignment horizontal="center" vertical="center" wrapText="1"/>
    </xf>
    <xf numFmtId="164" fontId="45" fillId="21" borderId="29" applyAlignment="1" pivotButton="0" quotePrefix="0" xfId="0">
      <alignment horizontal="center" vertical="center" wrapText="1"/>
    </xf>
    <xf numFmtId="0" fontId="45" fillId="19" borderId="30" applyAlignment="1" pivotButton="0" quotePrefix="0" xfId="0">
      <alignment horizontal="center" vertical="center" wrapText="1"/>
    </xf>
    <xf numFmtId="0" fontId="46" fillId="19" borderId="31" applyAlignment="1" pivotButton="0" quotePrefix="0" xfId="0">
      <alignment horizontal="center" vertical="center" wrapText="1"/>
    </xf>
    <xf numFmtId="164" fontId="46" fillId="20" borderId="31" applyAlignment="1" pivotButton="0" quotePrefix="0" xfId="0">
      <alignment horizontal="center" vertical="center" wrapText="1"/>
    </xf>
    <xf numFmtId="164" fontId="46" fillId="19" borderId="31" applyAlignment="1" pivotButton="0" quotePrefix="0" xfId="0">
      <alignment horizontal="center" vertical="center" wrapText="1"/>
    </xf>
    <xf numFmtId="164" fontId="45" fillId="21" borderId="32" applyAlignment="1" pivotButton="0" quotePrefix="0" xfId="0">
      <alignment horizontal="center" vertical="center" wrapText="1"/>
    </xf>
    <xf numFmtId="0" fontId="45" fillId="21" borderId="30" applyAlignment="1" pivotButton="0" quotePrefix="0" xfId="0">
      <alignment horizontal="center" vertical="center" wrapText="1"/>
    </xf>
    <xf numFmtId="164" fontId="46" fillId="21" borderId="31" applyAlignment="1" pivotButton="0" quotePrefix="0" xfId="0">
      <alignment horizontal="center" vertical="center" wrapText="1"/>
    </xf>
    <xf numFmtId="0" fontId="55" fillId="28" borderId="25" applyAlignment="1" pivotButton="0" quotePrefix="0" xfId="0">
      <alignment horizontal="center" vertical="center" wrapText="1"/>
    </xf>
    <xf numFmtId="0" fontId="55" fillId="28" borderId="9" applyAlignment="1" pivotButton="0" quotePrefix="0" xfId="0">
      <alignment horizontal="center" vertical="center" wrapText="1"/>
    </xf>
    <xf numFmtId="0" fontId="56" fillId="29" borderId="26" applyAlignment="1" pivotButton="0" quotePrefix="0" xfId="0">
      <alignment horizontal="center" vertical="center" wrapText="1"/>
    </xf>
    <xf numFmtId="0" fontId="21" fillId="28" borderId="9" applyAlignment="1" pivotButton="0" quotePrefix="0" xfId="0">
      <alignment horizontal="center" vertical="center"/>
    </xf>
    <xf numFmtId="0" fontId="27" fillId="7" borderId="10" applyAlignment="1" pivotButton="0" quotePrefix="0" xfId="0">
      <alignment horizontal="center" vertical="center" wrapText="1"/>
    </xf>
    <xf numFmtId="0" fontId="28" fillId="7" borderId="10" applyAlignment="1" pivotButton="0" quotePrefix="0" xfId="0">
      <alignment horizontal="center" vertical="center" wrapText="1"/>
    </xf>
    <xf numFmtId="0" fontId="26" fillId="7" borderId="10" applyAlignment="1" pivotButton="0" quotePrefix="0" xfId="0">
      <alignment horizontal="center" vertical="center" wrapText="1"/>
    </xf>
    <xf numFmtId="0" fontId="8" fillId="6" borderId="10" applyAlignment="1" pivotButton="0" quotePrefix="0" xfId="0">
      <alignment horizontal="center" vertical="center" wrapText="1"/>
    </xf>
    <xf numFmtId="0" fontId="24" fillId="20" borderId="10" applyAlignment="1" pivotButton="0" quotePrefix="0" xfId="0">
      <alignment horizontal="center" vertical="center" wrapText="1"/>
    </xf>
    <xf numFmtId="0" fontId="8" fillId="7" borderId="10" applyAlignment="1" pivotButton="0" quotePrefix="0" xfId="0">
      <alignment horizontal="center" vertical="center" wrapText="1"/>
    </xf>
    <xf numFmtId="0" fontId="9" fillId="7" borderId="10" applyAlignment="1" pivotButton="0" quotePrefix="0" xfId="0">
      <alignment horizontal="center" vertical="center" wrapText="1"/>
    </xf>
    <xf numFmtId="0" fontId="8" fillId="7" borderId="10" applyAlignment="1" pivotButton="0" quotePrefix="0" xfId="0">
      <alignment horizontal="left" vertical="center" wrapText="1"/>
    </xf>
    <xf numFmtId="0" fontId="30" fillId="22" borderId="10" applyAlignment="1" pivotButton="0" quotePrefix="0" xfId="0">
      <alignment horizontal="center" vertical="center" wrapText="1"/>
    </xf>
    <xf numFmtId="0" fontId="29" fillId="22" borderId="10" applyAlignment="1" pivotButton="0" quotePrefix="0" xfId="0">
      <alignment horizontal="center" vertical="center" wrapText="1"/>
    </xf>
    <xf numFmtId="0" fontId="25" fillId="22" borderId="1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center" vertical="center" wrapText="1"/>
    </xf>
    <xf numFmtId="0" fontId="7" fillId="22" borderId="10" applyAlignment="1" pivotButton="0" quotePrefix="0" xfId="0">
      <alignment horizontal="center" vertical="center" wrapText="1"/>
    </xf>
    <xf numFmtId="0" fontId="9" fillId="22" borderId="10" applyAlignment="1" pivotButton="0" quotePrefix="0" xfId="0">
      <alignment horizontal="center" vertical="center" wrapText="1"/>
    </xf>
    <xf numFmtId="0" fontId="7" fillId="22" borderId="10" applyAlignment="1" pivotButton="0" quotePrefix="0" xfId="0">
      <alignment horizontal="left" vertical="center" wrapText="1"/>
    </xf>
    <xf numFmtId="0" fontId="30" fillId="10" borderId="10" applyAlignment="1" pivotButton="0" quotePrefix="0" xfId="0">
      <alignment horizontal="center" vertical="center" wrapText="1"/>
    </xf>
    <xf numFmtId="0" fontId="29" fillId="10" borderId="10" applyAlignment="1" pivotButton="0" quotePrefix="0" xfId="0">
      <alignment horizontal="center" vertical="center" wrapText="1"/>
    </xf>
    <xf numFmtId="0" fontId="25" fillId="10" borderId="10" applyAlignment="1" pivotButton="0" quotePrefix="0" xfId="0">
      <alignment horizontal="center" vertical="center" wrapText="1"/>
    </xf>
    <xf numFmtId="0" fontId="7" fillId="10" borderId="10" applyAlignment="1" pivotButton="0" quotePrefix="0" xfId="0">
      <alignment horizontal="center" vertical="center" wrapText="1"/>
    </xf>
    <xf numFmtId="0" fontId="9" fillId="10" borderId="10" applyAlignment="1" pivotButton="0" quotePrefix="0" xfId="0">
      <alignment horizontal="center" vertical="center" wrapText="1"/>
    </xf>
    <xf numFmtId="0" fontId="7" fillId="10" borderId="10" applyAlignment="1" pivotButton="0" quotePrefix="0" xfId="0">
      <alignment horizontal="left" vertical="center" wrapText="1"/>
    </xf>
    <xf numFmtId="0" fontId="30" fillId="11" borderId="10" applyAlignment="1" pivotButton="0" quotePrefix="0" xfId="0">
      <alignment horizontal="center" vertical="center" wrapText="1"/>
    </xf>
    <xf numFmtId="0" fontId="29" fillId="11" borderId="10" applyAlignment="1" pivotButton="0" quotePrefix="0" xfId="0">
      <alignment horizontal="center" vertical="center" wrapText="1"/>
    </xf>
    <xf numFmtId="0" fontId="25" fillId="11" borderId="10" applyAlignment="1" pivotButton="0" quotePrefix="0" xfId="0">
      <alignment horizontal="center" vertical="center" wrapText="1"/>
    </xf>
    <xf numFmtId="0" fontId="7" fillId="11" borderId="10" applyAlignment="1" pivotButton="0" quotePrefix="0" xfId="0">
      <alignment horizontal="center" vertical="center" wrapText="1"/>
    </xf>
    <xf numFmtId="0" fontId="9" fillId="11" borderId="10" applyAlignment="1" pivotButton="0" quotePrefix="0" xfId="0">
      <alignment horizontal="center" vertical="center" wrapText="1"/>
    </xf>
    <xf numFmtId="0" fontId="7" fillId="11" borderId="10" applyAlignment="1" pivotButton="0" quotePrefix="0" xfId="0">
      <alignment horizontal="left" vertical="center" wrapText="1"/>
    </xf>
    <xf numFmtId="0" fontId="5" fillId="16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4" applyAlignment="1" pivotButton="0" quotePrefix="0" xfId="0">
      <alignment horizontal="left" vertical="center"/>
    </xf>
    <xf numFmtId="0" fontId="0" fillId="0" borderId="35" applyAlignment="1" pivotButton="0" quotePrefix="0" xfId="0">
      <alignment horizontal="center" vertical="center"/>
    </xf>
    <xf numFmtId="0" fontId="6" fillId="5" borderId="36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left" vertical="center"/>
    </xf>
    <xf numFmtId="0" fontId="0" fillId="0" borderId="37" applyAlignment="1" pivotButton="0" quotePrefix="0" xfId="0">
      <alignment horizontal="center" vertical="center"/>
    </xf>
    <xf numFmtId="0" fontId="23" fillId="23" borderId="36" applyAlignment="1" pivotButton="0" quotePrefix="0" xfId="0">
      <alignment horizontal="left" vertical="center" wrapText="1"/>
    </xf>
    <xf numFmtId="0" fontId="57" fillId="7" borderId="36" applyAlignment="1" pivotButton="0" quotePrefix="0" xfId="0">
      <alignment horizontal="center" vertical="center" wrapText="1"/>
    </xf>
    <xf numFmtId="0" fontId="8" fillId="7" borderId="37" applyAlignment="1" pivotButton="0" quotePrefix="0" xfId="0">
      <alignment horizontal="center" vertical="center" wrapText="1"/>
    </xf>
    <xf numFmtId="0" fontId="27" fillId="8" borderId="10" applyAlignment="1" pivotButton="0" quotePrefix="0" xfId="0">
      <alignment horizontal="center" vertical="center" wrapText="1"/>
    </xf>
    <xf numFmtId="0" fontId="28" fillId="8" borderId="10" applyAlignment="1" pivotButton="0" quotePrefix="0" xfId="0">
      <alignment horizontal="center" vertical="center" wrapText="1"/>
    </xf>
    <xf numFmtId="0" fontId="26" fillId="8" borderId="10" applyAlignment="1" pivotButton="0" quotePrefix="0" xfId="0">
      <alignment horizontal="center" vertical="center" wrapText="1"/>
    </xf>
    <xf numFmtId="0" fontId="8" fillId="8" borderId="10" applyAlignment="1" pivotButton="0" quotePrefix="0" xfId="0">
      <alignment horizontal="center" vertical="center" wrapText="1"/>
    </xf>
    <xf numFmtId="0" fontId="9" fillId="8" borderId="10" applyAlignment="1" pivotButton="0" quotePrefix="0" xfId="0">
      <alignment horizontal="center" vertical="center" wrapText="1"/>
    </xf>
    <xf numFmtId="0" fontId="8" fillId="8" borderId="10" applyAlignment="1" pivotButton="0" quotePrefix="0" xfId="0">
      <alignment horizontal="left" vertical="center" wrapText="1"/>
    </xf>
    <xf numFmtId="0" fontId="27" fillId="9" borderId="10" applyAlignment="1" pivotButton="0" quotePrefix="0" xfId="0">
      <alignment horizontal="center" vertical="center" wrapText="1"/>
    </xf>
    <xf numFmtId="0" fontId="28" fillId="9" borderId="10" applyAlignment="1" pivotButton="0" quotePrefix="0" xfId="0">
      <alignment horizontal="center" vertical="center" wrapText="1"/>
    </xf>
    <xf numFmtId="0" fontId="26" fillId="9" borderId="10" applyAlignment="1" pivotButton="0" quotePrefix="0" xfId="0">
      <alignment horizontal="center" vertical="center" wrapText="1"/>
    </xf>
    <xf numFmtId="0" fontId="8" fillId="9" borderId="10" applyAlignment="1" pivotButton="0" quotePrefix="0" xfId="0">
      <alignment horizontal="center" vertical="center" wrapText="1"/>
    </xf>
    <xf numFmtId="0" fontId="10" fillId="9" borderId="10" applyAlignment="1" pivotButton="0" quotePrefix="0" xfId="0">
      <alignment horizontal="center" vertical="center" wrapText="1"/>
    </xf>
    <xf numFmtId="0" fontId="8" fillId="9" borderId="10" applyAlignment="1" pivotButton="0" quotePrefix="0" xfId="0">
      <alignment horizontal="left" vertical="center" wrapText="1"/>
    </xf>
    <xf numFmtId="0" fontId="14" fillId="25" borderId="17" applyAlignment="1" pivotButton="0" quotePrefix="0" xfId="0">
      <alignment horizontal="center" vertical="center" wrapText="1"/>
    </xf>
    <xf numFmtId="0" fontId="39" fillId="25" borderId="17" applyAlignment="1" pivotButton="0" quotePrefix="0" xfId="0">
      <alignment horizontal="center" vertical="center" wrapText="1"/>
    </xf>
    <xf numFmtId="166" fontId="41" fillId="25" borderId="17" applyAlignment="1" pivotButton="0" quotePrefix="0" xfId="0">
      <alignment horizontal="center" vertical="center" wrapText="1"/>
    </xf>
    <xf numFmtId="0" fontId="26" fillId="12" borderId="10" applyAlignment="1" pivotButton="0" quotePrefix="0" xfId="0">
      <alignment horizontal="center" vertical="center" wrapText="1"/>
    </xf>
    <xf numFmtId="0" fontId="27" fillId="12" borderId="10" applyAlignment="1" pivotButton="0" quotePrefix="0" xfId="0">
      <alignment horizontal="center" vertical="center" wrapText="1"/>
    </xf>
    <xf numFmtId="0" fontId="28" fillId="12" borderId="10" applyAlignment="1" pivotButton="0" quotePrefix="0" xfId="0">
      <alignment horizontal="center" vertical="center" wrapText="1"/>
    </xf>
    <xf numFmtId="0" fontId="8" fillId="12" borderId="10" applyAlignment="1" pivotButton="0" quotePrefix="0" xfId="0">
      <alignment horizontal="center" vertical="center" wrapText="1"/>
    </xf>
    <xf numFmtId="0" fontId="11" fillId="12" borderId="10" applyAlignment="1" pivotButton="0" quotePrefix="0" xfId="0">
      <alignment horizontal="center" vertical="center" wrapText="1"/>
    </xf>
    <xf numFmtId="0" fontId="8" fillId="12" borderId="10" applyAlignment="1" pivotButton="0" quotePrefix="0" xfId="0">
      <alignment horizontal="left" vertical="center" wrapText="1"/>
    </xf>
    <xf numFmtId="0" fontId="57" fillId="7" borderId="33" applyAlignment="1" pivotButton="0" quotePrefix="0" xfId="0">
      <alignment horizontal="center" vertical="center" wrapText="1"/>
    </xf>
    <xf numFmtId="0" fontId="27" fillId="7" borderId="34" applyAlignment="1" pivotButton="0" quotePrefix="0" xfId="0">
      <alignment horizontal="center" vertical="center" wrapText="1"/>
    </xf>
    <xf numFmtId="0" fontId="28" fillId="7" borderId="34" applyAlignment="1" pivotButton="0" quotePrefix="0" xfId="0">
      <alignment horizontal="center" vertical="center" wrapText="1"/>
    </xf>
    <xf numFmtId="0" fontId="26" fillId="7" borderId="34" applyAlignment="1" pivotButton="0" quotePrefix="0" xfId="0">
      <alignment horizontal="center" vertical="center" wrapText="1"/>
    </xf>
    <xf numFmtId="0" fontId="8" fillId="6" borderId="34" applyAlignment="1" pivotButton="0" quotePrefix="0" xfId="0">
      <alignment horizontal="center" vertical="center" wrapText="1"/>
    </xf>
    <xf numFmtId="0" fontId="24" fillId="20" borderId="34" applyAlignment="1" pivotButton="0" quotePrefix="0" xfId="0">
      <alignment horizontal="center" vertical="center" wrapText="1"/>
    </xf>
    <xf numFmtId="0" fontId="8" fillId="7" borderId="34" applyAlignment="1" pivotButton="0" quotePrefix="0" xfId="0">
      <alignment horizontal="center" vertical="center" wrapText="1"/>
    </xf>
    <xf numFmtId="0" fontId="9" fillId="7" borderId="34" applyAlignment="1" pivotButton="0" quotePrefix="0" xfId="0">
      <alignment horizontal="center" vertical="center" wrapText="1"/>
    </xf>
    <xf numFmtId="0" fontId="8" fillId="7" borderId="34" applyAlignment="1" pivotButton="0" quotePrefix="0" xfId="0">
      <alignment horizontal="left" vertical="center" wrapText="1"/>
    </xf>
    <xf numFmtId="0" fontId="8" fillId="7" borderId="35" applyAlignment="1" pivotButton="0" quotePrefix="0" xfId="0">
      <alignment horizontal="center" vertical="center" wrapText="1"/>
    </xf>
    <xf numFmtId="0" fontId="57" fillId="8" borderId="36" applyAlignment="1" pivotButton="0" quotePrefix="0" xfId="0">
      <alignment horizontal="center" vertical="center" wrapText="1"/>
    </xf>
    <xf numFmtId="0" fontId="8" fillId="8" borderId="37" applyAlignment="1" pivotButton="0" quotePrefix="0" xfId="0">
      <alignment horizontal="center" vertical="center" wrapText="1"/>
    </xf>
    <xf numFmtId="0" fontId="57" fillId="9" borderId="36" applyAlignment="1" pivotButton="0" quotePrefix="0" xfId="0">
      <alignment horizontal="center" vertical="center" wrapText="1"/>
    </xf>
    <xf numFmtId="0" fontId="8" fillId="9" borderId="37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3" fillId="15" borderId="38" applyAlignment="1" pivotButton="0" quotePrefix="0" xfId="0">
      <alignment horizontal="center" vertical="center" wrapText="1"/>
    </xf>
    <xf numFmtId="0" fontId="3" fillId="15" borderId="2" applyAlignment="1" pivotButton="0" quotePrefix="0" xfId="0">
      <alignment horizontal="center" vertical="center" wrapText="1"/>
    </xf>
    <xf numFmtId="0" fontId="3" fillId="16" borderId="2" applyAlignment="1" pivotButton="0" quotePrefix="0" xfId="0">
      <alignment horizontal="center" vertical="center" wrapText="1"/>
    </xf>
    <xf numFmtId="0" fontId="3" fillId="17" borderId="2" applyAlignment="1" pivotButton="0" quotePrefix="0" xfId="0">
      <alignment horizontal="center" vertical="center" wrapText="1"/>
    </xf>
    <xf numFmtId="0" fontId="24" fillId="22" borderId="42" applyAlignment="1" pivotButton="0" quotePrefix="0" xfId="0">
      <alignment horizontal="center" vertical="center" wrapText="1"/>
    </xf>
    <xf numFmtId="0" fontId="30" fillId="22" borderId="43" applyAlignment="1" pivotButton="0" quotePrefix="0" xfId="0">
      <alignment horizontal="center" vertical="center" wrapText="1"/>
    </xf>
    <xf numFmtId="0" fontId="29" fillId="22" borderId="43" applyAlignment="1" pivotButton="0" quotePrefix="0" xfId="0">
      <alignment horizontal="center" vertical="center" wrapText="1"/>
    </xf>
    <xf numFmtId="0" fontId="25" fillId="22" borderId="43" applyAlignment="1" pivotButton="0" quotePrefix="0" xfId="0">
      <alignment horizontal="center" vertical="center" wrapText="1"/>
    </xf>
    <xf numFmtId="0" fontId="7" fillId="6" borderId="43" applyAlignment="1" pivotButton="0" quotePrefix="0" xfId="0">
      <alignment horizontal="center" vertical="center" wrapText="1"/>
    </xf>
    <xf numFmtId="0" fontId="24" fillId="20" borderId="43" applyAlignment="1" pivotButton="0" quotePrefix="0" xfId="0">
      <alignment horizontal="center" vertical="center" wrapText="1"/>
    </xf>
    <xf numFmtId="0" fontId="7" fillId="22" borderId="43" applyAlignment="1" pivotButton="0" quotePrefix="0" xfId="0">
      <alignment horizontal="center" vertical="center" wrapText="1"/>
    </xf>
    <xf numFmtId="0" fontId="9" fillId="22" borderId="43" applyAlignment="1" pivotButton="0" quotePrefix="0" xfId="0">
      <alignment horizontal="center" vertical="center" wrapText="1"/>
    </xf>
    <xf numFmtId="0" fontId="7" fillId="22" borderId="43" applyAlignment="1" pivotButton="0" quotePrefix="0" xfId="0">
      <alignment horizontal="left" vertical="center" wrapText="1"/>
    </xf>
    <xf numFmtId="0" fontId="8" fillId="22" borderId="44" applyAlignment="1" pivotButton="0" quotePrefix="0" xfId="0">
      <alignment horizontal="center" vertical="center" wrapText="1"/>
    </xf>
    <xf numFmtId="0" fontId="24" fillId="10" borderId="45" applyAlignment="1" pivotButton="0" quotePrefix="0" xfId="0">
      <alignment horizontal="center" vertical="center" wrapText="1"/>
    </xf>
    <xf numFmtId="0" fontId="8" fillId="10" borderId="46" applyAlignment="1" pivotButton="0" quotePrefix="0" xfId="0">
      <alignment horizontal="center" vertical="center" wrapText="1"/>
    </xf>
    <xf numFmtId="0" fontId="24" fillId="11" borderId="45" applyAlignment="1" pivotButton="0" quotePrefix="0" xfId="0">
      <alignment horizontal="center" vertical="center" wrapText="1"/>
    </xf>
    <xf numFmtId="0" fontId="8" fillId="11" borderId="46" applyAlignment="1" pivotButton="0" quotePrefix="0" xfId="0">
      <alignment horizontal="center" vertical="center" wrapText="1"/>
    </xf>
    <xf numFmtId="0" fontId="24" fillId="22" borderId="45" applyAlignment="1" pivotButton="0" quotePrefix="0" xfId="0">
      <alignment horizontal="center" vertical="center" wrapText="1"/>
    </xf>
    <xf numFmtId="0" fontId="8" fillId="22" borderId="46" applyAlignment="1" pivotButton="0" quotePrefix="0" xfId="0">
      <alignment horizontal="center" vertical="center" wrapText="1"/>
    </xf>
    <xf numFmtId="0" fontId="24" fillId="22" borderId="47" applyAlignment="1" pivotButton="0" quotePrefix="0" xfId="0">
      <alignment horizontal="center" vertical="center" wrapText="1"/>
    </xf>
    <xf numFmtId="0" fontId="30" fillId="22" borderId="48" applyAlignment="1" pivotButton="0" quotePrefix="0" xfId="0">
      <alignment horizontal="center" vertical="center" wrapText="1"/>
    </xf>
    <xf numFmtId="0" fontId="29" fillId="22" borderId="48" applyAlignment="1" pivotButton="0" quotePrefix="0" xfId="0">
      <alignment horizontal="center" vertical="center" wrapText="1"/>
    </xf>
    <xf numFmtId="0" fontId="25" fillId="22" borderId="48" applyAlignment="1" pivotButton="0" quotePrefix="0" xfId="0">
      <alignment horizontal="center" vertical="center" wrapText="1"/>
    </xf>
    <xf numFmtId="0" fontId="7" fillId="6" borderId="48" applyAlignment="1" pivotButton="0" quotePrefix="0" xfId="0">
      <alignment horizontal="center" vertical="center" wrapText="1"/>
    </xf>
    <xf numFmtId="0" fontId="24" fillId="20" borderId="48" applyAlignment="1" pivotButton="0" quotePrefix="0" xfId="0">
      <alignment horizontal="center" vertical="center" wrapText="1"/>
    </xf>
    <xf numFmtId="0" fontId="7" fillId="22" borderId="48" applyAlignment="1" pivotButton="0" quotePrefix="0" xfId="0">
      <alignment horizontal="center" vertical="center" wrapText="1"/>
    </xf>
    <xf numFmtId="0" fontId="9" fillId="22" borderId="48" applyAlignment="1" pivotButton="0" quotePrefix="0" xfId="0">
      <alignment horizontal="center" vertical="center" wrapText="1"/>
    </xf>
    <xf numFmtId="0" fontId="7" fillId="22" borderId="48" applyAlignment="1" pivotButton="0" quotePrefix="0" xfId="0">
      <alignment horizontal="left" vertical="center" wrapText="1"/>
    </xf>
    <xf numFmtId="0" fontId="8" fillId="22" borderId="49" applyAlignment="1" pivotButton="0" quotePrefix="0" xfId="0">
      <alignment horizontal="center" vertical="center" wrapText="1"/>
    </xf>
    <xf numFmtId="0" fontId="58" fillId="26" borderId="10" applyAlignment="1" pivotButton="0" quotePrefix="0" xfId="0">
      <alignment horizontal="center" vertical="center"/>
    </xf>
    <xf numFmtId="0" fontId="59" fillId="25" borderId="40" applyAlignment="1" pivotButton="0" quotePrefix="0" xfId="0">
      <alignment horizontal="center" vertical="center" wrapText="1"/>
    </xf>
    <xf numFmtId="0" fontId="40" fillId="25" borderId="17" applyAlignment="1" pivotButton="0" quotePrefix="0" xfId="0">
      <alignment horizontal="center" vertical="center" wrapText="1"/>
    </xf>
    <xf numFmtId="0" fontId="34" fillId="24" borderId="17" applyAlignment="1" pivotButton="0" quotePrefix="0" xfId="0">
      <alignment horizontal="center" vertical="center" wrapText="1"/>
    </xf>
    <xf numFmtId="0" fontId="58" fillId="26" borderId="10" applyAlignment="1" pivotButton="0" quotePrefix="0" xfId="0">
      <alignment horizontal="center" vertical="center"/>
    </xf>
    <xf numFmtId="0" fontId="58" fillId="24" borderId="1" applyAlignment="1" pivotButton="0" quotePrefix="0" xfId="0">
      <alignment horizontal="center" vertical="center"/>
    </xf>
    <xf numFmtId="0" fontId="3" fillId="25" borderId="17" applyAlignment="1" pivotButton="0" quotePrefix="0" xfId="0">
      <alignment horizontal="center" vertical="center" wrapText="1"/>
    </xf>
    <xf numFmtId="0" fontId="42" fillId="24" borderId="17" applyAlignment="1" pivotButton="0" quotePrefix="0" xfId="0">
      <alignment horizontal="left" vertical="center" wrapText="1"/>
    </xf>
    <xf numFmtId="0" fontId="3" fillId="15" borderId="39" applyAlignment="1" pivotButton="0" quotePrefix="0" xfId="0">
      <alignment horizontal="center" vertical="center" wrapText="1"/>
    </xf>
    <xf numFmtId="0" fontId="34" fillId="24" borderId="41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34" pivotButton="0" quotePrefix="0" xfId="0"/>
    <xf numFmtId="0" fontId="58" fillId="24" borderId="10" applyAlignment="1" pivotButton="0" quotePrefix="0" xfId="0">
      <alignment horizontal="center" vertical="center"/>
    </xf>
    <xf numFmtId="0" fontId="49" fillId="0" borderId="5" pivotButton="0" quotePrefix="0" xfId="0"/>
    <xf numFmtId="0" fontId="49" fillId="0" borderId="6" pivotButton="0" quotePrefix="0" xfId="0"/>
    <xf numFmtId="0" fontId="53" fillId="27" borderId="5" pivotButton="0" quotePrefix="0" xfId="0"/>
    <xf numFmtId="0" fontId="53" fillId="27" borderId="6" pivotButton="0" quotePrefix="0" xfId="0"/>
    <xf numFmtId="0" fontId="54" fillId="0" borderId="10" pivotButton="0" quotePrefix="0" xfId="0"/>
    <xf numFmtId="0" fontId="54" fillId="0" borderId="22" pivotButton="0" quotePrefix="0" xfId="0"/>
    <xf numFmtId="0" fontId="54" fillId="0" borderId="8" pivotButton="0" quotePrefix="0" xfId="0"/>
    <xf numFmtId="0" fontId="0" fillId="0" borderId="10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2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16" borderId="52" applyAlignment="1" pivotButton="0" quotePrefix="0" xfId="0">
      <alignment horizontal="center" vertical="center"/>
    </xf>
    <xf numFmtId="0" fontId="0" fillId="0" borderId="35" pivotButton="0" quotePrefix="0" xfId="0"/>
    <xf numFmtId="0" fontId="6" fillId="5" borderId="53" applyAlignment="1" pivotButton="0" quotePrefix="0" xfId="0">
      <alignment horizontal="center" vertical="center" wrapText="1"/>
    </xf>
    <xf numFmtId="0" fontId="0" fillId="0" borderId="37" pivotButton="0" quotePrefix="0" xfId="0"/>
    <xf numFmtId="0" fontId="23" fillId="23" borderId="53" applyAlignment="1" pivotButton="0" quotePrefix="0" xfId="0">
      <alignment horizontal="left" vertical="center" wrapText="1"/>
    </xf>
    <xf numFmtId="0" fontId="0" fillId="0" borderId="22" pivotButton="0" quotePrefix="0" xfId="0"/>
    <xf numFmtId="0" fontId="41" fillId="15" borderId="8" applyAlignment="1" pivotButton="0" quotePrefix="0" xfId="0">
      <alignment horizontal="center" vertical="center" wrapText="1"/>
    </xf>
    <xf numFmtId="0" fontId="59" fillId="25" borderId="2" applyAlignment="1" pivotButton="0" quotePrefix="0" xfId="0">
      <alignment horizontal="center" vertical="center" wrapText="1"/>
    </xf>
    <xf numFmtId="0" fontId="41" fillId="25" borderId="2" applyAlignment="1" pivotButton="0" quotePrefix="0" xfId="0">
      <alignment horizontal="center" vertical="center" wrapText="1"/>
    </xf>
    <xf numFmtId="0" fontId="60" fillId="0" borderId="10" pivotButton="0" quotePrefix="0" xfId="0"/>
    <xf numFmtId="0" fontId="61" fillId="13" borderId="10" applyAlignment="1" pivotButton="0" quotePrefix="0" xfId="0">
      <alignment horizontal="left" vertical="center" wrapText="1"/>
    </xf>
    <xf numFmtId="0" fontId="60" fillId="0" borderId="0" pivotButton="0" quotePrefix="0" xfId="0"/>
    <xf numFmtId="0" fontId="60" fillId="0" borderId="9" pivotButton="0" quotePrefix="0" xfId="0"/>
    <xf numFmtId="0" fontId="62" fillId="15" borderId="5" applyAlignment="1" pivotButton="0" quotePrefix="0" xfId="0">
      <alignment horizontal="left" vertical="center" wrapText="1"/>
    </xf>
    <xf numFmtId="0" fontId="63" fillId="30" borderId="10" applyAlignment="1" pivotButton="0" quotePrefix="0" xfId="0">
      <alignment horizontal="left" vertical="center" wrapText="1"/>
    </xf>
    <xf numFmtId="0" fontId="62" fillId="16" borderId="0" applyAlignment="1" pivotButton="0" quotePrefix="0" xfId="0">
      <alignment horizontal="center" vertical="center"/>
    </xf>
    <xf numFmtId="164" fontId="61" fillId="14" borderId="9" applyAlignment="1" pivotButton="0" quotePrefix="0" xfId="0">
      <alignment horizontal="center" vertical="center"/>
    </xf>
    <xf numFmtId="164" fontId="64" fillId="0" borderId="9" applyAlignment="1" pivotButton="0" quotePrefix="0" xfId="0">
      <alignment horizontal="center" vertical="center"/>
    </xf>
    <xf numFmtId="164" fontId="65" fillId="22" borderId="9" applyAlignment="1" pivotButton="0" quotePrefix="0" xfId="0">
      <alignment horizontal="center" vertical="center"/>
    </xf>
    <xf numFmtId="0" fontId="61" fillId="21" borderId="10" applyAlignment="1" pivotButton="0" quotePrefix="0" xfId="0">
      <alignment horizontal="center" vertical="center"/>
    </xf>
    <xf numFmtId="164" fontId="61" fillId="13" borderId="9" applyAlignment="1" pivotButton="0" quotePrefix="0" xfId="0">
      <alignment horizontal="center" vertical="center"/>
    </xf>
    <xf numFmtId="164" fontId="60" fillId="0" borderId="10" pivotButton="0" quotePrefix="0" xfId="0"/>
    <xf numFmtId="0" fontId="60" fillId="0" borderId="8" pivotButton="0" quotePrefix="0" xfId="0"/>
    <xf numFmtId="0" fontId="64" fillId="15" borderId="7" applyAlignment="1" pivotButton="0" quotePrefix="0" xfId="0">
      <alignment horizontal="left" vertical="center" wrapText="1"/>
    </xf>
    <xf numFmtId="0" fontId="62" fillId="17" borderId="0" applyAlignment="1" pivotButton="0" quotePrefix="0" xfId="0">
      <alignment horizontal="center" vertical="center"/>
    </xf>
    <xf numFmtId="0" fontId="62" fillId="15" borderId="0" applyAlignment="1" pivotButton="0" quotePrefix="0" xfId="0">
      <alignment horizontal="center" vertical="center"/>
    </xf>
    <xf numFmtId="0" fontId="62" fillId="18" borderId="10" applyAlignment="1" pivotButton="0" quotePrefix="0" xfId="0">
      <alignment horizontal="center" vertical="center"/>
    </xf>
    <xf numFmtId="0" fontId="61" fillId="19" borderId="9" applyAlignment="1" pivotButton="0" quotePrefix="0" xfId="0">
      <alignment horizontal="center" vertical="center"/>
    </xf>
    <xf numFmtId="0" fontId="65" fillId="19" borderId="9" applyAlignment="1" pivotButton="0" quotePrefix="0" xfId="0">
      <alignment horizontal="center" vertical="center"/>
    </xf>
    <xf numFmtId="164" fontId="65" fillId="19" borderId="9" applyAlignment="1" pivotButton="0" quotePrefix="0" xfId="0">
      <alignment horizontal="center" vertical="center"/>
    </xf>
    <xf numFmtId="164" fontId="65" fillId="20" borderId="9" applyAlignment="1" pivotButton="0" quotePrefix="0" xfId="0">
      <alignment horizontal="center" vertical="center"/>
    </xf>
    <xf numFmtId="0" fontId="66" fillId="13" borderId="0" applyAlignment="1" pivotButton="0" quotePrefix="0" xfId="0">
      <alignment horizontal="left" vertical="center" wrapText="1"/>
    </xf>
    <xf numFmtId="164" fontId="60" fillId="0" borderId="9" pivotButton="0" quotePrefix="0" xfId="0"/>
    <xf numFmtId="164" fontId="64" fillId="15" borderId="10" applyAlignment="1" pivotButton="0" quotePrefix="0" xfId="0">
      <alignment horizontal="left" vertical="center" wrapText="1"/>
    </xf>
    <xf numFmtId="164" fontId="62" fillId="16" borderId="10" applyAlignment="1" pivotButton="0" quotePrefix="0" xfId="0">
      <alignment horizontal="center" vertical="center"/>
    </xf>
    <xf numFmtId="0" fontId="62" fillId="17" borderId="10" applyAlignment="1" pivotButton="0" quotePrefix="0" xfId="0">
      <alignment horizontal="center" vertical="center"/>
    </xf>
    <xf numFmtId="0" fontId="65" fillId="19" borderId="11" applyAlignment="1" pivotButton="0" quotePrefix="0" xfId="0">
      <alignment horizontal="center" vertical="center"/>
    </xf>
    <xf numFmtId="0" fontId="65" fillId="20" borderId="10" applyAlignment="1" pivotButton="0" quotePrefix="0" xfId="0">
      <alignment horizontal="center" vertical="center"/>
    </xf>
    <xf numFmtId="164" fontId="61" fillId="19" borderId="9" applyAlignment="1" pivotButton="0" quotePrefix="0" xfId="0">
      <alignment horizontal="center" vertical="center"/>
    </xf>
    <xf numFmtId="165" fontId="60" fillId="0" borderId="10" pivotButton="0" quotePrefix="0" xfId="0"/>
    <xf numFmtId="164" fontId="61" fillId="14" borderId="10" applyAlignment="1" pivotButton="0" quotePrefix="0" xfId="0">
      <alignment horizontal="center" vertical="center"/>
    </xf>
    <xf numFmtId="164" fontId="64" fillId="0" borderId="10" applyAlignment="1" pivotButton="0" quotePrefix="0" xfId="0">
      <alignment horizontal="center" vertical="center"/>
    </xf>
    <xf numFmtId="164" fontId="65" fillId="22" borderId="10" applyAlignment="1" pivotButton="0" quotePrefix="0" xfId="0">
      <alignment horizontal="center" vertical="center"/>
    </xf>
    <xf numFmtId="164" fontId="60" fillId="0" borderId="7" pivotButton="0" quotePrefix="0" xfId="0"/>
    <xf numFmtId="0" fontId="60" fillId="0" borderId="7" pivotButton="0" quotePrefix="0" xfId="0"/>
    <xf numFmtId="0" fontId="64" fillId="15" borderId="10" applyAlignment="1" pivotButton="0" quotePrefix="0" xfId="0">
      <alignment horizontal="left" vertical="center" wrapText="1"/>
    </xf>
    <xf numFmtId="0" fontId="62" fillId="16" borderId="9" applyAlignment="1" pivotButton="0" quotePrefix="0" xfId="0">
      <alignment horizontal="center" vertical="center"/>
    </xf>
    <xf numFmtId="164" fontId="62" fillId="16" borderId="9" applyAlignment="1" pivotButton="0" quotePrefix="0" xfId="0">
      <alignment horizontal="center" vertical="center"/>
    </xf>
    <xf numFmtId="164" fontId="62" fillId="17" borderId="9" applyAlignment="1" pivotButton="0" quotePrefix="0" xfId="0">
      <alignment horizontal="center" vertical="center"/>
    </xf>
    <xf numFmtId="164" fontId="62" fillId="15" borderId="9" applyAlignment="1" pivotButton="0" quotePrefix="0" xfId="0">
      <alignment horizontal="center" vertical="center"/>
    </xf>
    <xf numFmtId="164" fontId="61" fillId="19" borderId="10" applyAlignment="1" pivotButton="0" quotePrefix="0" xfId="0">
      <alignment horizontal="center" vertical="center"/>
    </xf>
    <xf numFmtId="0" fontId="65" fillId="19" borderId="10" applyAlignment="1" pivotButton="0" quotePrefix="0" xfId="0">
      <alignment horizontal="center" vertical="center"/>
    </xf>
    <xf numFmtId="164" fontId="65" fillId="19" borderId="10" applyAlignment="1" pivotButton="0" quotePrefix="0" xfId="0">
      <alignment horizontal="center" vertical="center"/>
    </xf>
    <xf numFmtId="0" fontId="61" fillId="19" borderId="7" applyAlignment="1" pivotButton="0" quotePrefix="0" xfId="0">
      <alignment horizontal="center" vertical="center"/>
    </xf>
    <xf numFmtId="0" fontId="65" fillId="19" borderId="7" applyAlignment="1" pivotButton="0" quotePrefix="0" xfId="0">
      <alignment horizontal="center" vertical="center"/>
    </xf>
    <xf numFmtId="164" fontId="65" fillId="19" borderId="7" applyAlignment="1" pivotButton="0" quotePrefix="0" xfId="0">
      <alignment horizontal="center" vertical="center"/>
    </xf>
    <xf numFmtId="0" fontId="65" fillId="20" borderId="7" applyAlignment="1" pivotButton="0" quotePrefix="0" xfId="0">
      <alignment horizontal="center" vertical="center"/>
    </xf>
    <xf numFmtId="164" fontId="65" fillId="19" borderId="8" applyAlignment="1" pivotButton="0" quotePrefix="0" xfId="0">
      <alignment horizontal="center" vertical="center"/>
    </xf>
    <xf numFmtId="0" fontId="66" fillId="13" borderId="10" applyAlignment="1" pivotButton="0" quotePrefix="0" xfId="0">
      <alignment horizontal="left" vertical="center" wrapText="1"/>
    </xf>
    <xf numFmtId="164" fontId="64" fillId="15" borderId="9" applyAlignment="1" pivotButton="0" quotePrefix="0" xfId="0">
      <alignment horizontal="left" vertical="center" wrapText="1"/>
    </xf>
    <xf numFmtId="165" fontId="61" fillId="19" borderId="10" applyAlignment="1" pivotButton="0" quotePrefix="0" xfId="0">
      <alignment horizontal="center" vertical="center"/>
    </xf>
    <xf numFmtId="165" fontId="65" fillId="19" borderId="10" applyAlignment="1" pivotButton="0" quotePrefix="0" xfId="0">
      <alignment horizontal="center" vertical="center"/>
    </xf>
    <xf numFmtId="0" fontId="61" fillId="19" borderId="10" applyAlignment="1" pivotButton="0" quotePrefix="0" xfId="0">
      <alignment horizontal="center" vertical="center"/>
    </xf>
    <xf numFmtId="0" fontId="67" fillId="30" borderId="0" applyAlignment="1" pivotButton="0" quotePrefix="0" xfId="0">
      <alignment horizontal="center" vertical="center"/>
    </xf>
    <xf numFmtId="0" fontId="62" fillId="18" borderId="0" applyAlignment="1" pivotButton="0" quotePrefix="0" xfId="0">
      <alignment horizontal="center" vertical="center"/>
    </xf>
    <xf numFmtId="164" fontId="61" fillId="21" borderId="9" applyAlignment="1" pivotButton="0" quotePrefix="0" xfId="0">
      <alignment horizontal="center" vertical="center"/>
    </xf>
    <xf numFmtId="164" fontId="65" fillId="21" borderId="9" applyAlignment="1" pivotButton="0" quotePrefix="0" xfId="0">
      <alignment horizontal="center" vertical="center"/>
    </xf>
    <xf numFmtId="164" fontId="61" fillId="21" borderId="10" applyAlignment="1" pivotButton="0" quotePrefix="0" xfId="0">
      <alignment horizontal="center" vertical="center"/>
    </xf>
    <xf numFmtId="164" fontId="65" fillId="21" borderId="10" applyAlignment="1" pivotButton="0" quotePrefix="0" xfId="0">
      <alignment horizontal="center" vertical="center"/>
    </xf>
    <xf numFmtId="0" fontId="65" fillId="21" borderId="10" applyAlignment="1" pivotButton="0" quotePrefix="0" xfId="0">
      <alignment horizontal="center" vertical="center"/>
    </xf>
    <xf numFmtId="0" fontId="67" fillId="30" borderId="11" applyAlignment="1" pivotButton="0" quotePrefix="0" xfId="0">
      <alignment horizontal="center" vertical="center"/>
    </xf>
    <xf numFmtId="0" fontId="67" fillId="30" borderId="10" applyAlignment="1" pivotButton="0" quotePrefix="0" xfId="0">
      <alignment horizontal="center" vertical="center"/>
    </xf>
    <xf numFmtId="0" fontId="62" fillId="15" borderId="10" applyAlignment="1" pivotButton="0" quotePrefix="0" xfId="0">
      <alignment horizontal="center" vertical="center"/>
    </xf>
    <xf numFmtId="164" fontId="67" fillId="30" borderId="10" applyAlignment="1" pivotButton="0" quotePrefix="0" xfId="0">
      <alignment horizontal="center" vertical="center"/>
    </xf>
    <xf numFmtId="164" fontId="62" fillId="15" borderId="10" applyAlignment="1" pivotButton="0" quotePrefix="0" xfId="0">
      <alignment horizontal="center" vertical="center"/>
    </xf>
    <xf numFmtId="0" fontId="61" fillId="13" borderId="7" applyAlignment="1" pivotButton="0" quotePrefix="0" xfId="0">
      <alignment horizontal="center" vertical="center"/>
    </xf>
    <xf numFmtId="0" fontId="64" fillId="0" borderId="7" applyAlignment="1" pivotButton="0" quotePrefix="0" xfId="0">
      <alignment horizontal="center" vertical="center"/>
    </xf>
    <xf numFmtId="0" fontId="65" fillId="22" borderId="7" applyAlignment="1" pivotButton="0" quotePrefix="0" xfId="0">
      <alignment horizontal="center" vertical="center"/>
    </xf>
    <xf numFmtId="0" fontId="61" fillId="21" borderId="7" applyAlignment="1" pivotButton="0" quotePrefix="0" xfId="0">
      <alignment horizontal="center" vertical="center"/>
    </xf>
    <xf numFmtId="0" fontId="64" fillId="15" borderId="9" applyAlignment="1" pivotButton="0" quotePrefix="0" xfId="0">
      <alignment horizontal="left" vertical="center" wrapText="1"/>
    </xf>
    <xf numFmtId="164" fontId="65" fillId="20" borderId="10" applyAlignment="1" pivotButton="0" quotePrefix="0" xfId="0">
      <alignment horizontal="center" vertical="center"/>
    </xf>
    <xf numFmtId="164" fontId="65" fillId="20" borderId="7" applyAlignment="1" pivotButton="0" quotePrefix="0" xfId="0">
      <alignment horizontal="center" vertical="center"/>
    </xf>
    <xf numFmtId="165" fontId="64" fillId="15" borderId="10" applyAlignment="1" pivotButton="0" quotePrefix="0" xfId="0">
      <alignment horizontal="left" vertical="center" wrapText="1"/>
    </xf>
    <xf numFmtId="0" fontId="66" fillId="13" borderId="9" applyAlignment="1" pivotButton="0" quotePrefix="0" xfId="0">
      <alignment horizontal="left" vertical="center" wrapText="1"/>
    </xf>
    <xf numFmtId="0" fontId="60" fillId="0" borderId="11" pivotButton="0" quotePrefix="0" xfId="0"/>
    <xf numFmtId="165" fontId="62" fillId="16" borderId="10" applyAlignment="1" pivotButton="0" quotePrefix="0" xfId="0">
      <alignment horizontal="center" vertical="center"/>
    </xf>
    <xf numFmtId="0" fontId="63" fillId="30" borderId="5" applyAlignment="1" pivotButton="0" quotePrefix="0" xfId="0">
      <alignment horizontal="left" vertical="center" wrapText="1"/>
    </xf>
    <xf numFmtId="164" fontId="64" fillId="0" borderId="7" applyAlignment="1" pivotButton="0" quotePrefix="0" xfId="0">
      <alignment horizontal="center" vertical="center"/>
    </xf>
    <xf numFmtId="0" fontId="61" fillId="14" borderId="10" applyAlignment="1" pivotButton="0" quotePrefix="0" xfId="0">
      <alignment horizontal="center" vertical="center"/>
    </xf>
    <xf numFmtId="0" fontId="65" fillId="22" borderId="10" applyAlignment="1" pivotButton="0" quotePrefix="0" xfId="0">
      <alignment horizontal="center" vertical="center"/>
    </xf>
    <xf numFmtId="164" fontId="61" fillId="19" borderId="7" applyAlignment="1" pivotButton="0" quotePrefix="0" xfId="0">
      <alignment horizontal="center" vertical="center"/>
    </xf>
    <xf numFmtId="164" fontId="60" fillId="0" borderId="8" pivotButton="0" quotePrefix="0" xfId="0"/>
    <xf numFmtId="164" fontId="65" fillId="21" borderId="11" applyAlignment="1" pivotButton="0" quotePrefix="0" xfId="0">
      <alignment horizontal="center" vertical="center"/>
    </xf>
    <xf numFmtId="165" fontId="64" fillId="0" borderId="10" applyAlignment="1" pivotButton="0" quotePrefix="0" xfId="0">
      <alignment horizontal="center" vertical="center"/>
    </xf>
    <xf numFmtId="165" fontId="60" fillId="0" borderId="7" pivotButton="0" quotePrefix="0" xfId="0"/>
    <xf numFmtId="165" fontId="61" fillId="19" borderId="9" applyAlignment="1" pivotButton="0" quotePrefix="0" xfId="0">
      <alignment horizontal="center" vertical="center"/>
    </xf>
    <xf numFmtId="165" fontId="65" fillId="19" borderId="9" applyAlignment="1" pivotButton="0" quotePrefix="0" xfId="0">
      <alignment horizontal="center" vertical="center"/>
    </xf>
    <xf numFmtId="165" fontId="61" fillId="19" borderId="7" applyAlignment="1" pivotButton="0" quotePrefix="0" xfId="0">
      <alignment horizontal="center" vertical="center"/>
    </xf>
    <xf numFmtId="165" fontId="65" fillId="19" borderId="7" applyAlignment="1" pivotButton="0" quotePrefix="0" xfId="0">
      <alignment horizontal="center" vertical="center"/>
    </xf>
    <xf numFmtId="165" fontId="64" fillId="0" borderId="7" applyAlignment="1" pivotButton="0" quotePrefix="0" xfId="0">
      <alignment horizontal="center" vertical="center"/>
    </xf>
    <xf numFmtId="165" fontId="64" fillId="15" borderId="9" applyAlignment="1" pivotButton="0" quotePrefix="0" xfId="0">
      <alignment horizontal="left" vertical="center" wrapText="1"/>
    </xf>
    <xf numFmtId="165" fontId="60" fillId="0" borderId="9" pivotButton="0" quotePrefix="0" xfId="0"/>
    <xf numFmtId="165" fontId="60" fillId="0" borderId="11" pivotButton="0" quotePrefix="0" xfId="0"/>
    <xf numFmtId="165" fontId="67" fillId="30" borderId="10" applyAlignment="1" pivotButton="0" quotePrefix="0" xfId="0">
      <alignment horizontal="center" vertical="center"/>
    </xf>
    <xf numFmtId="165" fontId="61" fillId="21" borderId="10" applyAlignment="1" pivotButton="0" quotePrefix="0" xfId="0">
      <alignment horizontal="center" vertical="center"/>
    </xf>
    <xf numFmtId="165" fontId="65" fillId="21" borderId="10" applyAlignment="1" pivotButton="0" quotePrefix="0" xfId="0">
      <alignment horizontal="center" vertical="center"/>
    </xf>
    <xf numFmtId="0" fontId="61" fillId="19" borderId="0" applyAlignment="1" pivotButton="0" quotePrefix="0" xfId="0">
      <alignment horizontal="center" vertical="center"/>
    </xf>
    <xf numFmtId="0" fontId="65" fillId="19" borderId="0" applyAlignment="1" pivotButton="0" quotePrefix="0" xfId="0">
      <alignment horizontal="center" vertical="center"/>
    </xf>
    <xf numFmtId="0" fontId="65" fillId="20" borderId="0" applyAlignment="1" pivotButton="0" quotePrefix="0" xfId="0">
      <alignment horizontal="center" vertical="center"/>
    </xf>
    <xf numFmtId="0" fontId="64" fillId="0" borderId="10" applyAlignment="1" pivotButton="0" quotePrefix="0" xfId="0">
      <alignment horizontal="center" vertical="center"/>
    </xf>
    <xf numFmtId="0" fontId="66" fillId="13" borderId="7" applyAlignment="1" pivotButton="0" quotePrefix="0" xfId="0">
      <alignment horizontal="left" vertical="center" wrapText="1"/>
    </xf>
    <xf numFmtId="0" fontId="62" fillId="16" borderId="10" applyAlignment="1" pivotButton="0" quotePrefix="0" xfId="0">
      <alignment horizontal="center" vertical="center"/>
    </xf>
    <xf numFmtId="164" fontId="67" fillId="30" borderId="9" applyAlignment="1" pivotButton="0" quotePrefix="0" xfId="0">
      <alignment horizontal="center" vertical="center"/>
    </xf>
    <xf numFmtId="0" fontId="61" fillId="21" borderId="0" applyAlignment="1" pivotButton="0" quotePrefix="0" xfId="0">
      <alignment horizontal="center" vertical="center"/>
    </xf>
    <xf numFmtId="0" fontId="65" fillId="21" borderId="0" applyAlignment="1" pivotButton="0" quotePrefix="0" xfId="0">
      <alignment horizontal="center" vertical="center"/>
    </xf>
    <xf numFmtId="0" fontId="61" fillId="21" borderId="9" applyAlignment="1" pivotButton="0" quotePrefix="0" xfId="0">
      <alignment horizontal="center" vertical="center"/>
    </xf>
    <xf numFmtId="0" fontId="65" fillId="21" borderId="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7.xml.rels><Relationships xmlns="http://schemas.openxmlformats.org/package/2006/relationships"><Relationship Type="http://schemas.openxmlformats.org/officeDocument/2006/relationships/hyperlink" Target="https://www.rentcafe.com/apartments-for-rent/us/la/lake-charles/valleyview/" TargetMode="External" Id="rId1"/><Relationship Type="http://schemas.openxmlformats.org/officeDocument/2006/relationships/hyperlink" Target="https://www.rentcafe.com/apartments-for-rent/us/la/lake-charles/" TargetMode="External" Id="rId2"/><Relationship Type="http://schemas.openxmlformats.org/officeDocument/2006/relationships/hyperlink" Target="https://www.rentcafe.com/apartments-for-rent/us/la/lake-charles/" TargetMode="External" Id="rId3"/><Relationship Type="http://schemas.openxmlformats.org/officeDocument/2006/relationships/hyperlink" Target="https://www.rentcafe.com/apartments-for-rent/us/la/lake-charles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"/>
  <sheetViews>
    <sheetView workbookViewId="0">
      <pane ySplit="1" topLeftCell="A5" activePane="bottomLeft" state="frozen"/>
      <selection pane="bottomLeft" activeCell="P11" sqref="P10:P11"/>
    </sheetView>
  </sheetViews>
  <sheetFormatPr baseColWidth="8" defaultColWidth="9.140625" defaultRowHeight="15" customHeight="1"/>
  <cols>
    <col width="6" customWidth="1" style="131" min="1" max="1"/>
    <col width="32" customWidth="1" style="131" min="2" max="2"/>
    <col width="22" customWidth="1" style="131" min="3" max="3"/>
    <col width="12" customWidth="1" style="131" min="4" max="4"/>
    <col width="8" customWidth="1" style="131" min="5" max="5"/>
    <col width="18.28515625" customWidth="1" style="131" min="6" max="6"/>
    <col width="21.42578125" customWidth="1" style="131" min="7" max="7"/>
    <col width="20" customWidth="1" style="131" min="8" max="8"/>
    <col width="28.28515625" customWidth="1" style="131" min="9" max="9"/>
    <col width="10.5703125" customWidth="1" style="131" min="10" max="10"/>
    <col width="9.140625" customWidth="1" style="6" min="11" max="31"/>
  </cols>
  <sheetData>
    <row r="1" ht="15" customHeight="1" s="131">
      <c r="A1" s="302" t="n"/>
      <c r="B1" s="302" t="n"/>
      <c r="C1" s="302" t="n"/>
      <c r="D1" s="302" t="n"/>
      <c r="E1" s="302" t="n"/>
      <c r="F1" s="302" t="n"/>
      <c r="G1" s="302" t="n"/>
      <c r="H1" s="302" t="n"/>
      <c r="I1" s="302" t="n"/>
      <c r="J1" s="302" t="n"/>
      <c r="K1" s="168" t="n"/>
      <c r="L1" s="168" t="n"/>
      <c r="M1" s="168" t="n"/>
      <c r="N1" s="168" t="n"/>
      <c r="O1" s="168" t="n"/>
      <c r="P1" s="168" t="n"/>
      <c r="Q1" s="168" t="n"/>
      <c r="R1" s="168" t="n"/>
      <c r="S1" s="168" t="n"/>
      <c r="T1" s="168" t="n"/>
      <c r="U1" s="168" t="n"/>
      <c r="V1" s="168" t="n"/>
      <c r="W1" s="168" t="n"/>
      <c r="X1" s="168" t="n"/>
      <c r="Y1" s="168" t="n"/>
      <c r="Z1" s="168" t="n"/>
      <c r="AA1" s="168" t="n"/>
      <c r="AB1" s="168" t="n"/>
      <c r="AC1" s="168" t="n"/>
      <c r="AD1" s="168" t="n"/>
      <c r="AE1" s="168" t="n"/>
    </row>
    <row r="2" ht="15" customFormat="1" customHeight="1" s="2">
      <c r="A2" s="302" t="n"/>
      <c r="B2" s="302" t="n"/>
      <c r="C2" s="302" t="n"/>
      <c r="D2" s="302" t="n"/>
      <c r="E2" s="302" t="n"/>
      <c r="F2" s="302" t="n"/>
      <c r="G2" s="302" t="n"/>
      <c r="H2" s="302" t="n"/>
      <c r="I2" s="302" t="n"/>
      <c r="J2" s="302" t="n"/>
      <c r="K2" s="168" t="n"/>
      <c r="L2" s="168" t="n"/>
      <c r="M2" s="168" t="n"/>
      <c r="N2" s="168" t="n"/>
      <c r="O2" s="168" t="n"/>
      <c r="P2" s="168" t="n"/>
      <c r="Q2" s="168" t="n"/>
      <c r="R2" s="168" t="n"/>
      <c r="S2" s="168" t="n"/>
      <c r="T2" s="168" t="n"/>
      <c r="U2" s="168" t="n"/>
      <c r="V2" s="168" t="n"/>
      <c r="W2" s="168" t="n"/>
      <c r="X2" s="168" t="n"/>
      <c r="Y2" s="168" t="n"/>
      <c r="Z2" s="168" t="n"/>
      <c r="AA2" s="168" t="n"/>
      <c r="AB2" s="168" t="n"/>
      <c r="AC2" s="168" t="n"/>
      <c r="AD2" s="168" t="n"/>
      <c r="AE2" s="168" t="n"/>
    </row>
    <row r="3" ht="27.75" customHeight="1" s="131">
      <c r="A3" s="181" t="inlineStr">
        <is>
          <t>APARTMENT CORP — COMPETITIVE RENT COMP ANALYSIS 2026</t>
        </is>
      </c>
      <c r="K3" s="343" t="n"/>
      <c r="L3" s="343" t="n"/>
      <c r="M3" s="343" t="n"/>
      <c r="N3" s="343" t="n"/>
      <c r="O3" s="343" t="n"/>
      <c r="P3" s="343" t="n"/>
      <c r="Q3" s="343" t="n"/>
      <c r="R3" s="343" t="n"/>
      <c r="S3" s="343" t="n"/>
      <c r="T3" s="343" t="n"/>
      <c r="U3" s="343" t="n"/>
      <c r="V3" s="343" t="n"/>
      <c r="W3" s="343" t="n"/>
      <c r="X3" s="343" t="n"/>
      <c r="Y3" s="343" t="n"/>
      <c r="Z3" s="343" t="n"/>
      <c r="AA3" s="343" t="n"/>
      <c r="AB3" s="343" t="n"/>
      <c r="AC3" s="343" t="n"/>
      <c r="AD3" s="343" t="n"/>
      <c r="AE3" s="343" t="n"/>
    </row>
    <row r="4" ht="44.25" customHeight="1" s="131">
      <c r="A4" s="180" t="inlineStr">
        <is>
          <t>LEGEND for Each sheet: 3 GREEN rows = Affordable/Low-Income comps (LIHTC/Section 8/HUD) | 3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  <c r="K4" s="343" t="n"/>
      <c r="L4" s="343" t="n"/>
      <c r="M4" s="343" t="n"/>
      <c r="N4" s="343" t="n"/>
      <c r="O4" s="343" t="n"/>
      <c r="P4" s="343" t="n"/>
      <c r="Q4" s="343" t="n"/>
      <c r="R4" s="343" t="n"/>
      <c r="S4" s="343" t="n"/>
      <c r="T4" s="343" t="n"/>
      <c r="U4" s="343" t="n"/>
      <c r="V4" s="343" t="n"/>
      <c r="W4" s="343" t="n"/>
      <c r="X4" s="343" t="n"/>
      <c r="Y4" s="343" t="n"/>
      <c r="Z4" s="343" t="n"/>
      <c r="AA4" s="343" t="n"/>
      <c r="AB4" s="343" t="n"/>
      <c r="AC4" s="343" t="n"/>
      <c r="AD4" s="343" t="n"/>
      <c r="AE4" s="343" t="n"/>
    </row>
    <row r="5" ht="15" customFormat="1" customHeight="1" s="2">
      <c r="A5" s="11" t="inlineStr">
        <is>
          <t>#</t>
        </is>
      </c>
      <c r="B5" s="11" t="inlineStr">
        <is>
          <t>Property Name</t>
        </is>
      </c>
      <c r="C5" s="11" t="inlineStr">
        <is>
          <t>City, State</t>
        </is>
      </c>
      <c r="D5" s="11" t="inlineStr">
        <is>
          <t>Year Built</t>
        </is>
      </c>
      <c r="E5" s="11" t="inlineStr">
        <is>
          <t>Units</t>
        </is>
      </c>
      <c r="F5" s="11" t="inlineStr">
        <is>
          <t>Program</t>
        </is>
      </c>
      <c r="G5" s="11" t="inlineStr">
        <is>
          <t>Sheet Name</t>
        </is>
      </c>
      <c r="H5" s="11" t="inlineStr">
        <is>
          <t>Bedroom Mix</t>
        </is>
      </c>
      <c r="I5" s="179" t="inlineStr">
        <is>
          <t>Comp Types</t>
        </is>
      </c>
      <c r="K5" s="343" t="n"/>
      <c r="L5" s="343" t="n"/>
      <c r="M5" s="343" t="n"/>
      <c r="N5" s="343" t="n"/>
      <c r="O5" s="343" t="n"/>
      <c r="P5" s="343" t="n"/>
      <c r="Q5" s="343" t="n"/>
      <c r="R5" s="343" t="n"/>
      <c r="S5" s="343" t="n"/>
      <c r="T5" s="343" t="n"/>
      <c r="U5" s="343" t="n"/>
      <c r="V5" s="343" t="n"/>
      <c r="W5" s="343" t="n"/>
      <c r="X5" s="343" t="n"/>
      <c r="Y5" s="343" t="n"/>
      <c r="Z5" s="343" t="n"/>
      <c r="AA5" s="343" t="n"/>
      <c r="AB5" s="343" t="n"/>
      <c r="AC5" s="343" t="n"/>
      <c r="AD5" s="343" t="n"/>
      <c r="AE5" s="343" t="n"/>
    </row>
    <row r="6" ht="15" customFormat="1" customHeight="1" s="3">
      <c r="A6" s="4" t="n">
        <v>1</v>
      </c>
      <c r="B6" s="5" t="inlineStr">
        <is>
          <t>Boca Ciega</t>
        </is>
      </c>
      <c r="C6" s="5" t="inlineStr">
        <is>
          <t>St. Petersburg, FL</t>
        </is>
      </c>
      <c r="D6" s="4" t="n">
        <v>1974</v>
      </c>
      <c r="E6" s="4" t="n">
        <v>109</v>
      </c>
      <c r="F6" s="5" t="inlineStr">
        <is>
          <t>Layered HUD/LIHTC</t>
        </is>
      </c>
      <c r="G6" s="5" t="inlineStr">
        <is>
          <t>21 - Boca Ciega</t>
        </is>
      </c>
      <c r="H6" s="5" t="inlineStr">
        <is>
          <t>2BR / 3BR</t>
        </is>
      </c>
      <c r="I6" s="5" t="inlineStr">
        <is>
          <t>4 Affordable (Green) + 4 Market Rate (Blue)</t>
        </is>
      </c>
      <c r="J6" s="169" t="n"/>
      <c r="K6" s="170" t="n"/>
      <c r="L6" s="170" t="n"/>
      <c r="M6" s="170" t="n"/>
      <c r="N6" s="170" t="n"/>
      <c r="O6" s="170" t="n"/>
      <c r="P6" s="170" t="n"/>
      <c r="Q6" s="170" t="n"/>
      <c r="R6" s="170" t="n"/>
      <c r="S6" s="170" t="n"/>
      <c r="T6" s="170" t="n"/>
      <c r="U6" s="170" t="n"/>
      <c r="V6" s="170" t="n"/>
      <c r="W6" s="170" t="n"/>
      <c r="X6" s="170" t="n"/>
      <c r="Y6" s="170" t="n"/>
      <c r="Z6" s="170" t="n"/>
      <c r="AA6" s="170" t="n"/>
      <c r="AB6" s="170" t="n"/>
      <c r="AC6" s="170" t="n"/>
      <c r="AD6" s="170" t="n"/>
      <c r="AE6" s="170" t="n"/>
    </row>
    <row r="7" ht="15" customFormat="1" customHeight="1" s="7">
      <c r="A7" s="8" t="n">
        <v>2</v>
      </c>
      <c r="B7" s="9" t="inlineStr">
        <is>
          <t>Jefferson Arms</t>
        </is>
      </c>
      <c r="C7" s="9" t="inlineStr">
        <is>
          <t>Monticello, FL</t>
        </is>
      </c>
      <c r="D7" s="8" t="n">
        <v>1971</v>
      </c>
      <c r="E7" s="8" t="n">
        <v>75</v>
      </c>
      <c r="F7" s="10" t="inlineStr">
        <is>
          <t>Section 8/HUD</t>
        </is>
      </c>
      <c r="G7" s="9" t="inlineStr">
        <is>
          <t>13 - Jefferson</t>
        </is>
      </c>
      <c r="H7" s="9" t="inlineStr">
        <is>
          <t>2BR / 3BR</t>
        </is>
      </c>
      <c r="I7" s="9" t="inlineStr">
        <is>
          <t>4 Affordable (Green) + 4 Market Rate (Blue)</t>
        </is>
      </c>
      <c r="J7" s="171" t="n"/>
      <c r="K7" s="170" t="n"/>
      <c r="L7" s="170" t="n"/>
      <c r="M7" s="170" t="n"/>
      <c r="N7" s="170" t="n"/>
      <c r="O7" s="170" t="n"/>
      <c r="P7" s="170" t="n"/>
      <c r="Q7" s="170" t="n"/>
      <c r="R7" s="170" t="n"/>
      <c r="S7" s="170" t="n"/>
      <c r="T7" s="170" t="n"/>
      <c r="U7" s="170" t="n"/>
      <c r="V7" s="170" t="n"/>
      <c r="W7" s="170" t="n"/>
      <c r="X7" s="170" t="n"/>
      <c r="Y7" s="170" t="n"/>
      <c r="Z7" s="170" t="n"/>
      <c r="AA7" s="170" t="n"/>
      <c r="AB7" s="170" t="n"/>
      <c r="AC7" s="170" t="n"/>
      <c r="AD7" s="170" t="n"/>
      <c r="AE7" s="170" t="n"/>
    </row>
    <row r="8" ht="15" customFormat="1" customHeight="1" s="7">
      <c r="A8" s="8" t="n">
        <v>3</v>
      </c>
      <c r="B8" s="9" t="inlineStr">
        <is>
          <t>Opa Locka 135th St</t>
        </is>
      </c>
      <c r="C8" s="9" t="inlineStr">
        <is>
          <t>Opa Locka, FL</t>
        </is>
      </c>
      <c r="D8" s="8" t="n">
        <v>1968</v>
      </c>
      <c r="E8" s="8" t="n">
        <v>65</v>
      </c>
      <c r="F8" s="10" t="inlineStr">
        <is>
          <t>Section 8/HUD</t>
        </is>
      </c>
      <c r="G8" s="9" t="inlineStr">
        <is>
          <t>18 - Opa Locka</t>
        </is>
      </c>
      <c r="H8" s="9" t="inlineStr">
        <is>
          <t>1BR / 2BR / 3BR</t>
        </is>
      </c>
      <c r="I8" s="9" t="inlineStr">
        <is>
          <t>4 Affordable (Green) + 4 Market Rate (Blue)</t>
        </is>
      </c>
      <c r="J8" s="171" t="n"/>
      <c r="K8" s="170" t="n"/>
      <c r="L8" s="170" t="n"/>
      <c r="M8" s="170" t="n"/>
      <c r="N8" s="170" t="n"/>
      <c r="O8" s="170" t="n"/>
      <c r="P8" s="170" t="n"/>
      <c r="Q8" s="170" t="n"/>
      <c r="R8" s="170" t="n"/>
      <c r="S8" s="170" t="n"/>
      <c r="T8" s="170" t="n"/>
      <c r="U8" s="170" t="n"/>
      <c r="V8" s="170" t="n"/>
      <c r="W8" s="170" t="n"/>
      <c r="X8" s="170" t="n"/>
      <c r="Y8" s="170" t="n"/>
      <c r="Z8" s="170" t="n"/>
      <c r="AA8" s="170" t="n"/>
      <c r="AB8" s="170" t="n"/>
      <c r="AC8" s="170" t="n"/>
      <c r="AD8" s="170" t="n"/>
      <c r="AE8" s="170" t="n"/>
    </row>
    <row r="9" ht="15" customFormat="1" customHeight="1" s="7">
      <c r="A9" s="8" t="n">
        <v>4</v>
      </c>
      <c r="B9" s="9" t="inlineStr">
        <is>
          <t>Macedonia Garden</t>
        </is>
      </c>
      <c r="C9" s="9" t="inlineStr">
        <is>
          <t>Panama City, FL</t>
        </is>
      </c>
      <c r="D9" s="8" t="n">
        <v>1969</v>
      </c>
      <c r="E9" s="8" t="n">
        <v>100</v>
      </c>
      <c r="F9" s="10" t="inlineStr">
        <is>
          <t>Section 8/HUD</t>
        </is>
      </c>
      <c r="G9" s="9" t="inlineStr">
        <is>
          <t>14 - Macedonia</t>
        </is>
      </c>
      <c r="H9" s="9" t="inlineStr">
        <is>
          <t>2BR / 3BR</t>
        </is>
      </c>
      <c r="I9" s="9" t="inlineStr">
        <is>
          <t>4 Affordable (Green) + 4 Market Rate (Blue)</t>
        </is>
      </c>
      <c r="J9" s="171" t="n"/>
      <c r="K9" s="170" t="n"/>
      <c r="L9" s="170" t="n"/>
      <c r="M9" s="170" t="n"/>
      <c r="N9" s="170" t="n"/>
      <c r="O9" s="170" t="n"/>
      <c r="P9" s="170" t="n"/>
      <c r="Q9" s="170" t="n"/>
      <c r="R9" s="170" t="n"/>
      <c r="S9" s="170" t="n"/>
      <c r="T9" s="170" t="n"/>
      <c r="U9" s="170" t="n"/>
      <c r="V9" s="170" t="n"/>
      <c r="W9" s="170" t="n"/>
      <c r="X9" s="170" t="n"/>
      <c r="Y9" s="170" t="n"/>
      <c r="Z9" s="170" t="n"/>
      <c r="AA9" s="170" t="n"/>
      <c r="AB9" s="170" t="n"/>
      <c r="AC9" s="170" t="n"/>
      <c r="AD9" s="170" t="n"/>
      <c r="AE9" s="170" t="n"/>
    </row>
    <row r="10" ht="15" customFormat="1" customHeight="1" s="7">
      <c r="A10" s="8" t="n">
        <v>5</v>
      </c>
      <c r="B10" s="9" t="inlineStr">
        <is>
          <t>Coral Village</t>
        </is>
      </c>
      <c r="C10" s="9" t="inlineStr">
        <is>
          <t>Cape Coral, FL</t>
        </is>
      </c>
      <c r="D10" s="8" t="n">
        <v>1999</v>
      </c>
      <c r="E10" s="8" t="n">
        <v>72</v>
      </c>
      <c r="F10" s="10" t="inlineStr">
        <is>
          <t>Section 8/HUD</t>
        </is>
      </c>
      <c r="G10" s="9" t="inlineStr">
        <is>
          <t>48 - Coral Village</t>
        </is>
      </c>
      <c r="H10" s="9" t="inlineStr">
        <is>
          <t>1BR / 2BR</t>
        </is>
      </c>
      <c r="I10" s="9" t="inlineStr">
        <is>
          <t>4 Affordable (Green) + 4 Market Rate (Blue)</t>
        </is>
      </c>
      <c r="J10" s="171" t="n"/>
      <c r="K10" s="170" t="n"/>
      <c r="L10" s="170" t="n"/>
      <c r="M10" s="170" t="n"/>
      <c r="N10" s="170" t="n"/>
      <c r="O10" s="170" t="n"/>
      <c r="P10" s="170" t="n"/>
      <c r="Q10" s="170" t="n"/>
      <c r="R10" s="170" t="n"/>
      <c r="S10" s="170" t="n"/>
      <c r="T10" s="170" t="n"/>
      <c r="U10" s="170" t="n"/>
      <c r="V10" s="170" t="n"/>
      <c r="W10" s="170" t="n"/>
      <c r="X10" s="170" t="n"/>
      <c r="Y10" s="170" t="n"/>
      <c r="Z10" s="170" t="n"/>
      <c r="AA10" s="170" t="n"/>
      <c r="AB10" s="170" t="n"/>
      <c r="AC10" s="170" t="n"/>
      <c r="AD10" s="170" t="n"/>
      <c r="AE10" s="170" t="n"/>
    </row>
    <row r="11" ht="15" customFormat="1" customHeight="1" s="7">
      <c r="A11" s="8" t="n">
        <v>6</v>
      </c>
      <c r="B11" s="9" t="inlineStr">
        <is>
          <t>Holiday Apts</t>
        </is>
      </c>
      <c r="C11" s="9" t="inlineStr">
        <is>
          <t>Natchez, MS</t>
        </is>
      </c>
      <c r="D11" s="8" t="n">
        <v>1951</v>
      </c>
      <c r="E11" s="8" t="n">
        <v>115</v>
      </c>
      <c r="F11" s="10" t="inlineStr">
        <is>
          <t>Section 8/HUD</t>
        </is>
      </c>
      <c r="G11" s="9" t="inlineStr">
        <is>
          <t>15 - Holiday</t>
        </is>
      </c>
      <c r="H11" s="9" t="inlineStr">
        <is>
          <t>2BR / 3BR / 4BR / 5BR</t>
        </is>
      </c>
      <c r="I11" s="9" t="inlineStr">
        <is>
          <t>4 Affordable (Green) + 4 Market Rate (Blue)</t>
        </is>
      </c>
      <c r="J11" s="171" t="n"/>
      <c r="K11" s="170" t="n"/>
      <c r="L11" s="170" t="n"/>
      <c r="M11" s="170" t="n"/>
      <c r="N11" s="170" t="n"/>
      <c r="O11" s="170" t="n"/>
      <c r="P11" s="170" t="n"/>
      <c r="Q11" s="170" t="n"/>
      <c r="R11" s="170" t="n"/>
      <c r="S11" s="170" t="n"/>
      <c r="T11" s="170" t="n"/>
      <c r="U11" s="170" t="n"/>
      <c r="V11" s="170" t="n"/>
      <c r="W11" s="170" t="n"/>
      <c r="X11" s="170" t="n"/>
      <c r="Y11" s="170" t="n"/>
      <c r="Z11" s="170" t="n"/>
      <c r="AA11" s="170" t="n"/>
      <c r="AB11" s="170" t="n"/>
      <c r="AC11" s="170" t="n"/>
      <c r="AD11" s="170" t="n"/>
      <c r="AE11" s="170" t="n"/>
    </row>
    <row r="12" ht="15" customFormat="1" customHeight="1" s="7">
      <c r="A12" s="8" t="n">
        <v>7</v>
      </c>
      <c r="B12" s="9" t="inlineStr">
        <is>
          <t>Cumberland</t>
        </is>
      </c>
      <c r="C12" s="9" t="inlineStr">
        <is>
          <t>Crystal Springs, MS</t>
        </is>
      </c>
      <c r="D12" s="8" t="n">
        <v>1985</v>
      </c>
      <c r="E12" s="8" t="n">
        <v>68</v>
      </c>
      <c r="F12" s="10" t="inlineStr">
        <is>
          <t>Section 8/HUD</t>
        </is>
      </c>
      <c r="G12" s="9" t="inlineStr">
        <is>
          <t>16 - Cumberland</t>
        </is>
      </c>
      <c r="H12" s="9" t="inlineStr">
        <is>
          <t>1BR / 2BR / 3BR / 4BR</t>
        </is>
      </c>
      <c r="I12" s="9" t="inlineStr">
        <is>
          <t>4 Affordable (Green) + 4 Market Rate (Blue)</t>
        </is>
      </c>
      <c r="J12" s="171" t="n"/>
      <c r="K12" s="170" t="n"/>
      <c r="L12" s="170" t="n"/>
      <c r="M12" s="170" t="n"/>
      <c r="N12" s="170" t="n"/>
      <c r="O12" s="170" t="n"/>
      <c r="P12" s="170" t="n"/>
      <c r="Q12" s="170" t="n"/>
      <c r="R12" s="170" t="n"/>
      <c r="S12" s="170" t="n"/>
      <c r="T12" s="170" t="n"/>
      <c r="U12" s="170" t="n"/>
      <c r="V12" s="170" t="n"/>
      <c r="W12" s="170" t="n"/>
      <c r="X12" s="170" t="n"/>
      <c r="Y12" s="170" t="n"/>
      <c r="Z12" s="170" t="n"/>
      <c r="AA12" s="170" t="n"/>
      <c r="AB12" s="170" t="n"/>
      <c r="AC12" s="170" t="n"/>
      <c r="AD12" s="170" t="n"/>
      <c r="AE12" s="170" t="n"/>
    </row>
    <row r="13" ht="15" customFormat="1" customHeight="1" s="7">
      <c r="A13" s="8" t="n">
        <v>8</v>
      </c>
      <c r="B13" s="9" t="inlineStr">
        <is>
          <t>Village Green</t>
        </is>
      </c>
      <c r="C13" s="9" t="inlineStr">
        <is>
          <t>Natchez, MS</t>
        </is>
      </c>
      <c r="D13" s="8" t="n">
        <v>1977</v>
      </c>
      <c r="E13" s="8" t="n">
        <v>80</v>
      </c>
      <c r="F13" s="10" t="inlineStr">
        <is>
          <t>Section 8/HUD</t>
        </is>
      </c>
      <c r="G13" s="9" t="inlineStr">
        <is>
          <t>17 - Village Green</t>
        </is>
      </c>
      <c r="H13" s="9" t="inlineStr">
        <is>
          <t>1BR / 2BR / 3BR</t>
        </is>
      </c>
      <c r="I13" s="9" t="inlineStr">
        <is>
          <t>4 Affordable (Green) + 4 Market Rate (Blue)</t>
        </is>
      </c>
      <c r="J13" s="171" t="n"/>
      <c r="K13" s="170" t="n"/>
      <c r="L13" s="170" t="n"/>
      <c r="M13" s="170" t="n"/>
      <c r="N13" s="170" t="n"/>
      <c r="O13" s="170" t="n"/>
      <c r="P13" s="170" t="n"/>
      <c r="Q13" s="170" t="n"/>
      <c r="R13" s="170" t="n"/>
      <c r="S13" s="170" t="n"/>
      <c r="T13" s="170" t="n"/>
      <c r="U13" s="170" t="n"/>
      <c r="V13" s="170" t="n"/>
      <c r="W13" s="170" t="n"/>
      <c r="X13" s="170" t="n"/>
      <c r="Y13" s="170" t="n"/>
      <c r="Z13" s="170" t="n"/>
      <c r="AA13" s="170" t="n"/>
      <c r="AB13" s="170" t="n"/>
      <c r="AC13" s="170" t="n"/>
      <c r="AD13" s="170" t="n"/>
      <c r="AE13" s="170" t="n"/>
    </row>
    <row r="14" ht="15" customFormat="1" customHeight="1" s="7">
      <c r="A14" s="8" t="n">
        <v>9</v>
      </c>
      <c r="B14" s="9" t="inlineStr">
        <is>
          <t>Walnut Hill</t>
        </is>
      </c>
      <c r="C14" s="9" t="inlineStr">
        <is>
          <t>Natchez, MS</t>
        </is>
      </c>
      <c r="D14" s="8" t="n">
        <v>1975</v>
      </c>
      <c r="E14" s="8" t="n">
        <v>168</v>
      </c>
      <c r="F14" s="10" t="inlineStr">
        <is>
          <t>Section 8/HUD</t>
        </is>
      </c>
      <c r="G14" s="9" t="inlineStr">
        <is>
          <t>59 - Walnut Hill</t>
        </is>
      </c>
      <c r="H14" s="9" t="inlineStr">
        <is>
          <t>2BR / 3BR</t>
        </is>
      </c>
      <c r="I14" s="9" t="inlineStr">
        <is>
          <t>4 Affordable (Green) + 4 Market Rate (Blue)</t>
        </is>
      </c>
      <c r="J14" s="171" t="n"/>
      <c r="K14" s="170" t="n"/>
      <c r="L14" s="170" t="n"/>
      <c r="M14" s="170" t="n"/>
      <c r="N14" s="170" t="n"/>
      <c r="O14" s="170" t="n"/>
      <c r="P14" s="170" t="n"/>
      <c r="Q14" s="170" t="n"/>
      <c r="R14" s="170" t="n"/>
      <c r="S14" s="170" t="n"/>
      <c r="T14" s="170" t="n"/>
      <c r="U14" s="170" t="n"/>
      <c r="V14" s="170" t="n"/>
      <c r="W14" s="170" t="n"/>
      <c r="X14" s="170" t="n"/>
      <c r="Y14" s="170" t="n"/>
      <c r="Z14" s="170" t="n"/>
      <c r="AA14" s="170" t="n"/>
      <c r="AB14" s="170" t="n"/>
      <c r="AC14" s="170" t="n"/>
      <c r="AD14" s="170" t="n"/>
      <c r="AE14" s="170" t="n"/>
    </row>
    <row r="15" ht="15" customFormat="1" customHeight="1" s="7">
      <c r="A15" s="8" t="n">
        <v>10</v>
      </c>
      <c r="B15" s="9" t="inlineStr">
        <is>
          <t>River Pointe</t>
        </is>
      </c>
      <c r="C15" s="9" t="inlineStr">
        <is>
          <t>Columbus, OH</t>
        </is>
      </c>
      <c r="D15" s="8" t="n">
        <v>1996</v>
      </c>
      <c r="E15" s="8" t="n">
        <v>160</v>
      </c>
      <c r="F15" s="10" t="inlineStr">
        <is>
          <t>Section 8/HUD</t>
        </is>
      </c>
      <c r="G15" s="9" t="inlineStr">
        <is>
          <t>29 - River Pointe</t>
        </is>
      </c>
      <c r="H15" s="9" t="inlineStr">
        <is>
          <t>1BR / 2BR</t>
        </is>
      </c>
      <c r="I15" s="9" t="inlineStr">
        <is>
          <t>4 Affordable (Green) + 4 Market Rate (Blue)</t>
        </is>
      </c>
      <c r="J15" s="171" t="n"/>
      <c r="K15" s="170" t="n"/>
      <c r="L15" s="170" t="n"/>
      <c r="M15" s="170" t="n"/>
      <c r="N15" s="170" t="n"/>
      <c r="O15" s="170" t="n"/>
      <c r="P15" s="170" t="n"/>
      <c r="Q15" s="170" t="n"/>
      <c r="R15" s="170" t="n"/>
      <c r="S15" s="170" t="n"/>
      <c r="T15" s="170" t="n"/>
      <c r="U15" s="170" t="n"/>
      <c r="V15" s="170" t="n"/>
      <c r="W15" s="170" t="n"/>
      <c r="X15" s="170" t="n"/>
      <c r="Y15" s="170" t="n"/>
      <c r="Z15" s="170" t="n"/>
      <c r="AA15" s="170" t="n"/>
      <c r="AB15" s="170" t="n"/>
      <c r="AC15" s="170" t="n"/>
      <c r="AD15" s="170" t="n"/>
      <c r="AE15" s="170" t="n"/>
    </row>
    <row r="16" ht="15" customFormat="1" customHeight="1" s="3">
      <c r="A16" s="4" t="n">
        <v>11</v>
      </c>
      <c r="B16" s="5" t="inlineStr">
        <is>
          <t>Breckenridge Village</t>
        </is>
      </c>
      <c r="C16" s="5" t="inlineStr">
        <is>
          <t>Ennis, TX</t>
        </is>
      </c>
      <c r="D16" s="4" t="n">
        <v>1997</v>
      </c>
      <c r="E16" s="4" t="n">
        <v>66</v>
      </c>
      <c r="F16" s="5" t="inlineStr">
        <is>
          <t>LIHTC</t>
        </is>
      </c>
      <c r="G16" s="5" t="inlineStr">
        <is>
          <t>12 - Breckenridge</t>
        </is>
      </c>
      <c r="H16" s="5" t="inlineStr">
        <is>
          <t>2BR / 4BR</t>
        </is>
      </c>
      <c r="I16" s="5" t="inlineStr">
        <is>
          <t>4 Affordable (Green) + 4 Market Rate (Blue)</t>
        </is>
      </c>
      <c r="J16" s="169" t="n"/>
      <c r="K16" s="170" t="n"/>
      <c r="L16" s="170" t="n"/>
      <c r="M16" s="170" t="n"/>
      <c r="N16" s="170" t="n"/>
      <c r="O16" s="170" t="n"/>
      <c r="P16" s="170" t="n"/>
      <c r="Q16" s="170" t="n"/>
      <c r="R16" s="170" t="n"/>
      <c r="S16" s="170" t="n"/>
      <c r="T16" s="170" t="n"/>
      <c r="U16" s="170" t="n"/>
      <c r="V16" s="170" t="n"/>
      <c r="W16" s="170" t="n"/>
      <c r="X16" s="170" t="n"/>
      <c r="Y16" s="170" t="n"/>
      <c r="Z16" s="170" t="n"/>
      <c r="AA16" s="170" t="n"/>
      <c r="AB16" s="170" t="n"/>
      <c r="AC16" s="170" t="n"/>
      <c r="AD16" s="170" t="n"/>
      <c r="AE16" s="170" t="n"/>
    </row>
    <row r="17" ht="15" customFormat="1" customHeight="1" s="3">
      <c r="A17" s="4" t="n">
        <v>12</v>
      </c>
      <c r="B17" s="5" t="inlineStr">
        <is>
          <t>Lexington Arms</t>
        </is>
      </c>
      <c r="C17" s="5" t="inlineStr">
        <is>
          <t>Waxahachie, TX</t>
        </is>
      </c>
      <c r="D17" s="4" t="n">
        <v>1997</v>
      </c>
      <c r="E17" s="4" t="n">
        <v>61</v>
      </c>
      <c r="F17" s="5" t="inlineStr">
        <is>
          <t>LIHTC</t>
        </is>
      </c>
      <c r="G17" s="5" t="inlineStr">
        <is>
          <t>38 - Lexington</t>
        </is>
      </c>
      <c r="H17" s="5" t="inlineStr">
        <is>
          <t>2BR / 4BR</t>
        </is>
      </c>
      <c r="I17" s="5" t="inlineStr">
        <is>
          <t>4 Affordable (Green) + 4 Market Rate (Blue)</t>
        </is>
      </c>
      <c r="J17" s="169" t="n"/>
      <c r="K17" s="170" t="n"/>
      <c r="L17" s="170" t="n"/>
      <c r="M17" s="170" t="n"/>
      <c r="N17" s="170" t="n"/>
      <c r="O17" s="170" t="n"/>
      <c r="P17" s="170" t="n"/>
      <c r="Q17" s="170" t="n"/>
      <c r="R17" s="170" t="n"/>
      <c r="S17" s="170" t="n"/>
      <c r="T17" s="170" t="n"/>
      <c r="U17" s="170" t="n"/>
      <c r="V17" s="170" t="n"/>
      <c r="W17" s="170" t="n"/>
      <c r="X17" s="170" t="n"/>
      <c r="Y17" s="170" t="n"/>
      <c r="Z17" s="170" t="n"/>
      <c r="AA17" s="170" t="n"/>
      <c r="AB17" s="170" t="n"/>
      <c r="AC17" s="170" t="n"/>
      <c r="AD17" s="170" t="n"/>
      <c r="AE17" s="170" t="n"/>
    </row>
    <row r="18" ht="15" customFormat="1" customHeight="1" s="3">
      <c r="A18" s="4" t="n">
        <v>13</v>
      </c>
      <c r="B18" s="5" t="inlineStr">
        <is>
          <t>Grace Townhomes</t>
        </is>
      </c>
      <c r="C18" s="5" t="inlineStr">
        <is>
          <t>Ennis, TX</t>
        </is>
      </c>
      <c r="D18" s="4" t="n">
        <v>2001</v>
      </c>
      <c r="E18" s="4" t="n">
        <v>112</v>
      </c>
      <c r="F18" s="5" t="inlineStr">
        <is>
          <t>LIHTC</t>
        </is>
      </c>
      <c r="G18" s="5" t="inlineStr">
        <is>
          <t>23 - Grace Townhomes</t>
        </is>
      </c>
      <c r="H18" s="5" t="inlineStr">
        <is>
          <t>1BR / 2BR / 3BR</t>
        </is>
      </c>
      <c r="I18" s="5" t="inlineStr">
        <is>
          <t>4 Affordable (Green) + 4 Market Rate (Blue)</t>
        </is>
      </c>
      <c r="J18" s="169" t="n"/>
      <c r="K18" s="170" t="n"/>
      <c r="L18" s="170" t="n"/>
      <c r="M18" s="170" t="n"/>
      <c r="N18" s="170" t="n"/>
      <c r="O18" s="170" t="n"/>
      <c r="P18" s="170" t="n"/>
      <c r="Q18" s="170" t="n"/>
      <c r="R18" s="170" t="n"/>
      <c r="S18" s="170" t="n"/>
      <c r="T18" s="170" t="n"/>
      <c r="U18" s="170" t="n"/>
      <c r="V18" s="170" t="n"/>
      <c r="W18" s="170" t="n"/>
      <c r="X18" s="170" t="n"/>
      <c r="Y18" s="170" t="n"/>
      <c r="Z18" s="170" t="n"/>
      <c r="AA18" s="170" t="n"/>
      <c r="AB18" s="170" t="n"/>
      <c r="AC18" s="170" t="n"/>
      <c r="AD18" s="170" t="n"/>
      <c r="AE18" s="170" t="n"/>
    </row>
    <row r="19" ht="15" customFormat="1" customHeight="1" s="3">
      <c r="A19" s="4" t="n">
        <v>14</v>
      </c>
      <c r="B19" s="5" t="inlineStr">
        <is>
          <t>Grove Park Terrace</t>
        </is>
      </c>
      <c r="C19" s="5" t="inlineStr">
        <is>
          <t>Waxahachie, TX</t>
        </is>
      </c>
      <c r="D19" s="4" t="n">
        <v>1998</v>
      </c>
      <c r="E19" s="4" t="n">
        <v>60</v>
      </c>
      <c r="F19" s="5" t="inlineStr">
        <is>
          <t>Layered HUD/LIHTC</t>
        </is>
      </c>
      <c r="G19" s="5" t="inlineStr">
        <is>
          <t>46 - Grove Park</t>
        </is>
      </c>
      <c r="H19" s="5" t="inlineStr">
        <is>
          <t>1BR / 2BR / 3BR</t>
        </is>
      </c>
      <c r="I19" s="5" t="inlineStr">
        <is>
          <t>4 Affordable (Green) + 4 Market Rate (Blue)</t>
        </is>
      </c>
      <c r="J19" s="169" t="n"/>
      <c r="K19" s="170" t="n"/>
      <c r="L19" s="170" t="n"/>
      <c r="M19" s="170" t="n"/>
      <c r="N19" s="170" t="n"/>
      <c r="O19" s="170" t="n"/>
      <c r="P19" s="170" t="n"/>
      <c r="Q19" s="170" t="n"/>
      <c r="R19" s="170" t="n"/>
      <c r="S19" s="170" t="n"/>
      <c r="T19" s="170" t="n"/>
      <c r="U19" s="170" t="n"/>
      <c r="V19" s="170" t="n"/>
      <c r="W19" s="170" t="n"/>
      <c r="X19" s="170" t="n"/>
      <c r="Y19" s="170" t="n"/>
      <c r="Z19" s="170" t="n"/>
      <c r="AA19" s="170" t="n"/>
      <c r="AB19" s="170" t="n"/>
      <c r="AC19" s="170" t="n"/>
      <c r="AD19" s="170" t="n"/>
      <c r="AE19" s="170" t="n"/>
    </row>
    <row r="20" ht="15" customFormat="1" customHeight="1" s="3">
      <c r="A20" s="4" t="n">
        <v>15</v>
      </c>
      <c r="B20" s="5" t="inlineStr">
        <is>
          <t>La Promesa</t>
        </is>
      </c>
      <c r="C20" s="5" t="inlineStr">
        <is>
          <t>Odessa, TX</t>
        </is>
      </c>
      <c r="D20" s="4" t="n">
        <v>1978</v>
      </c>
      <c r="E20" s="4" t="n">
        <v>136</v>
      </c>
      <c r="F20" s="5" t="inlineStr">
        <is>
          <t>Layered HUD/LIHTC</t>
        </is>
      </c>
      <c r="G20" s="5" t="inlineStr">
        <is>
          <t>60 - La Promesa</t>
        </is>
      </c>
      <c r="H20" s="5" t="inlineStr">
        <is>
          <t>2BR / 3BR</t>
        </is>
      </c>
      <c r="I20" s="5" t="inlineStr">
        <is>
          <t>4 Affordable (Green) + 4 Market Rate (Blue)</t>
        </is>
      </c>
      <c r="J20" s="169" t="n"/>
      <c r="K20" s="170" t="n"/>
      <c r="L20" s="170" t="n"/>
      <c r="M20" s="170" t="n"/>
      <c r="N20" s="170" t="n"/>
      <c r="O20" s="170" t="n"/>
      <c r="P20" s="170" t="n"/>
      <c r="Q20" s="170" t="n"/>
      <c r="R20" s="170" t="n"/>
      <c r="S20" s="170" t="n"/>
      <c r="T20" s="170" t="n"/>
      <c r="U20" s="170" t="n"/>
      <c r="V20" s="170" t="n"/>
      <c r="W20" s="170" t="n"/>
      <c r="X20" s="170" t="n"/>
      <c r="Y20" s="170" t="n"/>
      <c r="Z20" s="170" t="n"/>
      <c r="AA20" s="170" t="n"/>
      <c r="AB20" s="170" t="n"/>
      <c r="AC20" s="170" t="n"/>
      <c r="AD20" s="170" t="n"/>
      <c r="AE20" s="170" t="n"/>
    </row>
    <row r="21" ht="15" customFormat="1" customHeight="1" s="7">
      <c r="A21" s="8" t="n">
        <v>16</v>
      </c>
      <c r="B21" s="9" t="inlineStr">
        <is>
          <t>New Wilmington Arms</t>
        </is>
      </c>
      <c r="C21" s="9" t="inlineStr">
        <is>
          <t>Compton, CA</t>
        </is>
      </c>
      <c r="D21" s="8" t="n">
        <v>1973</v>
      </c>
      <c r="E21" s="8" t="inlineStr">
        <is>
          <t>N/A</t>
        </is>
      </c>
      <c r="F21" s="10" t="inlineStr">
        <is>
          <t>Section 8/HUD</t>
        </is>
      </c>
      <c r="G21" s="9" t="inlineStr">
        <is>
          <t>3 - Wilmington</t>
        </is>
      </c>
      <c r="H21" s="9" t="inlineStr">
        <is>
          <t>1BR / 2BR / 3BR / 4BR</t>
        </is>
      </c>
      <c r="I21" s="9" t="inlineStr">
        <is>
          <t>3 Affordable (Green) + 3 Market Rate (Blue)</t>
        </is>
      </c>
      <c r="J21" s="171" t="n"/>
      <c r="K21" s="170" t="n"/>
      <c r="L21" s="170" t="n"/>
      <c r="M21" s="170" t="n"/>
      <c r="N21" s="170" t="n"/>
      <c r="O21" s="170" t="n"/>
      <c r="P21" s="170" t="n"/>
      <c r="Q21" s="170" t="n"/>
      <c r="R21" s="170" t="n"/>
      <c r="S21" s="170" t="n"/>
      <c r="T21" s="170" t="n"/>
      <c r="U21" s="170" t="n"/>
      <c r="V21" s="170" t="n"/>
      <c r="W21" s="170" t="n"/>
      <c r="X21" s="170" t="n"/>
      <c r="Y21" s="170" t="n"/>
      <c r="Z21" s="170" t="n"/>
      <c r="AA21" s="170" t="n"/>
      <c r="AB21" s="170" t="n"/>
      <c r="AC21" s="170" t="n"/>
      <c r="AD21" s="170" t="n"/>
      <c r="AE21" s="170" t="n"/>
    </row>
    <row r="22" ht="15" customFormat="1" customHeight="1" s="7">
      <c r="A22" s="8" t="n">
        <v>17</v>
      </c>
      <c r="B22" s="9" t="inlineStr">
        <is>
          <t>Gates on Manhattan</t>
        </is>
      </c>
      <c r="C22" s="9" t="inlineStr">
        <is>
          <t>Harvey, LA</t>
        </is>
      </c>
      <c r="D22" s="8" t="n">
        <v>1968</v>
      </c>
      <c r="E22" s="8" t="n">
        <v>276</v>
      </c>
      <c r="F22" s="10" t="inlineStr">
        <is>
          <t>Section 8/HUD</t>
        </is>
      </c>
      <c r="G22" s="9" t="inlineStr">
        <is>
          <t>19 - Gates</t>
        </is>
      </c>
      <c r="H22" s="9" t="inlineStr">
        <is>
          <t>1BR / 2BR / 3BR</t>
        </is>
      </c>
      <c r="I22" s="9" t="inlineStr">
        <is>
          <t>3 Affordable (Green) + 3 Market Rate (Blue)</t>
        </is>
      </c>
      <c r="J22" s="171" t="n"/>
      <c r="K22" s="170" t="n"/>
      <c r="L22" s="170" t="n"/>
      <c r="M22" s="170" t="n"/>
      <c r="N22" s="170" t="n"/>
      <c r="O22" s="170" t="n"/>
      <c r="P22" s="170" t="n"/>
      <c r="Q22" s="170" t="n"/>
      <c r="R22" s="170" t="n"/>
      <c r="S22" s="170" t="n"/>
      <c r="T22" s="170" t="n"/>
      <c r="U22" s="170" t="n"/>
      <c r="V22" s="170" t="n"/>
      <c r="W22" s="170" t="n"/>
      <c r="X22" s="170" t="n"/>
      <c r="Y22" s="170" t="n"/>
      <c r="Z22" s="170" t="n"/>
      <c r="AA22" s="170" t="n"/>
      <c r="AB22" s="170" t="n"/>
      <c r="AC22" s="170" t="n"/>
      <c r="AD22" s="170" t="n"/>
      <c r="AE22" s="170" t="n"/>
    </row>
    <row r="23" ht="15" customFormat="1" customHeight="1" s="3">
      <c r="A23" s="4" t="n">
        <v>18</v>
      </c>
      <c r="B23" s="5" t="inlineStr">
        <is>
          <t>Ruby Diamond</t>
        </is>
      </c>
      <c r="C23" s="5" t="inlineStr">
        <is>
          <t>Marrero, LA</t>
        </is>
      </c>
      <c r="D23" s="4" t="n">
        <v>2000</v>
      </c>
      <c r="E23" s="4" t="n">
        <v>73</v>
      </c>
      <c r="F23" s="5" t="inlineStr">
        <is>
          <t>LIHTC</t>
        </is>
      </c>
      <c r="G23" s="5" t="inlineStr">
        <is>
          <t>42 - Ruby</t>
        </is>
      </c>
      <c r="H23" s="5" t="inlineStr">
        <is>
          <t>3BR / 4BR</t>
        </is>
      </c>
      <c r="I23" s="5" t="inlineStr">
        <is>
          <t>4 Affordable (Green) + 4 Market Rate (Blue)</t>
        </is>
      </c>
      <c r="J23" s="169" t="n"/>
      <c r="K23" s="170" t="n"/>
      <c r="L23" s="170" t="n"/>
      <c r="M23" s="170" t="n"/>
      <c r="N23" s="170" t="n"/>
      <c r="O23" s="170" t="n"/>
      <c r="P23" s="170" t="n"/>
      <c r="Q23" s="170" t="n"/>
      <c r="R23" s="170" t="n"/>
      <c r="S23" s="170" t="n"/>
      <c r="T23" s="170" t="n"/>
      <c r="U23" s="170" t="n"/>
      <c r="V23" s="170" t="n"/>
      <c r="W23" s="170" t="n"/>
      <c r="X23" s="170" t="n"/>
      <c r="Y23" s="170" t="n"/>
      <c r="Z23" s="170" t="n"/>
      <c r="AA23" s="170" t="n"/>
      <c r="AB23" s="170" t="n"/>
      <c r="AC23" s="170" t="n"/>
      <c r="AD23" s="170" t="n"/>
      <c r="AE23" s="170" t="n"/>
    </row>
    <row r="24" ht="15" customFormat="1" customHeight="1" s="3">
      <c r="A24" s="4" t="n">
        <v>19</v>
      </c>
      <c r="B24" s="5" t="inlineStr">
        <is>
          <t>Star Homes</t>
        </is>
      </c>
      <c r="C24" s="5" t="inlineStr">
        <is>
          <t>Marrero, LA</t>
        </is>
      </c>
      <c r="D24" s="4" t="n">
        <v>2000</v>
      </c>
      <c r="E24" s="4" t="n">
        <v>48</v>
      </c>
      <c r="F24" s="5" t="inlineStr">
        <is>
          <t>LIHTC</t>
        </is>
      </c>
      <c r="G24" s="5" t="inlineStr">
        <is>
          <t>39 - Star</t>
        </is>
      </c>
      <c r="H24" s="5" t="inlineStr">
        <is>
          <t>2BR / 3BR / 4BR</t>
        </is>
      </c>
      <c r="I24" s="5" t="inlineStr">
        <is>
          <t>4 Affordable (Green) + 4 Market Rate (Blue)</t>
        </is>
      </c>
      <c r="J24" s="169" t="n"/>
      <c r="K24" s="170" t="n"/>
      <c r="L24" s="170" t="n"/>
      <c r="M24" s="170" t="n"/>
      <c r="N24" s="170" t="n"/>
      <c r="O24" s="170" t="n"/>
      <c r="P24" s="170" t="n"/>
      <c r="Q24" s="170" t="n"/>
      <c r="R24" s="170" t="n"/>
      <c r="S24" s="170" t="n"/>
      <c r="T24" s="170" t="n"/>
      <c r="U24" s="170" t="n"/>
      <c r="V24" s="170" t="n"/>
      <c r="W24" s="170" t="n"/>
      <c r="X24" s="170" t="n"/>
      <c r="Y24" s="170" t="n"/>
      <c r="Z24" s="170" t="n"/>
      <c r="AA24" s="170" t="n"/>
      <c r="AB24" s="170" t="n"/>
      <c r="AC24" s="170" t="n"/>
      <c r="AD24" s="170" t="n"/>
      <c r="AE24" s="170" t="n"/>
    </row>
    <row r="25" ht="15" customFormat="1" customHeight="1" s="7">
      <c r="A25" s="8" t="n">
        <v>20</v>
      </c>
      <c r="B25" s="9" t="inlineStr">
        <is>
          <t>Colonial Estates (Thibodaux)</t>
        </is>
      </c>
      <c r="C25" s="9" t="inlineStr">
        <is>
          <t>Thibodaux, LA</t>
        </is>
      </c>
      <c r="D25" s="8" t="n">
        <v>1975</v>
      </c>
      <c r="E25" s="8" t="n">
        <v>107</v>
      </c>
      <c r="F25" s="10" t="inlineStr">
        <is>
          <t>Section 8/HUD</t>
        </is>
      </c>
      <c r="G25" s="9" t="inlineStr">
        <is>
          <t>20 - Thibodaux</t>
        </is>
      </c>
      <c r="H25" s="9" t="inlineStr">
        <is>
          <t>1BR / 2BR / 3BR</t>
        </is>
      </c>
      <c r="I25" s="9" t="inlineStr">
        <is>
          <t>4 Affordable (Green) + 4 Market Rate (Blue)</t>
        </is>
      </c>
      <c r="J25" s="171" t="n"/>
      <c r="K25" s="170" t="n"/>
      <c r="L25" s="170" t="n"/>
      <c r="M25" s="170" t="n"/>
      <c r="N25" s="170" t="n"/>
      <c r="O25" s="170" t="n"/>
      <c r="P25" s="170" t="n"/>
      <c r="Q25" s="170" t="n"/>
      <c r="R25" s="170" t="n"/>
      <c r="S25" s="170" t="n"/>
      <c r="T25" s="170" t="n"/>
      <c r="U25" s="170" t="n"/>
      <c r="V25" s="170" t="n"/>
      <c r="W25" s="170" t="n"/>
      <c r="X25" s="170" t="n"/>
      <c r="Y25" s="170" t="n"/>
      <c r="Z25" s="170" t="n"/>
      <c r="AA25" s="170" t="n"/>
      <c r="AB25" s="170" t="n"/>
      <c r="AC25" s="170" t="n"/>
      <c r="AD25" s="170" t="n"/>
      <c r="AE25" s="170" t="n"/>
    </row>
    <row r="26" ht="15" customFormat="1" customHeight="1" s="7">
      <c r="A26" s="8" t="n">
        <v>21</v>
      </c>
      <c r="B26" s="9" t="inlineStr">
        <is>
          <t>Marrero 3</t>
        </is>
      </c>
      <c r="C26" s="9" t="inlineStr">
        <is>
          <t>Harvey, LA</t>
        </is>
      </c>
      <c r="D26" s="8" t="n">
        <v>1968</v>
      </c>
      <c r="E26" s="8" t="n">
        <v>173</v>
      </c>
      <c r="F26" s="10" t="inlineStr">
        <is>
          <t>Section 8/HUD</t>
        </is>
      </c>
      <c r="G26" s="9" t="inlineStr">
        <is>
          <t>40 - Marrero</t>
        </is>
      </c>
      <c r="H26" s="9" t="inlineStr">
        <is>
          <t>3BR / 4BR</t>
        </is>
      </c>
      <c r="I26" s="9" t="inlineStr">
        <is>
          <t>4 Affordable (Green) + 4 Market Rate (Blue)</t>
        </is>
      </c>
      <c r="J26" s="171" t="n"/>
      <c r="K26" s="170" t="n"/>
      <c r="L26" s="170" t="n"/>
      <c r="M26" s="170" t="n"/>
      <c r="N26" s="170" t="n"/>
      <c r="O26" s="170" t="n"/>
      <c r="P26" s="170" t="n"/>
      <c r="Q26" s="170" t="n"/>
      <c r="R26" s="170" t="n"/>
      <c r="S26" s="170" t="n"/>
      <c r="T26" s="170" t="n"/>
      <c r="U26" s="170" t="n"/>
      <c r="V26" s="170" t="n"/>
      <c r="W26" s="170" t="n"/>
      <c r="X26" s="170" t="n"/>
      <c r="Y26" s="170" t="n"/>
      <c r="Z26" s="170" t="n"/>
      <c r="AA26" s="170" t="n"/>
      <c r="AB26" s="170" t="n"/>
      <c r="AC26" s="170" t="n"/>
      <c r="AD26" s="170" t="n"/>
      <c r="AE26" s="170" t="n"/>
    </row>
    <row r="27" ht="15" customFormat="1" customHeight="1" s="3">
      <c r="A27" s="4" t="n">
        <v>22</v>
      </c>
      <c r="B27" s="5" t="inlineStr">
        <is>
          <t>Arbor Crest</t>
        </is>
      </c>
      <c r="C27" s="5" t="inlineStr">
        <is>
          <t>Quincy, FL</t>
        </is>
      </c>
      <c r="D27" s="4" t="n">
        <v>1995</v>
      </c>
      <c r="E27" s="4" t="n">
        <v>120</v>
      </c>
      <c r="F27" s="5" t="inlineStr">
        <is>
          <t>LIHTC</t>
        </is>
      </c>
      <c r="G27" s="5" t="inlineStr">
        <is>
          <t>37 - Arbor Crest</t>
        </is>
      </c>
      <c r="H27" s="5" t="inlineStr">
        <is>
          <t>1BR / 2BR / 3BR</t>
        </is>
      </c>
      <c r="I27" s="5" t="inlineStr">
        <is>
          <t>4 Affordable (Green) + 4 Market Rate (Blue)</t>
        </is>
      </c>
      <c r="J27" s="169" t="n"/>
      <c r="K27" s="170" t="n"/>
      <c r="L27" s="170" t="n"/>
      <c r="M27" s="170" t="n"/>
      <c r="N27" s="170" t="n"/>
      <c r="O27" s="170" t="n"/>
      <c r="P27" s="170" t="n"/>
      <c r="Q27" s="170" t="n"/>
      <c r="R27" s="170" t="n"/>
      <c r="S27" s="170" t="n"/>
      <c r="T27" s="170" t="n"/>
      <c r="U27" s="170" t="n"/>
      <c r="V27" s="170" t="n"/>
      <c r="W27" s="170" t="n"/>
      <c r="X27" s="170" t="n"/>
      <c r="Y27" s="170" t="n"/>
      <c r="Z27" s="170" t="n"/>
      <c r="AA27" s="170" t="n"/>
      <c r="AB27" s="170" t="n"/>
      <c r="AC27" s="170" t="n"/>
      <c r="AD27" s="170" t="n"/>
      <c r="AE27" s="170" t="n"/>
    </row>
    <row r="28" ht="15" customFormat="1" customHeight="1" s="3">
      <c r="A28" s="4" t="n">
        <v>23</v>
      </c>
      <c r="B28" s="5" t="inlineStr">
        <is>
          <t>Windsor/Yorkshire</t>
        </is>
      </c>
      <c r="C28" s="5" t="inlineStr">
        <is>
          <t>Shreveport, LA</t>
        </is>
      </c>
      <c r="D28" s="4" t="n">
        <v>1998</v>
      </c>
      <c r="E28" s="4" t="n">
        <v>134</v>
      </c>
      <c r="F28" s="5" t="inlineStr">
        <is>
          <t>LIHTC</t>
        </is>
      </c>
      <c r="G28" s="5" t="inlineStr">
        <is>
          <t>33 - Windsor-Yorkshire</t>
        </is>
      </c>
      <c r="H28" s="5" t="inlineStr">
        <is>
          <t>1BR / 2BR / 4BR</t>
        </is>
      </c>
      <c r="I28" s="5" t="inlineStr">
        <is>
          <t>4 Affordable (Green) + 4 Market Rate (Blue)</t>
        </is>
      </c>
      <c r="J28" s="169" t="n"/>
      <c r="K28" s="170" t="n"/>
      <c r="L28" s="170" t="n"/>
      <c r="M28" s="170" t="n"/>
      <c r="N28" s="170" t="n"/>
      <c r="O28" s="170" t="n"/>
      <c r="P28" s="170" t="n"/>
      <c r="Q28" s="170" t="n"/>
      <c r="R28" s="170" t="n"/>
      <c r="S28" s="170" t="n"/>
      <c r="T28" s="170" t="n"/>
      <c r="U28" s="170" t="n"/>
      <c r="V28" s="170" t="n"/>
      <c r="W28" s="170" t="n"/>
      <c r="X28" s="170" t="n"/>
      <c r="Y28" s="170" t="n"/>
      <c r="Z28" s="170" t="n"/>
      <c r="AA28" s="170" t="n"/>
      <c r="AB28" s="170" t="n"/>
      <c r="AC28" s="170" t="n"/>
      <c r="AD28" s="170" t="n"/>
      <c r="AE28" s="170" t="n"/>
    </row>
    <row r="29" ht="15" customFormat="1" customHeight="1" s="3">
      <c r="A29" s="4" t="n">
        <v>24</v>
      </c>
      <c r="B29" s="5" t="inlineStr">
        <is>
          <t>North Pointe</t>
        </is>
      </c>
      <c r="C29" s="5" t="inlineStr">
        <is>
          <t>Bossier City, LA</t>
        </is>
      </c>
      <c r="D29" s="4" t="n">
        <v>2000</v>
      </c>
      <c r="E29" s="4" t="n">
        <v>27</v>
      </c>
      <c r="F29" s="5" t="inlineStr">
        <is>
          <t>LIHTC</t>
        </is>
      </c>
      <c r="G29" s="5" t="inlineStr">
        <is>
          <t>50 - North Pointe</t>
        </is>
      </c>
      <c r="H29" s="5" t="inlineStr">
        <is>
          <t>2BR / 3BR / 4BR</t>
        </is>
      </c>
      <c r="I29" s="5" t="inlineStr">
        <is>
          <t>4 Affordable (Green) + 4 Market Rate (Blue)</t>
        </is>
      </c>
      <c r="J29" s="169" t="n"/>
      <c r="K29" s="170" t="n"/>
      <c r="L29" s="170" t="n"/>
      <c r="M29" s="170" t="n"/>
      <c r="N29" s="170" t="n"/>
      <c r="O29" s="170" t="n"/>
      <c r="P29" s="170" t="n"/>
      <c r="Q29" s="170" t="n"/>
      <c r="R29" s="170" t="n"/>
      <c r="S29" s="170" t="n"/>
      <c r="T29" s="170" t="n"/>
      <c r="U29" s="170" t="n"/>
      <c r="V29" s="170" t="n"/>
      <c r="W29" s="170" t="n"/>
      <c r="X29" s="170" t="n"/>
      <c r="Y29" s="170" t="n"/>
      <c r="Z29" s="170" t="n"/>
      <c r="AA29" s="170" t="n"/>
      <c r="AB29" s="170" t="n"/>
      <c r="AC29" s="170" t="n"/>
      <c r="AD29" s="170" t="n"/>
      <c r="AE29" s="170" t="n"/>
    </row>
    <row r="30" ht="15" customFormat="1" customHeight="1" s="3">
      <c r="A30" s="4" t="n">
        <v>25</v>
      </c>
      <c r="B30" s="5" t="inlineStr">
        <is>
          <t>Granite Bayou</t>
        </is>
      </c>
      <c r="C30" s="5" t="inlineStr">
        <is>
          <t>Baton Rouge, LA</t>
        </is>
      </c>
      <c r="D30" s="4" t="n">
        <v>2000</v>
      </c>
      <c r="E30" s="4" t="n">
        <v>60</v>
      </c>
      <c r="F30" s="5" t="inlineStr">
        <is>
          <t>LIHTC</t>
        </is>
      </c>
      <c r="G30" s="5" t="inlineStr">
        <is>
          <t>53 - Bayou Pointe</t>
        </is>
      </c>
      <c r="H30" s="5" t="inlineStr">
        <is>
          <t>3BR / 4BR</t>
        </is>
      </c>
      <c r="I30" s="5" t="inlineStr">
        <is>
          <t>4 Affordable (Green) + 4 Market Rate (Blue)</t>
        </is>
      </c>
      <c r="J30" s="169" t="n"/>
      <c r="K30" s="170" t="n"/>
      <c r="L30" s="170" t="n"/>
      <c r="M30" s="170" t="n"/>
      <c r="N30" s="170" t="n"/>
      <c r="O30" s="170" t="n"/>
      <c r="P30" s="170" t="n"/>
      <c r="Q30" s="170" t="n"/>
      <c r="R30" s="170" t="n"/>
      <c r="S30" s="170" t="n"/>
      <c r="T30" s="170" t="n"/>
      <c r="U30" s="170" t="n"/>
      <c r="V30" s="170" t="n"/>
      <c r="W30" s="170" t="n"/>
      <c r="X30" s="170" t="n"/>
      <c r="Y30" s="170" t="n"/>
      <c r="Z30" s="170" t="n"/>
      <c r="AA30" s="170" t="n"/>
      <c r="AB30" s="170" t="n"/>
      <c r="AC30" s="170" t="n"/>
      <c r="AD30" s="170" t="n"/>
      <c r="AE30" s="170" t="n"/>
    </row>
    <row r="31" ht="15" customFormat="1" customHeight="1" s="3">
      <c r="A31" s="4" t="n">
        <v>26</v>
      </c>
      <c r="B31" s="5" t="inlineStr">
        <is>
          <t>St. Charles Place</t>
        </is>
      </c>
      <c r="C31" s="5" t="inlineStr">
        <is>
          <t>Lake Charles, LA</t>
        </is>
      </c>
      <c r="D31" s="4" t="n">
        <v>1995</v>
      </c>
      <c r="E31" s="4" t="n">
        <v>121</v>
      </c>
      <c r="F31" s="5" t="inlineStr">
        <is>
          <t>Layered HUD/LIHTC</t>
        </is>
      </c>
      <c r="G31" s="5" t="inlineStr">
        <is>
          <t>41 - St. Charles</t>
        </is>
      </c>
      <c r="H31" s="5" t="inlineStr">
        <is>
          <t>2BR / 3BR</t>
        </is>
      </c>
      <c r="I31" s="5" t="inlineStr">
        <is>
          <t>4 Affordable (Green) + 4 Market Rate (Blue)</t>
        </is>
      </c>
      <c r="J31" s="169" t="n"/>
      <c r="K31" s="170" t="n"/>
      <c r="L31" s="170" t="n"/>
      <c r="M31" s="170" t="n"/>
      <c r="N31" s="170" t="n"/>
      <c r="O31" s="170" t="n"/>
      <c r="P31" s="170" t="n"/>
      <c r="Q31" s="170" t="n"/>
      <c r="R31" s="170" t="n"/>
      <c r="S31" s="170" t="n"/>
      <c r="T31" s="170" t="n"/>
      <c r="U31" s="170" t="n"/>
      <c r="V31" s="170" t="n"/>
      <c r="W31" s="170" t="n"/>
      <c r="X31" s="170" t="n"/>
      <c r="Y31" s="170" t="n"/>
      <c r="Z31" s="170" t="n"/>
      <c r="AA31" s="170" t="n"/>
      <c r="AB31" s="170" t="n"/>
      <c r="AC31" s="170" t="n"/>
      <c r="AD31" s="170" t="n"/>
      <c r="AE31" s="170" t="n"/>
    </row>
    <row r="32" ht="15" customFormat="1" customHeight="1" s="7">
      <c r="A32" s="8" t="n">
        <v>27</v>
      </c>
      <c r="B32" s="9" t="inlineStr">
        <is>
          <t>Pelican Bay</t>
        </is>
      </c>
      <c r="C32" s="9" t="inlineStr">
        <is>
          <t>Baton Rouge, LA</t>
        </is>
      </c>
      <c r="D32" s="8" t="n">
        <v>2001</v>
      </c>
      <c r="E32" s="8" t="n">
        <v>152</v>
      </c>
      <c r="F32" s="10" t="inlineStr">
        <is>
          <t>Section 8/HUD</t>
        </is>
      </c>
      <c r="G32" s="9" t="inlineStr">
        <is>
          <t>55 - Pelican Bay</t>
        </is>
      </c>
      <c r="H32" s="9" t="inlineStr">
        <is>
          <t>1BR / 2BR / 3BR / 4BR</t>
        </is>
      </c>
      <c r="I32" s="9" t="inlineStr">
        <is>
          <t>4 Affordable (Green) + 4 Market Rate (Blue)</t>
        </is>
      </c>
      <c r="J32" s="171" t="n"/>
      <c r="K32" s="170" t="n"/>
      <c r="L32" s="170" t="n"/>
      <c r="M32" s="170" t="n"/>
      <c r="N32" s="170" t="n"/>
      <c r="O32" s="170" t="n"/>
      <c r="P32" s="170" t="n"/>
      <c r="Q32" s="170" t="n"/>
      <c r="R32" s="170" t="n"/>
      <c r="S32" s="170" t="n"/>
      <c r="T32" s="170" t="n"/>
      <c r="U32" s="170" t="n"/>
      <c r="V32" s="170" t="n"/>
      <c r="W32" s="170" t="n"/>
      <c r="X32" s="170" t="n"/>
      <c r="Y32" s="170" t="n"/>
      <c r="Z32" s="170" t="n"/>
      <c r="AA32" s="170" t="n"/>
      <c r="AB32" s="170" t="n"/>
      <c r="AC32" s="170" t="n"/>
      <c r="AD32" s="170" t="n"/>
      <c r="AE32" s="170" t="n"/>
    </row>
    <row r="33" ht="15" customFormat="1" customHeight="1" s="7">
      <c r="A33" s="8" t="n">
        <v>28</v>
      </c>
      <c r="B33" s="9" t="inlineStr">
        <is>
          <t>Howell Place</t>
        </is>
      </c>
      <c r="C33" s="9" t="inlineStr">
        <is>
          <t>Baton Rouge, LA</t>
        </is>
      </c>
      <c r="D33" s="8" t="n">
        <v>2001</v>
      </c>
      <c r="E33" s="8" t="n">
        <v>48</v>
      </c>
      <c r="F33" s="10" t="inlineStr">
        <is>
          <t>Section 8/HUD</t>
        </is>
      </c>
      <c r="G33" s="9" t="inlineStr">
        <is>
          <t>56 - Howell Place</t>
        </is>
      </c>
      <c r="H33" s="9" t="inlineStr">
        <is>
          <t>1BR / 2BR / 3BR / 4BR</t>
        </is>
      </c>
      <c r="I33" s="9" t="inlineStr">
        <is>
          <t>4 Affordable (Green) + 4 Market Rate (Blue)</t>
        </is>
      </c>
      <c r="J33" s="171" t="n"/>
      <c r="K33" s="170" t="n"/>
      <c r="L33" s="170" t="n"/>
      <c r="M33" s="170" t="n"/>
      <c r="N33" s="170" t="n"/>
      <c r="O33" s="170" t="n"/>
      <c r="P33" s="170" t="n"/>
      <c r="Q33" s="170" t="n"/>
      <c r="R33" s="170" t="n"/>
      <c r="S33" s="170" t="n"/>
      <c r="T33" s="170" t="n"/>
      <c r="U33" s="170" t="n"/>
      <c r="V33" s="170" t="n"/>
      <c r="W33" s="170" t="n"/>
      <c r="X33" s="170" t="n"/>
      <c r="Y33" s="170" t="n"/>
      <c r="Z33" s="170" t="n"/>
      <c r="AA33" s="170" t="n"/>
      <c r="AB33" s="170" t="n"/>
      <c r="AC33" s="170" t="n"/>
      <c r="AD33" s="170" t="n"/>
      <c r="AE33" s="170" t="n"/>
    </row>
    <row r="34" ht="15" customFormat="1" customHeight="1" s="7">
      <c r="A34" s="8" t="n">
        <v>29</v>
      </c>
      <c r="B34" s="9" t="inlineStr">
        <is>
          <t>Pirates Bend</t>
        </is>
      </c>
      <c r="C34" s="9" t="inlineStr">
        <is>
          <t>Baton Rouge, LA</t>
        </is>
      </c>
      <c r="D34" s="8" t="n">
        <v>2001</v>
      </c>
      <c r="E34" s="8" t="n">
        <v>48</v>
      </c>
      <c r="F34" s="10" t="inlineStr">
        <is>
          <t>Section 8/HUD</t>
        </is>
      </c>
      <c r="G34" s="9" t="inlineStr">
        <is>
          <t>57 - Pirates Bend</t>
        </is>
      </c>
      <c r="H34" s="9" t="inlineStr">
        <is>
          <t>1BR / 2BR / 3BR / 4BR</t>
        </is>
      </c>
      <c r="I34" s="9" t="inlineStr">
        <is>
          <t>4 Affordable (Green) + 4 Market Rate (Blue)</t>
        </is>
      </c>
      <c r="J34" s="171" t="n"/>
      <c r="K34" s="170" t="n"/>
      <c r="L34" s="170" t="n"/>
      <c r="M34" s="170" t="n"/>
      <c r="N34" s="170" t="n"/>
      <c r="O34" s="170" t="n"/>
      <c r="P34" s="170" t="n"/>
      <c r="Q34" s="170" t="n"/>
      <c r="R34" s="170" t="n"/>
      <c r="S34" s="170" t="n"/>
      <c r="T34" s="170" t="n"/>
      <c r="U34" s="170" t="n"/>
      <c r="V34" s="170" t="n"/>
      <c r="W34" s="170" t="n"/>
      <c r="X34" s="170" t="n"/>
      <c r="Y34" s="170" t="n"/>
      <c r="Z34" s="170" t="n"/>
      <c r="AA34" s="170" t="n"/>
      <c r="AB34" s="170" t="n"/>
      <c r="AC34" s="170" t="n"/>
      <c r="AD34" s="170" t="n"/>
      <c r="AE34" s="170" t="n"/>
    </row>
    <row r="35" ht="15" customFormat="1" customHeight="1" s="7">
      <c r="A35" s="8" t="n">
        <v>30</v>
      </c>
      <c r="B35" s="9" t="inlineStr">
        <is>
          <t>Anaheim</t>
        </is>
      </c>
      <c r="C35" s="9" t="inlineStr">
        <is>
          <t>Anaheim, CA</t>
        </is>
      </c>
      <c r="D35" s="8" t="n">
        <v>1980</v>
      </c>
      <c r="E35" s="8" t="n">
        <v>80</v>
      </c>
      <c r="F35" s="10" t="inlineStr">
        <is>
          <t>Section 8/HUD</t>
        </is>
      </c>
      <c r="G35" s="9" t="inlineStr">
        <is>
          <t>6 - Anaheim Gardens</t>
        </is>
      </c>
      <c r="H35" s="9" t="inlineStr">
        <is>
          <t>2BR / 3BR / 4BR</t>
        </is>
      </c>
      <c r="I35" s="9" t="inlineStr">
        <is>
          <t>4 Affordable (Green) + 4 Market Rate (Blue)</t>
        </is>
      </c>
      <c r="J35" s="171" t="n"/>
      <c r="K35" s="170" t="n"/>
      <c r="L35" s="170" t="n"/>
      <c r="M35" s="170" t="n"/>
      <c r="N35" s="170" t="n"/>
      <c r="O35" s="170" t="n"/>
      <c r="P35" s="170" t="n"/>
      <c r="Q35" s="170" t="n"/>
      <c r="R35" s="170" t="n"/>
      <c r="S35" s="170" t="n"/>
      <c r="T35" s="170" t="n"/>
      <c r="U35" s="170" t="n"/>
      <c r="V35" s="170" t="n"/>
      <c r="W35" s="170" t="n"/>
      <c r="X35" s="170" t="n"/>
      <c r="Y35" s="170" t="n"/>
      <c r="Z35" s="170" t="n"/>
      <c r="AA35" s="170" t="n"/>
      <c r="AB35" s="170" t="n"/>
      <c r="AC35" s="170" t="n"/>
      <c r="AD35" s="170" t="n"/>
      <c r="AE35" s="170" t="n"/>
    </row>
    <row r="36" ht="15" customFormat="1" customHeight="1" s="7">
      <c r="A36" s="8" t="n">
        <v>31</v>
      </c>
      <c r="B36" s="9" t="inlineStr">
        <is>
          <t>Fairfax</t>
        </is>
      </c>
      <c r="C36" s="9" t="inlineStr">
        <is>
          <t>Los Angeles, CA</t>
        </is>
      </c>
      <c r="D36" s="8" t="n">
        <v>1965</v>
      </c>
      <c r="E36" s="8" t="n">
        <v>46</v>
      </c>
      <c r="F36" s="10" t="inlineStr">
        <is>
          <t>Section 8/HUD</t>
        </is>
      </c>
      <c r="G36" s="9" t="inlineStr">
        <is>
          <t>11 - Fairfax</t>
        </is>
      </c>
      <c r="H36" s="9" t="inlineStr">
        <is>
          <t>1BR</t>
        </is>
      </c>
      <c r="I36" s="9" t="inlineStr">
        <is>
          <t>4 Affordable (Green) + 4 Market Rate (Blue)</t>
        </is>
      </c>
      <c r="J36" s="171" t="n"/>
      <c r="K36" s="170" t="n"/>
      <c r="L36" s="170" t="n"/>
      <c r="M36" s="170" t="n"/>
      <c r="N36" s="170" t="n"/>
      <c r="O36" s="170" t="n"/>
      <c r="P36" s="170" t="n"/>
      <c r="Q36" s="170" t="n"/>
      <c r="R36" s="170" t="n"/>
      <c r="S36" s="170" t="n"/>
      <c r="T36" s="170" t="n"/>
      <c r="U36" s="170" t="n"/>
      <c r="V36" s="170" t="n"/>
      <c r="W36" s="170" t="n"/>
      <c r="X36" s="170" t="n"/>
      <c r="Y36" s="170" t="n"/>
      <c r="Z36" s="170" t="n"/>
      <c r="AA36" s="170" t="n"/>
      <c r="AB36" s="170" t="n"/>
      <c r="AC36" s="170" t="n"/>
      <c r="AD36" s="170" t="n"/>
      <c r="AE36" s="170" t="n"/>
    </row>
    <row r="37" ht="15" customFormat="1" customHeight="1" s="3">
      <c r="A37" s="4" t="n">
        <v>32</v>
      </c>
      <c r="B37" s="5" t="inlineStr">
        <is>
          <t>Urban 1 &amp; 2</t>
        </is>
      </c>
      <c r="C37" s="5" t="inlineStr">
        <is>
          <t>Los Angeles, CA</t>
        </is>
      </c>
      <c r="D37" s="4" t="n">
        <v>1970</v>
      </c>
      <c r="E37" s="4" t="n">
        <v>60</v>
      </c>
      <c r="F37" s="5" t="inlineStr">
        <is>
          <t>LIHTC</t>
        </is>
      </c>
      <c r="G37" s="5" t="inlineStr">
        <is>
          <t>31 - Urban</t>
        </is>
      </c>
      <c r="H37" s="5" t="inlineStr">
        <is>
          <t>2BR</t>
        </is>
      </c>
      <c r="I37" s="5" t="inlineStr">
        <is>
          <t>4 Affordable (Green) + 4 Market Rate (Blue)</t>
        </is>
      </c>
      <c r="J37" s="169" t="n"/>
      <c r="K37" s="170" t="n"/>
      <c r="L37" s="170" t="n"/>
      <c r="M37" s="170" t="n"/>
      <c r="N37" s="170" t="n"/>
      <c r="O37" s="170" t="n"/>
      <c r="P37" s="170" t="n"/>
      <c r="Q37" s="170" t="n"/>
      <c r="R37" s="170" t="n"/>
      <c r="S37" s="170" t="n"/>
      <c r="T37" s="170" t="n"/>
      <c r="U37" s="170" t="n"/>
      <c r="V37" s="170" t="n"/>
      <c r="W37" s="170" t="n"/>
      <c r="X37" s="170" t="n"/>
      <c r="Y37" s="170" t="n"/>
      <c r="Z37" s="170" t="n"/>
      <c r="AA37" s="170" t="n"/>
      <c r="AB37" s="170" t="n"/>
      <c r="AC37" s="170" t="n"/>
      <c r="AD37" s="170" t="n"/>
      <c r="AE37" s="170" t="n"/>
    </row>
    <row r="38" ht="15" customFormat="1" customHeight="1" s="3">
      <c r="A38" s="4" t="n">
        <v>33</v>
      </c>
      <c r="B38" s="5" t="inlineStr">
        <is>
          <t>Midtown Manor</t>
        </is>
      </c>
      <c r="C38" s="5" t="inlineStr">
        <is>
          <t>Los Angeles, CA</t>
        </is>
      </c>
      <c r="D38" s="4" t="n">
        <v>1970</v>
      </c>
      <c r="E38" s="4" t="n">
        <v>32</v>
      </c>
      <c r="F38" s="5" t="inlineStr">
        <is>
          <t>LIHTC</t>
        </is>
      </c>
      <c r="G38" s="5" t="inlineStr">
        <is>
          <t>2 - Midtown</t>
        </is>
      </c>
      <c r="H38" s="5" t="inlineStr">
        <is>
          <t>1BR</t>
        </is>
      </c>
      <c r="I38" s="5" t="inlineStr">
        <is>
          <t>4 Affordable (Green) + 4 Market Rate (Blue)</t>
        </is>
      </c>
      <c r="J38" s="169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0" t="n"/>
      <c r="U38" s="170" t="n"/>
      <c r="V38" s="170" t="n"/>
      <c r="W38" s="170" t="n"/>
      <c r="X38" s="170" t="n"/>
      <c r="Y38" s="170" t="n"/>
      <c r="Z38" s="170" t="n"/>
      <c r="AA38" s="170" t="n"/>
      <c r="AB38" s="170" t="n"/>
      <c r="AC38" s="170" t="n"/>
      <c r="AD38" s="170" t="n"/>
      <c r="AE38" s="170" t="n"/>
    </row>
    <row r="39" ht="15" customFormat="1" customHeight="1" s="3">
      <c r="A39" s="4" t="n">
        <v>34</v>
      </c>
      <c r="B39" s="5" t="inlineStr">
        <is>
          <t>Pacific Pointe</t>
        </is>
      </c>
      <c r="C39" s="5" t="inlineStr">
        <is>
          <t>Stockton, CA</t>
        </is>
      </c>
      <c r="D39" s="4" t="n">
        <v>1998</v>
      </c>
      <c r="E39" s="4" t="n">
        <v>80</v>
      </c>
      <c r="F39" s="5" t="inlineStr">
        <is>
          <t>LIHTC</t>
        </is>
      </c>
      <c r="G39" s="5" t="inlineStr">
        <is>
          <t>34 - Pacific Pointe</t>
        </is>
      </c>
      <c r="H39" s="5" t="inlineStr">
        <is>
          <t>1BR / 2BR</t>
        </is>
      </c>
      <c r="I39" s="5" t="inlineStr">
        <is>
          <t>4 Affordable (Green) + 4 Market Rate (Blue)</t>
        </is>
      </c>
      <c r="J39" s="169" t="n"/>
      <c r="K39" s="170" t="n"/>
      <c r="L39" s="170" t="n"/>
      <c r="M39" s="170" t="n"/>
      <c r="N39" s="170" t="n"/>
      <c r="O39" s="170" t="n"/>
      <c r="P39" s="170" t="n"/>
      <c r="Q39" s="170" t="n"/>
      <c r="R39" s="170" t="n"/>
      <c r="S39" s="170" t="n"/>
      <c r="T39" s="170" t="n"/>
      <c r="U39" s="170" t="n"/>
      <c r="V39" s="170" t="n"/>
      <c r="W39" s="170" t="n"/>
      <c r="X39" s="170" t="n"/>
      <c r="Y39" s="170" t="n"/>
      <c r="Z39" s="170" t="n"/>
      <c r="AA39" s="170" t="n"/>
      <c r="AB39" s="170" t="n"/>
      <c r="AC39" s="170" t="n"/>
      <c r="AD39" s="170" t="n"/>
      <c r="AE39" s="170" t="n"/>
    </row>
    <row r="40" ht="15" customFormat="1" customHeight="1" s="3">
      <c r="A40" s="4" t="n">
        <v>35</v>
      </c>
      <c r="B40" s="5" t="inlineStr">
        <is>
          <t>Granite Ridge</t>
        </is>
      </c>
      <c r="C40" s="5" t="inlineStr">
        <is>
          <t>Stockton, CA</t>
        </is>
      </c>
      <c r="D40" s="4" t="n">
        <v>1998</v>
      </c>
      <c r="E40" s="4" t="n">
        <v>80</v>
      </c>
      <c r="F40" s="5" t="inlineStr">
        <is>
          <t>LIHTC</t>
        </is>
      </c>
      <c r="G40" s="5" t="inlineStr">
        <is>
          <t>28 - Granite Ridge</t>
        </is>
      </c>
      <c r="H40" s="5" t="inlineStr">
        <is>
          <t>1BR / 2BR</t>
        </is>
      </c>
      <c r="I40" s="5" t="inlineStr">
        <is>
          <t>4 Affordable (Green) + 4 Market Rate (Blue)</t>
        </is>
      </c>
      <c r="J40" s="169" t="n"/>
      <c r="K40" s="170" t="n"/>
      <c r="L40" s="170" t="n"/>
      <c r="M40" s="170" t="n"/>
      <c r="N40" s="170" t="n"/>
      <c r="O40" s="170" t="n"/>
      <c r="P40" s="170" t="n"/>
      <c r="Q40" s="170" t="n"/>
      <c r="R40" s="170" t="n"/>
      <c r="S40" s="170" t="n"/>
      <c r="T40" s="170" t="n"/>
      <c r="U40" s="170" t="n"/>
      <c r="V40" s="170" t="n"/>
      <c r="W40" s="170" t="n"/>
      <c r="X40" s="170" t="n"/>
      <c r="Y40" s="170" t="n"/>
      <c r="Z40" s="170" t="n"/>
      <c r="AA40" s="170" t="n"/>
      <c r="AB40" s="170" t="n"/>
      <c r="AC40" s="170" t="n"/>
      <c r="AD40" s="170" t="n"/>
      <c r="AE40" s="170" t="n"/>
    </row>
    <row r="41" ht="15" customFormat="1" customHeight="1" s="3">
      <c r="A41" s="4" t="n">
        <v>36</v>
      </c>
      <c r="B41" s="5" t="inlineStr">
        <is>
          <t>Columbia Village</t>
        </is>
      </c>
      <c r="C41" s="5" t="inlineStr">
        <is>
          <t>Sonora, CA</t>
        </is>
      </c>
      <c r="D41" s="4" t="n">
        <v>2000</v>
      </c>
      <c r="E41" s="4" t="n">
        <v>80</v>
      </c>
      <c r="F41" s="5" t="inlineStr">
        <is>
          <t>LIHTC</t>
        </is>
      </c>
      <c r="G41" s="5" t="inlineStr">
        <is>
          <t>25 - Columbia</t>
        </is>
      </c>
      <c r="H41" s="5" t="inlineStr">
        <is>
          <t>1BR / 2BR / 3BR</t>
        </is>
      </c>
      <c r="I41" s="5" t="inlineStr">
        <is>
          <t>4 Affordable (Green) + 4 Market Rate (Blue)</t>
        </is>
      </c>
      <c r="J41" s="169" t="n"/>
      <c r="K41" s="170" t="n"/>
      <c r="L41" s="170" t="n"/>
      <c r="M41" s="170" t="n"/>
      <c r="N41" s="170" t="n"/>
      <c r="O41" s="170" t="n"/>
      <c r="P41" s="170" t="n"/>
      <c r="Q41" s="170" t="n"/>
      <c r="R41" s="170" t="n"/>
      <c r="S41" s="170" t="n"/>
      <c r="T41" s="170" t="n"/>
      <c r="U41" s="170" t="n"/>
      <c r="V41" s="170" t="n"/>
      <c r="W41" s="170" t="n"/>
      <c r="X41" s="170" t="n"/>
      <c r="Y41" s="170" t="n"/>
      <c r="Z41" s="170" t="n"/>
      <c r="AA41" s="170" t="n"/>
      <c r="AB41" s="170" t="n"/>
      <c r="AC41" s="170" t="n"/>
      <c r="AD41" s="170" t="n"/>
      <c r="AE41" s="170" t="n"/>
    </row>
    <row r="42" ht="15" customFormat="1" customHeight="1" s="3">
      <c r="A42" s="4" t="n">
        <v>37</v>
      </c>
      <c r="B42" s="5" t="inlineStr">
        <is>
          <t>Forest View Senior</t>
        </is>
      </c>
      <c r="C42" s="5" t="inlineStr">
        <is>
          <t>Sonora, CA</t>
        </is>
      </c>
      <c r="D42" s="4" t="n">
        <v>2000</v>
      </c>
      <c r="E42" s="4" t="n">
        <v>60</v>
      </c>
      <c r="F42" s="5" t="inlineStr">
        <is>
          <t>LIHTC</t>
        </is>
      </c>
      <c r="G42" s="5" t="inlineStr">
        <is>
          <t>26 - Forest View</t>
        </is>
      </c>
      <c r="H42" s="5" t="inlineStr">
        <is>
          <t>1BR / 2BR / 3BR</t>
        </is>
      </c>
      <c r="I42" s="5" t="inlineStr">
        <is>
          <t>4 Affordable (Green) + 4 Market Rate (Blue)</t>
        </is>
      </c>
      <c r="J42" s="169" t="n"/>
      <c r="K42" s="170" t="n"/>
      <c r="L42" s="170" t="n"/>
      <c r="M42" s="170" t="n"/>
      <c r="N42" s="170" t="n"/>
      <c r="O42" s="170" t="n"/>
      <c r="P42" s="170" t="n"/>
      <c r="Q42" s="170" t="n"/>
      <c r="R42" s="170" t="n"/>
      <c r="S42" s="170" t="n"/>
      <c r="T42" s="170" t="n"/>
      <c r="U42" s="170" t="n"/>
      <c r="V42" s="170" t="n"/>
      <c r="W42" s="170" t="n"/>
      <c r="X42" s="170" t="n"/>
      <c r="Y42" s="170" t="n"/>
      <c r="Z42" s="170" t="n"/>
      <c r="AA42" s="170" t="n"/>
      <c r="AB42" s="170" t="n"/>
      <c r="AC42" s="170" t="n"/>
      <c r="AD42" s="170" t="n"/>
      <c r="AE42" s="170" t="n"/>
    </row>
    <row r="43" ht="15" customFormat="1" customHeight="1" s="3">
      <c r="A43" s="4" t="n">
        <v>38</v>
      </c>
      <c r="B43" s="5" t="inlineStr">
        <is>
          <t>Oak Hills</t>
        </is>
      </c>
      <c r="C43" s="5" t="inlineStr">
        <is>
          <t>Jamestown, CA</t>
        </is>
      </c>
      <c r="D43" s="4" t="n">
        <v>2000</v>
      </c>
      <c r="E43" s="4" t="n">
        <v>80</v>
      </c>
      <c r="F43" s="5" t="inlineStr">
        <is>
          <t>LIHTC</t>
        </is>
      </c>
      <c r="G43" s="5" t="inlineStr">
        <is>
          <t>24 - Oak Hills</t>
        </is>
      </c>
      <c r="H43" s="5" t="inlineStr">
        <is>
          <t>2BR / 3BR</t>
        </is>
      </c>
      <c r="I43" s="5" t="inlineStr">
        <is>
          <t>4 Affordable (Green) + 4 Market Rate (Blue)</t>
        </is>
      </c>
      <c r="J43" s="169" t="n"/>
      <c r="K43" s="170" t="n"/>
      <c r="L43" s="170" t="n"/>
      <c r="M43" s="170" t="n"/>
      <c r="N43" s="170" t="n"/>
      <c r="O43" s="170" t="n"/>
      <c r="P43" s="170" t="n"/>
      <c r="Q43" s="170" t="n"/>
      <c r="R43" s="170" t="n"/>
      <c r="S43" s="170" t="n"/>
      <c r="T43" s="170" t="n"/>
      <c r="U43" s="170" t="n"/>
      <c r="V43" s="170" t="n"/>
      <c r="W43" s="170" t="n"/>
      <c r="X43" s="170" t="n"/>
      <c r="Y43" s="170" t="n"/>
      <c r="Z43" s="170" t="n"/>
      <c r="AA43" s="170" t="n"/>
      <c r="AB43" s="170" t="n"/>
      <c r="AC43" s="170" t="n"/>
      <c r="AD43" s="170" t="n"/>
      <c r="AE43" s="170" t="n"/>
    </row>
    <row r="44" ht="15" customFormat="1" customHeight="1" s="7">
      <c r="A44" s="8" t="n">
        <v>39</v>
      </c>
      <c r="B44" s="9" t="inlineStr">
        <is>
          <t>River Garden</t>
        </is>
      </c>
      <c r="C44" s="9" t="inlineStr">
        <is>
          <t>Sonora, CA</t>
        </is>
      </c>
      <c r="D44" s="8" t="n">
        <v>1995</v>
      </c>
      <c r="E44" s="8" t="n">
        <v>123</v>
      </c>
      <c r="F44" s="10" t="inlineStr">
        <is>
          <t>Section 8/HUD</t>
        </is>
      </c>
      <c r="G44" s="9" t="inlineStr">
        <is>
          <t>58 - River Garden</t>
        </is>
      </c>
      <c r="H44" s="9" t="inlineStr">
        <is>
          <t>2BR / 3BR / 4BR / 5BR</t>
        </is>
      </c>
      <c r="I44" s="9" t="inlineStr">
        <is>
          <t>4 Affordable (Green) + 4 Market Rate (Blue)</t>
        </is>
      </c>
      <c r="J44" s="171" t="n"/>
      <c r="K44" s="170" t="n"/>
      <c r="L44" s="170" t="n"/>
      <c r="M44" s="170" t="n"/>
      <c r="N44" s="170" t="n"/>
      <c r="O44" s="170" t="n"/>
      <c r="P44" s="170" t="n"/>
      <c r="Q44" s="170" t="n"/>
      <c r="R44" s="170" t="n"/>
      <c r="S44" s="170" t="n"/>
      <c r="T44" s="170" t="n"/>
      <c r="U44" s="170" t="n"/>
      <c r="V44" s="170" t="n"/>
      <c r="W44" s="170" t="n"/>
      <c r="X44" s="170" t="n"/>
      <c r="Y44" s="170" t="n"/>
      <c r="Z44" s="170" t="n"/>
      <c r="AA44" s="170" t="n"/>
      <c r="AB44" s="170" t="n"/>
      <c r="AC44" s="170" t="n"/>
      <c r="AD44" s="170" t="n"/>
      <c r="AE44" s="170" t="n"/>
    </row>
    <row r="45" ht="15" customFormat="1" customHeight="1" s="3">
      <c r="A45" s="4" t="n">
        <v>41</v>
      </c>
      <c r="B45" s="5" t="inlineStr">
        <is>
          <t>Silver Springs Terrace</t>
        </is>
      </c>
      <c r="C45" s="5" t="inlineStr">
        <is>
          <t>Hickory, NC</t>
        </is>
      </c>
      <c r="D45" s="4" t="n">
        <v>1971</v>
      </c>
      <c r="E45" s="4" t="n">
        <v>100</v>
      </c>
      <c r="F45" s="5" t="inlineStr">
        <is>
          <t>Layered HUD/LIHTC</t>
        </is>
      </c>
      <c r="G45" s="5" t="inlineStr">
        <is>
          <t>36 - Silver Springs</t>
        </is>
      </c>
      <c r="H45" s="5" t="inlineStr">
        <is>
          <t>1BR / 2BR / 3BR / 4BR</t>
        </is>
      </c>
      <c r="I45" s="5" t="inlineStr">
        <is>
          <t>4 Affordable (Green) + 4 Market Rate (Blue)</t>
        </is>
      </c>
      <c r="J45" s="169" t="n"/>
      <c r="K45" s="170" t="n"/>
      <c r="L45" s="170" t="n"/>
      <c r="M45" s="170" t="n"/>
      <c r="N45" s="170" t="n"/>
      <c r="O45" s="170" t="n"/>
      <c r="P45" s="170" t="n"/>
      <c r="Q45" s="170" t="n"/>
      <c r="R45" s="170" t="n"/>
      <c r="S45" s="170" t="n"/>
      <c r="T45" s="170" t="n"/>
      <c r="U45" s="170" t="n"/>
      <c r="V45" s="170" t="n"/>
      <c r="W45" s="170" t="n"/>
      <c r="X45" s="170" t="n"/>
      <c r="Y45" s="170" t="n"/>
      <c r="Z45" s="170" t="n"/>
      <c r="AA45" s="170" t="n"/>
      <c r="AB45" s="170" t="n"/>
      <c r="AC45" s="170" t="n"/>
      <c r="AD45" s="170" t="n"/>
      <c r="AE45" s="170" t="n"/>
    </row>
    <row r="46" ht="15" customFormat="1" customHeight="1" s="7">
      <c r="A46" s="8" t="n">
        <v>42</v>
      </c>
      <c r="B46" s="9" t="inlineStr">
        <is>
          <t>Thomasville Church Homes</t>
        </is>
      </c>
      <c r="C46" s="9" t="inlineStr">
        <is>
          <t>Thomasville, NC</t>
        </is>
      </c>
      <c r="D46" s="8" t="n">
        <v>1975</v>
      </c>
      <c r="E46" s="8" t="n">
        <v>100</v>
      </c>
      <c r="F46" s="10" t="inlineStr">
        <is>
          <t>Section 8/HUD</t>
        </is>
      </c>
      <c r="G46" s="9" t="inlineStr">
        <is>
          <t>44 - Thomasville</t>
        </is>
      </c>
      <c r="H46" s="9" t="inlineStr">
        <is>
          <t>1BR / 2BR / 3BR / 4BR</t>
        </is>
      </c>
      <c r="I46" s="9" t="inlineStr">
        <is>
          <t>4 Affordable (Green) + 4 Market Rate (Blue)</t>
        </is>
      </c>
      <c r="J46" s="171" t="n"/>
      <c r="K46" s="170" t="n"/>
      <c r="L46" s="170" t="n"/>
      <c r="M46" s="170" t="n"/>
      <c r="N46" s="170" t="n"/>
      <c r="O46" s="170" t="n"/>
      <c r="P46" s="170" t="n"/>
      <c r="Q46" s="170" t="n"/>
      <c r="R46" s="170" t="n"/>
      <c r="S46" s="170" t="n"/>
      <c r="T46" s="170" t="n"/>
      <c r="U46" s="170" t="n"/>
      <c r="V46" s="170" t="n"/>
      <c r="W46" s="170" t="n"/>
      <c r="X46" s="170" t="n"/>
      <c r="Y46" s="170" t="n"/>
      <c r="Z46" s="170" t="n"/>
      <c r="AA46" s="170" t="n"/>
      <c r="AB46" s="170" t="n"/>
      <c r="AC46" s="170" t="n"/>
      <c r="AD46" s="170" t="n"/>
      <c r="AE46" s="170" t="n"/>
    </row>
    <row r="47" ht="15" customHeight="1" s="131">
      <c r="A47" s="4" t="n">
        <v>43</v>
      </c>
      <c r="B47" s="5" t="inlineStr">
        <is>
          <t>Crossroads</t>
        </is>
      </c>
      <c r="C47" s="5" t="n"/>
      <c r="D47" s="4" t="n"/>
      <c r="E47" s="4" t="n"/>
      <c r="F47" s="5" t="n"/>
      <c r="G47" s="5" t="n"/>
      <c r="H47" s="5" t="n"/>
      <c r="I47" s="5" t="n"/>
      <c r="J47" s="169" t="n"/>
      <c r="K47" s="170" t="n"/>
      <c r="L47" s="170" t="n"/>
      <c r="M47" s="170" t="n"/>
      <c r="N47" s="170" t="n"/>
      <c r="O47" s="170" t="n"/>
      <c r="P47" s="170" t="n"/>
      <c r="Q47" s="170" t="n"/>
      <c r="R47" s="170" t="n"/>
      <c r="S47" s="170" t="n"/>
      <c r="T47" s="170" t="n"/>
      <c r="U47" s="170" t="n"/>
      <c r="V47" s="170" t="n"/>
      <c r="W47" s="170" t="n"/>
      <c r="X47" s="170" t="n"/>
      <c r="Y47" s="170" t="n"/>
      <c r="Z47" s="170" t="n"/>
      <c r="AA47" s="170" t="n"/>
      <c r="AB47" s="170" t="n"/>
      <c r="AC47" s="170" t="n"/>
      <c r="AD47" s="170" t="n"/>
      <c r="AE47" s="170" t="n"/>
    </row>
  </sheetData>
  <mergeCells count="3">
    <mergeCell ref="I5:J5"/>
    <mergeCell ref="A4:J4"/>
    <mergeCell ref="A3:J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CT49"/>
  <sheetViews>
    <sheetView tabSelected="1" topLeftCell="A4" zoomScale="70" workbookViewId="0">
      <selection activeCell="E1" sqref="E1:E1048576"/>
    </sheetView>
  </sheetViews>
  <sheetFormatPr baseColWidth="8" defaultColWidth="9.140625" defaultRowHeight="21.75" customHeight="1"/>
  <cols>
    <col width="1.28515625" customWidth="1" style="302" min="1" max="1"/>
    <col width="8.5703125" customWidth="1" style="191" min="2" max="2"/>
    <col width="20.140625" customWidth="1" style="191" min="3" max="3"/>
    <col width="37.140625" customWidth="1" style="191" min="4" max="4"/>
    <col width="41" customWidth="1" style="191" min="5" max="5"/>
    <col width="14.28515625" customWidth="1" style="191" min="6" max="6"/>
    <col width="17.5703125" customWidth="1" style="191" min="7" max="7"/>
    <col width="7.140625" customWidth="1" style="191" min="8" max="8"/>
    <col width="13.140625" customWidth="1" style="191" min="9" max="9"/>
    <col width="17.28515625" customWidth="1" style="191" min="10" max="10"/>
    <col width="18.7109375" customWidth="1" style="191" min="11" max="11"/>
    <col hidden="1" width="9.28515625" customWidth="1" style="191" min="12" max="12"/>
    <col width="14" customWidth="1" style="191" min="13" max="13"/>
    <col width="17.85546875" customWidth="1" style="191" min="14" max="14"/>
    <col width="16.7109375" customWidth="1" style="131" min="15" max="15"/>
    <col hidden="1" width="9.28515625" customWidth="1" style="191" min="16" max="16"/>
    <col width="13.140625" customWidth="1" style="191" min="17" max="17"/>
    <col width="7" customWidth="1" style="191" min="18" max="18"/>
    <col width="7.28515625" customWidth="1" style="191" min="19" max="19"/>
    <col width="7" customWidth="1" style="191" min="20" max="20"/>
    <col width="9.42578125" customWidth="1" style="191" min="21" max="21"/>
    <col width="10.5703125" customWidth="1" style="191" min="22" max="22"/>
    <col width="5.7109375" customWidth="1" style="191" min="23" max="23"/>
    <col width="4.85546875" customWidth="1" style="191" min="24" max="24"/>
    <col width="9.28515625" customWidth="1" style="191" min="25" max="25"/>
    <col width="14.28515625" customWidth="1" style="191" min="26" max="26"/>
    <col width="53.7109375" customWidth="1" style="54" min="27" max="27"/>
    <col width="64.140625" customWidth="1" style="191" min="28" max="28"/>
    <col width="9.140625" customWidth="1" style="191" min="29" max="29"/>
    <col width="13" customWidth="1" style="131" min="30" max="50"/>
    <col width="9.140625" customWidth="1" style="191" min="51" max="51"/>
    <col width="9.140625" customWidth="1" style="191" min="52" max="16384"/>
  </cols>
  <sheetData>
    <row r="1" ht="21.75" customFormat="1" customHeight="1" s="38">
      <c r="A1" s="302" t="n"/>
      <c r="B1" s="302" t="n"/>
      <c r="C1" s="302" t="n"/>
      <c r="D1" s="302" t="n"/>
      <c r="E1" s="302" t="n"/>
      <c r="F1" s="302" t="n"/>
      <c r="G1" s="302" t="n"/>
      <c r="H1" s="302" t="n"/>
      <c r="I1" s="302" t="n"/>
      <c r="J1" s="302" t="n"/>
      <c r="K1" s="302" t="n"/>
      <c r="L1" s="302" t="n"/>
      <c r="M1" s="302" t="n"/>
      <c r="N1" s="302" t="n"/>
      <c r="O1" s="302" t="n"/>
      <c r="P1" s="302" t="n"/>
      <c r="Q1" s="302" t="n"/>
      <c r="R1" s="302" t="n"/>
      <c r="S1" s="302" t="n"/>
      <c r="T1" s="302" t="n"/>
      <c r="U1" s="302" t="n"/>
      <c r="V1" s="302" t="n"/>
      <c r="W1" s="302" t="n"/>
      <c r="X1" s="302" t="n"/>
      <c r="Y1" s="302" t="n"/>
      <c r="Z1" s="302" t="n"/>
      <c r="AA1" s="353" t="n"/>
      <c r="AB1" s="302" t="n"/>
      <c r="AC1" s="302" t="n"/>
      <c r="AD1" s="302" t="n"/>
      <c r="AE1" s="302" t="n"/>
      <c r="AF1" s="302" t="n"/>
      <c r="AG1" s="302" t="n"/>
      <c r="AH1" s="302" t="n"/>
      <c r="AI1" s="302" t="n"/>
      <c r="AJ1" s="302" t="n"/>
      <c r="AK1" s="302" t="n"/>
      <c r="AL1" s="302" t="n"/>
      <c r="AM1" s="302" t="n"/>
      <c r="AN1" s="302" t="n"/>
      <c r="AO1" s="302" t="n"/>
      <c r="AP1" s="302" t="n"/>
      <c r="AQ1" s="302" t="n"/>
      <c r="AR1" s="302" t="n"/>
      <c r="AS1" s="302" t="n"/>
      <c r="AT1" s="302" t="n"/>
      <c r="AU1" s="302" t="n"/>
      <c r="AV1" s="302" t="n"/>
      <c r="AW1" s="302" t="n"/>
      <c r="AX1" s="302" t="n"/>
      <c r="AY1" s="302" t="n"/>
      <c r="AZ1" s="302" t="n"/>
      <c r="BA1" s="302" t="n"/>
      <c r="BB1" s="302" t="n"/>
      <c r="BC1" s="302" t="n"/>
      <c r="BD1" s="302" t="n"/>
      <c r="BE1" s="302" t="n"/>
      <c r="BF1" s="302" t="n"/>
      <c r="BG1" s="302" t="n"/>
      <c r="BH1" s="302" t="n"/>
      <c r="BI1" s="302" t="n"/>
      <c r="BJ1" s="302" t="n"/>
      <c r="BK1" s="302" t="n"/>
      <c r="BL1" s="302" t="n"/>
      <c r="BM1" s="302" t="n"/>
      <c r="BN1" s="302" t="n"/>
      <c r="BO1" s="302" t="n"/>
      <c r="BP1" s="302" t="n"/>
      <c r="BQ1" s="302" t="n"/>
      <c r="BR1" s="302" t="n"/>
      <c r="BS1" s="302" t="n"/>
      <c r="BT1" s="302" t="n"/>
      <c r="BU1" s="302" t="n"/>
      <c r="BV1" s="302" t="n"/>
      <c r="BW1" s="302" t="n"/>
      <c r="BX1" s="302" t="n"/>
      <c r="BY1" s="302" t="n"/>
      <c r="BZ1" s="302" t="n"/>
      <c r="CA1" s="302" t="n"/>
      <c r="CB1" s="302" t="n"/>
      <c r="CC1" s="302" t="n"/>
      <c r="CD1" s="302" t="n"/>
      <c r="CE1" s="302" t="n"/>
      <c r="CF1" s="302" t="n"/>
      <c r="CG1" s="302" t="n"/>
      <c r="CH1" s="302" t="n"/>
      <c r="CI1" s="302" t="n"/>
      <c r="CJ1" s="302" t="n"/>
      <c r="CK1" s="302" t="n"/>
      <c r="CL1" s="302" t="n"/>
      <c r="CM1" s="302" t="n"/>
      <c r="CN1" s="302" t="n"/>
      <c r="CO1" s="302" t="n"/>
      <c r="CP1" s="302" t="n"/>
      <c r="CQ1" s="302" t="n"/>
      <c r="CR1" s="302" t="n"/>
      <c r="CS1" s="302" t="n"/>
      <c r="CT1" s="302" t="n"/>
    </row>
    <row r="2" ht="24" customHeight="1" s="131">
      <c r="B2" s="360" t="inlineStr">
        <is>
          <t>COMPETITIVE RENT ANALYSIS — BOCA CIEGA | GREEN = Affordable Comps | BLUE = Market Rate Comps</t>
        </is>
      </c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302" t="n"/>
      <c r="AD2" s="343" t="n"/>
      <c r="AE2" s="343" t="n"/>
      <c r="AF2" s="343" t="n"/>
      <c r="AG2" s="343" t="n"/>
      <c r="AH2" s="343" t="n"/>
      <c r="AI2" s="343" t="n"/>
      <c r="AJ2" s="343" t="n"/>
      <c r="AK2" s="343" t="n"/>
      <c r="AL2" s="343" t="n"/>
      <c r="AM2" s="343" t="n"/>
      <c r="AN2" s="343" t="n"/>
      <c r="AO2" s="343" t="n"/>
      <c r="AP2" s="343" t="n"/>
      <c r="AQ2" s="343" t="n"/>
      <c r="AR2" s="343" t="n"/>
      <c r="AS2" s="343" t="n"/>
      <c r="AT2" s="343" t="n"/>
      <c r="AU2" s="343" t="n"/>
      <c r="AV2" s="343" t="n"/>
      <c r="AW2" s="343" t="n"/>
      <c r="AX2" s="343" t="n"/>
      <c r="AY2" s="302" t="n"/>
      <c r="AZ2" s="302" t="n"/>
      <c r="BA2" s="302" t="n"/>
      <c r="BB2" s="302" t="n"/>
      <c r="BC2" s="302" t="n"/>
      <c r="BD2" s="302" t="n"/>
      <c r="BE2" s="302" t="n"/>
      <c r="BF2" s="302" t="n"/>
      <c r="BG2" s="302" t="n"/>
      <c r="BH2" s="302" t="n"/>
      <c r="BI2" s="302" t="n"/>
      <c r="BJ2" s="302" t="n"/>
      <c r="BK2" s="302" t="n"/>
      <c r="BL2" s="302" t="n"/>
      <c r="BM2" s="302" t="n"/>
      <c r="BN2" s="302" t="n"/>
      <c r="BO2" s="302" t="n"/>
      <c r="BP2" s="302" t="n"/>
      <c r="BQ2" s="302" t="n"/>
      <c r="BR2" s="302" t="n"/>
      <c r="BS2" s="302" t="n"/>
      <c r="BT2" s="302" t="n"/>
      <c r="BU2" s="302" t="n"/>
      <c r="BV2" s="302" t="n"/>
      <c r="BW2" s="302" t="n"/>
      <c r="BX2" s="302" t="n"/>
      <c r="BY2" s="302" t="n"/>
      <c r="BZ2" s="302" t="n"/>
      <c r="CA2" s="302" t="n"/>
      <c r="CB2" s="302" t="n"/>
      <c r="CC2" s="302" t="n"/>
      <c r="CD2" s="302" t="n"/>
      <c r="CE2" s="302" t="n"/>
      <c r="CF2" s="302" t="n"/>
      <c r="CG2" s="302" t="n"/>
      <c r="CH2" s="302" t="n"/>
      <c r="CI2" s="302" t="n"/>
      <c r="CJ2" s="302" t="n"/>
      <c r="CK2" s="302" t="n"/>
      <c r="CL2" s="302" t="n"/>
      <c r="CM2" s="302" t="n"/>
      <c r="CN2" s="302" t="n"/>
      <c r="CO2" s="302" t="n"/>
      <c r="CP2" s="302" t="n"/>
      <c r="CQ2" s="302" t="n"/>
      <c r="CR2" s="302" t="n"/>
      <c r="CS2" s="302" t="n"/>
      <c r="CT2" s="302" t="n"/>
    </row>
    <row r="3" ht="20.25" customHeight="1" s="131">
      <c r="B3" s="362" t="inlineStr">
        <is>
          <t>SUBJECT: Boca Ciega | 3401 37th Street South, St. Petersburg, FL 33711 | 109 units | Program: Layered HUD/LIHTC | Bedroom Mix: 2BR / 3BR | County AMI: $98,400 | FMR Area: Tampa-St. Petersburg MSA</t>
        </is>
      </c>
      <c r="AB3" s="363" t="n"/>
      <c r="AC3" s="302" t="n"/>
      <c r="AD3" s="343" t="n"/>
      <c r="AE3" s="343" t="n"/>
      <c r="AF3" s="343" t="n"/>
      <c r="AG3" s="343" t="n"/>
      <c r="AH3" s="343" t="n"/>
      <c r="AI3" s="343" t="n"/>
      <c r="AJ3" s="343" t="n"/>
      <c r="AK3" s="343" t="n"/>
      <c r="AL3" s="343" t="n"/>
      <c r="AM3" s="343" t="n"/>
      <c r="AN3" s="343" t="n"/>
      <c r="AO3" s="343" t="n"/>
      <c r="AP3" s="343" t="n"/>
      <c r="AQ3" s="343" t="n"/>
      <c r="AR3" s="343" t="n"/>
      <c r="AS3" s="343" t="n"/>
      <c r="AT3" s="343" t="n"/>
      <c r="AU3" s="343" t="n"/>
      <c r="AV3" s="343" t="n"/>
      <c r="AW3" s="343" t="n"/>
      <c r="AX3" s="343" t="n"/>
      <c r="AY3" s="302" t="n"/>
      <c r="AZ3" s="302" t="n"/>
      <c r="BA3" s="302" t="n"/>
      <c r="BB3" s="302" t="n"/>
      <c r="BC3" s="302" t="n"/>
      <c r="BD3" s="302" t="n"/>
      <c r="BE3" s="302" t="n"/>
      <c r="BF3" s="302" t="n"/>
      <c r="BG3" s="302" t="n"/>
      <c r="BH3" s="302" t="n"/>
      <c r="BI3" s="302" t="n"/>
      <c r="BJ3" s="302" t="n"/>
      <c r="BK3" s="302" t="n"/>
      <c r="BL3" s="302" t="n"/>
      <c r="BM3" s="302" t="n"/>
      <c r="BN3" s="302" t="n"/>
      <c r="BO3" s="302" t="n"/>
      <c r="BP3" s="302" t="n"/>
      <c r="BQ3" s="302" t="n"/>
      <c r="BR3" s="302" t="n"/>
      <c r="BS3" s="302" t="n"/>
      <c r="BT3" s="302" t="n"/>
      <c r="BU3" s="302" t="n"/>
      <c r="BV3" s="302" t="n"/>
      <c r="BW3" s="302" t="n"/>
      <c r="BX3" s="302" t="n"/>
      <c r="BY3" s="302" t="n"/>
      <c r="BZ3" s="302" t="n"/>
      <c r="CA3" s="302" t="n"/>
      <c r="CB3" s="302" t="n"/>
      <c r="CC3" s="302" t="n"/>
      <c r="CD3" s="302" t="n"/>
      <c r="CE3" s="302" t="n"/>
      <c r="CF3" s="302" t="n"/>
      <c r="CG3" s="302" t="n"/>
      <c r="CH3" s="302" t="n"/>
      <c r="CI3" s="302" t="n"/>
      <c r="CJ3" s="302" t="n"/>
      <c r="CK3" s="302" t="n"/>
      <c r="CL3" s="302" t="n"/>
      <c r="CM3" s="302" t="n"/>
      <c r="CN3" s="302" t="n"/>
      <c r="CO3" s="302" t="n"/>
      <c r="CP3" s="302" t="n"/>
      <c r="CQ3" s="302" t="n"/>
      <c r="CR3" s="302" t="n"/>
      <c r="CS3" s="302" t="n"/>
      <c r="CT3" s="302" t="n"/>
    </row>
    <row r="4" ht="69" customHeight="1" s="131">
      <c r="B4" s="364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B4" s="363" t="n"/>
      <c r="AC4" s="302" t="n"/>
      <c r="AD4" s="343" t="n"/>
      <c r="AE4" s="343" t="n"/>
      <c r="AF4" s="343" t="n"/>
      <c r="AG4" s="343" t="n"/>
      <c r="AH4" s="343" t="n"/>
      <c r="AI4" s="343" t="n"/>
      <c r="AJ4" s="343" t="n"/>
      <c r="AK4" s="343" t="n"/>
      <c r="AL4" s="343" t="n"/>
      <c r="AM4" s="343" t="n"/>
      <c r="AN4" s="343" t="n"/>
      <c r="AO4" s="343" t="n"/>
      <c r="AP4" s="343" t="n"/>
      <c r="AQ4" s="343" t="n"/>
      <c r="AR4" s="343" t="n"/>
      <c r="AS4" s="343" t="n"/>
      <c r="AT4" s="343" t="n"/>
      <c r="AU4" s="343" t="n"/>
      <c r="AV4" s="343" t="n"/>
      <c r="AW4" s="343" t="n"/>
      <c r="AX4" s="343" t="n"/>
      <c r="AY4" s="302" t="n"/>
      <c r="AZ4" s="302" t="n"/>
      <c r="BA4" s="302" t="n"/>
      <c r="BB4" s="302" t="n"/>
      <c r="BC4" s="302" t="n"/>
      <c r="BD4" s="302" t="n"/>
      <c r="BE4" s="302" t="n"/>
      <c r="BF4" s="302" t="n"/>
      <c r="BG4" s="302" t="n"/>
      <c r="BH4" s="302" t="n"/>
      <c r="BI4" s="302" t="n"/>
      <c r="BJ4" s="302" t="n"/>
      <c r="BK4" s="302" t="n"/>
      <c r="BL4" s="302" t="n"/>
      <c r="BM4" s="302" t="n"/>
      <c r="BN4" s="302" t="n"/>
      <c r="BO4" s="302" t="n"/>
      <c r="BP4" s="302" t="n"/>
      <c r="BQ4" s="302" t="n"/>
      <c r="BR4" s="302" t="n"/>
      <c r="BS4" s="302" t="n"/>
      <c r="BT4" s="302" t="n"/>
      <c r="BU4" s="302" t="n"/>
      <c r="BV4" s="302" t="n"/>
      <c r="BW4" s="302" t="n"/>
      <c r="BX4" s="302" t="n"/>
      <c r="BY4" s="302" t="n"/>
      <c r="BZ4" s="302" t="n"/>
      <c r="CA4" s="302" t="n"/>
      <c r="CB4" s="302" t="n"/>
      <c r="CC4" s="302" t="n"/>
      <c r="CD4" s="302" t="n"/>
      <c r="CE4" s="302" t="n"/>
      <c r="CF4" s="302" t="n"/>
      <c r="CG4" s="302" t="n"/>
      <c r="CH4" s="302" t="n"/>
      <c r="CI4" s="302" t="n"/>
      <c r="CJ4" s="302" t="n"/>
      <c r="CK4" s="302" t="n"/>
      <c r="CL4" s="302" t="n"/>
      <c r="CM4" s="302" t="n"/>
      <c r="CN4" s="302" t="n"/>
      <c r="CO4" s="302" t="n"/>
      <c r="CP4" s="302" t="n"/>
      <c r="CQ4" s="302" t="n"/>
      <c r="CR4" s="302" t="n"/>
      <c r="CS4" s="302" t="n"/>
      <c r="CT4" s="302" t="n"/>
    </row>
    <row r="5" ht="30" customFormat="1" customHeight="1" s="191">
      <c r="A5" s="302" t="n"/>
      <c r="B5" s="303" t="inlineStr">
        <is>
          <t>Rank</t>
        </is>
      </c>
      <c r="C5" s="304" t="inlineStr">
        <is>
          <t>Type</t>
        </is>
      </c>
      <c r="D5" s="304" t="inlineStr">
        <is>
          <t>Property Name</t>
        </is>
      </c>
      <c r="E5" s="304" t="inlineStr">
        <is>
          <t>Address</t>
        </is>
      </c>
      <c r="F5" s="304" t="inlineStr">
        <is>
          <t>City</t>
        </is>
      </c>
      <c r="G5" s="304" t="inlineStr">
        <is>
          <t>State</t>
        </is>
      </c>
      <c r="H5" s="304" t="inlineStr">
        <is>
          <t>ZIP</t>
        </is>
      </c>
      <c r="I5" s="304" t="inlineStr">
        <is>
          <t>Distance (mi)</t>
        </is>
      </c>
      <c r="J5" s="304" t="inlineStr">
        <is>
          <t>2BD 50% AMI ($)</t>
        </is>
      </c>
      <c r="K5" s="304" t="inlineStr">
        <is>
          <t>2BD 60% AMI ($)</t>
        </is>
      </c>
      <c r="L5" s="305" t="inlineStr">
        <is>
          <t>2BR FMR ($)</t>
        </is>
      </c>
      <c r="M5" s="306" t="inlineStr">
        <is>
          <t>2BR Actual ($)</t>
        </is>
      </c>
      <c r="N5" s="304" t="inlineStr">
        <is>
          <t>3BD 50% AMI ($)</t>
        </is>
      </c>
      <c r="O5" s="304" t="inlineStr">
        <is>
          <t>3BD 60% AMI ($)</t>
        </is>
      </c>
      <c r="P5" s="305" t="inlineStr">
        <is>
          <t>3BR FMR ($)</t>
        </is>
      </c>
      <c r="Q5" s="306" t="inlineStr">
        <is>
          <t>3BR Actual ($)</t>
        </is>
      </c>
      <c r="R5" s="304" t="inlineStr">
        <is>
          <t># Units</t>
        </is>
      </c>
      <c r="S5" s="304" t="inlineStr">
        <is>
          <t>Year Built</t>
        </is>
      </c>
      <c r="T5" s="304" t="inlineStr">
        <is>
          <t>Yr Diff</t>
        </is>
      </c>
      <c r="U5" s="304" t="inlineStr">
        <is>
          <t>Utilities Incl.</t>
        </is>
      </c>
      <c r="V5" s="304" t="inlineStr">
        <is>
          <t>Pet Friendly</t>
        </is>
      </c>
      <c r="W5" s="304" t="inlineStr">
        <is>
          <t>Gated</t>
        </is>
      </c>
      <c r="X5" s="304" t="inlineStr">
        <is>
          <t>Pool</t>
        </is>
      </c>
      <c r="Y5" s="304" t="inlineStr">
        <is>
          <t>W/D In-Unit</t>
        </is>
      </c>
      <c r="Z5" s="304" t="inlineStr">
        <is>
          <t>Competition Level</t>
        </is>
      </c>
      <c r="AA5" s="304" t="inlineStr">
        <is>
          <t>Why Competitive</t>
        </is>
      </c>
      <c r="AB5" s="341" t="inlineStr">
        <is>
          <t>Data Source</t>
        </is>
      </c>
      <c r="AC5" s="302" t="n"/>
      <c r="AD5" s="302" t="n"/>
      <c r="AE5" s="302" t="n"/>
      <c r="AF5" s="302" t="n"/>
      <c r="AG5" s="302" t="n"/>
      <c r="AH5" s="302" t="n"/>
      <c r="AI5" s="302" t="n"/>
      <c r="AJ5" s="302" t="n"/>
      <c r="AK5" s="302" t="n"/>
      <c r="AL5" s="302" t="n"/>
      <c r="AM5" s="302" t="n"/>
      <c r="AN5" s="302" t="n"/>
      <c r="AO5" s="302" t="n"/>
      <c r="AP5" s="302" t="n"/>
      <c r="AQ5" s="302" t="n"/>
      <c r="AR5" s="302" t="n"/>
      <c r="AS5" s="302" t="n"/>
      <c r="AT5" s="302" t="n"/>
      <c r="AU5" s="302" t="n"/>
      <c r="AV5" s="302" t="n"/>
      <c r="AW5" s="302" t="n"/>
      <c r="AX5" s="302" t="n"/>
      <c r="AY5" s="302" t="n"/>
      <c r="AZ5" s="302" t="n"/>
      <c r="BA5" s="302" t="n"/>
      <c r="BB5" s="302" t="n"/>
      <c r="BC5" s="302" t="n"/>
      <c r="BD5" s="302" t="n"/>
      <c r="BE5" s="302" t="n"/>
      <c r="BF5" s="302" t="n"/>
      <c r="BG5" s="302" t="n"/>
      <c r="BH5" s="302" t="n"/>
      <c r="BI5" s="302" t="n"/>
      <c r="BJ5" s="302" t="n"/>
      <c r="BK5" s="302" t="n"/>
      <c r="BL5" s="302" t="n"/>
      <c r="BM5" s="302" t="n"/>
      <c r="BN5" s="302" t="n"/>
      <c r="BO5" s="302" t="n"/>
      <c r="BP5" s="302" t="n"/>
      <c r="BQ5" s="302" t="n"/>
      <c r="BR5" s="302" t="n"/>
      <c r="BS5" s="302" t="n"/>
      <c r="BT5" s="302" t="n"/>
      <c r="BU5" s="302" t="n"/>
      <c r="BV5" s="302" t="n"/>
      <c r="BW5" s="302" t="n"/>
      <c r="BX5" s="302" t="n"/>
      <c r="BY5" s="302" t="n"/>
      <c r="BZ5" s="302" t="n"/>
      <c r="CA5" s="302" t="n"/>
      <c r="CB5" s="302" t="n"/>
      <c r="CC5" s="302" t="n"/>
      <c r="CD5" s="302" t="n"/>
      <c r="CE5" s="302" t="n"/>
      <c r="CF5" s="302" t="n"/>
      <c r="CG5" s="302" t="n"/>
      <c r="CH5" s="302" t="n"/>
      <c r="CI5" s="302" t="n"/>
      <c r="CJ5" s="302" t="n"/>
      <c r="CK5" s="302" t="n"/>
      <c r="CL5" s="302" t="n"/>
      <c r="CM5" s="302" t="n"/>
      <c r="CN5" s="302" t="n"/>
      <c r="CO5" s="302" t="n"/>
      <c r="CP5" s="302" t="n"/>
      <c r="CQ5" s="302" t="n"/>
      <c r="CR5" s="302" t="n"/>
      <c r="CS5" s="302" t="n"/>
      <c r="CT5" s="302" t="n"/>
    </row>
    <row r="6" ht="26.25" customFormat="1" customHeight="1" s="338">
      <c r="A6" s="337" t="n"/>
      <c r="B6" s="334" t="inlineStr">
        <is>
          <t>★</t>
        </is>
      </c>
      <c r="C6" s="280" t="inlineStr">
        <is>
          <t>SUBJECT</t>
        </is>
      </c>
      <c r="D6" s="280" t="inlineStr">
        <is>
          <t>Boca Ciega (SUBJECT)</t>
        </is>
      </c>
      <c r="E6" s="280" t="inlineStr">
        <is>
          <t>3401 37th Street South</t>
        </is>
      </c>
      <c r="F6" s="279" t="inlineStr">
        <is>
          <t>St. Petersburg</t>
        </is>
      </c>
      <c r="G6" s="279" t="inlineStr">
        <is>
          <t>FL</t>
        </is>
      </c>
      <c r="H6" s="279" t="inlineStr">
        <is>
          <t>33711</t>
        </is>
      </c>
      <c r="I6" s="279" t="inlineStr">
        <is>
          <t>0.0 mi</t>
        </is>
      </c>
      <c r="J6" s="280" t="inlineStr">
        <is>
          <t>$3,912</t>
        </is>
      </c>
      <c r="K6" s="280" t="inlineStr">
        <is>
          <t>$4,695</t>
        </is>
      </c>
      <c r="L6" s="335" t="inlineStr">
        <is>
          <t>$2,170</t>
        </is>
      </c>
      <c r="M6" s="281">
        <f>C25</f>
        <v/>
      </c>
      <c r="N6" s="280" t="inlineStr">
        <is>
          <t>$4,345</t>
        </is>
      </c>
      <c r="O6" s="280" t="inlineStr">
        <is>
          <t>$5,215</t>
        </is>
      </c>
      <c r="P6" s="335" t="inlineStr">
        <is>
          <t>$2,780</t>
        </is>
      </c>
      <c r="Q6" s="281">
        <f>C26</f>
        <v/>
      </c>
      <c r="R6" s="280" t="inlineStr">
        <is>
          <t>109</t>
        </is>
      </c>
      <c r="S6" s="280" t="n">
        <v>2015</v>
      </c>
      <c r="T6" s="339" t="inlineStr">
        <is>
          <t>0</t>
        </is>
      </c>
      <c r="U6" s="339" t="inlineStr">
        <is>
          <t>Yes</t>
        </is>
      </c>
      <c r="V6" s="339" t="inlineStr">
        <is>
          <t>No</t>
        </is>
      </c>
      <c r="W6" s="339" t="inlineStr">
        <is>
          <t>No</t>
        </is>
      </c>
      <c r="X6" s="339" t="inlineStr">
        <is>
          <t>No</t>
        </is>
      </c>
      <c r="Y6" s="339" t="inlineStr">
        <is>
          <t>No</t>
        </is>
      </c>
      <c r="Z6" s="336" t="inlineStr">
        <is>
          <t>SUBJECT</t>
        </is>
      </c>
      <c r="AA6" s="340" t="inlineStr">
        <is>
          <t>109 units | Layered HUD/LIHTC property. Year built: 1974. Subject property for market context.</t>
        </is>
      </c>
      <c r="AB6" s="342" t="inlineStr">
        <is>
          <t>Apartment Corp Records</t>
        </is>
      </c>
      <c r="AC6" s="337" t="n"/>
      <c r="AD6" s="337" t="n"/>
      <c r="AE6" s="337" t="n"/>
      <c r="AF6" s="337" t="n"/>
      <c r="AG6" s="337" t="n"/>
      <c r="AH6" s="337" t="n"/>
      <c r="AI6" s="337" t="n"/>
      <c r="AJ6" s="337" t="n"/>
      <c r="AK6" s="337" t="n"/>
      <c r="AL6" s="337" t="n"/>
      <c r="AM6" s="337" t="n"/>
      <c r="AN6" s="337" t="n"/>
      <c r="AO6" s="337" t="n"/>
      <c r="AP6" s="337" t="n"/>
      <c r="AQ6" s="337" t="n"/>
      <c r="AR6" s="337" t="n"/>
      <c r="AS6" s="337" t="n"/>
      <c r="AT6" s="337" t="n"/>
      <c r="AU6" s="337" t="n"/>
      <c r="AV6" s="337" t="n"/>
      <c r="AW6" s="337" t="n"/>
      <c r="AX6" s="337" t="n"/>
      <c r="AY6" s="337" t="n"/>
      <c r="AZ6" s="337" t="n"/>
      <c r="BA6" s="337" t="n"/>
      <c r="BB6" s="337" t="n"/>
      <c r="BC6" s="337" t="n"/>
      <c r="BD6" s="337" t="n"/>
      <c r="BE6" s="337" t="n"/>
      <c r="BF6" s="337" t="n"/>
      <c r="BG6" s="337" t="n"/>
      <c r="BH6" s="337" t="n"/>
      <c r="BI6" s="337" t="n"/>
      <c r="BJ6" s="337" t="n"/>
      <c r="BK6" s="337" t="n"/>
      <c r="BL6" s="337" t="n"/>
      <c r="BM6" s="337" t="n"/>
      <c r="BN6" s="337" t="n"/>
      <c r="BO6" s="337" t="n"/>
      <c r="BP6" s="337" t="n"/>
      <c r="BQ6" s="337" t="n"/>
      <c r="BR6" s="337" t="n"/>
      <c r="BS6" s="337" t="n"/>
      <c r="BT6" s="337" t="n"/>
      <c r="BU6" s="337" t="n"/>
      <c r="BV6" s="337" t="n"/>
      <c r="BW6" s="337" t="n"/>
      <c r="BX6" s="337" t="n"/>
      <c r="BY6" s="337" t="n"/>
      <c r="BZ6" s="337" t="n"/>
      <c r="CA6" s="337" t="n"/>
      <c r="CB6" s="337" t="n"/>
      <c r="CC6" s="337" t="n"/>
      <c r="CD6" s="337" t="n"/>
      <c r="CE6" s="337" t="n"/>
      <c r="CF6" s="337" t="n"/>
      <c r="CG6" s="337" t="n"/>
      <c r="CH6" s="337" t="n"/>
      <c r="CI6" s="337" t="n"/>
      <c r="CJ6" s="337" t="n"/>
      <c r="CK6" s="337" t="n"/>
      <c r="CL6" s="337" t="n"/>
      <c r="CM6" s="337" t="n"/>
      <c r="CN6" s="337" t="n"/>
      <c r="CO6" s="337" t="n"/>
      <c r="CP6" s="337" t="n"/>
      <c r="CQ6" s="337" t="n"/>
      <c r="CR6" s="337" t="n"/>
      <c r="CS6" s="337" t="n"/>
      <c r="CT6" s="345" t="n"/>
    </row>
    <row r="7" ht="27.75" customHeight="1" s="131">
      <c r="B7" s="288" t="inlineStr">
        <is>
          <t>1</t>
        </is>
      </c>
      <c r="C7" s="289" t="inlineStr">
        <is>
          <t>AFFORDABLE</t>
        </is>
      </c>
      <c r="D7" s="290" t="inlineStr">
        <is>
          <t>Clearwater Gardens Apartments</t>
        </is>
      </c>
      <c r="E7" s="291" t="inlineStr">
        <is>
          <t>1501 N Greenwood Ave</t>
        </is>
      </c>
      <c r="F7" s="291" t="inlineStr">
        <is>
          <t>Clearwater</t>
        </is>
      </c>
      <c r="G7" s="291" t="inlineStr">
        <is>
          <t>FL</t>
        </is>
      </c>
      <c r="H7" s="291" t="inlineStr">
        <is>
          <t>33755</t>
        </is>
      </c>
      <c r="I7" s="291" t="inlineStr">
        <is>
          <t>14.2 mi</t>
        </is>
      </c>
      <c r="J7" s="291" t="inlineStr">
        <is>
          <t>$3,912</t>
        </is>
      </c>
      <c r="K7" s="291" t="inlineStr">
        <is>
          <t>$4,695</t>
        </is>
      </c>
      <c r="L7" s="292" t="inlineStr">
        <is>
          <t>$2,170</t>
        </is>
      </c>
      <c r="M7" s="293" t="inlineStr">
        <is>
          <t>Not Listed</t>
        </is>
      </c>
      <c r="N7" s="294" t="inlineStr">
        <is>
          <t>$4,345</t>
        </is>
      </c>
      <c r="O7" s="294" t="inlineStr">
        <is>
          <t>$5,215</t>
        </is>
      </c>
      <c r="P7" s="292" t="inlineStr">
        <is>
          <t>$2,780</t>
        </is>
      </c>
      <c r="Q7" s="293" t="inlineStr">
        <is>
          <t>Not Listed</t>
        </is>
      </c>
      <c r="R7" s="294" t="inlineStr">
        <is>
          <t>100</t>
        </is>
      </c>
      <c r="S7" s="294" t="inlineStr">
        <is>
          <t>1974</t>
        </is>
      </c>
      <c r="T7" s="294" t="inlineStr">
        <is>
          <t>0</t>
        </is>
      </c>
      <c r="U7" s="294" t="inlineStr">
        <is>
          <t>Yes</t>
        </is>
      </c>
      <c r="V7" s="294" t="inlineStr">
        <is>
          <t>No</t>
        </is>
      </c>
      <c r="W7" s="294" t="inlineStr">
        <is>
          <t>No</t>
        </is>
      </c>
      <c r="X7" s="294" t="inlineStr">
        <is>
          <t>No</t>
        </is>
      </c>
      <c r="Y7" s="294" t="inlineStr">
        <is>
          <t>No</t>
        </is>
      </c>
      <c r="Z7" s="295" t="inlineStr">
        <is>
          <t>HIGH</t>
        </is>
      </c>
      <c r="AA7" s="296" t="inlineStr">
        <is>
          <t>Affordable Comp #1: Section 8/HUD property, 1974 vintage (0 yr diff), 100 units, 14.2 mi from subject. Same income-eligible renter pool.</t>
        </is>
      </c>
      <c r="AB7" s="297" t="inlineStr">
        <is>
          <t>HUD Multifamily Assisted Housing</t>
        </is>
      </c>
      <c r="AC7" s="302" t="n"/>
      <c r="AD7" s="343" t="n"/>
      <c r="AE7" s="343" t="n"/>
      <c r="AF7" s="343" t="n"/>
      <c r="AG7" s="343" t="n"/>
      <c r="AH7" s="343" t="n"/>
      <c r="AI7" s="343" t="n"/>
      <c r="AJ7" s="343" t="n"/>
      <c r="AK7" s="343" t="n"/>
      <c r="AL7" s="343" t="n"/>
      <c r="AM7" s="343" t="n"/>
      <c r="AN7" s="343" t="n"/>
      <c r="AO7" s="343" t="n"/>
      <c r="AP7" s="343" t="n"/>
      <c r="AQ7" s="343" t="n"/>
      <c r="AR7" s="343" t="n"/>
      <c r="AS7" s="343" t="n"/>
      <c r="AT7" s="343" t="n"/>
      <c r="AU7" s="343" t="n"/>
      <c r="AV7" s="343" t="n"/>
      <c r="AW7" s="343" t="n"/>
      <c r="AX7" s="343" t="n"/>
      <c r="AY7" s="302" t="n"/>
      <c r="AZ7" s="302" t="n"/>
      <c r="BA7" s="302" t="n"/>
      <c r="BB7" s="302" t="n"/>
      <c r="BC7" s="302" t="n"/>
      <c r="BD7" s="302" t="n"/>
      <c r="BE7" s="302" t="n"/>
      <c r="BF7" s="302" t="n"/>
      <c r="BG7" s="302" t="n"/>
      <c r="BH7" s="302" t="n"/>
      <c r="BI7" s="302" t="n"/>
      <c r="BJ7" s="302" t="n"/>
      <c r="BK7" s="302" t="n"/>
      <c r="BL7" s="302" t="n"/>
      <c r="BM7" s="302" t="n"/>
      <c r="BN7" s="302" t="n"/>
      <c r="BO7" s="302" t="n"/>
      <c r="BP7" s="302" t="n"/>
      <c r="BQ7" s="302" t="n"/>
      <c r="BR7" s="302" t="n"/>
      <c r="BS7" s="302" t="n"/>
      <c r="BT7" s="302" t="n"/>
      <c r="BU7" s="302" t="n"/>
      <c r="BV7" s="302" t="n"/>
      <c r="BW7" s="302" t="n"/>
      <c r="BX7" s="302" t="n"/>
      <c r="BY7" s="302" t="n"/>
      <c r="BZ7" s="302" t="n"/>
      <c r="CA7" s="302" t="n"/>
      <c r="CB7" s="302" t="n"/>
      <c r="CC7" s="302" t="n"/>
      <c r="CD7" s="302" t="n"/>
      <c r="CE7" s="302" t="n"/>
      <c r="CF7" s="302" t="n"/>
      <c r="CG7" s="302" t="n"/>
      <c r="CH7" s="302" t="n"/>
      <c r="CI7" s="302" t="n"/>
      <c r="CJ7" s="302" t="n"/>
      <c r="CK7" s="302" t="n"/>
      <c r="CL7" s="302" t="n"/>
      <c r="CM7" s="302" t="n"/>
      <c r="CN7" s="302" t="n"/>
      <c r="CO7" s="302" t="n"/>
      <c r="CP7" s="302" t="n"/>
      <c r="CQ7" s="302" t="n"/>
      <c r="CR7" s="302" t="n"/>
      <c r="CS7" s="302" t="n"/>
      <c r="CT7" s="302" t="n"/>
    </row>
    <row r="8" ht="24.75" customHeight="1" s="131">
      <c r="B8" s="298" t="inlineStr">
        <is>
          <t>2</t>
        </is>
      </c>
      <c r="C8" s="267" t="inlineStr">
        <is>
          <t>AFFORDABLE</t>
        </is>
      </c>
      <c r="D8" s="268" t="inlineStr">
        <is>
          <t>Pinellas Park Manor</t>
        </is>
      </c>
      <c r="E8" s="269" t="inlineStr">
        <is>
          <t>6200 Park Blvd</t>
        </is>
      </c>
      <c r="F8" s="269" t="inlineStr">
        <is>
          <t>Pinellas Park</t>
        </is>
      </c>
      <c r="G8" s="269" t="inlineStr">
        <is>
          <t>FL</t>
        </is>
      </c>
      <c r="H8" s="269" t="inlineStr">
        <is>
          <t>33781</t>
        </is>
      </c>
      <c r="I8" s="269" t="inlineStr">
        <is>
          <t>7.1 mi</t>
        </is>
      </c>
      <c r="J8" s="269" t="inlineStr">
        <is>
          <t>$3,912</t>
        </is>
      </c>
      <c r="K8" s="269" t="inlineStr">
        <is>
          <t>$4,695</t>
        </is>
      </c>
      <c r="L8" s="233" t="inlineStr">
        <is>
          <t>$2,170</t>
        </is>
      </c>
      <c r="M8" s="234" t="inlineStr">
        <is>
          <t>Not Listed</t>
        </is>
      </c>
      <c r="N8" s="270" t="inlineStr">
        <is>
          <t>$4,345</t>
        </is>
      </c>
      <c r="O8" s="270" t="inlineStr">
        <is>
          <t>$5,215</t>
        </is>
      </c>
      <c r="P8" s="233" t="inlineStr">
        <is>
          <t>$2,780</t>
        </is>
      </c>
      <c r="Q8" s="234" t="inlineStr">
        <is>
          <t>Not Listed</t>
        </is>
      </c>
      <c r="R8" s="270" t="inlineStr">
        <is>
          <t>112</t>
        </is>
      </c>
      <c r="S8" s="270" t="inlineStr">
        <is>
          <t>1975</t>
        </is>
      </c>
      <c r="T8" s="270" t="inlineStr">
        <is>
          <t>1</t>
        </is>
      </c>
      <c r="U8" s="270" t="inlineStr">
        <is>
          <t>Yes</t>
        </is>
      </c>
      <c r="V8" s="270" t="inlineStr">
        <is>
          <t>No</t>
        </is>
      </c>
      <c r="W8" s="270" t="inlineStr">
        <is>
          <t>No</t>
        </is>
      </c>
      <c r="X8" s="270" t="inlineStr">
        <is>
          <t>No</t>
        </is>
      </c>
      <c r="Y8" s="270" t="inlineStr">
        <is>
          <t>No</t>
        </is>
      </c>
      <c r="Z8" s="271" t="inlineStr">
        <is>
          <t>HIGH</t>
        </is>
      </c>
      <c r="AA8" s="272" t="inlineStr">
        <is>
          <t>Affordable Comp #2: Section 8/HUD property, 1975 vintage (1 yr diff), 112 units, 7.1 mi from subject. Same income-eligible renter pool.</t>
        </is>
      </c>
      <c r="AB8" s="299" t="inlineStr">
        <is>
          <t>HUD Multifamily Assisted Housing</t>
        </is>
      </c>
      <c r="AC8" s="302" t="n"/>
      <c r="AD8" s="343" t="n"/>
      <c r="AE8" s="343" t="n"/>
      <c r="AF8" s="343" t="n"/>
      <c r="AG8" s="343" t="n"/>
      <c r="AH8" s="343" t="n"/>
      <c r="AI8" s="343" t="n"/>
      <c r="AJ8" s="343" t="n"/>
      <c r="AK8" s="343" t="n"/>
      <c r="AL8" s="343" t="n"/>
      <c r="AM8" s="343" t="n"/>
      <c r="AN8" s="343" t="n"/>
      <c r="AO8" s="343" t="n"/>
      <c r="AP8" s="343" t="n"/>
      <c r="AQ8" s="343" t="n"/>
      <c r="AR8" s="343" t="n"/>
      <c r="AS8" s="343" t="n"/>
      <c r="AT8" s="343" t="n"/>
      <c r="AU8" s="343" t="n"/>
      <c r="AV8" s="343" t="n"/>
      <c r="AW8" s="343" t="n"/>
      <c r="AX8" s="343" t="n"/>
      <c r="AY8" s="302" t="n"/>
      <c r="AZ8" s="302" t="n"/>
      <c r="BA8" s="302" t="n"/>
      <c r="BB8" s="302" t="n"/>
      <c r="BC8" s="302" t="n"/>
      <c r="BD8" s="302" t="n"/>
      <c r="BE8" s="302" t="n"/>
      <c r="BF8" s="302" t="n"/>
      <c r="BG8" s="302" t="n"/>
      <c r="BH8" s="302" t="n"/>
      <c r="BI8" s="302" t="n"/>
      <c r="BJ8" s="302" t="n"/>
      <c r="BK8" s="302" t="n"/>
      <c r="BL8" s="302" t="n"/>
      <c r="BM8" s="302" t="n"/>
      <c r="BN8" s="302" t="n"/>
      <c r="BO8" s="302" t="n"/>
      <c r="BP8" s="302" t="n"/>
      <c r="BQ8" s="302" t="n"/>
      <c r="BR8" s="302" t="n"/>
      <c r="BS8" s="302" t="n"/>
      <c r="BT8" s="302" t="n"/>
      <c r="BU8" s="302" t="n"/>
      <c r="BV8" s="302" t="n"/>
      <c r="BW8" s="302" t="n"/>
      <c r="BX8" s="302" t="n"/>
      <c r="BY8" s="302" t="n"/>
      <c r="BZ8" s="302" t="n"/>
      <c r="CA8" s="302" t="n"/>
      <c r="CB8" s="302" t="n"/>
      <c r="CC8" s="302" t="n"/>
      <c r="CD8" s="302" t="n"/>
      <c r="CE8" s="302" t="n"/>
      <c r="CF8" s="302" t="n"/>
      <c r="CG8" s="302" t="n"/>
      <c r="CH8" s="302" t="n"/>
      <c r="CI8" s="302" t="n"/>
      <c r="CJ8" s="302" t="n"/>
      <c r="CK8" s="302" t="n"/>
      <c r="CL8" s="302" t="n"/>
      <c r="CM8" s="302" t="n"/>
      <c r="CN8" s="302" t="n"/>
      <c r="CO8" s="302" t="n"/>
      <c r="CP8" s="302" t="n"/>
      <c r="CQ8" s="302" t="n"/>
      <c r="CR8" s="302" t="n"/>
      <c r="CS8" s="302" t="n"/>
      <c r="CT8" s="302" t="n"/>
    </row>
    <row r="9" ht="29.25" customHeight="1" s="131">
      <c r="B9" s="300" t="inlineStr">
        <is>
          <t>3</t>
        </is>
      </c>
      <c r="C9" s="273" t="inlineStr">
        <is>
          <t>AFFORDABLE</t>
        </is>
      </c>
      <c r="D9" s="274" t="inlineStr">
        <is>
          <t>Tarpon Springs Housing Authority</t>
        </is>
      </c>
      <c r="E9" s="275" t="inlineStr">
        <is>
          <t>200 S Walton Ave</t>
        </is>
      </c>
      <c r="F9" s="275" t="inlineStr">
        <is>
          <t>Tarpon Springs</t>
        </is>
      </c>
      <c r="G9" s="275" t="inlineStr">
        <is>
          <t>FL</t>
        </is>
      </c>
      <c r="H9" s="275" t="inlineStr">
        <is>
          <t>34689</t>
        </is>
      </c>
      <c r="I9" s="275" t="inlineStr">
        <is>
          <t>22.5 mi</t>
        </is>
      </c>
      <c r="J9" s="275" t="inlineStr">
        <is>
          <t>$3,912</t>
        </is>
      </c>
      <c r="K9" s="275" t="inlineStr">
        <is>
          <t>$4,695</t>
        </is>
      </c>
      <c r="L9" s="233" t="inlineStr">
        <is>
          <t>$2,170</t>
        </is>
      </c>
      <c r="M9" s="234" t="inlineStr">
        <is>
          <t>Not Listed</t>
        </is>
      </c>
      <c r="N9" s="276" t="inlineStr">
        <is>
          <t>$4,345</t>
        </is>
      </c>
      <c r="O9" s="276" t="inlineStr">
        <is>
          <t>$5,215</t>
        </is>
      </c>
      <c r="P9" s="233" t="inlineStr">
        <is>
          <t>$2,780</t>
        </is>
      </c>
      <c r="Q9" s="234" t="inlineStr">
        <is>
          <t>Not Listed</t>
        </is>
      </c>
      <c r="R9" s="276" t="inlineStr">
        <is>
          <t>96</t>
        </is>
      </c>
      <c r="S9" s="276" t="inlineStr">
        <is>
          <t>1972</t>
        </is>
      </c>
      <c r="T9" s="276" t="inlineStr">
        <is>
          <t>2</t>
        </is>
      </c>
      <c r="U9" s="276" t="inlineStr">
        <is>
          <t>Yes</t>
        </is>
      </c>
      <c r="V9" s="276" t="inlineStr">
        <is>
          <t>No</t>
        </is>
      </c>
      <c r="W9" s="276" t="inlineStr">
        <is>
          <t>No</t>
        </is>
      </c>
      <c r="X9" s="276" t="inlineStr">
        <is>
          <t>No</t>
        </is>
      </c>
      <c r="Y9" s="276" t="inlineStr">
        <is>
          <t>No</t>
        </is>
      </c>
      <c r="Z9" s="277" t="inlineStr">
        <is>
          <t>MODERATE-HIGH</t>
        </is>
      </c>
      <c r="AA9" s="278" t="inlineStr">
        <is>
          <t>Affordable Comp #3: Public Housing/HUD property, 1972 vintage (2 yr diff), 96 units, 22.5 mi from subject. Same income-eligible renter pool.</t>
        </is>
      </c>
      <c r="AB9" s="301" t="inlineStr">
        <is>
          <t>Tarpon Springs Housing Authority</t>
        </is>
      </c>
      <c r="AC9" s="302" t="n"/>
      <c r="AD9" s="343" t="n"/>
      <c r="AE9" s="343" t="n"/>
      <c r="AF9" s="343" t="n"/>
      <c r="AG9" s="343" t="n"/>
      <c r="AH9" s="343" t="n"/>
      <c r="AI9" s="343" t="n"/>
      <c r="AJ9" s="343" t="n"/>
      <c r="AK9" s="343" t="n"/>
      <c r="AL9" s="343" t="n"/>
      <c r="AM9" s="343" t="n"/>
      <c r="AN9" s="343" t="n"/>
      <c r="AO9" s="343" t="n"/>
      <c r="AP9" s="343" t="n"/>
      <c r="AQ9" s="343" t="n"/>
      <c r="AR9" s="343" t="n"/>
      <c r="AS9" s="343" t="n"/>
      <c r="AT9" s="343" t="n"/>
      <c r="AU9" s="343" t="n"/>
      <c r="AV9" s="343" t="n"/>
      <c r="AW9" s="343" t="n"/>
      <c r="AX9" s="343" t="n"/>
      <c r="AY9" s="302" t="n"/>
      <c r="AZ9" s="302" t="n"/>
      <c r="BA9" s="302" t="n"/>
      <c r="BB9" s="302" t="n"/>
      <c r="BC9" s="302" t="n"/>
      <c r="BD9" s="302" t="n"/>
      <c r="BE9" s="302" t="n"/>
      <c r="BF9" s="302" t="n"/>
      <c r="BG9" s="302" t="n"/>
      <c r="BH9" s="302" t="n"/>
      <c r="BI9" s="302" t="n"/>
      <c r="BJ9" s="302" t="n"/>
      <c r="BK9" s="302" t="n"/>
      <c r="BL9" s="302" t="n"/>
      <c r="BM9" s="302" t="n"/>
      <c r="BN9" s="302" t="n"/>
      <c r="BO9" s="302" t="n"/>
      <c r="BP9" s="302" t="n"/>
      <c r="BQ9" s="302" t="n"/>
      <c r="BR9" s="302" t="n"/>
      <c r="BS9" s="302" t="n"/>
      <c r="BT9" s="302" t="n"/>
      <c r="BU9" s="302" t="n"/>
      <c r="BV9" s="302" t="n"/>
      <c r="BW9" s="302" t="n"/>
      <c r="BX9" s="302" t="n"/>
      <c r="BY9" s="302" t="n"/>
      <c r="BZ9" s="302" t="n"/>
      <c r="CA9" s="302" t="n"/>
      <c r="CB9" s="302" t="n"/>
      <c r="CC9" s="302" t="n"/>
      <c r="CD9" s="302" t="n"/>
      <c r="CE9" s="302" t="n"/>
      <c r="CF9" s="302" t="n"/>
      <c r="CG9" s="302" t="n"/>
      <c r="CH9" s="302" t="n"/>
      <c r="CI9" s="302" t="n"/>
      <c r="CJ9" s="302" t="n"/>
      <c r="CK9" s="302" t="n"/>
      <c r="CL9" s="302" t="n"/>
      <c r="CM9" s="302" t="n"/>
      <c r="CN9" s="302" t="n"/>
      <c r="CO9" s="302" t="n"/>
      <c r="CP9" s="302" t="n"/>
      <c r="CQ9" s="302" t="n"/>
      <c r="CR9" s="302" t="n"/>
      <c r="CS9" s="302" t="n"/>
      <c r="CT9" s="302" t="n"/>
    </row>
    <row r="10" ht="26.25" customHeight="1" s="131">
      <c r="B10" s="265" t="inlineStr">
        <is>
          <t>4</t>
        </is>
      </c>
      <c r="C10" s="230" t="inlineStr">
        <is>
          <t>AFFORDABLE</t>
        </is>
      </c>
      <c r="D10" s="231" t="inlineStr">
        <is>
          <t>Largo Manor Apartments</t>
        </is>
      </c>
      <c r="E10" s="232" t="inlineStr">
        <is>
          <t>1400 Keene Rd</t>
        </is>
      </c>
      <c r="F10" s="232" t="inlineStr">
        <is>
          <t>Largo</t>
        </is>
      </c>
      <c r="G10" s="232" t="inlineStr">
        <is>
          <t>FL</t>
        </is>
      </c>
      <c r="H10" s="232" t="inlineStr">
        <is>
          <t>33771</t>
        </is>
      </c>
      <c r="I10" s="232" t="inlineStr">
        <is>
          <t>9.3 mi</t>
        </is>
      </c>
      <c r="J10" s="232" t="inlineStr">
        <is>
          <t>$3,912</t>
        </is>
      </c>
      <c r="K10" s="232" t="inlineStr">
        <is>
          <t>$4,695</t>
        </is>
      </c>
      <c r="L10" s="233" t="inlineStr">
        <is>
          <t>$2,170</t>
        </is>
      </c>
      <c r="M10" s="234" t="inlineStr">
        <is>
          <t>Not Listed</t>
        </is>
      </c>
      <c r="N10" s="235" t="inlineStr">
        <is>
          <t>$4,345</t>
        </is>
      </c>
      <c r="O10" s="235" t="inlineStr">
        <is>
          <t>$5,215</t>
        </is>
      </c>
      <c r="P10" s="233" t="inlineStr">
        <is>
          <t>$2,780</t>
        </is>
      </c>
      <c r="Q10" s="234" t="inlineStr">
        <is>
          <t>Not Listed</t>
        </is>
      </c>
      <c r="R10" s="235" t="inlineStr">
        <is>
          <t>104</t>
        </is>
      </c>
      <c r="S10" s="235" t="inlineStr">
        <is>
          <t>1973</t>
        </is>
      </c>
      <c r="T10" s="235" t="inlineStr">
        <is>
          <t>1</t>
        </is>
      </c>
      <c r="U10" s="235" t="inlineStr">
        <is>
          <t>Yes</t>
        </is>
      </c>
      <c r="V10" s="235" t="inlineStr">
        <is>
          <t>No</t>
        </is>
      </c>
      <c r="W10" s="235" t="inlineStr">
        <is>
          <t>No</t>
        </is>
      </c>
      <c r="X10" s="235" t="inlineStr">
        <is>
          <t>No</t>
        </is>
      </c>
      <c r="Y10" s="235" t="inlineStr">
        <is>
          <t>No</t>
        </is>
      </c>
      <c r="Z10" s="236" t="inlineStr">
        <is>
          <t>HIGH</t>
        </is>
      </c>
      <c r="AA10" s="237" t="inlineStr">
        <is>
          <t>Affordable Comp #4: Section 8/HUD property, 1973 vintage (1 yr diff), 104 units, 9.3 mi from subject. Same income-eligible renter pool.</t>
        </is>
      </c>
      <c r="AB10" s="266" t="inlineStr">
        <is>
          <t>HUD Multifamily Assisted Housing</t>
        </is>
      </c>
      <c r="AC10" s="302" t="n"/>
      <c r="AD10" s="343" t="n"/>
      <c r="AE10" s="343" t="n"/>
      <c r="AF10" s="343" t="n"/>
      <c r="AG10" s="343" t="n"/>
      <c r="AH10" s="343" t="n"/>
      <c r="AI10" s="343" t="n"/>
      <c r="AJ10" s="343" t="n"/>
      <c r="AK10" s="343" t="n"/>
      <c r="AL10" s="343" t="n"/>
      <c r="AM10" s="343" t="n"/>
      <c r="AN10" s="343" t="n"/>
      <c r="AO10" s="343" t="n"/>
      <c r="AP10" s="343" t="n"/>
      <c r="AQ10" s="343" t="n"/>
      <c r="AR10" s="343" t="n"/>
      <c r="AS10" s="343" t="n"/>
      <c r="AT10" s="343" t="n"/>
      <c r="AU10" s="343" t="n"/>
      <c r="AV10" s="343" t="n"/>
      <c r="AW10" s="343" t="n"/>
      <c r="AX10" s="343" t="n"/>
      <c r="AY10" s="302" t="n"/>
      <c r="AZ10" s="302" t="n"/>
      <c r="BA10" s="302" t="n"/>
      <c r="BB10" s="302" t="n"/>
      <c r="BC10" s="302" t="n"/>
      <c r="BD10" s="302" t="n"/>
      <c r="BE10" s="302" t="n"/>
      <c r="BF10" s="302" t="n"/>
      <c r="BG10" s="302" t="n"/>
      <c r="BH10" s="302" t="n"/>
      <c r="BI10" s="302" t="n"/>
      <c r="BJ10" s="302" t="n"/>
      <c r="BK10" s="302" t="n"/>
      <c r="BL10" s="302" t="n"/>
      <c r="BM10" s="302" t="n"/>
      <c r="BN10" s="302" t="n"/>
      <c r="BO10" s="302" t="n"/>
      <c r="BP10" s="302" t="n"/>
      <c r="BQ10" s="302" t="n"/>
      <c r="BR10" s="302" t="n"/>
      <c r="BS10" s="302" t="n"/>
      <c r="BT10" s="302" t="n"/>
      <c r="BU10" s="302" t="n"/>
      <c r="BV10" s="302" t="n"/>
      <c r="BW10" s="302" t="n"/>
      <c r="BX10" s="302" t="n"/>
      <c r="BY10" s="302" t="n"/>
      <c r="BZ10" s="302" t="n"/>
      <c r="CA10" s="302" t="n"/>
      <c r="CB10" s="302" t="n"/>
      <c r="CC10" s="302" t="n"/>
      <c r="CD10" s="302" t="n"/>
      <c r="CE10" s="302" t="n"/>
      <c r="CF10" s="302" t="n"/>
      <c r="CG10" s="302" t="n"/>
      <c r="CH10" s="302" t="n"/>
      <c r="CI10" s="302" t="n"/>
      <c r="CJ10" s="302" t="n"/>
      <c r="CK10" s="302" t="n"/>
      <c r="CL10" s="302" t="n"/>
      <c r="CM10" s="302" t="n"/>
      <c r="CN10" s="302" t="n"/>
      <c r="CO10" s="302" t="n"/>
      <c r="CP10" s="302" t="n"/>
      <c r="CQ10" s="302" t="n"/>
      <c r="CR10" s="302" t="n"/>
      <c r="CS10" s="302" t="n"/>
      <c r="CT10" s="302" t="n"/>
    </row>
    <row r="11" ht="37.5" customHeight="1" s="131">
      <c r="B11" s="307" t="inlineStr">
        <is>
          <t>1</t>
        </is>
      </c>
      <c r="C11" s="308" t="inlineStr">
        <is>
          <t>MARKET RATE</t>
        </is>
      </c>
      <c r="D11" s="309" t="inlineStr">
        <is>
          <t>The Addison Skyway Marina</t>
        </is>
      </c>
      <c r="E11" s="310" t="inlineStr">
        <is>
          <t>3951 34th St S, St. Petersburg, FL 33711</t>
        </is>
      </c>
      <c r="F11" s="310" t="inlineStr">
        <is>
          <t>St. Petersburg</t>
        </is>
      </c>
      <c r="G11" s="310" t="inlineStr">
        <is>
          <t>FL</t>
        </is>
      </c>
      <c r="H11" s="310" t="inlineStr">
        <is>
          <t>33711</t>
        </is>
      </c>
      <c r="I11" s="310" t="inlineStr">
        <is>
          <t>0.8 mi</t>
        </is>
      </c>
      <c r="J11" s="310" t="inlineStr">
        <is>
          <t>N/A (Market Rate)</t>
        </is>
      </c>
      <c r="K11" s="310" t="inlineStr">
        <is>
          <t>N/A (Market Rate)</t>
        </is>
      </c>
      <c r="L11" s="311" t="inlineStr">
        <is>
          <t>$2,170</t>
        </is>
      </c>
      <c r="M11" s="312" t="inlineStr">
        <is>
          <t>$2,446</t>
        </is>
      </c>
      <c r="N11" s="313" t="inlineStr">
        <is>
          <t>N/A (Market Rate)</t>
        </is>
      </c>
      <c r="O11" s="313" t="inlineStr">
        <is>
          <t>N/A (Market Rate)</t>
        </is>
      </c>
      <c r="P11" s="311" t="inlineStr">
        <is>
          <t>$2,780</t>
        </is>
      </c>
      <c r="Q11" s="312" t="inlineStr">
        <is>
          <t>$2,947</t>
        </is>
      </c>
      <c r="R11" s="313" t="n">
        <v>308</v>
      </c>
      <c r="S11" s="313" t="n">
        <v>2021</v>
      </c>
      <c r="T11" s="313" t="n">
        <v>47</v>
      </c>
      <c r="U11" s="313" t="inlineStr">
        <is>
          <t>No</t>
        </is>
      </c>
      <c r="V11" s="313" t="inlineStr">
        <is>
          <t>Yes</t>
        </is>
      </c>
      <c r="W11" s="313" t="inlineStr">
        <is>
          <t>Yes</t>
        </is>
      </c>
      <c r="X11" s="313" t="inlineStr">
        <is>
          <t>Yes</t>
        </is>
      </c>
      <c r="Y11" s="313" t="inlineStr">
        <is>
          <t>Yes</t>
        </is>
      </c>
      <c r="Z11" s="314" t="inlineStr">
        <is>
          <t>HIGH</t>
        </is>
      </c>
      <c r="AA11" s="315" t="inlineStr">
        <is>
          <t>Market Rate Comp #1: No income restrictions, 2021 vintage (47 yr diff), 308 units, 0.8 mi from subject. Same zip 33711. Luxury complex with pool, fitness center, 4 stories. 2BD $2,446 / 3BD $2,947.</t>
        </is>
      </c>
      <c r="AB11" s="316" t="inlineStr">
        <is>
          <t>https://www.apartments.com/the-addison-skyway-marina-saint-petersburg-fl/</t>
        </is>
      </c>
      <c r="AC11" s="302" t="n"/>
      <c r="AD11" s="343" t="n"/>
      <c r="AE11" s="343" t="n"/>
      <c r="AF11" s="343" t="n"/>
      <c r="AG11" s="343" t="n"/>
      <c r="AH11" s="343" t="n"/>
      <c r="AI11" s="343" t="n"/>
      <c r="AJ11" s="343" t="n"/>
      <c r="AK11" s="343" t="n"/>
      <c r="AL11" s="343" t="n"/>
      <c r="AM11" s="343" t="n"/>
      <c r="AN11" s="343" t="n"/>
      <c r="AO11" s="343" t="n"/>
      <c r="AP11" s="343" t="n"/>
      <c r="AQ11" s="343" t="n"/>
      <c r="AR11" s="343" t="n"/>
      <c r="AS11" s="343" t="n"/>
      <c r="AT11" s="343" t="n"/>
      <c r="AU11" s="343" t="n"/>
      <c r="AV11" s="343" t="n"/>
      <c r="AW11" s="343" t="n"/>
      <c r="AX11" s="343" t="n"/>
      <c r="AY11" s="302" t="n"/>
      <c r="AZ11" s="302" t="n"/>
      <c r="BA11" s="302" t="n"/>
      <c r="BB11" s="302" t="n"/>
      <c r="BC11" s="302" t="n"/>
      <c r="BD11" s="302" t="n"/>
      <c r="BE11" s="302" t="n"/>
      <c r="BF11" s="302" t="n"/>
      <c r="BG11" s="302" t="n"/>
      <c r="BH11" s="302" t="n"/>
      <c r="BI11" s="302" t="n"/>
      <c r="BJ11" s="302" t="n"/>
      <c r="BK11" s="302" t="n"/>
      <c r="BL11" s="302" t="n"/>
      <c r="BM11" s="302" t="n"/>
      <c r="BN11" s="302" t="n"/>
      <c r="BO11" s="302" t="n"/>
      <c r="BP11" s="302" t="n"/>
      <c r="BQ11" s="302" t="n"/>
      <c r="BR11" s="302" t="n"/>
      <c r="BS11" s="302" t="n"/>
      <c r="BT11" s="302" t="n"/>
      <c r="BU11" s="302" t="n"/>
      <c r="BV11" s="302" t="n"/>
      <c r="BW11" s="302" t="n"/>
      <c r="BX11" s="302" t="n"/>
      <c r="BY11" s="302" t="n"/>
      <c r="BZ11" s="302" t="n"/>
      <c r="CA11" s="302" t="n"/>
      <c r="CB11" s="302" t="n"/>
      <c r="CC11" s="302" t="n"/>
      <c r="CD11" s="302" t="n"/>
      <c r="CE11" s="302" t="n"/>
      <c r="CF11" s="302" t="n"/>
      <c r="CG11" s="302" t="n"/>
      <c r="CH11" s="302" t="n"/>
      <c r="CI11" s="302" t="n"/>
      <c r="CJ11" s="302" t="n"/>
      <c r="CK11" s="302" t="n"/>
      <c r="CL11" s="302" t="n"/>
      <c r="CM11" s="302" t="n"/>
      <c r="CN11" s="302" t="n"/>
      <c r="CO11" s="302" t="n"/>
      <c r="CP11" s="302" t="n"/>
      <c r="CQ11" s="302" t="n"/>
      <c r="CR11" s="302" t="n"/>
      <c r="CS11" s="302" t="n"/>
      <c r="CT11" s="302" t="n"/>
    </row>
    <row r="12" ht="37.5" customHeight="1" s="131">
      <c r="B12" s="317" t="inlineStr">
        <is>
          <t>2</t>
        </is>
      </c>
      <c r="C12" s="245" t="inlineStr">
        <is>
          <t>MARKET RATE</t>
        </is>
      </c>
      <c r="D12" s="246" t="inlineStr">
        <is>
          <t>Marina Walk Apartments</t>
        </is>
      </c>
      <c r="E12" s="247" t="inlineStr">
        <is>
          <t>3680 46th Ave S, St. Petersburg, FL 33711</t>
        </is>
      </c>
      <c r="F12" s="247" t="inlineStr">
        <is>
          <t>St. Petersburg</t>
        </is>
      </c>
      <c r="G12" s="247" t="inlineStr">
        <is>
          <t>FL</t>
        </is>
      </c>
      <c r="H12" s="247" t="inlineStr">
        <is>
          <t>33711</t>
        </is>
      </c>
      <c r="I12" s="247" t="inlineStr">
        <is>
          <t>1.1 mi</t>
        </is>
      </c>
      <c r="J12" s="247" t="inlineStr">
        <is>
          <t>N/A (Market Rate)</t>
        </is>
      </c>
      <c r="K12" s="247" t="inlineStr">
        <is>
          <t>N/A (Market Rate)</t>
        </is>
      </c>
      <c r="L12" s="241" t="inlineStr">
        <is>
          <t>$2,170</t>
        </is>
      </c>
      <c r="M12" s="234" t="inlineStr">
        <is>
          <t>$2,600</t>
        </is>
      </c>
      <c r="N12" s="248" t="inlineStr">
        <is>
          <t>N/A (Market Rate)</t>
        </is>
      </c>
      <c r="O12" s="248" t="inlineStr">
        <is>
          <t>N/A (Market Rate)</t>
        </is>
      </c>
      <c r="P12" s="241" t="inlineStr">
        <is>
          <t>$2,780</t>
        </is>
      </c>
      <c r="Q12" s="234" t="inlineStr">
        <is>
          <t>N/A</t>
        </is>
      </c>
      <c r="R12" s="248" t="n">
        <v>245</v>
      </c>
      <c r="S12" s="248" t="n">
        <v>2021</v>
      </c>
      <c r="T12" s="248" t="n">
        <v>47</v>
      </c>
      <c r="U12" s="248" t="inlineStr">
        <is>
          <t>No</t>
        </is>
      </c>
      <c r="V12" s="248" t="inlineStr">
        <is>
          <t>Yes</t>
        </is>
      </c>
      <c r="W12" s="248" t="inlineStr">
        <is>
          <t>No</t>
        </is>
      </c>
      <c r="X12" s="248" t="inlineStr">
        <is>
          <t>Yes</t>
        </is>
      </c>
      <c r="Y12" s="248" t="inlineStr">
        <is>
          <t>Yes</t>
        </is>
      </c>
      <c r="Z12" s="249" t="inlineStr">
        <is>
          <t>HIGH</t>
        </is>
      </c>
      <c r="AA12" s="250" t="inlineStr">
        <is>
          <t>Market Rate Comp #2: No income restrictions, 2021 vintage (47 yr diff), 245 units, 1.1 mi from subject. Same zip 33711. 8-story waterfront complex. 2BD $2,600 / 3BD not available.</t>
        </is>
      </c>
      <c r="AB12" s="318" t="inlineStr">
        <is>
          <t>https://www.apartments.com/marina-walk-apartments-saint-petersburg-fl/</t>
        </is>
      </c>
      <c r="AC12" s="302" t="n"/>
      <c r="AD12" s="343" t="n"/>
      <c r="AE12" s="343" t="n"/>
      <c r="AF12" s="343" t="n"/>
      <c r="AG12" s="343" t="n"/>
      <c r="AH12" s="343" t="n"/>
      <c r="AI12" s="343" t="n"/>
      <c r="AJ12" s="343" t="n"/>
      <c r="AK12" s="343" t="n"/>
      <c r="AL12" s="343" t="n"/>
      <c r="AM12" s="343" t="n"/>
      <c r="AN12" s="343" t="n"/>
      <c r="AO12" s="343" t="n"/>
      <c r="AP12" s="343" t="n"/>
      <c r="AQ12" s="343" t="n"/>
      <c r="AR12" s="343" t="n"/>
      <c r="AS12" s="343" t="n"/>
      <c r="AT12" s="343" t="n"/>
      <c r="AU12" s="343" t="n"/>
      <c r="AV12" s="343" t="n"/>
      <c r="AW12" s="343" t="n"/>
      <c r="AX12" s="343" t="n"/>
      <c r="AY12" s="302" t="n"/>
      <c r="AZ12" s="302" t="n"/>
      <c r="BA12" s="302" t="n"/>
      <c r="BB12" s="302" t="n"/>
      <c r="BC12" s="302" t="n"/>
      <c r="BD12" s="302" t="n"/>
      <c r="BE12" s="302" t="n"/>
      <c r="BF12" s="302" t="n"/>
      <c r="BG12" s="302" t="n"/>
      <c r="BH12" s="302" t="n"/>
      <c r="BI12" s="302" t="n"/>
      <c r="BJ12" s="302" t="n"/>
      <c r="BK12" s="302" t="n"/>
      <c r="BL12" s="302" t="n"/>
      <c r="BM12" s="302" t="n"/>
      <c r="BN12" s="302" t="n"/>
      <c r="BO12" s="302" t="n"/>
      <c r="BP12" s="302" t="n"/>
      <c r="BQ12" s="302" t="n"/>
      <c r="BR12" s="302" t="n"/>
      <c r="BS12" s="302" t="n"/>
      <c r="BT12" s="302" t="n"/>
      <c r="BU12" s="302" t="n"/>
      <c r="BV12" s="302" t="n"/>
      <c r="BW12" s="302" t="n"/>
      <c r="BX12" s="302" t="n"/>
      <c r="BY12" s="302" t="n"/>
      <c r="BZ12" s="302" t="n"/>
      <c r="CA12" s="302" t="n"/>
      <c r="CB12" s="302" t="n"/>
      <c r="CC12" s="302" t="n"/>
      <c r="CD12" s="302" t="n"/>
      <c r="CE12" s="302" t="n"/>
      <c r="CF12" s="302" t="n"/>
      <c r="CG12" s="302" t="n"/>
      <c r="CH12" s="302" t="n"/>
      <c r="CI12" s="302" t="n"/>
      <c r="CJ12" s="302" t="n"/>
      <c r="CK12" s="302" t="n"/>
      <c r="CL12" s="302" t="n"/>
      <c r="CM12" s="302" t="n"/>
      <c r="CN12" s="302" t="n"/>
      <c r="CO12" s="302" t="n"/>
      <c r="CP12" s="302" t="n"/>
      <c r="CQ12" s="302" t="n"/>
      <c r="CR12" s="302" t="n"/>
      <c r="CS12" s="302" t="n"/>
      <c r="CT12" s="302" t="n"/>
    </row>
    <row r="13" ht="37.5" customHeight="1" s="131">
      <c r="B13" s="319" t="inlineStr">
        <is>
          <t>3</t>
        </is>
      </c>
      <c r="C13" s="251" t="inlineStr">
        <is>
          <t>MARKET RATE</t>
        </is>
      </c>
      <c r="D13" s="252" t="inlineStr">
        <is>
          <t>Flagler Pointe Apartments</t>
        </is>
      </c>
      <c r="E13" s="253" t="inlineStr">
        <is>
          <t>2540 Roy Hanna Dr S, St. Petersburg, FL 33712</t>
        </is>
      </c>
      <c r="F13" s="253" t="inlineStr">
        <is>
          <t>St. Petersburg</t>
        </is>
      </c>
      <c r="G13" s="253" t="inlineStr">
        <is>
          <t>FL</t>
        </is>
      </c>
      <c r="H13" s="253" t="inlineStr">
        <is>
          <t>33712</t>
        </is>
      </c>
      <c r="I13" s="253" t="inlineStr">
        <is>
          <t>1.9 mi</t>
        </is>
      </c>
      <c r="J13" s="253" t="inlineStr">
        <is>
          <t>N/A (Market Rate)</t>
        </is>
      </c>
      <c r="K13" s="253" t="inlineStr">
        <is>
          <t>N/A (Market Rate)</t>
        </is>
      </c>
      <c r="L13" s="241" t="inlineStr">
        <is>
          <t>$2,170</t>
        </is>
      </c>
      <c r="M13" s="234" t="inlineStr">
        <is>
          <t>$1,890</t>
        </is>
      </c>
      <c r="N13" s="254" t="inlineStr">
        <is>
          <t>N/A (Market Rate)</t>
        </is>
      </c>
      <c r="O13" s="254" t="inlineStr">
        <is>
          <t>N/A (Market Rate)</t>
        </is>
      </c>
      <c r="P13" s="241" t="inlineStr">
        <is>
          <t>$2,780</t>
        </is>
      </c>
      <c r="Q13" s="234" t="inlineStr">
        <is>
          <t>$2,150</t>
        </is>
      </c>
      <c r="R13" s="254" t="inlineStr">
        <is>
          <t>N/A</t>
        </is>
      </c>
      <c r="S13" s="254" t="n">
        <v>1974</v>
      </c>
      <c r="T13" s="254" t="n">
        <v>0</v>
      </c>
      <c r="U13" s="254" t="inlineStr">
        <is>
          <t>No</t>
        </is>
      </c>
      <c r="V13" s="254" t="inlineStr">
        <is>
          <t>Yes</t>
        </is>
      </c>
      <c r="W13" s="254" t="inlineStr">
        <is>
          <t>No</t>
        </is>
      </c>
      <c r="X13" s="254" t="inlineStr">
        <is>
          <t>Yes</t>
        </is>
      </c>
      <c r="Y13" s="254" t="inlineStr">
        <is>
          <t>No</t>
        </is>
      </c>
      <c r="Z13" s="255" t="inlineStr">
        <is>
          <t>HIGH</t>
        </is>
      </c>
      <c r="AA13" s="256" t="inlineStr">
        <is>
          <t>Market Rate Comp #3: No income restrictions, 1974 vintage (0 yr diff), 1.9 mi from subject in adjacent zip 33712. Most comparable vintage to subject. 2BD $1,890 / 3BD $2,150.</t>
        </is>
      </c>
      <c r="AB13" s="320" t="inlineStr">
        <is>
          <t>https://www.apartments.com/flagler-pointe-apartments-saint-petersburg-fl/</t>
        </is>
      </c>
      <c r="AC13" s="302" t="n"/>
      <c r="AD13" s="343" t="n"/>
      <c r="AE13" s="343" t="n"/>
      <c r="AF13" s="343" t="n"/>
      <c r="AG13" s="343" t="n"/>
      <c r="AH13" s="343" t="n"/>
      <c r="AI13" s="343" t="n"/>
      <c r="AJ13" s="343" t="n"/>
      <c r="AK13" s="343" t="n"/>
      <c r="AL13" s="343" t="n"/>
      <c r="AM13" s="343" t="n"/>
      <c r="AN13" s="343" t="n"/>
      <c r="AO13" s="343" t="n"/>
      <c r="AP13" s="343" t="n"/>
      <c r="AQ13" s="343" t="n"/>
      <c r="AR13" s="343" t="n"/>
      <c r="AS13" s="343" t="n"/>
      <c r="AT13" s="343" t="n"/>
      <c r="AU13" s="343" t="n"/>
      <c r="AV13" s="343" t="n"/>
      <c r="AW13" s="343" t="n"/>
      <c r="AX13" s="343" t="n"/>
      <c r="AY13" s="302" t="n"/>
      <c r="AZ13" s="302" t="n"/>
      <c r="BA13" s="302" t="n"/>
      <c r="BB13" s="302" t="n"/>
      <c r="BC13" s="302" t="n"/>
      <c r="BD13" s="302" t="n"/>
      <c r="BE13" s="302" t="n"/>
      <c r="BF13" s="302" t="n"/>
      <c r="BG13" s="302" t="n"/>
      <c r="BH13" s="302" t="n"/>
      <c r="BI13" s="302" t="n"/>
      <c r="BJ13" s="302" t="n"/>
      <c r="BK13" s="302" t="n"/>
      <c r="BL13" s="302" t="n"/>
      <c r="BM13" s="302" t="n"/>
      <c r="BN13" s="302" t="n"/>
      <c r="BO13" s="302" t="n"/>
      <c r="BP13" s="302" t="n"/>
      <c r="BQ13" s="302" t="n"/>
      <c r="BR13" s="302" t="n"/>
      <c r="BS13" s="302" t="n"/>
      <c r="BT13" s="302" t="n"/>
      <c r="BU13" s="302" t="n"/>
      <c r="BV13" s="302" t="n"/>
      <c r="BW13" s="302" t="n"/>
      <c r="BX13" s="302" t="n"/>
      <c r="BY13" s="302" t="n"/>
      <c r="BZ13" s="302" t="n"/>
      <c r="CA13" s="302" t="n"/>
      <c r="CB13" s="302" t="n"/>
      <c r="CC13" s="302" t="n"/>
      <c r="CD13" s="302" t="n"/>
      <c r="CE13" s="302" t="n"/>
      <c r="CF13" s="302" t="n"/>
      <c r="CG13" s="302" t="n"/>
      <c r="CH13" s="302" t="n"/>
      <c r="CI13" s="302" t="n"/>
      <c r="CJ13" s="302" t="n"/>
      <c r="CK13" s="302" t="n"/>
      <c r="CL13" s="302" t="n"/>
      <c r="CM13" s="302" t="n"/>
      <c r="CN13" s="302" t="n"/>
      <c r="CO13" s="302" t="n"/>
      <c r="CP13" s="302" t="n"/>
      <c r="CQ13" s="302" t="n"/>
      <c r="CR13" s="302" t="n"/>
      <c r="CS13" s="302" t="n"/>
      <c r="CT13" s="302" t="n"/>
    </row>
    <row r="14" ht="37.5" customHeight="1" s="131">
      <c r="B14" s="321" t="inlineStr">
        <is>
          <t>4</t>
        </is>
      </c>
      <c r="C14" s="238" t="inlineStr">
        <is>
          <t>MARKET RATE</t>
        </is>
      </c>
      <c r="D14" s="239" t="inlineStr">
        <is>
          <t>Sur Club</t>
        </is>
      </c>
      <c r="E14" s="240" t="inlineStr">
        <is>
          <t>3301 32nd Ave S, St. Petersburg, FL 33712</t>
        </is>
      </c>
      <c r="F14" s="240" t="inlineStr">
        <is>
          <t>St. Petersburg</t>
        </is>
      </c>
      <c r="G14" s="240" t="inlineStr">
        <is>
          <t>FL</t>
        </is>
      </c>
      <c r="H14" s="240" t="inlineStr">
        <is>
          <t>33712</t>
        </is>
      </c>
      <c r="I14" s="240" t="inlineStr">
        <is>
          <t>1.5 mi</t>
        </is>
      </c>
      <c r="J14" s="240" t="inlineStr">
        <is>
          <t>N/A (Market Rate)</t>
        </is>
      </c>
      <c r="K14" s="240" t="inlineStr">
        <is>
          <t>N/A (Market Rate)</t>
        </is>
      </c>
      <c r="L14" s="241" t="inlineStr">
        <is>
          <t>$2,170</t>
        </is>
      </c>
      <c r="M14" s="234" t="inlineStr">
        <is>
          <t>$2,250</t>
        </is>
      </c>
      <c r="N14" s="242" t="inlineStr">
        <is>
          <t>N/A (Market Rate)</t>
        </is>
      </c>
      <c r="O14" s="242" t="inlineStr">
        <is>
          <t>N/A (Market Rate)</t>
        </is>
      </c>
      <c r="P14" s="241" t="inlineStr">
        <is>
          <t>$2,780</t>
        </is>
      </c>
      <c r="Q14" s="234" t="inlineStr">
        <is>
          <t>N/A</t>
        </is>
      </c>
      <c r="R14" s="242" t="n">
        <v>296</v>
      </c>
      <c r="S14" s="242" t="n">
        <v>2021</v>
      </c>
      <c r="T14" s="242" t="n">
        <v>47</v>
      </c>
      <c r="U14" s="242" t="inlineStr">
        <is>
          <t>No</t>
        </is>
      </c>
      <c r="V14" s="242" t="inlineStr">
        <is>
          <t>Yes</t>
        </is>
      </c>
      <c r="W14" s="242" t="inlineStr">
        <is>
          <t>No</t>
        </is>
      </c>
      <c r="X14" s="242" t="inlineStr">
        <is>
          <t>Yes</t>
        </is>
      </c>
      <c r="Y14" s="242" t="inlineStr">
        <is>
          <t>Yes</t>
        </is>
      </c>
      <c r="Z14" s="243" t="inlineStr">
        <is>
          <t>HIGH</t>
        </is>
      </c>
      <c r="AA14" s="244" t="inlineStr">
        <is>
          <t>Market Rate Comp #4: No income restrictions, 2021 vintage (47 yr diff), 296 units, 1.5 mi from subject in adjacent zip 33712. 4-story complex. 2BD $2,250 / 3BD not available (unavailable floor plans).</t>
        </is>
      </c>
      <c r="AB14" s="322" t="inlineStr">
        <is>
          <t>https://www.apartments.com/sur-club-saint-petersburg-fl/</t>
        </is>
      </c>
      <c r="AC14" s="302" t="n"/>
      <c r="AD14" s="343" t="n"/>
      <c r="AE14" s="343" t="n"/>
      <c r="AF14" s="343" t="n"/>
      <c r="AG14" s="343" t="n"/>
      <c r="AH14" s="343" t="n"/>
      <c r="AI14" s="343" t="n"/>
      <c r="AJ14" s="343" t="n"/>
      <c r="AK14" s="343" t="n"/>
      <c r="AL14" s="343" t="n"/>
      <c r="AM14" s="343" t="n"/>
      <c r="AN14" s="343" t="n"/>
      <c r="AO14" s="343" t="n"/>
      <c r="AP14" s="343" t="n"/>
      <c r="AQ14" s="343" t="n"/>
      <c r="AR14" s="343" t="n"/>
      <c r="AS14" s="343" t="n"/>
      <c r="AT14" s="343" t="n"/>
      <c r="AU14" s="343" t="n"/>
      <c r="AV14" s="343" t="n"/>
      <c r="AW14" s="343" t="n"/>
      <c r="AX14" s="343" t="n"/>
      <c r="AY14" s="302" t="n"/>
      <c r="AZ14" s="302" t="n"/>
      <c r="BA14" s="302" t="n"/>
      <c r="BB14" s="302" t="n"/>
      <c r="BC14" s="302" t="n"/>
      <c r="BD14" s="302" t="n"/>
      <c r="BE14" s="302" t="n"/>
      <c r="BF14" s="302" t="n"/>
      <c r="BG14" s="302" t="n"/>
      <c r="BH14" s="302" t="n"/>
      <c r="BI14" s="302" t="n"/>
      <c r="BJ14" s="302" t="n"/>
      <c r="BK14" s="302" t="n"/>
      <c r="BL14" s="302" t="n"/>
      <c r="BM14" s="302" t="n"/>
      <c r="BN14" s="302" t="n"/>
      <c r="BO14" s="302" t="n"/>
      <c r="BP14" s="302" t="n"/>
      <c r="BQ14" s="302" t="n"/>
      <c r="BR14" s="302" t="n"/>
      <c r="BS14" s="302" t="n"/>
      <c r="BT14" s="302" t="n"/>
      <c r="BU14" s="302" t="n"/>
      <c r="BV14" s="302" t="n"/>
      <c r="BW14" s="302" t="n"/>
      <c r="BX14" s="302" t="n"/>
      <c r="BY14" s="302" t="n"/>
      <c r="BZ14" s="302" t="n"/>
      <c r="CA14" s="302" t="n"/>
      <c r="CB14" s="302" t="n"/>
      <c r="CC14" s="302" t="n"/>
      <c r="CD14" s="302" t="n"/>
      <c r="CE14" s="302" t="n"/>
      <c r="CF14" s="302" t="n"/>
      <c r="CG14" s="302" t="n"/>
      <c r="CH14" s="302" t="n"/>
      <c r="CI14" s="302" t="n"/>
      <c r="CJ14" s="302" t="n"/>
      <c r="CK14" s="302" t="n"/>
      <c r="CL14" s="302" t="n"/>
      <c r="CM14" s="302" t="n"/>
      <c r="CN14" s="302" t="n"/>
      <c r="CO14" s="302" t="n"/>
      <c r="CP14" s="302" t="n"/>
      <c r="CQ14" s="302" t="n"/>
      <c r="CR14" s="302" t="n"/>
      <c r="CS14" s="302" t="n"/>
      <c r="CT14" s="302" t="n"/>
    </row>
    <row r="15" ht="40.5" customHeight="1" s="131">
      <c r="B15" s="321" t="inlineStr">
        <is>
          <t>5</t>
        </is>
      </c>
      <c r="C15" s="238" t="inlineStr">
        <is>
          <t>MARKET RATE</t>
        </is>
      </c>
      <c r="D15" s="239" t="inlineStr">
        <is>
          <t>Lake Maggiore</t>
        </is>
      </c>
      <c r="E15" s="240" t="inlineStr">
        <is>
          <t>825 32nd Ave S, St. Petersburg, FL 33705</t>
        </is>
      </c>
      <c r="F15" s="240" t="inlineStr">
        <is>
          <t>St. Petersburg</t>
        </is>
      </c>
      <c r="G15" s="240" t="inlineStr">
        <is>
          <t>FL</t>
        </is>
      </c>
      <c r="H15" s="240" t="inlineStr">
        <is>
          <t>33705</t>
        </is>
      </c>
      <c r="I15" s="240" t="inlineStr">
        <is>
          <t>2.1 mi</t>
        </is>
      </c>
      <c r="J15" s="240" t="inlineStr">
        <is>
          <t>N/A (Market Rate)</t>
        </is>
      </c>
      <c r="K15" s="240" t="inlineStr">
        <is>
          <t>N/A (Market Rate)</t>
        </is>
      </c>
      <c r="L15" s="241" t="inlineStr">
        <is>
          <t>$2,170</t>
        </is>
      </c>
      <c r="M15" s="234" t="inlineStr">
        <is>
          <t>$2,520</t>
        </is>
      </c>
      <c r="N15" s="242" t="inlineStr">
        <is>
          <t>N/A (Market Rate)</t>
        </is>
      </c>
      <c r="O15" s="242" t="inlineStr">
        <is>
          <t>N/A (Market Rate)</t>
        </is>
      </c>
      <c r="P15" s="241" t="inlineStr">
        <is>
          <t>$2,780</t>
        </is>
      </c>
      <c r="Q15" s="234" t="inlineStr">
        <is>
          <t>$3,840</t>
        </is>
      </c>
      <c r="R15" s="242" t="n">
        <v>330</v>
      </c>
      <c r="S15" s="242" t="n">
        <v>2023</v>
      </c>
      <c r="T15" s="242" t="n">
        <v>8</v>
      </c>
      <c r="U15" s="242" t="inlineStr">
        <is>
          <t>No</t>
        </is>
      </c>
      <c r="V15" s="242" t="inlineStr">
        <is>
          <t>Yes</t>
        </is>
      </c>
      <c r="W15" s="242" t="inlineStr">
        <is>
          <t>Yes</t>
        </is>
      </c>
      <c r="X15" s="242" t="inlineStr">
        <is>
          <t>Yes</t>
        </is>
      </c>
      <c r="Y15" s="242" t="inlineStr">
        <is>
          <t>Yes</t>
        </is>
      </c>
      <c r="Z15" s="243" t="inlineStr">
        <is>
          <t>HIGH</t>
        </is>
      </c>
      <c r="AA15" s="244" t="inlineStr">
        <is>
          <t>Market Rate Comp #5: No income restrictions, 2023 vintage (8 yr diff from 2015 rebuild), 330 units, 2.1 mi from subject in St. Petersburg FL 33705. Managed by Greystar. 2BD $2,520 / 3BD $3,840.</t>
        </is>
      </c>
      <c r="AB15" s="322" t="inlineStr">
        <is>
          <t>https://www.apartments.com/lake-maggiore-saint-petersburg-fl/hftf0z2/</t>
        </is>
      </c>
      <c r="AC15" s="302" t="n"/>
      <c r="AD15" s="343" t="n"/>
      <c r="AE15" s="343" t="n"/>
      <c r="AF15" s="343" t="n"/>
      <c r="AG15" s="343" t="n"/>
      <c r="AH15" s="343" t="n"/>
      <c r="AI15" s="343" t="n"/>
      <c r="AJ15" s="343" t="n"/>
      <c r="AK15" s="343" t="n"/>
      <c r="AL15" s="343" t="n"/>
      <c r="AM15" s="343" t="n"/>
      <c r="AN15" s="343" t="n"/>
      <c r="AO15" s="343" t="n"/>
      <c r="AP15" s="343" t="n"/>
      <c r="AQ15" s="343" t="n"/>
      <c r="AR15" s="343" t="n"/>
      <c r="AS15" s="343" t="n"/>
      <c r="AT15" s="343" t="n"/>
      <c r="AU15" s="343" t="n"/>
      <c r="AV15" s="343" t="n"/>
      <c r="AW15" s="343" t="n"/>
      <c r="AX15" s="343" t="n"/>
      <c r="AY15" s="302" t="n"/>
      <c r="AZ15" s="302" t="n"/>
      <c r="BA15" s="302" t="n"/>
      <c r="BB15" s="302" t="n"/>
      <c r="BC15" s="302" t="n"/>
      <c r="BD15" s="302" t="n"/>
      <c r="BE15" s="302" t="n"/>
      <c r="BF15" s="302" t="n"/>
      <c r="BG15" s="302" t="n"/>
      <c r="BH15" s="302" t="n"/>
      <c r="BI15" s="302" t="n"/>
      <c r="BJ15" s="302" t="n"/>
      <c r="BK15" s="302" t="n"/>
      <c r="BL15" s="302" t="n"/>
      <c r="BM15" s="302" t="n"/>
      <c r="BN15" s="302" t="n"/>
      <c r="BO15" s="302" t="n"/>
      <c r="BP15" s="302" t="n"/>
      <c r="BQ15" s="302" t="n"/>
      <c r="BR15" s="302" t="n"/>
      <c r="BS15" s="302" t="n"/>
      <c r="BT15" s="302" t="n"/>
      <c r="BU15" s="302" t="n"/>
      <c r="BV15" s="302" t="n"/>
      <c r="BW15" s="302" t="n"/>
      <c r="BX15" s="302" t="n"/>
      <c r="BY15" s="302" t="n"/>
      <c r="BZ15" s="302" t="n"/>
      <c r="CA15" s="302" t="n"/>
      <c r="CB15" s="302" t="n"/>
      <c r="CC15" s="302" t="n"/>
      <c r="CD15" s="302" t="n"/>
      <c r="CE15" s="302" t="n"/>
      <c r="CF15" s="302" t="n"/>
      <c r="CG15" s="302" t="n"/>
      <c r="CH15" s="302" t="n"/>
      <c r="CI15" s="302" t="n"/>
      <c r="CJ15" s="302" t="n"/>
      <c r="CK15" s="302" t="n"/>
      <c r="CL15" s="302" t="n"/>
      <c r="CM15" s="302" t="n"/>
      <c r="CN15" s="302" t="n"/>
      <c r="CO15" s="302" t="n"/>
      <c r="CP15" s="302" t="n"/>
      <c r="CQ15" s="302" t="n"/>
      <c r="CR15" s="302" t="n"/>
      <c r="CS15" s="302" t="n"/>
      <c r="CT15" s="302" t="n"/>
    </row>
    <row r="16" ht="37.5" customHeight="1" s="131">
      <c r="B16" s="323" t="inlineStr">
        <is>
          <t>6</t>
        </is>
      </c>
      <c r="C16" s="324" t="inlineStr">
        <is>
          <t>MARKET RATE</t>
        </is>
      </c>
      <c r="D16" s="325" t="inlineStr">
        <is>
          <t>The Courtney at Bay Pines</t>
        </is>
      </c>
      <c r="E16" s="326" t="inlineStr">
        <is>
          <t>4652 Miramar Dr, St. Petersburg, FL 33708</t>
        </is>
      </c>
      <c r="F16" s="326" t="inlineStr">
        <is>
          <t>St. Petersburg</t>
        </is>
      </c>
      <c r="G16" s="326" t="inlineStr">
        <is>
          <t>FL</t>
        </is>
      </c>
      <c r="H16" s="326" t="inlineStr">
        <is>
          <t>33708</t>
        </is>
      </c>
      <c r="I16" s="326" t="inlineStr">
        <is>
          <t>5.2 mi</t>
        </is>
      </c>
      <c r="J16" s="326" t="inlineStr">
        <is>
          <t>N/A (Market Rate)</t>
        </is>
      </c>
      <c r="K16" s="326" t="inlineStr">
        <is>
          <t>N/A (Market Rate)</t>
        </is>
      </c>
      <c r="L16" s="327" t="inlineStr">
        <is>
          <t>$2,170</t>
        </is>
      </c>
      <c r="M16" s="328" t="inlineStr">
        <is>
          <t>$2,310</t>
        </is>
      </c>
      <c r="N16" s="329" t="inlineStr">
        <is>
          <t>N/A (Market Rate)</t>
        </is>
      </c>
      <c r="O16" s="329" t="inlineStr">
        <is>
          <t>N/A (Market Rate)</t>
        </is>
      </c>
      <c r="P16" s="327" t="inlineStr">
        <is>
          <t>$2,780</t>
        </is>
      </c>
      <c r="Q16" s="328" t="inlineStr">
        <is>
          <t>$2,755</t>
        </is>
      </c>
      <c r="R16" s="329" t="n">
        <v>312</v>
      </c>
      <c r="S16" s="329" t="n">
        <v>2013</v>
      </c>
      <c r="T16" s="329" t="n">
        <v>2</v>
      </c>
      <c r="U16" s="329" t="inlineStr">
        <is>
          <t>No</t>
        </is>
      </c>
      <c r="V16" s="329" t="inlineStr">
        <is>
          <t>Yes</t>
        </is>
      </c>
      <c r="W16" s="329" t="inlineStr">
        <is>
          <t>Yes</t>
        </is>
      </c>
      <c r="X16" s="329" t="inlineStr">
        <is>
          <t>Yes</t>
        </is>
      </c>
      <c r="Y16" s="329" t="inlineStr">
        <is>
          <t>Yes</t>
        </is>
      </c>
      <c r="Z16" s="330" t="inlineStr">
        <is>
          <t>HIGH</t>
        </is>
      </c>
      <c r="AA16" s="331" t="inlineStr">
        <is>
          <t>Market Rate Comp #6: No income restrictions, 2013 vintage (2 yr diff from 2015 rebuild), 312 units, 5.2 mi from subject in Long Bayou/Bay Pines area. Managed by GSC. 2BD $2,310 / 3BD $2,755.</t>
        </is>
      </c>
      <c r="AB16" s="332" t="inlineStr">
        <is>
          <t>https://www.apartments.com/the-courtney-at-bay-pines-saint-petersburg-fl/n3m8fmm/</t>
        </is>
      </c>
      <c r="AC16" s="302" t="n"/>
      <c r="AD16" s="343" t="n"/>
      <c r="AE16" s="343" t="n"/>
      <c r="AF16" s="343" t="n"/>
      <c r="AG16" s="343" t="n"/>
      <c r="AH16" s="343" t="n"/>
      <c r="AI16" s="343" t="n"/>
      <c r="AJ16" s="343" t="n"/>
      <c r="AK16" s="343" t="n"/>
      <c r="AL16" s="343" t="n"/>
      <c r="AM16" s="343" t="n"/>
      <c r="AN16" s="343" t="n"/>
      <c r="AO16" s="343" t="n"/>
      <c r="AP16" s="343" t="n"/>
      <c r="AQ16" s="343" t="n"/>
      <c r="AR16" s="343" t="n"/>
      <c r="AS16" s="343" t="n"/>
      <c r="AT16" s="343" t="n"/>
      <c r="AU16" s="343" t="n"/>
      <c r="AV16" s="343" t="n"/>
      <c r="AW16" s="343" t="n"/>
      <c r="AX16" s="343" t="n"/>
      <c r="AY16" s="302" t="n"/>
      <c r="AZ16" s="302" t="n"/>
      <c r="BA16" s="302" t="n"/>
      <c r="BB16" s="302" t="n"/>
      <c r="BC16" s="302" t="n"/>
      <c r="BD16" s="302" t="n"/>
      <c r="BE16" s="302" t="n"/>
      <c r="BF16" s="302" t="n"/>
      <c r="BG16" s="302" t="n"/>
      <c r="BH16" s="302" t="n"/>
      <c r="BI16" s="302" t="n"/>
      <c r="BJ16" s="302" t="n"/>
      <c r="BK16" s="302" t="n"/>
      <c r="BL16" s="302" t="n"/>
      <c r="BM16" s="302" t="n"/>
      <c r="BN16" s="302" t="n"/>
      <c r="BO16" s="302" t="n"/>
      <c r="BP16" s="302" t="n"/>
      <c r="BQ16" s="302" t="n"/>
      <c r="BR16" s="302" t="n"/>
      <c r="BS16" s="302" t="n"/>
      <c r="BT16" s="302" t="n"/>
      <c r="BU16" s="302" t="n"/>
      <c r="BV16" s="302" t="n"/>
      <c r="BW16" s="302" t="n"/>
      <c r="BX16" s="302" t="n"/>
      <c r="BY16" s="302" t="n"/>
      <c r="BZ16" s="302" t="n"/>
      <c r="CA16" s="302" t="n"/>
      <c r="CB16" s="302" t="n"/>
      <c r="CC16" s="302" t="n"/>
      <c r="CD16" s="302" t="n"/>
      <c r="CE16" s="302" t="n"/>
      <c r="CF16" s="302" t="n"/>
      <c r="CG16" s="302" t="n"/>
      <c r="CH16" s="302" t="n"/>
      <c r="CI16" s="302" t="n"/>
      <c r="CJ16" s="302" t="n"/>
      <c r="CK16" s="302" t="n"/>
      <c r="CL16" s="302" t="n"/>
      <c r="CM16" s="302" t="n"/>
      <c r="CN16" s="302" t="n"/>
      <c r="CO16" s="302" t="n"/>
      <c r="CP16" s="302" t="n"/>
      <c r="CQ16" s="302" t="n"/>
      <c r="CR16" s="302" t="n"/>
      <c r="CS16" s="302" t="n"/>
      <c r="CT16" s="302" t="n"/>
    </row>
    <row r="17" ht="74.25" customHeight="1" s="131">
      <c r="B17" s="282" t="inlineStr">
        <is>
          <t>—</t>
        </is>
      </c>
      <c r="C17" s="283" t="inlineStr">
        <is>
          <t>BENCHMARK</t>
        </is>
      </c>
      <c r="D17" s="284" t="inlineStr">
        <is>
          <t>FY2026 FMR — Tampa-St. Petersburg MSA</t>
        </is>
      </c>
      <c r="E17" s="282" t="inlineStr">
        <is>
          <t>N/A</t>
        </is>
      </c>
      <c r="F17" s="282" t="inlineStr">
        <is>
          <t>St. Petersburg</t>
        </is>
      </c>
      <c r="G17" s="282" t="inlineStr">
        <is>
          <t>FL</t>
        </is>
      </c>
      <c r="H17" s="282" t="inlineStr">
        <is>
          <t>N/A</t>
        </is>
      </c>
      <c r="I17" s="282" t="inlineStr">
        <is>
          <t>N/A</t>
        </is>
      </c>
      <c r="J17" s="282" t="inlineStr">
        <is>
          <t>$2,170</t>
        </is>
      </c>
      <c r="K17" s="282" t="inlineStr">
        <is>
          <t>$2,170</t>
        </is>
      </c>
      <c r="L17" s="233" t="inlineStr">
        <is>
          <t>$2,170</t>
        </is>
      </c>
      <c r="M17" s="234" t="inlineStr">
        <is>
          <t>N/A</t>
        </is>
      </c>
      <c r="N17" s="285" t="inlineStr">
        <is>
          <t>$2,780</t>
        </is>
      </c>
      <c r="O17" s="285" t="inlineStr">
        <is>
          <t>$2,780</t>
        </is>
      </c>
      <c r="P17" s="233" t="inlineStr">
        <is>
          <t>$2,780</t>
        </is>
      </c>
      <c r="Q17" s="234" t="inlineStr">
        <is>
          <t>N/A</t>
        </is>
      </c>
      <c r="R17" s="285" t="inlineStr">
        <is>
          <t>N/A</t>
        </is>
      </c>
      <c r="S17" s="285" t="inlineStr">
        <is>
          <t>N/A</t>
        </is>
      </c>
      <c r="T17" s="285" t="inlineStr">
        <is>
          <t>N/A</t>
        </is>
      </c>
      <c r="U17" s="285" t="inlineStr">
        <is>
          <t>N/A</t>
        </is>
      </c>
      <c r="V17" s="285" t="inlineStr">
        <is>
          <t>N/A</t>
        </is>
      </c>
      <c r="W17" s="285" t="inlineStr">
        <is>
          <t>N/A</t>
        </is>
      </c>
      <c r="X17" s="285" t="inlineStr">
        <is>
          <t>N/A</t>
        </is>
      </c>
      <c r="Y17" s="285" t="inlineStr">
        <is>
          <t>N/A</t>
        </is>
      </c>
      <c r="Z17" s="286" t="inlineStr">
        <is>
          <t>BENCHMARK</t>
        </is>
      </c>
      <c r="AA17" s="287" t="inlineStr">
        <is>
          <t>BENCHMARK — HUD Fair Market Rent (FMR) for Tampa-St. Petersburg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B17" s="285" t="inlineStr">
        <is>
          <t>HUD FMR Database (huduser.gov)</t>
        </is>
      </c>
      <c r="AC17" s="302" t="n"/>
      <c r="AD17" s="343" t="n"/>
      <c r="AE17" s="343" t="n"/>
      <c r="AF17" s="343" t="n"/>
      <c r="AG17" s="343" t="n"/>
      <c r="AH17" s="343" t="n"/>
      <c r="AI17" s="343" t="n"/>
      <c r="AJ17" s="343" t="n"/>
      <c r="AK17" s="343" t="n"/>
      <c r="AL17" s="343" t="n"/>
      <c r="AM17" s="343" t="n"/>
      <c r="AN17" s="343" t="n"/>
      <c r="AO17" s="343" t="n"/>
      <c r="AP17" s="343" t="n"/>
      <c r="AQ17" s="343" t="n"/>
      <c r="AR17" s="343" t="n"/>
      <c r="AS17" s="343" t="n"/>
      <c r="AT17" s="343" t="n"/>
      <c r="AU17" s="343" t="n"/>
      <c r="AV17" s="343" t="n"/>
      <c r="AW17" s="343" t="n"/>
      <c r="AX17" s="343" t="n"/>
      <c r="AY17" s="302" t="n"/>
      <c r="AZ17" s="302" t="n"/>
      <c r="BA17" s="302" t="n"/>
      <c r="BB17" s="302" t="n"/>
      <c r="BC17" s="302" t="n"/>
      <c r="BD17" s="302" t="n"/>
      <c r="BE17" s="302" t="n"/>
      <c r="BF17" s="302" t="n"/>
      <c r="BG17" s="302" t="n"/>
      <c r="BH17" s="302" t="n"/>
      <c r="BI17" s="302" t="n"/>
      <c r="BJ17" s="302" t="n"/>
      <c r="BK17" s="302" t="n"/>
      <c r="BL17" s="302" t="n"/>
      <c r="BM17" s="302" t="n"/>
      <c r="BN17" s="302" t="n"/>
      <c r="BO17" s="302" t="n"/>
      <c r="BP17" s="302" t="n"/>
      <c r="BQ17" s="302" t="n"/>
      <c r="BR17" s="302" t="n"/>
      <c r="BS17" s="302" t="n"/>
      <c r="BT17" s="302" t="n"/>
      <c r="BU17" s="302" t="n"/>
      <c r="BV17" s="302" t="n"/>
      <c r="BW17" s="302" t="n"/>
      <c r="BX17" s="302" t="n"/>
      <c r="BY17" s="302" t="n"/>
      <c r="BZ17" s="302" t="n"/>
      <c r="CA17" s="302" t="n"/>
      <c r="CB17" s="302" t="n"/>
      <c r="CC17" s="302" t="n"/>
      <c r="CD17" s="302" t="n"/>
      <c r="CE17" s="302" t="n"/>
      <c r="CF17" s="302" t="n"/>
      <c r="CG17" s="302" t="n"/>
      <c r="CH17" s="302" t="n"/>
      <c r="CI17" s="302" t="n"/>
      <c r="CJ17" s="302" t="n"/>
      <c r="CK17" s="302" t="n"/>
      <c r="CL17" s="302" t="n"/>
      <c r="CM17" s="302" t="n"/>
      <c r="CN17" s="302" t="n"/>
      <c r="CO17" s="302" t="n"/>
      <c r="CP17" s="302" t="n"/>
      <c r="CQ17" s="302" t="n"/>
      <c r="CR17" s="302" t="n"/>
      <c r="CS17" s="302" t="n"/>
      <c r="CT17" s="302" t="n"/>
    </row>
    <row r="18" ht="84.75" customHeight="1" s="131">
      <c r="B18" s="282" t="inlineStr">
        <is>
          <t>—</t>
        </is>
      </c>
      <c r="C18" s="283" t="inlineStr">
        <is>
          <t>BENCHMARK</t>
        </is>
      </c>
      <c r="D18" s="284" t="inlineStr">
        <is>
          <t>Metro Market Avg — St. Petersburg (Live, Apr 2026)</t>
        </is>
      </c>
      <c r="E18" s="282" t="inlineStr">
        <is>
          <t>N/A</t>
        </is>
      </c>
      <c r="F18" s="282" t="inlineStr">
        <is>
          <t>St. Petersburg</t>
        </is>
      </c>
      <c r="G18" s="282" t="inlineStr">
        <is>
          <t>FL</t>
        </is>
      </c>
      <c r="H18" s="282" t="inlineStr">
        <is>
          <t>N/A</t>
        </is>
      </c>
      <c r="I18" s="282" t="inlineStr">
        <is>
          <t>N/A</t>
        </is>
      </c>
      <c r="J18" s="282" t="inlineStr">
        <is>
          <t>$2,336</t>
        </is>
      </c>
      <c r="K18" s="282" t="inlineStr">
        <is>
          <t>$2,336</t>
        </is>
      </c>
      <c r="L18" s="233" t="inlineStr">
        <is>
          <t>$2,336</t>
        </is>
      </c>
      <c r="M18" s="234" t="inlineStr">
        <is>
          <t>$2,336</t>
        </is>
      </c>
      <c r="N18" s="285" t="inlineStr">
        <is>
          <t>$2,923</t>
        </is>
      </c>
      <c r="O18" s="285" t="inlineStr">
        <is>
          <t>$2,923</t>
        </is>
      </c>
      <c r="P18" s="233" t="inlineStr">
        <is>
          <t>$2,923</t>
        </is>
      </c>
      <c r="Q18" s="234" t="inlineStr">
        <is>
          <t>$2,923</t>
        </is>
      </c>
      <c r="R18" s="285" t="inlineStr">
        <is>
          <t>N/A</t>
        </is>
      </c>
      <c r="S18" s="285" t="inlineStr">
        <is>
          <t>N/A</t>
        </is>
      </c>
      <c r="T18" s="285" t="inlineStr">
        <is>
          <t>N/A</t>
        </is>
      </c>
      <c r="U18" s="285" t="inlineStr">
        <is>
          <t>N/A</t>
        </is>
      </c>
      <c r="V18" s="285" t="inlineStr">
        <is>
          <t>N/A</t>
        </is>
      </c>
      <c r="W18" s="285" t="inlineStr">
        <is>
          <t>N/A</t>
        </is>
      </c>
      <c r="X18" s="285" t="inlineStr">
        <is>
          <t>N/A</t>
        </is>
      </c>
      <c r="Y18" s="285" t="inlineStr">
        <is>
          <t>N/A</t>
        </is>
      </c>
      <c r="Z18" s="286" t="inlineStr">
        <is>
          <t>BENCHMARK</t>
        </is>
      </c>
      <c r="AA18" s="287" t="inlineStr">
        <is>
          <t>BENCHMARK — Live Market Average for St. Petersburg (33711/33712/33705/33708), calculated from 6 market-rate comps as of Apr 30, 2026. 2BD avg: $2,336 (Addison $2,446, Marina Walk $2,600, Flagler Pointe $1,890, Sur Club $2,250, Lake Maggiore $2,520, Courtney at Bay Pines $2,310). 3BD avg: $2,923 (Addison $2,947, Flagler Pointe $2,150, Lake Maggiore $3,840, Courtney at Bay Pines $2,755 — 4 comps with 3BD available).</t>
        </is>
      </c>
      <c r="AB18" s="285" t="inlineStr">
        <is>
          <t>Apartments.com live data, Apr 30, 2026</t>
        </is>
      </c>
      <c r="AC18" s="302" t="n"/>
      <c r="AD18" s="343" t="n"/>
      <c r="AE18" s="343" t="n"/>
      <c r="AF18" s="343" t="n"/>
      <c r="AG18" s="343" t="n"/>
      <c r="AH18" s="343" t="n"/>
      <c r="AI18" s="343" t="n"/>
      <c r="AJ18" s="343" t="n"/>
      <c r="AK18" s="343" t="n"/>
      <c r="AL18" s="343" t="n"/>
      <c r="AM18" s="343" t="n"/>
      <c r="AN18" s="343" t="n"/>
      <c r="AO18" s="343" t="n"/>
      <c r="AP18" s="343" t="n"/>
      <c r="AQ18" s="343" t="n"/>
      <c r="AR18" s="343" t="n"/>
      <c r="AS18" s="343" t="n"/>
      <c r="AT18" s="343" t="n"/>
      <c r="AU18" s="343" t="n"/>
      <c r="AV18" s="343" t="n"/>
      <c r="AW18" s="343" t="n"/>
      <c r="AX18" s="343" t="n"/>
      <c r="AY18" s="302" t="n"/>
      <c r="AZ18" s="302" t="n"/>
      <c r="BA18" s="302" t="n"/>
      <c r="BB18" s="302" t="n"/>
      <c r="BC18" s="302" t="n"/>
      <c r="BD18" s="302" t="n"/>
      <c r="BE18" s="302" t="n"/>
      <c r="BF18" s="302" t="n"/>
      <c r="BG18" s="302" t="n"/>
      <c r="BH18" s="302" t="n"/>
      <c r="BI18" s="302" t="n"/>
      <c r="BJ18" s="302" t="n"/>
      <c r="BK18" s="302" t="n"/>
      <c r="BL18" s="302" t="n"/>
      <c r="BM18" s="302" t="n"/>
      <c r="BN18" s="302" t="n"/>
      <c r="BO18" s="302" t="n"/>
      <c r="BP18" s="302" t="n"/>
      <c r="BQ18" s="302" t="n"/>
      <c r="BR18" s="302" t="n"/>
      <c r="BS18" s="302" t="n"/>
      <c r="BT18" s="302" t="n"/>
      <c r="BU18" s="302" t="n"/>
      <c r="BV18" s="302" t="n"/>
      <c r="BW18" s="302" t="n"/>
      <c r="BX18" s="302" t="n"/>
      <c r="BY18" s="302" t="n"/>
      <c r="BZ18" s="302" t="n"/>
      <c r="CA18" s="302" t="n"/>
      <c r="CB18" s="302" t="n"/>
      <c r="CC18" s="302" t="n"/>
      <c r="CD18" s="302" t="n"/>
      <c r="CE18" s="302" t="n"/>
      <c r="CF18" s="302" t="n"/>
      <c r="CG18" s="302" t="n"/>
      <c r="CH18" s="302" t="n"/>
      <c r="CI18" s="302" t="n"/>
      <c r="CJ18" s="302" t="n"/>
      <c r="CK18" s="302" t="n"/>
      <c r="CL18" s="302" t="n"/>
      <c r="CM18" s="302" t="n"/>
      <c r="CN18" s="302" t="n"/>
      <c r="CO18" s="302" t="n"/>
      <c r="CP18" s="302" t="n"/>
      <c r="CQ18" s="302" t="n"/>
      <c r="CR18" s="302" t="n"/>
      <c r="CS18" s="302" t="n"/>
      <c r="CT18" s="302" t="n"/>
    </row>
    <row r="19" ht="6" customHeight="1" s="131"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C19" s="302" t="n"/>
      <c r="AD19" s="343" t="n"/>
      <c r="AE19" s="343" t="n"/>
      <c r="AF19" s="343" t="n"/>
      <c r="AG19" s="343" t="n"/>
      <c r="AH19" s="343" t="n"/>
      <c r="AI19" s="343" t="n"/>
      <c r="AJ19" s="343" t="n"/>
      <c r="AK19" s="343" t="n"/>
      <c r="AL19" s="343" t="n"/>
      <c r="AM19" s="343" t="n"/>
      <c r="AN19" s="343" t="n"/>
      <c r="AO19" s="343" t="n"/>
      <c r="AP19" s="343" t="n"/>
      <c r="AQ19" s="343" t="n"/>
      <c r="AR19" s="343" t="n"/>
      <c r="AS19" s="343" t="n"/>
      <c r="AT19" s="343" t="n"/>
      <c r="AU19" s="343" t="n"/>
      <c r="AV19" s="343" t="n"/>
      <c r="AW19" s="343" t="n"/>
      <c r="AX19" s="343" t="n"/>
      <c r="AY19" s="302" t="n"/>
      <c r="AZ19" s="302" t="n"/>
      <c r="BA19" s="302" t="n"/>
      <c r="BB19" s="302" t="n"/>
      <c r="BC19" s="302" t="n"/>
      <c r="BD19" s="302" t="n"/>
      <c r="BE19" s="302" t="n"/>
      <c r="BF19" s="302" t="n"/>
      <c r="BG19" s="302" t="n"/>
      <c r="BH19" s="302" t="n"/>
      <c r="BI19" s="302" t="n"/>
      <c r="BJ19" s="302" t="n"/>
      <c r="BK19" s="302" t="n"/>
      <c r="BL19" s="302" t="n"/>
      <c r="BM19" s="302" t="n"/>
      <c r="BN19" s="302" t="n"/>
      <c r="BO19" s="302" t="n"/>
      <c r="BP19" s="302" t="n"/>
      <c r="BQ19" s="302" t="n"/>
      <c r="BR19" s="302" t="n"/>
      <c r="BS19" s="302" t="n"/>
      <c r="BT19" s="302" t="n"/>
      <c r="BU19" s="302" t="n"/>
      <c r="BV19" s="302" t="n"/>
      <c r="BW19" s="302" t="n"/>
      <c r="BX19" s="302" t="n"/>
      <c r="BY19" s="302" t="n"/>
      <c r="BZ19" s="302" t="n"/>
      <c r="CA19" s="302" t="n"/>
      <c r="CB19" s="302" t="n"/>
      <c r="CC19" s="302" t="n"/>
      <c r="CD19" s="302" t="n"/>
      <c r="CE19" s="302" t="n"/>
      <c r="CF19" s="302" t="n"/>
      <c r="CG19" s="302" t="n"/>
      <c r="CH19" s="302" t="n"/>
      <c r="CI19" s="302" t="n"/>
      <c r="CJ19" s="302" t="n"/>
      <c r="CK19" s="302" t="n"/>
      <c r="CL19" s="302" t="n"/>
      <c r="CM19" s="302" t="n"/>
      <c r="CN19" s="302" t="n"/>
      <c r="CO19" s="302" t="n"/>
      <c r="CP19" s="302" t="n"/>
      <c r="CQ19" s="302" t="n"/>
      <c r="CR19" s="302" t="n"/>
      <c r="CS19" s="302" t="n"/>
      <c r="CT19" s="302" t="n"/>
    </row>
    <row r="20" ht="21.75" customFormat="1" customHeight="1" s="38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302" t="n"/>
      <c r="AD20" s="302" t="n"/>
      <c r="AE20" s="302" t="n"/>
      <c r="AF20" s="302" t="n"/>
      <c r="AG20" s="302" t="n"/>
      <c r="AH20" s="302" t="n"/>
      <c r="AI20" s="302" t="n"/>
      <c r="AJ20" s="302" t="n"/>
      <c r="AK20" s="302" t="n"/>
      <c r="AL20" s="302" t="n"/>
      <c r="AM20" s="302" t="n"/>
      <c r="AN20" s="302" t="n"/>
      <c r="AO20" s="302" t="n"/>
      <c r="AP20" s="302" t="n"/>
      <c r="AQ20" s="302" t="n"/>
      <c r="AR20" s="302" t="n"/>
      <c r="AS20" s="302" t="n"/>
      <c r="AT20" s="302" t="n"/>
      <c r="AU20" s="302" t="n"/>
      <c r="AV20" s="302" t="n"/>
      <c r="AW20" s="302" t="n"/>
      <c r="AX20" s="302" t="n"/>
      <c r="AY20" s="302" t="n"/>
      <c r="AZ20" s="302" t="n"/>
      <c r="BA20" s="302" t="n"/>
      <c r="BB20" s="302" t="n"/>
      <c r="BC20" s="302" t="n"/>
      <c r="BD20" s="302" t="n"/>
      <c r="BE20" s="302" t="n"/>
      <c r="BF20" s="302" t="n"/>
      <c r="BG20" s="302" t="n"/>
      <c r="BH20" s="302" t="n"/>
      <c r="BI20" s="302" t="n"/>
      <c r="BJ20" s="302" t="n"/>
      <c r="BK20" s="302" t="n"/>
      <c r="BL20" s="302" t="n"/>
      <c r="BM20" s="302" t="n"/>
      <c r="BN20" s="302" t="n"/>
      <c r="BO20" s="302" t="n"/>
      <c r="BP20" s="302" t="n"/>
      <c r="BQ20" s="302" t="n"/>
      <c r="BR20" s="302" t="n"/>
      <c r="BS20" s="302" t="n"/>
      <c r="BT20" s="302" t="n"/>
      <c r="BU20" s="302" t="n"/>
      <c r="BV20" s="302" t="n"/>
      <c r="BW20" s="302" t="n"/>
      <c r="BX20" s="302" t="n"/>
      <c r="BY20" s="302" t="n"/>
      <c r="BZ20" s="302" t="n"/>
      <c r="CA20" s="302" t="n"/>
      <c r="CB20" s="302" t="n"/>
      <c r="CC20" s="302" t="n"/>
      <c r="CD20" s="302" t="n"/>
      <c r="CE20" s="302" t="n"/>
      <c r="CF20" s="302" t="n"/>
      <c r="CG20" s="302" t="n"/>
      <c r="CH20" s="302" t="n"/>
      <c r="CI20" s="302" t="n"/>
      <c r="CJ20" s="302" t="n"/>
      <c r="CK20" s="302" t="n"/>
      <c r="CL20" s="302" t="n"/>
      <c r="CM20" s="302" t="n"/>
      <c r="CN20" s="302" t="n"/>
      <c r="CO20" s="302" t="n"/>
      <c r="CP20" s="302" t="n"/>
      <c r="CQ20" s="302" t="n"/>
      <c r="CR20" s="302" t="n"/>
      <c r="CS20" s="302" t="n"/>
      <c r="CT20" s="302" t="n"/>
    </row>
    <row r="21" ht="6" customFormat="1" customHeight="1" s="38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302" t="n"/>
      <c r="AD21" s="302" t="n"/>
      <c r="AE21" s="302" t="n"/>
      <c r="AF21" s="302" t="n"/>
      <c r="AG21" s="302" t="n"/>
      <c r="AH21" s="302" t="n"/>
      <c r="AI21" s="302" t="n"/>
      <c r="AJ21" s="302" t="n"/>
      <c r="AK21" s="302" t="n"/>
      <c r="AL21" s="302" t="n"/>
      <c r="AM21" s="302" t="n"/>
      <c r="AN21" s="302" t="n"/>
      <c r="AO21" s="302" t="n"/>
      <c r="AP21" s="302" t="n"/>
      <c r="AQ21" s="302" t="n"/>
      <c r="AR21" s="302" t="n"/>
      <c r="AS21" s="302" t="n"/>
      <c r="AT21" s="302" t="n"/>
      <c r="AU21" s="302" t="n"/>
      <c r="AV21" s="302" t="n"/>
      <c r="AW21" s="302" t="n"/>
      <c r="AX21" s="302" t="n"/>
      <c r="AY21" s="302" t="n"/>
      <c r="AZ21" s="302" t="n"/>
      <c r="BA21" s="302" t="n"/>
      <c r="BB21" s="302" t="n"/>
      <c r="BC21" s="302" t="n"/>
      <c r="BD21" s="302" t="n"/>
      <c r="BE21" s="302" t="n"/>
      <c r="BF21" s="302" t="n"/>
      <c r="BG21" s="302" t="n"/>
      <c r="BH21" s="302" t="n"/>
      <c r="BI21" s="302" t="n"/>
      <c r="BJ21" s="302" t="n"/>
      <c r="BK21" s="302" t="n"/>
      <c r="BL21" s="302" t="n"/>
      <c r="BM21" s="302" t="n"/>
      <c r="BN21" s="302" t="n"/>
      <c r="BO21" s="302" t="n"/>
      <c r="BP21" s="302" t="n"/>
      <c r="BQ21" s="302" t="n"/>
      <c r="BR21" s="302" t="n"/>
      <c r="BS21" s="302" t="n"/>
      <c r="BT21" s="302" t="n"/>
      <c r="BU21" s="302" t="n"/>
      <c r="BV21" s="302" t="n"/>
      <c r="BW21" s="302" t="n"/>
      <c r="BX21" s="302" t="n"/>
      <c r="BY21" s="302" t="n"/>
      <c r="BZ21" s="302" t="n"/>
      <c r="CA21" s="302" t="n"/>
      <c r="CB21" s="302" t="n"/>
      <c r="CC21" s="302" t="n"/>
      <c r="CD21" s="302" t="n"/>
      <c r="CE21" s="302" t="n"/>
      <c r="CF21" s="302" t="n"/>
      <c r="CG21" s="302" t="n"/>
      <c r="CH21" s="302" t="n"/>
      <c r="CI21" s="302" t="n"/>
      <c r="CJ21" s="302" t="n"/>
      <c r="CK21" s="302" t="n"/>
      <c r="CL21" s="302" t="n"/>
      <c r="CM21" s="302" t="n"/>
      <c r="CN21" s="302" t="n"/>
      <c r="CO21" s="302" t="n"/>
      <c r="CP21" s="302" t="n"/>
      <c r="CQ21" s="302" t="n"/>
      <c r="CR21" s="302" t="n"/>
      <c r="CS21" s="302" t="n"/>
      <c r="CT21" s="302" t="n"/>
    </row>
    <row r="22" ht="30.75" customFormat="1" customHeight="1" s="38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302" t="n"/>
      <c r="AD22" s="302" t="n"/>
      <c r="AE22" s="302" t="n"/>
      <c r="AF22" s="302" t="n"/>
      <c r="AG22" s="302" t="n"/>
      <c r="AH22" s="302" t="n"/>
      <c r="AI22" s="302" t="n"/>
      <c r="AJ22" s="302" t="n"/>
      <c r="AK22" s="302" t="n"/>
      <c r="AL22" s="302" t="n"/>
      <c r="AM22" s="302" t="n"/>
      <c r="AN22" s="302" t="n"/>
      <c r="AO22" s="302" t="n"/>
      <c r="AP22" s="302" t="n"/>
      <c r="AQ22" s="302" t="n"/>
      <c r="AR22" s="302" t="n"/>
      <c r="AS22" s="302" t="n"/>
      <c r="AT22" s="302" t="n"/>
      <c r="AU22" s="302" t="n"/>
      <c r="AV22" s="302" t="n"/>
      <c r="AW22" s="302" t="n"/>
      <c r="AX22" s="302" t="n"/>
      <c r="AY22" s="302" t="n"/>
      <c r="AZ22" s="302" t="n"/>
      <c r="BA22" s="302" t="n"/>
      <c r="BB22" s="302" t="n"/>
      <c r="BC22" s="302" t="n"/>
      <c r="BD22" s="302" t="n"/>
      <c r="BE22" s="302" t="n"/>
      <c r="BF22" s="302" t="n"/>
      <c r="BG22" s="302" t="n"/>
      <c r="BH22" s="302" t="n"/>
      <c r="BI22" s="302" t="n"/>
      <c r="BJ22" s="302" t="n"/>
      <c r="BK22" s="302" t="n"/>
      <c r="BL22" s="302" t="n"/>
      <c r="BM22" s="302" t="n"/>
      <c r="BN22" s="302" t="n"/>
      <c r="BO22" s="302" t="n"/>
      <c r="BP22" s="302" t="n"/>
      <c r="BQ22" s="302" t="n"/>
      <c r="BR22" s="302" t="n"/>
      <c r="BS22" s="302" t="n"/>
      <c r="BT22" s="302" t="n"/>
      <c r="BU22" s="302" t="n"/>
      <c r="BV22" s="302" t="n"/>
      <c r="BW22" s="302" t="n"/>
      <c r="BX22" s="302" t="n"/>
      <c r="BY22" s="302" t="n"/>
      <c r="BZ22" s="302" t="n"/>
      <c r="CA22" s="302" t="n"/>
      <c r="CB22" s="302" t="n"/>
      <c r="CC22" s="302" t="n"/>
      <c r="CD22" s="302" t="n"/>
      <c r="CE22" s="302" t="n"/>
      <c r="CF22" s="302" t="n"/>
      <c r="CG22" s="302" t="n"/>
      <c r="CH22" s="302" t="n"/>
      <c r="CI22" s="302" t="n"/>
      <c r="CJ22" s="302" t="n"/>
      <c r="CK22" s="302" t="n"/>
      <c r="CL22" s="302" t="n"/>
      <c r="CM22" s="302" t="n"/>
      <c r="CN22" s="302" t="n"/>
      <c r="CO22" s="302" t="n"/>
      <c r="CP22" s="302" t="n"/>
      <c r="CQ22" s="302" t="n"/>
      <c r="CR22" s="302" t="n"/>
      <c r="CS22" s="302" t="n"/>
      <c r="CT22" s="302" t="n"/>
    </row>
    <row r="23" ht="18" customFormat="1" customHeight="1" s="38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302" t="n"/>
      <c r="AD23" s="302" t="n"/>
      <c r="AE23" s="302" t="n"/>
      <c r="AF23" s="302" t="n"/>
      <c r="AG23" s="302" t="n"/>
      <c r="AH23" s="302" t="n"/>
      <c r="AI23" s="302" t="n"/>
      <c r="AJ23" s="302" t="n"/>
      <c r="AK23" s="302" t="n"/>
      <c r="AL23" s="302" t="n"/>
      <c r="AM23" s="302" t="n"/>
      <c r="AN23" s="302" t="n"/>
      <c r="AO23" s="302" t="n"/>
      <c r="AP23" s="302" t="n"/>
      <c r="AQ23" s="302" t="n"/>
      <c r="AR23" s="302" t="n"/>
      <c r="AS23" s="302" t="n"/>
      <c r="AT23" s="302" t="n"/>
      <c r="AU23" s="302" t="n"/>
      <c r="AV23" s="302" t="n"/>
      <c r="AW23" s="302" t="n"/>
      <c r="AX23" s="302" t="n"/>
      <c r="AY23" s="302" t="n"/>
      <c r="AZ23" s="302" t="n"/>
      <c r="BA23" s="302" t="n"/>
      <c r="BB23" s="302" t="n"/>
      <c r="BC23" s="302" t="n"/>
      <c r="BD23" s="302" t="n"/>
      <c r="BE23" s="302" t="n"/>
      <c r="BF23" s="302" t="n"/>
      <c r="BG23" s="302" t="n"/>
      <c r="BH23" s="302" t="n"/>
      <c r="BI23" s="302" t="n"/>
      <c r="BJ23" s="302" t="n"/>
      <c r="BK23" s="302" t="n"/>
      <c r="BL23" s="302" t="n"/>
      <c r="BM23" s="302" t="n"/>
      <c r="BN23" s="302" t="n"/>
      <c r="BO23" s="302" t="n"/>
      <c r="BP23" s="302" t="n"/>
      <c r="BQ23" s="302" t="n"/>
      <c r="BR23" s="302" t="n"/>
      <c r="BS23" s="302" t="n"/>
      <c r="BT23" s="302" t="n"/>
      <c r="BU23" s="302" t="n"/>
      <c r="BV23" s="302" t="n"/>
      <c r="BW23" s="302" t="n"/>
      <c r="BX23" s="302" t="n"/>
      <c r="BY23" s="302" t="n"/>
      <c r="BZ23" s="302" t="n"/>
      <c r="CA23" s="302" t="n"/>
      <c r="CB23" s="302" t="n"/>
      <c r="CC23" s="302" t="n"/>
      <c r="CD23" s="302" t="n"/>
      <c r="CE23" s="302" t="n"/>
      <c r="CF23" s="302" t="n"/>
      <c r="CG23" s="302" t="n"/>
      <c r="CH23" s="302" t="n"/>
      <c r="CI23" s="302" t="n"/>
      <c r="CJ23" s="302" t="n"/>
      <c r="CK23" s="302" t="n"/>
      <c r="CL23" s="302" t="n"/>
      <c r="CM23" s="302" t="n"/>
      <c r="CN23" s="302" t="n"/>
      <c r="CO23" s="302" t="n"/>
      <c r="CP23" s="302" t="n"/>
      <c r="CQ23" s="302" t="n"/>
      <c r="CR23" s="302" t="n"/>
      <c r="CS23" s="302" t="n"/>
      <c r="CT23" s="302" t="n"/>
    </row>
    <row r="24" ht="21.75" customFormat="1" customHeight="1" s="38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302" t="n"/>
      <c r="AD24" s="302" t="n"/>
      <c r="AE24" s="302" t="n"/>
      <c r="AF24" s="302" t="n"/>
      <c r="AG24" s="302" t="n"/>
      <c r="AH24" s="302" t="n"/>
      <c r="AI24" s="302" t="n"/>
      <c r="AJ24" s="302" t="n"/>
      <c r="AK24" s="302" t="n"/>
      <c r="AL24" s="302" t="n"/>
      <c r="AM24" s="302" t="n"/>
      <c r="AN24" s="302" t="n"/>
      <c r="AO24" s="302" t="n"/>
      <c r="AP24" s="302" t="n"/>
      <c r="AQ24" s="302" t="n"/>
      <c r="AR24" s="302" t="n"/>
      <c r="AS24" s="302" t="n"/>
      <c r="AT24" s="302" t="n"/>
      <c r="AU24" s="302" t="n"/>
      <c r="AV24" s="302" t="n"/>
      <c r="AW24" s="302" t="n"/>
      <c r="AX24" s="302" t="n"/>
      <c r="AY24" s="302" t="n"/>
      <c r="AZ24" s="302" t="n"/>
      <c r="BA24" s="302" t="n"/>
      <c r="BB24" s="302" t="n"/>
      <c r="BC24" s="302" t="n"/>
      <c r="BD24" s="302" t="n"/>
      <c r="BE24" s="302" t="n"/>
      <c r="BF24" s="302" t="n"/>
      <c r="BG24" s="302" t="n"/>
      <c r="BH24" s="302" t="n"/>
      <c r="BI24" s="302" t="n"/>
      <c r="BJ24" s="302" t="n"/>
      <c r="BK24" s="302" t="n"/>
      <c r="BL24" s="302" t="n"/>
      <c r="BM24" s="302" t="n"/>
      <c r="BN24" s="302" t="n"/>
      <c r="BO24" s="302" t="n"/>
      <c r="BP24" s="302" t="n"/>
      <c r="BQ24" s="302" t="n"/>
      <c r="BR24" s="302" t="n"/>
      <c r="BS24" s="302" t="n"/>
      <c r="BT24" s="302" t="n"/>
      <c r="BU24" s="302" t="n"/>
      <c r="BV24" s="302" t="n"/>
      <c r="BW24" s="302" t="n"/>
      <c r="BX24" s="302" t="n"/>
      <c r="BY24" s="302" t="n"/>
      <c r="BZ24" s="302" t="n"/>
      <c r="CA24" s="302" t="n"/>
      <c r="CB24" s="302" t="n"/>
      <c r="CC24" s="302" t="n"/>
      <c r="CD24" s="302" t="n"/>
      <c r="CE24" s="302" t="n"/>
      <c r="CF24" s="302" t="n"/>
      <c r="CG24" s="302" t="n"/>
      <c r="CH24" s="302" t="n"/>
      <c r="CI24" s="302" t="n"/>
      <c r="CJ24" s="302" t="n"/>
      <c r="CK24" s="302" t="n"/>
      <c r="CL24" s="302" t="n"/>
      <c r="CM24" s="302" t="n"/>
      <c r="CN24" s="302" t="n"/>
      <c r="CO24" s="302" t="n"/>
      <c r="CP24" s="302" t="n"/>
      <c r="CQ24" s="302" t="n"/>
      <c r="CR24" s="302" t="n"/>
      <c r="CS24" s="302" t="n"/>
      <c r="CT24" s="302" t="n"/>
    </row>
    <row r="25" ht="24.75" customHeight="1" s="131">
      <c r="B25" s="201" t="inlineStr">
        <is>
          <t>2BD</t>
        </is>
      </c>
      <c r="C25" s="194" t="n">
        <v>1733</v>
      </c>
      <c r="D25" s="200" t="n">
        <v>2336</v>
      </c>
      <c r="E25" s="195" t="n">
        <v>-603</v>
      </c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302" t="n"/>
      <c r="AD25" s="343" t="n"/>
      <c r="AE25" s="343" t="n"/>
      <c r="AF25" s="343" t="n"/>
      <c r="AG25" s="343" t="n"/>
      <c r="AH25" s="343" t="n"/>
      <c r="AI25" s="343" t="n"/>
      <c r="AJ25" s="343" t="n"/>
      <c r="AK25" s="343" t="n"/>
      <c r="AL25" s="343" t="n"/>
      <c r="AM25" s="343" t="n"/>
      <c r="AN25" s="343" t="n"/>
      <c r="AO25" s="343" t="n"/>
      <c r="AP25" s="343" t="n"/>
      <c r="AQ25" s="343" t="n"/>
      <c r="AR25" s="343" t="n"/>
      <c r="AS25" s="343" t="n"/>
      <c r="AT25" s="343" t="n"/>
      <c r="AU25" s="343" t="n"/>
      <c r="AV25" s="343" t="n"/>
      <c r="AW25" s="343" t="n"/>
      <c r="AX25" s="343" t="n"/>
      <c r="AY25" s="302" t="n"/>
      <c r="AZ25" s="302" t="n"/>
      <c r="BA25" s="302" t="n"/>
      <c r="BB25" s="302" t="n"/>
      <c r="BC25" s="302" t="n"/>
      <c r="BD25" s="302" t="n"/>
      <c r="BE25" s="302" t="n"/>
      <c r="BF25" s="302" t="n"/>
      <c r="BG25" s="302" t="n"/>
      <c r="BH25" s="302" t="n"/>
      <c r="BI25" s="302" t="n"/>
      <c r="BJ25" s="302" t="n"/>
      <c r="BK25" s="302" t="n"/>
      <c r="BL25" s="302" t="n"/>
      <c r="BM25" s="302" t="n"/>
      <c r="BN25" s="302" t="n"/>
      <c r="BO25" s="302" t="n"/>
      <c r="BP25" s="302" t="n"/>
      <c r="BQ25" s="302" t="n"/>
      <c r="BR25" s="302" t="n"/>
      <c r="BS25" s="302" t="n"/>
      <c r="BT25" s="302" t="n"/>
      <c r="BU25" s="302" t="n"/>
      <c r="BV25" s="302" t="n"/>
      <c r="BW25" s="302" t="n"/>
      <c r="BX25" s="302" t="n"/>
      <c r="BY25" s="302" t="n"/>
      <c r="BZ25" s="302" t="n"/>
      <c r="CA25" s="302" t="n"/>
      <c r="CB25" s="302" t="n"/>
      <c r="CC25" s="302" t="n"/>
      <c r="CD25" s="302" t="n"/>
      <c r="CE25" s="302" t="n"/>
      <c r="CF25" s="302" t="n"/>
      <c r="CG25" s="302" t="n"/>
      <c r="CH25" s="302" t="n"/>
      <c r="CI25" s="302" t="n"/>
      <c r="CJ25" s="302" t="n"/>
      <c r="CK25" s="302" t="n"/>
      <c r="CL25" s="302" t="n"/>
      <c r="CM25" s="302" t="n"/>
      <c r="CN25" s="302" t="n"/>
      <c r="CO25" s="302" t="n"/>
      <c r="CP25" s="302" t="n"/>
      <c r="CQ25" s="302" t="n"/>
      <c r="CR25" s="302" t="n"/>
      <c r="CS25" s="302" t="n"/>
      <c r="CT25" s="302" t="n"/>
    </row>
    <row r="26" ht="24.75" customFormat="1" customHeight="1" s="38">
      <c r="A26" s="302" t="n"/>
      <c r="B26" s="202" t="inlineStr">
        <is>
          <t>3BD</t>
        </is>
      </c>
      <c r="C26" s="194" t="n">
        <v>2157</v>
      </c>
      <c r="D26" s="200" t="n">
        <v>2923</v>
      </c>
      <c r="E26" s="195" t="n">
        <v>-766</v>
      </c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02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302" t="n"/>
      <c r="AD26" s="302" t="n"/>
      <c r="AE26" s="302" t="n"/>
      <c r="AF26" s="302" t="n"/>
      <c r="AG26" s="302" t="n"/>
      <c r="AH26" s="302" t="n"/>
      <c r="AI26" s="302" t="n"/>
      <c r="AJ26" s="302" t="n"/>
      <c r="AK26" s="302" t="n"/>
      <c r="AL26" s="302" t="n"/>
      <c r="AM26" s="302" t="n"/>
      <c r="AN26" s="302" t="n"/>
      <c r="AO26" s="302" t="n"/>
      <c r="AP26" s="302" t="n"/>
      <c r="AQ26" s="302" t="n"/>
      <c r="AR26" s="302" t="n"/>
      <c r="AS26" s="302" t="n"/>
      <c r="AT26" s="302" t="n"/>
      <c r="AU26" s="302" t="n"/>
      <c r="AV26" s="302" t="n"/>
      <c r="AW26" s="302" t="n"/>
      <c r="AX26" s="302" t="n"/>
      <c r="AY26" s="302" t="n"/>
      <c r="AZ26" s="302" t="n"/>
      <c r="BA26" s="302" t="n"/>
      <c r="BB26" s="302" t="n"/>
      <c r="BC26" s="302" t="n"/>
      <c r="BD26" s="302" t="n"/>
      <c r="BE26" s="302" t="n"/>
      <c r="BF26" s="302" t="n"/>
      <c r="BG26" s="302" t="n"/>
      <c r="BH26" s="302" t="n"/>
      <c r="BI26" s="302" t="n"/>
      <c r="BJ26" s="302" t="n"/>
      <c r="BK26" s="302" t="n"/>
      <c r="BL26" s="302" t="n"/>
      <c r="BM26" s="302" t="n"/>
      <c r="BN26" s="302" t="n"/>
      <c r="BO26" s="302" t="n"/>
      <c r="BP26" s="302" t="n"/>
      <c r="BQ26" s="302" t="n"/>
      <c r="BR26" s="302" t="n"/>
      <c r="BS26" s="302" t="n"/>
      <c r="BT26" s="302" t="n"/>
      <c r="BU26" s="302" t="n"/>
      <c r="BV26" s="302" t="n"/>
      <c r="BW26" s="302" t="n"/>
      <c r="BX26" s="302" t="n"/>
      <c r="BY26" s="302" t="n"/>
      <c r="BZ26" s="302" t="n"/>
      <c r="CA26" s="302" t="n"/>
      <c r="CB26" s="302" t="n"/>
      <c r="CC26" s="302" t="n"/>
      <c r="CD26" s="302" t="n"/>
      <c r="CE26" s="302" t="n"/>
      <c r="CF26" s="302" t="n"/>
      <c r="CG26" s="302" t="n"/>
      <c r="CH26" s="302" t="n"/>
      <c r="CI26" s="302" t="n"/>
      <c r="CJ26" s="302" t="n"/>
      <c r="CK26" s="302" t="n"/>
      <c r="CL26" s="302" t="n"/>
      <c r="CM26" s="302" t="n"/>
      <c r="CN26" s="302" t="n"/>
      <c r="CO26" s="302" t="n"/>
      <c r="CP26" s="302" t="n"/>
      <c r="CQ26" s="302" t="n"/>
      <c r="CR26" s="302" t="n"/>
      <c r="CS26" s="302" t="n"/>
      <c r="CT26" s="302" t="n"/>
    </row>
    <row r="27" ht="8.1" customFormat="1" customHeight="1" s="38">
      <c r="A27" s="302" t="n"/>
      <c r="B27" s="183" t="n"/>
      <c r="C27" s="183" t="n"/>
      <c r="D27" s="183" t="n"/>
      <c r="E27" s="183" t="n"/>
      <c r="F27" s="183" t="n"/>
      <c r="G27" s="183" t="n"/>
      <c r="H27" s="183" t="n"/>
      <c r="I27" s="183" t="n"/>
      <c r="J27" s="183" t="n"/>
      <c r="K27" s="302" t="n"/>
      <c r="L27" s="302" t="n"/>
      <c r="M27" s="302" t="n"/>
      <c r="N27" s="302" t="n"/>
      <c r="O27" s="302" t="n"/>
      <c r="P27" s="302" t="n"/>
      <c r="Q27" s="302" t="n"/>
      <c r="R27" s="302" t="n"/>
      <c r="S27" s="302" t="n"/>
      <c r="T27" s="302" t="n"/>
      <c r="U27" s="302" t="n"/>
      <c r="V27" s="302" t="n"/>
      <c r="W27" s="302" t="n"/>
      <c r="X27" s="302" t="n"/>
      <c r="Y27" s="302" t="n"/>
      <c r="Z27" s="302" t="n"/>
      <c r="AA27" s="353" t="n"/>
      <c r="AB27" s="302" t="n"/>
      <c r="AC27" s="302" t="n"/>
      <c r="AD27" s="302" t="n"/>
      <c r="AE27" s="302" t="n"/>
      <c r="AF27" s="302" t="n"/>
      <c r="AG27" s="302" t="n"/>
      <c r="AH27" s="302" t="n"/>
      <c r="AI27" s="302" t="n"/>
      <c r="AJ27" s="302" t="n"/>
      <c r="AK27" s="302" t="n"/>
      <c r="AL27" s="302" t="n"/>
      <c r="AM27" s="302" t="n"/>
      <c r="AN27" s="302" t="n"/>
      <c r="AO27" s="302" t="n"/>
      <c r="AP27" s="302" t="n"/>
      <c r="AQ27" s="302" t="n"/>
      <c r="AR27" s="302" t="n"/>
      <c r="AS27" s="302" t="n"/>
      <c r="AT27" s="302" t="n"/>
      <c r="AU27" s="302" t="n"/>
      <c r="AV27" s="302" t="n"/>
      <c r="AW27" s="302" t="n"/>
      <c r="AX27" s="302" t="n"/>
      <c r="AY27" s="302" t="n"/>
      <c r="AZ27" s="302" t="n"/>
      <c r="BA27" s="302" t="n"/>
      <c r="BB27" s="302" t="n"/>
      <c r="BC27" s="302" t="n"/>
      <c r="BD27" s="302" t="n"/>
      <c r="BE27" s="302" t="n"/>
      <c r="BF27" s="302" t="n"/>
      <c r="BG27" s="302" t="n"/>
      <c r="BH27" s="302" t="n"/>
      <c r="BI27" s="302" t="n"/>
      <c r="BJ27" s="302" t="n"/>
      <c r="BK27" s="302" t="n"/>
      <c r="BL27" s="302" t="n"/>
      <c r="BM27" s="302" t="n"/>
      <c r="BN27" s="302" t="n"/>
      <c r="BO27" s="302" t="n"/>
      <c r="BP27" s="302" t="n"/>
      <c r="BQ27" s="302" t="n"/>
      <c r="BR27" s="302" t="n"/>
      <c r="BS27" s="302" t="n"/>
      <c r="BT27" s="302" t="n"/>
      <c r="BU27" s="302" t="n"/>
      <c r="BV27" s="302" t="n"/>
      <c r="BW27" s="302" t="n"/>
      <c r="BX27" s="302" t="n"/>
      <c r="BY27" s="302" t="n"/>
      <c r="BZ27" s="302" t="n"/>
      <c r="CA27" s="302" t="n"/>
      <c r="CB27" s="302" t="n"/>
      <c r="CC27" s="302" t="n"/>
      <c r="CD27" s="302" t="n"/>
      <c r="CE27" s="302" t="n"/>
      <c r="CF27" s="302" t="n"/>
      <c r="CG27" s="302" t="n"/>
      <c r="CH27" s="302" t="n"/>
      <c r="CI27" s="302" t="n"/>
      <c r="CJ27" s="302" t="n"/>
      <c r="CK27" s="302" t="n"/>
      <c r="CL27" s="302" t="n"/>
      <c r="CM27" s="302" t="n"/>
      <c r="CN27" s="302" t="n"/>
      <c r="CO27" s="302" t="n"/>
      <c r="CP27" s="302" t="n"/>
      <c r="CQ27" s="302" t="n"/>
      <c r="CR27" s="302" t="n"/>
      <c r="CS27" s="302" t="n"/>
      <c r="CT27" s="302" t="n"/>
    </row>
    <row r="28" ht="24.75" customFormat="1" customHeight="1" s="38">
      <c r="A28" s="302" t="n"/>
      <c r="B28" s="211" t="inlineStr">
        <is>
          <t>PMTS — Vouchers / FMR / UAP / NET</t>
        </is>
      </c>
      <c r="G28" s="365" t="n"/>
      <c r="H28" s="183" t="n"/>
      <c r="I28" s="183" t="n"/>
      <c r="J28" s="183" t="n"/>
      <c r="K28" s="302" t="n"/>
      <c r="L28" s="302" t="n"/>
      <c r="M28" s="302" t="n"/>
      <c r="N28" s="302" t="n"/>
      <c r="O28" s="302" t="n"/>
      <c r="P28" s="302" t="n"/>
      <c r="Q28" s="302" t="n"/>
      <c r="R28" s="302" t="n"/>
      <c r="S28" s="302" t="n"/>
      <c r="T28" s="302" t="n"/>
      <c r="U28" s="302" t="n"/>
      <c r="V28" s="302" t="n"/>
      <c r="W28" s="302" t="n"/>
      <c r="X28" s="302" t="n"/>
      <c r="Y28" s="302" t="n"/>
      <c r="Z28" s="302" t="n"/>
      <c r="AA28" s="353" t="n"/>
      <c r="AB28" s="302" t="n"/>
      <c r="AC28" s="302" t="n"/>
      <c r="AD28" s="302" t="n"/>
      <c r="AE28" s="302" t="n"/>
      <c r="AF28" s="302" t="n"/>
      <c r="AG28" s="302" t="n"/>
      <c r="AH28" s="302" t="n"/>
      <c r="AI28" s="302" t="n"/>
      <c r="AJ28" s="302" t="n"/>
      <c r="AK28" s="302" t="n"/>
      <c r="AL28" s="302" t="n"/>
      <c r="AM28" s="302" t="n"/>
      <c r="AN28" s="302" t="n"/>
      <c r="AO28" s="302" t="n"/>
      <c r="AP28" s="302" t="n"/>
      <c r="AQ28" s="302" t="n"/>
      <c r="AR28" s="302" t="n"/>
      <c r="AS28" s="302" t="n"/>
      <c r="AT28" s="302" t="n"/>
      <c r="AU28" s="302" t="n"/>
      <c r="AV28" s="302" t="n"/>
      <c r="AW28" s="302" t="n"/>
      <c r="AX28" s="302" t="n"/>
      <c r="AY28" s="302" t="n"/>
      <c r="AZ28" s="302" t="n"/>
      <c r="BA28" s="302" t="n"/>
      <c r="BB28" s="302" t="n"/>
      <c r="BC28" s="302" t="n"/>
      <c r="BD28" s="302" t="n"/>
      <c r="BE28" s="302" t="n"/>
      <c r="BF28" s="302" t="n"/>
      <c r="BG28" s="302" t="n"/>
      <c r="BH28" s="302" t="n"/>
      <c r="BI28" s="302" t="n"/>
      <c r="BJ28" s="302" t="n"/>
      <c r="BK28" s="302" t="n"/>
      <c r="BL28" s="302" t="n"/>
      <c r="BM28" s="302" t="n"/>
      <c r="BN28" s="302" t="n"/>
      <c r="BO28" s="302" t="n"/>
      <c r="BP28" s="302" t="n"/>
      <c r="BQ28" s="302" t="n"/>
      <c r="BR28" s="302" t="n"/>
      <c r="BS28" s="302" t="n"/>
      <c r="BT28" s="302" t="n"/>
      <c r="BU28" s="302" t="n"/>
      <c r="BV28" s="302" t="n"/>
      <c r="BW28" s="302" t="n"/>
      <c r="BX28" s="302" t="n"/>
      <c r="BY28" s="302" t="n"/>
      <c r="BZ28" s="302" t="n"/>
      <c r="CA28" s="302" t="n"/>
      <c r="CB28" s="302" t="n"/>
      <c r="CC28" s="302" t="n"/>
      <c r="CD28" s="302" t="n"/>
      <c r="CE28" s="302" t="n"/>
      <c r="CF28" s="302" t="n"/>
      <c r="CG28" s="302" t="n"/>
      <c r="CH28" s="302" t="n"/>
      <c r="CI28" s="302" t="n"/>
      <c r="CJ28" s="302" t="n"/>
      <c r="CK28" s="302" t="n"/>
      <c r="CL28" s="302" t="n"/>
      <c r="CM28" s="302" t="n"/>
      <c r="CN28" s="302" t="n"/>
      <c r="CO28" s="302" t="n"/>
      <c r="CP28" s="302" t="n"/>
      <c r="CQ28" s="302" t="n"/>
      <c r="CR28" s="302" t="n"/>
      <c r="CS28" s="302" t="n"/>
      <c r="CT28" s="302" t="n"/>
    </row>
    <row r="29" ht="15.95" customFormat="1" customHeight="1" s="38">
      <c r="A29" s="302" t="n"/>
      <c r="B29" s="226" t="n"/>
      <c r="C29" s="213" t="inlineStr">
        <is>
          <t>MKT</t>
        </is>
      </c>
      <c r="D29" s="213" t="inlineStr">
        <is>
          <t>VCH</t>
        </is>
      </c>
      <c r="E29" s="214" t="inlineStr">
        <is>
          <t>FMR</t>
        </is>
      </c>
      <c r="F29" s="215" t="inlineStr">
        <is>
          <t>UAP</t>
        </is>
      </c>
      <c r="G29" s="216" t="inlineStr">
        <is>
          <t>NET</t>
        </is>
      </c>
      <c r="H29" s="183" t="n"/>
      <c r="I29" s="183" t="n"/>
      <c r="J29" s="183" t="n"/>
      <c r="K29" s="302" t="n"/>
      <c r="L29" s="302" t="n"/>
      <c r="M29" s="302" t="n"/>
      <c r="N29" s="302" t="n"/>
      <c r="O29" s="302" t="n"/>
      <c r="P29" s="302" t="n"/>
      <c r="Q29" s="302" t="n"/>
      <c r="R29" s="302" t="n"/>
      <c r="S29" s="302" t="n"/>
      <c r="T29" s="302" t="n"/>
      <c r="U29" s="302" t="n"/>
      <c r="V29" s="302" t="n"/>
      <c r="W29" s="302" t="n"/>
      <c r="X29" s="302" t="n"/>
      <c r="Y29" s="302" t="n"/>
      <c r="Z29" s="302" t="n"/>
      <c r="AA29" s="353" t="n"/>
      <c r="AB29" s="302" t="n"/>
      <c r="AC29" s="302" t="n"/>
      <c r="AD29" s="302" t="n"/>
      <c r="AE29" s="302" t="n"/>
      <c r="AF29" s="302" t="n"/>
      <c r="AG29" s="302" t="n"/>
      <c r="AH29" s="302" t="n"/>
      <c r="AI29" s="302" t="n"/>
      <c r="AJ29" s="302" t="n"/>
      <c r="AK29" s="302" t="n"/>
      <c r="AL29" s="302" t="n"/>
      <c r="AM29" s="302" t="n"/>
      <c r="AN29" s="302" t="n"/>
      <c r="AO29" s="302" t="n"/>
      <c r="AP29" s="302" t="n"/>
      <c r="AQ29" s="302" t="n"/>
      <c r="AR29" s="302" t="n"/>
      <c r="AS29" s="302" t="n"/>
      <c r="AT29" s="302" t="n"/>
      <c r="AU29" s="302" t="n"/>
      <c r="AV29" s="302" t="n"/>
      <c r="AW29" s="302" t="n"/>
      <c r="AX29" s="302" t="n"/>
      <c r="AY29" s="302" t="n"/>
      <c r="AZ29" s="302" t="n"/>
      <c r="BA29" s="302" t="n"/>
      <c r="BB29" s="302" t="n"/>
      <c r="BC29" s="302" t="n"/>
      <c r="BD29" s="302" t="n"/>
      <c r="BE29" s="302" t="n"/>
      <c r="BF29" s="302" t="n"/>
      <c r="BG29" s="302" t="n"/>
      <c r="BH29" s="302" t="n"/>
      <c r="BI29" s="302" t="n"/>
      <c r="BJ29" s="302" t="n"/>
      <c r="BK29" s="302" t="n"/>
      <c r="BL29" s="302" t="n"/>
      <c r="BM29" s="302" t="n"/>
      <c r="BN29" s="302" t="n"/>
      <c r="BO29" s="302" t="n"/>
      <c r="BP29" s="302" t="n"/>
      <c r="BQ29" s="302" t="n"/>
      <c r="BR29" s="302" t="n"/>
      <c r="BS29" s="302" t="n"/>
      <c r="BT29" s="302" t="n"/>
      <c r="BU29" s="302" t="n"/>
      <c r="BV29" s="302" t="n"/>
      <c r="BW29" s="302" t="n"/>
      <c r="BX29" s="302" t="n"/>
      <c r="BY29" s="302" t="n"/>
      <c r="BZ29" s="302" t="n"/>
      <c r="CA29" s="302" t="n"/>
      <c r="CB29" s="302" t="n"/>
      <c r="CC29" s="302" t="n"/>
      <c r="CD29" s="302" t="n"/>
      <c r="CE29" s="302" t="n"/>
      <c r="CF29" s="302" t="n"/>
      <c r="CG29" s="302" t="n"/>
      <c r="CH29" s="302" t="n"/>
      <c r="CI29" s="302" t="n"/>
      <c r="CJ29" s="302" t="n"/>
      <c r="CK29" s="302" t="n"/>
      <c r="CL29" s="302" t="n"/>
      <c r="CM29" s="302" t="n"/>
      <c r="CN29" s="302" t="n"/>
      <c r="CO29" s="302" t="n"/>
      <c r="CP29" s="302" t="n"/>
      <c r="CQ29" s="302" t="n"/>
      <c r="CR29" s="302" t="n"/>
      <c r="CS29" s="302" t="n"/>
      <c r="CT29" s="302" t="n"/>
    </row>
    <row r="30" ht="24.75" customHeight="1" s="131">
      <c r="B30" s="217" t="inlineStr">
        <is>
          <t>2BD</t>
        </is>
      </c>
      <c r="C30" s="197" t="n"/>
      <c r="D30" s="197" t="n"/>
      <c r="E30" s="198" t="n">
        <v>2170</v>
      </c>
      <c r="F30" s="199" t="n">
        <v>191</v>
      </c>
      <c r="G30" s="218" t="n">
        <v>1979</v>
      </c>
      <c r="H30" s="183" t="n"/>
      <c r="I30" s="183" t="n"/>
      <c r="J30" s="183" t="n"/>
      <c r="K30" s="302" t="n"/>
      <c r="L30" s="302" t="n"/>
      <c r="M30" s="302" t="n"/>
      <c r="N30" s="302" t="n"/>
      <c r="O30" s="343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302" t="n"/>
      <c r="AD30" s="343" t="n"/>
      <c r="AE30" s="343" t="n"/>
      <c r="AF30" s="343" t="n"/>
      <c r="AG30" s="343" t="n"/>
      <c r="AH30" s="343" t="n"/>
      <c r="AI30" s="343" t="n"/>
      <c r="AJ30" s="343" t="n"/>
      <c r="AK30" s="343" t="n"/>
      <c r="AL30" s="343" t="n"/>
      <c r="AM30" s="343" t="n"/>
      <c r="AN30" s="343" t="n"/>
      <c r="AO30" s="343" t="n"/>
      <c r="AP30" s="343" t="n"/>
      <c r="AQ30" s="343" t="n"/>
      <c r="AR30" s="343" t="n"/>
      <c r="AS30" s="343" t="n"/>
      <c r="AT30" s="343" t="n"/>
      <c r="AU30" s="343" t="n"/>
      <c r="AV30" s="343" t="n"/>
      <c r="AW30" s="343" t="n"/>
      <c r="AX30" s="343" t="n"/>
      <c r="AY30" s="302" t="n"/>
      <c r="AZ30" s="302" t="n"/>
      <c r="BA30" s="302" t="n"/>
      <c r="BB30" s="302" t="n"/>
      <c r="BC30" s="302" t="n"/>
      <c r="BD30" s="302" t="n"/>
      <c r="BE30" s="302" t="n"/>
      <c r="BF30" s="302" t="n"/>
      <c r="BG30" s="302" t="n"/>
      <c r="BH30" s="302" t="n"/>
      <c r="BI30" s="302" t="n"/>
      <c r="BJ30" s="302" t="n"/>
      <c r="BK30" s="302" t="n"/>
      <c r="BL30" s="302" t="n"/>
      <c r="BM30" s="302" t="n"/>
      <c r="BN30" s="302" t="n"/>
      <c r="BO30" s="302" t="n"/>
      <c r="BP30" s="302" t="n"/>
      <c r="BQ30" s="302" t="n"/>
      <c r="BR30" s="302" t="n"/>
      <c r="BS30" s="302" t="n"/>
      <c r="BT30" s="302" t="n"/>
      <c r="BU30" s="302" t="n"/>
      <c r="BV30" s="302" t="n"/>
      <c r="BW30" s="302" t="n"/>
      <c r="BX30" s="302" t="n"/>
      <c r="BY30" s="302" t="n"/>
      <c r="BZ30" s="302" t="n"/>
      <c r="CA30" s="302" t="n"/>
      <c r="CB30" s="302" t="n"/>
      <c r="CC30" s="302" t="n"/>
      <c r="CD30" s="302" t="n"/>
      <c r="CE30" s="302" t="n"/>
      <c r="CF30" s="302" t="n"/>
      <c r="CG30" s="302" t="n"/>
      <c r="CH30" s="302" t="n"/>
      <c r="CI30" s="302" t="n"/>
      <c r="CJ30" s="302" t="n"/>
      <c r="CK30" s="302" t="n"/>
      <c r="CL30" s="302" t="n"/>
      <c r="CM30" s="302" t="n"/>
      <c r="CN30" s="302" t="n"/>
      <c r="CO30" s="302" t="n"/>
      <c r="CP30" s="302" t="n"/>
      <c r="CQ30" s="302" t="n"/>
      <c r="CR30" s="302" t="n"/>
      <c r="CS30" s="302" t="n"/>
      <c r="CT30" s="302" t="n"/>
    </row>
    <row r="31" ht="24.75" customFormat="1" customHeight="1" s="38">
      <c r="A31" s="302" t="n"/>
      <c r="B31" s="219" t="inlineStr">
        <is>
          <t>3BD</t>
        </is>
      </c>
      <c r="C31" s="220" t="n"/>
      <c r="D31" s="220" t="n"/>
      <c r="E31" s="221" t="n">
        <v>2780</v>
      </c>
      <c r="F31" s="222" t="n">
        <v>268</v>
      </c>
      <c r="G31" s="223" t="n">
        <v>2512</v>
      </c>
      <c r="H31" s="183" t="n"/>
      <c r="I31" s="183" t="n"/>
      <c r="J31" s="183" t="n"/>
      <c r="K31" s="302" t="n"/>
      <c r="L31" s="302" t="n"/>
      <c r="M31" s="302" t="n"/>
      <c r="N31" s="302" t="n"/>
      <c r="O31" s="302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302" t="n"/>
      <c r="AD31" s="302" t="n"/>
      <c r="AE31" s="302" t="n"/>
      <c r="AF31" s="302" t="n"/>
      <c r="AG31" s="302" t="n"/>
      <c r="AH31" s="302" t="n"/>
      <c r="AI31" s="302" t="n"/>
      <c r="AJ31" s="302" t="n"/>
      <c r="AK31" s="302" t="n"/>
      <c r="AL31" s="302" t="n"/>
      <c r="AM31" s="302" t="n"/>
      <c r="AN31" s="302" t="n"/>
      <c r="AO31" s="302" t="n"/>
      <c r="AP31" s="302" t="n"/>
      <c r="AQ31" s="302" t="n"/>
      <c r="AR31" s="302" t="n"/>
      <c r="AS31" s="302" t="n"/>
      <c r="AT31" s="302" t="n"/>
      <c r="AU31" s="302" t="n"/>
      <c r="AV31" s="302" t="n"/>
      <c r="AW31" s="302" t="n"/>
      <c r="AX31" s="302" t="n"/>
      <c r="AY31" s="302" t="n"/>
      <c r="AZ31" s="302" t="n"/>
      <c r="BA31" s="302" t="n"/>
      <c r="BB31" s="302" t="n"/>
      <c r="BC31" s="302" t="n"/>
      <c r="BD31" s="302" t="n"/>
      <c r="BE31" s="302" t="n"/>
      <c r="BF31" s="302" t="n"/>
      <c r="BG31" s="302" t="n"/>
      <c r="BH31" s="302" t="n"/>
      <c r="BI31" s="302" t="n"/>
      <c r="BJ31" s="302" t="n"/>
      <c r="BK31" s="302" t="n"/>
      <c r="BL31" s="302" t="n"/>
      <c r="BM31" s="302" t="n"/>
      <c r="BN31" s="302" t="n"/>
      <c r="BO31" s="302" t="n"/>
      <c r="BP31" s="302" t="n"/>
      <c r="BQ31" s="302" t="n"/>
      <c r="BR31" s="302" t="n"/>
      <c r="BS31" s="302" t="n"/>
      <c r="BT31" s="302" t="n"/>
      <c r="BU31" s="302" t="n"/>
      <c r="BV31" s="302" t="n"/>
      <c r="BW31" s="302" t="n"/>
      <c r="BX31" s="302" t="n"/>
      <c r="BY31" s="302" t="n"/>
      <c r="BZ31" s="302" t="n"/>
      <c r="CA31" s="302" t="n"/>
      <c r="CB31" s="302" t="n"/>
      <c r="CC31" s="302" t="n"/>
      <c r="CD31" s="302" t="n"/>
      <c r="CE31" s="302" t="n"/>
      <c r="CF31" s="302" t="n"/>
      <c r="CG31" s="302" t="n"/>
      <c r="CH31" s="302" t="n"/>
      <c r="CI31" s="302" t="n"/>
      <c r="CJ31" s="302" t="n"/>
      <c r="CK31" s="302" t="n"/>
      <c r="CL31" s="302" t="n"/>
      <c r="CM31" s="302" t="n"/>
      <c r="CN31" s="302" t="n"/>
      <c r="CO31" s="302" t="n"/>
      <c r="CP31" s="302" t="n"/>
      <c r="CQ31" s="302" t="n"/>
      <c r="CR31" s="302" t="n"/>
      <c r="CS31" s="302" t="n"/>
      <c r="CT31" s="302" t="n"/>
    </row>
    <row r="32" ht="8.1" customFormat="1" customHeight="1" s="38">
      <c r="A32" s="302" t="n"/>
      <c r="B32" s="183" t="n"/>
      <c r="C32" s="183" t="n"/>
      <c r="D32" s="183" t="n"/>
      <c r="E32" s="183" t="n"/>
      <c r="F32" s="183" t="n"/>
      <c r="G32" s="183" t="n"/>
      <c r="H32" s="183" t="n"/>
      <c r="I32" s="183" t="n"/>
      <c r="J32" s="183" t="n"/>
      <c r="K32" s="302" t="n"/>
      <c r="L32" s="302" t="n"/>
      <c r="M32" s="302" t="n"/>
      <c r="N32" s="302" t="n"/>
      <c r="O32" s="302" t="n"/>
      <c r="P32" s="302" t="n"/>
      <c r="Q32" s="302" t="n"/>
      <c r="R32" s="302" t="n"/>
      <c r="S32" s="302" t="n"/>
      <c r="T32" s="302" t="n"/>
      <c r="U32" s="302" t="n"/>
      <c r="V32" s="302" t="n"/>
      <c r="W32" s="302" t="n"/>
      <c r="X32" s="302" t="n"/>
      <c r="Y32" s="302" t="n"/>
      <c r="Z32" s="302" t="n"/>
      <c r="AA32" s="353" t="n"/>
      <c r="AB32" s="302" t="n"/>
      <c r="AC32" s="302" t="n"/>
      <c r="AD32" s="302" t="n"/>
      <c r="AE32" s="302" t="n"/>
      <c r="AF32" s="302" t="n"/>
      <c r="AG32" s="302" t="n"/>
      <c r="AH32" s="302" t="n"/>
      <c r="AI32" s="302" t="n"/>
      <c r="AJ32" s="302" t="n"/>
      <c r="AK32" s="302" t="n"/>
      <c r="AL32" s="302" t="n"/>
      <c r="AM32" s="302" t="n"/>
      <c r="AN32" s="302" t="n"/>
      <c r="AO32" s="302" t="n"/>
      <c r="AP32" s="302" t="n"/>
      <c r="AQ32" s="302" t="n"/>
      <c r="AR32" s="302" t="n"/>
      <c r="AS32" s="302" t="n"/>
      <c r="AT32" s="302" t="n"/>
      <c r="AU32" s="302" t="n"/>
      <c r="AV32" s="302" t="n"/>
      <c r="AW32" s="302" t="n"/>
      <c r="AX32" s="302" t="n"/>
      <c r="AY32" s="302" t="n"/>
      <c r="AZ32" s="302" t="n"/>
      <c r="BA32" s="302" t="n"/>
      <c r="BB32" s="302" t="n"/>
      <c r="BC32" s="302" t="n"/>
      <c r="BD32" s="302" t="n"/>
      <c r="BE32" s="302" t="n"/>
      <c r="BF32" s="302" t="n"/>
      <c r="BG32" s="302" t="n"/>
      <c r="BH32" s="302" t="n"/>
      <c r="BI32" s="302" t="n"/>
      <c r="BJ32" s="302" t="n"/>
      <c r="BK32" s="302" t="n"/>
      <c r="BL32" s="302" t="n"/>
      <c r="BM32" s="302" t="n"/>
      <c r="BN32" s="302" t="n"/>
      <c r="BO32" s="302" t="n"/>
      <c r="BP32" s="302" t="n"/>
      <c r="BQ32" s="302" t="n"/>
      <c r="BR32" s="302" t="n"/>
      <c r="BS32" s="302" t="n"/>
      <c r="BT32" s="302" t="n"/>
      <c r="BU32" s="302" t="n"/>
      <c r="BV32" s="302" t="n"/>
      <c r="BW32" s="302" t="n"/>
      <c r="BX32" s="302" t="n"/>
      <c r="BY32" s="302" t="n"/>
      <c r="BZ32" s="302" t="n"/>
      <c r="CA32" s="302" t="n"/>
      <c r="CB32" s="302" t="n"/>
      <c r="CC32" s="302" t="n"/>
      <c r="CD32" s="302" t="n"/>
      <c r="CE32" s="302" t="n"/>
      <c r="CF32" s="302" t="n"/>
      <c r="CG32" s="302" t="n"/>
      <c r="CH32" s="302" t="n"/>
      <c r="CI32" s="302" t="n"/>
      <c r="CJ32" s="302" t="n"/>
      <c r="CK32" s="302" t="n"/>
      <c r="CL32" s="302" t="n"/>
      <c r="CM32" s="302" t="n"/>
      <c r="CN32" s="302" t="n"/>
      <c r="CO32" s="302" t="n"/>
      <c r="CP32" s="302" t="n"/>
      <c r="CQ32" s="302" t="n"/>
      <c r="CR32" s="302" t="n"/>
      <c r="CS32" s="302" t="n"/>
      <c r="CT32" s="302" t="n"/>
    </row>
    <row r="33" ht="24.75" customFormat="1" customHeight="1" s="38">
      <c r="A33" s="302" t="n"/>
      <c r="B33" s="366" t="inlineStr">
        <is>
          <t>LIHTC, UAP, NET</t>
        </is>
      </c>
      <c r="C33" s="358" t="n"/>
      <c r="D33" s="358" t="n"/>
      <c r="E33" s="358" t="n"/>
      <c r="F33" s="358" t="n"/>
      <c r="G33" s="359" t="n"/>
      <c r="H33" s="183" t="n"/>
      <c r="I33" s="183" t="n"/>
      <c r="J33" s="183" t="n"/>
      <c r="K33" s="302" t="n"/>
      <c r="L33" s="302" t="n"/>
      <c r="M33" s="302" t="n"/>
      <c r="N33" s="302" t="n"/>
      <c r="O33" s="302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302" t="n"/>
      <c r="AD33" s="302" t="n"/>
      <c r="AE33" s="302" t="n"/>
      <c r="AF33" s="302" t="n"/>
      <c r="AG33" s="302" t="n"/>
      <c r="AH33" s="302" t="n"/>
      <c r="AI33" s="302" t="n"/>
      <c r="AJ33" s="302" t="n"/>
      <c r="AK33" s="302" t="n"/>
      <c r="AL33" s="302" t="n"/>
      <c r="AM33" s="302" t="n"/>
      <c r="AN33" s="302" t="n"/>
      <c r="AO33" s="302" t="n"/>
      <c r="AP33" s="302" t="n"/>
      <c r="AQ33" s="302" t="n"/>
      <c r="AR33" s="302" t="n"/>
      <c r="AS33" s="302" t="n"/>
      <c r="AT33" s="302" t="n"/>
      <c r="AU33" s="302" t="n"/>
      <c r="AV33" s="302" t="n"/>
      <c r="AW33" s="302" t="n"/>
      <c r="AX33" s="302" t="n"/>
      <c r="AY33" s="302" t="n"/>
      <c r="AZ33" s="302" t="n"/>
      <c r="BA33" s="302" t="n"/>
      <c r="BB33" s="302" t="n"/>
      <c r="BC33" s="302" t="n"/>
      <c r="BD33" s="302" t="n"/>
      <c r="BE33" s="302" t="n"/>
      <c r="BF33" s="302" t="n"/>
      <c r="BG33" s="302" t="n"/>
      <c r="BH33" s="302" t="n"/>
      <c r="BI33" s="302" t="n"/>
      <c r="BJ33" s="302" t="n"/>
      <c r="BK33" s="302" t="n"/>
      <c r="BL33" s="302" t="n"/>
      <c r="BM33" s="302" t="n"/>
      <c r="BN33" s="302" t="n"/>
      <c r="BO33" s="302" t="n"/>
      <c r="BP33" s="302" t="n"/>
      <c r="BQ33" s="302" t="n"/>
      <c r="BR33" s="302" t="n"/>
      <c r="BS33" s="302" t="n"/>
      <c r="BT33" s="302" t="n"/>
      <c r="BU33" s="302" t="n"/>
      <c r="BV33" s="302" t="n"/>
      <c r="BW33" s="302" t="n"/>
      <c r="BX33" s="302" t="n"/>
      <c r="BY33" s="302" t="n"/>
      <c r="BZ33" s="302" t="n"/>
      <c r="CA33" s="302" t="n"/>
      <c r="CB33" s="302" t="n"/>
      <c r="CC33" s="302" t="n"/>
      <c r="CD33" s="302" t="n"/>
      <c r="CE33" s="302" t="n"/>
      <c r="CF33" s="302" t="n"/>
      <c r="CG33" s="302" t="n"/>
      <c r="CH33" s="302" t="n"/>
      <c r="CI33" s="302" t="n"/>
      <c r="CJ33" s="302" t="n"/>
      <c r="CK33" s="302" t="n"/>
      <c r="CL33" s="302" t="n"/>
      <c r="CM33" s="302" t="n"/>
      <c r="CN33" s="302" t="n"/>
      <c r="CO33" s="302" t="n"/>
      <c r="CP33" s="302" t="n"/>
      <c r="CQ33" s="302" t="n"/>
      <c r="CR33" s="302" t="n"/>
      <c r="CS33" s="302" t="n"/>
      <c r="CT33" s="302" t="n"/>
    </row>
    <row r="34" ht="16.5" customHeight="1" s="131">
      <c r="B34" s="226" t="n"/>
      <c r="C34" s="228" t="inlineStr">
        <is>
          <t>LIHTC/MKT</t>
        </is>
      </c>
      <c r="D34" s="228" t="inlineStr">
        <is>
          <t>60%</t>
        </is>
      </c>
      <c r="E34" s="215" t="inlineStr">
        <is>
          <t>UAP</t>
        </is>
      </c>
      <c r="F34" s="216" t="inlineStr">
        <is>
          <t>NET</t>
        </is>
      </c>
      <c r="G34" s="183" t="n"/>
      <c r="H34" s="183" t="n"/>
      <c r="I34" s="183" t="n"/>
      <c r="J34" s="183" t="n"/>
      <c r="K34" s="302" t="n"/>
      <c r="L34" s="302" t="n"/>
      <c r="M34" s="302" t="n"/>
      <c r="N34" s="302" t="n"/>
      <c r="O34" s="343" t="n"/>
      <c r="P34" s="302" t="n"/>
      <c r="Q34" s="302" t="n"/>
      <c r="R34" s="302" t="n"/>
      <c r="S34" s="302" t="n"/>
      <c r="T34" s="302" t="n"/>
      <c r="U34" s="302" t="n"/>
      <c r="V34" s="302" t="n"/>
      <c r="W34" s="302" t="n"/>
      <c r="X34" s="302" t="n"/>
      <c r="Y34" s="302" t="n"/>
      <c r="Z34" s="302" t="n"/>
      <c r="AA34" s="353" t="n"/>
      <c r="AB34" s="302" t="n"/>
      <c r="AC34" s="302" t="n"/>
      <c r="AD34" s="343" t="n"/>
      <c r="AE34" s="343" t="n"/>
      <c r="AF34" s="343" t="n"/>
      <c r="AG34" s="343" t="n"/>
      <c r="AH34" s="343" t="n"/>
      <c r="AI34" s="343" t="n"/>
      <c r="AJ34" s="343" t="n"/>
      <c r="AK34" s="343" t="n"/>
      <c r="AL34" s="343" t="n"/>
      <c r="AM34" s="343" t="n"/>
      <c r="AN34" s="343" t="n"/>
      <c r="AO34" s="343" t="n"/>
      <c r="AP34" s="343" t="n"/>
      <c r="AQ34" s="343" t="n"/>
      <c r="AR34" s="343" t="n"/>
      <c r="AS34" s="343" t="n"/>
      <c r="AT34" s="343" t="n"/>
      <c r="AU34" s="343" t="n"/>
      <c r="AV34" s="343" t="n"/>
      <c r="AW34" s="343" t="n"/>
      <c r="AX34" s="343" t="n"/>
      <c r="AY34" s="302" t="n"/>
      <c r="AZ34" s="302" t="n"/>
      <c r="BA34" s="302" t="n"/>
      <c r="BB34" s="302" t="n"/>
      <c r="BC34" s="302" t="n"/>
      <c r="BD34" s="302" t="n"/>
      <c r="BE34" s="302" t="n"/>
      <c r="BF34" s="302" t="n"/>
      <c r="BG34" s="302" t="n"/>
      <c r="BH34" s="302" t="n"/>
      <c r="BI34" s="302" t="n"/>
      <c r="BJ34" s="302" t="n"/>
      <c r="BK34" s="302" t="n"/>
      <c r="BL34" s="302" t="n"/>
      <c r="BM34" s="302" t="n"/>
      <c r="BN34" s="302" t="n"/>
      <c r="BO34" s="302" t="n"/>
      <c r="BP34" s="302" t="n"/>
      <c r="BQ34" s="302" t="n"/>
      <c r="BR34" s="302" t="n"/>
      <c r="BS34" s="302" t="n"/>
      <c r="BT34" s="302" t="n"/>
      <c r="BU34" s="302" t="n"/>
      <c r="BV34" s="302" t="n"/>
      <c r="BW34" s="302" t="n"/>
      <c r="BX34" s="302" t="n"/>
      <c r="BY34" s="302" t="n"/>
      <c r="BZ34" s="302" t="n"/>
      <c r="CA34" s="302" t="n"/>
      <c r="CB34" s="302" t="n"/>
      <c r="CC34" s="302" t="n"/>
      <c r="CD34" s="302" t="n"/>
      <c r="CE34" s="302" t="n"/>
      <c r="CF34" s="302" t="n"/>
      <c r="CG34" s="302" t="n"/>
      <c r="CH34" s="302" t="n"/>
      <c r="CI34" s="302" t="n"/>
      <c r="CJ34" s="302" t="n"/>
      <c r="CK34" s="302" t="n"/>
      <c r="CL34" s="302" t="n"/>
      <c r="CM34" s="302" t="n"/>
      <c r="CN34" s="302" t="n"/>
      <c r="CO34" s="302" t="n"/>
      <c r="CP34" s="302" t="n"/>
      <c r="CQ34" s="302" t="n"/>
      <c r="CR34" s="302" t="n"/>
      <c r="CS34" s="302" t="n"/>
      <c r="CT34" s="302" t="n"/>
    </row>
    <row r="35" ht="24.75" customHeight="1" s="131">
      <c r="B35" s="224" t="inlineStr">
        <is>
          <t>2BD</t>
        </is>
      </c>
      <c r="C35" s="225" t="n">
        <v>1408</v>
      </c>
      <c r="D35" s="225" t="n">
        <v>1100</v>
      </c>
      <c r="E35" s="225" t="n">
        <v>191</v>
      </c>
      <c r="F35" s="223" t="n">
        <v>909</v>
      </c>
      <c r="G35" s="183" t="n"/>
      <c r="H35" s="183" t="n"/>
      <c r="I35" s="183" t="n"/>
      <c r="J35" s="183" t="n"/>
      <c r="K35" s="302" t="n"/>
      <c r="L35" s="302" t="n"/>
      <c r="M35" s="302" t="n"/>
      <c r="N35" s="302" t="n"/>
      <c r="O35" s="343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302" t="n"/>
      <c r="AD35" s="343" t="n"/>
      <c r="AE35" s="343" t="n"/>
      <c r="AF35" s="343" t="n"/>
      <c r="AG35" s="343" t="n"/>
      <c r="AH35" s="343" t="n"/>
      <c r="AI35" s="343" t="n"/>
      <c r="AJ35" s="343" t="n"/>
      <c r="AK35" s="343" t="n"/>
      <c r="AL35" s="343" t="n"/>
      <c r="AM35" s="343" t="n"/>
      <c r="AN35" s="343" t="n"/>
      <c r="AO35" s="343" t="n"/>
      <c r="AP35" s="343" t="n"/>
      <c r="AQ35" s="343" t="n"/>
      <c r="AR35" s="343" t="n"/>
      <c r="AS35" s="343" t="n"/>
      <c r="AT35" s="343" t="n"/>
      <c r="AU35" s="343" t="n"/>
      <c r="AV35" s="343" t="n"/>
      <c r="AW35" s="343" t="n"/>
      <c r="AX35" s="343" t="n"/>
      <c r="AY35" s="302" t="n"/>
      <c r="AZ35" s="302" t="n"/>
      <c r="BA35" s="302" t="n"/>
      <c r="BB35" s="302" t="n"/>
      <c r="BC35" s="302" t="n"/>
      <c r="BD35" s="302" t="n"/>
      <c r="BE35" s="302" t="n"/>
      <c r="BF35" s="302" t="n"/>
      <c r="BG35" s="302" t="n"/>
      <c r="BH35" s="302" t="n"/>
      <c r="BI35" s="302" t="n"/>
      <c r="BJ35" s="302" t="n"/>
      <c r="BK35" s="302" t="n"/>
      <c r="BL35" s="302" t="n"/>
      <c r="BM35" s="302" t="n"/>
      <c r="BN35" s="302" t="n"/>
      <c r="BO35" s="302" t="n"/>
      <c r="BP35" s="302" t="n"/>
      <c r="BQ35" s="302" t="n"/>
      <c r="BR35" s="302" t="n"/>
      <c r="BS35" s="302" t="n"/>
      <c r="BT35" s="302" t="n"/>
      <c r="BU35" s="302" t="n"/>
      <c r="BV35" s="302" t="n"/>
      <c r="BW35" s="302" t="n"/>
      <c r="BX35" s="302" t="n"/>
      <c r="BY35" s="302" t="n"/>
      <c r="BZ35" s="302" t="n"/>
      <c r="CA35" s="302" t="n"/>
      <c r="CB35" s="302" t="n"/>
      <c r="CC35" s="302" t="n"/>
      <c r="CD35" s="302" t="n"/>
      <c r="CE35" s="302" t="n"/>
      <c r="CF35" s="302" t="n"/>
      <c r="CG35" s="302" t="n"/>
      <c r="CH35" s="302" t="n"/>
      <c r="CI35" s="302" t="n"/>
      <c r="CJ35" s="302" t="n"/>
      <c r="CK35" s="302" t="n"/>
      <c r="CL35" s="302" t="n"/>
      <c r="CM35" s="302" t="n"/>
      <c r="CN35" s="302" t="n"/>
      <c r="CO35" s="302" t="n"/>
      <c r="CP35" s="302" t="n"/>
      <c r="CQ35" s="302" t="n"/>
      <c r="CR35" s="302" t="n"/>
      <c r="CS35" s="302" t="n"/>
      <c r="CT35" s="302" t="n"/>
    </row>
    <row r="36" ht="18" customFormat="1" customHeight="1" s="38">
      <c r="A36" s="302" t="n"/>
      <c r="B36" s="183" t="n"/>
      <c r="C36" s="183" t="n"/>
      <c r="D36" s="183" t="n"/>
      <c r="E36" s="183" t="n"/>
      <c r="F36" s="183" t="n"/>
      <c r="G36" s="183" t="n"/>
      <c r="H36" s="183" t="n"/>
      <c r="I36" s="183" t="n"/>
      <c r="J36" s="183" t="n"/>
      <c r="K36" s="302" t="n"/>
      <c r="L36" s="302" t="n"/>
      <c r="M36" s="302" t="n"/>
      <c r="N36" s="302" t="n"/>
      <c r="O36" s="302" t="n"/>
      <c r="P36" s="302" t="n"/>
      <c r="Q36" s="302" t="n"/>
      <c r="R36" s="302" t="n"/>
      <c r="S36" s="302" t="n"/>
      <c r="T36" s="302" t="n"/>
      <c r="U36" s="302" t="n"/>
      <c r="V36" s="302" t="n"/>
      <c r="W36" s="302" t="n"/>
      <c r="X36" s="302" t="n"/>
      <c r="Y36" s="302" t="n"/>
      <c r="Z36" s="302" t="n"/>
      <c r="AA36" s="353" t="n"/>
      <c r="AB36" s="302" t="n"/>
      <c r="AC36" s="302" t="n"/>
      <c r="AD36" s="302" t="n"/>
      <c r="AE36" s="302" t="n"/>
      <c r="AF36" s="302" t="n"/>
      <c r="AG36" s="302" t="n"/>
      <c r="AH36" s="302" t="n"/>
      <c r="AI36" s="302" t="n"/>
      <c r="AJ36" s="302" t="n"/>
      <c r="AK36" s="302" t="n"/>
      <c r="AL36" s="302" t="n"/>
      <c r="AM36" s="302" t="n"/>
      <c r="AN36" s="302" t="n"/>
      <c r="AO36" s="302" t="n"/>
      <c r="AP36" s="302" t="n"/>
      <c r="AQ36" s="302" t="n"/>
      <c r="AR36" s="302" t="n"/>
      <c r="AS36" s="302" t="n"/>
      <c r="AT36" s="302" t="n"/>
      <c r="AU36" s="302" t="n"/>
      <c r="AV36" s="302" t="n"/>
      <c r="AW36" s="302" t="n"/>
      <c r="AX36" s="302" t="n"/>
      <c r="AY36" s="302" t="n"/>
      <c r="AZ36" s="302" t="n"/>
      <c r="BA36" s="302" t="n"/>
      <c r="BB36" s="302" t="n"/>
      <c r="BC36" s="302" t="n"/>
      <c r="BD36" s="302" t="n"/>
      <c r="BE36" s="302" t="n"/>
      <c r="BF36" s="302" t="n"/>
      <c r="BG36" s="302" t="n"/>
      <c r="BH36" s="302" t="n"/>
      <c r="BI36" s="302" t="n"/>
      <c r="BJ36" s="302" t="n"/>
      <c r="BK36" s="302" t="n"/>
      <c r="BL36" s="302" t="n"/>
      <c r="BM36" s="302" t="n"/>
      <c r="BN36" s="302" t="n"/>
      <c r="BO36" s="302" t="n"/>
      <c r="BP36" s="302" t="n"/>
      <c r="BQ36" s="302" t="n"/>
      <c r="BR36" s="302" t="n"/>
      <c r="BS36" s="302" t="n"/>
      <c r="BT36" s="302" t="n"/>
      <c r="BU36" s="302" t="n"/>
      <c r="BV36" s="302" t="n"/>
      <c r="BW36" s="302" t="n"/>
      <c r="BX36" s="302" t="n"/>
      <c r="BY36" s="302" t="n"/>
      <c r="BZ36" s="302" t="n"/>
      <c r="CA36" s="302" t="n"/>
      <c r="CB36" s="302" t="n"/>
      <c r="CC36" s="302" t="n"/>
      <c r="CD36" s="302" t="n"/>
      <c r="CE36" s="302" t="n"/>
      <c r="CF36" s="302" t="n"/>
      <c r="CG36" s="302" t="n"/>
      <c r="CH36" s="302" t="n"/>
      <c r="CI36" s="302" t="n"/>
      <c r="CJ36" s="302" t="n"/>
      <c r="CK36" s="302" t="n"/>
      <c r="CL36" s="302" t="n"/>
      <c r="CM36" s="302" t="n"/>
      <c r="CN36" s="302" t="n"/>
      <c r="CO36" s="302" t="n"/>
      <c r="CP36" s="302" t="n"/>
      <c r="CQ36" s="302" t="n"/>
      <c r="CR36" s="302" t="n"/>
      <c r="CS36" s="302" t="n"/>
      <c r="CT36" s="302" t="n"/>
    </row>
    <row r="37" ht="24.75" customFormat="1" customHeight="1" s="38">
      <c r="A37" s="302" t="n"/>
      <c r="B37" s="207" t="inlineStr">
        <is>
          <t>HAP, CoStar, NET</t>
        </is>
      </c>
      <c r="H37" s="183" t="n"/>
      <c r="I37" s="183" t="n"/>
      <c r="J37" s="183" t="n"/>
      <c r="K37" s="302" t="n"/>
      <c r="L37" s="302" t="n"/>
      <c r="M37" s="302" t="n"/>
      <c r="N37" s="302" t="n"/>
      <c r="O37" s="302" t="n"/>
      <c r="P37" s="302" t="n"/>
      <c r="Q37" s="302" t="n"/>
      <c r="R37" s="302" t="n"/>
      <c r="S37" s="302" t="n"/>
      <c r="T37" s="302" t="n"/>
      <c r="U37" s="302" t="n"/>
      <c r="V37" s="302" t="n"/>
      <c r="W37" s="302" t="n"/>
      <c r="X37" s="302" t="n"/>
      <c r="Y37" s="302" t="n"/>
      <c r="Z37" s="302" t="n"/>
      <c r="AA37" s="353" t="n"/>
      <c r="AB37" s="302" t="n"/>
      <c r="AC37" s="302" t="n"/>
      <c r="AD37" s="302" t="n"/>
      <c r="AE37" s="302" t="n"/>
      <c r="AF37" s="302" t="n"/>
      <c r="AG37" s="302" t="n"/>
      <c r="AH37" s="302" t="n"/>
      <c r="AI37" s="302" t="n"/>
      <c r="AJ37" s="302" t="n"/>
      <c r="AK37" s="302" t="n"/>
      <c r="AL37" s="302" t="n"/>
      <c r="AM37" s="302" t="n"/>
      <c r="AN37" s="302" t="n"/>
      <c r="AO37" s="302" t="n"/>
      <c r="AP37" s="302" t="n"/>
      <c r="AQ37" s="302" t="n"/>
      <c r="AR37" s="302" t="n"/>
      <c r="AS37" s="302" t="n"/>
      <c r="AT37" s="302" t="n"/>
      <c r="AU37" s="302" t="n"/>
      <c r="AV37" s="302" t="n"/>
      <c r="AW37" s="302" t="n"/>
      <c r="AX37" s="302" t="n"/>
      <c r="AY37" s="302" t="n"/>
      <c r="AZ37" s="302" t="n"/>
      <c r="BA37" s="302" t="n"/>
      <c r="BB37" s="302" t="n"/>
      <c r="BC37" s="302" t="n"/>
      <c r="BD37" s="302" t="n"/>
      <c r="BE37" s="302" t="n"/>
      <c r="BF37" s="302" t="n"/>
      <c r="BG37" s="302" t="n"/>
      <c r="BH37" s="302" t="n"/>
      <c r="BI37" s="302" t="n"/>
      <c r="BJ37" s="302" t="n"/>
      <c r="BK37" s="302" t="n"/>
      <c r="BL37" s="302" t="n"/>
      <c r="BM37" s="302" t="n"/>
      <c r="BN37" s="302" t="n"/>
      <c r="BO37" s="302" t="n"/>
      <c r="BP37" s="302" t="n"/>
      <c r="BQ37" s="302" t="n"/>
      <c r="BR37" s="302" t="n"/>
      <c r="BS37" s="302" t="n"/>
      <c r="BT37" s="302" t="n"/>
      <c r="BU37" s="302" t="n"/>
      <c r="BV37" s="302" t="n"/>
      <c r="BW37" s="302" t="n"/>
      <c r="BX37" s="302" t="n"/>
      <c r="BY37" s="302" t="n"/>
      <c r="BZ37" s="302" t="n"/>
      <c r="CA37" s="302" t="n"/>
      <c r="CB37" s="302" t="n"/>
      <c r="CC37" s="302" t="n"/>
      <c r="CD37" s="302" t="n"/>
      <c r="CE37" s="302" t="n"/>
      <c r="CF37" s="302" t="n"/>
      <c r="CG37" s="302" t="n"/>
      <c r="CH37" s="302" t="n"/>
      <c r="CI37" s="302" t="n"/>
      <c r="CJ37" s="302" t="n"/>
      <c r="CK37" s="302" t="n"/>
      <c r="CL37" s="302" t="n"/>
      <c r="CM37" s="302" t="n"/>
      <c r="CN37" s="302" t="n"/>
      <c r="CO37" s="302" t="n"/>
      <c r="CP37" s="302" t="n"/>
      <c r="CQ37" s="302" t="n"/>
      <c r="CR37" s="302" t="n"/>
      <c r="CS37" s="302" t="n"/>
      <c r="CT37" s="302" t="n"/>
    </row>
    <row r="38" ht="15.95" customFormat="1" customHeight="1" s="38">
      <c r="A38" s="302" t="n"/>
      <c r="B38" s="227" t="n"/>
      <c r="C38" s="208" t="inlineStr">
        <is>
          <t>HAP</t>
        </is>
      </c>
      <c r="D38" s="209" t="inlineStr">
        <is>
          <t>CoStar</t>
        </is>
      </c>
      <c r="E38" s="302" t="n"/>
      <c r="F38" s="302" t="n"/>
      <c r="G38" s="302" t="n"/>
      <c r="H38" s="183" t="n"/>
      <c r="I38" s="183" t="n"/>
      <c r="J38" s="183" t="n"/>
      <c r="K38" s="302" t="n"/>
      <c r="L38" s="302" t="n"/>
      <c r="M38" s="302" t="n"/>
      <c r="N38" s="302" t="n"/>
      <c r="O38" s="302" t="n"/>
      <c r="P38" s="302" t="n"/>
      <c r="Q38" s="302" t="n"/>
      <c r="R38" s="302" t="n"/>
      <c r="S38" s="302" t="n"/>
      <c r="T38" s="302" t="n"/>
      <c r="U38" s="302" t="n"/>
      <c r="V38" s="302" t="n"/>
      <c r="W38" s="302" t="n"/>
      <c r="X38" s="302" t="n"/>
      <c r="Y38" s="302" t="n"/>
      <c r="Z38" s="302" t="n"/>
      <c r="AA38" s="353" t="n"/>
      <c r="AB38" s="302" t="n"/>
      <c r="AC38" s="302" t="n"/>
      <c r="AD38" s="302" t="n"/>
      <c r="AE38" s="302" t="n"/>
      <c r="AF38" s="302" t="n"/>
      <c r="AG38" s="302" t="n"/>
      <c r="AH38" s="302" t="n"/>
      <c r="AI38" s="302" t="n"/>
      <c r="AJ38" s="302" t="n"/>
      <c r="AK38" s="302" t="n"/>
      <c r="AL38" s="302" t="n"/>
      <c r="AM38" s="302" t="n"/>
      <c r="AN38" s="302" t="n"/>
      <c r="AO38" s="302" t="n"/>
      <c r="AP38" s="302" t="n"/>
      <c r="AQ38" s="302" t="n"/>
      <c r="AR38" s="302" t="n"/>
      <c r="AS38" s="302" t="n"/>
      <c r="AT38" s="302" t="n"/>
      <c r="AU38" s="302" t="n"/>
      <c r="AV38" s="302" t="n"/>
      <c r="AW38" s="302" t="n"/>
      <c r="AX38" s="302" t="n"/>
      <c r="AY38" s="302" t="n"/>
      <c r="AZ38" s="302" t="n"/>
      <c r="BA38" s="302" t="n"/>
      <c r="BB38" s="302" t="n"/>
      <c r="BC38" s="302" t="n"/>
      <c r="BD38" s="302" t="n"/>
      <c r="BE38" s="302" t="n"/>
      <c r="BF38" s="302" t="n"/>
      <c r="BG38" s="302" t="n"/>
      <c r="BH38" s="302" t="n"/>
      <c r="BI38" s="302" t="n"/>
      <c r="BJ38" s="302" t="n"/>
      <c r="BK38" s="302" t="n"/>
      <c r="BL38" s="302" t="n"/>
      <c r="BM38" s="302" t="n"/>
      <c r="BN38" s="302" t="n"/>
      <c r="BO38" s="302" t="n"/>
      <c r="BP38" s="302" t="n"/>
      <c r="BQ38" s="302" t="n"/>
      <c r="BR38" s="302" t="n"/>
      <c r="BS38" s="302" t="n"/>
      <c r="BT38" s="302" t="n"/>
      <c r="BU38" s="302" t="n"/>
      <c r="BV38" s="302" t="n"/>
      <c r="BW38" s="302" t="n"/>
      <c r="BX38" s="302" t="n"/>
      <c r="BY38" s="302" t="n"/>
      <c r="BZ38" s="302" t="n"/>
      <c r="CA38" s="302" t="n"/>
      <c r="CB38" s="302" t="n"/>
      <c r="CC38" s="302" t="n"/>
      <c r="CD38" s="302" t="n"/>
      <c r="CE38" s="302" t="n"/>
      <c r="CF38" s="302" t="n"/>
      <c r="CG38" s="302" t="n"/>
      <c r="CH38" s="302" t="n"/>
      <c r="CI38" s="302" t="n"/>
      <c r="CJ38" s="302" t="n"/>
      <c r="CK38" s="302" t="n"/>
      <c r="CL38" s="302" t="n"/>
      <c r="CM38" s="302" t="n"/>
      <c r="CN38" s="302" t="n"/>
      <c r="CO38" s="302" t="n"/>
      <c r="CP38" s="302" t="n"/>
      <c r="CQ38" s="302" t="n"/>
      <c r="CR38" s="302" t="n"/>
      <c r="CS38" s="302" t="n"/>
      <c r="CT38" s="302" t="n"/>
    </row>
    <row r="39" ht="24.75" customFormat="1" customHeight="1" s="38">
      <c r="A39" s="302" t="n"/>
      <c r="B39" s="196" t="inlineStr">
        <is>
          <t>2BD</t>
        </is>
      </c>
      <c r="C39" s="199" t="n">
        <v>1541</v>
      </c>
      <c r="D39" s="198" t="n">
        <v>1563</v>
      </c>
      <c r="E39" s="183" t="n"/>
      <c r="F39" s="183" t="n"/>
      <c r="G39" s="183" t="n"/>
      <c r="H39" s="183" t="n"/>
      <c r="I39" s="183" t="n"/>
      <c r="J39" s="183" t="n"/>
      <c r="K39" s="302" t="n"/>
      <c r="L39" s="302" t="n"/>
      <c r="M39" s="302" t="n"/>
      <c r="N39" s="302" t="n"/>
      <c r="O39" s="302" t="n"/>
      <c r="P39" s="302" t="n"/>
      <c r="Q39" s="302" t="n"/>
      <c r="R39" s="302" t="n"/>
      <c r="S39" s="302" t="n"/>
      <c r="T39" s="302" t="n"/>
      <c r="U39" s="302" t="n"/>
      <c r="V39" s="302" t="n"/>
      <c r="W39" s="302" t="n"/>
      <c r="X39" s="302" t="n"/>
      <c r="Y39" s="302" t="n"/>
      <c r="Z39" s="302" t="n"/>
      <c r="AA39" s="353" t="n"/>
      <c r="AB39" s="302" t="n"/>
      <c r="AC39" s="302" t="n"/>
      <c r="AD39" s="302" t="n"/>
      <c r="AE39" s="302" t="n"/>
      <c r="AF39" s="302" t="n"/>
      <c r="AG39" s="302" t="n"/>
      <c r="AH39" s="302" t="n"/>
      <c r="AI39" s="302" t="n"/>
      <c r="AJ39" s="302" t="n"/>
      <c r="AK39" s="302" t="n"/>
      <c r="AL39" s="302" t="n"/>
      <c r="AM39" s="302" t="n"/>
      <c r="AN39" s="302" t="n"/>
      <c r="AO39" s="302" t="n"/>
      <c r="AP39" s="302" t="n"/>
      <c r="AQ39" s="302" t="n"/>
      <c r="AR39" s="302" t="n"/>
      <c r="AS39" s="302" t="n"/>
      <c r="AT39" s="302" t="n"/>
      <c r="AU39" s="302" t="n"/>
      <c r="AV39" s="302" t="n"/>
      <c r="AW39" s="302" t="n"/>
      <c r="AX39" s="302" t="n"/>
      <c r="AY39" s="302" t="n"/>
      <c r="AZ39" s="302" t="n"/>
      <c r="BA39" s="302" t="n"/>
      <c r="BB39" s="302" t="n"/>
      <c r="BC39" s="302" t="n"/>
      <c r="BD39" s="302" t="n"/>
      <c r="BE39" s="302" t="n"/>
      <c r="BF39" s="302" t="n"/>
      <c r="BG39" s="302" t="n"/>
      <c r="BH39" s="302" t="n"/>
      <c r="BI39" s="302" t="n"/>
      <c r="BJ39" s="302" t="n"/>
      <c r="BK39" s="302" t="n"/>
      <c r="BL39" s="302" t="n"/>
      <c r="BM39" s="302" t="n"/>
      <c r="BN39" s="302" t="n"/>
      <c r="BO39" s="302" t="n"/>
      <c r="BP39" s="302" t="n"/>
      <c r="BQ39" s="302" t="n"/>
      <c r="BR39" s="302" t="n"/>
      <c r="BS39" s="302" t="n"/>
      <c r="BT39" s="302" t="n"/>
      <c r="BU39" s="302" t="n"/>
      <c r="BV39" s="302" t="n"/>
      <c r="BW39" s="302" t="n"/>
      <c r="BX39" s="302" t="n"/>
      <c r="BY39" s="302" t="n"/>
      <c r="BZ39" s="302" t="n"/>
      <c r="CA39" s="302" t="n"/>
      <c r="CB39" s="302" t="n"/>
      <c r="CC39" s="302" t="n"/>
      <c r="CD39" s="302" t="n"/>
      <c r="CE39" s="302" t="n"/>
      <c r="CF39" s="302" t="n"/>
      <c r="CG39" s="302" t="n"/>
      <c r="CH39" s="302" t="n"/>
      <c r="CI39" s="302" t="n"/>
      <c r="CJ39" s="302" t="n"/>
      <c r="CK39" s="302" t="n"/>
      <c r="CL39" s="302" t="n"/>
      <c r="CM39" s="302" t="n"/>
      <c r="CN39" s="302" t="n"/>
      <c r="CO39" s="302" t="n"/>
      <c r="CP39" s="302" t="n"/>
      <c r="CQ39" s="302" t="n"/>
      <c r="CR39" s="302" t="n"/>
      <c r="CS39" s="302" t="n"/>
      <c r="CT39" s="302" t="n"/>
    </row>
    <row r="40" ht="24.75" customHeight="1" s="131">
      <c r="B40" s="196" t="inlineStr">
        <is>
          <t>3BD</t>
        </is>
      </c>
      <c r="C40" s="199" t="n">
        <v>1918</v>
      </c>
      <c r="D40" s="198" t="n">
        <v>1944</v>
      </c>
      <c r="E40" s="183" t="n"/>
      <c r="F40" s="183" t="n"/>
      <c r="G40" s="183" t="n"/>
      <c r="H40" s="183" t="n"/>
      <c r="I40" s="183" t="n"/>
      <c r="J40" s="183" t="n"/>
      <c r="K40" s="302" t="n"/>
      <c r="L40" s="302" t="n"/>
      <c r="M40" s="302" t="n"/>
      <c r="N40" s="302" t="n"/>
      <c r="O40" s="343" t="n"/>
      <c r="P40" s="302" t="n"/>
      <c r="Q40" s="302" t="n"/>
      <c r="R40" s="302" t="n"/>
      <c r="S40" s="302" t="n"/>
      <c r="T40" s="302" t="n"/>
      <c r="U40" s="302" t="n"/>
      <c r="V40" s="302" t="n"/>
      <c r="W40" s="302" t="n"/>
      <c r="X40" s="302" t="n"/>
      <c r="Y40" s="302" t="n"/>
      <c r="Z40" s="302" t="n"/>
      <c r="AA40" s="353" t="n"/>
      <c r="AB40" s="302" t="n"/>
      <c r="AC40" s="302" t="n"/>
      <c r="AD40" s="343" t="n"/>
      <c r="AE40" s="343" t="n"/>
      <c r="AF40" s="343" t="n"/>
      <c r="AG40" s="343" t="n"/>
      <c r="AH40" s="343" t="n"/>
      <c r="AI40" s="343" t="n"/>
      <c r="AJ40" s="343" t="n"/>
      <c r="AK40" s="343" t="n"/>
      <c r="AL40" s="343" t="n"/>
      <c r="AM40" s="343" t="n"/>
      <c r="AN40" s="343" t="n"/>
      <c r="AO40" s="343" t="n"/>
      <c r="AP40" s="343" t="n"/>
      <c r="AQ40" s="343" t="n"/>
      <c r="AR40" s="343" t="n"/>
      <c r="AS40" s="343" t="n"/>
      <c r="AT40" s="343" t="n"/>
      <c r="AU40" s="343" t="n"/>
      <c r="AV40" s="343" t="n"/>
      <c r="AW40" s="343" t="n"/>
      <c r="AX40" s="343" t="n"/>
      <c r="AY40" s="302" t="n"/>
      <c r="AZ40" s="302" t="n"/>
      <c r="BA40" s="302" t="n"/>
      <c r="BB40" s="302" t="n"/>
      <c r="BC40" s="302" t="n"/>
      <c r="BD40" s="302" t="n"/>
      <c r="BE40" s="302" t="n"/>
      <c r="BF40" s="302" t="n"/>
      <c r="BG40" s="302" t="n"/>
      <c r="BH40" s="302" t="n"/>
      <c r="BI40" s="302" t="n"/>
      <c r="BJ40" s="302" t="n"/>
      <c r="BK40" s="302" t="n"/>
      <c r="BL40" s="302" t="n"/>
      <c r="BM40" s="302" t="n"/>
      <c r="BN40" s="302" t="n"/>
      <c r="BO40" s="302" t="n"/>
      <c r="BP40" s="302" t="n"/>
      <c r="BQ40" s="302" t="n"/>
      <c r="BR40" s="302" t="n"/>
      <c r="BS40" s="302" t="n"/>
      <c r="BT40" s="302" t="n"/>
      <c r="BU40" s="302" t="n"/>
      <c r="BV40" s="302" t="n"/>
      <c r="BW40" s="302" t="n"/>
      <c r="BX40" s="302" t="n"/>
      <c r="BY40" s="302" t="n"/>
      <c r="BZ40" s="302" t="n"/>
      <c r="CA40" s="302" t="n"/>
      <c r="CB40" s="302" t="n"/>
      <c r="CC40" s="302" t="n"/>
      <c r="CD40" s="302" t="n"/>
      <c r="CE40" s="302" t="n"/>
      <c r="CF40" s="302" t="n"/>
      <c r="CG40" s="302" t="n"/>
      <c r="CH40" s="302" t="n"/>
      <c r="CI40" s="302" t="n"/>
      <c r="CJ40" s="302" t="n"/>
      <c r="CK40" s="302" t="n"/>
      <c r="CL40" s="302" t="n"/>
      <c r="CM40" s="302" t="n"/>
      <c r="CN40" s="302" t="n"/>
      <c r="CO40" s="302" t="n"/>
      <c r="CP40" s="302" t="n"/>
      <c r="CQ40" s="302" t="n"/>
      <c r="CR40" s="302" t="n"/>
      <c r="CS40" s="302" t="n"/>
      <c r="CT40" s="302" t="n"/>
    </row>
    <row r="41" ht="18" customHeight="1" s="131">
      <c r="B41" s="183" t="n"/>
      <c r="C41" s="52" t="n"/>
      <c r="D41" s="52" t="n"/>
      <c r="E41" s="183" t="n"/>
      <c r="F41" s="183" t="n"/>
      <c r="G41" s="183" t="n"/>
      <c r="H41" s="183" t="n"/>
      <c r="I41" s="183" t="n"/>
      <c r="J41" s="183" t="n"/>
      <c r="K41" s="302" t="n"/>
      <c r="L41" s="302" t="n"/>
      <c r="M41" s="302" t="n"/>
      <c r="N41" s="302" t="n"/>
      <c r="O41" s="343" t="n"/>
      <c r="P41" s="302" t="n"/>
      <c r="Q41" s="302" t="n"/>
      <c r="R41" s="302" t="n"/>
      <c r="S41" s="302" t="n"/>
      <c r="T41" s="302" t="n"/>
      <c r="U41" s="302" t="n"/>
      <c r="V41" s="302" t="n"/>
      <c r="W41" s="302" t="n"/>
      <c r="X41" s="302" t="n"/>
      <c r="Y41" s="302" t="n"/>
      <c r="Z41" s="302" t="n"/>
      <c r="AA41" s="353" t="n"/>
      <c r="AB41" s="302" t="n"/>
      <c r="AC41" s="302" t="n"/>
      <c r="AD41" s="343" t="n"/>
      <c r="AE41" s="343" t="n"/>
      <c r="AF41" s="343" t="n"/>
      <c r="AG41" s="343" t="n"/>
      <c r="AH41" s="343" t="n"/>
      <c r="AI41" s="343" t="n"/>
      <c r="AJ41" s="343" t="n"/>
      <c r="AK41" s="343" t="n"/>
      <c r="AL41" s="343" t="n"/>
      <c r="AM41" s="343" t="n"/>
      <c r="AN41" s="343" t="n"/>
      <c r="AO41" s="343" t="n"/>
      <c r="AP41" s="343" t="n"/>
      <c r="AQ41" s="343" t="n"/>
      <c r="AR41" s="343" t="n"/>
      <c r="AS41" s="343" t="n"/>
      <c r="AT41" s="343" t="n"/>
      <c r="AU41" s="343" t="n"/>
      <c r="AV41" s="343" t="n"/>
      <c r="AW41" s="343" t="n"/>
      <c r="AX41" s="343" t="n"/>
      <c r="AY41" s="302" t="n"/>
      <c r="AZ41" s="302" t="n"/>
      <c r="BA41" s="302" t="n"/>
      <c r="BB41" s="302" t="n"/>
      <c r="BC41" s="302" t="n"/>
      <c r="BD41" s="302" t="n"/>
      <c r="BE41" s="302" t="n"/>
      <c r="BF41" s="302" t="n"/>
      <c r="BG41" s="302" t="n"/>
      <c r="BH41" s="302" t="n"/>
      <c r="BI41" s="302" t="n"/>
      <c r="BJ41" s="302" t="n"/>
      <c r="BK41" s="302" t="n"/>
      <c r="BL41" s="302" t="n"/>
      <c r="BM41" s="302" t="n"/>
      <c r="BN41" s="302" t="n"/>
      <c r="BO41" s="302" t="n"/>
      <c r="BP41" s="302" t="n"/>
      <c r="BQ41" s="302" t="n"/>
      <c r="BR41" s="302" t="n"/>
      <c r="BS41" s="302" t="n"/>
      <c r="BT41" s="302" t="n"/>
      <c r="BU41" s="302" t="n"/>
      <c r="BV41" s="302" t="n"/>
      <c r="BW41" s="302" t="n"/>
      <c r="BX41" s="302" t="n"/>
      <c r="BY41" s="302" t="n"/>
      <c r="BZ41" s="302" t="n"/>
      <c r="CA41" s="302" t="n"/>
      <c r="CB41" s="302" t="n"/>
      <c r="CC41" s="302" t="n"/>
      <c r="CD41" s="302" t="n"/>
      <c r="CE41" s="302" t="n"/>
      <c r="CF41" s="302" t="n"/>
      <c r="CG41" s="302" t="n"/>
      <c r="CH41" s="302" t="n"/>
      <c r="CI41" s="302" t="n"/>
      <c r="CJ41" s="302" t="n"/>
      <c r="CK41" s="302" t="n"/>
      <c r="CL41" s="302" t="n"/>
      <c r="CM41" s="302" t="n"/>
      <c r="CN41" s="302" t="n"/>
      <c r="CO41" s="302" t="n"/>
      <c r="CP41" s="302" t="n"/>
      <c r="CQ41" s="302" t="n"/>
      <c r="CR41" s="302" t="n"/>
      <c r="CS41" s="302" t="n"/>
      <c r="CT41" s="302" t="n"/>
    </row>
    <row r="42" ht="15" customHeight="1" s="131">
      <c r="B42" s="183" t="n"/>
      <c r="C42" s="183" t="n"/>
      <c r="D42" s="183" t="n"/>
      <c r="E42" s="183" t="n"/>
      <c r="F42" s="183" t="n"/>
      <c r="G42" s="183" t="n"/>
      <c r="H42" s="183" t="n"/>
      <c r="I42" s="183" t="n"/>
      <c r="J42" s="183" t="n"/>
      <c r="K42" s="302" t="n"/>
      <c r="L42" s="302" t="n"/>
      <c r="M42" s="302" t="n"/>
      <c r="N42" s="302" t="n"/>
      <c r="O42" s="343" t="n"/>
      <c r="P42" s="302" t="n"/>
      <c r="Q42" s="302" t="n"/>
      <c r="R42" s="302" t="n"/>
      <c r="S42" s="302" t="n"/>
      <c r="T42" s="302" t="n"/>
      <c r="U42" s="302" t="n"/>
      <c r="V42" s="302" t="n"/>
      <c r="W42" s="302" t="n"/>
      <c r="X42" s="302" t="n"/>
      <c r="Y42" s="302" t="n"/>
      <c r="Z42" s="302" t="n"/>
      <c r="AA42" s="353" t="n"/>
      <c r="AB42" s="302" t="n"/>
      <c r="AC42" s="302" t="n"/>
      <c r="AD42" s="343" t="n"/>
      <c r="AE42" s="343" t="n"/>
      <c r="AF42" s="343" t="n"/>
      <c r="AG42" s="343" t="n"/>
      <c r="AH42" s="343" t="n"/>
      <c r="AI42" s="343" t="n"/>
      <c r="AJ42" s="343" t="n"/>
      <c r="AK42" s="343" t="n"/>
      <c r="AL42" s="343" t="n"/>
      <c r="AM42" s="343" t="n"/>
      <c r="AN42" s="343" t="n"/>
      <c r="AO42" s="343" t="n"/>
      <c r="AP42" s="343" t="n"/>
      <c r="AQ42" s="343" t="n"/>
      <c r="AR42" s="343" t="n"/>
      <c r="AS42" s="343" t="n"/>
      <c r="AT42" s="343" t="n"/>
      <c r="AU42" s="343" t="n"/>
      <c r="AV42" s="343" t="n"/>
      <c r="AW42" s="343" t="n"/>
      <c r="AX42" s="343" t="n"/>
      <c r="AY42" s="302" t="n"/>
      <c r="AZ42" s="302" t="n"/>
      <c r="BA42" s="302" t="n"/>
      <c r="BB42" s="302" t="n"/>
      <c r="BC42" s="302" t="n"/>
      <c r="BD42" s="302" t="n"/>
      <c r="BE42" s="302" t="n"/>
      <c r="BF42" s="302" t="n"/>
      <c r="BG42" s="302" t="n"/>
      <c r="BH42" s="302" t="n"/>
      <c r="BI42" s="302" t="n"/>
      <c r="BJ42" s="302" t="n"/>
      <c r="BK42" s="302" t="n"/>
      <c r="BL42" s="302" t="n"/>
      <c r="BM42" s="302" t="n"/>
      <c r="BN42" s="302" t="n"/>
      <c r="BO42" s="302" t="n"/>
      <c r="BP42" s="302" t="n"/>
      <c r="BQ42" s="302" t="n"/>
      <c r="BR42" s="302" t="n"/>
      <c r="BS42" s="302" t="n"/>
      <c r="BT42" s="302" t="n"/>
      <c r="BU42" s="302" t="n"/>
      <c r="BV42" s="302" t="n"/>
      <c r="BW42" s="302" t="n"/>
      <c r="BX42" s="302" t="n"/>
      <c r="BY42" s="302" t="n"/>
      <c r="BZ42" s="302" t="n"/>
      <c r="CA42" s="302" t="n"/>
      <c r="CB42" s="302" t="n"/>
      <c r="CC42" s="302" t="n"/>
      <c r="CD42" s="302" t="n"/>
      <c r="CE42" s="302" t="n"/>
      <c r="CF42" s="302" t="n"/>
      <c r="CG42" s="302" t="n"/>
      <c r="CH42" s="302" t="n"/>
      <c r="CI42" s="302" t="n"/>
      <c r="CJ42" s="302" t="n"/>
      <c r="CK42" s="302" t="n"/>
      <c r="CL42" s="302" t="n"/>
      <c r="CM42" s="302" t="n"/>
      <c r="CN42" s="302" t="n"/>
      <c r="CO42" s="302" t="n"/>
      <c r="CP42" s="302" t="n"/>
      <c r="CQ42" s="302" t="n"/>
      <c r="CR42" s="302" t="n"/>
      <c r="CS42" s="302" t="n"/>
      <c r="CT42" s="302" t="n"/>
    </row>
    <row r="43" ht="15" customHeight="1" s="131">
      <c r="B43" s="183" t="n"/>
      <c r="C43" s="183" t="n"/>
      <c r="D43" s="183" t="n"/>
      <c r="E43" s="183" t="n"/>
      <c r="F43" s="183" t="n"/>
      <c r="G43" s="183" t="n"/>
      <c r="H43" s="183" t="n"/>
      <c r="I43" s="183" t="n"/>
      <c r="J43" s="183" t="n"/>
      <c r="K43" s="302" t="n"/>
      <c r="L43" s="302" t="n"/>
      <c r="M43" s="302" t="n"/>
      <c r="N43" s="302" t="n"/>
      <c r="O43" s="343" t="n"/>
      <c r="P43" s="302" t="n"/>
      <c r="Q43" s="302" t="n"/>
      <c r="R43" s="302" t="n"/>
      <c r="S43" s="302" t="n"/>
      <c r="T43" s="302" t="n"/>
      <c r="U43" s="302" t="n"/>
      <c r="V43" s="302" t="n"/>
      <c r="W43" s="302" t="n"/>
      <c r="X43" s="302" t="n"/>
      <c r="Y43" s="302" t="n"/>
      <c r="Z43" s="302" t="n"/>
      <c r="AA43" s="353" t="n"/>
      <c r="AB43" s="302" t="n"/>
      <c r="AC43" s="302" t="n"/>
      <c r="AD43" s="343" t="n"/>
      <c r="AE43" s="343" t="n"/>
      <c r="AF43" s="343" t="n"/>
      <c r="AG43" s="343" t="n"/>
      <c r="AH43" s="343" t="n"/>
      <c r="AI43" s="343" t="n"/>
      <c r="AJ43" s="343" t="n"/>
      <c r="AK43" s="343" t="n"/>
      <c r="AL43" s="343" t="n"/>
      <c r="AM43" s="343" t="n"/>
      <c r="AN43" s="343" t="n"/>
      <c r="AO43" s="343" t="n"/>
      <c r="AP43" s="343" t="n"/>
      <c r="AQ43" s="343" t="n"/>
      <c r="AR43" s="343" t="n"/>
      <c r="AS43" s="343" t="n"/>
      <c r="AT43" s="343" t="n"/>
      <c r="AU43" s="343" t="n"/>
      <c r="AV43" s="343" t="n"/>
      <c r="AW43" s="343" t="n"/>
      <c r="AX43" s="343" t="n"/>
      <c r="AY43" s="302" t="n"/>
      <c r="AZ43" s="302" t="n"/>
      <c r="BA43" s="302" t="n"/>
      <c r="BB43" s="302" t="n"/>
      <c r="BC43" s="302" t="n"/>
      <c r="BD43" s="302" t="n"/>
      <c r="BE43" s="302" t="n"/>
      <c r="BF43" s="302" t="n"/>
      <c r="BG43" s="302" t="n"/>
      <c r="BH43" s="302" t="n"/>
      <c r="BI43" s="302" t="n"/>
      <c r="BJ43" s="302" t="n"/>
      <c r="BK43" s="302" t="n"/>
      <c r="BL43" s="302" t="n"/>
      <c r="BM43" s="302" t="n"/>
      <c r="BN43" s="302" t="n"/>
      <c r="BO43" s="302" t="n"/>
      <c r="BP43" s="302" t="n"/>
      <c r="BQ43" s="302" t="n"/>
      <c r="BR43" s="302" t="n"/>
      <c r="BS43" s="302" t="n"/>
      <c r="BT43" s="302" t="n"/>
      <c r="BU43" s="302" t="n"/>
      <c r="BV43" s="302" t="n"/>
      <c r="BW43" s="302" t="n"/>
      <c r="BX43" s="302" t="n"/>
      <c r="BY43" s="302" t="n"/>
      <c r="BZ43" s="302" t="n"/>
      <c r="CA43" s="302" t="n"/>
      <c r="CB43" s="302" t="n"/>
      <c r="CC43" s="302" t="n"/>
      <c r="CD43" s="302" t="n"/>
      <c r="CE43" s="302" t="n"/>
      <c r="CF43" s="302" t="n"/>
      <c r="CG43" s="302" t="n"/>
      <c r="CH43" s="302" t="n"/>
      <c r="CI43" s="302" t="n"/>
      <c r="CJ43" s="302" t="n"/>
      <c r="CK43" s="302" t="n"/>
      <c r="CL43" s="302" t="n"/>
      <c r="CM43" s="302" t="n"/>
      <c r="CN43" s="302" t="n"/>
      <c r="CO43" s="302" t="n"/>
      <c r="CP43" s="302" t="n"/>
      <c r="CQ43" s="302" t="n"/>
      <c r="CR43" s="302" t="n"/>
      <c r="CS43" s="302" t="n"/>
      <c r="CT43" s="302" t="n"/>
    </row>
    <row r="44" ht="15" customHeight="1" s="131">
      <c r="B44" s="183" t="n"/>
      <c r="C44" s="183" t="n"/>
      <c r="D44" s="183" t="n"/>
      <c r="E44" s="183" t="n"/>
      <c r="F44" s="183" t="n"/>
      <c r="G44" s="183" t="n"/>
      <c r="H44" s="183" t="n"/>
      <c r="I44" s="183" t="n"/>
      <c r="J44" s="183" t="n"/>
      <c r="K44" s="302" t="n"/>
      <c r="L44" s="302" t="n"/>
      <c r="M44" s="302" t="n"/>
      <c r="N44" s="302" t="n"/>
      <c r="O44" s="343" t="n"/>
      <c r="P44" s="302" t="n"/>
      <c r="Q44" s="302" t="n"/>
      <c r="R44" s="302" t="n"/>
      <c r="S44" s="302" t="n"/>
      <c r="T44" s="302" t="n"/>
      <c r="U44" s="302" t="n"/>
      <c r="V44" s="302" t="n"/>
      <c r="W44" s="302" t="n"/>
      <c r="X44" s="302" t="n"/>
      <c r="Y44" s="302" t="n"/>
      <c r="Z44" s="302" t="n"/>
      <c r="AA44" s="353" t="n"/>
      <c r="AB44" s="302" t="n"/>
      <c r="AC44" s="302" t="n"/>
      <c r="AD44" s="343" t="n"/>
      <c r="AE44" s="343" t="n"/>
      <c r="AF44" s="343" t="n"/>
      <c r="AG44" s="343" t="n"/>
      <c r="AH44" s="343" t="n"/>
      <c r="AI44" s="343" t="n"/>
      <c r="AJ44" s="343" t="n"/>
      <c r="AK44" s="343" t="n"/>
      <c r="AL44" s="343" t="n"/>
      <c r="AM44" s="343" t="n"/>
      <c r="AN44" s="343" t="n"/>
      <c r="AO44" s="343" t="n"/>
      <c r="AP44" s="343" t="n"/>
      <c r="AQ44" s="343" t="n"/>
      <c r="AR44" s="343" t="n"/>
      <c r="AS44" s="343" t="n"/>
      <c r="AT44" s="343" t="n"/>
      <c r="AU44" s="343" t="n"/>
      <c r="AV44" s="343" t="n"/>
      <c r="AW44" s="343" t="n"/>
      <c r="AX44" s="343" t="n"/>
      <c r="AY44" s="302" t="n"/>
      <c r="AZ44" s="302" t="n"/>
      <c r="BA44" s="302" t="n"/>
      <c r="BB44" s="302" t="n"/>
      <c r="BC44" s="302" t="n"/>
      <c r="BD44" s="302" t="n"/>
      <c r="BE44" s="302" t="n"/>
      <c r="BF44" s="302" t="n"/>
      <c r="BG44" s="302" t="n"/>
      <c r="BH44" s="302" t="n"/>
      <c r="BI44" s="302" t="n"/>
      <c r="BJ44" s="302" t="n"/>
      <c r="BK44" s="302" t="n"/>
      <c r="BL44" s="302" t="n"/>
      <c r="BM44" s="302" t="n"/>
      <c r="BN44" s="302" t="n"/>
      <c r="BO44" s="302" t="n"/>
      <c r="BP44" s="302" t="n"/>
      <c r="BQ44" s="302" t="n"/>
      <c r="BR44" s="302" t="n"/>
      <c r="BS44" s="302" t="n"/>
      <c r="BT44" s="302" t="n"/>
      <c r="BU44" s="302" t="n"/>
      <c r="BV44" s="302" t="n"/>
      <c r="BW44" s="302" t="n"/>
      <c r="BX44" s="302" t="n"/>
      <c r="BY44" s="302" t="n"/>
      <c r="BZ44" s="302" t="n"/>
      <c r="CA44" s="302" t="n"/>
      <c r="CB44" s="302" t="n"/>
      <c r="CC44" s="302" t="n"/>
      <c r="CD44" s="302" t="n"/>
      <c r="CE44" s="302" t="n"/>
      <c r="CF44" s="302" t="n"/>
      <c r="CG44" s="302" t="n"/>
      <c r="CH44" s="302" t="n"/>
      <c r="CI44" s="302" t="n"/>
      <c r="CJ44" s="302" t="n"/>
      <c r="CK44" s="302" t="n"/>
      <c r="CL44" s="302" t="n"/>
      <c r="CM44" s="302" t="n"/>
      <c r="CN44" s="302" t="n"/>
      <c r="CO44" s="302" t="n"/>
      <c r="CP44" s="302" t="n"/>
      <c r="CQ44" s="302" t="n"/>
      <c r="CR44" s="302" t="n"/>
      <c r="CS44" s="302" t="n"/>
      <c r="CT44" s="302" t="n"/>
    </row>
    <row r="45" ht="15" customHeight="1" s="131">
      <c r="B45" s="183" t="n"/>
      <c r="C45" s="183" t="n"/>
      <c r="D45" s="183" t="n"/>
      <c r="E45" s="183" t="n"/>
      <c r="F45" s="183" t="n"/>
      <c r="G45" s="183" t="n"/>
      <c r="H45" s="183" t="n"/>
      <c r="I45" s="183" t="n"/>
      <c r="J45" s="183" t="n"/>
      <c r="K45" s="302" t="n"/>
      <c r="L45" s="302" t="n"/>
      <c r="M45" s="302" t="n"/>
      <c r="N45" s="302" t="n"/>
      <c r="O45" s="343" t="n"/>
      <c r="P45" s="302" t="n"/>
      <c r="Q45" s="302" t="n"/>
      <c r="R45" s="302" t="n"/>
      <c r="S45" s="302" t="n"/>
      <c r="T45" s="302" t="n"/>
      <c r="U45" s="302" t="n"/>
      <c r="V45" s="302" t="n"/>
      <c r="W45" s="302" t="n"/>
      <c r="X45" s="302" t="n"/>
      <c r="Y45" s="302" t="n"/>
      <c r="Z45" s="302" t="n"/>
      <c r="AA45" s="353" t="n"/>
      <c r="AB45" s="302" t="n"/>
      <c r="AC45" s="302" t="n"/>
      <c r="AD45" s="343" t="n"/>
      <c r="AE45" s="343" t="n"/>
      <c r="AF45" s="343" t="n"/>
      <c r="AG45" s="343" t="n"/>
      <c r="AH45" s="343" t="n"/>
      <c r="AI45" s="343" t="n"/>
      <c r="AJ45" s="343" t="n"/>
      <c r="AK45" s="343" t="n"/>
      <c r="AL45" s="343" t="n"/>
      <c r="AM45" s="343" t="n"/>
      <c r="AN45" s="343" t="n"/>
      <c r="AO45" s="343" t="n"/>
      <c r="AP45" s="343" t="n"/>
      <c r="AQ45" s="343" t="n"/>
      <c r="AR45" s="343" t="n"/>
      <c r="AS45" s="343" t="n"/>
      <c r="AT45" s="343" t="n"/>
      <c r="AU45" s="343" t="n"/>
      <c r="AV45" s="343" t="n"/>
      <c r="AW45" s="343" t="n"/>
      <c r="AX45" s="343" t="n"/>
      <c r="AY45" s="302" t="n"/>
      <c r="AZ45" s="302" t="n"/>
      <c r="BA45" s="302" t="n"/>
      <c r="BB45" s="302" t="n"/>
      <c r="BC45" s="302" t="n"/>
      <c r="BD45" s="302" t="n"/>
      <c r="BE45" s="302" t="n"/>
      <c r="BF45" s="302" t="n"/>
      <c r="BG45" s="302" t="n"/>
      <c r="BH45" s="302" t="n"/>
      <c r="BI45" s="302" t="n"/>
      <c r="BJ45" s="302" t="n"/>
      <c r="BK45" s="302" t="n"/>
      <c r="BL45" s="302" t="n"/>
      <c r="BM45" s="302" t="n"/>
      <c r="BN45" s="302" t="n"/>
      <c r="BO45" s="302" t="n"/>
      <c r="BP45" s="302" t="n"/>
      <c r="BQ45" s="302" t="n"/>
      <c r="BR45" s="302" t="n"/>
      <c r="BS45" s="302" t="n"/>
      <c r="BT45" s="302" t="n"/>
      <c r="BU45" s="302" t="n"/>
      <c r="BV45" s="302" t="n"/>
      <c r="BW45" s="302" t="n"/>
      <c r="BX45" s="302" t="n"/>
      <c r="BY45" s="302" t="n"/>
      <c r="BZ45" s="302" t="n"/>
      <c r="CA45" s="302" t="n"/>
      <c r="CB45" s="302" t="n"/>
      <c r="CC45" s="302" t="n"/>
      <c r="CD45" s="302" t="n"/>
      <c r="CE45" s="302" t="n"/>
      <c r="CF45" s="302" t="n"/>
      <c r="CG45" s="302" t="n"/>
      <c r="CH45" s="302" t="n"/>
      <c r="CI45" s="302" t="n"/>
      <c r="CJ45" s="302" t="n"/>
      <c r="CK45" s="302" t="n"/>
      <c r="CL45" s="302" t="n"/>
      <c r="CM45" s="302" t="n"/>
      <c r="CN45" s="302" t="n"/>
      <c r="CO45" s="302" t="n"/>
      <c r="CP45" s="302" t="n"/>
      <c r="CQ45" s="302" t="n"/>
      <c r="CR45" s="302" t="n"/>
      <c r="CS45" s="302" t="n"/>
      <c r="CT45" s="302" t="n"/>
    </row>
    <row r="46" ht="15" customHeight="1" s="131">
      <c r="B46" s="183" t="n"/>
      <c r="C46" s="183" t="n"/>
      <c r="D46" s="183" t="n"/>
      <c r="E46" s="183" t="n"/>
      <c r="F46" s="183" t="n"/>
      <c r="G46" s="183" t="n"/>
      <c r="H46" s="183" t="n"/>
      <c r="I46" s="183" t="n"/>
      <c r="J46" s="183" t="n"/>
      <c r="K46" s="302" t="n"/>
      <c r="L46" s="302" t="n"/>
      <c r="M46" s="302" t="n"/>
      <c r="N46" s="302" t="n"/>
      <c r="O46" s="343" t="n"/>
      <c r="P46" s="302" t="n"/>
      <c r="Q46" s="302" t="n"/>
      <c r="R46" s="302" t="n"/>
      <c r="S46" s="302" t="n"/>
      <c r="T46" s="302" t="n"/>
      <c r="U46" s="302" t="n"/>
      <c r="V46" s="302" t="n"/>
      <c r="W46" s="302" t="n"/>
      <c r="X46" s="302" t="n"/>
      <c r="Y46" s="302" t="n"/>
      <c r="Z46" s="302" t="n"/>
      <c r="AA46" s="353" t="n"/>
      <c r="AB46" s="302" t="n"/>
      <c r="AC46" s="302" t="n"/>
      <c r="AD46" s="343" t="n"/>
      <c r="AE46" s="343" t="n"/>
      <c r="AF46" s="343" t="n"/>
      <c r="AG46" s="343" t="n"/>
      <c r="AH46" s="343" t="n"/>
      <c r="AI46" s="343" t="n"/>
      <c r="AJ46" s="343" t="n"/>
      <c r="AK46" s="343" t="n"/>
      <c r="AL46" s="343" t="n"/>
      <c r="AM46" s="343" t="n"/>
      <c r="AN46" s="343" t="n"/>
      <c r="AO46" s="343" t="n"/>
      <c r="AP46" s="343" t="n"/>
      <c r="AQ46" s="343" t="n"/>
      <c r="AR46" s="343" t="n"/>
      <c r="AS46" s="343" t="n"/>
      <c r="AT46" s="343" t="n"/>
      <c r="AU46" s="343" t="n"/>
      <c r="AV46" s="343" t="n"/>
      <c r="AW46" s="343" t="n"/>
      <c r="AX46" s="343" t="n"/>
      <c r="AY46" s="302" t="n"/>
      <c r="AZ46" s="302" t="n"/>
      <c r="BA46" s="302" t="n"/>
      <c r="BB46" s="302" t="n"/>
      <c r="BC46" s="302" t="n"/>
      <c r="BD46" s="302" t="n"/>
      <c r="BE46" s="302" t="n"/>
      <c r="BF46" s="302" t="n"/>
      <c r="BG46" s="302" t="n"/>
      <c r="BH46" s="302" t="n"/>
      <c r="BI46" s="302" t="n"/>
      <c r="BJ46" s="302" t="n"/>
      <c r="BK46" s="302" t="n"/>
      <c r="BL46" s="302" t="n"/>
      <c r="BM46" s="302" t="n"/>
      <c r="BN46" s="302" t="n"/>
      <c r="BO46" s="302" t="n"/>
      <c r="BP46" s="302" t="n"/>
      <c r="BQ46" s="302" t="n"/>
      <c r="BR46" s="302" t="n"/>
      <c r="BS46" s="302" t="n"/>
      <c r="BT46" s="302" t="n"/>
      <c r="BU46" s="302" t="n"/>
      <c r="BV46" s="302" t="n"/>
      <c r="BW46" s="302" t="n"/>
      <c r="BX46" s="302" t="n"/>
      <c r="BY46" s="302" t="n"/>
      <c r="BZ46" s="302" t="n"/>
      <c r="CA46" s="302" t="n"/>
      <c r="CB46" s="302" t="n"/>
      <c r="CC46" s="302" t="n"/>
      <c r="CD46" s="302" t="n"/>
      <c r="CE46" s="302" t="n"/>
      <c r="CF46" s="302" t="n"/>
      <c r="CG46" s="302" t="n"/>
      <c r="CH46" s="302" t="n"/>
      <c r="CI46" s="302" t="n"/>
      <c r="CJ46" s="302" t="n"/>
      <c r="CK46" s="302" t="n"/>
      <c r="CL46" s="302" t="n"/>
      <c r="CM46" s="302" t="n"/>
      <c r="CN46" s="302" t="n"/>
      <c r="CO46" s="302" t="n"/>
      <c r="CP46" s="302" t="n"/>
      <c r="CQ46" s="302" t="n"/>
      <c r="CR46" s="302" t="n"/>
      <c r="CS46" s="302" t="n"/>
      <c r="CT46" s="302" t="n"/>
    </row>
    <row r="47" ht="15" customHeight="1" s="131">
      <c r="B47" s="183" t="n"/>
      <c r="C47" s="183" t="n"/>
      <c r="D47" s="183" t="n"/>
      <c r="E47" s="183" t="n"/>
      <c r="F47" s="183" t="n"/>
      <c r="G47" s="183" t="n"/>
      <c r="H47" s="183" t="n"/>
      <c r="I47" s="183" t="n"/>
      <c r="J47" s="183" t="n"/>
      <c r="K47" s="302" t="n"/>
      <c r="L47" s="302" t="n"/>
      <c r="M47" s="302" t="n"/>
      <c r="N47" s="302" t="n"/>
      <c r="O47" s="343" t="n"/>
      <c r="P47" s="302" t="n"/>
      <c r="Q47" s="302" t="n"/>
      <c r="R47" s="302" t="n"/>
      <c r="S47" s="302" t="n"/>
      <c r="T47" s="302" t="n"/>
      <c r="U47" s="302" t="n"/>
      <c r="V47" s="302" t="n"/>
      <c r="W47" s="302" t="n"/>
      <c r="X47" s="302" t="n"/>
      <c r="Y47" s="302" t="n"/>
      <c r="Z47" s="302" t="n"/>
      <c r="AA47" s="353" t="n"/>
      <c r="AB47" s="302" t="n"/>
      <c r="AC47" s="302" t="n"/>
      <c r="AD47" s="343" t="n"/>
      <c r="AE47" s="343" t="n"/>
      <c r="AF47" s="343" t="n"/>
      <c r="AG47" s="343" t="n"/>
      <c r="AH47" s="343" t="n"/>
      <c r="AI47" s="343" t="n"/>
      <c r="AJ47" s="343" t="n"/>
      <c r="AK47" s="343" t="n"/>
      <c r="AL47" s="343" t="n"/>
      <c r="AM47" s="343" t="n"/>
      <c r="AN47" s="343" t="n"/>
      <c r="AO47" s="343" t="n"/>
      <c r="AP47" s="343" t="n"/>
      <c r="AQ47" s="343" t="n"/>
      <c r="AR47" s="343" t="n"/>
      <c r="AS47" s="343" t="n"/>
      <c r="AT47" s="343" t="n"/>
      <c r="AU47" s="343" t="n"/>
      <c r="AV47" s="343" t="n"/>
      <c r="AW47" s="343" t="n"/>
      <c r="AX47" s="343" t="n"/>
      <c r="AY47" s="302" t="n"/>
      <c r="AZ47" s="302" t="n"/>
      <c r="BA47" s="302" t="n"/>
      <c r="BB47" s="302" t="n"/>
      <c r="BC47" s="302" t="n"/>
      <c r="BD47" s="302" t="n"/>
      <c r="BE47" s="302" t="n"/>
      <c r="BF47" s="302" t="n"/>
      <c r="BG47" s="302" t="n"/>
      <c r="BH47" s="302" t="n"/>
      <c r="BI47" s="302" t="n"/>
      <c r="BJ47" s="302" t="n"/>
      <c r="BK47" s="302" t="n"/>
      <c r="BL47" s="302" t="n"/>
      <c r="BM47" s="302" t="n"/>
      <c r="BN47" s="302" t="n"/>
      <c r="BO47" s="302" t="n"/>
      <c r="BP47" s="302" t="n"/>
      <c r="BQ47" s="302" t="n"/>
      <c r="BR47" s="302" t="n"/>
      <c r="BS47" s="302" t="n"/>
      <c r="BT47" s="302" t="n"/>
      <c r="BU47" s="302" t="n"/>
      <c r="BV47" s="302" t="n"/>
      <c r="BW47" s="302" t="n"/>
      <c r="BX47" s="302" t="n"/>
      <c r="BY47" s="302" t="n"/>
      <c r="BZ47" s="302" t="n"/>
      <c r="CA47" s="302" t="n"/>
      <c r="CB47" s="302" t="n"/>
      <c r="CC47" s="302" t="n"/>
      <c r="CD47" s="302" t="n"/>
      <c r="CE47" s="302" t="n"/>
      <c r="CF47" s="302" t="n"/>
      <c r="CG47" s="302" t="n"/>
      <c r="CH47" s="302" t="n"/>
      <c r="CI47" s="302" t="n"/>
      <c r="CJ47" s="302" t="n"/>
      <c r="CK47" s="302" t="n"/>
      <c r="CL47" s="302" t="n"/>
      <c r="CM47" s="302" t="n"/>
      <c r="CN47" s="302" t="n"/>
      <c r="CO47" s="302" t="n"/>
      <c r="CP47" s="302" t="n"/>
      <c r="CQ47" s="302" t="n"/>
      <c r="CR47" s="302" t="n"/>
      <c r="CS47" s="302" t="n"/>
      <c r="CT47" s="302" t="n"/>
    </row>
    <row r="48" ht="15" customHeight="1" s="131">
      <c r="B48" s="183" t="n"/>
      <c r="C48" s="183" t="n"/>
      <c r="D48" s="183" t="n"/>
      <c r="E48" s="183" t="n"/>
      <c r="F48" s="183" t="n"/>
      <c r="G48" s="183" t="n"/>
      <c r="H48" s="183" t="n"/>
      <c r="I48" s="183" t="n"/>
      <c r="J48" s="183" t="n"/>
      <c r="K48" s="302" t="n"/>
      <c r="L48" s="302" t="n"/>
      <c r="M48" s="302" t="n"/>
      <c r="N48" s="302" t="n"/>
      <c r="O48" s="343" t="n"/>
      <c r="P48" s="302" t="n"/>
      <c r="Q48" s="302" t="n"/>
      <c r="R48" s="302" t="n"/>
      <c r="S48" s="302" t="n"/>
      <c r="T48" s="302" t="n"/>
      <c r="U48" s="302" t="n"/>
      <c r="V48" s="302" t="n"/>
      <c r="W48" s="302" t="n"/>
      <c r="X48" s="302" t="n"/>
      <c r="Y48" s="302" t="n"/>
      <c r="Z48" s="302" t="n"/>
      <c r="AA48" s="353" t="n"/>
      <c r="AB48" s="302" t="n"/>
      <c r="AC48" s="302" t="n"/>
      <c r="AD48" s="343" t="n"/>
      <c r="AE48" s="343" t="n"/>
      <c r="AF48" s="343" t="n"/>
      <c r="AG48" s="343" t="n"/>
      <c r="AH48" s="343" t="n"/>
      <c r="AI48" s="343" t="n"/>
      <c r="AJ48" s="343" t="n"/>
      <c r="AK48" s="343" t="n"/>
      <c r="AL48" s="343" t="n"/>
      <c r="AM48" s="343" t="n"/>
      <c r="AN48" s="343" t="n"/>
      <c r="AO48" s="343" t="n"/>
      <c r="AP48" s="343" t="n"/>
      <c r="AQ48" s="343" t="n"/>
      <c r="AR48" s="343" t="n"/>
      <c r="AS48" s="343" t="n"/>
      <c r="AT48" s="343" t="n"/>
      <c r="AU48" s="343" t="n"/>
      <c r="AV48" s="343" t="n"/>
      <c r="AW48" s="343" t="n"/>
      <c r="AX48" s="343" t="n"/>
      <c r="AY48" s="302" t="n"/>
      <c r="AZ48" s="302" t="n"/>
      <c r="BA48" s="302" t="n"/>
      <c r="BB48" s="302" t="n"/>
      <c r="BC48" s="302" t="n"/>
      <c r="BD48" s="302" t="n"/>
      <c r="BE48" s="302" t="n"/>
      <c r="BF48" s="302" t="n"/>
      <c r="BG48" s="302" t="n"/>
      <c r="BH48" s="302" t="n"/>
      <c r="BI48" s="302" t="n"/>
      <c r="BJ48" s="302" t="n"/>
      <c r="BK48" s="302" t="n"/>
      <c r="BL48" s="302" t="n"/>
      <c r="BM48" s="302" t="n"/>
      <c r="BN48" s="302" t="n"/>
      <c r="BO48" s="302" t="n"/>
      <c r="BP48" s="302" t="n"/>
      <c r="BQ48" s="302" t="n"/>
      <c r="BR48" s="302" t="n"/>
      <c r="BS48" s="302" t="n"/>
      <c r="BT48" s="302" t="n"/>
      <c r="BU48" s="302" t="n"/>
      <c r="BV48" s="302" t="n"/>
      <c r="BW48" s="302" t="n"/>
      <c r="BX48" s="302" t="n"/>
      <c r="BY48" s="302" t="n"/>
      <c r="BZ48" s="302" t="n"/>
      <c r="CA48" s="302" t="n"/>
      <c r="CB48" s="302" t="n"/>
      <c r="CC48" s="302" t="n"/>
      <c r="CD48" s="302" t="n"/>
      <c r="CE48" s="302" t="n"/>
      <c r="CF48" s="302" t="n"/>
      <c r="CG48" s="302" t="n"/>
      <c r="CH48" s="302" t="n"/>
      <c r="CI48" s="302" t="n"/>
      <c r="CJ48" s="302" t="n"/>
      <c r="CK48" s="302" t="n"/>
      <c r="CL48" s="302" t="n"/>
      <c r="CM48" s="302" t="n"/>
      <c r="CN48" s="302" t="n"/>
      <c r="CO48" s="302" t="n"/>
      <c r="CP48" s="302" t="n"/>
      <c r="CQ48" s="302" t="n"/>
      <c r="CR48" s="302" t="n"/>
      <c r="CS48" s="302" t="n"/>
      <c r="CT48" s="302" t="n"/>
    </row>
    <row r="49" ht="15" customHeight="1" s="131">
      <c r="B49" s="183" t="n"/>
      <c r="C49" s="183" t="n"/>
      <c r="D49" s="183" t="n"/>
      <c r="E49" s="183" t="n"/>
      <c r="F49" s="183" t="n"/>
      <c r="G49" s="183" t="n"/>
      <c r="H49" s="183" t="n"/>
      <c r="I49" s="183" t="n"/>
      <c r="J49" s="183" t="n"/>
      <c r="K49" s="302" t="n"/>
      <c r="L49" s="302" t="n"/>
      <c r="M49" s="302" t="n"/>
      <c r="N49" s="302" t="n"/>
      <c r="O49" s="343" t="n"/>
      <c r="P49" s="302" t="n"/>
      <c r="Q49" s="302" t="n"/>
      <c r="R49" s="302" t="n"/>
      <c r="S49" s="302" t="n"/>
      <c r="T49" s="302" t="n"/>
      <c r="U49" s="302" t="n"/>
      <c r="V49" s="302" t="n"/>
      <c r="W49" s="302" t="n"/>
      <c r="X49" s="302" t="n"/>
      <c r="Y49" s="302" t="n"/>
      <c r="Z49" s="302" t="n"/>
      <c r="AA49" s="353" t="n"/>
      <c r="AB49" s="302" t="n"/>
      <c r="AC49" s="302" t="n"/>
      <c r="AD49" s="343" t="n"/>
      <c r="AE49" s="343" t="n"/>
      <c r="AF49" s="343" t="n"/>
      <c r="AG49" s="343" t="n"/>
      <c r="AH49" s="343" t="n"/>
      <c r="AI49" s="343" t="n"/>
      <c r="AJ49" s="343" t="n"/>
      <c r="AK49" s="343" t="n"/>
      <c r="AL49" s="343" t="n"/>
      <c r="AM49" s="343" t="n"/>
      <c r="AN49" s="343" t="n"/>
      <c r="AO49" s="343" t="n"/>
      <c r="AP49" s="343" t="n"/>
      <c r="AQ49" s="343" t="n"/>
      <c r="AR49" s="343" t="n"/>
      <c r="AS49" s="343" t="n"/>
      <c r="AT49" s="343" t="n"/>
      <c r="AU49" s="343" t="n"/>
      <c r="AV49" s="343" t="n"/>
      <c r="AW49" s="343" t="n"/>
      <c r="AX49" s="343" t="n"/>
      <c r="AY49" s="302" t="n"/>
      <c r="AZ49" s="302" t="n"/>
      <c r="BA49" s="302" t="n"/>
      <c r="BB49" s="302" t="n"/>
      <c r="BC49" s="302" t="n"/>
      <c r="BD49" s="302" t="n"/>
      <c r="BE49" s="302" t="n"/>
      <c r="BF49" s="302" t="n"/>
      <c r="BG49" s="302" t="n"/>
      <c r="BH49" s="302" t="n"/>
      <c r="BI49" s="302" t="n"/>
      <c r="BJ49" s="302" t="n"/>
      <c r="BK49" s="302" t="n"/>
      <c r="BL49" s="302" t="n"/>
      <c r="BM49" s="302" t="n"/>
      <c r="BN49" s="302" t="n"/>
      <c r="BO49" s="302" t="n"/>
      <c r="BP49" s="302" t="n"/>
      <c r="BQ49" s="302" t="n"/>
      <c r="BR49" s="302" t="n"/>
      <c r="BS49" s="302" t="n"/>
      <c r="BT49" s="302" t="n"/>
      <c r="BU49" s="302" t="n"/>
      <c r="BV49" s="302" t="n"/>
      <c r="BW49" s="302" t="n"/>
      <c r="BX49" s="302" t="n"/>
      <c r="BY49" s="302" t="n"/>
      <c r="BZ49" s="302" t="n"/>
      <c r="CA49" s="302" t="n"/>
      <c r="CB49" s="302" t="n"/>
      <c r="CC49" s="302" t="n"/>
      <c r="CD49" s="302" t="n"/>
      <c r="CE49" s="302" t="n"/>
      <c r="CF49" s="302" t="n"/>
      <c r="CG49" s="302" t="n"/>
      <c r="CH49" s="302" t="n"/>
      <c r="CI49" s="302" t="n"/>
      <c r="CJ49" s="302" t="n"/>
      <c r="CK49" s="302" t="n"/>
      <c r="CL49" s="302" t="n"/>
      <c r="CM49" s="302" t="n"/>
      <c r="CN49" s="302" t="n"/>
      <c r="CO49" s="302" t="n"/>
      <c r="CP49" s="302" t="n"/>
      <c r="CQ49" s="302" t="n"/>
      <c r="CR49" s="302" t="n"/>
      <c r="CS49" s="302" t="n"/>
      <c r="CT49" s="302" t="n"/>
    </row>
  </sheetData>
  <mergeCells count="9">
    <mergeCell ref="B4:AB4"/>
    <mergeCell ref="B28:G28"/>
    <mergeCell ref="B22:G22"/>
    <mergeCell ref="B37:G37"/>
    <mergeCell ref="B23:G23"/>
    <mergeCell ref="B20:I20"/>
    <mergeCell ref="B2:AB2"/>
    <mergeCell ref="B3:AB3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W50"/>
  <sheetViews>
    <sheetView topLeftCell="A4" workbookViewId="0">
      <selection activeCell="B7" sqref="B7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JEFFERSON ARMS | GREEN = Affordable Comps | BLUE = Market Rate Comps</t>
        </is>
      </c>
      <c r="B3" s="363" t="n"/>
      <c r="AB3" s="363" t="n"/>
      <c r="AC3" s="136" t="n"/>
      <c r="AD3" s="136" t="n"/>
      <c r="AE3" s="136" t="n"/>
      <c r="AF3" s="136" t="n"/>
      <c r="AG3" s="136" t="n"/>
      <c r="AH3" s="136" t="n"/>
      <c r="AI3" s="136" t="n"/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Jefferson Arms | 1425 E. Clark Ave, Monticello, FL 32344 | 75 units | Program: Section 8/HUD | Bedroom Mix: 2BR / 3BR | County AMI: $92,300 | FMR Area: Jefferson County, FL</t>
        </is>
      </c>
      <c r="B4" s="363" t="n"/>
      <c r="AB4" s="363" t="n"/>
      <c r="AC4" s="136" t="n"/>
      <c r="AD4" s="136" t="n"/>
      <c r="AE4" s="136" t="n"/>
      <c r="AF4" s="136" t="n"/>
      <c r="AG4" s="136" t="n"/>
      <c r="AH4" s="136" t="n"/>
      <c r="AI4" s="136" t="n"/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B5" s="341" t="n"/>
      <c r="AC5" s="136" t="n"/>
      <c r="AD5" s="136" t="n"/>
      <c r="AE5" s="136" t="n"/>
      <c r="AF5" s="136" t="n"/>
      <c r="AG5" s="136" t="n"/>
      <c r="AH5" s="136" t="n"/>
      <c r="AI5" s="136" t="n"/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2BD 50% AMI ($)</t>
        </is>
      </c>
      <c r="J6" s="280" t="inlineStr">
        <is>
          <t>2BD 60% AMI ($)</t>
        </is>
      </c>
      <c r="K6" s="280" t="inlineStr">
        <is>
          <t>2BR FMR ($)</t>
        </is>
      </c>
      <c r="L6" s="335" t="inlineStr">
        <is>
          <t>2BR Actual ($)</t>
        </is>
      </c>
      <c r="M6" s="281" t="inlineStr">
        <is>
          <t>3BD 50% AMI ($)</t>
        </is>
      </c>
      <c r="N6" s="280" t="inlineStr">
        <is>
          <t>3BD 60% AMI ($)</t>
        </is>
      </c>
      <c r="O6" s="280" t="inlineStr">
        <is>
          <t>3BR FMR ($)</t>
        </is>
      </c>
      <c r="P6" s="335" t="inlineStr">
        <is>
          <t>3BR Actual ($)</t>
        </is>
      </c>
      <c r="Q6" s="281" t="inlineStr">
        <is>
          <t># Units</t>
        </is>
      </c>
      <c r="R6" s="280" t="inlineStr">
        <is>
          <t>Year Built</t>
        </is>
      </c>
      <c r="S6" s="280" t="inlineStr">
        <is>
          <t>Yr Diff</t>
        </is>
      </c>
      <c r="T6" s="339" t="inlineStr">
        <is>
          <t>Utilities Incl.</t>
        </is>
      </c>
      <c r="U6" s="339" t="inlineStr">
        <is>
          <t>Pet Friendly</t>
        </is>
      </c>
      <c r="V6" s="339" t="inlineStr">
        <is>
          <t>Gated</t>
        </is>
      </c>
      <c r="W6" s="339" t="inlineStr">
        <is>
          <t>Pool</t>
        </is>
      </c>
      <c r="X6" s="339" t="inlineStr">
        <is>
          <t>W/D In-Unit</t>
        </is>
      </c>
      <c r="Y6" s="339" t="inlineStr">
        <is>
          <t>Competition Level</t>
        </is>
      </c>
      <c r="Z6" s="336" t="inlineStr">
        <is>
          <t>Why Competitive</t>
        </is>
      </c>
      <c r="AA6" s="340" t="inlineStr">
        <is>
          <t>Data Source</t>
        </is>
      </c>
      <c r="AB6" s="342" t="n"/>
      <c r="AC6" s="136" t="n"/>
      <c r="AD6" s="136" t="n"/>
      <c r="AE6" s="136" t="n"/>
      <c r="AF6" s="136" t="n"/>
      <c r="AG6" s="136" t="n"/>
      <c r="AH6" s="136" t="n"/>
      <c r="AI6" s="136" t="n"/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Jefferson Arms (SUBJECT)</t>
        </is>
      </c>
      <c r="D7" s="174" t="inlineStr">
        <is>
          <t>1425 E. Clark Ave</t>
        </is>
      </c>
      <c r="E7" s="174" t="inlineStr">
        <is>
          <t>Monticello</t>
        </is>
      </c>
      <c r="F7" s="174" t="inlineStr">
        <is>
          <t>FL</t>
        </is>
      </c>
      <c r="G7" s="174" t="inlineStr">
        <is>
          <t>32344</t>
        </is>
      </c>
      <c r="H7" s="174" t="inlineStr">
        <is>
          <t>0.0 mi</t>
        </is>
      </c>
      <c r="I7" s="174" t="inlineStr">
        <is>
          <t>$3,462</t>
        </is>
      </c>
      <c r="J7" s="174" t="inlineStr">
        <is>
          <t>$4,155</t>
        </is>
      </c>
      <c r="K7" s="174" t="inlineStr">
        <is>
          <t>$1,210</t>
        </is>
      </c>
      <c r="L7" s="368">
        <f>B26</f>
        <v/>
      </c>
      <c r="M7" s="174" t="inlineStr">
        <is>
          <t>$3,845</t>
        </is>
      </c>
      <c r="N7" s="174" t="inlineStr">
        <is>
          <t>$4,615</t>
        </is>
      </c>
      <c r="O7" s="174" t="inlineStr">
        <is>
          <t>$1,540</t>
        </is>
      </c>
      <c r="P7" s="368">
        <f>B27</f>
        <v/>
      </c>
      <c r="Q7" s="174" t="inlineStr">
        <is>
          <t>75</t>
        </is>
      </c>
      <c r="R7" s="174" t="inlineStr">
        <is>
          <t>1971</t>
        </is>
      </c>
      <c r="S7" s="174" t="inlineStr">
        <is>
          <t>0</t>
        </is>
      </c>
      <c r="T7" s="174" t="inlineStr">
        <is>
          <t>Yes</t>
        </is>
      </c>
      <c r="U7" s="174" t="inlineStr">
        <is>
          <t>No</t>
        </is>
      </c>
      <c r="V7" s="174" t="inlineStr">
        <is>
          <t>No</t>
        </is>
      </c>
      <c r="W7" s="174" t="inlineStr">
        <is>
          <t>No</t>
        </is>
      </c>
      <c r="X7" s="174" t="inlineStr">
        <is>
          <t>No</t>
        </is>
      </c>
      <c r="Y7" s="42" t="inlineStr">
        <is>
          <t>SUBJECT</t>
        </is>
      </c>
      <c r="Z7" s="55" t="inlineStr">
        <is>
          <t>75 units | Section 8/HUD property. Year built: 1971. Subject property for market context.</t>
        </is>
      </c>
      <c r="AA7" s="40" t="inlineStr">
        <is>
          <t>Apartment Corp Records</t>
        </is>
      </c>
      <c r="AB7" s="136" t="n"/>
      <c r="AC7" s="136" t="n"/>
      <c r="AD7" s="136" t="n"/>
      <c r="AE7" s="136" t="n"/>
      <c r="AF7" s="136" t="n"/>
      <c r="AG7" s="136" t="n"/>
      <c r="AH7" s="136" t="n"/>
      <c r="AI7" s="136" t="n"/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Tallahassee Housing Authority - Frenchtown Apts</t>
        </is>
      </c>
      <c r="D8" s="59" t="inlineStr">
        <is>
          <t>600 Gamble St</t>
        </is>
      </c>
      <c r="E8" s="59" t="inlineStr">
        <is>
          <t>Tallahassee</t>
        </is>
      </c>
      <c r="F8" s="59" t="inlineStr">
        <is>
          <t>FL</t>
        </is>
      </c>
      <c r="G8" s="59" t="inlineStr">
        <is>
          <t>32304</t>
        </is>
      </c>
      <c r="H8" s="59" t="inlineStr">
        <is>
          <t>27.5 mi</t>
        </is>
      </c>
      <c r="I8" s="59" t="inlineStr">
        <is>
          <t>$3,462</t>
        </is>
      </c>
      <c r="J8" s="59" t="inlineStr">
        <is>
          <t>$4,155</t>
        </is>
      </c>
      <c r="K8" s="41" t="inlineStr">
        <is>
          <t>$1,210</t>
        </is>
      </c>
      <c r="L8" s="53" t="inlineStr">
        <is>
          <t>Not Listed</t>
        </is>
      </c>
      <c r="M8" s="43" t="inlineStr">
        <is>
          <t>$3,845</t>
        </is>
      </c>
      <c r="N8" s="43" t="inlineStr">
        <is>
          <t>$4,615</t>
        </is>
      </c>
      <c r="O8" s="41" t="inlineStr">
        <is>
          <t>$1,540</t>
        </is>
      </c>
      <c r="P8" s="53" t="inlineStr">
        <is>
          <t>Not Listed</t>
        </is>
      </c>
      <c r="Q8" s="43" t="inlineStr">
        <is>
          <t>80</t>
        </is>
      </c>
      <c r="R8" s="43" t="inlineStr">
        <is>
          <t>1971</t>
        </is>
      </c>
      <c r="S8" s="43" t="inlineStr">
        <is>
          <t>0</t>
        </is>
      </c>
      <c r="T8" s="43" t="inlineStr">
        <is>
          <t>Yes</t>
        </is>
      </c>
      <c r="U8" s="43" t="inlineStr">
        <is>
          <t>No</t>
        </is>
      </c>
      <c r="V8" s="43" t="inlineStr">
        <is>
          <t>No</t>
        </is>
      </c>
      <c r="W8" s="43" t="inlineStr">
        <is>
          <t>No</t>
        </is>
      </c>
      <c r="X8" s="43" t="inlineStr">
        <is>
          <t>No</t>
        </is>
      </c>
      <c r="Y8" s="44" t="inlineStr">
        <is>
          <t>MODERATE-HIGH</t>
        </is>
      </c>
      <c r="Z8" s="56" t="inlineStr">
        <is>
          <t>Affordable Comp #1: Section 8/HUD property, 1971 vintage (0 yr diff), 80 units, 27.5 mi from subject. Same income-eligible renter pool.</t>
        </is>
      </c>
      <c r="AA8" s="43" t="inlineStr">
        <is>
          <t>HUD Multifamily Assisted Housing</t>
        </is>
      </c>
      <c r="AB8" s="136" t="n"/>
      <c r="AC8" s="136" t="n"/>
      <c r="AD8" s="136" t="n"/>
      <c r="AE8" s="136" t="n"/>
      <c r="AF8" s="136" t="n"/>
      <c r="AG8" s="136" t="n"/>
      <c r="AH8" s="136" t="n"/>
      <c r="AI8" s="136" t="n"/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Quincy Manor Apartments</t>
        </is>
      </c>
      <c r="D9" s="125" t="inlineStr">
        <is>
          <t>200 N Madison St</t>
        </is>
      </c>
      <c r="E9" s="125" t="inlineStr">
        <is>
          <t>Quincy</t>
        </is>
      </c>
      <c r="F9" s="125" t="inlineStr">
        <is>
          <t>FL</t>
        </is>
      </c>
      <c r="G9" s="125" t="inlineStr">
        <is>
          <t>32351</t>
        </is>
      </c>
      <c r="H9" s="125" t="inlineStr">
        <is>
          <t>42.0 mi</t>
        </is>
      </c>
      <c r="I9" s="125" t="inlineStr">
        <is>
          <t>$3,462</t>
        </is>
      </c>
      <c r="J9" s="125" t="inlineStr">
        <is>
          <t>$4,155</t>
        </is>
      </c>
      <c r="K9" s="85" t="inlineStr">
        <is>
          <t>$1,210</t>
        </is>
      </c>
      <c r="L9" s="86" t="inlineStr">
        <is>
          <t>Not Listed</t>
        </is>
      </c>
      <c r="M9" s="128" t="inlineStr">
        <is>
          <t>$3,845</t>
        </is>
      </c>
      <c r="N9" s="128" t="inlineStr">
        <is>
          <t>$4,615</t>
        </is>
      </c>
      <c r="O9" s="85" t="inlineStr">
        <is>
          <t>$1,540</t>
        </is>
      </c>
      <c r="P9" s="86" t="inlineStr">
        <is>
          <t>Not Listed</t>
        </is>
      </c>
      <c r="Q9" s="128" t="inlineStr">
        <is>
          <t>72</t>
        </is>
      </c>
      <c r="R9" s="128" t="inlineStr">
        <is>
          <t>1973</t>
        </is>
      </c>
      <c r="S9" s="128" t="inlineStr">
        <is>
          <t>2</t>
        </is>
      </c>
      <c r="T9" s="128" t="inlineStr">
        <is>
          <t>Yes</t>
        </is>
      </c>
      <c r="U9" s="128" t="inlineStr">
        <is>
          <t>No</t>
        </is>
      </c>
      <c r="V9" s="128" t="inlineStr">
        <is>
          <t>No</t>
        </is>
      </c>
      <c r="W9" s="128" t="inlineStr">
        <is>
          <t>No</t>
        </is>
      </c>
      <c r="X9" s="128" t="inlineStr">
        <is>
          <t>No</t>
        </is>
      </c>
      <c r="Y9" s="129" t="inlineStr">
        <is>
          <t>MODERATE</t>
        </is>
      </c>
      <c r="Z9" s="130" t="inlineStr">
        <is>
          <t>Affordable Comp #2: Section 8/HUD property, 1973 vintage (2 yr diff), 72 units, 42.0 mi from subject. Same income-eligible renter pool.</t>
        </is>
      </c>
      <c r="AA9" s="128" t="inlineStr">
        <is>
          <t>HUD Multifamily Assisted Housing</t>
        </is>
      </c>
      <c r="AB9" s="136" t="n"/>
      <c r="AC9" s="136" t="n"/>
      <c r="AD9" s="136" t="n"/>
      <c r="AE9" s="136" t="n"/>
      <c r="AF9" s="136" t="n"/>
      <c r="AG9" s="136" t="n"/>
      <c r="AH9" s="136" t="n"/>
      <c r="AI9" s="136" t="n"/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Madison County Housing Authority</t>
        </is>
      </c>
      <c r="D10" s="107" t="inlineStr">
        <is>
          <t>100 SW Rutledge St</t>
        </is>
      </c>
      <c r="E10" s="107" t="inlineStr">
        <is>
          <t>Madison</t>
        </is>
      </c>
      <c r="F10" s="107" t="inlineStr">
        <is>
          <t>FL</t>
        </is>
      </c>
      <c r="G10" s="107" t="inlineStr">
        <is>
          <t>32340</t>
        </is>
      </c>
      <c r="H10" s="107" t="inlineStr">
        <is>
          <t>33.0 mi</t>
        </is>
      </c>
      <c r="I10" s="107" t="inlineStr">
        <is>
          <t>$3,462</t>
        </is>
      </c>
      <c r="J10" s="107" t="inlineStr">
        <is>
          <t>$4,155</t>
        </is>
      </c>
      <c r="K10" s="80" t="inlineStr">
        <is>
          <t>$1,210</t>
        </is>
      </c>
      <c r="L10" s="81" t="inlineStr">
        <is>
          <t>Not Listed</t>
        </is>
      </c>
      <c r="M10" s="108" t="inlineStr">
        <is>
          <t>$3,845</t>
        </is>
      </c>
      <c r="N10" s="108" t="inlineStr">
        <is>
          <t>$4,615</t>
        </is>
      </c>
      <c r="O10" s="80" t="inlineStr">
        <is>
          <t>$1,540</t>
        </is>
      </c>
      <c r="P10" s="81" t="inlineStr">
        <is>
          <t>Not Listed</t>
        </is>
      </c>
      <c r="Q10" s="108" t="inlineStr">
        <is>
          <t>68</t>
        </is>
      </c>
      <c r="R10" s="108" t="inlineStr">
        <is>
          <t>1970</t>
        </is>
      </c>
      <c r="S10" s="108" t="inlineStr">
        <is>
          <t>1</t>
        </is>
      </c>
      <c r="T10" s="108" t="inlineStr">
        <is>
          <t>Yes</t>
        </is>
      </c>
      <c r="U10" s="108" t="inlineStr">
        <is>
          <t>No</t>
        </is>
      </c>
      <c r="V10" s="108" t="inlineStr">
        <is>
          <t>No</t>
        </is>
      </c>
      <c r="W10" s="108" t="inlineStr">
        <is>
          <t>No</t>
        </is>
      </c>
      <c r="X10" s="108" t="inlineStr">
        <is>
          <t>No</t>
        </is>
      </c>
      <c r="Y10" s="109" t="inlineStr">
        <is>
          <t>MODERATE</t>
        </is>
      </c>
      <c r="Z10" s="110" t="inlineStr">
        <is>
          <t>Affordable Comp #3: Public Housing/HUD property, 1970 vintage (1 yr diff), 68 units, 33.0 mi from subject. Same income-eligible renter pool.</t>
        </is>
      </c>
      <c r="AA10" s="111" t="inlineStr">
        <is>
          <t>Madison County Housing Authority</t>
        </is>
      </c>
      <c r="AB10" s="134" t="n"/>
      <c r="AC10" s="136" t="n"/>
      <c r="AD10" s="136" t="n"/>
      <c r="AE10" s="136" t="n"/>
      <c r="AF10" s="136" t="n"/>
      <c r="AG10" s="136" t="n"/>
      <c r="AH10" s="136" t="n"/>
      <c r="AI10" s="136" t="n"/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Tallahassee Housing Authority - Bond Homes</t>
        </is>
      </c>
      <c r="D11" s="95" t="inlineStr">
        <is>
          <t>1400 S Bronough St</t>
        </is>
      </c>
      <c r="E11" s="95" t="inlineStr">
        <is>
          <t>Tallahassee</t>
        </is>
      </c>
      <c r="F11" s="95" t="inlineStr">
        <is>
          <t>FL</t>
        </is>
      </c>
      <c r="G11" s="95" t="inlineStr">
        <is>
          <t>32301</t>
        </is>
      </c>
      <c r="H11" s="95" t="inlineStr">
        <is>
          <t>27.5 mi</t>
        </is>
      </c>
      <c r="I11" s="95" t="inlineStr">
        <is>
          <t>$3,462</t>
        </is>
      </c>
      <c r="J11" s="95" t="inlineStr">
        <is>
          <t>$4,155</t>
        </is>
      </c>
      <c r="K11" s="39" t="inlineStr">
        <is>
          <t>$1,210</t>
        </is>
      </c>
      <c r="L11" s="53" t="inlineStr">
        <is>
          <t>Not Listed</t>
        </is>
      </c>
      <c r="M11" s="96" t="inlineStr">
        <is>
          <t>$3,845</t>
        </is>
      </c>
      <c r="N11" s="96" t="inlineStr">
        <is>
          <t>$4,615</t>
        </is>
      </c>
      <c r="O11" s="39" t="inlineStr">
        <is>
          <t>$1,540</t>
        </is>
      </c>
      <c r="P11" s="53" t="inlineStr">
        <is>
          <t>Not Listed</t>
        </is>
      </c>
      <c r="Q11" s="96" t="inlineStr">
        <is>
          <t>76</t>
        </is>
      </c>
      <c r="R11" s="96" t="inlineStr">
        <is>
          <t>1972</t>
        </is>
      </c>
      <c r="S11" s="96" t="inlineStr">
        <is>
          <t>1</t>
        </is>
      </c>
      <c r="T11" s="96" t="inlineStr">
        <is>
          <t>Yes</t>
        </is>
      </c>
      <c r="U11" s="96" t="inlineStr">
        <is>
          <t>No</t>
        </is>
      </c>
      <c r="V11" s="96" t="inlineStr">
        <is>
          <t>No</t>
        </is>
      </c>
      <c r="W11" s="96" t="inlineStr">
        <is>
          <t>No</t>
        </is>
      </c>
      <c r="X11" s="96" t="inlineStr">
        <is>
          <t>No</t>
        </is>
      </c>
      <c r="Y11" s="45" t="inlineStr">
        <is>
          <t>MODERATE-HIGH</t>
        </is>
      </c>
      <c r="Z11" s="97" t="inlineStr">
        <is>
          <t>Affordable Comp #4: Public Housing/HUD property, 1972 vintage (1 yr diff), 76 units, 27.5 mi from subject. Same income-eligible renter pool.</t>
        </is>
      </c>
      <c r="AA11" s="113" t="inlineStr">
        <is>
          <t>Tallahassee Housing Authority</t>
        </is>
      </c>
      <c r="AB11" s="134" t="n"/>
      <c r="AC11" s="136" t="n"/>
      <c r="AD11" s="136" t="n"/>
      <c r="AE11" s="136" t="n"/>
      <c r="AF11" s="136" t="n"/>
      <c r="AG11" s="136" t="n"/>
      <c r="AH11" s="136" t="n"/>
      <c r="AI11" s="136" t="n"/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37.5" customHeight="1" s="131">
      <c r="A12" s="114" t="inlineStr">
        <is>
          <t>1</t>
        </is>
      </c>
      <c r="B12" s="70" t="inlineStr">
        <is>
          <t>MARKET RATE</t>
        </is>
      </c>
      <c r="C12" s="67" t="inlineStr">
        <is>
          <t>Ochlockonee Pointe Apartments</t>
        </is>
      </c>
      <c r="D12" s="98" t="inlineStr">
        <is>
          <t>33870 Blue Star Hwy, Midway, FL 32343</t>
        </is>
      </c>
      <c r="E12" s="98" t="inlineStr">
        <is>
          <t>Midway</t>
        </is>
      </c>
      <c r="F12" s="98" t="inlineStr">
        <is>
          <t>FL</t>
        </is>
      </c>
      <c r="G12" s="98" t="inlineStr">
        <is>
          <t>32343</t>
        </is>
      </c>
      <c r="H12" s="98" t="inlineStr">
        <is>
          <t>32.0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$1,210</t>
        </is>
      </c>
      <c r="L12" s="53" t="inlineStr">
        <is>
          <t>$970</t>
        </is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$1,540</t>
        </is>
      </c>
      <c r="P12" s="53" t="inlineStr">
        <is>
          <t>$1,150</t>
        </is>
      </c>
      <c r="Q12" s="99" t="n">
        <v>96</v>
      </c>
      <c r="R12" s="99" t="n">
        <v>2007</v>
      </c>
      <c r="S12" s="99" t="n">
        <v>36</v>
      </c>
      <c r="T12" s="99" t="inlineStr">
        <is>
          <t>Partial</t>
        </is>
      </c>
      <c r="U12" s="99" t="inlineStr">
        <is>
          <t>Yes</t>
        </is>
      </c>
      <c r="V12" s="99" t="inlineStr">
        <is>
          <t>No</t>
        </is>
      </c>
      <c r="W12" s="99" t="inlineStr">
        <is>
          <t>Yes</t>
        </is>
      </c>
      <c r="X12" s="99" t="inlineStr">
        <is>
          <t>No</t>
        </is>
      </c>
      <c r="Y12" s="46" t="inlineStr">
        <is>
          <t>MODERATE</t>
        </is>
      </c>
      <c r="Z12" s="100" t="inlineStr">
        <is>
          <t>Market Rate Comp #1: No income restrictions, 2007 vintage (36 yr diff), 96 units, 32.0 mi from subject in Midway FL (Gadsden County). Closest market-rate complex to Monticello. 2BD $970 / 3BD $1,150.</t>
        </is>
      </c>
      <c r="AA12" s="115" t="inlineStr">
        <is>
          <t>https://www.apartments.com/ochlockonee-pointe-apartments-midway-fl/</t>
        </is>
      </c>
      <c r="AB12" s="134" t="n"/>
      <c r="AC12" s="136" t="n"/>
      <c r="AD12" s="136" t="n"/>
      <c r="AE12" s="136" t="n"/>
      <c r="AF12" s="136" t="n"/>
      <c r="AG12" s="136" t="n"/>
      <c r="AH12" s="136" t="n"/>
      <c r="AI12" s="136" t="n"/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inlineStr">
        <is>
          <t>2</t>
        </is>
      </c>
      <c r="B13" s="71" t="inlineStr">
        <is>
          <t>MARKET RATE</t>
        </is>
      </c>
      <c r="C13" s="68" t="inlineStr">
        <is>
          <t>Blairstone Apartment Homes</t>
        </is>
      </c>
      <c r="D13" s="101" t="inlineStr">
        <is>
          <t>501 Blairstone Rd, Tallahassee, FL 32301</t>
        </is>
      </c>
      <c r="E13" s="101" t="inlineStr">
        <is>
          <t>Tallahassee</t>
        </is>
      </c>
      <c r="F13" s="101" t="inlineStr">
        <is>
          <t>FL</t>
        </is>
      </c>
      <c r="G13" s="101" t="inlineStr">
        <is>
          <t>32301</t>
        </is>
      </c>
      <c r="H13" s="101" t="inlineStr">
        <is>
          <t>27.0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$1,210</t>
        </is>
      </c>
      <c r="L13" s="53" t="inlineStr">
        <is>
          <t>$1,410</t>
        </is>
      </c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$1,540</t>
        </is>
      </c>
      <c r="P13" s="53" t="inlineStr">
        <is>
          <t>$1,560</t>
        </is>
      </c>
      <c r="Q13" s="102" t="n">
        <v>376</v>
      </c>
      <c r="R13" s="102" t="n">
        <v>1988</v>
      </c>
      <c r="S13" s="102" t="n">
        <v>17</v>
      </c>
      <c r="T13" s="102" t="inlineStr">
        <is>
          <t>No</t>
        </is>
      </c>
      <c r="U13" s="102" t="inlineStr">
        <is>
          <t>Yes</t>
        </is>
      </c>
      <c r="V13" s="102" t="inlineStr">
        <is>
          <t>No</t>
        </is>
      </c>
      <c r="W13" s="102" t="inlineStr">
        <is>
          <t>Yes</t>
        </is>
      </c>
      <c r="X13" s="102" t="inlineStr">
        <is>
          <t>Yes</t>
        </is>
      </c>
      <c r="Y13" s="47" t="inlineStr">
        <is>
          <t>MODERATE</t>
        </is>
      </c>
      <c r="Z13" s="103" t="inlineStr">
        <is>
          <t>Market Rate Comp #2: No income restrictions, 1988 vintage (17 yr diff), 376 units, 27.0 mi from subject in Tallahassee (Leon County). 2BD $1,410 / 3BD $1,560.</t>
        </is>
      </c>
      <c r="AA13" s="117" t="inlineStr">
        <is>
          <t>https://www.apartments.com/blairstone-apartment-homes-tallahassee-fl/</t>
        </is>
      </c>
      <c r="AB13" s="134" t="n"/>
      <c r="AC13" s="136" t="n"/>
      <c r="AD13" s="136" t="n"/>
      <c r="AE13" s="136" t="n"/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inlineStr">
        <is>
          <t>3</t>
        </is>
      </c>
      <c r="B14" s="69" t="inlineStr">
        <is>
          <t>MARKET RATE</t>
        </is>
      </c>
      <c r="C14" s="66" t="inlineStr">
        <is>
          <t>Arbor Landing at Lake Jackson</t>
        </is>
      </c>
      <c r="D14" s="95" t="inlineStr">
        <is>
          <t>4910 N Monroe St, Tallahassee, FL 32303</t>
        </is>
      </c>
      <c r="E14" s="95" t="inlineStr">
        <is>
          <t>Tallahassee</t>
        </is>
      </c>
      <c r="F14" s="95" t="inlineStr">
        <is>
          <t>FL</t>
        </is>
      </c>
      <c r="G14" s="95" t="inlineStr">
        <is>
          <t>32303</t>
        </is>
      </c>
      <c r="H14" s="95" t="inlineStr">
        <is>
          <t>30.0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$1,210</t>
        </is>
      </c>
      <c r="L14" s="53" t="inlineStr">
        <is>
          <t>$1,599</t>
        </is>
      </c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$1,540</t>
        </is>
      </c>
      <c r="P14" s="53" t="inlineStr">
        <is>
          <t>$1,699</t>
        </is>
      </c>
      <c r="Q14" s="96" t="n">
        <v>312</v>
      </c>
      <c r="R14" s="96" t="n">
        <v>2013</v>
      </c>
      <c r="S14" s="96" t="n">
        <v>42</v>
      </c>
      <c r="T14" s="96" t="inlineStr">
        <is>
          <t>No</t>
        </is>
      </c>
      <c r="U14" s="96" t="inlineStr">
        <is>
          <t>Yes</t>
        </is>
      </c>
      <c r="V14" s="96" t="inlineStr">
        <is>
          <t>No</t>
        </is>
      </c>
      <c r="W14" s="96" t="inlineStr">
        <is>
          <t>Yes</t>
        </is>
      </c>
      <c r="X14" s="96" t="inlineStr">
        <is>
          <t>Yes</t>
        </is>
      </c>
      <c r="Y14" s="45" t="inlineStr">
        <is>
          <t>MODERATE</t>
        </is>
      </c>
      <c r="Z14" s="97" t="inlineStr">
        <is>
          <t>Market Rate Comp #3: No income restrictions, 2013 vintage (42 yr diff), 312 units, 30.0 mi from subject in Tallahassee (Lake Jackson neighborhood). 2BD $1,599 / 3BD $1,699.</t>
        </is>
      </c>
      <c r="AA14" s="113" t="inlineStr">
        <is>
          <t>https://www.apartments.com/arbor-landing-at-lake-jackson-tallahassee-fl/</t>
        </is>
      </c>
      <c r="AB14" s="134" t="n"/>
      <c r="AC14" s="136" t="n"/>
      <c r="AD14" s="136" t="n"/>
      <c r="AE14" s="136" t="n"/>
      <c r="AF14" s="136" t="n"/>
      <c r="AG14" s="136" t="n"/>
      <c r="AH14" s="136" t="n"/>
      <c r="AI14" s="136" t="n"/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inlineStr">
        <is>
          <t>4</t>
        </is>
      </c>
      <c r="B15" s="69" t="inlineStr">
        <is>
          <t>MARKET RATE</t>
        </is>
      </c>
      <c r="C15" s="66" t="inlineStr">
        <is>
          <t>Jefferson Pines</t>
        </is>
      </c>
      <c r="D15" s="95" t="inlineStr">
        <is>
          <t>24 Parkway Pines Ct, Monticello, FL 32344</t>
        </is>
      </c>
      <c r="E15" s="95" t="inlineStr">
        <is>
          <t>Monticello</t>
        </is>
      </c>
      <c r="F15" s="95" t="inlineStr">
        <is>
          <t>FL</t>
        </is>
      </c>
      <c r="G15" s="95" t="inlineStr">
        <is>
          <t>32344</t>
        </is>
      </c>
      <c r="H15" s="95" t="inlineStr">
        <is>
          <t>1.0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$1,210</t>
        </is>
      </c>
      <c r="L15" s="53" t="inlineStr">
        <is>
          <t>N/A</t>
        </is>
      </c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$1,540</t>
        </is>
      </c>
      <c r="P15" s="53" t="inlineStr">
        <is>
          <t>$1,299</t>
        </is>
      </c>
      <c r="Q15" s="96" t="n">
        <v>67</v>
      </c>
      <c r="R15" s="96" t="n">
        <v>1998</v>
      </c>
      <c r="S15" s="96" t="n">
        <v>27</v>
      </c>
      <c r="T15" s="96" t="inlineStr">
        <is>
          <t>No</t>
        </is>
      </c>
      <c r="U15" s="96" t="inlineStr">
        <is>
          <t>No</t>
        </is>
      </c>
      <c r="V15" s="96" t="inlineStr">
        <is>
          <t>No</t>
        </is>
      </c>
      <c r="W15" s="96" t="inlineStr">
        <is>
          <t>No</t>
        </is>
      </c>
      <c r="X15" s="96" t="inlineStr">
        <is>
          <t>No</t>
        </is>
      </c>
      <c r="Y15" s="45" t="inlineStr">
        <is>
          <t>HIGH</t>
        </is>
      </c>
      <c r="Z15" s="97" t="inlineStr">
        <is>
          <t>Market Rate Comp #4: No income restrictions, 1998 vintage (27 yr diff), 67 manufactured homes, 1.0 mi from subject in Monticello FL 32344. Only 3BD units available at $1,299/mo. Closest comp to subject by distance.</t>
        </is>
      </c>
      <c r="AA15" s="113" t="inlineStr">
        <is>
          <t>https://www.apartments.com/jefferson-pines-monticello-fl/</t>
        </is>
      </c>
      <c r="AB15" s="134" t="n"/>
      <c r="AC15" s="136" t="n"/>
      <c r="AD15" s="136" t="n"/>
      <c r="AE15" s="136" t="n"/>
      <c r="AF15" s="136" t="n"/>
      <c r="AG15" s="136" t="n"/>
      <c r="AH15" s="136" t="n"/>
      <c r="AI15" s="136" t="n"/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inlineStr">
        <is>
          <t>5</t>
        </is>
      </c>
      <c r="B16" s="82" t="inlineStr">
        <is>
          <t>MARKET RATE</t>
        </is>
      </c>
      <c r="C16" s="119" t="inlineStr">
        <is>
          <t>Arbor Station Apartments</t>
        </is>
      </c>
      <c r="D16" s="120" t="inlineStr">
        <is>
          <t>619 Arbor Station Ln, Tallahassee, FL 32312</t>
        </is>
      </c>
      <c r="E16" s="120" t="inlineStr">
        <is>
          <t>Tallahassee</t>
        </is>
      </c>
      <c r="F16" s="120" t="inlineStr">
        <is>
          <t>FL</t>
        </is>
      </c>
      <c r="G16" s="120" t="inlineStr">
        <is>
          <t>32312</t>
        </is>
      </c>
      <c r="H16" s="120" t="inlineStr">
        <is>
          <t>28.0 mi</t>
        </is>
      </c>
      <c r="I16" s="120" t="inlineStr">
        <is>
          <t>N/A (Market Rate)</t>
        </is>
      </c>
      <c r="J16" s="120" t="inlineStr">
        <is>
          <t>N/A (Market Rate)</t>
        </is>
      </c>
      <c r="K16" s="121" t="inlineStr">
        <is>
          <t>$1,210</t>
        </is>
      </c>
      <c r="L16" s="83" t="inlineStr">
        <is>
          <t>$1,539</t>
        </is>
      </c>
      <c r="M16" s="122" t="inlineStr">
        <is>
          <t>N/A (Market Rate)</t>
        </is>
      </c>
      <c r="N16" s="122" t="inlineStr">
        <is>
          <t>N/A (Market Rate)</t>
        </is>
      </c>
      <c r="O16" s="121" t="inlineStr">
        <is>
          <t>$1,540</t>
        </is>
      </c>
      <c r="P16" s="83" t="inlineStr">
        <is>
          <t>$1,659</t>
        </is>
      </c>
      <c r="Q16" s="122" t="n">
        <v>252</v>
      </c>
      <c r="R16" s="122" t="n">
        <v>1990</v>
      </c>
      <c r="S16" s="122" t="n">
        <v>19</v>
      </c>
      <c r="T16" s="122" t="inlineStr">
        <is>
          <t>No</t>
        </is>
      </c>
      <c r="U16" s="122" t="inlineStr">
        <is>
          <t>Yes</t>
        </is>
      </c>
      <c r="V16" s="122" t="inlineStr">
        <is>
          <t>No</t>
        </is>
      </c>
      <c r="W16" s="122" t="inlineStr">
        <is>
          <t>Yes</t>
        </is>
      </c>
      <c r="X16" s="122" t="inlineStr">
        <is>
          <t>Yes</t>
        </is>
      </c>
      <c r="Y16" s="84" t="inlineStr">
        <is>
          <t>MODERATE-HIGH</t>
        </is>
      </c>
      <c r="Z16" s="123" t="inlineStr">
        <is>
          <t>Market Rate Comp #5: No income restrictions, 1990 vintage (19 yr diff), 252 units, 28.0 mi from subject in Tallahassee FL 32312. Managed by Arbor Properties. 2BD $1,539 / 3BD $1,659.</t>
        </is>
      </c>
      <c r="AA16" s="124" t="inlineStr">
        <is>
          <t>https://www.apartments.com/arbor-station-apartments-tallahassee-fl/97761w7/</t>
        </is>
      </c>
      <c r="AB16" s="134" t="n"/>
      <c r="AC16" s="136" t="n"/>
      <c r="AD16" s="136" t="n"/>
      <c r="AE16" s="136" t="n"/>
      <c r="AF16" s="136" t="n"/>
      <c r="AG16" s="136" t="n"/>
      <c r="AH16" s="136" t="n"/>
      <c r="AI16" s="136" t="n"/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inlineStr">
        <is>
          <t>6</t>
        </is>
      </c>
      <c r="B17" s="88" t="inlineStr">
        <is>
          <t>MARKET RATE</t>
        </is>
      </c>
      <c r="C17" s="89" t="inlineStr">
        <is>
          <t>Capital Place at Southwood</t>
        </is>
      </c>
      <c r="D17" s="87" t="inlineStr">
        <is>
          <t>2300 Bluff Oak Way, Tallahassee, FL 32311</t>
        </is>
      </c>
      <c r="E17" s="87" t="inlineStr">
        <is>
          <t>Tallahassee</t>
        </is>
      </c>
      <c r="F17" s="87" t="inlineStr">
        <is>
          <t>FL</t>
        </is>
      </c>
      <c r="G17" s="87" t="inlineStr">
        <is>
          <t>32311</t>
        </is>
      </c>
      <c r="H17" s="87" t="inlineStr">
        <is>
          <t>30.0 mi</t>
        </is>
      </c>
      <c r="I17" s="87" t="inlineStr">
        <is>
          <t>N/A (Market Rate)</t>
        </is>
      </c>
      <c r="J17" s="87" t="inlineStr">
        <is>
          <t>N/A (Market Rate)</t>
        </is>
      </c>
      <c r="K17" s="90" t="inlineStr">
        <is>
          <t>$1,210</t>
        </is>
      </c>
      <c r="L17" s="91" t="inlineStr">
        <is>
          <t>N/A</t>
        </is>
      </c>
      <c r="M17" s="92" t="inlineStr">
        <is>
          <t>N/A (Market Rate)</t>
        </is>
      </c>
      <c r="N17" s="92" t="inlineStr">
        <is>
          <t>N/A (Market Rate)</t>
        </is>
      </c>
      <c r="O17" s="90" t="inlineStr">
        <is>
          <t>$1,540</t>
        </is>
      </c>
      <c r="P17" s="91" t="inlineStr">
        <is>
          <t>$1,675</t>
        </is>
      </c>
      <c r="Q17" s="92" t="n">
        <v>288</v>
      </c>
      <c r="R17" s="92" t="n">
        <v>2013</v>
      </c>
      <c r="S17" s="92" t="n">
        <v>42</v>
      </c>
      <c r="T17" s="92" t="inlineStr">
        <is>
          <t>No</t>
        </is>
      </c>
      <c r="U17" s="92" t="inlineStr">
        <is>
          <t>Yes</t>
        </is>
      </c>
      <c r="V17" s="92" t="inlineStr">
        <is>
          <t>Yes</t>
        </is>
      </c>
      <c r="W17" s="92" t="inlineStr">
        <is>
          <t>Yes</t>
        </is>
      </c>
      <c r="X17" s="92" t="inlineStr">
        <is>
          <t>Yes</t>
        </is>
      </c>
      <c r="Y17" s="93" t="inlineStr">
        <is>
          <t>MODERATE-HIGH</t>
        </is>
      </c>
      <c r="Z17" s="94" t="inlineStr">
        <is>
          <t>Market Rate Comp #6: No income restrictions, 2013 vintage (42 yr diff), 288 units, 30.0 mi from subject in Southwood Tallahassee FL 32311. Managed by Greystar. 2BD N/A (unavailable) / 3BD $1,675.</t>
        </is>
      </c>
      <c r="AA17" s="92" t="inlineStr">
        <is>
          <t>https://www.apartments.com/capital-place-at-southwood-tallahassee-fl/tmn7gk8/</t>
        </is>
      </c>
      <c r="AB17" s="136" t="n"/>
      <c r="AC17" s="136" t="n"/>
      <c r="AD17" s="136" t="n"/>
      <c r="AE17" s="136" t="n"/>
      <c r="AF17" s="136" t="n"/>
      <c r="AG17" s="136" t="n"/>
      <c r="AH17" s="136" t="n"/>
      <c r="AI17" s="136" t="n"/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inlineStr">
        <is>
          <t>—</t>
        </is>
      </c>
      <c r="B18" s="62" t="inlineStr">
        <is>
          <t>BENCHMARK</t>
        </is>
      </c>
      <c r="C18" s="65" t="inlineStr">
        <is>
          <t>FY2026 FMR — Jefferson County, FL</t>
        </is>
      </c>
      <c r="D18" s="60" t="inlineStr">
        <is>
          <t>N/A</t>
        </is>
      </c>
      <c r="E18" s="60" t="inlineStr">
        <is>
          <t>Monticello</t>
        </is>
      </c>
      <c r="F18" s="60" t="inlineStr">
        <is>
          <t>FL</t>
        </is>
      </c>
      <c r="G18" s="60" t="inlineStr">
        <is>
          <t>N/A</t>
        </is>
      </c>
      <c r="H18" s="60" t="inlineStr">
        <is>
          <t>N/A</t>
        </is>
      </c>
      <c r="I18" s="60" t="inlineStr">
        <is>
          <t>$1,210</t>
        </is>
      </c>
      <c r="J18" s="60" t="inlineStr">
        <is>
          <t>$1,210</t>
        </is>
      </c>
      <c r="K18" s="41" t="inlineStr">
        <is>
          <t>$1,210</t>
        </is>
      </c>
      <c r="L18" s="53" t="inlineStr">
        <is>
          <t>N/A</t>
        </is>
      </c>
      <c r="M18" s="48" t="inlineStr">
        <is>
          <t>$1,540</t>
        </is>
      </c>
      <c r="N18" s="48" t="inlineStr">
        <is>
          <t>$1,540</t>
        </is>
      </c>
      <c r="O18" s="41" t="inlineStr">
        <is>
          <t>$1,540</t>
        </is>
      </c>
      <c r="P18" s="53" t="inlineStr">
        <is>
          <t>N/A</t>
        </is>
      </c>
      <c r="Q18" s="48" t="inlineStr">
        <is>
          <t>N/A</t>
        </is>
      </c>
      <c r="R18" s="48" t="inlineStr">
        <is>
          <t>N/A</t>
        </is>
      </c>
      <c r="S18" s="48" t="inlineStr">
        <is>
          <t>N/A</t>
        </is>
      </c>
      <c r="T18" s="48" t="inlineStr">
        <is>
          <t>N/A</t>
        </is>
      </c>
      <c r="U18" s="48" t="inlineStr">
        <is>
          <t>N/A</t>
        </is>
      </c>
      <c r="V18" s="48" t="inlineStr">
        <is>
          <t>N/A</t>
        </is>
      </c>
      <c r="W18" s="48" t="inlineStr">
        <is>
          <t>N/A</t>
        </is>
      </c>
      <c r="X18" s="48" t="inlineStr">
        <is>
          <t>N/A</t>
        </is>
      </c>
      <c r="Y18" s="49" t="inlineStr">
        <is>
          <t>BENCHMARK</t>
        </is>
      </c>
      <c r="Z18" s="57" t="inlineStr">
        <is>
          <t>BENCHMARK — HUD Fair Market Rent (FMR) for Jefferson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8" s="48" t="inlineStr">
        <is>
          <t>HUD FMR Database (huduser.gov)</t>
        </is>
      </c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inlineStr">
        <is>
          <t>$1,380</t>
        </is>
      </c>
      <c r="M19" s="302" t="inlineStr">
        <is>
          <t>$1,507</t>
        </is>
      </c>
      <c r="N19" s="302" t="inlineStr">
        <is>
          <t>$1,507</t>
        </is>
      </c>
      <c r="O19" s="343" t="inlineStr">
        <is>
          <t>$1,507</t>
        </is>
      </c>
      <c r="P19" s="302" t="inlineStr">
        <is>
          <t>$1,507</t>
        </is>
      </c>
      <c r="Q19" s="302" t="inlineStr">
        <is>
          <t>N/A</t>
        </is>
      </c>
      <c r="R19" s="302" t="inlineStr">
        <is>
          <t>N/A</t>
        </is>
      </c>
      <c r="S19" s="302" t="inlineStr">
        <is>
          <t>N/A</t>
        </is>
      </c>
      <c r="T19" s="302" t="inlineStr">
        <is>
          <t>N/A</t>
        </is>
      </c>
      <c r="U19" s="302" t="inlineStr">
        <is>
          <t>N/A</t>
        </is>
      </c>
      <c r="V19" s="302" t="inlineStr">
        <is>
          <t>N/A</t>
        </is>
      </c>
      <c r="W19" s="302" t="inlineStr">
        <is>
          <t>N/A</t>
        </is>
      </c>
      <c r="X19" s="302" t="inlineStr">
        <is>
          <t>N/A</t>
        </is>
      </c>
      <c r="Y19" s="302" t="inlineStr">
        <is>
          <t>BENCHMARK</t>
        </is>
      </c>
      <c r="Z19" s="302" t="inlineStr">
        <is>
          <t>BENCHMARK — Live Market Average for Monticello/Tallahassee metro, calculated from 6 market-rate comps as of Apr 30, 2026. 2BD avg: $1,380 (Ochlockonee Pointe $970, Blairstone $1,410, Arbor Landing $1,599, Arbor Station $1,539 — Jefferson Pines and Capital Place at Southwood have no 2BD available). 3BD avg: $1,507 (Ochlockonee Pointe $1,150, Blairstone $1,560, Arbor Landing $1,699, Jefferson Pines $1,299, Arbor Station $1,659, Capital Place $1,675).</t>
        </is>
      </c>
      <c r="AA19" s="353" t="inlineStr">
        <is>
          <t>Apartments.com live data, Apr 30, 2026</t>
        </is>
      </c>
      <c r="AB19" s="302" t="n"/>
      <c r="AC19" s="136" t="n"/>
      <c r="AD19" s="136" t="n"/>
      <c r="AE19" s="136" t="n"/>
      <c r="AF19" s="136" t="n"/>
      <c r="AG19" s="136" t="n"/>
      <c r="AH19" s="136" t="n"/>
      <c r="AI19" s="136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Format="1" customHeight="1" s="2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Format="1" customHeight="1" s="2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Format="1" customHeight="1" s="2">
      <c r="A25" s="372" t="n"/>
      <c r="B25" s="201" t="inlineStr">
        <is>
          <t>2BD</t>
        </is>
      </c>
      <c r="C25" s="194" t="n"/>
      <c r="D25" s="200" t="n">
        <v>1380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Format="1" customHeight="1" s="2">
      <c r="A26" s="372" t="n"/>
      <c r="B26" s="201" t="inlineStr">
        <is>
          <t>3BD</t>
        </is>
      </c>
      <c r="C26" s="194" t="n"/>
      <c r="D26" s="200" t="n">
        <v>1507</v>
      </c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8.1" customFormat="1" customHeight="1" s="2">
      <c r="A27" s="369" t="n"/>
      <c r="B27" s="381" t="n"/>
      <c r="C27" s="381" t="n"/>
      <c r="D27" s="381" t="n"/>
      <c r="E27" s="369" t="n"/>
      <c r="F27" s="369" t="n"/>
      <c r="G27" s="369" t="n"/>
      <c r="H27" s="369" t="n"/>
      <c r="I27" s="369" t="n"/>
      <c r="J27" s="369" t="n"/>
      <c r="K27" s="369" t="n"/>
      <c r="L27" s="134" t="n"/>
      <c r="M27" s="134" t="n"/>
      <c r="N27" s="134" t="n"/>
      <c r="O27" s="134" t="n"/>
      <c r="P27" s="134" t="n"/>
      <c r="Q27" s="134" t="n"/>
      <c r="R27" s="134" t="n"/>
      <c r="S27" s="134" t="n"/>
      <c r="T27" s="134" t="n"/>
      <c r="U27" s="134" t="n"/>
      <c r="V27" s="134" t="n"/>
      <c r="W27" s="134" t="n"/>
      <c r="X27" s="134" t="n"/>
      <c r="Y27" s="134" t="n"/>
      <c r="Z27" s="135" t="n"/>
      <c r="AA27" s="134" t="n"/>
      <c r="AB27" s="134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24.75" customFormat="1" customHeight="1" s="2">
      <c r="A28" s="302" t="n"/>
      <c r="B28" s="211" t="inlineStr">
        <is>
          <t>PMTS — Vouchers / FMR / UAP / NET</t>
        </is>
      </c>
      <c r="G28" s="365" t="n"/>
      <c r="H28" s="183" t="n"/>
      <c r="I28" s="183" t="n"/>
      <c r="J28" s="183" t="n"/>
      <c r="K28" s="302" t="n"/>
      <c r="L28" s="302" t="n"/>
      <c r="M28" s="302" t="n"/>
      <c r="N28" s="302" t="n"/>
      <c r="O28" s="302" t="n"/>
      <c r="P28" s="302" t="n"/>
      <c r="Q28" s="302" t="n"/>
      <c r="R28" s="302" t="n"/>
      <c r="S28" s="302" t="n"/>
      <c r="T28" s="302" t="n"/>
      <c r="U28" s="302" t="n"/>
      <c r="V28" s="302" t="n"/>
      <c r="W28" s="302" t="n"/>
      <c r="X28" s="302" t="n"/>
      <c r="Y28" s="302" t="n"/>
      <c r="Z28" s="302" t="n"/>
      <c r="AA28" s="353" t="n"/>
      <c r="AB28" s="302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15.95" customFormat="1" customHeight="1" s="2">
      <c r="A29" s="302" t="n"/>
      <c r="B29" s="226" t="n"/>
      <c r="C29" s="213" t="inlineStr">
        <is>
          <t>MKT</t>
        </is>
      </c>
      <c r="D29" s="213" t="inlineStr">
        <is>
          <t>VCH</t>
        </is>
      </c>
      <c r="E29" s="214" t="inlineStr">
        <is>
          <t>FMR</t>
        </is>
      </c>
      <c r="F29" s="215" t="inlineStr">
        <is>
          <t>UAP</t>
        </is>
      </c>
      <c r="G29" s="216" t="inlineStr">
        <is>
          <t>NET</t>
        </is>
      </c>
      <c r="H29" s="183" t="n"/>
      <c r="I29" s="183" t="n"/>
      <c r="J29" s="183" t="n"/>
      <c r="K29" s="302" t="n"/>
      <c r="L29" s="302" t="n"/>
      <c r="M29" s="302" t="n"/>
      <c r="N29" s="302" t="n"/>
      <c r="O29" s="302" t="n"/>
      <c r="P29" s="302" t="n"/>
      <c r="Q29" s="302" t="n"/>
      <c r="R29" s="302" t="n"/>
      <c r="S29" s="302" t="n"/>
      <c r="T29" s="302" t="n"/>
      <c r="U29" s="302" t="n"/>
      <c r="V29" s="302" t="n"/>
      <c r="W29" s="302" t="n"/>
      <c r="X29" s="302" t="n"/>
      <c r="Y29" s="302" t="n"/>
      <c r="Z29" s="302" t="n"/>
      <c r="AA29" s="353" t="n"/>
      <c r="AB29" s="302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24.75" customHeight="1" s="131">
      <c r="A30" s="372" t="n"/>
      <c r="B30" s="217" t="inlineStr">
        <is>
          <t>2BD</t>
        </is>
      </c>
      <c r="C30" s="197" t="n">
        <v>0</v>
      </c>
      <c r="D30" s="197" t="n">
        <v>0</v>
      </c>
      <c r="E30" s="198" t="n">
        <v>1210</v>
      </c>
      <c r="F30" s="199" t="n">
        <v>177</v>
      </c>
      <c r="G30" s="218" t="n">
        <v>1033</v>
      </c>
      <c r="H30" s="183" t="n"/>
      <c r="I30" s="183" t="n"/>
      <c r="J30" s="183" t="n"/>
      <c r="K30" s="302" t="n"/>
      <c r="L30" s="302" t="n"/>
      <c r="M30" s="302" t="n"/>
      <c r="N30" s="302" t="n"/>
      <c r="O30" s="343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24.75" customHeight="1" s="131">
      <c r="A31" s="372" t="n"/>
      <c r="B31" s="217" t="inlineStr">
        <is>
          <t>3BD</t>
        </is>
      </c>
      <c r="C31" s="197" t="n">
        <v>0</v>
      </c>
      <c r="D31" s="197" t="n">
        <v>0</v>
      </c>
      <c r="E31" s="198" t="n">
        <v>1540</v>
      </c>
      <c r="F31" s="199" t="n">
        <v>232</v>
      </c>
      <c r="G31" s="218" t="n">
        <v>1308</v>
      </c>
      <c r="H31" s="183" t="n"/>
      <c r="I31" s="183" t="n"/>
      <c r="J31" s="183" t="n"/>
      <c r="K31" s="302" t="n"/>
      <c r="L31" s="302" t="n"/>
      <c r="M31" s="302" t="n"/>
      <c r="N31" s="302" t="n"/>
      <c r="O31" s="343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8.1" customFormat="1" customHeight="1" s="2">
      <c r="A32" s="369" t="n"/>
      <c r="B32" s="369" t="n"/>
      <c r="C32" s="369" t="n"/>
      <c r="D32" s="381" t="n"/>
      <c r="E32" s="381" t="n"/>
      <c r="F32" s="381" t="n"/>
      <c r="G32" s="369" t="n"/>
      <c r="H32" s="369" t="n"/>
      <c r="I32" s="369" t="n"/>
      <c r="J32" s="369" t="n"/>
      <c r="K32" s="369" t="n"/>
      <c r="L32" s="134" t="n"/>
      <c r="M32" s="134" t="n"/>
      <c r="N32" s="134" t="n"/>
      <c r="O32" s="134" t="n"/>
      <c r="P32" s="134" t="n"/>
      <c r="Q32" s="134" t="n"/>
      <c r="R32" s="134" t="n"/>
      <c r="S32" s="134" t="n"/>
      <c r="T32" s="134" t="n"/>
      <c r="U32" s="134" t="n"/>
      <c r="V32" s="134" t="n"/>
      <c r="W32" s="134" t="n"/>
      <c r="X32" s="134" t="n"/>
      <c r="Y32" s="134" t="n"/>
      <c r="Z32" s="135" t="n"/>
      <c r="AA32" s="134" t="n"/>
      <c r="AB32" s="134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24.75" customFormat="1" customHeight="1" s="2">
      <c r="A33" s="302" t="n"/>
      <c r="B33" s="366" t="inlineStr">
        <is>
          <t>LIHTC, UAP, NET</t>
        </is>
      </c>
      <c r="C33" s="358" t="n"/>
      <c r="D33" s="358" t="n"/>
      <c r="E33" s="358" t="n"/>
      <c r="F33" s="358" t="n"/>
      <c r="G33" s="359" t="n"/>
      <c r="H33" s="183" t="n"/>
      <c r="I33" s="183" t="n"/>
      <c r="J33" s="183" t="n"/>
      <c r="K33" s="302" t="n"/>
      <c r="L33" s="302" t="n"/>
      <c r="M33" s="302" t="n"/>
      <c r="N33" s="302" t="n"/>
      <c r="O33" s="302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16.5" customFormat="1" customHeight="1" s="2">
      <c r="A34" s="372" t="n"/>
      <c r="B34" s="226" t="inlineStr">
        <is>
          <t>No LIHTC data available</t>
        </is>
      </c>
      <c r="C34" s="228" t="n"/>
      <c r="D34" s="228" t="n"/>
      <c r="E34" s="215" t="n"/>
      <c r="F34" s="216" t="n"/>
      <c r="G34" s="183" t="n"/>
      <c r="H34" s="183" t="n"/>
      <c r="I34" s="183" t="n"/>
      <c r="J34" s="183" t="n"/>
      <c r="K34" s="302" t="n"/>
      <c r="L34" s="302" t="n"/>
      <c r="M34" s="302" t="n"/>
      <c r="N34" s="302" t="n"/>
      <c r="O34" s="343" t="n"/>
      <c r="P34" s="302" t="n"/>
      <c r="Q34" s="302" t="n"/>
      <c r="R34" s="302" t="n"/>
      <c r="S34" s="302" t="n"/>
      <c r="T34" s="302" t="n"/>
      <c r="U34" s="302" t="n"/>
      <c r="V34" s="302" t="n"/>
      <c r="W34" s="302" t="n"/>
      <c r="X34" s="302" t="n"/>
      <c r="Y34" s="302" t="n"/>
      <c r="Z34" s="302" t="n"/>
      <c r="AA34" s="353" t="n"/>
      <c r="AB34" s="302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18" customFormat="1" customHeight="1" s="2">
      <c r="A35" s="372" t="n"/>
      <c r="B35" s="392" t="n"/>
      <c r="C35" s="392" t="n"/>
      <c r="D35" s="392" t="n"/>
      <c r="E35" s="392" t="n"/>
      <c r="F35" s="369" t="n"/>
      <c r="G35" s="369" t="n"/>
      <c r="H35" s="369" t="n"/>
      <c r="I35" s="369" t="n"/>
      <c r="J35" s="369" t="n"/>
      <c r="K35" s="369" t="n"/>
      <c r="L35" s="136" t="n"/>
      <c r="M35" s="136" t="n"/>
      <c r="N35" s="136" t="n"/>
      <c r="O35" s="136" t="n"/>
      <c r="P35" s="136" t="n"/>
      <c r="Q35" s="136" t="n"/>
      <c r="R35" s="136" t="n"/>
      <c r="S35" s="136" t="n"/>
      <c r="T35" s="136" t="n"/>
      <c r="U35" s="136" t="n"/>
      <c r="V35" s="136" t="n"/>
      <c r="W35" s="136" t="n"/>
      <c r="X35" s="136" t="n"/>
      <c r="Y35" s="136" t="n"/>
      <c r="Z35" s="136" t="n"/>
      <c r="AA35" s="136" t="n"/>
      <c r="AB35" s="136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24.75" customHeight="1" s="131">
      <c r="A36" s="302" t="n"/>
      <c r="B36" s="207" t="inlineStr">
        <is>
          <t>HAP, CoStar, NET</t>
        </is>
      </c>
      <c r="H36" s="183" t="n"/>
      <c r="I36" s="183" t="n"/>
      <c r="J36" s="183" t="n"/>
      <c r="K36" s="302" t="n"/>
      <c r="L36" s="302" t="n"/>
      <c r="M36" s="302" t="n"/>
      <c r="N36" s="302" t="n"/>
      <c r="O36" s="302" t="n"/>
      <c r="P36" s="302" t="n"/>
      <c r="Q36" s="302" t="n"/>
      <c r="R36" s="302" t="n"/>
      <c r="S36" s="302" t="n"/>
      <c r="T36" s="302" t="n"/>
      <c r="U36" s="302" t="n"/>
      <c r="V36" s="302" t="n"/>
      <c r="W36" s="302" t="n"/>
      <c r="X36" s="302" t="n"/>
      <c r="Y36" s="302" t="n"/>
      <c r="Z36" s="302" t="n"/>
      <c r="AA36" s="353" t="n"/>
      <c r="AB36" s="302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15.95" customHeight="1" s="131">
      <c r="A37" s="302" t="n"/>
      <c r="B37" s="227" t="n"/>
      <c r="C37" s="208" t="inlineStr">
        <is>
          <t>HAP</t>
        </is>
      </c>
      <c r="D37" s="209" t="inlineStr">
        <is>
          <t>CoStar</t>
        </is>
      </c>
      <c r="E37" s="302" t="n"/>
      <c r="F37" s="302" t="n"/>
      <c r="G37" s="302" t="n"/>
      <c r="H37" s="183" t="n"/>
      <c r="I37" s="183" t="n"/>
      <c r="J37" s="183" t="n"/>
      <c r="K37" s="302" t="n"/>
      <c r="L37" s="302" t="n"/>
      <c r="M37" s="302" t="n"/>
      <c r="N37" s="302" t="n"/>
      <c r="O37" s="302" t="n"/>
      <c r="P37" s="302" t="n"/>
      <c r="Q37" s="302" t="n"/>
      <c r="R37" s="302" t="n"/>
      <c r="S37" s="302" t="n"/>
      <c r="T37" s="302" t="n"/>
      <c r="U37" s="302" t="n"/>
      <c r="V37" s="302" t="n"/>
      <c r="W37" s="302" t="n"/>
      <c r="X37" s="302" t="n"/>
      <c r="Y37" s="302" t="n"/>
      <c r="Z37" s="302" t="n"/>
      <c r="AA37" s="353" t="n"/>
      <c r="AB37" s="302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24.75" customHeight="1" s="131">
      <c r="A38" s="302" t="n"/>
      <c r="B38" s="196" t="inlineStr">
        <is>
          <t>2BD</t>
        </is>
      </c>
      <c r="C38" s="199" t="n">
        <v>970</v>
      </c>
      <c r="D38" s="198" t="n">
        <v>1375</v>
      </c>
      <c r="E38" s="183" t="n"/>
      <c r="F38" s="183" t="n"/>
      <c r="G38" s="183" t="n"/>
      <c r="H38" s="183" t="n"/>
      <c r="I38" s="183" t="n"/>
      <c r="J38" s="183" t="n"/>
      <c r="K38" s="302" t="n"/>
      <c r="L38" s="302" t="n"/>
      <c r="M38" s="302" t="n"/>
      <c r="N38" s="302" t="n"/>
      <c r="O38" s="302" t="n"/>
      <c r="P38" s="302" t="n"/>
      <c r="Q38" s="302" t="n"/>
      <c r="R38" s="302" t="n"/>
      <c r="S38" s="302" t="n"/>
      <c r="T38" s="302" t="n"/>
      <c r="U38" s="302" t="n"/>
      <c r="V38" s="302" t="n"/>
      <c r="W38" s="302" t="n"/>
      <c r="X38" s="302" t="n"/>
      <c r="Y38" s="302" t="n"/>
      <c r="Z38" s="302" t="n"/>
      <c r="AA38" s="353" t="n"/>
      <c r="AB38" s="302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24.75" customHeight="1" s="131">
      <c r="A39" s="302" t="n"/>
      <c r="B39" s="196" t="inlineStr">
        <is>
          <t>3BD</t>
        </is>
      </c>
      <c r="C39" s="199" t="n">
        <v>1096</v>
      </c>
      <c r="D39" s="198" t="n">
        <v>1548</v>
      </c>
      <c r="E39" s="183" t="n"/>
      <c r="F39" s="183" t="n"/>
      <c r="G39" s="183" t="n"/>
      <c r="H39" s="183" t="n"/>
      <c r="I39" s="183" t="n"/>
      <c r="J39" s="183" t="n"/>
      <c r="K39" s="302" t="n"/>
      <c r="L39" s="302" t="n"/>
      <c r="M39" s="302" t="n"/>
      <c r="N39" s="302" t="n"/>
      <c r="O39" s="302" t="n"/>
      <c r="P39" s="302" t="n"/>
      <c r="Q39" s="302" t="n"/>
      <c r="R39" s="302" t="n"/>
      <c r="S39" s="302" t="n"/>
      <c r="T39" s="302" t="n"/>
      <c r="U39" s="302" t="n"/>
      <c r="V39" s="302" t="n"/>
      <c r="W39" s="302" t="n"/>
      <c r="X39" s="302" t="n"/>
      <c r="Y39" s="302" t="n"/>
      <c r="Z39" s="302" t="n"/>
      <c r="AA39" s="353" t="n"/>
      <c r="AB39" s="302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s="131">
      <c r="A40" s="372" t="n"/>
      <c r="B40" s="392" t="n"/>
      <c r="C40" s="392" t="n"/>
      <c r="D40" s="369" t="n"/>
      <c r="E40" s="369" t="n"/>
      <c r="F40" s="369" t="n"/>
      <c r="G40" s="369" t="n"/>
      <c r="H40" s="369" t="n"/>
      <c r="I40" s="369" t="n"/>
      <c r="J40" s="369" t="n"/>
      <c r="K40" s="369" t="n"/>
      <c r="L40" s="136" t="n"/>
      <c r="M40" s="136" t="n"/>
      <c r="N40" s="136" t="n"/>
      <c r="O40" s="136" t="n"/>
      <c r="P40" s="136" t="n"/>
      <c r="Q40" s="136" t="n"/>
      <c r="R40" s="136" t="n"/>
      <c r="S40" s="136" t="n"/>
      <c r="T40" s="136" t="n"/>
      <c r="U40" s="136" t="n"/>
      <c r="V40" s="136" t="n"/>
      <c r="W40" s="136" t="n"/>
      <c r="X40" s="136" t="n"/>
      <c r="Y40" s="136" t="n"/>
      <c r="Z40" s="136" t="n"/>
      <c r="AA40" s="136" t="n"/>
      <c r="AB40" s="136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s="131">
      <c r="A41" s="369" t="n"/>
      <c r="B41" s="399" t="n"/>
      <c r="C41" s="399" t="n"/>
      <c r="D41" s="369" t="n"/>
      <c r="E41" s="369" t="n"/>
      <c r="F41" s="369" t="n"/>
      <c r="G41" s="369" t="n"/>
      <c r="H41" s="369" t="n"/>
      <c r="I41" s="369" t="n"/>
      <c r="J41" s="369" t="n"/>
      <c r="K41" s="369" t="n"/>
      <c r="L41" s="136" t="n"/>
      <c r="M41" s="136" t="n"/>
      <c r="N41" s="136" t="n"/>
      <c r="O41" s="136" t="n"/>
      <c r="P41" s="136" t="n"/>
      <c r="Q41" s="136" t="n"/>
      <c r="R41" s="136" t="n"/>
      <c r="S41" s="136" t="n"/>
      <c r="T41" s="136" t="n"/>
      <c r="U41" s="136" t="n"/>
      <c r="V41" s="136" t="n"/>
      <c r="W41" s="136" t="n"/>
      <c r="X41" s="136" t="n"/>
      <c r="Y41" s="136" t="n"/>
      <c r="Z41" s="136" t="n"/>
      <c r="AA41" s="136" t="n"/>
      <c r="AB41" s="136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s="131">
      <c r="A42" s="369" t="n"/>
      <c r="B42" s="369" t="n"/>
      <c r="C42" s="369" t="n"/>
      <c r="D42" s="369" t="n"/>
      <c r="E42" s="369" t="n"/>
      <c r="F42" s="369" t="n"/>
      <c r="G42" s="369" t="n"/>
      <c r="H42" s="369" t="n"/>
      <c r="I42" s="369" t="n"/>
      <c r="J42" s="369" t="n"/>
      <c r="K42" s="369" t="n"/>
      <c r="L42" s="136" t="n"/>
      <c r="M42" s="136" t="n"/>
      <c r="N42" s="136" t="n"/>
      <c r="O42" s="136" t="n"/>
      <c r="P42" s="136" t="n"/>
      <c r="Q42" s="136" t="n"/>
      <c r="R42" s="136" t="n"/>
      <c r="S42" s="136" t="n"/>
      <c r="T42" s="136" t="n"/>
      <c r="U42" s="136" t="n"/>
      <c r="V42" s="136" t="n"/>
      <c r="W42" s="136" t="n"/>
      <c r="X42" s="136" t="n"/>
      <c r="Y42" s="136" t="n"/>
      <c r="Z42" s="136" t="n"/>
      <c r="AA42" s="136" t="n"/>
      <c r="AB42" s="136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s="131">
      <c r="A43" s="369" t="n"/>
      <c r="B43" s="369" t="n"/>
      <c r="C43" s="369" t="n"/>
      <c r="D43" s="369" t="n"/>
      <c r="E43" s="369" t="n"/>
      <c r="F43" s="369" t="n"/>
      <c r="G43" s="369" t="n"/>
      <c r="H43" s="369" t="n"/>
      <c r="I43" s="369" t="n"/>
      <c r="J43" s="369" t="n"/>
      <c r="K43" s="369" t="n"/>
      <c r="L43" s="136" t="n"/>
      <c r="M43" s="136" t="n"/>
      <c r="N43" s="136" t="n"/>
      <c r="O43" s="136" t="n"/>
      <c r="P43" s="136" t="n"/>
      <c r="Q43" s="136" t="n"/>
      <c r="R43" s="136" t="n"/>
      <c r="S43" s="136" t="n"/>
      <c r="T43" s="136" t="n"/>
      <c r="U43" s="136" t="n"/>
      <c r="V43" s="136" t="n"/>
      <c r="W43" s="136" t="n"/>
      <c r="X43" s="136" t="n"/>
      <c r="Y43" s="136" t="n"/>
      <c r="Z43" s="136" t="n"/>
      <c r="AA43" s="136" t="n"/>
      <c r="AB43" s="136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s="131">
      <c r="A44" s="369" t="n"/>
      <c r="B44" s="369" t="n"/>
      <c r="C44" s="369" t="n"/>
      <c r="D44" s="369" t="n"/>
      <c r="E44" s="369" t="n"/>
      <c r="F44" s="369" t="n"/>
      <c r="G44" s="369" t="n"/>
      <c r="H44" s="369" t="n"/>
      <c r="I44" s="369" t="n"/>
      <c r="J44" s="369" t="n"/>
      <c r="K44" s="369" t="n"/>
      <c r="L44" s="136" t="n"/>
      <c r="M44" s="136" t="n"/>
      <c r="N44" s="136" t="n"/>
      <c r="O44" s="136" t="n"/>
      <c r="P44" s="136" t="n"/>
      <c r="Q44" s="136" t="n"/>
      <c r="R44" s="136" t="n"/>
      <c r="S44" s="136" t="n"/>
      <c r="T44" s="136" t="n"/>
      <c r="U44" s="136" t="n"/>
      <c r="V44" s="136" t="n"/>
      <c r="W44" s="136" t="n"/>
      <c r="X44" s="136" t="n"/>
      <c r="Y44" s="136" t="n"/>
      <c r="Z44" s="136" t="n"/>
      <c r="AA44" s="136" t="n"/>
      <c r="AB44" s="136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s="131">
      <c r="A45" s="369" t="n"/>
      <c r="B45" s="369" t="n"/>
      <c r="C45" s="369" t="n"/>
      <c r="D45" s="369" t="n"/>
      <c r="E45" s="369" t="n"/>
      <c r="F45" s="369" t="n"/>
      <c r="G45" s="369" t="n"/>
      <c r="H45" s="369" t="n"/>
      <c r="I45" s="369" t="n"/>
      <c r="J45" s="369" t="n"/>
      <c r="K45" s="369" t="n"/>
      <c r="L45" s="136" t="n"/>
      <c r="M45" s="136" t="n"/>
      <c r="N45" s="136" t="n"/>
      <c r="O45" s="136" t="n"/>
      <c r="P45" s="136" t="n"/>
      <c r="Q45" s="136" t="n"/>
      <c r="R45" s="136" t="n"/>
      <c r="S45" s="136" t="n"/>
      <c r="T45" s="136" t="n"/>
      <c r="U45" s="136" t="n"/>
      <c r="V45" s="136" t="n"/>
      <c r="W45" s="136" t="n"/>
      <c r="X45" s="136" t="n"/>
      <c r="Y45" s="136" t="n"/>
      <c r="Z45" s="136" t="n"/>
      <c r="AA45" s="136" t="n"/>
      <c r="AB45" s="136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s="131">
      <c r="A46" s="369" t="n"/>
      <c r="B46" s="369" t="n"/>
      <c r="C46" s="369" t="n"/>
      <c r="D46" s="369" t="n"/>
      <c r="E46" s="369" t="n"/>
      <c r="F46" s="369" t="n"/>
      <c r="G46" s="369" t="n"/>
      <c r="H46" s="369" t="n"/>
      <c r="I46" s="369" t="n"/>
      <c r="J46" s="369" t="n"/>
      <c r="K46" s="369" t="n"/>
      <c r="L46" s="136" t="n"/>
      <c r="M46" s="136" t="n"/>
      <c r="N46" s="136" t="n"/>
      <c r="O46" s="136" t="n"/>
      <c r="P46" s="136" t="n"/>
      <c r="Q46" s="136" t="n"/>
      <c r="R46" s="136" t="n"/>
      <c r="S46" s="136" t="n"/>
      <c r="T46" s="136" t="n"/>
      <c r="U46" s="136" t="n"/>
      <c r="V46" s="136" t="n"/>
      <c r="W46" s="136" t="n"/>
      <c r="X46" s="136" t="n"/>
      <c r="Y46" s="136" t="n"/>
      <c r="Z46" s="136" t="n"/>
      <c r="AA46" s="136" t="n"/>
      <c r="AB46" s="136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s="131">
      <c r="A47" s="369" t="n"/>
      <c r="B47" s="369" t="n"/>
      <c r="C47" s="369" t="n"/>
      <c r="D47" s="369" t="n"/>
      <c r="E47" s="369" t="n"/>
      <c r="F47" s="369" t="n"/>
      <c r="G47" s="369" t="n"/>
      <c r="H47" s="369" t="n"/>
      <c r="I47" s="369" t="n"/>
      <c r="J47" s="369" t="n"/>
      <c r="K47" s="369" t="n"/>
      <c r="L47" s="136" t="n"/>
      <c r="M47" s="136" t="n"/>
      <c r="N47" s="136" t="n"/>
      <c r="O47" s="136" t="n"/>
      <c r="P47" s="136" t="n"/>
      <c r="Q47" s="136" t="n"/>
      <c r="R47" s="136" t="n"/>
      <c r="S47" s="136" t="n"/>
      <c r="T47" s="136" t="n"/>
      <c r="U47" s="136" t="n"/>
      <c r="V47" s="136" t="n"/>
      <c r="W47" s="136" t="n"/>
      <c r="X47" s="136" t="n"/>
      <c r="Y47" s="136" t="n"/>
      <c r="Z47" s="136" t="n"/>
      <c r="AA47" s="136" t="n"/>
      <c r="AB47" s="136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s="131">
      <c r="A48" s="369" t="n"/>
      <c r="B48" s="369" t="n"/>
      <c r="C48" s="369" t="n"/>
      <c r="D48" s="369" t="n"/>
      <c r="E48" s="369" t="n"/>
      <c r="F48" s="369" t="n"/>
      <c r="G48" s="369" t="n"/>
      <c r="H48" s="369" t="n"/>
      <c r="I48" s="369" t="n"/>
      <c r="J48" s="369" t="n"/>
      <c r="K48" s="369" t="n"/>
      <c r="L48" s="136" t="n"/>
      <c r="M48" s="136" t="n"/>
      <c r="N48" s="136" t="n"/>
      <c r="O48" s="136" t="n"/>
      <c r="P48" s="136" t="n"/>
      <c r="Q48" s="136" t="n"/>
      <c r="R48" s="136" t="n"/>
      <c r="S48" s="136" t="n"/>
      <c r="T48" s="136" t="n"/>
      <c r="U48" s="136" t="n"/>
      <c r="V48" s="136" t="n"/>
      <c r="W48" s="136" t="n"/>
      <c r="X48" s="136" t="n"/>
      <c r="Y48" s="136" t="n"/>
      <c r="Z48" s="136" t="n"/>
      <c r="AA48" s="136" t="n"/>
      <c r="AB48" s="136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s="131">
      <c r="A49" s="369" t="n"/>
      <c r="B49" s="369" t="n"/>
      <c r="C49" s="369" t="n"/>
      <c r="D49" s="369" t="n"/>
      <c r="E49" s="369" t="n"/>
      <c r="F49" s="369" t="n"/>
      <c r="G49" s="369" t="n"/>
      <c r="H49" s="369" t="n"/>
      <c r="I49" s="369" t="n"/>
      <c r="J49" s="369" t="n"/>
      <c r="K49" s="369" t="n"/>
      <c r="L49" s="136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6" t="n"/>
      <c r="Y49" s="136" t="n"/>
      <c r="Z49" s="136" t="n"/>
      <c r="AA49" s="136" t="n"/>
      <c r="AB49" s="136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s="131">
      <c r="A50" s="369" t="n"/>
      <c r="B50" s="369" t="n"/>
      <c r="C50" s="369" t="n"/>
      <c r="D50" s="369" t="n"/>
      <c r="E50" s="369" t="n"/>
      <c r="F50" s="369" t="n"/>
      <c r="G50" s="369" t="n"/>
      <c r="H50" s="369" t="n"/>
      <c r="I50" s="369" t="n"/>
      <c r="J50" s="369" t="n"/>
      <c r="K50" s="369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</sheetData>
  <mergeCells count="9">
    <mergeCell ref="B4:AB4"/>
    <mergeCell ref="B28:G28"/>
    <mergeCell ref="B36:G36"/>
    <mergeCell ref="B22:G22"/>
    <mergeCell ref="B23:G23"/>
    <mergeCell ref="B20:I20"/>
    <mergeCell ref="B2:AB2"/>
    <mergeCell ref="B3:AB3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W50"/>
  <sheetViews>
    <sheetView workbookViewId="0">
      <selection activeCell="F8" sqref="F8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OPA LOCKA 135TH ST | GREEN = Affordable Comps | BLUE = Market Rate Comps</t>
        </is>
      </c>
      <c r="AF3" s="136" t="n"/>
      <c r="AG3" s="136" t="n"/>
      <c r="AH3" s="136" t="n"/>
      <c r="AI3" s="136" t="n"/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Opa Locka 135th St | 2860 NW 135th Street, Opa Locka, FL 33054 | 65 units | Program: Section 8/HUD | Bedroom Mix: 1BR / 2BR / 3BR | County AMI: $87,200 | FMR Area: Miami-Dade County</t>
        </is>
      </c>
      <c r="AF4" s="136" t="n"/>
      <c r="AG4" s="136" t="n"/>
      <c r="AH4" s="136" t="n"/>
      <c r="AI4" s="136" t="n"/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F5" s="136" t="n"/>
      <c r="AG5" s="136" t="n"/>
      <c r="AH5" s="136" t="n"/>
      <c r="AI5" s="136" t="n"/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1BD 50% AMI ($)</t>
        </is>
      </c>
      <c r="J6" s="280" t="inlineStr">
        <is>
          <t>1BD 60% AMI ($)</t>
        </is>
      </c>
      <c r="K6" s="280" t="inlineStr">
        <is>
          <t>1BR FMR ($)</t>
        </is>
      </c>
      <c r="L6" s="335" t="inlineStr">
        <is>
          <t>1BR Actual ($)</t>
        </is>
      </c>
      <c r="M6" s="281" t="inlineStr">
        <is>
          <t>2BD 50% AMI ($)</t>
        </is>
      </c>
      <c r="N6" s="280" t="inlineStr">
        <is>
          <t>2BD 60% AMI ($)</t>
        </is>
      </c>
      <c r="O6" s="280" t="inlineStr">
        <is>
          <t>2BR FMR ($)</t>
        </is>
      </c>
      <c r="P6" s="335" t="inlineStr">
        <is>
          <t>2BR Actual ($)</t>
        </is>
      </c>
      <c r="Q6" s="281" t="inlineStr">
        <is>
          <t>3BD 50% AMI ($)</t>
        </is>
      </c>
      <c r="R6" s="280" t="inlineStr">
        <is>
          <t>3BD 60% AMI ($)</t>
        </is>
      </c>
      <c r="S6" s="280" t="inlineStr">
        <is>
          <t>3BR FMR ($)</t>
        </is>
      </c>
      <c r="T6" s="339" t="inlineStr">
        <is>
          <t>3BR Actual ($)</t>
        </is>
      </c>
      <c r="U6" s="339" t="inlineStr">
        <is>
          <t># Units</t>
        </is>
      </c>
      <c r="V6" s="339" t="inlineStr">
        <is>
          <t>Year Built</t>
        </is>
      </c>
      <c r="W6" s="339" t="inlineStr">
        <is>
          <t>Yr Diff</t>
        </is>
      </c>
      <c r="X6" s="339" t="inlineStr">
        <is>
          <t>Utilities Incl.</t>
        </is>
      </c>
      <c r="Y6" s="339" t="inlineStr">
        <is>
          <t>Pet Friendly</t>
        </is>
      </c>
      <c r="Z6" s="336" t="inlineStr">
        <is>
          <t>Gated</t>
        </is>
      </c>
      <c r="AA6" s="340" t="inlineStr">
        <is>
          <t>Pool</t>
        </is>
      </c>
      <c r="AB6" s="342" t="inlineStr">
        <is>
          <t>W/D In-Unit</t>
        </is>
      </c>
      <c r="AC6" s="136" t="inlineStr">
        <is>
          <t>Competition Level</t>
        </is>
      </c>
      <c r="AD6" s="136" t="inlineStr">
        <is>
          <t>Why Competitive</t>
        </is>
      </c>
      <c r="AE6" s="136" t="inlineStr">
        <is>
          <t>Data Source</t>
        </is>
      </c>
      <c r="AF6" s="136" t="n"/>
      <c r="AG6" s="136" t="n"/>
      <c r="AH6" s="136" t="n"/>
      <c r="AI6" s="136" t="n"/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Opa Locka 135th St (SUBJECT)</t>
        </is>
      </c>
      <c r="D7" s="174" t="inlineStr">
        <is>
          <t>2860 NW 135th Street</t>
        </is>
      </c>
      <c r="E7" s="174" t="inlineStr">
        <is>
          <t>Opa Locka</t>
        </is>
      </c>
      <c r="F7" s="174" t="inlineStr">
        <is>
          <t>FL</t>
        </is>
      </c>
      <c r="G7" s="174" t="inlineStr">
        <is>
          <t>33054</t>
        </is>
      </c>
      <c r="H7" s="174" t="inlineStr">
        <is>
          <t>0.0 mi</t>
        </is>
      </c>
      <c r="I7" s="174" t="inlineStr">
        <is>
          <t>$3,872</t>
        </is>
      </c>
      <c r="J7" s="174" t="inlineStr">
        <is>
          <t>$4,647</t>
        </is>
      </c>
      <c r="K7" s="174" t="inlineStr">
        <is>
          <t>$1,736</t>
        </is>
      </c>
      <c r="L7" s="368">
        <f>B26</f>
        <v/>
      </c>
      <c r="M7" s="174" t="inlineStr">
        <is>
          <t>$4,645</t>
        </is>
      </c>
      <c r="N7" s="174" t="inlineStr">
        <is>
          <t>$5,575</t>
        </is>
      </c>
      <c r="O7" s="174" t="inlineStr">
        <is>
          <t>$2,376</t>
        </is>
      </c>
      <c r="P7" s="368">
        <f>B27</f>
        <v/>
      </c>
      <c r="Q7" s="174" t="inlineStr">
        <is>
          <t>$5,162</t>
        </is>
      </c>
      <c r="R7" s="174" t="inlineStr">
        <is>
          <t>$6,195</t>
        </is>
      </c>
      <c r="S7" s="174" t="inlineStr">
        <is>
          <t>$3,044</t>
        </is>
      </c>
      <c r="T7" s="368">
        <f>B28</f>
        <v/>
      </c>
      <c r="U7" s="174" t="inlineStr">
        <is>
          <t>65</t>
        </is>
      </c>
      <c r="V7" s="174" t="inlineStr">
        <is>
          <t>1968</t>
        </is>
      </c>
      <c r="W7" s="174" t="inlineStr">
        <is>
          <t>0</t>
        </is>
      </c>
      <c r="X7" s="174" t="inlineStr">
        <is>
          <t>Yes</t>
        </is>
      </c>
      <c r="Y7" s="42" t="inlineStr">
        <is>
          <t>No</t>
        </is>
      </c>
      <c r="Z7" s="55" t="inlineStr">
        <is>
          <t>No</t>
        </is>
      </c>
      <c r="AA7" s="40" t="inlineStr">
        <is>
          <t>No</t>
        </is>
      </c>
      <c r="AB7" s="136" t="inlineStr">
        <is>
          <t>No</t>
        </is>
      </c>
      <c r="AC7" s="136" t="inlineStr">
        <is>
          <t>SUBJECT</t>
        </is>
      </c>
      <c r="AD7" s="136" t="inlineStr">
        <is>
          <t>65 units | Section 8/HUD property. Year built: 1968. Subject property for market context.</t>
        </is>
      </c>
      <c r="AE7" s="136" t="inlineStr">
        <is>
          <t>Apartment Corp Records</t>
        </is>
      </c>
      <c r="AF7" s="136" t="n"/>
      <c r="AG7" s="136" t="n"/>
      <c r="AH7" s="136" t="n"/>
      <c r="AI7" s="136" t="n"/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Liberty City Manor</t>
        </is>
      </c>
      <c r="D8" s="59" t="inlineStr">
        <is>
          <t>6200 NW 7th Ave</t>
        </is>
      </c>
      <c r="E8" s="59" t="inlineStr">
        <is>
          <t>Miami</t>
        </is>
      </c>
      <c r="F8" s="59" t="inlineStr">
        <is>
          <t>FL</t>
        </is>
      </c>
      <c r="G8" s="59" t="inlineStr">
        <is>
          <t>33150</t>
        </is>
      </c>
      <c r="H8" s="59" t="inlineStr">
        <is>
          <t>8.5 mi</t>
        </is>
      </c>
      <c r="I8" s="59" t="inlineStr">
        <is>
          <t>$3,872</t>
        </is>
      </c>
      <c r="J8" s="59" t="inlineStr">
        <is>
          <t>$4,647</t>
        </is>
      </c>
      <c r="K8" s="41" t="inlineStr">
        <is>
          <t>$1,736</t>
        </is>
      </c>
      <c r="L8" s="53" t="inlineStr">
        <is>
          <t>Not Listed</t>
        </is>
      </c>
      <c r="M8" s="43" t="inlineStr">
        <is>
          <t>$4,645</t>
        </is>
      </c>
      <c r="N8" s="43" t="inlineStr">
        <is>
          <t>$5,575</t>
        </is>
      </c>
      <c r="O8" s="41" t="inlineStr">
        <is>
          <t>$2,376</t>
        </is>
      </c>
      <c r="P8" s="53" t="inlineStr">
        <is>
          <t>Not Listed</t>
        </is>
      </c>
      <c r="Q8" s="43" t="inlineStr">
        <is>
          <t>$5,162</t>
        </is>
      </c>
      <c r="R8" s="43" t="inlineStr">
        <is>
          <t>$6,195</t>
        </is>
      </c>
      <c r="S8" s="43" t="inlineStr">
        <is>
          <t>$3,044</t>
        </is>
      </c>
      <c r="T8" s="43" t="inlineStr">
        <is>
          <t>Not Listed</t>
        </is>
      </c>
      <c r="U8" s="43" t="inlineStr">
        <is>
          <t>64</t>
        </is>
      </c>
      <c r="V8" s="43" t="inlineStr">
        <is>
          <t>1968</t>
        </is>
      </c>
      <c r="W8" s="43" t="inlineStr">
        <is>
          <t>0</t>
        </is>
      </c>
      <c r="X8" s="43" t="inlineStr">
        <is>
          <t>Yes</t>
        </is>
      </c>
      <c r="Y8" s="44" t="inlineStr">
        <is>
          <t>No</t>
        </is>
      </c>
      <c r="Z8" s="56" t="inlineStr">
        <is>
          <t>No</t>
        </is>
      </c>
      <c r="AA8" s="43" t="inlineStr">
        <is>
          <t>No</t>
        </is>
      </c>
      <c r="AB8" s="136" t="inlineStr">
        <is>
          <t>No</t>
        </is>
      </c>
      <c r="AC8" s="136" t="inlineStr">
        <is>
          <t>HIGH</t>
        </is>
      </c>
      <c r="AD8" s="136" t="inlineStr">
        <is>
          <t>Affordable Comp #1: Section 8/HUD property, 1968 vintage (0 yr diff), 64 units, 8.5 mi from subject. Same income-eligible renter pool.</t>
        </is>
      </c>
      <c r="AE8" s="136" t="inlineStr">
        <is>
          <t>HUD Multifamily Assisted Housing</t>
        </is>
      </c>
      <c r="AF8" s="136" t="n"/>
      <c r="AG8" s="136" t="n"/>
      <c r="AH8" s="136" t="n"/>
      <c r="AI8" s="136" t="n"/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Hialeah Gardens Apartments</t>
        </is>
      </c>
      <c r="D9" s="125" t="inlineStr">
        <is>
          <t>1200 W 68th St</t>
        </is>
      </c>
      <c r="E9" s="125" t="inlineStr">
        <is>
          <t>Hialeah</t>
        </is>
      </c>
      <c r="F9" s="125" t="inlineStr">
        <is>
          <t>FL</t>
        </is>
      </c>
      <c r="G9" s="125" t="inlineStr">
        <is>
          <t>33012</t>
        </is>
      </c>
      <c r="H9" s="125" t="inlineStr">
        <is>
          <t>5.2 mi</t>
        </is>
      </c>
      <c r="I9" s="125" t="inlineStr">
        <is>
          <t>$3,872</t>
        </is>
      </c>
      <c r="J9" s="125" t="inlineStr">
        <is>
          <t>$4,647</t>
        </is>
      </c>
      <c r="K9" s="85" t="inlineStr">
        <is>
          <t>$1,736</t>
        </is>
      </c>
      <c r="L9" s="86" t="inlineStr">
        <is>
          <t>$3,200</t>
        </is>
      </c>
      <c r="M9" s="128" t="inlineStr">
        <is>
          <t>$4,645</t>
        </is>
      </c>
      <c r="N9" s="128" t="inlineStr">
        <is>
          <t>$5,575</t>
        </is>
      </c>
      <c r="O9" s="85" t="inlineStr">
        <is>
          <t>$2,376</t>
        </is>
      </c>
      <c r="P9" s="86" t="inlineStr">
        <is>
          <t>$3,896</t>
        </is>
      </c>
      <c r="Q9" s="128" t="inlineStr">
        <is>
          <t>$5,162</t>
        </is>
      </c>
      <c r="R9" s="128" t="inlineStr">
        <is>
          <t>$6,195</t>
        </is>
      </c>
      <c r="S9" s="128" t="inlineStr">
        <is>
          <t>$3,044</t>
        </is>
      </c>
      <c r="T9" s="128" t="inlineStr">
        <is>
          <t>$4,686</t>
        </is>
      </c>
      <c r="U9" s="128" t="inlineStr">
        <is>
          <t>72</t>
        </is>
      </c>
      <c r="V9" s="128" t="inlineStr">
        <is>
          <t>1970</t>
        </is>
      </c>
      <c r="W9" s="128" t="inlineStr">
        <is>
          <t>2</t>
        </is>
      </c>
      <c r="X9" s="128" t="inlineStr">
        <is>
          <t>Yes</t>
        </is>
      </c>
      <c r="Y9" s="129" t="inlineStr">
        <is>
          <t>No</t>
        </is>
      </c>
      <c r="Z9" s="130" t="inlineStr">
        <is>
          <t>No</t>
        </is>
      </c>
      <c r="AA9" s="128" t="inlineStr">
        <is>
          <t>No</t>
        </is>
      </c>
      <c r="AB9" s="136" t="inlineStr">
        <is>
          <t>No</t>
        </is>
      </c>
      <c r="AC9" s="136" t="inlineStr">
        <is>
          <t>HIGH</t>
        </is>
      </c>
      <c r="AD9" s="136" t="inlineStr">
        <is>
          <t>Affordable Comp #2: Section 8/HUD property, 1970 vintage (2 yr diff), 72 units, 5.2 mi from subject. Same income-eligible renter pool.</t>
        </is>
      </c>
      <c r="AE9" s="136" t="inlineStr">
        <is>
          <t>HUD Multifamily Assisted Housing</t>
        </is>
      </c>
      <c r="AF9" s="136" t="n"/>
      <c r="AG9" s="136" t="n"/>
      <c r="AH9" s="136" t="n"/>
      <c r="AI9" s="136" t="n"/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Carol City Manor</t>
        </is>
      </c>
      <c r="D10" s="107" t="inlineStr">
        <is>
          <t>18800 NW 27th Ave</t>
        </is>
      </c>
      <c r="E10" s="107" t="inlineStr">
        <is>
          <t>Miami Gardens</t>
        </is>
      </c>
      <c r="F10" s="107" t="inlineStr">
        <is>
          <t>FL</t>
        </is>
      </c>
      <c r="G10" s="107" t="inlineStr">
        <is>
          <t>33056</t>
        </is>
      </c>
      <c r="H10" s="107" t="inlineStr">
        <is>
          <t>4.1 mi</t>
        </is>
      </c>
      <c r="I10" s="107" t="inlineStr">
        <is>
          <t>$3,872</t>
        </is>
      </c>
      <c r="J10" s="107" t="inlineStr">
        <is>
          <t>$4,647</t>
        </is>
      </c>
      <c r="K10" s="80" t="inlineStr">
        <is>
          <t>$1,736</t>
        </is>
      </c>
      <c r="L10" s="81" t="inlineStr">
        <is>
          <t>Not Listed</t>
        </is>
      </c>
      <c r="M10" s="108" t="inlineStr">
        <is>
          <t>$4,645</t>
        </is>
      </c>
      <c r="N10" s="108" t="inlineStr">
        <is>
          <t>$5,575</t>
        </is>
      </c>
      <c r="O10" s="80" t="inlineStr">
        <is>
          <t>$2,376</t>
        </is>
      </c>
      <c r="P10" s="81" t="inlineStr">
        <is>
          <t>Not Listed</t>
        </is>
      </c>
      <c r="Q10" s="108" t="inlineStr">
        <is>
          <t>$5,162</t>
        </is>
      </c>
      <c r="R10" s="108" t="inlineStr">
        <is>
          <t>$6,195</t>
        </is>
      </c>
      <c r="S10" s="108" t="inlineStr">
        <is>
          <t>$3,044</t>
        </is>
      </c>
      <c r="T10" s="108" t="inlineStr">
        <is>
          <t>Not Listed</t>
        </is>
      </c>
      <c r="U10" s="108" t="inlineStr">
        <is>
          <t>60</t>
        </is>
      </c>
      <c r="V10" s="108" t="inlineStr">
        <is>
          <t>1967</t>
        </is>
      </c>
      <c r="W10" s="108" t="inlineStr">
        <is>
          <t>1</t>
        </is>
      </c>
      <c r="X10" s="108" t="inlineStr">
        <is>
          <t>Yes</t>
        </is>
      </c>
      <c r="Y10" s="109" t="inlineStr">
        <is>
          <t>No</t>
        </is>
      </c>
      <c r="Z10" s="110" t="inlineStr">
        <is>
          <t>No</t>
        </is>
      </c>
      <c r="AA10" s="111" t="inlineStr">
        <is>
          <t>No</t>
        </is>
      </c>
      <c r="AB10" s="134" t="inlineStr">
        <is>
          <t>No</t>
        </is>
      </c>
      <c r="AC10" s="136" t="inlineStr">
        <is>
          <t>HIGH</t>
        </is>
      </c>
      <c r="AD10" s="136" t="inlineStr">
        <is>
          <t>Affordable Comp #3: Section 8/HUD property, 1967 vintage (1 yr diff), 60 units, 4.1 mi from subject. Same income-eligible renter pool.</t>
        </is>
      </c>
      <c r="AE10" s="136" t="inlineStr">
        <is>
          <t>HUD Multifamily Assisted Housing</t>
        </is>
      </c>
      <c r="AF10" s="136" t="n"/>
      <c r="AG10" s="136" t="n"/>
      <c r="AH10" s="136" t="n"/>
      <c r="AI10" s="136" t="n"/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North Miami Housing Authority - Arch Creek Apts</t>
        </is>
      </c>
      <c r="D11" s="95" t="inlineStr">
        <is>
          <t>1800 NE 135th St</t>
        </is>
      </c>
      <c r="E11" s="95" t="inlineStr">
        <is>
          <t>North Miami</t>
        </is>
      </c>
      <c r="F11" s="95" t="inlineStr">
        <is>
          <t>FL</t>
        </is>
      </c>
      <c r="G11" s="95" t="inlineStr">
        <is>
          <t>33161</t>
        </is>
      </c>
      <c r="H11" s="95" t="inlineStr">
        <is>
          <t>6.8 mi</t>
        </is>
      </c>
      <c r="I11" s="95" t="inlineStr">
        <is>
          <t>$3,872</t>
        </is>
      </c>
      <c r="J11" s="95" t="inlineStr">
        <is>
          <t>$4,647</t>
        </is>
      </c>
      <c r="K11" s="39" t="inlineStr">
        <is>
          <t>$1,736</t>
        </is>
      </c>
      <c r="L11" s="53" t="inlineStr">
        <is>
          <t>Not Listed</t>
        </is>
      </c>
      <c r="M11" s="96" t="inlineStr">
        <is>
          <t>$4,645</t>
        </is>
      </c>
      <c r="N11" s="96" t="inlineStr">
        <is>
          <t>$5,575</t>
        </is>
      </c>
      <c r="O11" s="39" t="inlineStr">
        <is>
          <t>$2,376</t>
        </is>
      </c>
      <c r="P11" s="53" t="inlineStr">
        <is>
          <t>Not Listed</t>
        </is>
      </c>
      <c r="Q11" s="96" t="inlineStr">
        <is>
          <t>$5,162</t>
        </is>
      </c>
      <c r="R11" s="96" t="inlineStr">
        <is>
          <t>$6,195</t>
        </is>
      </c>
      <c r="S11" s="96" t="inlineStr">
        <is>
          <t>$3,044</t>
        </is>
      </c>
      <c r="T11" s="96" t="inlineStr">
        <is>
          <t>Not Listed</t>
        </is>
      </c>
      <c r="U11" s="96" t="inlineStr">
        <is>
          <t>68</t>
        </is>
      </c>
      <c r="V11" s="96" t="inlineStr">
        <is>
          <t>1969</t>
        </is>
      </c>
      <c r="W11" s="96" t="inlineStr">
        <is>
          <t>1</t>
        </is>
      </c>
      <c r="X11" s="96" t="inlineStr">
        <is>
          <t>Yes</t>
        </is>
      </c>
      <c r="Y11" s="45" t="inlineStr">
        <is>
          <t>No</t>
        </is>
      </c>
      <c r="Z11" s="97" t="inlineStr">
        <is>
          <t>No</t>
        </is>
      </c>
      <c r="AA11" s="113" t="inlineStr">
        <is>
          <t>No</t>
        </is>
      </c>
      <c r="AB11" s="134" t="inlineStr">
        <is>
          <t>No</t>
        </is>
      </c>
      <c r="AC11" s="136" t="inlineStr">
        <is>
          <t>HIGH</t>
        </is>
      </c>
      <c r="AD11" s="136" t="inlineStr">
        <is>
          <t>Affordable Comp #4: Public Housing/HUD property, 1969 vintage (1 yr diff), 68 units, 6.8 mi from subject. Same income-eligible renter pool.</t>
        </is>
      </c>
      <c r="AE11" s="136" t="inlineStr">
        <is>
          <t>North Miami Housing Authority</t>
        </is>
      </c>
      <c r="AF11" s="136" t="n"/>
      <c r="AG11" s="136" t="n"/>
      <c r="AH11" s="136" t="n"/>
      <c r="AI11" s="136" t="n"/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37.5" customHeight="1" s="131">
      <c r="A12" s="114" t="inlineStr">
        <is>
          <t>1</t>
        </is>
      </c>
      <c r="B12" s="70" t="inlineStr">
        <is>
          <t>MARKET RATE</t>
        </is>
      </c>
      <c r="C12" s="67" t="inlineStr">
        <is>
          <t>Sherbondy Villas</t>
        </is>
      </c>
      <c r="D12" s="98" t="inlineStr">
        <is>
          <t>200 S Perviz Ave, Opa Locka, FL 33054</t>
        </is>
      </c>
      <c r="E12" s="98" t="inlineStr">
        <is>
          <t>Opa Locka</t>
        </is>
      </c>
      <c r="F12" s="98" t="inlineStr">
        <is>
          <t>FL</t>
        </is>
      </c>
      <c r="G12" s="98" t="inlineStr">
        <is>
          <t>33054</t>
        </is>
      </c>
      <c r="H12" s="98" t="inlineStr">
        <is>
          <t>1.2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$1,736</t>
        </is>
      </c>
      <c r="L12" s="53" t="inlineStr">
        <is>
          <t>$1,400</t>
        </is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$2,376</t>
        </is>
      </c>
      <c r="P12" s="53" t="inlineStr">
        <is>
          <t>N/A</t>
        </is>
      </c>
      <c r="Q12" s="99" t="inlineStr">
        <is>
          <t>N/A (Market Rate)</t>
        </is>
      </c>
      <c r="R12" s="99" t="inlineStr">
        <is>
          <t>N/A (Market Rate)</t>
        </is>
      </c>
      <c r="S12" s="99" t="inlineStr">
        <is>
          <t>$3,044</t>
        </is>
      </c>
      <c r="T12" s="99" t="inlineStr">
        <is>
          <t>N/A</t>
        </is>
      </c>
      <c r="U12" s="99" t="n">
        <v>32</v>
      </c>
      <c r="V12" s="99" t="n">
        <v>1967</v>
      </c>
      <c r="W12" s="99" t="n">
        <v>1</v>
      </c>
      <c r="X12" s="99" t="inlineStr">
        <is>
          <t>No</t>
        </is>
      </c>
      <c r="Y12" s="46" t="inlineStr">
        <is>
          <t>No</t>
        </is>
      </c>
      <c r="Z12" s="100" t="inlineStr">
        <is>
          <t>No</t>
        </is>
      </c>
      <c r="AA12" s="115" t="inlineStr">
        <is>
          <t>No</t>
        </is>
      </c>
      <c r="AB12" s="134" t="inlineStr">
        <is>
          <t>No</t>
        </is>
      </c>
      <c r="AC12" s="136" t="inlineStr">
        <is>
          <t>HIGH</t>
        </is>
      </c>
      <c r="AD12" s="136" t="inlineStr">
        <is>
          <t>Market Rate Comp #1: No income restrictions, 1967 vintage (1 yr diff), 32 units, 1.2 mi from subject. 1BD only; shows local market-rate 1BD rent.</t>
        </is>
      </c>
      <c r="AE12" s="136" t="inlineStr">
        <is>
          <t>https://www.apartments.com/sherbondy-villas-opa-locka-fl/</t>
        </is>
      </c>
      <c r="AF12" s="136" t="n"/>
      <c r="AG12" s="136" t="n"/>
      <c r="AH12" s="136" t="n"/>
      <c r="AI12" s="136" t="n"/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inlineStr">
        <is>
          <t>2</t>
        </is>
      </c>
      <c r="B13" s="71" t="inlineStr">
        <is>
          <t>MARKET RATE</t>
        </is>
      </c>
      <c r="C13" s="68" t="inlineStr">
        <is>
          <t>Wellspring Apartments</t>
        </is>
      </c>
      <c r="D13" s="101" t="inlineStr">
        <is>
          <t>14701 NW 27th Ave, Opa Locka, FL 33054</t>
        </is>
      </c>
      <c r="E13" s="101" t="inlineStr">
        <is>
          <t>Opa Locka</t>
        </is>
      </c>
      <c r="F13" s="101" t="inlineStr">
        <is>
          <t>FL</t>
        </is>
      </c>
      <c r="G13" s="101" t="inlineStr">
        <is>
          <t>33054</t>
        </is>
      </c>
      <c r="H13" s="101" t="inlineStr">
        <is>
          <t>1.8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$1,736</t>
        </is>
      </c>
      <c r="L13" s="53" t="inlineStr">
        <is>
          <t>$1,989</t>
        </is>
      </c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$2,376</t>
        </is>
      </c>
      <c r="P13" s="53" t="inlineStr">
        <is>
          <t>$2,440</t>
        </is>
      </c>
      <c r="Q13" s="102" t="inlineStr">
        <is>
          <t>N/A (Market Rate)</t>
        </is>
      </c>
      <c r="R13" s="102" t="inlineStr">
        <is>
          <t>N/A (Market Rate)</t>
        </is>
      </c>
      <c r="S13" s="102" t="inlineStr">
        <is>
          <t>$3,044</t>
        </is>
      </c>
      <c r="T13" s="102" t="inlineStr">
        <is>
          <t>N/A</t>
        </is>
      </c>
      <c r="U13" s="102" t="inlineStr">
        <is>
          <t>N/A</t>
        </is>
      </c>
      <c r="V13" s="102" t="n">
        <v>2024</v>
      </c>
      <c r="W13" s="102" t="n">
        <v>56</v>
      </c>
      <c r="X13" s="102" t="inlineStr">
        <is>
          <t>No</t>
        </is>
      </c>
      <c r="Y13" s="47" t="inlineStr">
        <is>
          <t>Yes</t>
        </is>
      </c>
      <c r="Z13" s="103" t="inlineStr">
        <is>
          <t>No</t>
        </is>
      </c>
      <c r="AA13" s="117" t="inlineStr">
        <is>
          <t>Yes</t>
        </is>
      </c>
      <c r="AB13" s="134" t="inlineStr">
        <is>
          <t>No</t>
        </is>
      </c>
      <c r="AC13" s="136" t="inlineStr">
        <is>
          <t>HIGH</t>
        </is>
      </c>
      <c r="AD13" s="136" t="inlineStr">
        <is>
          <t>Market Rate Comp #2: No income restrictions, 2024 vintage (new senior community), 1BD $1,989 / 2BD $2,440. Located 1.8 mi from subject in same zip 33054.</t>
        </is>
      </c>
      <c r="AE13" s="136" t="inlineStr">
        <is>
          <t>https://www.apartments.com/wellspring-apartments-opa-locka-fl/</t>
        </is>
      </c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inlineStr">
        <is>
          <t>3</t>
        </is>
      </c>
      <c r="B14" s="69" t="inlineStr">
        <is>
          <t>MARKET RATE</t>
        </is>
      </c>
      <c r="C14" s="66" t="inlineStr">
        <is>
          <t>Individual Units — 33054 (2BD avg)</t>
        </is>
      </c>
      <c r="D14" s="95" t="inlineStr">
        <is>
          <t>Various addresses, Opa Locka, FL 33054</t>
        </is>
      </c>
      <c r="E14" s="95" t="inlineStr">
        <is>
          <t>Opa Locka</t>
        </is>
      </c>
      <c r="F14" s="95" t="inlineStr">
        <is>
          <t>FL</t>
        </is>
      </c>
      <c r="G14" s="95" t="inlineStr">
        <is>
          <t>33054</t>
        </is>
      </c>
      <c r="H14" s="95" t="inlineStr">
        <is>
          <t>&lt; 3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$1,736</t>
        </is>
      </c>
      <c r="L14" s="53" t="inlineStr">
        <is>
          <t>$1,300</t>
        </is>
      </c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$2,376</t>
        </is>
      </c>
      <c r="P14" s="53" t="inlineStr">
        <is>
          <t>$1,760</t>
        </is>
      </c>
      <c r="Q14" s="96" t="inlineStr">
        <is>
          <t>N/A (Market Rate)</t>
        </is>
      </c>
      <c r="R14" s="96" t="inlineStr">
        <is>
          <t>N/A (Market Rate)</t>
        </is>
      </c>
      <c r="S14" s="96" t="inlineStr">
        <is>
          <t>$3,044</t>
        </is>
      </c>
      <c r="T14" s="96" t="inlineStr">
        <is>
          <t>$2,598</t>
        </is>
      </c>
      <c r="U14" s="96" t="inlineStr">
        <is>
          <t>N/A</t>
        </is>
      </c>
      <c r="V14" s="96" t="inlineStr">
        <is>
          <t>Various</t>
        </is>
      </c>
      <c r="W14" s="96" t="inlineStr">
        <is>
          <t>N/A</t>
        </is>
      </c>
      <c r="X14" s="96" t="inlineStr">
        <is>
          <t>Varies</t>
        </is>
      </c>
      <c r="Y14" s="45" t="inlineStr">
        <is>
          <t>Varies</t>
        </is>
      </c>
      <c r="Z14" s="97" t="inlineStr">
        <is>
          <t>Varies</t>
        </is>
      </c>
      <c r="AA14" s="113" t="inlineStr">
        <is>
          <t>Varies</t>
        </is>
      </c>
      <c r="AB14" s="134" t="inlineStr">
        <is>
          <t>Varies</t>
        </is>
      </c>
      <c r="AC14" s="136" t="inlineStr">
        <is>
          <t>HIGH</t>
        </is>
      </c>
      <c r="AD14" s="136" t="inlineStr">
        <is>
          <t>Market Rate Comp #3: Aggregated individual unit listings in zip 33054 (Apartments.com/Zillow). 1BD avg of 4 units: $1,300. 2BD avg of 4 units: $1,760 (14100 NW 24th Ct $1,670, 1851 Ali Baba Ave $1,650, 4Plex $1,850, 1920 NW 151st St $1,975 → avg $1,786 rounded). 3BD avg of 4 units: $2,598 (2290 NW 136th Ter $2,400, 16340 NW 17th Ct $2,795, 2508 Superior St $2,800, 14162 NW 17th Ave $2,900 → avg $2,724 rounded).</t>
        </is>
      </c>
      <c r="AE14" s="136" t="inlineStr">
        <is>
          <t>https://www.apartments.com/opa-locka-fl-33054/</t>
        </is>
      </c>
      <c r="AF14" s="136" t="n"/>
      <c r="AG14" s="136" t="n"/>
      <c r="AH14" s="136" t="n"/>
      <c r="AI14" s="136" t="n"/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inlineStr">
        <is>
          <t>4</t>
        </is>
      </c>
      <c r="B15" s="69" t="inlineStr">
        <is>
          <t>MARKET RATE</t>
        </is>
      </c>
      <c r="C15" s="66" t="inlineStr">
        <is>
          <t>Oak Enclave</t>
        </is>
      </c>
      <c r="D15" s="95" t="inlineStr">
        <is>
          <t>2301 NW 167th St, Miami Gardens, FL 33056</t>
        </is>
      </c>
      <c r="E15" s="95" t="inlineStr">
        <is>
          <t>Miami Gardens</t>
        </is>
      </c>
      <c r="F15" s="95" t="inlineStr">
        <is>
          <t>FL</t>
        </is>
      </c>
      <c r="G15" s="95" t="inlineStr">
        <is>
          <t>33056</t>
        </is>
      </c>
      <c r="H15" s="95" t="inlineStr">
        <is>
          <t>3.1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$1,736</t>
        </is>
      </c>
      <c r="L15" s="53" t="inlineStr">
        <is>
          <t>$2,000</t>
        </is>
      </c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$2,376</t>
        </is>
      </c>
      <c r="P15" s="53" t="inlineStr">
        <is>
          <t>$2,240</t>
        </is>
      </c>
      <c r="Q15" s="96" t="inlineStr">
        <is>
          <t>N/A (Market Rate)</t>
        </is>
      </c>
      <c r="R15" s="96" t="inlineStr">
        <is>
          <t>N/A (Market Rate)</t>
        </is>
      </c>
      <c r="S15" s="96" t="inlineStr">
        <is>
          <t>$3,044</t>
        </is>
      </c>
      <c r="T15" s="96" t="inlineStr">
        <is>
          <t>$2,670</t>
        </is>
      </c>
      <c r="U15" s="96" t="inlineStr">
        <is>
          <t>N/A</t>
        </is>
      </c>
      <c r="V15" s="96" t="inlineStr">
        <is>
          <t>N/A</t>
        </is>
      </c>
      <c r="W15" s="96" t="inlineStr">
        <is>
          <t>N/A</t>
        </is>
      </c>
      <c r="X15" s="96" t="inlineStr">
        <is>
          <t>No</t>
        </is>
      </c>
      <c r="Y15" s="45" t="inlineStr">
        <is>
          <t>Yes</t>
        </is>
      </c>
      <c r="Z15" s="97" t="inlineStr">
        <is>
          <t>Yes</t>
        </is>
      </c>
      <c r="AA15" s="113" t="inlineStr">
        <is>
          <t>Yes</t>
        </is>
      </c>
      <c r="AB15" s="134" t="inlineStr">
        <is>
          <t>No</t>
        </is>
      </c>
      <c r="AC15" s="136" t="inlineStr">
        <is>
          <t>HIGH</t>
        </is>
      </c>
      <c r="AD15" s="136" t="inlineStr">
        <is>
          <t>Market Rate Comp #4: No income restrictions, luxury complex, 3.1 mi from subject in adjacent zip 33056 (Miami Gardens). 1BD $2,000 / 2BD $2,240 / 3BD $2,670. Shows premium end of market.</t>
        </is>
      </c>
      <c r="AE15" s="136" t="inlineStr">
        <is>
          <t>https://www.apartments.com/oak-enclave-miami-gardens-fl/</t>
        </is>
      </c>
      <c r="AF15" s="136" t="n"/>
      <c r="AG15" s="136" t="n"/>
      <c r="AH15" s="136" t="n"/>
      <c r="AI15" s="136" t="n"/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inlineStr">
        <is>
          <t>5</t>
        </is>
      </c>
      <c r="B16" s="82" t="inlineStr">
        <is>
          <t>MARKET RATE</t>
        </is>
      </c>
      <c r="C16" s="119" t="inlineStr">
        <is>
          <t>Emerald Bay</t>
        </is>
      </c>
      <c r="D16" s="120" t="inlineStr">
        <is>
          <t>8570 W 40th Ave, Hialeah, FL 33018</t>
        </is>
      </c>
      <c r="E16" s="120" t="inlineStr">
        <is>
          <t>Hialeah</t>
        </is>
      </c>
      <c r="F16" s="120" t="inlineStr">
        <is>
          <t>FL</t>
        </is>
      </c>
      <c r="G16" s="120" t="inlineStr">
        <is>
          <t>33018</t>
        </is>
      </c>
      <c r="H16" s="120" t="inlineStr">
        <is>
          <t>4.2 mi</t>
        </is>
      </c>
      <c r="I16" s="120" t="inlineStr">
        <is>
          <t>N/A (Market Rate)</t>
        </is>
      </c>
      <c r="J16" s="120" t="inlineStr">
        <is>
          <t>N/A (Market Rate)</t>
        </is>
      </c>
      <c r="K16" s="121" t="inlineStr">
        <is>
          <t>$1,736</t>
        </is>
      </c>
      <c r="L16" s="83" t="inlineStr">
        <is>
          <t>$2,250</t>
        </is>
      </c>
      <c r="M16" s="122" t="inlineStr">
        <is>
          <t>N/A (Market Rate)</t>
        </is>
      </c>
      <c r="N16" s="122" t="inlineStr">
        <is>
          <t>N/A (Market Rate)</t>
        </is>
      </c>
      <c r="O16" s="121" t="inlineStr">
        <is>
          <t>$2,376</t>
        </is>
      </c>
      <c r="P16" s="83" t="inlineStr">
        <is>
          <t>$2,650</t>
        </is>
      </c>
      <c r="Q16" s="122" t="inlineStr">
        <is>
          <t>N/A (Market Rate)</t>
        </is>
      </c>
      <c r="R16" s="122" t="inlineStr">
        <is>
          <t>N/A (Market Rate)</t>
        </is>
      </c>
      <c r="S16" s="122" t="inlineStr">
        <is>
          <t>$3,044</t>
        </is>
      </c>
      <c r="T16" s="122" t="inlineStr">
        <is>
          <t>$2,950</t>
        </is>
      </c>
      <c r="U16" s="122" t="n">
        <v>311</v>
      </c>
      <c r="V16" s="122" t="n">
        <v>2023</v>
      </c>
      <c r="W16" s="122" t="n">
        <v>52</v>
      </c>
      <c r="X16" s="122" t="inlineStr">
        <is>
          <t>No</t>
        </is>
      </c>
      <c r="Y16" s="84" t="inlineStr">
        <is>
          <t>Yes</t>
        </is>
      </c>
      <c r="Z16" s="123" t="inlineStr">
        <is>
          <t>Yes</t>
        </is>
      </c>
      <c r="AA16" s="124" t="inlineStr">
        <is>
          <t>Yes</t>
        </is>
      </c>
      <c r="AB16" s="134" t="inlineStr">
        <is>
          <t>Yes</t>
        </is>
      </c>
      <c r="AC16" s="136" t="inlineStr">
        <is>
          <t>HIGH</t>
        </is>
      </c>
      <c r="AD16" s="136" t="inlineStr">
        <is>
          <t>Market Rate Comp #5: No income restrictions, 2023 vintage (52 yr diff), 311 units, 4.2 mi from subject in Hialeah FL 33018. Managed by Greystar. 1BD $2,250 / 2BD $2,650 / 3BD $2,950.</t>
        </is>
      </c>
      <c r="AE16" s="136" t="inlineStr">
        <is>
          <t>https://www.apartments.com/emerald-bay-hialeah-fl/r1y8qg1/</t>
        </is>
      </c>
      <c r="AF16" s="136" t="n"/>
      <c r="AG16" s="136" t="n"/>
      <c r="AH16" s="136" t="n"/>
      <c r="AI16" s="136" t="n"/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inlineStr">
        <is>
          <t>6</t>
        </is>
      </c>
      <c r="B17" s="88" t="inlineStr">
        <is>
          <t>MARKET RATE</t>
        </is>
      </c>
      <c r="C17" s="89" t="inlineStr">
        <is>
          <t>Ecco Lofts</t>
        </is>
      </c>
      <c r="D17" s="87" t="inlineStr">
        <is>
          <t>1453 W 29th St, Hialeah, FL 33012</t>
        </is>
      </c>
      <c r="E17" s="87" t="inlineStr">
        <is>
          <t>Hialeah</t>
        </is>
      </c>
      <c r="F17" s="87" t="inlineStr">
        <is>
          <t>FL</t>
        </is>
      </c>
      <c r="G17" s="87" t="inlineStr">
        <is>
          <t>33012</t>
        </is>
      </c>
      <c r="H17" s="87" t="inlineStr">
        <is>
          <t>5.8 mi</t>
        </is>
      </c>
      <c r="I17" s="87" t="inlineStr">
        <is>
          <t>N/A (Market Rate)</t>
        </is>
      </c>
      <c r="J17" s="87" t="inlineStr">
        <is>
          <t>N/A (Market Rate)</t>
        </is>
      </c>
      <c r="K17" s="90" t="inlineStr">
        <is>
          <t>$1,736</t>
        </is>
      </c>
      <c r="L17" s="91" t="inlineStr">
        <is>
          <t>$2,175</t>
        </is>
      </c>
      <c r="M17" s="92" t="inlineStr">
        <is>
          <t>N/A (Market Rate)</t>
        </is>
      </c>
      <c r="N17" s="92" t="inlineStr">
        <is>
          <t>N/A (Market Rate)</t>
        </is>
      </c>
      <c r="O17" s="90" t="inlineStr">
        <is>
          <t>$2,376</t>
        </is>
      </c>
      <c r="P17" s="91" t="inlineStr">
        <is>
          <t>$2,395</t>
        </is>
      </c>
      <c r="Q17" s="92" t="inlineStr">
        <is>
          <t>N/A (Market Rate)</t>
        </is>
      </c>
      <c r="R17" s="92" t="inlineStr">
        <is>
          <t>N/A (Market Rate)</t>
        </is>
      </c>
      <c r="S17" s="92" t="inlineStr">
        <is>
          <t>$3,044</t>
        </is>
      </c>
      <c r="T17" s="92" t="inlineStr">
        <is>
          <t>N/A</t>
        </is>
      </c>
      <c r="U17" s="92" t="n">
        <v>60</v>
      </c>
      <c r="V17" s="92" t="n">
        <v>2025</v>
      </c>
      <c r="W17" s="92" t="n">
        <v>54</v>
      </c>
      <c r="X17" s="92" t="inlineStr">
        <is>
          <t>No</t>
        </is>
      </c>
      <c r="Y17" s="93" t="inlineStr">
        <is>
          <t>No</t>
        </is>
      </c>
      <c r="Z17" s="94" t="inlineStr">
        <is>
          <t>No</t>
        </is>
      </c>
      <c r="AA17" s="92" t="inlineStr">
        <is>
          <t>No</t>
        </is>
      </c>
      <c r="AB17" s="136" t="inlineStr">
        <is>
          <t>No</t>
        </is>
      </c>
      <c r="AC17" s="136" t="inlineStr">
        <is>
          <t>HIGH</t>
        </is>
      </c>
      <c r="AD17" s="136" t="inlineStr">
        <is>
          <t>Market Rate Comp #6: No income restrictions, 2025 vintage (54 yr diff), 60 units, 5.8 mi from subject in Hialeah FL 33012. Managed by Prestige Companies. 1BD $2,175 / 2BD $2,395 / 3BD N/A.</t>
        </is>
      </c>
      <c r="AE17" s="136" t="inlineStr">
        <is>
          <t>https://www.apartments.com/ecco-lofts-hialeah-fl/184yfc5/</t>
        </is>
      </c>
      <c r="AF17" s="136" t="n"/>
      <c r="AG17" s="136" t="n"/>
      <c r="AH17" s="136" t="n"/>
      <c r="AI17" s="136" t="n"/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inlineStr">
        <is>
          <t>—</t>
        </is>
      </c>
      <c r="B18" s="62" t="inlineStr">
        <is>
          <t>BENCHMARK</t>
        </is>
      </c>
      <c r="C18" s="65" t="inlineStr">
        <is>
          <t>FY2026 FMR — Miami-Dade County</t>
        </is>
      </c>
      <c r="D18" s="60" t="inlineStr">
        <is>
          <t>N/A</t>
        </is>
      </c>
      <c r="E18" s="60" t="inlineStr">
        <is>
          <t>Opa Locka</t>
        </is>
      </c>
      <c r="F18" s="60" t="inlineStr">
        <is>
          <t>FL</t>
        </is>
      </c>
      <c r="G18" s="60" t="inlineStr">
        <is>
          <t>N/A</t>
        </is>
      </c>
      <c r="H18" s="60" t="inlineStr">
        <is>
          <t>N/A</t>
        </is>
      </c>
      <c r="I18" s="60" t="inlineStr">
        <is>
          <t>$1,736</t>
        </is>
      </c>
      <c r="J18" s="60" t="inlineStr">
        <is>
          <t>$1,736</t>
        </is>
      </c>
      <c r="K18" s="41" t="inlineStr">
        <is>
          <t>$1,736</t>
        </is>
      </c>
      <c r="L18" s="53" t="inlineStr">
        <is>
          <t>N/A</t>
        </is>
      </c>
      <c r="M18" s="48" t="inlineStr">
        <is>
          <t>$2,376</t>
        </is>
      </c>
      <c r="N18" s="48" t="inlineStr">
        <is>
          <t>$2,376</t>
        </is>
      </c>
      <c r="O18" s="41" t="inlineStr">
        <is>
          <t>$2,376</t>
        </is>
      </c>
      <c r="P18" s="53" t="inlineStr">
        <is>
          <t>N/A</t>
        </is>
      </c>
      <c r="Q18" s="48" t="inlineStr">
        <is>
          <t>$3,044</t>
        </is>
      </c>
      <c r="R18" s="48" t="inlineStr">
        <is>
          <t>$3,044</t>
        </is>
      </c>
      <c r="S18" s="48" t="inlineStr">
        <is>
          <t>$3,044</t>
        </is>
      </c>
      <c r="T18" s="48" t="inlineStr">
        <is>
          <t>N/A</t>
        </is>
      </c>
      <c r="U18" s="48" t="inlineStr">
        <is>
          <t>N/A</t>
        </is>
      </c>
      <c r="V18" s="48" t="inlineStr">
        <is>
          <t>N/A</t>
        </is>
      </c>
      <c r="W18" s="48" t="inlineStr">
        <is>
          <t>N/A</t>
        </is>
      </c>
      <c r="X18" s="48" t="inlineStr">
        <is>
          <t>N/A</t>
        </is>
      </c>
      <c r="Y18" s="49" t="inlineStr">
        <is>
          <t>N/A</t>
        </is>
      </c>
      <c r="Z18" s="57" t="inlineStr">
        <is>
          <t>N/A</t>
        </is>
      </c>
      <c r="AA18" s="48" t="inlineStr">
        <is>
          <t>N/A</t>
        </is>
      </c>
      <c r="AB18" s="136" t="inlineStr">
        <is>
          <t>N/A</t>
        </is>
      </c>
      <c r="AC18" s="136" t="inlineStr">
        <is>
          <t>BENCHMARK</t>
        </is>
      </c>
      <c r="AD18" s="136" t="inlineStr">
        <is>
          <t>BENCHMARK — HUD Fair Market Rent (FMR) for Miami-Dade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8" s="136" t="inlineStr">
        <is>
          <t>HUD FMR Database (huduser.gov)</t>
        </is>
      </c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inlineStr">
        <is>
          <t>$1,852</t>
        </is>
      </c>
      <c r="M19" s="302" t="inlineStr">
        <is>
          <t>$2,297</t>
        </is>
      </c>
      <c r="N19" s="302" t="inlineStr">
        <is>
          <t>$2,297</t>
        </is>
      </c>
      <c r="O19" s="343" t="inlineStr">
        <is>
          <t>$2,297</t>
        </is>
      </c>
      <c r="P19" s="302" t="inlineStr">
        <is>
          <t>$2,297</t>
        </is>
      </c>
      <c r="Q19" s="302" t="inlineStr">
        <is>
          <t>$2,739</t>
        </is>
      </c>
      <c r="R19" s="302" t="inlineStr">
        <is>
          <t>$2,739</t>
        </is>
      </c>
      <c r="S19" s="302" t="inlineStr">
        <is>
          <t>$2,739</t>
        </is>
      </c>
      <c r="T19" s="302" t="inlineStr">
        <is>
          <t>$2,739</t>
        </is>
      </c>
      <c r="U19" s="302" t="inlineStr">
        <is>
          <t>N/A</t>
        </is>
      </c>
      <c r="V19" s="302" t="inlineStr">
        <is>
          <t>N/A</t>
        </is>
      </c>
      <c r="W19" s="302" t="inlineStr">
        <is>
          <t>N/A</t>
        </is>
      </c>
      <c r="X19" s="302" t="inlineStr">
        <is>
          <t>N/A</t>
        </is>
      </c>
      <c r="Y19" s="302" t="inlineStr">
        <is>
          <t>N/A</t>
        </is>
      </c>
      <c r="Z19" s="302" t="inlineStr">
        <is>
          <t>BENCHMARK — Live Market Average for Opa Locka (33054) and adjacent areas, calculated from 6 market-rate comps as of Apr 30, 2026. 1BD avg: $1,852 (Sherbondy Villas $1,400, Wellspring $1,989, Individual Units $1,300, Oak Enclave $2,000, Emerald Bay $2,250, Ecco Lofts $2,175). 2BD avg: $2,297 (Wellspring $2,440, Individual Units $1,760, Oak Enclave $2,240, Emerald Bay $2,650, Ecco Lofts $2,395 — Sherbondy Villas has no 2BD). 3BD avg: $2,739 (Individual Units $2,598, Oak Enclave $2,670, Emerald Bay $2,950 — 3 comps with 3BD available).</t>
        </is>
      </c>
      <c r="AA19" s="353" t="inlineStr">
        <is>
          <t>N/A</t>
        </is>
      </c>
      <c r="AB19" s="302" t="inlineStr">
        <is>
          <t>N/A</t>
        </is>
      </c>
      <c r="AC19" s="136" t="inlineStr">
        <is>
          <t>BENCHMARK</t>
        </is>
      </c>
      <c r="AD19" s="136" t="inlineStr">
        <is>
          <t>BENCHMARK — Live Market Average for Opa Locka (33054), calculated from 4 market-rate comps as of Apr 30, 2026. 1BD avg: $1,672 (Sherbondy $1,400, Wellspring $1,989, Individual $1,300, Oak Enclave $2,000). 2BD avg: $2,079 (Wellspring $2,440, Individual units $1,786, Oak Enclave $2,240, 4Plex $1,850). 3BD avg: $2,697 (Individual units $2,724, Oak Enclave $2,670).</t>
        </is>
      </c>
      <c r="AE19" s="136" t="inlineStr">
        <is>
          <t>Apartments.com live data, Apr 30, 2026</t>
        </is>
      </c>
      <c r="AF19" s="136" t="n"/>
      <c r="AG19" s="136" t="n"/>
      <c r="AH19" s="136" t="n"/>
      <c r="AI19" s="136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Format="1" customHeight="1" s="2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Height="1" s="131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Height="1" s="131">
      <c r="A25" s="372" t="n"/>
      <c r="B25" s="201" t="inlineStr">
        <is>
          <t>1BD</t>
        </is>
      </c>
      <c r="C25" s="194" t="n"/>
      <c r="D25" s="200" t="n">
        <v>1852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Format="1" customHeight="1" s="2">
      <c r="A26" s="372" t="n"/>
      <c r="B26" s="201" t="inlineStr">
        <is>
          <t>2BD</t>
        </is>
      </c>
      <c r="C26" s="194" t="n"/>
      <c r="D26" s="200" t="n">
        <v>2297</v>
      </c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24.75" customFormat="1" customHeight="1" s="2">
      <c r="A27" s="369" t="n"/>
      <c r="B27" s="201" t="inlineStr">
        <is>
          <t>3BD</t>
        </is>
      </c>
      <c r="C27" s="194" t="n"/>
      <c r="D27" s="200" t="n">
        <v>2739</v>
      </c>
      <c r="E27" s="195" t="n"/>
      <c r="F27" s="183" t="n"/>
      <c r="G27" s="183" t="n"/>
      <c r="H27" s="183" t="n"/>
      <c r="I27" s="183" t="n"/>
      <c r="J27" s="183" t="n"/>
      <c r="K27" s="302" t="n"/>
      <c r="L27" s="302" t="n"/>
      <c r="M27" s="302" t="n"/>
      <c r="N27" s="302" t="n"/>
      <c r="O27" s="343" t="n"/>
      <c r="P27" s="302" t="n"/>
      <c r="Q27" s="302" t="n"/>
      <c r="R27" s="302" t="n"/>
      <c r="S27" s="302" t="n"/>
      <c r="T27" s="302" t="n"/>
      <c r="U27" s="302" t="n"/>
      <c r="V27" s="302" t="n"/>
      <c r="W27" s="302" t="n"/>
      <c r="X27" s="302" t="n"/>
      <c r="Y27" s="302" t="n"/>
      <c r="Z27" s="302" t="n"/>
      <c r="AA27" s="353" t="n"/>
      <c r="AB27" s="302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8.1" customFormat="1" customHeight="1" s="2">
      <c r="A28" s="382" t="n"/>
      <c r="B28" s="403" t="n"/>
      <c r="C28" s="403" t="n"/>
      <c r="D28" s="403" t="n"/>
      <c r="E28" s="404" t="n"/>
      <c r="F28" s="382" t="n"/>
      <c r="G28" s="369" t="n"/>
      <c r="H28" s="369" t="n"/>
      <c r="I28" s="369" t="n"/>
      <c r="J28" s="369" t="n"/>
      <c r="K28" s="369" t="n"/>
      <c r="L28" s="134" t="n"/>
      <c r="M28" s="134" t="n"/>
      <c r="N28" s="134" t="n"/>
      <c r="O28" s="134" t="n"/>
      <c r="P28" s="134" t="n"/>
      <c r="Q28" s="134" t="n"/>
      <c r="R28" s="134" t="n"/>
      <c r="S28" s="134" t="n"/>
      <c r="T28" s="134" t="n"/>
      <c r="U28" s="134" t="n"/>
      <c r="V28" s="134" t="n"/>
      <c r="W28" s="134" t="n"/>
      <c r="X28" s="134" t="n"/>
      <c r="Y28" s="134" t="n"/>
      <c r="Z28" s="135" t="n"/>
      <c r="AA28" s="134" t="n"/>
      <c r="AB28" s="134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24.75" customFormat="1" customHeight="1" s="2">
      <c r="A29" s="302" t="n"/>
      <c r="B29" s="211" t="inlineStr">
        <is>
          <t>PMTS — Vouchers / FMR / UAP / NET</t>
        </is>
      </c>
      <c r="G29" s="365" t="n"/>
      <c r="H29" s="183" t="n"/>
      <c r="I29" s="183" t="n"/>
      <c r="J29" s="183" t="n"/>
      <c r="K29" s="302" t="n"/>
      <c r="L29" s="302" t="n"/>
      <c r="M29" s="302" t="n"/>
      <c r="N29" s="302" t="n"/>
      <c r="O29" s="302" t="n"/>
      <c r="P29" s="302" t="n"/>
      <c r="Q29" s="302" t="n"/>
      <c r="R29" s="302" t="n"/>
      <c r="S29" s="302" t="n"/>
      <c r="T29" s="302" t="n"/>
      <c r="U29" s="302" t="n"/>
      <c r="V29" s="302" t="n"/>
      <c r="W29" s="302" t="n"/>
      <c r="X29" s="302" t="n"/>
      <c r="Y29" s="302" t="n"/>
      <c r="Z29" s="302" t="n"/>
      <c r="AA29" s="353" t="n"/>
      <c r="AB29" s="302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15.95" customFormat="1" customHeight="1" s="2">
      <c r="A30" s="302" t="n"/>
      <c r="B30" s="226" t="n"/>
      <c r="C30" s="213" t="inlineStr">
        <is>
          <t>MKT</t>
        </is>
      </c>
      <c r="D30" s="213" t="inlineStr">
        <is>
          <t>VCH</t>
        </is>
      </c>
      <c r="E30" s="214" t="inlineStr">
        <is>
          <t>FMR</t>
        </is>
      </c>
      <c r="F30" s="215" t="inlineStr">
        <is>
          <t>UAP</t>
        </is>
      </c>
      <c r="G30" s="216" t="inlineStr">
        <is>
          <t>NET</t>
        </is>
      </c>
      <c r="H30" s="183" t="n"/>
      <c r="I30" s="183" t="n"/>
      <c r="J30" s="183" t="n"/>
      <c r="K30" s="302" t="n"/>
      <c r="L30" s="302" t="n"/>
      <c r="M30" s="302" t="n"/>
      <c r="N30" s="302" t="n"/>
      <c r="O30" s="302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24.75" customHeight="1" s="131">
      <c r="A31" s="372" t="n"/>
      <c r="B31" s="217" t="inlineStr">
        <is>
          <t>1BD</t>
        </is>
      </c>
      <c r="C31" s="197" t="n">
        <v>0</v>
      </c>
      <c r="D31" s="197" t="n">
        <v>0</v>
      </c>
      <c r="E31" s="198" t="n">
        <v>1470</v>
      </c>
      <c r="F31" s="199" t="n">
        <v>0</v>
      </c>
      <c r="G31" s="218" t="n">
        <v>1470</v>
      </c>
      <c r="H31" s="183" t="n"/>
      <c r="I31" s="183" t="n"/>
      <c r="J31" s="183" t="n"/>
      <c r="K31" s="302" t="n"/>
      <c r="L31" s="302" t="n"/>
      <c r="M31" s="302" t="n"/>
      <c r="N31" s="302" t="n"/>
      <c r="O31" s="343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24.75" customHeight="1" s="131">
      <c r="A32" s="369" t="n"/>
      <c r="B32" s="217" t="inlineStr">
        <is>
          <t>2BD</t>
        </is>
      </c>
      <c r="C32" s="197" t="n">
        <v>1900</v>
      </c>
      <c r="D32" s="197" t="n">
        <v>0</v>
      </c>
      <c r="E32" s="198" t="n">
        <v>1800</v>
      </c>
      <c r="F32" s="199" t="n">
        <v>0</v>
      </c>
      <c r="G32" s="218" t="n">
        <v>1800</v>
      </c>
      <c r="H32" s="183" t="n"/>
      <c r="I32" s="183" t="n"/>
      <c r="J32" s="183" t="n"/>
      <c r="K32" s="302" t="n"/>
      <c r="L32" s="302" t="n"/>
      <c r="M32" s="302" t="n"/>
      <c r="N32" s="302" t="n"/>
      <c r="O32" s="343" t="n"/>
      <c r="P32" s="302" t="n"/>
      <c r="Q32" s="302" t="n"/>
      <c r="R32" s="302" t="n"/>
      <c r="S32" s="302" t="n"/>
      <c r="T32" s="302" t="n"/>
      <c r="U32" s="302" t="n"/>
      <c r="V32" s="302" t="n"/>
      <c r="W32" s="302" t="n"/>
      <c r="X32" s="302" t="n"/>
      <c r="Y32" s="302" t="n"/>
      <c r="Z32" s="302" t="n"/>
      <c r="AA32" s="353" t="n"/>
      <c r="AB32" s="302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24.75" customFormat="1" customHeight="1" s="2">
      <c r="A33" s="382" t="n"/>
      <c r="B33" s="217" t="inlineStr">
        <is>
          <t>3BD</t>
        </is>
      </c>
      <c r="C33" s="197" t="n">
        <v>0</v>
      </c>
      <c r="D33" s="197" t="n">
        <v>0</v>
      </c>
      <c r="E33" s="198" t="n">
        <v>2320</v>
      </c>
      <c r="F33" s="199" t="n">
        <v>0</v>
      </c>
      <c r="G33" s="218" t="n">
        <v>2320</v>
      </c>
      <c r="H33" s="183" t="n"/>
      <c r="I33" s="183" t="n"/>
      <c r="J33" s="183" t="n"/>
      <c r="K33" s="302" t="n"/>
      <c r="L33" s="302" t="n"/>
      <c r="M33" s="302" t="n"/>
      <c r="N33" s="302" t="n"/>
      <c r="O33" s="343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8.1" customFormat="1" customHeight="1" s="2">
      <c r="A34" s="372" t="n"/>
      <c r="B34" s="372" t="n"/>
      <c r="C34" s="372" t="n"/>
      <c r="D34" s="372" t="n"/>
      <c r="E34" s="372" t="n"/>
      <c r="F34" s="369" t="n"/>
      <c r="G34" s="369" t="n"/>
      <c r="H34" s="369" t="n"/>
      <c r="I34" s="369" t="n"/>
      <c r="J34" s="369" t="n"/>
      <c r="K34" s="369" t="n"/>
      <c r="L34" s="136" t="n"/>
      <c r="M34" s="136" t="n"/>
      <c r="N34" s="136" t="n"/>
      <c r="O34" s="136" t="n"/>
      <c r="P34" s="136" t="n"/>
      <c r="Q34" s="136" t="n"/>
      <c r="R34" s="136" t="n"/>
      <c r="S34" s="136" t="n"/>
      <c r="T34" s="136" t="n"/>
      <c r="U34" s="136" t="n"/>
      <c r="V34" s="136" t="n"/>
      <c r="W34" s="136" t="n"/>
      <c r="X34" s="136" t="n"/>
      <c r="Y34" s="136" t="n"/>
      <c r="Z34" s="136" t="n"/>
      <c r="AA34" s="136" t="n"/>
      <c r="AB34" s="136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24.75" customFormat="1" customHeight="1" s="2">
      <c r="A35" s="302" t="n"/>
      <c r="B35" s="366" t="inlineStr">
        <is>
          <t>LIHTC, UAP, NET</t>
        </is>
      </c>
      <c r="C35" s="358" t="n"/>
      <c r="D35" s="358" t="n"/>
      <c r="E35" s="358" t="n"/>
      <c r="F35" s="358" t="n"/>
      <c r="G35" s="359" t="n"/>
      <c r="H35" s="183" t="n"/>
      <c r="I35" s="183" t="n"/>
      <c r="J35" s="183" t="n"/>
      <c r="K35" s="302" t="n"/>
      <c r="L35" s="302" t="n"/>
      <c r="M35" s="302" t="n"/>
      <c r="N35" s="302" t="n"/>
      <c r="O35" s="302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16.5" customFormat="1" customHeight="1" s="2">
      <c r="A36" s="369" t="n"/>
      <c r="B36" s="226" t="inlineStr">
        <is>
          <t>No LIHTC data available</t>
        </is>
      </c>
      <c r="C36" s="228" t="n"/>
      <c r="D36" s="228" t="n"/>
      <c r="E36" s="215" t="n"/>
      <c r="F36" s="216" t="n"/>
      <c r="G36" s="183" t="n"/>
      <c r="H36" s="183" t="n"/>
      <c r="I36" s="183" t="n"/>
      <c r="J36" s="183" t="n"/>
      <c r="K36" s="302" t="n"/>
      <c r="L36" s="302" t="n"/>
      <c r="M36" s="302" t="n"/>
      <c r="N36" s="302" t="n"/>
      <c r="O36" s="343" t="n"/>
      <c r="P36" s="302" t="n"/>
      <c r="Q36" s="302" t="n"/>
      <c r="R36" s="302" t="n"/>
      <c r="S36" s="302" t="n"/>
      <c r="T36" s="302" t="n"/>
      <c r="U36" s="302" t="n"/>
      <c r="V36" s="302" t="n"/>
      <c r="W36" s="302" t="n"/>
      <c r="X36" s="302" t="n"/>
      <c r="Y36" s="302" t="n"/>
      <c r="Z36" s="302" t="n"/>
      <c r="AA36" s="353" t="n"/>
      <c r="AB36" s="302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18" customFormat="1" customHeight="1" s="2">
      <c r="A37" s="369" t="n"/>
      <c r="B37" s="381" t="n"/>
      <c r="C37" s="381" t="n"/>
      <c r="D37" s="369" t="n"/>
      <c r="E37" s="369" t="n"/>
      <c r="F37" s="369" t="n"/>
      <c r="G37" s="369" t="n"/>
      <c r="H37" s="369" t="n"/>
      <c r="I37" s="369" t="n"/>
      <c r="J37" s="369" t="n"/>
      <c r="K37" s="369" t="n"/>
      <c r="L37" s="134" t="n"/>
      <c r="M37" s="134" t="n"/>
      <c r="N37" s="134" t="n"/>
      <c r="O37" s="134" t="n"/>
      <c r="P37" s="134" t="n"/>
      <c r="Q37" s="134" t="n"/>
      <c r="R37" s="134" t="n"/>
      <c r="S37" s="134" t="n"/>
      <c r="T37" s="134" t="n"/>
      <c r="U37" s="134" t="n"/>
      <c r="V37" s="134" t="n"/>
      <c r="W37" s="134" t="n"/>
      <c r="X37" s="134" t="n"/>
      <c r="Y37" s="134" t="n"/>
      <c r="Z37" s="135" t="n"/>
      <c r="AA37" s="134" t="n"/>
      <c r="AB37" s="134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24.75" customHeight="1" s="131">
      <c r="A38" s="302" t="n"/>
      <c r="B38" s="207" t="inlineStr">
        <is>
          <t>HAP, CoStar, NET</t>
        </is>
      </c>
      <c r="H38" s="183" t="n"/>
      <c r="I38" s="183" t="n"/>
      <c r="J38" s="183" t="n"/>
      <c r="K38" s="302" t="n"/>
      <c r="L38" s="302" t="n"/>
      <c r="M38" s="302" t="n"/>
      <c r="N38" s="302" t="n"/>
      <c r="O38" s="302" t="n"/>
      <c r="P38" s="302" t="n"/>
      <c r="Q38" s="302" t="n"/>
      <c r="R38" s="302" t="n"/>
      <c r="S38" s="302" t="n"/>
      <c r="T38" s="302" t="n"/>
      <c r="U38" s="302" t="n"/>
      <c r="V38" s="302" t="n"/>
      <c r="W38" s="302" t="n"/>
      <c r="X38" s="302" t="n"/>
      <c r="Y38" s="302" t="n"/>
      <c r="Z38" s="302" t="n"/>
      <c r="AA38" s="353" t="n"/>
      <c r="AB38" s="302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15.95" customHeight="1" s="131">
      <c r="A39" s="302" t="n"/>
      <c r="B39" s="227" t="n"/>
      <c r="C39" s="208" t="inlineStr">
        <is>
          <t>HAP</t>
        </is>
      </c>
      <c r="D39" s="209" t="inlineStr">
        <is>
          <t>CoStar</t>
        </is>
      </c>
      <c r="E39" s="302" t="n"/>
      <c r="F39" s="302" t="n"/>
      <c r="G39" s="302" t="n"/>
      <c r="H39" s="183" t="n"/>
      <c r="I39" s="183" t="n"/>
      <c r="J39" s="183" t="n"/>
      <c r="K39" s="302" t="n"/>
      <c r="L39" s="302" t="n"/>
      <c r="M39" s="302" t="n"/>
      <c r="N39" s="302" t="n"/>
      <c r="O39" s="302" t="n"/>
      <c r="P39" s="302" t="n"/>
      <c r="Q39" s="302" t="n"/>
      <c r="R39" s="302" t="n"/>
      <c r="S39" s="302" t="n"/>
      <c r="T39" s="302" t="n"/>
      <c r="U39" s="302" t="n"/>
      <c r="V39" s="302" t="n"/>
      <c r="W39" s="302" t="n"/>
      <c r="X39" s="302" t="n"/>
      <c r="Y39" s="302" t="n"/>
      <c r="Z39" s="302" t="n"/>
      <c r="AA39" s="353" t="n"/>
      <c r="AB39" s="302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ht="24.75" customHeight="1" s="131">
      <c r="A40" s="302" t="n"/>
      <c r="B40" s="196" t="inlineStr">
        <is>
          <t>1BD</t>
        </is>
      </c>
      <c r="C40" s="199" t="n">
        <v>1365</v>
      </c>
      <c r="D40" s="198" t="n">
        <v>1443</v>
      </c>
      <c r="E40" s="183" t="n"/>
      <c r="F40" s="183" t="n"/>
      <c r="G40" s="183" t="n"/>
      <c r="H40" s="183" t="n"/>
      <c r="I40" s="183" t="n"/>
      <c r="J40" s="183" t="n"/>
      <c r="K40" s="302" t="n"/>
      <c r="L40" s="302" t="n"/>
      <c r="M40" s="302" t="n"/>
      <c r="N40" s="302" t="n"/>
      <c r="O40" s="302" t="n"/>
      <c r="P40" s="302" t="n"/>
      <c r="Q40" s="302" t="n"/>
      <c r="R40" s="302" t="n"/>
      <c r="S40" s="302" t="n"/>
      <c r="T40" s="302" t="n"/>
      <c r="U40" s="302" t="n"/>
      <c r="V40" s="302" t="n"/>
      <c r="W40" s="302" t="n"/>
      <c r="X40" s="302" t="n"/>
      <c r="Y40" s="302" t="n"/>
      <c r="Z40" s="302" t="n"/>
      <c r="AA40" s="353" t="n"/>
      <c r="AB40" s="302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ht="24.75" customHeight="1" s="131">
      <c r="A41" s="302" t="n"/>
      <c r="B41" s="196" t="inlineStr">
        <is>
          <t>2BD</t>
        </is>
      </c>
      <c r="C41" s="199" t="n">
        <v>1501</v>
      </c>
      <c r="D41" s="198" t="n">
        <v>1665</v>
      </c>
      <c r="E41" s="183" t="n"/>
      <c r="F41" s="183" t="n"/>
      <c r="G41" s="183" t="n"/>
      <c r="H41" s="183" t="n"/>
      <c r="I41" s="183" t="n"/>
      <c r="J41" s="183" t="n"/>
      <c r="K41" s="302" t="n"/>
      <c r="L41" s="302" t="n"/>
      <c r="M41" s="302" t="n"/>
      <c r="N41" s="302" t="n"/>
      <c r="O41" s="302" t="n"/>
      <c r="P41" s="302" t="n"/>
      <c r="Q41" s="302" t="n"/>
      <c r="R41" s="302" t="n"/>
      <c r="S41" s="302" t="n"/>
      <c r="T41" s="302" t="n"/>
      <c r="U41" s="302" t="n"/>
      <c r="V41" s="302" t="n"/>
      <c r="W41" s="302" t="n"/>
      <c r="X41" s="302" t="n"/>
      <c r="Y41" s="302" t="n"/>
      <c r="Z41" s="302" t="n"/>
      <c r="AA41" s="353" t="n"/>
      <c r="AB41" s="302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ht="24.75" customHeight="1" s="131">
      <c r="A42" s="302" t="n"/>
      <c r="B42" s="196" t="inlineStr">
        <is>
          <t>3BD</t>
        </is>
      </c>
      <c r="C42" s="199" t="n">
        <v>1750</v>
      </c>
      <c r="D42" s="198" t="n">
        <v>1705</v>
      </c>
      <c r="E42" s="183" t="n"/>
      <c r="F42" s="183" t="n"/>
      <c r="G42" s="183" t="n"/>
      <c r="H42" s="183" t="n"/>
      <c r="I42" s="183" t="n"/>
      <c r="J42" s="183" t="n"/>
      <c r="K42" s="302" t="n"/>
      <c r="L42" s="302" t="n"/>
      <c r="M42" s="302" t="n"/>
      <c r="N42" s="302" t="n"/>
      <c r="O42" s="302" t="n"/>
      <c r="P42" s="302" t="n"/>
      <c r="Q42" s="302" t="n"/>
      <c r="R42" s="302" t="n"/>
      <c r="S42" s="302" t="n"/>
      <c r="T42" s="302" t="n"/>
      <c r="U42" s="302" t="n"/>
      <c r="V42" s="302" t="n"/>
      <c r="W42" s="302" t="n"/>
      <c r="X42" s="302" t="n"/>
      <c r="Y42" s="302" t="n"/>
      <c r="Z42" s="302" t="n"/>
      <c r="AA42" s="353" t="n"/>
      <c r="AB42" s="302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s="131">
      <c r="A43" s="369" t="n"/>
      <c r="B43" s="369" t="n"/>
      <c r="C43" s="369" t="n"/>
      <c r="D43" s="369" t="n"/>
      <c r="E43" s="369" t="n"/>
      <c r="F43" s="369" t="n"/>
      <c r="G43" s="369" t="n"/>
      <c r="H43" s="369" t="n"/>
      <c r="I43" s="369" t="n"/>
      <c r="J43" s="369" t="n"/>
      <c r="K43" s="369" t="n"/>
      <c r="L43" s="136" t="n"/>
      <c r="M43" s="136" t="n"/>
      <c r="N43" s="136" t="n"/>
      <c r="O43" s="136" t="n"/>
      <c r="P43" s="136" t="n"/>
      <c r="Q43" s="136" t="n"/>
      <c r="R43" s="136" t="n"/>
      <c r="S43" s="136" t="n"/>
      <c r="T43" s="136" t="n"/>
      <c r="U43" s="136" t="n"/>
      <c r="V43" s="136" t="n"/>
      <c r="W43" s="136" t="n"/>
      <c r="X43" s="136" t="n"/>
      <c r="Y43" s="136" t="n"/>
      <c r="Z43" s="136" t="n"/>
      <c r="AA43" s="136" t="n"/>
      <c r="AB43" s="136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s="131">
      <c r="A44" s="369" t="n"/>
      <c r="B44" s="369" t="n"/>
      <c r="C44" s="369" t="n"/>
      <c r="D44" s="369" t="n"/>
      <c r="E44" s="369" t="n"/>
      <c r="F44" s="369" t="n"/>
      <c r="G44" s="369" t="n"/>
      <c r="H44" s="369" t="n"/>
      <c r="I44" s="369" t="n"/>
      <c r="J44" s="369" t="n"/>
      <c r="K44" s="369" t="n"/>
      <c r="L44" s="136" t="n"/>
      <c r="M44" s="136" t="n"/>
      <c r="N44" s="136" t="n"/>
      <c r="O44" s="136" t="n"/>
      <c r="P44" s="136" t="n"/>
      <c r="Q44" s="136" t="n"/>
      <c r="R44" s="136" t="n"/>
      <c r="S44" s="136" t="n"/>
      <c r="T44" s="136" t="n"/>
      <c r="U44" s="136" t="n"/>
      <c r="V44" s="136" t="n"/>
      <c r="W44" s="136" t="n"/>
      <c r="X44" s="136" t="n"/>
      <c r="Y44" s="136" t="n"/>
      <c r="Z44" s="136" t="n"/>
      <c r="AA44" s="136" t="n"/>
      <c r="AB44" s="136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s="131">
      <c r="A45" s="369" t="n"/>
      <c r="B45" s="369" t="n"/>
      <c r="C45" s="369" t="n"/>
      <c r="D45" s="369" t="n"/>
      <c r="E45" s="369" t="n"/>
      <c r="F45" s="369" t="n"/>
      <c r="G45" s="369" t="n"/>
      <c r="H45" s="369" t="n"/>
      <c r="I45" s="369" t="n"/>
      <c r="J45" s="369" t="n"/>
      <c r="K45" s="369" t="n"/>
      <c r="L45" s="136" t="n"/>
      <c r="M45" s="136" t="n"/>
      <c r="N45" s="136" t="n"/>
      <c r="O45" s="136" t="n"/>
      <c r="P45" s="136" t="n"/>
      <c r="Q45" s="136" t="n"/>
      <c r="R45" s="136" t="n"/>
      <c r="S45" s="136" t="n"/>
      <c r="T45" s="136" t="n"/>
      <c r="U45" s="136" t="n"/>
      <c r="V45" s="136" t="n"/>
      <c r="W45" s="136" t="n"/>
      <c r="X45" s="136" t="n"/>
      <c r="Y45" s="136" t="n"/>
      <c r="Z45" s="136" t="n"/>
      <c r="AA45" s="136" t="n"/>
      <c r="AB45" s="136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s="131">
      <c r="A46" s="369" t="n"/>
      <c r="B46" s="369" t="n"/>
      <c r="C46" s="369" t="n"/>
      <c r="D46" s="369" t="n"/>
      <c r="E46" s="369" t="n"/>
      <c r="F46" s="369" t="n"/>
      <c r="G46" s="369" t="n"/>
      <c r="H46" s="369" t="n"/>
      <c r="I46" s="369" t="n"/>
      <c r="J46" s="369" t="n"/>
      <c r="K46" s="369" t="n"/>
      <c r="L46" s="136" t="n"/>
      <c r="M46" s="136" t="n"/>
      <c r="N46" s="136" t="n"/>
      <c r="O46" s="136" t="n"/>
      <c r="P46" s="136" t="n"/>
      <c r="Q46" s="136" t="n"/>
      <c r="R46" s="136" t="n"/>
      <c r="S46" s="136" t="n"/>
      <c r="T46" s="136" t="n"/>
      <c r="U46" s="136" t="n"/>
      <c r="V46" s="136" t="n"/>
      <c r="W46" s="136" t="n"/>
      <c r="X46" s="136" t="n"/>
      <c r="Y46" s="136" t="n"/>
      <c r="Z46" s="136" t="n"/>
      <c r="AA46" s="136" t="n"/>
      <c r="AB46" s="136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s="131">
      <c r="A47" s="369" t="n"/>
      <c r="B47" s="369" t="n"/>
      <c r="C47" s="369" t="n"/>
      <c r="D47" s="369" t="n"/>
      <c r="E47" s="369" t="n"/>
      <c r="F47" s="369" t="n"/>
      <c r="G47" s="369" t="n"/>
      <c r="H47" s="369" t="n"/>
      <c r="I47" s="369" t="n"/>
      <c r="J47" s="369" t="n"/>
      <c r="K47" s="369" t="n"/>
      <c r="L47" s="136" t="n"/>
      <c r="M47" s="136" t="n"/>
      <c r="N47" s="136" t="n"/>
      <c r="O47" s="136" t="n"/>
      <c r="P47" s="136" t="n"/>
      <c r="Q47" s="136" t="n"/>
      <c r="R47" s="136" t="n"/>
      <c r="S47" s="136" t="n"/>
      <c r="T47" s="136" t="n"/>
      <c r="U47" s="136" t="n"/>
      <c r="V47" s="136" t="n"/>
      <c r="W47" s="136" t="n"/>
      <c r="X47" s="136" t="n"/>
      <c r="Y47" s="136" t="n"/>
      <c r="Z47" s="136" t="n"/>
      <c r="AA47" s="136" t="n"/>
      <c r="AB47" s="136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s="131">
      <c r="A48" s="369" t="n"/>
      <c r="B48" s="369" t="n"/>
      <c r="C48" s="369" t="n"/>
      <c r="D48" s="369" t="n"/>
      <c r="E48" s="369" t="n"/>
      <c r="F48" s="369" t="n"/>
      <c r="G48" s="369" t="n"/>
      <c r="H48" s="369" t="n"/>
      <c r="I48" s="369" t="n"/>
      <c r="J48" s="369" t="n"/>
      <c r="K48" s="369" t="n"/>
      <c r="L48" s="136" t="n"/>
      <c r="M48" s="136" t="n"/>
      <c r="N48" s="136" t="n"/>
      <c r="O48" s="136" t="n"/>
      <c r="P48" s="136" t="n"/>
      <c r="Q48" s="136" t="n"/>
      <c r="R48" s="136" t="n"/>
      <c r="S48" s="136" t="n"/>
      <c r="T48" s="136" t="n"/>
      <c r="U48" s="136" t="n"/>
      <c r="V48" s="136" t="n"/>
      <c r="W48" s="136" t="n"/>
      <c r="X48" s="136" t="n"/>
      <c r="Y48" s="136" t="n"/>
      <c r="Z48" s="136" t="n"/>
      <c r="AA48" s="136" t="n"/>
      <c r="AB48" s="136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s="131">
      <c r="A49" s="369" t="n"/>
      <c r="B49" s="369" t="n"/>
      <c r="C49" s="369" t="n"/>
      <c r="D49" s="369" t="n"/>
      <c r="E49" s="369" t="n"/>
      <c r="F49" s="369" t="n"/>
      <c r="G49" s="369" t="n"/>
      <c r="H49" s="369" t="n"/>
      <c r="I49" s="369" t="n"/>
      <c r="J49" s="369" t="n"/>
      <c r="K49" s="369" t="n"/>
      <c r="L49" s="136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6" t="n"/>
      <c r="Y49" s="136" t="n"/>
      <c r="Z49" s="136" t="n"/>
      <c r="AA49" s="136" t="n"/>
      <c r="AB49" s="136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s="131">
      <c r="A50" s="369" t="n"/>
      <c r="B50" s="369" t="n"/>
      <c r="C50" s="369" t="n"/>
      <c r="D50" s="369" t="n"/>
      <c r="E50" s="369" t="n"/>
      <c r="F50" s="369" t="n"/>
      <c r="G50" s="369" t="n"/>
      <c r="H50" s="369" t="n"/>
      <c r="I50" s="369" t="n"/>
      <c r="J50" s="369" t="n"/>
      <c r="K50" s="369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</sheetData>
  <mergeCells count="9">
    <mergeCell ref="B38:G38"/>
    <mergeCell ref="B4:AB4"/>
    <mergeCell ref="B22:G22"/>
    <mergeCell ref="B2:AB2"/>
    <mergeCell ref="B23:G23"/>
    <mergeCell ref="B20:I20"/>
    <mergeCell ref="B35:G35"/>
    <mergeCell ref="B3:AB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X50"/>
  <sheetViews>
    <sheetView topLeftCell="A7" zoomScale="70" workbookViewId="0">
      <selection activeCell="R7" sqref="R7"/>
    </sheetView>
  </sheetViews>
  <sheetFormatPr baseColWidth="8" defaultColWidth="9.140625" defaultRowHeight="21.7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  <c r="AX1" s="302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  <c r="AX2" s="343" t="n"/>
    </row>
    <row r="3" ht="20.25" customHeight="1" s="131">
      <c r="A3" s="177" t="inlineStr">
        <is>
          <t>COMPETITIVE RENT ANALYSIS — MACEDONIA GARDEN | GREEN = Affordable Comps | BLUE = Market Rate Comps</t>
        </is>
      </c>
      <c r="B3" s="363" t="n"/>
      <c r="AB3" s="363" t="n"/>
      <c r="AC3" s="136" t="n"/>
      <c r="AD3" s="136" t="n"/>
      <c r="AE3" s="136" t="n"/>
      <c r="AF3" s="136" t="n"/>
      <c r="AG3" s="136" t="n"/>
      <c r="AH3" s="136" t="n"/>
      <c r="AI3" s="136" t="n"/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  <c r="AX3" s="343" t="n"/>
    </row>
    <row r="4" ht="69" customHeight="1" s="131">
      <c r="A4" s="176" t="inlineStr">
        <is>
          <t>SUBJECT: Macedonia Garden | 1722 W 17th Street, Panama City, FL 32405 | 100 units | Program: Section 8/HUD | Bedroom Mix: 2BR / 3BR | County AMI: $94,100 | FMR Area: Panama City, FL MSA</t>
        </is>
      </c>
      <c r="B4" s="363" t="n"/>
      <c r="AB4" s="363" t="n"/>
      <c r="AC4" s="136" t="n"/>
      <c r="AD4" s="136" t="n"/>
      <c r="AE4" s="136" t="n"/>
      <c r="AF4" s="136" t="n"/>
      <c r="AG4" s="136" t="n"/>
      <c r="AH4" s="136" t="n"/>
      <c r="AI4" s="136" t="n"/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  <c r="AX4" s="343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B5" s="341" t="n"/>
      <c r="AC5" s="136" t="n"/>
      <c r="AD5" s="136" t="n"/>
      <c r="AE5" s="136" t="n"/>
      <c r="AF5" s="136" t="n"/>
      <c r="AG5" s="136" t="n"/>
      <c r="AH5" s="136" t="n"/>
      <c r="AI5" s="136" t="n"/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  <c r="AX5" s="343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2BD 50% AMI ($)</t>
        </is>
      </c>
      <c r="J6" s="280" t="inlineStr">
        <is>
          <t>2BD 60% AMI ($)</t>
        </is>
      </c>
      <c r="K6" s="280" t="inlineStr">
        <is>
          <t>2BR FMR ($)</t>
        </is>
      </c>
      <c r="L6" s="335" t="inlineStr">
        <is>
          <t>2BR Actual ($)</t>
        </is>
      </c>
      <c r="M6" s="281" t="inlineStr">
        <is>
          <t>3BD 50% AMI ($)</t>
        </is>
      </c>
      <c r="N6" s="280" t="inlineStr">
        <is>
          <t>3BD 60% AMI ($)</t>
        </is>
      </c>
      <c r="O6" s="280" t="inlineStr">
        <is>
          <t>3BR FMR ($)</t>
        </is>
      </c>
      <c r="P6" s="335" t="inlineStr">
        <is>
          <t>3BR Actual ($)</t>
        </is>
      </c>
      <c r="Q6" s="281" t="inlineStr">
        <is>
          <t># Units</t>
        </is>
      </c>
      <c r="R6" s="280" t="inlineStr">
        <is>
          <t>Year Built</t>
        </is>
      </c>
      <c r="S6" s="280" t="inlineStr">
        <is>
          <t>Yr Diff</t>
        </is>
      </c>
      <c r="T6" s="339" t="inlineStr">
        <is>
          <t>Utilities Incl.</t>
        </is>
      </c>
      <c r="U6" s="339" t="inlineStr">
        <is>
          <t>Pet Friendly</t>
        </is>
      </c>
      <c r="V6" s="339" t="inlineStr">
        <is>
          <t>Gated</t>
        </is>
      </c>
      <c r="W6" s="339" t="inlineStr">
        <is>
          <t>Pool</t>
        </is>
      </c>
      <c r="X6" s="339" t="inlineStr">
        <is>
          <t>W/D In-Unit</t>
        </is>
      </c>
      <c r="Y6" s="339" t="inlineStr">
        <is>
          <t>Competition Level</t>
        </is>
      </c>
      <c r="Z6" s="336" t="inlineStr">
        <is>
          <t>Why Competitive</t>
        </is>
      </c>
      <c r="AA6" s="340" t="inlineStr">
        <is>
          <t>Data Source</t>
        </is>
      </c>
      <c r="AB6" s="342" t="n"/>
      <c r="AC6" s="136" t="n"/>
      <c r="AD6" s="136" t="n"/>
      <c r="AE6" s="136" t="n"/>
      <c r="AF6" s="136" t="n"/>
      <c r="AG6" s="136" t="n"/>
      <c r="AH6" s="136" t="n"/>
      <c r="AI6" s="136" t="n"/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  <c r="AX6" s="343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Macedonia Garden (SUBJECT)</t>
        </is>
      </c>
      <c r="D7" s="174" t="inlineStr">
        <is>
          <t>1722 W 17th Street</t>
        </is>
      </c>
      <c r="E7" s="174" t="inlineStr">
        <is>
          <t>Panama City</t>
        </is>
      </c>
      <c r="F7" s="174" t="inlineStr">
        <is>
          <t>FL</t>
        </is>
      </c>
      <c r="G7" s="174" t="inlineStr">
        <is>
          <t>32405</t>
        </is>
      </c>
      <c r="H7" s="174" t="inlineStr">
        <is>
          <t>0.0 mi</t>
        </is>
      </c>
      <c r="I7" s="174" t="inlineStr">
        <is>
          <t>$3,529</t>
        </is>
      </c>
      <c r="J7" s="174" t="inlineStr">
        <is>
          <t>$4,235</t>
        </is>
      </c>
      <c r="K7" s="174" t="inlineStr">
        <is>
          <t>$1,426</t>
        </is>
      </c>
      <c r="L7" s="368">
        <f>B26</f>
        <v/>
      </c>
      <c r="M7" s="174" t="inlineStr">
        <is>
          <t>$3,920</t>
        </is>
      </c>
      <c r="N7" s="174" t="inlineStr">
        <is>
          <t>$4,705</t>
        </is>
      </c>
      <c r="O7" s="174" t="inlineStr">
        <is>
          <t>$1,818</t>
        </is>
      </c>
      <c r="P7" s="368">
        <f>B27</f>
        <v/>
      </c>
      <c r="Q7" s="174" t="inlineStr">
        <is>
          <t>100</t>
        </is>
      </c>
      <c r="R7" s="174" t="n">
        <v>2022</v>
      </c>
      <c r="S7" s="174" t="inlineStr">
        <is>
          <t>0</t>
        </is>
      </c>
      <c r="T7" s="174" t="inlineStr">
        <is>
          <t>Yes</t>
        </is>
      </c>
      <c r="U7" s="174" t="inlineStr">
        <is>
          <t>No</t>
        </is>
      </c>
      <c r="V7" s="174" t="inlineStr">
        <is>
          <t>No</t>
        </is>
      </c>
      <c r="W7" s="174" t="inlineStr">
        <is>
          <t>No</t>
        </is>
      </c>
      <c r="X7" s="174" t="inlineStr">
        <is>
          <t>No</t>
        </is>
      </c>
      <c r="Y7" s="42" t="inlineStr">
        <is>
          <t>SUBJECT</t>
        </is>
      </c>
      <c r="Z7" s="55" t="inlineStr">
        <is>
          <t>100 units | Section 8/HUD property. Year built: 1969. Subject property for market context.</t>
        </is>
      </c>
      <c r="AA7" s="40" t="inlineStr">
        <is>
          <t>Apartment Corp Records</t>
        </is>
      </c>
      <c r="AB7" s="136" t="n"/>
      <c r="AC7" s="136" t="n"/>
      <c r="AD7" s="136" t="n"/>
      <c r="AE7" s="136" t="n"/>
      <c r="AF7" s="136" t="n"/>
      <c r="AG7" s="136" t="n"/>
      <c r="AH7" s="136" t="n"/>
      <c r="AI7" s="136" t="n"/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  <c r="AX7" s="343" t="n"/>
    </row>
    <row r="8" ht="31.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Bay County Housing Authority - Millville Homes</t>
        </is>
      </c>
      <c r="D8" s="59" t="inlineStr">
        <is>
          <t>2200 W 11th St</t>
        </is>
      </c>
      <c r="E8" s="59" t="inlineStr">
        <is>
          <t>Panama City</t>
        </is>
      </c>
      <c r="F8" s="59" t="inlineStr">
        <is>
          <t>FL</t>
        </is>
      </c>
      <c r="G8" s="59" t="inlineStr">
        <is>
          <t>32401</t>
        </is>
      </c>
      <c r="H8" s="59" t="inlineStr">
        <is>
          <t>3.2 mi</t>
        </is>
      </c>
      <c r="I8" s="59" t="inlineStr">
        <is>
          <t>$3,529</t>
        </is>
      </c>
      <c r="J8" s="59" t="inlineStr">
        <is>
          <t>$4,235</t>
        </is>
      </c>
      <c r="K8" s="41" t="inlineStr">
        <is>
          <t>$1,426</t>
        </is>
      </c>
      <c r="L8" s="53" t="inlineStr">
        <is>
          <t>Not Listed</t>
        </is>
      </c>
      <c r="M8" s="43" t="inlineStr">
        <is>
          <t>$3,920</t>
        </is>
      </c>
      <c r="N8" s="43" t="inlineStr">
        <is>
          <t>$4,705</t>
        </is>
      </c>
      <c r="O8" s="41" t="inlineStr">
        <is>
          <t>$1,818</t>
        </is>
      </c>
      <c r="P8" s="53" t="inlineStr">
        <is>
          <t>Not Listed</t>
        </is>
      </c>
      <c r="Q8" s="43" t="inlineStr">
        <is>
          <t>100</t>
        </is>
      </c>
      <c r="R8" s="43" t="inlineStr">
        <is>
          <t>1969</t>
        </is>
      </c>
      <c r="S8" s="43" t="inlineStr">
        <is>
          <t>0</t>
        </is>
      </c>
      <c r="T8" s="43" t="inlineStr">
        <is>
          <t>Yes</t>
        </is>
      </c>
      <c r="U8" s="43" t="inlineStr">
        <is>
          <t>No</t>
        </is>
      </c>
      <c r="V8" s="43" t="inlineStr">
        <is>
          <t>No</t>
        </is>
      </c>
      <c r="W8" s="43" t="inlineStr">
        <is>
          <t>No</t>
        </is>
      </c>
      <c r="X8" s="43" t="inlineStr">
        <is>
          <t>No</t>
        </is>
      </c>
      <c r="Y8" s="44" t="inlineStr">
        <is>
          <t>HIGH</t>
        </is>
      </c>
      <c r="Z8" s="56" t="inlineStr">
        <is>
          <t>Affordable Comp #1: Public Housing/HUD property, 1969 vintage (0 yr diff), 100 units, 3.2 mi from subject. Same income-eligible renter pool.</t>
        </is>
      </c>
      <c r="AA8" s="43" t="inlineStr">
        <is>
          <t>Bay County Housing Authority</t>
        </is>
      </c>
      <c r="AB8" s="136" t="n"/>
      <c r="AC8" s="136" t="n"/>
      <c r="AD8" s="136" t="n"/>
      <c r="AE8" s="136" t="n"/>
      <c r="AF8" s="136" t="n"/>
      <c r="AG8" s="136" t="n"/>
      <c r="AH8" s="136" t="n"/>
      <c r="AI8" s="136" t="n"/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  <c r="AX8" s="343" t="n"/>
    </row>
    <row r="9" ht="32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Pensacola Housing Authority - Attucks Court</t>
        </is>
      </c>
      <c r="D9" s="125" t="inlineStr">
        <is>
          <t>600 N Hayne St</t>
        </is>
      </c>
      <c r="E9" s="125" t="inlineStr">
        <is>
          <t>Pensacola</t>
        </is>
      </c>
      <c r="F9" s="125" t="inlineStr">
        <is>
          <t>FL</t>
        </is>
      </c>
      <c r="G9" s="125" t="inlineStr">
        <is>
          <t>32501</t>
        </is>
      </c>
      <c r="H9" s="125" t="inlineStr">
        <is>
          <t>95.0 mi</t>
        </is>
      </c>
      <c r="I9" s="125" t="inlineStr">
        <is>
          <t>$3,529</t>
        </is>
      </c>
      <c r="J9" s="125" t="inlineStr">
        <is>
          <t>$4,235</t>
        </is>
      </c>
      <c r="K9" s="85" t="inlineStr">
        <is>
          <t>$1,426</t>
        </is>
      </c>
      <c r="L9" s="86" t="inlineStr">
        <is>
          <t>Not Listed</t>
        </is>
      </c>
      <c r="M9" s="128" t="inlineStr">
        <is>
          <t>$3,920</t>
        </is>
      </c>
      <c r="N9" s="128" t="inlineStr">
        <is>
          <t>$4,705</t>
        </is>
      </c>
      <c r="O9" s="85" t="inlineStr">
        <is>
          <t>$1,818</t>
        </is>
      </c>
      <c r="P9" s="86" t="inlineStr">
        <is>
          <t>Not Listed</t>
        </is>
      </c>
      <c r="Q9" s="128" t="inlineStr">
        <is>
          <t>96</t>
        </is>
      </c>
      <c r="R9" s="128" t="inlineStr">
        <is>
          <t>1970</t>
        </is>
      </c>
      <c r="S9" s="128" t="inlineStr">
        <is>
          <t>1</t>
        </is>
      </c>
      <c r="T9" s="128" t="inlineStr">
        <is>
          <t>Yes</t>
        </is>
      </c>
      <c r="U9" s="128" t="inlineStr">
        <is>
          <t>No</t>
        </is>
      </c>
      <c r="V9" s="128" t="inlineStr">
        <is>
          <t>No</t>
        </is>
      </c>
      <c r="W9" s="128" t="inlineStr">
        <is>
          <t>No</t>
        </is>
      </c>
      <c r="X9" s="128" t="inlineStr">
        <is>
          <t>No</t>
        </is>
      </c>
      <c r="Y9" s="129" t="inlineStr">
        <is>
          <t>LOW-MODERATE</t>
        </is>
      </c>
      <c r="Z9" s="130" t="inlineStr">
        <is>
          <t>Affordable Comp #2: Public Housing/HUD property, 1970 vintage (1 yr diff), 96 units, 95.0 mi from subject. Same income-eligible renter pool.</t>
        </is>
      </c>
      <c r="AA9" s="128" t="inlineStr">
        <is>
          <t>Pensacola Housing Authority</t>
        </is>
      </c>
      <c r="AB9" s="136" t="n"/>
      <c r="AC9" s="136" t="n"/>
      <c r="AD9" s="136" t="n"/>
      <c r="AE9" s="136" t="n"/>
      <c r="AF9" s="136" t="n"/>
      <c r="AG9" s="136" t="n"/>
      <c r="AH9" s="136" t="n"/>
      <c r="AI9" s="136" t="n"/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  <c r="AX9" s="343" t="n"/>
    </row>
    <row r="10" ht="41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Tallahassee Housing Authority - Bond Homes</t>
        </is>
      </c>
      <c r="D10" s="107" t="inlineStr">
        <is>
          <t>1400 S Bronough St</t>
        </is>
      </c>
      <c r="E10" s="107" t="inlineStr">
        <is>
          <t>Tallahassee</t>
        </is>
      </c>
      <c r="F10" s="107" t="inlineStr">
        <is>
          <t>FL</t>
        </is>
      </c>
      <c r="G10" s="107" t="inlineStr">
        <is>
          <t>32301</t>
        </is>
      </c>
      <c r="H10" s="107" t="inlineStr">
        <is>
          <t>100.0 mi</t>
        </is>
      </c>
      <c r="I10" s="107" t="inlineStr">
        <is>
          <t>$3,529</t>
        </is>
      </c>
      <c r="J10" s="107" t="inlineStr">
        <is>
          <t>$4,235</t>
        </is>
      </c>
      <c r="K10" s="80" t="inlineStr">
        <is>
          <t>$1,426</t>
        </is>
      </c>
      <c r="L10" s="81" t="inlineStr">
        <is>
          <t>Not Listed</t>
        </is>
      </c>
      <c r="M10" s="108" t="inlineStr">
        <is>
          <t>$3,920</t>
        </is>
      </c>
      <c r="N10" s="108" t="inlineStr">
        <is>
          <t>$4,705</t>
        </is>
      </c>
      <c r="O10" s="80" t="inlineStr">
        <is>
          <t>$1,818</t>
        </is>
      </c>
      <c r="P10" s="81" t="inlineStr">
        <is>
          <t>Not Listed</t>
        </is>
      </c>
      <c r="Q10" s="108" t="inlineStr">
        <is>
          <t>104</t>
        </is>
      </c>
      <c r="R10" s="108" t="inlineStr">
        <is>
          <t>1968</t>
        </is>
      </c>
      <c r="S10" s="108" t="inlineStr">
        <is>
          <t>1</t>
        </is>
      </c>
      <c r="T10" s="108" t="inlineStr">
        <is>
          <t>Yes</t>
        </is>
      </c>
      <c r="U10" s="108" t="inlineStr">
        <is>
          <t>No</t>
        </is>
      </c>
      <c r="V10" s="108" t="inlineStr">
        <is>
          <t>No</t>
        </is>
      </c>
      <c r="W10" s="108" t="inlineStr">
        <is>
          <t>No</t>
        </is>
      </c>
      <c r="X10" s="108" t="inlineStr">
        <is>
          <t>No</t>
        </is>
      </c>
      <c r="Y10" s="109" t="inlineStr">
        <is>
          <t>LOW-MODERATE</t>
        </is>
      </c>
      <c r="Z10" s="110" t="inlineStr">
        <is>
          <t>Affordable Comp #3: Public Housing/HUD property, 1968 vintage (1 yr diff), 104 units, 100.0 mi from subject. Same income-eligible renter pool.</t>
        </is>
      </c>
      <c r="AA10" s="111" t="inlineStr">
        <is>
          <t>Tallahassee Housing Authority</t>
        </is>
      </c>
      <c r="AB10" s="134" t="n"/>
      <c r="AC10" s="136" t="n"/>
      <c r="AD10" s="136" t="n"/>
      <c r="AE10" s="136" t="n"/>
      <c r="AF10" s="136" t="n"/>
      <c r="AG10" s="136" t="n"/>
      <c r="AH10" s="136" t="n"/>
      <c r="AI10" s="136" t="n"/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  <c r="AX10" s="343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Panama City Beach Housing Authority</t>
        </is>
      </c>
      <c r="D11" s="95" t="inlineStr">
        <is>
          <t>800 Thomas Dr</t>
        </is>
      </c>
      <c r="E11" s="95" t="inlineStr">
        <is>
          <t>Panama City Beach</t>
        </is>
      </c>
      <c r="F11" s="95" t="inlineStr">
        <is>
          <t>FL</t>
        </is>
      </c>
      <c r="G11" s="95" t="inlineStr">
        <is>
          <t>32408</t>
        </is>
      </c>
      <c r="H11" s="95" t="inlineStr">
        <is>
          <t>8.5 mi</t>
        </is>
      </c>
      <c r="I11" s="95" t="inlineStr">
        <is>
          <t>$3,529</t>
        </is>
      </c>
      <c r="J11" s="95" t="inlineStr">
        <is>
          <t>$4,235</t>
        </is>
      </c>
      <c r="K11" s="39" t="inlineStr">
        <is>
          <t>$1,426</t>
        </is>
      </c>
      <c r="L11" s="53" t="inlineStr">
        <is>
          <t>Not Listed</t>
        </is>
      </c>
      <c r="M11" s="96" t="inlineStr">
        <is>
          <t>$3,920</t>
        </is>
      </c>
      <c r="N11" s="96" t="inlineStr">
        <is>
          <t>$4,705</t>
        </is>
      </c>
      <c r="O11" s="39" t="inlineStr">
        <is>
          <t>$1,818</t>
        </is>
      </c>
      <c r="P11" s="53" t="inlineStr">
        <is>
          <t>Not Listed</t>
        </is>
      </c>
      <c r="Q11" s="96" t="inlineStr">
        <is>
          <t>88</t>
        </is>
      </c>
      <c r="R11" s="96" t="inlineStr">
        <is>
          <t>1970</t>
        </is>
      </c>
      <c r="S11" s="96" t="inlineStr">
        <is>
          <t>1</t>
        </is>
      </c>
      <c r="T11" s="96" t="inlineStr">
        <is>
          <t>Yes</t>
        </is>
      </c>
      <c r="U11" s="96" t="inlineStr">
        <is>
          <t>No</t>
        </is>
      </c>
      <c r="V11" s="96" t="inlineStr">
        <is>
          <t>No</t>
        </is>
      </c>
      <c r="W11" s="96" t="inlineStr">
        <is>
          <t>No</t>
        </is>
      </c>
      <c r="X11" s="96" t="inlineStr">
        <is>
          <t>No</t>
        </is>
      </c>
      <c r="Y11" s="45" t="inlineStr">
        <is>
          <t>HIGH</t>
        </is>
      </c>
      <c r="Z11" s="97" t="inlineStr">
        <is>
          <t>Affordable Comp #4: Section 8/HUD property, 1970 vintage (1 yr diff), 88 units, 8.5 mi from subject. Same income-eligible renter pool.</t>
        </is>
      </c>
      <c r="AA11" s="113" t="inlineStr">
        <is>
          <t>HUD Multifamily Assisted Housing</t>
        </is>
      </c>
      <c r="AB11" s="134" t="n"/>
      <c r="AC11" s="136" t="n"/>
      <c r="AD11" s="136" t="n"/>
      <c r="AE11" s="136" t="n"/>
      <c r="AF11" s="136" t="n"/>
      <c r="AG11" s="136" t="n"/>
      <c r="AH11" s="136" t="n"/>
      <c r="AI11" s="136" t="n"/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  <c r="AX11" s="343" t="n"/>
    </row>
    <row r="12" ht="37.5" customHeight="1" s="131">
      <c r="A12" s="114" t="n">
        <v>1</v>
      </c>
      <c r="B12" s="70" t="inlineStr">
        <is>
          <t>MARKET RATE</t>
        </is>
      </c>
      <c r="C12" s="67" t="inlineStr">
        <is>
          <t>Arbor Crossing at Mill Bayou</t>
        </is>
      </c>
      <c r="D12" s="98" t="inlineStr">
        <is>
          <t>198 Mill Bayou Blvd</t>
        </is>
      </c>
      <c r="E12" s="98" t="inlineStr">
        <is>
          <t>Panama City</t>
        </is>
      </c>
      <c r="F12" s="98" t="inlineStr">
        <is>
          <t>FL</t>
        </is>
      </c>
      <c r="G12" s="98" t="inlineStr">
        <is>
          <t>32404</t>
        </is>
      </c>
      <c r="H12" s="98" t="inlineStr">
        <is>
          <t>3.2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N/A (Market Rate)</t>
        </is>
      </c>
      <c r="L12" s="146" t="n">
        <v>1559</v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N/A (Market Rate)</t>
        </is>
      </c>
      <c r="P12" s="146" t="n">
        <v>1799</v>
      </c>
      <c r="Q12" s="99" t="n"/>
      <c r="R12" s="99" t="n">
        <v>2024</v>
      </c>
      <c r="S12" s="99" t="n"/>
      <c r="T12" s="99" t="n"/>
      <c r="U12" s="99" t="n"/>
      <c r="V12" s="99" t="n"/>
      <c r="W12" s="99" t="n"/>
      <c r="X12" s="99" t="n"/>
      <c r="Y12" s="46" t="n"/>
      <c r="Z12" s="100" t="n"/>
      <c r="AA12" s="115" t="n"/>
      <c r="AB12" s="134" t="n"/>
      <c r="AC12" s="136" t="n"/>
      <c r="AD12" s="136" t="n"/>
      <c r="AE12" s="136" t="n"/>
      <c r="AF12" s="136" t="n"/>
      <c r="AG12" s="136" t="n"/>
      <c r="AH12" s="136" t="n"/>
      <c r="AI12" s="136" t="n"/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  <c r="AX12" s="343" t="n"/>
    </row>
    <row r="13" ht="37.5" customHeight="1" s="131">
      <c r="A13" s="116" t="n">
        <v>2</v>
      </c>
      <c r="B13" s="71" t="inlineStr">
        <is>
          <t>MARKET RATE</t>
        </is>
      </c>
      <c r="C13" s="68" t="inlineStr">
        <is>
          <t>The Kelly at 23rd Luxury Apts</t>
        </is>
      </c>
      <c r="D13" s="101" t="inlineStr">
        <is>
          <t>2002 Wilson Ave</t>
        </is>
      </c>
      <c r="E13" s="101" t="inlineStr">
        <is>
          <t>Panama City</t>
        </is>
      </c>
      <c r="F13" s="101" t="inlineStr">
        <is>
          <t>FL</t>
        </is>
      </c>
      <c r="G13" s="101" t="inlineStr">
        <is>
          <t>32405</t>
        </is>
      </c>
      <c r="H13" s="101" t="inlineStr">
        <is>
          <t>0.5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N/A (Market Rate)</t>
        </is>
      </c>
      <c r="L13" s="146" t="n">
        <v>1839</v>
      </c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N/A (Market Rate)</t>
        </is>
      </c>
      <c r="P13" s="146" t="n">
        <v>1850</v>
      </c>
      <c r="Q13" s="102" t="n"/>
      <c r="R13" s="102" t="n">
        <v>2025</v>
      </c>
      <c r="S13" s="102" t="n"/>
      <c r="T13" s="102" t="n"/>
      <c r="U13" s="102" t="n"/>
      <c r="V13" s="102" t="n"/>
      <c r="W13" s="102" t="n"/>
      <c r="X13" s="102" t="n"/>
      <c r="Y13" s="47" t="n"/>
      <c r="Z13" s="103" t="n"/>
      <c r="AA13" s="117" t="n"/>
      <c r="AB13" s="134" t="n"/>
      <c r="AC13" s="136" t="n"/>
      <c r="AD13" s="136" t="n"/>
      <c r="AE13" s="136" t="n"/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  <c r="AX13" s="343" t="n"/>
    </row>
    <row r="14" ht="37.5" customHeight="1" s="131">
      <c r="A14" s="112" t="n">
        <v>3</v>
      </c>
      <c r="B14" s="69" t="inlineStr">
        <is>
          <t>MARKET RATE</t>
        </is>
      </c>
      <c r="C14" s="66" t="inlineStr">
        <is>
          <t>Residences at SweetBay</t>
        </is>
      </c>
      <c r="D14" s="95" t="inlineStr">
        <is>
          <t>3100 Sweetbay Ave</t>
        </is>
      </c>
      <c r="E14" s="95" t="inlineStr">
        <is>
          <t>Panama City</t>
        </is>
      </c>
      <c r="F14" s="95" t="inlineStr">
        <is>
          <t>FL</t>
        </is>
      </c>
      <c r="G14" s="95" t="inlineStr">
        <is>
          <t>32405</t>
        </is>
      </c>
      <c r="H14" s="95" t="inlineStr">
        <is>
          <t>1.1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N/A (Market Rate)</t>
        </is>
      </c>
      <c r="L14" s="146" t="n">
        <v>1558</v>
      </c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N/A (Market Rate)</t>
        </is>
      </c>
      <c r="P14" s="146" t="n">
        <v>2015</v>
      </c>
      <c r="Q14" s="96" t="n"/>
      <c r="R14" s="96" t="n">
        <v>2022</v>
      </c>
      <c r="S14" s="96" t="n"/>
      <c r="T14" s="96" t="n"/>
      <c r="U14" s="96" t="n"/>
      <c r="V14" s="96" t="n"/>
      <c r="W14" s="96" t="n"/>
      <c r="X14" s="96" t="n"/>
      <c r="Y14" s="45" t="n"/>
      <c r="Z14" s="97" t="n"/>
      <c r="AA14" s="113" t="n"/>
      <c r="AB14" s="134" t="n"/>
      <c r="AC14" s="136" t="n"/>
      <c r="AD14" s="136" t="n"/>
      <c r="AE14" s="136" t="n"/>
      <c r="AF14" s="136" t="n"/>
      <c r="AG14" s="136" t="n"/>
      <c r="AH14" s="136" t="n"/>
      <c r="AI14" s="136" t="n"/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  <c r="AX14" s="343" t="n"/>
    </row>
    <row r="15" ht="40.5" customHeight="1" s="131">
      <c r="A15" s="112" t="n">
        <v>4</v>
      </c>
      <c r="B15" s="69" t="inlineStr">
        <is>
          <t>MARKET RATE</t>
        </is>
      </c>
      <c r="C15" s="66" t="inlineStr">
        <is>
          <t>Exchange at North Bay</t>
        </is>
      </c>
      <c r="D15" s="95" t="inlineStr">
        <is>
          <t>3625 Frankford Ave</t>
        </is>
      </c>
      <c r="E15" s="95" t="inlineStr">
        <is>
          <t>Panama City</t>
        </is>
      </c>
      <c r="F15" s="95" t="inlineStr">
        <is>
          <t>FL</t>
        </is>
      </c>
      <c r="G15" s="95" t="inlineStr">
        <is>
          <t>32405</t>
        </is>
      </c>
      <c r="H15" s="95" t="inlineStr">
        <is>
          <t>0.8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N/A (Market Rate)</t>
        </is>
      </c>
      <c r="L15" s="146" t="n">
        <v>1529</v>
      </c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N/A (Market Rate)</t>
        </is>
      </c>
      <c r="P15" s="146" t="n">
        <v>1786</v>
      </c>
      <c r="Q15" s="96" t="n"/>
      <c r="R15" s="96" t="n">
        <v>2022</v>
      </c>
      <c r="S15" s="96" t="n"/>
      <c r="T15" s="96" t="n"/>
      <c r="U15" s="96" t="n"/>
      <c r="V15" s="96" t="n"/>
      <c r="W15" s="96" t="n"/>
      <c r="X15" s="96" t="n"/>
      <c r="Y15" s="45" t="n"/>
      <c r="Z15" s="97" t="n"/>
      <c r="AA15" s="113" t="n"/>
      <c r="AB15" s="134" t="n"/>
      <c r="AC15" s="136" t="n"/>
      <c r="AD15" s="136" t="n"/>
      <c r="AE15" s="136" t="n"/>
      <c r="AF15" s="136" t="n"/>
      <c r="AG15" s="136" t="n"/>
      <c r="AH15" s="136" t="n"/>
      <c r="AI15" s="136" t="n"/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  <c r="AX15" s="343" t="n"/>
    </row>
    <row r="16" ht="37.5" customHeight="1" s="131">
      <c r="A16" s="118" t="n">
        <v>5</v>
      </c>
      <c r="B16" s="82" t="inlineStr">
        <is>
          <t>MARKET RATE</t>
        </is>
      </c>
      <c r="C16" s="119" t="inlineStr">
        <is>
          <t>Eagles Landing Luxury Apts</t>
        </is>
      </c>
      <c r="D16" s="120" t="inlineStr">
        <is>
          <t>2870 Harrison Ave</t>
        </is>
      </c>
      <c r="E16" s="120" t="inlineStr">
        <is>
          <t>Panama City</t>
        </is>
      </c>
      <c r="F16" s="120" t="inlineStr">
        <is>
          <t>FL</t>
        </is>
      </c>
      <c r="G16" s="120" t="inlineStr">
        <is>
          <t>32405</t>
        </is>
      </c>
      <c r="H16" s="120" t="inlineStr">
        <is>
          <t>1.5 mi</t>
        </is>
      </c>
      <c r="I16" s="120" t="inlineStr">
        <is>
          <t>N/A (Market Rate)</t>
        </is>
      </c>
      <c r="J16" s="120" t="inlineStr">
        <is>
          <t>N/A (Market Rate)</t>
        </is>
      </c>
      <c r="K16" s="121" t="inlineStr">
        <is>
          <t>N/A (Market Rate)</t>
        </is>
      </c>
      <c r="L16" s="147" t="n">
        <v>1509</v>
      </c>
      <c r="M16" s="122" t="inlineStr">
        <is>
          <t>N/A (Market Rate)</t>
        </is>
      </c>
      <c r="N16" s="122" t="inlineStr">
        <is>
          <t>N/A (Market Rate)</t>
        </is>
      </c>
      <c r="O16" s="121" t="inlineStr">
        <is>
          <t>N/A (Market Rate)</t>
        </is>
      </c>
      <c r="P16" s="147" t="n">
        <v>1770</v>
      </c>
      <c r="Q16" s="122" t="n"/>
      <c r="R16" s="122" t="n">
        <v>1993</v>
      </c>
      <c r="S16" s="122" t="n"/>
      <c r="T16" s="122" t="n"/>
      <c r="U16" s="122" t="n"/>
      <c r="V16" s="122" t="n"/>
      <c r="W16" s="122" t="n"/>
      <c r="X16" s="122" t="n"/>
      <c r="Y16" s="84" t="n"/>
      <c r="Z16" s="123" t="n"/>
      <c r="AA16" s="124" t="n"/>
      <c r="AB16" s="134" t="n"/>
      <c r="AC16" s="136" t="n"/>
      <c r="AD16" s="136" t="n"/>
      <c r="AE16" s="136" t="n"/>
      <c r="AF16" s="136" t="n"/>
      <c r="AG16" s="136" t="n"/>
      <c r="AH16" s="136" t="n"/>
      <c r="AI16" s="136" t="n"/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  <c r="AX16" s="343" t="n"/>
    </row>
    <row r="17" ht="74.25" customHeight="1" s="131">
      <c r="A17" s="87" t="n">
        <v>6</v>
      </c>
      <c r="B17" s="88" t="inlineStr">
        <is>
          <t>MARKET RATE</t>
        </is>
      </c>
      <c r="C17" s="89" t="inlineStr">
        <is>
          <t>The Enclave</t>
        </is>
      </c>
      <c r="D17" s="87" t="inlineStr">
        <is>
          <t>2950 Harrison Ave</t>
        </is>
      </c>
      <c r="E17" s="87" t="inlineStr">
        <is>
          <t>Panama City</t>
        </is>
      </c>
      <c r="F17" s="87" t="inlineStr">
        <is>
          <t>FL</t>
        </is>
      </c>
      <c r="G17" s="87" t="inlineStr">
        <is>
          <t>32405</t>
        </is>
      </c>
      <c r="H17" s="87" t="inlineStr">
        <is>
          <t>1.4 mi</t>
        </is>
      </c>
      <c r="I17" s="87" t="inlineStr">
        <is>
          <t>N/A (Market Rate)</t>
        </is>
      </c>
      <c r="J17" s="87" t="inlineStr">
        <is>
          <t>N/A (Market Rate)</t>
        </is>
      </c>
      <c r="K17" s="90" t="inlineStr">
        <is>
          <t>N/A (Market Rate)</t>
        </is>
      </c>
      <c r="L17" s="148" t="n">
        <v>1525</v>
      </c>
      <c r="M17" s="92" t="inlineStr">
        <is>
          <t>N/A (Market Rate)</t>
        </is>
      </c>
      <c r="N17" s="92" t="inlineStr">
        <is>
          <t>N/A (Market Rate)</t>
        </is>
      </c>
      <c r="O17" s="90" t="inlineStr">
        <is>
          <t>N/A (Market Rate)</t>
        </is>
      </c>
      <c r="P17" s="148" t="n">
        <v>1700</v>
      </c>
      <c r="Q17" s="92" t="n"/>
      <c r="R17" s="92" t="n">
        <v>1993</v>
      </c>
      <c r="S17" s="92" t="n"/>
      <c r="T17" s="92" t="n"/>
      <c r="U17" s="92" t="n"/>
      <c r="V17" s="92" t="n"/>
      <c r="W17" s="92" t="n"/>
      <c r="X17" s="92" t="n"/>
      <c r="Y17" s="93" t="n"/>
      <c r="Z17" s="94" t="n"/>
      <c r="AA17" s="92" t="n"/>
      <c r="AB17" s="136" t="n"/>
      <c r="AC17" s="136" t="n"/>
      <c r="AD17" s="136" t="n"/>
      <c r="AE17" s="136" t="n"/>
      <c r="AF17" s="136" t="n"/>
      <c r="AG17" s="136" t="n"/>
      <c r="AH17" s="136" t="n"/>
      <c r="AI17" s="136" t="n"/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C19" s="136" t="n"/>
      <c r="AD19" s="136" t="n"/>
      <c r="AE19" s="136" t="n"/>
      <c r="AF19" s="136" t="n"/>
      <c r="AG19" s="136" t="n"/>
      <c r="AH19" s="136" t="n"/>
      <c r="AI19" s="136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Format="1" customHeight="1" s="2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Height="1" s="131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Height="1" s="131">
      <c r="A25" s="372" t="n"/>
      <c r="B25" s="201" t="inlineStr">
        <is>
          <t>2BD</t>
        </is>
      </c>
      <c r="C25" s="194" t="n"/>
      <c r="D25" s="200" t="n">
        <v>1586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Format="1" customHeight="1" s="2">
      <c r="A26" s="372" t="n"/>
      <c r="B26" s="201" t="inlineStr">
        <is>
          <t>3BD</t>
        </is>
      </c>
      <c r="C26" s="194" t="n"/>
      <c r="D26" s="200" t="n">
        <v>1820</v>
      </c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8.1" customFormat="1" customHeight="1" s="2">
      <c r="A27" s="369" t="n"/>
      <c r="B27" s="369" t="n"/>
      <c r="C27" s="381" t="n"/>
      <c r="D27" s="369" t="n"/>
      <c r="E27" s="369" t="n"/>
      <c r="F27" s="369" t="n"/>
      <c r="G27" s="369" t="n"/>
      <c r="H27" s="369" t="n"/>
      <c r="I27" s="369" t="n"/>
      <c r="J27" s="369" t="n"/>
      <c r="K27" s="369" t="n"/>
      <c r="L27" s="134" t="n"/>
      <c r="M27" s="134" t="n"/>
      <c r="N27" s="134" t="n"/>
      <c r="O27" s="134" t="n"/>
      <c r="P27" s="134" t="n"/>
      <c r="Q27" s="134" t="n"/>
      <c r="R27" s="134" t="n"/>
      <c r="S27" s="134" t="n"/>
      <c r="T27" s="134" t="n"/>
      <c r="U27" s="134" t="n"/>
      <c r="V27" s="134" t="n"/>
      <c r="W27" s="134" t="n"/>
      <c r="X27" s="134" t="n"/>
      <c r="Y27" s="134" t="n"/>
      <c r="Z27" s="135" t="n"/>
      <c r="AA27" s="134" t="n"/>
      <c r="AB27" s="134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24.75" customFormat="1" customHeight="1" s="2">
      <c r="A28" s="302" t="n"/>
      <c r="B28" s="211" t="inlineStr">
        <is>
          <t>PMTS — Vouchers / FMR / UAP / NET</t>
        </is>
      </c>
      <c r="G28" s="365" t="n"/>
      <c r="H28" s="183" t="n"/>
      <c r="I28" s="183" t="n"/>
      <c r="J28" s="183" t="n"/>
      <c r="K28" s="302" t="n"/>
      <c r="L28" s="302" t="n"/>
      <c r="M28" s="302" t="n"/>
      <c r="N28" s="302" t="n"/>
      <c r="O28" s="302" t="n"/>
      <c r="P28" s="302" t="n"/>
      <c r="Q28" s="302" t="n"/>
      <c r="R28" s="302" t="n"/>
      <c r="S28" s="302" t="n"/>
      <c r="T28" s="302" t="n"/>
      <c r="U28" s="302" t="n"/>
      <c r="V28" s="302" t="n"/>
      <c r="W28" s="302" t="n"/>
      <c r="X28" s="302" t="n"/>
      <c r="Y28" s="302" t="n"/>
      <c r="Z28" s="302" t="n"/>
      <c r="AA28" s="353" t="n"/>
      <c r="AB28" s="302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15.95" customFormat="1" customHeight="1" s="2">
      <c r="A29" s="302" t="n"/>
      <c r="B29" s="226" t="n"/>
      <c r="C29" s="213" t="inlineStr">
        <is>
          <t>MKT</t>
        </is>
      </c>
      <c r="D29" s="213" t="inlineStr">
        <is>
          <t>VCH</t>
        </is>
      </c>
      <c r="E29" s="214" t="inlineStr">
        <is>
          <t>FMR</t>
        </is>
      </c>
      <c r="F29" s="215" t="inlineStr">
        <is>
          <t>UAP</t>
        </is>
      </c>
      <c r="G29" s="216" t="inlineStr">
        <is>
          <t>NET</t>
        </is>
      </c>
      <c r="H29" s="183" t="n"/>
      <c r="I29" s="183" t="n"/>
      <c r="J29" s="183" t="n"/>
      <c r="K29" s="302" t="n"/>
      <c r="L29" s="302" t="n"/>
      <c r="M29" s="302" t="n"/>
      <c r="N29" s="302" t="n"/>
      <c r="O29" s="302" t="n"/>
      <c r="P29" s="302" t="n"/>
      <c r="Q29" s="302" t="n"/>
      <c r="R29" s="302" t="n"/>
      <c r="S29" s="302" t="n"/>
      <c r="T29" s="302" t="n"/>
      <c r="U29" s="302" t="n"/>
      <c r="V29" s="302" t="n"/>
      <c r="W29" s="302" t="n"/>
      <c r="X29" s="302" t="n"/>
      <c r="Y29" s="302" t="n"/>
      <c r="Z29" s="302" t="n"/>
      <c r="AA29" s="353" t="n"/>
      <c r="AB29" s="302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24.75" customHeight="1" s="131">
      <c r="A30" s="372" t="n"/>
      <c r="B30" s="217" t="inlineStr">
        <is>
          <t>2BD</t>
        </is>
      </c>
      <c r="C30" s="197" t="n">
        <v>0</v>
      </c>
      <c r="D30" s="197" t="n">
        <v>0</v>
      </c>
      <c r="E30" s="198" t="n">
        <v>1620</v>
      </c>
      <c r="F30" s="199" t="n">
        <v>127</v>
      </c>
      <c r="G30" s="218" t="n">
        <v>1493</v>
      </c>
      <c r="H30" s="183" t="n"/>
      <c r="I30" s="183" t="n"/>
      <c r="J30" s="183" t="n"/>
      <c r="K30" s="302" t="n"/>
      <c r="L30" s="302" t="n"/>
      <c r="M30" s="302" t="n"/>
      <c r="N30" s="302" t="n"/>
      <c r="O30" s="343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24.75" customHeight="1" s="131">
      <c r="A31" s="372" t="n"/>
      <c r="B31" s="217" t="inlineStr">
        <is>
          <t>3BD</t>
        </is>
      </c>
      <c r="C31" s="197" t="n">
        <v>0</v>
      </c>
      <c r="D31" s="197" t="n">
        <v>0</v>
      </c>
      <c r="E31" s="198" t="n">
        <v>2150</v>
      </c>
      <c r="F31" s="199" t="n">
        <v>150</v>
      </c>
      <c r="G31" s="218" t="n">
        <v>2000</v>
      </c>
      <c r="H31" s="183" t="n"/>
      <c r="I31" s="183" t="n"/>
      <c r="J31" s="183" t="n"/>
      <c r="K31" s="302" t="n"/>
      <c r="L31" s="302" t="n"/>
      <c r="M31" s="302" t="n"/>
      <c r="N31" s="302" t="n"/>
      <c r="O31" s="343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8.1" customFormat="1" customHeight="1" s="2">
      <c r="A32" s="369" t="n"/>
      <c r="B32" s="369" t="n"/>
      <c r="C32" s="369" t="n"/>
      <c r="D32" s="381" t="n"/>
      <c r="E32" s="381" t="n"/>
      <c r="F32" s="381" t="n"/>
      <c r="G32" s="369" t="n"/>
      <c r="H32" s="369" t="n"/>
      <c r="I32" s="369" t="n"/>
      <c r="J32" s="369" t="n"/>
      <c r="K32" s="369" t="n"/>
      <c r="L32" s="134" t="n"/>
      <c r="M32" s="134" t="n"/>
      <c r="N32" s="134" t="n"/>
      <c r="O32" s="134" t="n"/>
      <c r="P32" s="134" t="n"/>
      <c r="Q32" s="134" t="n"/>
      <c r="R32" s="134" t="n"/>
      <c r="S32" s="134" t="n"/>
      <c r="T32" s="134" t="n"/>
      <c r="U32" s="134" t="n"/>
      <c r="V32" s="134" t="n"/>
      <c r="W32" s="134" t="n"/>
      <c r="X32" s="134" t="n"/>
      <c r="Y32" s="134" t="n"/>
      <c r="Z32" s="135" t="n"/>
      <c r="AA32" s="134" t="n"/>
      <c r="AB32" s="134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24.75" customFormat="1" customHeight="1" s="2">
      <c r="A33" s="302" t="n"/>
      <c r="B33" s="366" t="inlineStr">
        <is>
          <t>LIHTC, UAP, NET</t>
        </is>
      </c>
      <c r="C33" s="358" t="n"/>
      <c r="D33" s="358" t="n"/>
      <c r="E33" s="358" t="n"/>
      <c r="F33" s="358" t="n"/>
      <c r="G33" s="359" t="n"/>
      <c r="H33" s="183" t="n"/>
      <c r="I33" s="183" t="n"/>
      <c r="J33" s="183" t="n"/>
      <c r="K33" s="302" t="n"/>
      <c r="L33" s="302" t="n"/>
      <c r="M33" s="302" t="n"/>
      <c r="N33" s="302" t="n"/>
      <c r="O33" s="302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16.5" customFormat="1" customHeight="1" s="2">
      <c r="A34" s="372" t="n"/>
      <c r="B34" s="226" t="inlineStr">
        <is>
          <t>No LIHTC data available</t>
        </is>
      </c>
      <c r="C34" s="228" t="n"/>
      <c r="D34" s="228" t="n"/>
      <c r="E34" s="215" t="n"/>
      <c r="F34" s="216" t="n"/>
      <c r="G34" s="183" t="n"/>
      <c r="H34" s="183" t="n"/>
      <c r="I34" s="183" t="n"/>
      <c r="J34" s="183" t="n"/>
      <c r="K34" s="302" t="n"/>
      <c r="L34" s="302" t="n"/>
      <c r="M34" s="302" t="n"/>
      <c r="N34" s="302" t="n"/>
      <c r="O34" s="343" t="n"/>
      <c r="P34" s="302" t="n"/>
      <c r="Q34" s="302" t="n"/>
      <c r="R34" s="302" t="n"/>
      <c r="S34" s="302" t="n"/>
      <c r="T34" s="302" t="n"/>
      <c r="U34" s="302" t="n"/>
      <c r="V34" s="302" t="n"/>
      <c r="W34" s="302" t="n"/>
      <c r="X34" s="302" t="n"/>
      <c r="Y34" s="302" t="n"/>
      <c r="Z34" s="302" t="n"/>
      <c r="AA34" s="353" t="n"/>
      <c r="AB34" s="302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18" customFormat="1" customHeight="1" s="2">
      <c r="A35" s="372" t="n"/>
      <c r="B35" s="392" t="n"/>
      <c r="C35" s="392" t="n"/>
      <c r="D35" s="392" t="n"/>
      <c r="E35" s="392" t="n"/>
      <c r="F35" s="369" t="n"/>
      <c r="G35" s="369" t="n"/>
      <c r="H35" s="369" t="n"/>
      <c r="I35" s="369" t="n"/>
      <c r="J35" s="369" t="n"/>
      <c r="K35" s="369" t="n"/>
      <c r="L35" s="136" t="n"/>
      <c r="M35" s="136" t="n"/>
      <c r="N35" s="136" t="n"/>
      <c r="O35" s="136" t="n"/>
      <c r="P35" s="136" t="n"/>
      <c r="Q35" s="136" t="n"/>
      <c r="R35" s="136" t="n"/>
      <c r="S35" s="136" t="n"/>
      <c r="T35" s="136" t="n"/>
      <c r="U35" s="136" t="n"/>
      <c r="V35" s="136" t="n"/>
      <c r="W35" s="136" t="n"/>
      <c r="X35" s="136" t="n"/>
      <c r="Y35" s="136" t="n"/>
      <c r="Z35" s="136" t="n"/>
      <c r="AA35" s="136" t="n"/>
      <c r="AB35" s="136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24.75" customHeight="1" s="131">
      <c r="A36" s="302" t="n"/>
      <c r="B36" s="207" t="inlineStr">
        <is>
          <t>HAP, CoStar, NET</t>
        </is>
      </c>
      <c r="H36" s="183" t="n"/>
      <c r="I36" s="183" t="n"/>
      <c r="J36" s="183" t="n"/>
      <c r="K36" s="302" t="n"/>
      <c r="L36" s="302" t="n"/>
      <c r="M36" s="302" t="n"/>
      <c r="N36" s="302" t="n"/>
      <c r="O36" s="302" t="n"/>
      <c r="P36" s="302" t="n"/>
      <c r="Q36" s="302" t="n"/>
      <c r="R36" s="302" t="n"/>
      <c r="S36" s="302" t="n"/>
      <c r="T36" s="302" t="n"/>
      <c r="U36" s="302" t="n"/>
      <c r="V36" s="302" t="n"/>
      <c r="W36" s="302" t="n"/>
      <c r="X36" s="302" t="n"/>
      <c r="Y36" s="302" t="n"/>
      <c r="Z36" s="302" t="n"/>
      <c r="AA36" s="353" t="n"/>
      <c r="AB36" s="302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15.95" customHeight="1" s="131">
      <c r="A37" s="302" t="n"/>
      <c r="B37" s="227" t="n"/>
      <c r="C37" s="208" t="inlineStr">
        <is>
          <t>HAP</t>
        </is>
      </c>
      <c r="D37" s="209" t="inlineStr">
        <is>
          <t>CoStar</t>
        </is>
      </c>
      <c r="E37" s="302" t="n"/>
      <c r="F37" s="302" t="n"/>
      <c r="G37" s="302" t="n"/>
      <c r="H37" s="183" t="n"/>
      <c r="I37" s="183" t="n"/>
      <c r="J37" s="183" t="n"/>
      <c r="K37" s="302" t="n"/>
      <c r="L37" s="302" t="n"/>
      <c r="M37" s="302" t="n"/>
      <c r="N37" s="302" t="n"/>
      <c r="O37" s="302" t="n"/>
      <c r="P37" s="302" t="n"/>
      <c r="Q37" s="302" t="n"/>
      <c r="R37" s="302" t="n"/>
      <c r="S37" s="302" t="n"/>
      <c r="T37" s="302" t="n"/>
      <c r="U37" s="302" t="n"/>
      <c r="V37" s="302" t="n"/>
      <c r="W37" s="302" t="n"/>
      <c r="X37" s="302" t="n"/>
      <c r="Y37" s="302" t="n"/>
      <c r="Z37" s="302" t="n"/>
      <c r="AA37" s="353" t="n"/>
      <c r="AB37" s="302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24.75" customHeight="1" s="131">
      <c r="A38" s="302" t="n"/>
      <c r="B38" s="196" t="inlineStr">
        <is>
          <t>2BD</t>
        </is>
      </c>
      <c r="C38" s="199" t="n">
        <v>1390</v>
      </c>
      <c r="D38" s="198" t="n">
        <v>1401</v>
      </c>
      <c r="E38" s="183" t="n"/>
      <c r="F38" s="183" t="n"/>
      <c r="G38" s="183" t="n"/>
      <c r="H38" s="183" t="n"/>
      <c r="I38" s="183" t="n"/>
      <c r="J38" s="183" t="n"/>
      <c r="K38" s="302" t="n"/>
      <c r="L38" s="302" t="n"/>
      <c r="M38" s="302" t="n"/>
      <c r="N38" s="302" t="n"/>
      <c r="O38" s="302" t="n"/>
      <c r="P38" s="302" t="n"/>
      <c r="Q38" s="302" t="n"/>
      <c r="R38" s="302" t="n"/>
      <c r="S38" s="302" t="n"/>
      <c r="T38" s="302" t="n"/>
      <c r="U38" s="302" t="n"/>
      <c r="V38" s="302" t="n"/>
      <c r="W38" s="302" t="n"/>
      <c r="X38" s="302" t="n"/>
      <c r="Y38" s="302" t="n"/>
      <c r="Z38" s="302" t="n"/>
      <c r="AA38" s="353" t="n"/>
      <c r="AB38" s="302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24.75" customHeight="1" s="131">
      <c r="A39" s="302" t="n"/>
      <c r="B39" s="196" t="inlineStr">
        <is>
          <t>3BD</t>
        </is>
      </c>
      <c r="C39" s="199" t="n">
        <v>1545</v>
      </c>
      <c r="D39" s="198" t="n">
        <v>1614</v>
      </c>
      <c r="E39" s="183" t="n"/>
      <c r="F39" s="183" t="n"/>
      <c r="G39" s="183" t="n"/>
      <c r="H39" s="183" t="n"/>
      <c r="I39" s="183" t="n"/>
      <c r="J39" s="183" t="n"/>
      <c r="K39" s="302" t="n"/>
      <c r="L39" s="302" t="n"/>
      <c r="M39" s="302" t="n"/>
      <c r="N39" s="302" t="n"/>
      <c r="O39" s="302" t="n"/>
      <c r="P39" s="302" t="n"/>
      <c r="Q39" s="302" t="n"/>
      <c r="R39" s="302" t="n"/>
      <c r="S39" s="302" t="n"/>
      <c r="T39" s="302" t="n"/>
      <c r="U39" s="302" t="n"/>
      <c r="V39" s="302" t="n"/>
      <c r="W39" s="302" t="n"/>
      <c r="X39" s="302" t="n"/>
      <c r="Y39" s="302" t="n"/>
      <c r="Z39" s="302" t="n"/>
      <c r="AA39" s="353" t="n"/>
      <c r="AB39" s="302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s="131">
      <c r="A40" s="372" t="n"/>
      <c r="B40" s="392" t="n"/>
      <c r="C40" s="392" t="n"/>
      <c r="D40" s="369" t="n"/>
      <c r="E40" s="369" t="n"/>
      <c r="F40" s="369" t="n"/>
      <c r="G40" s="369" t="n"/>
      <c r="H40" s="369" t="n"/>
      <c r="I40" s="369" t="n"/>
      <c r="J40" s="369" t="n"/>
      <c r="K40" s="369" t="n"/>
      <c r="L40" s="136" t="n"/>
      <c r="M40" s="136" t="n"/>
      <c r="N40" s="136" t="n"/>
      <c r="O40" s="136" t="n"/>
      <c r="P40" s="136" t="n"/>
      <c r="Q40" s="136" t="n"/>
      <c r="R40" s="136" t="n"/>
      <c r="S40" s="136" t="n"/>
      <c r="T40" s="136" t="n"/>
      <c r="U40" s="136" t="n"/>
      <c r="V40" s="136" t="n"/>
      <c r="W40" s="136" t="n"/>
      <c r="X40" s="136" t="n"/>
      <c r="Y40" s="136" t="n"/>
      <c r="Z40" s="136" t="n"/>
      <c r="AA40" s="136" t="n"/>
      <c r="AB40" s="136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s="131">
      <c r="A41" s="369" t="n"/>
      <c r="B41" s="399" t="n"/>
      <c r="C41" s="399" t="n"/>
      <c r="D41" s="369" t="n"/>
      <c r="E41" s="369" t="n"/>
      <c r="F41" s="369" t="n"/>
      <c r="G41" s="369" t="n"/>
      <c r="H41" s="369" t="n"/>
      <c r="I41" s="369" t="n"/>
      <c r="J41" s="369" t="n"/>
      <c r="K41" s="369" t="n"/>
      <c r="L41" s="136" t="n"/>
      <c r="M41" s="136" t="n"/>
      <c r="N41" s="136" t="n"/>
      <c r="O41" s="136" t="n"/>
      <c r="P41" s="136" t="n"/>
      <c r="Q41" s="136" t="n"/>
      <c r="R41" s="136" t="n"/>
      <c r="S41" s="136" t="n"/>
      <c r="T41" s="136" t="n"/>
      <c r="U41" s="136" t="n"/>
      <c r="V41" s="136" t="n"/>
      <c r="W41" s="136" t="n"/>
      <c r="X41" s="136" t="n"/>
      <c r="Y41" s="136" t="n"/>
      <c r="Z41" s="136" t="n"/>
      <c r="AA41" s="136" t="n"/>
      <c r="AB41" s="136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s="131">
      <c r="A42" s="369" t="n"/>
      <c r="B42" s="369" t="n"/>
      <c r="C42" s="369" t="n"/>
      <c r="D42" s="369" t="n"/>
      <c r="E42" s="369" t="n"/>
      <c r="F42" s="369" t="n"/>
      <c r="G42" s="369" t="n"/>
      <c r="H42" s="369" t="n"/>
      <c r="I42" s="369" t="n"/>
      <c r="J42" s="369" t="n"/>
      <c r="K42" s="369" t="n"/>
      <c r="L42" s="136" t="n"/>
      <c r="M42" s="136" t="n"/>
      <c r="N42" s="136" t="n"/>
      <c r="O42" s="136" t="n"/>
      <c r="P42" s="136" t="n"/>
      <c r="Q42" s="136" t="n"/>
      <c r="R42" s="136" t="n"/>
      <c r="S42" s="136" t="n"/>
      <c r="T42" s="136" t="n"/>
      <c r="U42" s="136" t="n"/>
      <c r="V42" s="136" t="n"/>
      <c r="W42" s="136" t="n"/>
      <c r="X42" s="136" t="n"/>
      <c r="Y42" s="136" t="n"/>
      <c r="Z42" s="136" t="n"/>
      <c r="AA42" s="136" t="n"/>
      <c r="AB42" s="136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s="131">
      <c r="A43" s="369" t="n"/>
      <c r="B43" s="369" t="n"/>
      <c r="C43" s="369" t="n"/>
      <c r="D43" s="369" t="n"/>
      <c r="E43" s="369" t="n"/>
      <c r="F43" s="369" t="n"/>
      <c r="G43" s="369" t="n"/>
      <c r="H43" s="369" t="n"/>
      <c r="I43" s="369" t="n"/>
      <c r="J43" s="369" t="n"/>
      <c r="K43" s="369" t="n"/>
      <c r="L43" s="136" t="n"/>
      <c r="M43" s="136" t="n"/>
      <c r="N43" s="136" t="n"/>
      <c r="O43" s="136" t="n"/>
      <c r="P43" s="136" t="n"/>
      <c r="Q43" s="136" t="n"/>
      <c r="R43" s="136" t="n"/>
      <c r="S43" s="136" t="n"/>
      <c r="T43" s="136" t="n"/>
      <c r="U43" s="136" t="n"/>
      <c r="V43" s="136" t="n"/>
      <c r="W43" s="136" t="n"/>
      <c r="X43" s="136" t="n"/>
      <c r="Y43" s="136" t="n"/>
      <c r="Z43" s="136" t="n"/>
      <c r="AA43" s="136" t="n"/>
      <c r="AB43" s="136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s="131">
      <c r="A44" s="369" t="n"/>
      <c r="B44" s="369" t="n"/>
      <c r="C44" s="369" t="n"/>
      <c r="D44" s="369" t="n"/>
      <c r="E44" s="369" t="n"/>
      <c r="F44" s="369" t="n"/>
      <c r="G44" s="369" t="n"/>
      <c r="H44" s="369" t="n"/>
      <c r="I44" s="369" t="n"/>
      <c r="J44" s="369" t="n"/>
      <c r="K44" s="369" t="n"/>
      <c r="L44" s="136" t="n"/>
      <c r="M44" s="136" t="n"/>
      <c r="N44" s="136" t="n"/>
      <c r="O44" s="136" t="n"/>
      <c r="P44" s="136" t="n"/>
      <c r="Q44" s="136" t="n"/>
      <c r="R44" s="136" t="n"/>
      <c r="S44" s="136" t="n"/>
      <c r="T44" s="136" t="n"/>
      <c r="U44" s="136" t="n"/>
      <c r="V44" s="136" t="n"/>
      <c r="W44" s="136" t="n"/>
      <c r="X44" s="136" t="n"/>
      <c r="Y44" s="136" t="n"/>
      <c r="Z44" s="136" t="n"/>
      <c r="AA44" s="136" t="n"/>
      <c r="AB44" s="136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s="131">
      <c r="A45" s="369" t="n"/>
      <c r="B45" s="369" t="n"/>
      <c r="C45" s="369" t="n"/>
      <c r="D45" s="369" t="n"/>
      <c r="E45" s="369" t="n"/>
      <c r="F45" s="369" t="n"/>
      <c r="G45" s="369" t="n"/>
      <c r="H45" s="369" t="n"/>
      <c r="I45" s="369" t="n"/>
      <c r="J45" s="369" t="n"/>
      <c r="K45" s="369" t="n"/>
      <c r="L45" s="136" t="n"/>
      <c r="M45" s="136" t="n"/>
      <c r="N45" s="136" t="n"/>
      <c r="O45" s="136" t="n"/>
      <c r="P45" s="136" t="n"/>
      <c r="Q45" s="136" t="n"/>
      <c r="R45" s="136" t="n"/>
      <c r="S45" s="136" t="n"/>
      <c r="T45" s="136" t="n"/>
      <c r="U45" s="136" t="n"/>
      <c r="V45" s="136" t="n"/>
      <c r="W45" s="136" t="n"/>
      <c r="X45" s="136" t="n"/>
      <c r="Y45" s="136" t="n"/>
      <c r="Z45" s="136" t="n"/>
      <c r="AA45" s="136" t="n"/>
      <c r="AB45" s="136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s="131">
      <c r="A46" s="369" t="n"/>
      <c r="B46" s="369" t="n"/>
      <c r="C46" s="369" t="n"/>
      <c r="D46" s="369" t="n"/>
      <c r="E46" s="369" t="n"/>
      <c r="F46" s="369" t="n"/>
      <c r="G46" s="369" t="n"/>
      <c r="H46" s="369" t="n"/>
      <c r="I46" s="369" t="n"/>
      <c r="J46" s="369" t="n"/>
      <c r="K46" s="369" t="n"/>
      <c r="L46" s="136" t="n"/>
      <c r="M46" s="136" t="n"/>
      <c r="N46" s="136" t="n"/>
      <c r="O46" s="136" t="n"/>
      <c r="P46" s="136" t="n"/>
      <c r="Q46" s="136" t="n"/>
      <c r="R46" s="136" t="n"/>
      <c r="S46" s="136" t="n"/>
      <c r="T46" s="136" t="n"/>
      <c r="U46" s="136" t="n"/>
      <c r="V46" s="136" t="n"/>
      <c r="W46" s="136" t="n"/>
      <c r="X46" s="136" t="n"/>
      <c r="Y46" s="136" t="n"/>
      <c r="Z46" s="136" t="n"/>
      <c r="AA46" s="136" t="n"/>
      <c r="AB46" s="136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s="131">
      <c r="A47" s="369" t="n"/>
      <c r="B47" s="369" t="n"/>
      <c r="C47" s="369" t="n"/>
      <c r="D47" s="369" t="n"/>
      <c r="E47" s="369" t="n"/>
      <c r="F47" s="369" t="n"/>
      <c r="G47" s="369" t="n"/>
      <c r="H47" s="369" t="n"/>
      <c r="I47" s="369" t="n"/>
      <c r="J47" s="369" t="n"/>
      <c r="K47" s="369" t="n"/>
      <c r="L47" s="136" t="n"/>
      <c r="M47" s="136" t="n"/>
      <c r="N47" s="136" t="n"/>
      <c r="O47" s="136" t="n"/>
      <c r="P47" s="136" t="n"/>
      <c r="Q47" s="136" t="n"/>
      <c r="R47" s="136" t="n"/>
      <c r="S47" s="136" t="n"/>
      <c r="T47" s="136" t="n"/>
      <c r="U47" s="136" t="n"/>
      <c r="V47" s="136" t="n"/>
      <c r="W47" s="136" t="n"/>
      <c r="X47" s="136" t="n"/>
      <c r="Y47" s="136" t="n"/>
      <c r="Z47" s="136" t="n"/>
      <c r="AA47" s="136" t="n"/>
      <c r="AB47" s="136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s="131">
      <c r="A48" s="369" t="n"/>
      <c r="B48" s="369" t="n"/>
      <c r="C48" s="369" t="n"/>
      <c r="D48" s="369" t="n"/>
      <c r="E48" s="369" t="n"/>
      <c r="F48" s="369" t="n"/>
      <c r="G48" s="369" t="n"/>
      <c r="H48" s="369" t="n"/>
      <c r="I48" s="369" t="n"/>
      <c r="J48" s="369" t="n"/>
      <c r="K48" s="369" t="n"/>
      <c r="L48" s="136" t="n"/>
      <c r="M48" s="136" t="n"/>
      <c r="N48" s="136" t="n"/>
      <c r="O48" s="136" t="n"/>
      <c r="P48" s="136" t="n"/>
      <c r="Q48" s="136" t="n"/>
      <c r="R48" s="136" t="n"/>
      <c r="S48" s="136" t="n"/>
      <c r="T48" s="136" t="n"/>
      <c r="U48" s="136" t="n"/>
      <c r="V48" s="136" t="n"/>
      <c r="W48" s="136" t="n"/>
      <c r="X48" s="136" t="n"/>
      <c r="Y48" s="136" t="n"/>
      <c r="Z48" s="136" t="n"/>
      <c r="AA48" s="136" t="n"/>
      <c r="AB48" s="136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s="131">
      <c r="A49" s="369" t="n"/>
      <c r="B49" s="369" t="n"/>
      <c r="C49" s="369" t="n"/>
      <c r="D49" s="369" t="n"/>
      <c r="E49" s="369" t="n"/>
      <c r="F49" s="369" t="n"/>
      <c r="G49" s="369" t="n"/>
      <c r="H49" s="369" t="n"/>
      <c r="I49" s="369" t="n"/>
      <c r="J49" s="369" t="n"/>
      <c r="K49" s="369" t="n"/>
      <c r="L49" s="136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6" t="n"/>
      <c r="Y49" s="136" t="n"/>
      <c r="Z49" s="136" t="n"/>
      <c r="AA49" s="136" t="n"/>
      <c r="AB49" s="136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s="131">
      <c r="A50" s="369" t="n"/>
      <c r="B50" s="369" t="n"/>
      <c r="C50" s="369" t="n"/>
      <c r="D50" s="369" t="n"/>
      <c r="E50" s="369" t="n"/>
      <c r="F50" s="369" t="n"/>
      <c r="G50" s="369" t="n"/>
      <c r="H50" s="369" t="n"/>
      <c r="I50" s="369" t="n"/>
      <c r="J50" s="369" t="n"/>
      <c r="K50" s="369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</sheetData>
  <mergeCells count="9">
    <mergeCell ref="B4:AB4"/>
    <mergeCell ref="B28:G28"/>
    <mergeCell ref="B36:G36"/>
    <mergeCell ref="B22:G22"/>
    <mergeCell ref="B23:G23"/>
    <mergeCell ref="B20:I20"/>
    <mergeCell ref="B2:AB2"/>
    <mergeCell ref="B3:AB3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X58"/>
  <sheetViews>
    <sheetView workbookViewId="0">
      <selection activeCell="M8" sqref="M1:M1048576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343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29"/>
    <col width="13" customWidth="1" style="131" min="30" max="5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4" t="n"/>
      <c r="AA1" s="135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  <c r="AX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  <c r="AX2" s="136" t="n"/>
    </row>
    <row r="3" ht="20.25" customHeight="1" s="131">
      <c r="A3" s="177" t="inlineStr">
        <is>
          <t>COMPETITIVE RENT ANALYSIS — CORAL VILLAGE | GREEN = Affordable Comps | BLUE = Market Rate Comps</t>
        </is>
      </c>
      <c r="AC3" s="136" t="n"/>
      <c r="AD3" s="136" t="n"/>
      <c r="AE3" s="136" t="n"/>
      <c r="AF3" s="136" t="n"/>
      <c r="AG3" s="136" t="n"/>
      <c r="AH3" s="136" t="n"/>
      <c r="AI3" s="136" t="n"/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  <c r="AX3" s="136" t="n"/>
    </row>
    <row r="4" ht="69" customHeight="1" s="131">
      <c r="A4" s="176" t="inlineStr">
        <is>
          <t>SUBJECT: Coral Village | Cape Coral, Cape Coral, FL 33990 | 72 units | Program: Section 8/HUD | Bedroom Mix: 1BR / 2BR | County AMI: $92,500 | FMR Area: Cape Coral-Fort Myers MSA</t>
        </is>
      </c>
      <c r="AC4" s="136" t="n"/>
      <c r="AD4" s="136" t="n"/>
      <c r="AE4" s="136" t="n"/>
      <c r="AF4" s="136" t="n"/>
      <c r="AG4" s="136" t="n"/>
      <c r="AH4" s="136" t="n"/>
      <c r="AI4" s="136" t="n"/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  <c r="AX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C5" s="136" t="n"/>
      <c r="AD5" s="136" t="n"/>
      <c r="AE5" s="136" t="n"/>
      <c r="AF5" s="136" t="n"/>
      <c r="AG5" s="136" t="n"/>
      <c r="AH5" s="136" t="n"/>
      <c r="AI5" s="136" t="n"/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  <c r="AX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1BD 50% AMI ($)</t>
        </is>
      </c>
      <c r="J6" s="280" t="inlineStr">
        <is>
          <t>1BD 60% AMI ($)</t>
        </is>
      </c>
      <c r="K6" s="280" t="inlineStr">
        <is>
          <t>1BR FMR ($)</t>
        </is>
      </c>
      <c r="L6" s="335" t="inlineStr">
        <is>
          <t>1BR Actual ($)</t>
        </is>
      </c>
      <c r="M6" s="281" t="n"/>
      <c r="N6" s="280" t="inlineStr">
        <is>
          <t>2BD 50% AMI ($)</t>
        </is>
      </c>
      <c r="O6" s="280" t="inlineStr">
        <is>
          <t>2BD 60% AMI ($)</t>
        </is>
      </c>
      <c r="P6" s="335" t="inlineStr">
        <is>
          <t>2BR FMR ($)</t>
        </is>
      </c>
      <c r="Q6" s="281" t="inlineStr">
        <is>
          <t>2BR Actual ($)</t>
        </is>
      </c>
      <c r="R6" s="280" t="inlineStr">
        <is>
          <t># Units</t>
        </is>
      </c>
      <c r="S6" s="280" t="inlineStr">
        <is>
          <t>Year Built</t>
        </is>
      </c>
      <c r="T6" s="339" t="inlineStr">
        <is>
          <t>Yr Diff</t>
        </is>
      </c>
      <c r="U6" s="339" t="inlineStr">
        <is>
          <t>Utilities Incl.</t>
        </is>
      </c>
      <c r="V6" s="339" t="inlineStr">
        <is>
          <t>Pet Friendly</t>
        </is>
      </c>
      <c r="W6" s="339" t="inlineStr">
        <is>
          <t>Gated</t>
        </is>
      </c>
      <c r="X6" s="339" t="inlineStr">
        <is>
          <t>Pool</t>
        </is>
      </c>
      <c r="Y6" s="339" t="inlineStr">
        <is>
          <t>W/D In-Unit</t>
        </is>
      </c>
      <c r="Z6" s="336" t="inlineStr">
        <is>
          <t>Competition Level</t>
        </is>
      </c>
      <c r="AA6" s="340" t="inlineStr">
        <is>
          <t>Why Competitive</t>
        </is>
      </c>
      <c r="AB6" s="342" t="inlineStr">
        <is>
          <t>Data Source</t>
        </is>
      </c>
      <c r="AC6" s="136" t="n"/>
      <c r="AD6" s="136" t="n"/>
      <c r="AE6" s="136" t="n"/>
      <c r="AF6" s="136" t="n"/>
      <c r="AG6" s="136" t="n"/>
      <c r="AH6" s="136" t="n"/>
      <c r="AI6" s="136" t="n"/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  <c r="AX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Coral Village (SUBJECT)</t>
        </is>
      </c>
      <c r="D7" s="174" t="inlineStr">
        <is>
          <t>Cape Coral</t>
        </is>
      </c>
      <c r="E7" s="174" t="inlineStr">
        <is>
          <t>Cape Coral</t>
        </is>
      </c>
      <c r="F7" s="174" t="inlineStr">
        <is>
          <t>FL</t>
        </is>
      </c>
      <c r="G7" s="174" t="inlineStr">
        <is>
          <t>33990</t>
        </is>
      </c>
      <c r="H7" s="174" t="inlineStr">
        <is>
          <t>0.0 mi</t>
        </is>
      </c>
      <c r="I7" s="174" t="inlineStr">
        <is>
          <t>$3,193</t>
        </is>
      </c>
      <c r="J7" s="174" t="inlineStr">
        <is>
          <t>$3,832</t>
        </is>
      </c>
      <c r="K7" s="174" t="inlineStr">
        <is>
          <t>$1,371</t>
        </is>
      </c>
      <c r="L7" s="368">
        <f>B26</f>
        <v/>
      </c>
      <c r="M7" s="174" t="n"/>
      <c r="N7" s="174" t="inlineStr">
        <is>
          <t>$3,829</t>
        </is>
      </c>
      <c r="O7" s="174" t="inlineStr">
        <is>
          <t>$4,595</t>
        </is>
      </c>
      <c r="P7" s="174" t="inlineStr">
        <is>
          <t>$1,876</t>
        </is>
      </c>
      <c r="Q7" s="368">
        <f>B27</f>
        <v/>
      </c>
      <c r="R7" s="174" t="inlineStr">
        <is>
          <t>72</t>
        </is>
      </c>
      <c r="S7" s="174" t="inlineStr">
        <is>
          <t>1999</t>
        </is>
      </c>
      <c r="T7" s="174" t="inlineStr">
        <is>
          <t>0</t>
        </is>
      </c>
      <c r="U7" s="174" t="inlineStr">
        <is>
          <t>Yes</t>
        </is>
      </c>
      <c r="V7" s="174" t="inlineStr">
        <is>
          <t>No</t>
        </is>
      </c>
      <c r="W7" s="174" t="inlineStr">
        <is>
          <t>No</t>
        </is>
      </c>
      <c r="X7" s="174" t="inlineStr">
        <is>
          <t>Yes</t>
        </is>
      </c>
      <c r="Y7" s="173" t="inlineStr">
        <is>
          <t>No</t>
        </is>
      </c>
      <c r="Z7" s="42" t="inlineStr">
        <is>
          <t>SUBJECT</t>
        </is>
      </c>
      <c r="AA7" s="55" t="inlineStr">
        <is>
          <t>72 units | Section 8/HUD property. Year built: 1999. Subject property for market context.</t>
        </is>
      </c>
      <c r="AB7" s="40" t="inlineStr">
        <is>
          <t>Apartment Corp Records</t>
        </is>
      </c>
      <c r="AC7" s="136" t="n"/>
      <c r="AD7" s="136" t="n"/>
      <c r="AE7" s="136" t="n"/>
      <c r="AF7" s="136" t="n"/>
      <c r="AG7" s="136" t="n"/>
      <c r="AH7" s="136" t="n"/>
      <c r="AI7" s="136" t="n"/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  <c r="AX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Brittany Ii</t>
        </is>
      </c>
      <c r="D8" s="59" t="inlineStr">
        <is>
          <t>4050 Winkler Ave Ext</t>
        </is>
      </c>
      <c r="E8" s="59" t="inlineStr">
        <is>
          <t>Fort Myers</t>
        </is>
      </c>
      <c r="F8" s="59" t="inlineStr">
        <is>
          <t>FL</t>
        </is>
      </c>
      <c r="G8" s="59" t="inlineStr">
        <is>
          <t>33916</t>
        </is>
      </c>
      <c r="H8" s="59" t="inlineStr">
        <is>
          <t>8.0 mi</t>
        </is>
      </c>
      <c r="I8" s="59" t="inlineStr">
        <is>
          <t>$3,193</t>
        </is>
      </c>
      <c r="J8" s="59" t="inlineStr">
        <is>
          <t>$3,832</t>
        </is>
      </c>
      <c r="K8" s="41" t="inlineStr">
        <is>
          <t>$1,371</t>
        </is>
      </c>
      <c r="L8" s="53" t="inlineStr">
        <is>
          <t>Not Listed</t>
        </is>
      </c>
      <c r="M8" s="53" t="n"/>
      <c r="N8" s="43" t="inlineStr">
        <is>
          <t>$3,829</t>
        </is>
      </c>
      <c r="O8" s="43" t="inlineStr">
        <is>
          <t>$4,595</t>
        </is>
      </c>
      <c r="P8" s="41" t="inlineStr">
        <is>
          <t>$1,876</t>
        </is>
      </c>
      <c r="Q8" s="53" t="inlineStr">
        <is>
          <t>Not Listed</t>
        </is>
      </c>
      <c r="R8" s="43" t="inlineStr">
        <is>
          <t>112</t>
        </is>
      </c>
      <c r="S8" s="43" t="inlineStr">
        <is>
          <t>2000</t>
        </is>
      </c>
      <c r="T8" s="43" t="inlineStr">
        <is>
          <t>1</t>
        </is>
      </c>
      <c r="U8" s="43" t="inlineStr">
        <is>
          <t>Yes</t>
        </is>
      </c>
      <c r="V8" s="43" t="inlineStr">
        <is>
          <t>No</t>
        </is>
      </c>
      <c r="W8" s="43" t="inlineStr">
        <is>
          <t>No</t>
        </is>
      </c>
      <c r="X8" s="43" t="inlineStr">
        <is>
          <t>No</t>
        </is>
      </c>
      <c r="Y8" s="43" t="inlineStr">
        <is>
          <t>No</t>
        </is>
      </c>
      <c r="Z8" s="44" t="inlineStr">
        <is>
          <t>HIGH</t>
        </is>
      </c>
      <c r="AA8" s="56" t="inlineStr">
        <is>
          <t>Affordable Comp #1: LIHTC property, 2000 vintage (1 yr diff), 112 units, 8.0 mi from subject. Same income-eligible renter pool.</t>
        </is>
      </c>
      <c r="AB8" s="43" t="inlineStr">
        <is>
          <t>HUD LIHTC Database (huduser.gov)</t>
        </is>
      </c>
      <c r="AC8" s="136" t="n"/>
      <c r="AD8" s="136" t="n"/>
      <c r="AE8" s="136" t="n"/>
      <c r="AF8" s="136" t="n"/>
      <c r="AG8" s="136" t="n"/>
      <c r="AH8" s="136" t="n"/>
      <c r="AI8" s="136" t="n"/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  <c r="AX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Brittany</t>
        </is>
      </c>
      <c r="D9" s="125" t="inlineStr">
        <is>
          <t>4054 Winkler Ave</t>
        </is>
      </c>
      <c r="E9" s="125" t="inlineStr">
        <is>
          <t>Fort Myers</t>
        </is>
      </c>
      <c r="F9" s="125" t="inlineStr">
        <is>
          <t>FL</t>
        </is>
      </c>
      <c r="G9" s="125" t="inlineStr">
        <is>
          <t>33916</t>
        </is>
      </c>
      <c r="H9" s="125" t="inlineStr">
        <is>
          <t>7.9 mi</t>
        </is>
      </c>
      <c r="I9" s="125" t="inlineStr">
        <is>
          <t>$3,193</t>
        </is>
      </c>
      <c r="J9" s="125" t="inlineStr">
        <is>
          <t>$3,832</t>
        </is>
      </c>
      <c r="K9" s="85" t="inlineStr">
        <is>
          <t>$1,371</t>
        </is>
      </c>
      <c r="L9" s="86" t="inlineStr">
        <is>
          <t>Not Listed</t>
        </is>
      </c>
      <c r="M9" s="86" t="n"/>
      <c r="N9" s="128" t="inlineStr">
        <is>
          <t>$3,829</t>
        </is>
      </c>
      <c r="O9" s="128" t="inlineStr">
        <is>
          <t>$4,595</t>
        </is>
      </c>
      <c r="P9" s="85" t="inlineStr">
        <is>
          <t>$1,876</t>
        </is>
      </c>
      <c r="Q9" s="86" t="inlineStr">
        <is>
          <t>Not Listed</t>
        </is>
      </c>
      <c r="R9" s="128" t="inlineStr">
        <is>
          <t>208</t>
        </is>
      </c>
      <c r="S9" s="128" t="inlineStr">
        <is>
          <t>1999</t>
        </is>
      </c>
      <c r="T9" s="128" t="inlineStr">
        <is>
          <t>0</t>
        </is>
      </c>
      <c r="U9" s="128" t="inlineStr">
        <is>
          <t>Yes</t>
        </is>
      </c>
      <c r="V9" s="128" t="inlineStr">
        <is>
          <t>No</t>
        </is>
      </c>
      <c r="W9" s="128" t="inlineStr">
        <is>
          <t>No</t>
        </is>
      </c>
      <c r="X9" s="128" t="inlineStr">
        <is>
          <t>No</t>
        </is>
      </c>
      <c r="Y9" s="128" t="inlineStr">
        <is>
          <t>No</t>
        </is>
      </c>
      <c r="Z9" s="129" t="inlineStr">
        <is>
          <t>HIGH</t>
        </is>
      </c>
      <c r="AA9" s="130" t="inlineStr">
        <is>
          <t>Affordable Comp #2: LIHTC property, 1999 vintage (0 yr diff), 208 units, 7.9 mi from subject. Same income-eligible renter pool.</t>
        </is>
      </c>
      <c r="AB9" s="128" t="inlineStr">
        <is>
          <t>HUD LIHTC Database (huduser.gov)</t>
        </is>
      </c>
      <c r="AC9" s="136" t="n"/>
      <c r="AD9" s="136" t="n"/>
      <c r="AE9" s="136" t="n"/>
      <c r="AF9" s="136" t="n"/>
      <c r="AG9" s="136" t="n"/>
      <c r="AH9" s="136" t="n"/>
      <c r="AI9" s="136" t="n"/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  <c r="AX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Crossings At Cape Coral</t>
        </is>
      </c>
      <c r="D10" s="107" t="inlineStr">
        <is>
          <t>1150 Hancock Crk Blvd</t>
        </is>
      </c>
      <c r="E10" s="107" t="inlineStr">
        <is>
          <t>Cape Coral</t>
        </is>
      </c>
      <c r="F10" s="107" t="inlineStr">
        <is>
          <t>FL</t>
        </is>
      </c>
      <c r="G10" s="107" t="inlineStr">
        <is>
          <t>33909</t>
        </is>
      </c>
      <c r="H10" s="107" t="inlineStr">
        <is>
          <t>7.7 mi</t>
        </is>
      </c>
      <c r="I10" s="107" t="inlineStr">
        <is>
          <t>$3,193</t>
        </is>
      </c>
      <c r="J10" s="107" t="inlineStr">
        <is>
          <t>$3,832</t>
        </is>
      </c>
      <c r="K10" s="80" t="inlineStr">
        <is>
          <t>$1,371</t>
        </is>
      </c>
      <c r="L10" s="81" t="inlineStr">
        <is>
          <t>Not Listed</t>
        </is>
      </c>
      <c r="M10" s="81" t="n"/>
      <c r="N10" s="108" t="inlineStr">
        <is>
          <t>$3,829</t>
        </is>
      </c>
      <c r="O10" s="108" t="inlineStr">
        <is>
          <t>$4,595</t>
        </is>
      </c>
      <c r="P10" s="80" t="inlineStr">
        <is>
          <t>$1,876</t>
        </is>
      </c>
      <c r="Q10" s="81" t="inlineStr">
        <is>
          <t>$1,224</t>
        </is>
      </c>
      <c r="R10" s="108" t="inlineStr">
        <is>
          <t>168</t>
        </is>
      </c>
      <c r="S10" s="108" t="inlineStr">
        <is>
          <t>2000</t>
        </is>
      </c>
      <c r="T10" s="108" t="inlineStr">
        <is>
          <t>1</t>
        </is>
      </c>
      <c r="U10" s="108" t="inlineStr">
        <is>
          <t>Yes</t>
        </is>
      </c>
      <c r="V10" s="108" t="inlineStr">
        <is>
          <t>No</t>
        </is>
      </c>
      <c r="W10" s="108" t="inlineStr">
        <is>
          <t>No</t>
        </is>
      </c>
      <c r="X10" s="108" t="inlineStr">
        <is>
          <t>No</t>
        </is>
      </c>
      <c r="Y10" s="108" t="inlineStr">
        <is>
          <t>No</t>
        </is>
      </c>
      <c r="Z10" s="109" t="inlineStr">
        <is>
          <t>HIGH</t>
        </is>
      </c>
      <c r="AA10" s="110" t="inlineStr">
        <is>
          <t>Affordable Comp #3: LIHTC property, 2000 vintage (1 yr diff), 168 units, 7.7 mi from subject. Same income-eligible renter pool.</t>
        </is>
      </c>
      <c r="AB10" s="111" t="inlineStr">
        <is>
          <t>HUD LIHTC Database (huduser.gov)</t>
        </is>
      </c>
      <c r="AC10" s="134" t="n"/>
      <c r="AD10" s="136" t="n"/>
      <c r="AE10" s="136" t="n"/>
      <c r="AF10" s="136" t="n"/>
      <c r="AG10" s="136" t="n"/>
      <c r="AH10" s="136" t="n"/>
      <c r="AI10" s="136" t="n"/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  <c r="AX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Westchase</t>
        </is>
      </c>
      <c r="D11" s="95" t="inlineStr">
        <is>
          <t>3810 Metro Pkwy</t>
        </is>
      </c>
      <c r="E11" s="95" t="inlineStr">
        <is>
          <t>Ft Myers</t>
        </is>
      </c>
      <c r="F11" s="95" t="inlineStr">
        <is>
          <t>FL</t>
        </is>
      </c>
      <c r="G11" s="95" t="inlineStr">
        <is>
          <t>33916</t>
        </is>
      </c>
      <c r="H11" s="95" t="inlineStr">
        <is>
          <t>6.8 mi</t>
        </is>
      </c>
      <c r="I11" s="95" t="inlineStr">
        <is>
          <t>$3,193</t>
        </is>
      </c>
      <c r="J11" s="95" t="inlineStr">
        <is>
          <t>$3,832</t>
        </is>
      </c>
      <c r="K11" s="39" t="inlineStr">
        <is>
          <t>$1,371</t>
        </is>
      </c>
      <c r="L11" s="53" t="inlineStr">
        <is>
          <t>Not Listed</t>
        </is>
      </c>
      <c r="M11" s="53" t="n"/>
      <c r="N11" s="96" t="inlineStr">
        <is>
          <t>$3,829</t>
        </is>
      </c>
      <c r="O11" s="96" t="inlineStr">
        <is>
          <t>$4,595</t>
        </is>
      </c>
      <c r="P11" s="39" t="inlineStr">
        <is>
          <t>$1,876</t>
        </is>
      </c>
      <c r="Q11" s="53" t="inlineStr">
        <is>
          <t>Not Listed</t>
        </is>
      </c>
      <c r="R11" s="96" t="inlineStr">
        <is>
          <t>352</t>
        </is>
      </c>
      <c r="S11" s="96" t="inlineStr">
        <is>
          <t>1999</t>
        </is>
      </c>
      <c r="T11" s="96" t="inlineStr">
        <is>
          <t>0</t>
        </is>
      </c>
      <c r="U11" s="96" t="inlineStr">
        <is>
          <t>Yes</t>
        </is>
      </c>
      <c r="V11" s="96" t="inlineStr">
        <is>
          <t>No</t>
        </is>
      </c>
      <c r="W11" s="96" t="inlineStr">
        <is>
          <t>No</t>
        </is>
      </c>
      <c r="X11" s="96" t="inlineStr">
        <is>
          <t>No</t>
        </is>
      </c>
      <c r="Y11" s="96" t="inlineStr">
        <is>
          <t>No</t>
        </is>
      </c>
      <c r="Z11" s="45" t="inlineStr">
        <is>
          <t>HIGH</t>
        </is>
      </c>
      <c r="AA11" s="97" t="inlineStr">
        <is>
          <t>Affordable Comp #4: LIHTC property, 1999 vintage (0 yr diff), 352 units, 6.8 mi from subject. Same income-eligible renter pool.</t>
        </is>
      </c>
      <c r="AB11" s="113" t="inlineStr">
        <is>
          <t>HUD LIHTC Database (huduser.gov)</t>
        </is>
      </c>
      <c r="AC11" s="134" t="n"/>
      <c r="AD11" s="136" t="n"/>
      <c r="AE11" s="136" t="n"/>
      <c r="AF11" s="136" t="n"/>
      <c r="AG11" s="136" t="n"/>
      <c r="AH11" s="136" t="n"/>
      <c r="AI11" s="136" t="n"/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  <c r="AX11" s="136" t="n"/>
    </row>
    <row r="12" ht="37.5" customHeight="1" s="131">
      <c r="A12" s="114" t="n">
        <v>1</v>
      </c>
      <c r="B12" s="70" t="inlineStr">
        <is>
          <t>MARKET RATE</t>
        </is>
      </c>
      <c r="C12" s="67" t="inlineStr">
        <is>
          <t>Cape at Savona Point</t>
        </is>
      </c>
      <c r="D12" s="98" t="inlineStr">
        <is>
          <t>1730 Savona Point Cir</t>
        </is>
      </c>
      <c r="E12" s="98" t="inlineStr">
        <is>
          <t>Cape Coral</t>
        </is>
      </c>
      <c r="F12" s="98" t="inlineStr">
        <is>
          <t>FL</t>
        </is>
      </c>
      <c r="G12" s="98" t="inlineStr">
        <is>
          <t>33914</t>
        </is>
      </c>
      <c r="H12" s="98" t="inlineStr">
        <is>
          <t>5.2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N/A (Market Rate)</t>
        </is>
      </c>
      <c r="L12" s="146" t="n">
        <v>1287</v>
      </c>
      <c r="M12" s="146" t="n"/>
      <c r="N12" s="99" t="inlineStr">
        <is>
          <t>N/A (Market Rate)</t>
        </is>
      </c>
      <c r="O12" s="99" t="inlineStr">
        <is>
          <t>N/A (Market Rate)</t>
        </is>
      </c>
      <c r="P12" s="39" t="inlineStr">
        <is>
          <t>N/A (Market Rate)</t>
        </is>
      </c>
      <c r="Q12" s="146" t="n">
        <v>1472</v>
      </c>
      <c r="R12" s="99" t="n"/>
      <c r="S12" s="99" t="n">
        <v>2021</v>
      </c>
      <c r="T12" s="99" t="n"/>
      <c r="U12" s="99" t="n"/>
      <c r="V12" s="99" t="n"/>
      <c r="W12" s="99" t="n"/>
      <c r="X12" s="99" t="n"/>
      <c r="Y12" s="99" t="n"/>
      <c r="Z12" s="46" t="n"/>
      <c r="AA12" s="100" t="n"/>
      <c r="AB12" s="115" t="n"/>
      <c r="AC12" s="134" t="n"/>
      <c r="AD12" s="136" t="n"/>
      <c r="AE12" s="136" t="n"/>
      <c r="AF12" s="136" t="n"/>
      <c r="AG12" s="136" t="n"/>
      <c r="AH12" s="136" t="n"/>
      <c r="AI12" s="136" t="n"/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  <c r="AX12" s="136" t="n"/>
    </row>
    <row r="13" ht="37.5" customHeight="1" s="131">
      <c r="A13" s="116" t="n">
        <v>2</v>
      </c>
      <c r="B13" s="71" t="inlineStr">
        <is>
          <t>MARKET RATE</t>
        </is>
      </c>
      <c r="C13" s="68" t="inlineStr">
        <is>
          <t>The Palms at Cape Coral</t>
        </is>
      </c>
      <c r="D13" s="101" t="inlineStr">
        <is>
          <t>701 SW Pine Island Rd</t>
        </is>
      </c>
      <c r="E13" s="101" t="inlineStr">
        <is>
          <t>Cape Coral</t>
        </is>
      </c>
      <c r="F13" s="101" t="inlineStr">
        <is>
          <t>FL</t>
        </is>
      </c>
      <c r="G13" s="101" t="inlineStr">
        <is>
          <t>33991</t>
        </is>
      </c>
      <c r="H13" s="101" t="inlineStr">
        <is>
          <t>4.8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N/A (Market Rate)</t>
        </is>
      </c>
      <c r="L13" s="146" t="n">
        <v>1243</v>
      </c>
      <c r="M13" s="146" t="n"/>
      <c r="N13" s="102" t="inlineStr">
        <is>
          <t>N/A (Market Rate)</t>
        </is>
      </c>
      <c r="O13" s="102" t="inlineStr">
        <is>
          <t>N/A (Market Rate)</t>
        </is>
      </c>
      <c r="P13" s="39" t="inlineStr">
        <is>
          <t>N/A (Market Rate)</t>
        </is>
      </c>
      <c r="Q13" s="146" t="n">
        <v>1503</v>
      </c>
      <c r="R13" s="102" t="n"/>
      <c r="S13" s="102" t="n">
        <v>2023</v>
      </c>
      <c r="T13" s="102" t="n"/>
      <c r="U13" s="102" t="n"/>
      <c r="V13" s="102" t="n"/>
      <c r="W13" s="102" t="n"/>
      <c r="X13" s="102" t="n"/>
      <c r="Y13" s="102" t="n"/>
      <c r="Z13" s="47" t="n"/>
      <c r="AA13" s="103" t="n"/>
      <c r="AB13" s="117" t="n"/>
      <c r="AC13" s="134" t="n"/>
      <c r="AD13" s="136" t="n"/>
      <c r="AE13" s="136" t="n"/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  <c r="AX13" s="136" t="n"/>
    </row>
    <row r="14" ht="37.5" customHeight="1" s="131">
      <c r="A14" s="112" t="n">
        <v>3</v>
      </c>
      <c r="B14" s="69" t="inlineStr">
        <is>
          <t>MARKET RATE</t>
        </is>
      </c>
      <c r="C14" s="66" t="inlineStr">
        <is>
          <t>Oasis at Surfside</t>
        </is>
      </c>
      <c r="D14" s="95" t="inlineStr">
        <is>
          <t>2200 Oasis Palm Cir</t>
        </is>
      </c>
      <c r="E14" s="95" t="inlineStr">
        <is>
          <t>Cape Coral</t>
        </is>
      </c>
      <c r="F14" s="95" t="inlineStr">
        <is>
          <t>FL</t>
        </is>
      </c>
      <c r="G14" s="95" t="inlineStr">
        <is>
          <t>33991</t>
        </is>
      </c>
      <c r="H14" s="95" t="inlineStr">
        <is>
          <t>4.1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N/A (Market Rate)</t>
        </is>
      </c>
      <c r="L14" s="146" t="n">
        <v>1389</v>
      </c>
      <c r="M14" s="146" t="n"/>
      <c r="N14" s="96" t="inlineStr">
        <is>
          <t>N/A (Market Rate)</t>
        </is>
      </c>
      <c r="O14" s="96" t="inlineStr">
        <is>
          <t>N/A (Market Rate)</t>
        </is>
      </c>
      <c r="P14" s="39" t="inlineStr">
        <is>
          <t>N/A (Market Rate)</t>
        </is>
      </c>
      <c r="Q14" s="146" t="n">
        <v>1549</v>
      </c>
      <c r="R14" s="96" t="n"/>
      <c r="S14" s="96" t="n">
        <v>2022</v>
      </c>
      <c r="T14" s="96" t="n"/>
      <c r="U14" s="96" t="n"/>
      <c r="V14" s="96" t="n"/>
      <c r="W14" s="96" t="n"/>
      <c r="X14" s="96" t="n"/>
      <c r="Y14" s="96" t="n"/>
      <c r="Z14" s="45" t="n"/>
      <c r="AA14" s="97" t="n"/>
      <c r="AB14" s="113" t="n"/>
      <c r="AC14" s="134" t="n"/>
      <c r="AD14" s="136" t="n"/>
      <c r="AE14" s="136" t="n"/>
      <c r="AF14" s="136" t="n"/>
      <c r="AG14" s="136" t="n"/>
      <c r="AH14" s="136" t="n"/>
      <c r="AI14" s="136" t="n"/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  <c r="AX14" s="136" t="n"/>
    </row>
    <row r="15" ht="40.5" customHeight="1" s="131">
      <c r="A15" s="112" t="n">
        <v>4</v>
      </c>
      <c r="B15" s="69" t="inlineStr">
        <is>
          <t>MARKET RATE</t>
        </is>
      </c>
      <c r="C15" s="66" t="inlineStr">
        <is>
          <t>Springs at Coral Shores</t>
        </is>
      </c>
      <c r="D15" s="95" t="inlineStr">
        <is>
          <t>606 SW 29th Ave</t>
        </is>
      </c>
      <c r="E15" s="95" t="inlineStr">
        <is>
          <t>Cape Coral</t>
        </is>
      </c>
      <c r="F15" s="95" t="inlineStr">
        <is>
          <t>FL</t>
        </is>
      </c>
      <c r="G15" s="95" t="inlineStr">
        <is>
          <t>33991</t>
        </is>
      </c>
      <c r="H15" s="95" t="inlineStr">
        <is>
          <t>3.9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N/A (Market Rate)</t>
        </is>
      </c>
      <c r="L15" s="146" t="n">
        <v>1327</v>
      </c>
      <c r="M15" s="146" t="n"/>
      <c r="N15" s="96" t="inlineStr">
        <is>
          <t>N/A (Market Rate)</t>
        </is>
      </c>
      <c r="O15" s="96" t="inlineStr">
        <is>
          <t>N/A (Market Rate)</t>
        </is>
      </c>
      <c r="P15" s="39" t="inlineStr">
        <is>
          <t>N/A (Market Rate)</t>
        </is>
      </c>
      <c r="Q15" s="146" t="n">
        <v>1480</v>
      </c>
      <c r="R15" s="96" t="n"/>
      <c r="S15" s="96" t="n">
        <v>2020</v>
      </c>
      <c r="T15" s="96" t="n"/>
      <c r="U15" s="96" t="n"/>
      <c r="V15" s="96" t="n"/>
      <c r="W15" s="96" t="n"/>
      <c r="X15" s="96" t="n"/>
      <c r="Y15" s="96" t="n"/>
      <c r="Z15" s="45" t="n"/>
      <c r="AA15" s="97" t="n"/>
      <c r="AB15" s="113" t="n"/>
      <c r="AC15" s="134" t="n"/>
      <c r="AD15" s="136" t="n"/>
      <c r="AE15" s="136" t="n"/>
      <c r="AF15" s="136" t="n"/>
      <c r="AG15" s="136" t="n"/>
      <c r="AH15" s="136" t="n"/>
      <c r="AI15" s="136" t="n"/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  <c r="AX15" s="136" t="n"/>
    </row>
    <row r="16" ht="37.5" customHeight="1" s="131">
      <c r="A16" s="118" t="n">
        <v>5</v>
      </c>
      <c r="B16" s="82" t="inlineStr">
        <is>
          <t>MARKET RATE</t>
        </is>
      </c>
      <c r="C16" s="119" t="inlineStr">
        <is>
          <t>Coralina Apartments</t>
        </is>
      </c>
      <c r="D16" s="120" t="inlineStr">
        <is>
          <t>3305 Grant Cove Cir</t>
        </is>
      </c>
      <c r="E16" s="120" t="inlineStr">
        <is>
          <t>Cape Coral</t>
        </is>
      </c>
      <c r="F16" s="120" t="inlineStr">
        <is>
          <t>FL</t>
        </is>
      </c>
      <c r="G16" s="120" t="inlineStr">
        <is>
          <t>33991</t>
        </is>
      </c>
      <c r="H16" s="120" t="inlineStr">
        <is>
          <t>4.5 mi</t>
        </is>
      </c>
      <c r="I16" s="120" t="inlineStr">
        <is>
          <t>N/A (Market Rate)</t>
        </is>
      </c>
      <c r="J16" s="120" t="inlineStr">
        <is>
          <t>N/A (Market Rate)</t>
        </is>
      </c>
      <c r="K16" s="121" t="inlineStr">
        <is>
          <t>N/A (Market Rate)</t>
        </is>
      </c>
      <c r="L16" s="147" t="n">
        <v>1360</v>
      </c>
      <c r="M16" s="147" t="n"/>
      <c r="N16" s="122" t="inlineStr">
        <is>
          <t>N/A (Market Rate)</t>
        </is>
      </c>
      <c r="O16" s="122" t="inlineStr">
        <is>
          <t>N/A (Market Rate)</t>
        </is>
      </c>
      <c r="P16" s="121" t="inlineStr">
        <is>
          <t>N/A (Market Rate)</t>
        </is>
      </c>
      <c r="Q16" s="147" t="n">
        <v>1694</v>
      </c>
      <c r="R16" s="122" t="n"/>
      <c r="S16" s="122" t="n">
        <v>2022</v>
      </c>
      <c r="T16" s="122" t="n"/>
      <c r="U16" s="122" t="n"/>
      <c r="V16" s="122" t="n"/>
      <c r="W16" s="122" t="n"/>
      <c r="X16" s="122" t="n"/>
      <c r="Y16" s="122" t="n"/>
      <c r="Z16" s="84" t="n"/>
      <c r="AA16" s="123" t="n"/>
      <c r="AB16" s="124" t="n"/>
      <c r="AC16" s="134" t="n"/>
      <c r="AD16" s="136" t="n"/>
      <c r="AE16" s="136" t="n"/>
      <c r="AF16" s="136" t="n"/>
      <c r="AG16" s="136" t="n"/>
      <c r="AH16" s="136" t="n"/>
      <c r="AI16" s="136" t="n"/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  <c r="AX16" s="136" t="n"/>
    </row>
    <row r="17" ht="74.25" customHeight="1" s="131">
      <c r="A17" s="87" t="n">
        <v>6</v>
      </c>
      <c r="B17" s="88" t="inlineStr">
        <is>
          <t>MARKET RATE</t>
        </is>
      </c>
      <c r="C17" s="89" t="inlineStr">
        <is>
          <t>The Apartments at Isles of Porto Vista</t>
        </is>
      </c>
      <c r="D17" s="87" t="inlineStr">
        <is>
          <t>3936 Pomodoro Cir</t>
        </is>
      </c>
      <c r="E17" s="87" t="inlineStr">
        <is>
          <t>Cape Coral</t>
        </is>
      </c>
      <c r="F17" s="87" t="inlineStr">
        <is>
          <t>FL</t>
        </is>
      </c>
      <c r="G17" s="87" t="inlineStr">
        <is>
          <t>33909</t>
        </is>
      </c>
      <c r="H17" s="87" t="inlineStr">
        <is>
          <t>7.3 mi</t>
        </is>
      </c>
      <c r="I17" s="87" t="inlineStr">
        <is>
          <t>N/A (Market Rate)</t>
        </is>
      </c>
      <c r="J17" s="87" t="inlineStr">
        <is>
          <t>N/A (Market Rate)</t>
        </is>
      </c>
      <c r="K17" s="90" t="inlineStr">
        <is>
          <t>N/A (Market Rate)</t>
        </is>
      </c>
      <c r="L17" s="148" t="n">
        <v>1424</v>
      </c>
      <c r="M17" s="148" t="n"/>
      <c r="N17" s="92" t="inlineStr">
        <is>
          <t>N/A (Market Rate)</t>
        </is>
      </c>
      <c r="O17" s="92" t="inlineStr">
        <is>
          <t>N/A (Market Rate)</t>
        </is>
      </c>
      <c r="P17" s="90" t="inlineStr">
        <is>
          <t>N/A (Market Rate)</t>
        </is>
      </c>
      <c r="Q17" s="148" t="n">
        <v>1499</v>
      </c>
      <c r="R17" s="92" t="n"/>
      <c r="S17" s="92" t="n">
        <v>2023</v>
      </c>
      <c r="T17" s="92" t="n"/>
      <c r="U17" s="92" t="n"/>
      <c r="V17" s="92" t="n"/>
      <c r="W17" s="92" t="n"/>
      <c r="X17" s="92" t="n"/>
      <c r="Y17" s="92" t="n"/>
      <c r="Z17" s="93" t="n"/>
      <c r="AA17" s="94" t="n"/>
      <c r="AB17" s="92" t="n"/>
      <c r="AC17" s="136" t="n"/>
      <c r="AD17" s="136" t="n"/>
      <c r="AE17" s="136" t="n"/>
      <c r="AF17" s="136" t="n"/>
      <c r="AG17" s="136" t="n"/>
      <c r="AH17" s="136" t="n"/>
      <c r="AI17" s="136" t="n"/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  <c r="AX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53" t="n"/>
      <c r="N18" s="48" t="n"/>
      <c r="O18" s="48" t="n"/>
      <c r="P18" s="41" t="n"/>
      <c r="Q18" s="53" t="n"/>
      <c r="R18" s="48" t="n"/>
      <c r="S18" s="48" t="n"/>
      <c r="T18" s="48" t="n"/>
      <c r="U18" s="48" t="n"/>
      <c r="V18" s="48" t="n"/>
      <c r="W18" s="48" t="n"/>
      <c r="X18" s="48" t="n"/>
      <c r="Y18" s="48" t="n"/>
      <c r="Z18" s="49" t="n"/>
      <c r="AA18" s="57" t="n"/>
      <c r="AB18" s="48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  <c r="AX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C19" s="136" t="n"/>
      <c r="AD19" s="136" t="n"/>
      <c r="AE19" s="136" t="n"/>
      <c r="AF19" s="136" t="n"/>
      <c r="AG19" s="136" t="n"/>
      <c r="AH19" s="136" t="n"/>
      <c r="AI19" s="136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  <c r="AX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  <c r="AX20" s="134" t="n"/>
    </row>
    <row r="21" ht="6" customFormat="1" customHeight="1" s="2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  <c r="AX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  <c r="AX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  <c r="AX23" s="134" t="n"/>
    </row>
    <row r="24" ht="21.75" customHeight="1" s="131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  <c r="AX24" s="134" t="n"/>
    </row>
    <row r="25" ht="24.75" customHeight="1" s="131">
      <c r="A25" s="372" t="n"/>
      <c r="B25" s="201" t="inlineStr">
        <is>
          <t>1BD</t>
        </is>
      </c>
      <c r="C25" s="194" t="n"/>
      <c r="D25" s="200" t="n">
        <v>1338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  <c r="AX25" s="136" t="n"/>
    </row>
    <row r="26" ht="24.75" customFormat="1" customHeight="1" s="2">
      <c r="A26" s="372" t="n"/>
      <c r="B26" s="201" t="inlineStr">
        <is>
          <t>2BD</t>
        </is>
      </c>
      <c r="C26" s="194" t="n"/>
      <c r="D26" s="200" t="n">
        <v>1533</v>
      </c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  <c r="AX26" s="134" t="n"/>
    </row>
    <row r="27" ht="8.1" customFormat="1" customHeight="1" s="2">
      <c r="A27" s="369" t="n"/>
      <c r="B27" s="369" t="n"/>
      <c r="C27" s="381" t="n"/>
      <c r="D27" s="369" t="n"/>
      <c r="E27" s="369" t="n"/>
      <c r="F27" s="369" t="n"/>
      <c r="G27" s="369" t="n"/>
      <c r="H27" s="369" t="n"/>
      <c r="I27" s="369" t="n"/>
      <c r="J27" s="369" t="n"/>
      <c r="K27" s="369" t="n"/>
      <c r="L27" s="134" t="n"/>
      <c r="M27" s="134" t="n"/>
      <c r="N27" s="134" t="n"/>
      <c r="O27" s="134" t="n"/>
      <c r="P27" s="134" t="n"/>
      <c r="Q27" s="134" t="n"/>
      <c r="R27" s="134" t="n"/>
      <c r="S27" s="134" t="n"/>
      <c r="T27" s="134" t="n"/>
      <c r="U27" s="134" t="n"/>
      <c r="V27" s="134" t="n"/>
      <c r="W27" s="134" t="n"/>
      <c r="X27" s="134" t="n"/>
      <c r="Y27" s="134" t="n"/>
      <c r="Z27" s="134" t="n"/>
      <c r="AA27" s="135" t="n"/>
      <c r="AB27" s="134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  <c r="AX27" s="134" t="n"/>
    </row>
    <row r="28" ht="24.75" customFormat="1" customHeight="1" s="2">
      <c r="A28" s="302" t="n"/>
      <c r="B28" s="211" t="inlineStr">
        <is>
          <t>PMTS — Vouchers / FMR / UAP / NET</t>
        </is>
      </c>
      <c r="G28" s="365" t="n"/>
      <c r="H28" s="183" t="n"/>
      <c r="I28" s="183" t="n"/>
      <c r="J28" s="183" t="n"/>
      <c r="K28" s="302" t="n"/>
      <c r="L28" s="302" t="n"/>
      <c r="M28" s="302" t="n"/>
      <c r="N28" s="302" t="n"/>
      <c r="O28" s="302" t="n"/>
      <c r="P28" s="302" t="n"/>
      <c r="Q28" s="302" t="n"/>
      <c r="R28" s="302" t="n"/>
      <c r="S28" s="302" t="n"/>
      <c r="T28" s="302" t="n"/>
      <c r="U28" s="302" t="n"/>
      <c r="V28" s="302" t="n"/>
      <c r="W28" s="302" t="n"/>
      <c r="X28" s="302" t="n"/>
      <c r="Y28" s="302" t="n"/>
      <c r="Z28" s="302" t="n"/>
      <c r="AA28" s="353" t="n"/>
      <c r="AB28" s="302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  <c r="AX28" s="134" t="n"/>
    </row>
    <row r="29" ht="15.95" customFormat="1" customHeight="1" s="2">
      <c r="A29" s="302" t="n"/>
      <c r="B29" s="226" t="n"/>
      <c r="C29" s="213" t="inlineStr">
        <is>
          <t>MKT</t>
        </is>
      </c>
      <c r="D29" s="213" t="inlineStr">
        <is>
          <t>VCH</t>
        </is>
      </c>
      <c r="E29" s="214" t="inlineStr">
        <is>
          <t>FMR</t>
        </is>
      </c>
      <c r="F29" s="215" t="inlineStr">
        <is>
          <t>UAP</t>
        </is>
      </c>
      <c r="G29" s="216" t="inlineStr">
        <is>
          <t>NET</t>
        </is>
      </c>
      <c r="H29" s="183" t="n"/>
      <c r="I29" s="183" t="n"/>
      <c r="J29" s="183" t="n"/>
      <c r="K29" s="302" t="n"/>
      <c r="L29" s="302" t="n"/>
      <c r="M29" s="302" t="n"/>
      <c r="N29" s="302" t="n"/>
      <c r="O29" s="302" t="n"/>
      <c r="P29" s="302" t="n"/>
      <c r="Q29" s="302" t="n"/>
      <c r="R29" s="302" t="n"/>
      <c r="S29" s="302" t="n"/>
      <c r="T29" s="302" t="n"/>
      <c r="U29" s="302" t="n"/>
      <c r="V29" s="302" t="n"/>
      <c r="W29" s="302" t="n"/>
      <c r="X29" s="302" t="n"/>
      <c r="Y29" s="302" t="n"/>
      <c r="Z29" s="302" t="n"/>
      <c r="AA29" s="353" t="n"/>
      <c r="AB29" s="302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  <c r="AX29" s="134" t="n"/>
    </row>
    <row r="30" ht="24.75" customHeight="1" s="131">
      <c r="A30" s="372" t="n"/>
      <c r="B30" s="217" t="inlineStr">
        <is>
          <t>1BD</t>
        </is>
      </c>
      <c r="C30" s="197" t="n">
        <v>1375</v>
      </c>
      <c r="D30" s="197" t="n">
        <v>1425</v>
      </c>
      <c r="E30" s="198" t="n">
        <v>1650</v>
      </c>
      <c r="F30" s="199" t="n">
        <v>89</v>
      </c>
      <c r="G30" s="218" t="n">
        <v>1561</v>
      </c>
      <c r="H30" s="183" t="n"/>
      <c r="I30" s="183" t="n"/>
      <c r="J30" s="183" t="n"/>
      <c r="K30" s="302" t="n"/>
      <c r="L30" s="302" t="n"/>
      <c r="M30" s="302" t="n"/>
      <c r="N30" s="302" t="n"/>
      <c r="O30" s="343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  <c r="AX30" s="136" t="n"/>
    </row>
    <row r="31" ht="24.75" customHeight="1" s="131">
      <c r="A31" s="372" t="n"/>
      <c r="B31" s="217" t="inlineStr">
        <is>
          <t>2BD</t>
        </is>
      </c>
      <c r="C31" s="197" t="n">
        <v>0</v>
      </c>
      <c r="D31" s="197" t="n">
        <v>1625</v>
      </c>
      <c r="E31" s="198" t="n">
        <v>2040</v>
      </c>
      <c r="F31" s="199" t="n">
        <v>115</v>
      </c>
      <c r="G31" s="218" t="n">
        <v>1925</v>
      </c>
      <c r="H31" s="183" t="n"/>
      <c r="I31" s="183" t="n"/>
      <c r="J31" s="183" t="n"/>
      <c r="K31" s="302" t="n"/>
      <c r="L31" s="302" t="n"/>
      <c r="M31" s="302" t="n"/>
      <c r="N31" s="302" t="n"/>
      <c r="O31" s="343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  <c r="AX31" s="134" t="n"/>
    </row>
    <row r="32" ht="8.1" customFormat="1" customHeight="1" s="2">
      <c r="A32" s="369" t="n"/>
      <c r="B32" s="369" t="n"/>
      <c r="C32" s="381" t="n"/>
      <c r="D32" s="381" t="n"/>
      <c r="E32" s="381" t="n"/>
      <c r="F32" s="381" t="n"/>
      <c r="G32" s="369" t="n"/>
      <c r="H32" s="369" t="n"/>
      <c r="I32" s="369" t="n"/>
      <c r="J32" s="369" t="n"/>
      <c r="K32" s="369" t="n"/>
      <c r="L32" s="134" t="n"/>
      <c r="M32" s="134" t="n"/>
      <c r="N32" s="134" t="n"/>
      <c r="O32" s="134" t="n"/>
      <c r="P32" s="134" t="n"/>
      <c r="Q32" s="134" t="n"/>
      <c r="R32" s="134" t="n"/>
      <c r="S32" s="134" t="n"/>
      <c r="T32" s="134" t="n"/>
      <c r="U32" s="134" t="n"/>
      <c r="V32" s="134" t="n"/>
      <c r="W32" s="134" t="n"/>
      <c r="X32" s="134" t="n"/>
      <c r="Y32" s="134" t="n"/>
      <c r="Z32" s="134" t="n"/>
      <c r="AA32" s="135" t="n"/>
      <c r="AB32" s="134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  <c r="AX32" s="134" t="n"/>
    </row>
    <row r="33" ht="24.75" customFormat="1" customHeight="1" s="2">
      <c r="A33" s="302" t="n"/>
      <c r="B33" s="366" t="inlineStr">
        <is>
          <t>LIHTC, UAP, NET</t>
        </is>
      </c>
      <c r="C33" s="358" t="n"/>
      <c r="D33" s="358" t="n"/>
      <c r="E33" s="358" t="n"/>
      <c r="F33" s="358" t="n"/>
      <c r="G33" s="359" t="n"/>
      <c r="H33" s="183" t="n"/>
      <c r="I33" s="183" t="n"/>
      <c r="J33" s="183" t="n"/>
      <c r="K33" s="302" t="n"/>
      <c r="L33" s="302" t="n"/>
      <c r="M33" s="302" t="n"/>
      <c r="N33" s="302" t="n"/>
      <c r="O33" s="302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  <c r="AX33" s="134" t="n"/>
    </row>
    <row r="34" ht="16.5" customFormat="1" customHeight="1" s="2">
      <c r="A34" s="372" t="n"/>
      <c r="B34" s="226" t="n"/>
      <c r="C34" s="228" t="inlineStr">
        <is>
          <t>LIHTC/MKT</t>
        </is>
      </c>
      <c r="D34" s="228" t="inlineStr">
        <is>
          <t>35%</t>
        </is>
      </c>
      <c r="E34" s="215" t="inlineStr">
        <is>
          <t>UAP</t>
        </is>
      </c>
      <c r="F34" s="216" t="inlineStr">
        <is>
          <t>NET</t>
        </is>
      </c>
      <c r="G34" s="183" t="n"/>
      <c r="H34" s="183" t="n"/>
      <c r="I34" s="183" t="n"/>
      <c r="J34" s="183" t="n"/>
      <c r="K34" s="302" t="n"/>
      <c r="L34" s="302" t="n"/>
      <c r="M34" s="302" t="n"/>
      <c r="N34" s="302" t="n"/>
      <c r="O34" s="343" t="n"/>
      <c r="P34" s="302" t="n"/>
      <c r="Q34" s="302" t="n"/>
      <c r="R34" s="302" t="n"/>
      <c r="S34" s="302" t="n"/>
      <c r="T34" s="302" t="n"/>
      <c r="U34" s="302" t="n"/>
      <c r="V34" s="302" t="n"/>
      <c r="W34" s="302" t="n"/>
      <c r="X34" s="302" t="n"/>
      <c r="Y34" s="302" t="n"/>
      <c r="Z34" s="302" t="n"/>
      <c r="AA34" s="353" t="n"/>
      <c r="AB34" s="302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  <c r="AX34" s="136" t="n"/>
    </row>
    <row r="35" ht="24.75" customFormat="1" customHeight="1" s="2">
      <c r="A35" s="372" t="n"/>
      <c r="B35" s="224" t="inlineStr">
        <is>
          <t>1BD</t>
        </is>
      </c>
      <c r="C35" s="225" t="n">
        <v>670</v>
      </c>
      <c r="D35" s="225" t="n">
        <v>525</v>
      </c>
      <c r="E35" s="225" t="n">
        <v>89</v>
      </c>
      <c r="F35" s="223" t="n">
        <v>436</v>
      </c>
      <c r="G35" s="183" t="n"/>
      <c r="H35" s="183" t="n"/>
      <c r="I35" s="183" t="n"/>
      <c r="J35" s="183" t="n"/>
      <c r="K35" s="302" t="n"/>
      <c r="L35" s="302" t="n"/>
      <c r="M35" s="302" t="n"/>
      <c r="N35" s="302" t="n"/>
      <c r="O35" s="343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  <c r="AX35" s="136" t="n"/>
    </row>
    <row r="36" ht="24.75" customFormat="1" customHeight="1" s="2">
      <c r="A36" s="369" t="n"/>
      <c r="B36" s="224" t="inlineStr">
        <is>
          <t>2BD</t>
        </is>
      </c>
      <c r="C36" s="225" t="n">
        <v>804</v>
      </c>
      <c r="D36" s="225" t="n">
        <v>621</v>
      </c>
      <c r="E36" s="225" t="n">
        <v>115</v>
      </c>
      <c r="F36" s="223" t="n">
        <v>506</v>
      </c>
      <c r="G36" s="183" t="n"/>
      <c r="H36" s="183" t="n"/>
      <c r="I36" s="183" t="n"/>
      <c r="J36" s="183" t="n"/>
      <c r="K36" s="302" t="n"/>
      <c r="L36" s="302" t="n"/>
      <c r="M36" s="302" t="n"/>
      <c r="N36" s="302" t="n"/>
      <c r="O36" s="343" t="n"/>
      <c r="P36" s="302" t="n"/>
      <c r="Q36" s="302" t="n"/>
      <c r="R36" s="302" t="n"/>
      <c r="S36" s="302" t="n"/>
      <c r="T36" s="302" t="n"/>
      <c r="U36" s="302" t="n"/>
      <c r="V36" s="302" t="n"/>
      <c r="W36" s="302" t="n"/>
      <c r="X36" s="302" t="n"/>
      <c r="Y36" s="302" t="n"/>
      <c r="Z36" s="302" t="n"/>
      <c r="AA36" s="353" t="n"/>
      <c r="AB36" s="302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  <c r="AX36" s="134" t="n"/>
    </row>
    <row r="37" ht="18" customFormat="1" customHeight="1" s="2">
      <c r="A37" s="369" t="n"/>
      <c r="B37" s="381" t="n"/>
      <c r="C37" s="381" t="n"/>
      <c r="D37" s="381" t="n"/>
      <c r="E37" s="381" t="n"/>
      <c r="F37" s="369" t="n"/>
      <c r="G37" s="369" t="n"/>
      <c r="H37" s="369" t="n"/>
      <c r="I37" s="369" t="n"/>
      <c r="J37" s="369" t="n"/>
      <c r="K37" s="369" t="n"/>
      <c r="L37" s="134" t="n"/>
      <c r="M37" s="134" t="n"/>
      <c r="N37" s="134" t="n"/>
      <c r="O37" s="134" t="n"/>
      <c r="P37" s="134" t="n"/>
      <c r="Q37" s="134" t="n"/>
      <c r="R37" s="134" t="n"/>
      <c r="S37" s="134" t="n"/>
      <c r="T37" s="134" t="n"/>
      <c r="U37" s="134" t="n"/>
      <c r="V37" s="134" t="n"/>
      <c r="W37" s="134" t="n"/>
      <c r="X37" s="134" t="n"/>
      <c r="Y37" s="134" t="n"/>
      <c r="Z37" s="134" t="n"/>
      <c r="AA37" s="135" t="n"/>
      <c r="AB37" s="134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  <c r="AX37" s="134" t="n"/>
    </row>
    <row r="38" ht="18" customFormat="1" customHeight="1" s="2">
      <c r="A38" s="372" t="n"/>
      <c r="B38" s="372" t="n"/>
      <c r="C38" s="430" t="inlineStr">
        <is>
          <t>LIHTC/MKT</t>
        </is>
      </c>
      <c r="D38" s="431" t="inlineStr">
        <is>
          <t>50%</t>
        </is>
      </c>
      <c r="E38" s="432" t="inlineStr">
        <is>
          <t>UAP</t>
        </is>
      </c>
      <c r="F38" s="386" t="inlineStr">
        <is>
          <t>NET</t>
        </is>
      </c>
      <c r="G38" s="369" t="n"/>
      <c r="H38" s="369" t="n"/>
      <c r="I38" s="369" t="n"/>
      <c r="J38" s="369" t="n"/>
      <c r="K38" s="369" t="n"/>
      <c r="L38" s="134" t="n"/>
      <c r="M38" s="134" t="n"/>
      <c r="N38" s="134" t="n"/>
      <c r="O38" s="134" t="n"/>
      <c r="P38" s="134" t="n"/>
      <c r="Q38" s="134" t="n"/>
      <c r="R38" s="134" t="n"/>
      <c r="S38" s="134" t="n"/>
      <c r="T38" s="134" t="n"/>
      <c r="U38" s="134" t="n"/>
      <c r="V38" s="134" t="n"/>
      <c r="W38" s="134" t="n"/>
      <c r="X38" s="134" t="n"/>
      <c r="Y38" s="134" t="n"/>
      <c r="Z38" s="134" t="n"/>
      <c r="AA38" s="135" t="n"/>
      <c r="AB38" s="134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  <c r="AX38" s="134" t="n"/>
    </row>
    <row r="39" ht="24.75" customFormat="1" customHeight="1" s="2">
      <c r="A39" s="372" t="n"/>
      <c r="B39" s="224" t="inlineStr">
        <is>
          <t>1BD</t>
        </is>
      </c>
      <c r="C39" s="225" t="n">
        <v>958</v>
      </c>
      <c r="D39" s="225" t="n">
        <v>788</v>
      </c>
      <c r="E39" s="225" t="n">
        <v>89</v>
      </c>
      <c r="F39" s="223" t="n">
        <v>699</v>
      </c>
      <c r="G39" s="183" t="n"/>
      <c r="H39" s="183" t="n"/>
      <c r="I39" s="183" t="n"/>
      <c r="J39" s="183" t="n"/>
      <c r="K39" s="302" t="n"/>
      <c r="L39" s="302" t="n"/>
      <c r="M39" s="302" t="n"/>
      <c r="N39" s="302" t="n"/>
      <c r="O39" s="343" t="n"/>
      <c r="P39" s="302" t="n"/>
      <c r="Q39" s="302" t="n"/>
      <c r="R39" s="302" t="n"/>
      <c r="S39" s="302" t="n"/>
      <c r="T39" s="302" t="n"/>
      <c r="U39" s="302" t="n"/>
      <c r="V39" s="302" t="n"/>
      <c r="W39" s="302" t="n"/>
      <c r="X39" s="302" t="n"/>
      <c r="Y39" s="302" t="n"/>
      <c r="Z39" s="302" t="n"/>
      <c r="AA39" s="353" t="n"/>
      <c r="AB39" s="302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  <c r="AX39" s="134" t="n"/>
    </row>
    <row r="40" ht="24.75" customFormat="1" customHeight="1" s="2">
      <c r="A40" s="372" t="n"/>
      <c r="B40" s="224" t="inlineStr">
        <is>
          <t>2BD</t>
        </is>
      </c>
      <c r="C40" s="225" t="n">
        <v>1148</v>
      </c>
      <c r="D40" s="225" t="n">
        <v>937</v>
      </c>
      <c r="E40" s="225" t="n">
        <v>115</v>
      </c>
      <c r="F40" s="223" t="n">
        <v>822</v>
      </c>
      <c r="G40" s="183" t="n"/>
      <c r="H40" s="183" t="n"/>
      <c r="I40" s="183" t="n"/>
      <c r="J40" s="183" t="n"/>
      <c r="K40" s="302" t="n"/>
      <c r="L40" s="302" t="n"/>
      <c r="M40" s="302" t="n"/>
      <c r="N40" s="302" t="n"/>
      <c r="O40" s="343" t="n"/>
      <c r="P40" s="302" t="n"/>
      <c r="Q40" s="302" t="n"/>
      <c r="R40" s="302" t="n"/>
      <c r="S40" s="302" t="n"/>
      <c r="T40" s="302" t="n"/>
      <c r="U40" s="302" t="n"/>
      <c r="V40" s="302" t="n"/>
      <c r="W40" s="302" t="n"/>
      <c r="X40" s="302" t="n"/>
      <c r="Y40" s="302" t="n"/>
      <c r="Z40" s="302" t="n"/>
      <c r="AA40" s="353" t="n"/>
      <c r="AB40" s="302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  <c r="AX40" s="136" t="n"/>
    </row>
    <row r="41" ht="18" customFormat="1" customHeight="1" s="2">
      <c r="A41" s="369" t="n"/>
      <c r="B41" s="399" t="n"/>
      <c r="C41" s="399" t="n"/>
      <c r="D41" s="369" t="n"/>
      <c r="E41" s="369" t="n"/>
      <c r="F41" s="369" t="n"/>
      <c r="G41" s="369" t="n"/>
      <c r="H41" s="369" t="n"/>
      <c r="I41" s="369" t="n"/>
      <c r="J41" s="369" t="n"/>
      <c r="K41" s="369" t="n"/>
      <c r="L41" s="136" t="n"/>
      <c r="M41" s="136" t="n"/>
      <c r="N41" s="136" t="n"/>
      <c r="O41" s="136" t="n"/>
      <c r="P41" s="136" t="n"/>
      <c r="Q41" s="136" t="n"/>
      <c r="R41" s="136" t="n"/>
      <c r="S41" s="136" t="n"/>
      <c r="T41" s="136" t="n"/>
      <c r="U41" s="136" t="n"/>
      <c r="V41" s="136" t="n"/>
      <c r="W41" s="136" t="n"/>
      <c r="X41" s="136" t="n"/>
      <c r="Y41" s="136" t="n"/>
      <c r="Z41" s="136" t="n"/>
      <c r="AA41" s="136" t="n"/>
      <c r="AB41" s="136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  <c r="AX41" s="136" t="n"/>
    </row>
    <row r="42" ht="18" customHeight="1" s="131">
      <c r="A42" s="369" t="n"/>
      <c r="B42" s="381" t="n"/>
      <c r="C42" s="433" t="inlineStr">
        <is>
          <t>LIHTC/MKT</t>
        </is>
      </c>
      <c r="D42" s="431" t="inlineStr">
        <is>
          <t>60%</t>
        </is>
      </c>
      <c r="E42" s="434" t="inlineStr">
        <is>
          <t>UAP</t>
        </is>
      </c>
      <c r="F42" s="386" t="inlineStr">
        <is>
          <t>NET</t>
        </is>
      </c>
      <c r="G42" s="369" t="n"/>
      <c r="H42" s="369" t="n"/>
      <c r="I42" s="369" t="n"/>
      <c r="J42" s="369" t="n"/>
      <c r="K42" s="369" t="n"/>
      <c r="L42" s="136" t="n"/>
      <c r="M42" s="136" t="n"/>
      <c r="N42" s="136" t="n"/>
      <c r="O42" s="136" t="n"/>
      <c r="P42" s="136" t="n"/>
      <c r="Q42" s="136" t="n"/>
      <c r="R42" s="136" t="n"/>
      <c r="S42" s="136" t="n"/>
      <c r="T42" s="136" t="n"/>
      <c r="U42" s="136" t="n"/>
      <c r="V42" s="136" t="n"/>
      <c r="W42" s="136" t="n"/>
      <c r="X42" s="136" t="n"/>
      <c r="Y42" s="136" t="n"/>
      <c r="Z42" s="136" t="n"/>
      <c r="AA42" s="136" t="n"/>
      <c r="AB42" s="136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  <c r="AX42" s="136" t="n"/>
    </row>
    <row r="43" ht="24.75" customHeight="1" s="131">
      <c r="A43" s="369" t="n"/>
      <c r="B43" s="224" t="inlineStr">
        <is>
          <t>1BD</t>
        </is>
      </c>
      <c r="C43" s="225" t="n">
        <v>1149</v>
      </c>
      <c r="D43" s="225" t="n">
        <v>964</v>
      </c>
      <c r="E43" s="225" t="n">
        <v>89</v>
      </c>
      <c r="F43" s="223" t="n">
        <v>875</v>
      </c>
      <c r="G43" s="183" t="n"/>
      <c r="H43" s="183" t="n"/>
      <c r="I43" s="183" t="n"/>
      <c r="J43" s="183" t="n"/>
      <c r="K43" s="302" t="n"/>
      <c r="L43" s="302" t="n"/>
      <c r="M43" s="302" t="n"/>
      <c r="N43" s="302" t="n"/>
      <c r="O43" s="343" t="n"/>
      <c r="P43" s="302" t="n"/>
      <c r="Q43" s="302" t="n"/>
      <c r="R43" s="302" t="n"/>
      <c r="S43" s="302" t="n"/>
      <c r="T43" s="302" t="n"/>
      <c r="U43" s="302" t="n"/>
      <c r="V43" s="302" t="n"/>
      <c r="W43" s="302" t="n"/>
      <c r="X43" s="302" t="n"/>
      <c r="Y43" s="302" t="n"/>
      <c r="Z43" s="302" t="n"/>
      <c r="AA43" s="353" t="n"/>
      <c r="AB43" s="302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  <c r="AX43" s="136" t="n"/>
    </row>
    <row r="44" ht="24.75" customFormat="1" customHeight="1" s="2">
      <c r="A44" s="369" t="n"/>
      <c r="B44" s="224" t="inlineStr">
        <is>
          <t>2BD</t>
        </is>
      </c>
      <c r="C44" s="225" t="n">
        <v>1378</v>
      </c>
      <c r="D44" s="225" t="n">
        <v>1148</v>
      </c>
      <c r="E44" s="225" t="n">
        <v>115</v>
      </c>
      <c r="F44" s="223" t="n">
        <v>1033</v>
      </c>
      <c r="G44" s="183" t="n"/>
      <c r="H44" s="183" t="n"/>
      <c r="I44" s="183" t="n"/>
      <c r="J44" s="183" t="n"/>
      <c r="K44" s="302" t="n"/>
      <c r="L44" s="302" t="n"/>
      <c r="M44" s="302" t="n"/>
      <c r="N44" s="302" t="n"/>
      <c r="O44" s="343" t="n"/>
      <c r="P44" s="302" t="n"/>
      <c r="Q44" s="302" t="n"/>
      <c r="R44" s="302" t="n"/>
      <c r="S44" s="302" t="n"/>
      <c r="T44" s="302" t="n"/>
      <c r="U44" s="302" t="n"/>
      <c r="V44" s="302" t="n"/>
      <c r="W44" s="302" t="n"/>
      <c r="X44" s="302" t="n"/>
      <c r="Y44" s="302" t="n"/>
      <c r="Z44" s="302" t="n"/>
      <c r="AA44" s="353" t="n"/>
      <c r="AB44" s="302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  <c r="AX44" s="136" t="n"/>
    </row>
    <row r="45" ht="18" customFormat="1" customHeight="1" s="2">
      <c r="A45" s="369" t="n"/>
      <c r="B45" s="371" t="n"/>
      <c r="C45" s="371" t="n"/>
      <c r="D45" s="371" t="n"/>
      <c r="E45" s="371" t="n"/>
      <c r="F45" s="371" t="n"/>
      <c r="G45" s="369" t="n"/>
      <c r="H45" s="369" t="n"/>
      <c r="I45" s="369" t="n"/>
      <c r="J45" s="369" t="n"/>
      <c r="K45" s="369" t="n"/>
      <c r="L45" s="136" t="n"/>
      <c r="M45" s="136" t="n"/>
      <c r="N45" s="136" t="n"/>
      <c r="O45" s="136" t="n"/>
      <c r="P45" s="136" t="n"/>
      <c r="Q45" s="136" t="n"/>
      <c r="R45" s="136" t="n"/>
      <c r="S45" s="136" t="n"/>
      <c r="T45" s="136" t="n"/>
      <c r="U45" s="136" t="n"/>
      <c r="V45" s="136" t="n"/>
      <c r="W45" s="136" t="n"/>
      <c r="X45" s="136" t="n"/>
      <c r="Y45" s="136" t="n"/>
      <c r="Z45" s="136" t="n"/>
      <c r="AA45" s="136" t="n"/>
      <c r="AB45" s="136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  <c r="AX45" s="136" t="n"/>
    </row>
    <row r="46" ht="18" customFormat="1" customHeight="1" s="2">
      <c r="A46" s="369" t="n"/>
      <c r="B46" s="399" t="n"/>
      <c r="C46" s="399" t="n"/>
      <c r="D46" s="369" t="n"/>
      <c r="E46" s="369" t="n"/>
      <c r="F46" s="369" t="n"/>
      <c r="G46" s="369" t="n"/>
      <c r="H46" s="369" t="n"/>
      <c r="I46" s="369" t="n"/>
      <c r="J46" s="369" t="n"/>
      <c r="K46" s="369" t="n"/>
      <c r="L46" s="136" t="n"/>
      <c r="M46" s="136" t="n"/>
      <c r="N46" s="136" t="n"/>
      <c r="O46" s="136" t="n"/>
      <c r="P46" s="136" t="n"/>
      <c r="Q46" s="136" t="n"/>
      <c r="R46" s="136" t="n"/>
      <c r="S46" s="136" t="n"/>
      <c r="T46" s="136" t="n"/>
      <c r="U46" s="136" t="n"/>
      <c r="V46" s="136" t="n"/>
      <c r="W46" s="136" t="n"/>
      <c r="X46" s="136" t="n"/>
      <c r="Y46" s="136" t="n"/>
      <c r="Z46" s="136" t="n"/>
      <c r="AA46" s="136" t="n"/>
      <c r="AB46" s="136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  <c r="AX46" s="136" t="n"/>
    </row>
    <row r="47" ht="24.75" customFormat="1" customHeight="1" s="2">
      <c r="A47" s="302" t="n"/>
      <c r="B47" s="207" t="inlineStr">
        <is>
          <t>HAP, CoStar, NET</t>
        </is>
      </c>
      <c r="H47" s="183" t="n"/>
      <c r="I47" s="183" t="n"/>
      <c r="J47" s="183" t="n"/>
      <c r="K47" s="302" t="n"/>
      <c r="L47" s="302" t="n"/>
      <c r="M47" s="302" t="n"/>
      <c r="N47" s="302" t="n"/>
      <c r="O47" s="302" t="n"/>
      <c r="P47" s="302" t="n"/>
      <c r="Q47" s="302" t="n"/>
      <c r="R47" s="302" t="n"/>
      <c r="S47" s="302" t="n"/>
      <c r="T47" s="302" t="n"/>
      <c r="U47" s="302" t="n"/>
      <c r="V47" s="302" t="n"/>
      <c r="W47" s="302" t="n"/>
      <c r="X47" s="302" t="n"/>
      <c r="Y47" s="302" t="n"/>
      <c r="Z47" s="302" t="n"/>
      <c r="AA47" s="353" t="n"/>
      <c r="AB47" s="302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  <c r="AX47" s="136" t="n"/>
    </row>
    <row r="48" ht="15.95" customHeight="1" s="131">
      <c r="A48" s="302" t="n"/>
      <c r="B48" s="227" t="n"/>
      <c r="C48" s="208" t="inlineStr">
        <is>
          <t>HAP</t>
        </is>
      </c>
      <c r="D48" s="209" t="inlineStr">
        <is>
          <t>CoStar</t>
        </is>
      </c>
      <c r="E48" s="302" t="n"/>
      <c r="F48" s="302" t="n"/>
      <c r="G48" s="302" t="n"/>
      <c r="H48" s="183" t="n"/>
      <c r="I48" s="183" t="n"/>
      <c r="J48" s="183" t="n"/>
      <c r="K48" s="302" t="n"/>
      <c r="L48" s="302" t="n"/>
      <c r="M48" s="302" t="n"/>
      <c r="N48" s="302" t="n"/>
      <c r="O48" s="302" t="n"/>
      <c r="P48" s="302" t="n"/>
      <c r="Q48" s="302" t="n"/>
      <c r="R48" s="302" t="n"/>
      <c r="S48" s="302" t="n"/>
      <c r="T48" s="302" t="n"/>
      <c r="U48" s="302" t="n"/>
      <c r="V48" s="302" t="n"/>
      <c r="W48" s="302" t="n"/>
      <c r="X48" s="302" t="n"/>
      <c r="Y48" s="302" t="n"/>
      <c r="Z48" s="302" t="n"/>
      <c r="AA48" s="353" t="n"/>
      <c r="AB48" s="302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  <c r="AX48" s="136" t="n"/>
    </row>
    <row r="49" ht="24.75" customHeight="1" s="131">
      <c r="A49" s="302" t="n"/>
      <c r="B49" s="196" t="inlineStr">
        <is>
          <t>1BD</t>
        </is>
      </c>
      <c r="C49" s="199" t="n">
        <v>1469</v>
      </c>
      <c r="D49" s="198" t="n">
        <v>1470</v>
      </c>
      <c r="E49" s="183" t="n"/>
      <c r="F49" s="183" t="n"/>
      <c r="G49" s="183" t="n"/>
      <c r="H49" s="183" t="n"/>
      <c r="I49" s="183" t="n"/>
      <c r="J49" s="183" t="n"/>
      <c r="K49" s="302" t="n"/>
      <c r="L49" s="302" t="n"/>
      <c r="M49" s="302" t="n"/>
      <c r="N49" s="302" t="n"/>
      <c r="O49" s="302" t="n"/>
      <c r="P49" s="302" t="n"/>
      <c r="Q49" s="302" t="n"/>
      <c r="R49" s="302" t="n"/>
      <c r="S49" s="302" t="n"/>
      <c r="T49" s="302" t="n"/>
      <c r="U49" s="302" t="n"/>
      <c r="V49" s="302" t="n"/>
      <c r="W49" s="302" t="n"/>
      <c r="X49" s="302" t="n"/>
      <c r="Y49" s="302" t="n"/>
      <c r="Z49" s="302" t="n"/>
      <c r="AA49" s="353" t="n"/>
      <c r="AB49" s="302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  <c r="AX49" s="136" t="n"/>
    </row>
    <row r="50" ht="24.75" customHeight="1" s="131">
      <c r="A50" s="302" t="n"/>
      <c r="B50" s="196" t="inlineStr">
        <is>
          <t>2BD</t>
        </is>
      </c>
      <c r="C50" s="199" t="n">
        <v>1821</v>
      </c>
      <c r="D50" s="198" t="n">
        <v>1790</v>
      </c>
      <c r="E50" s="183" t="n"/>
      <c r="F50" s="183" t="n"/>
      <c r="G50" s="183" t="n"/>
      <c r="H50" s="183" t="n"/>
      <c r="I50" s="183" t="n"/>
      <c r="J50" s="183" t="n"/>
      <c r="K50" s="302" t="n"/>
      <c r="L50" s="302" t="n"/>
      <c r="M50" s="302" t="n"/>
      <c r="N50" s="302" t="n"/>
      <c r="O50" s="302" t="n"/>
      <c r="P50" s="302" t="n"/>
      <c r="Q50" s="302" t="n"/>
      <c r="R50" s="302" t="n"/>
      <c r="S50" s="302" t="n"/>
      <c r="T50" s="302" t="n"/>
      <c r="U50" s="302" t="n"/>
      <c r="V50" s="302" t="n"/>
      <c r="W50" s="302" t="n"/>
      <c r="X50" s="302" t="n"/>
      <c r="Y50" s="302" t="n"/>
      <c r="Z50" s="302" t="n"/>
      <c r="AA50" s="353" t="n"/>
      <c r="AB50" s="302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  <c r="AX50" s="343" t="n"/>
    </row>
    <row r="51"/>
    <row r="52"/>
    <row r="53"/>
    <row r="54"/>
    <row r="55"/>
    <row r="56"/>
    <row r="57"/>
    <row r="58"/>
  </sheetData>
  <mergeCells count="9">
    <mergeCell ref="B4:AB4"/>
    <mergeCell ref="B47:G47"/>
    <mergeCell ref="B28:G28"/>
    <mergeCell ref="B33:G33"/>
    <mergeCell ref="B22:G22"/>
    <mergeCell ref="B23:G23"/>
    <mergeCell ref="B20:I20"/>
    <mergeCell ref="B2:AB2"/>
    <mergeCell ref="B3:AB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X50"/>
  <sheetViews>
    <sheetView topLeftCell="A4" zoomScale="59" workbookViewId="0">
      <selection activeCell="A3" sqref="A3"/>
    </sheetView>
  </sheetViews>
  <sheetFormatPr baseColWidth="8" defaultColWidth="9.140625" defaultRowHeight="21.7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  <c r="AX1" s="302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  <c r="AX2" s="302" t="n"/>
    </row>
    <row r="3" ht="20.25" customHeight="1" s="131">
      <c r="A3" s="177" t="inlineStr">
        <is>
          <t>COMPETITIVE RENT ANALYSIS — HOLIDAY APTS | GREEN = Affordable Comps | BLUE = Market Rate Comps</t>
        </is>
      </c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  <c r="AX3" s="343" t="n"/>
    </row>
    <row r="4" ht="69" customHeight="1" s="131">
      <c r="A4" s="176" t="inlineStr">
        <is>
          <t>SUBJECT: Holiday Apts | 601 Old Washington Road, Natchez, MS 39120 | 115 units | Program: Section 8/HUD | Bedroom Mix: 2BR / 3BR / 4BR / 5BR | County AMI: $55,800 | FMR Area: Adams County, MS</t>
        </is>
      </c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  <c r="AX4" s="343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  <c r="AX5" s="343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2BD 50% AMI ($)</t>
        </is>
      </c>
      <c r="J6" s="280" t="inlineStr">
        <is>
          <t>2BD 60% AMI ($)</t>
        </is>
      </c>
      <c r="K6" s="280" t="inlineStr">
        <is>
          <t>2BR FMR ($)</t>
        </is>
      </c>
      <c r="L6" s="335" t="inlineStr">
        <is>
          <t>2BR Actual ($)</t>
        </is>
      </c>
      <c r="M6" s="281" t="inlineStr">
        <is>
          <t>3BD 50% AMI ($)</t>
        </is>
      </c>
      <c r="N6" s="280" t="inlineStr">
        <is>
          <t>3BD 60% AMI ($)</t>
        </is>
      </c>
      <c r="O6" s="280" t="inlineStr">
        <is>
          <t>3BR FMR ($)</t>
        </is>
      </c>
      <c r="P6" s="335" t="inlineStr">
        <is>
          <t>3BR Actual ($)</t>
        </is>
      </c>
      <c r="Q6" s="281" t="inlineStr">
        <is>
          <t>4BD 50% AMI ($)</t>
        </is>
      </c>
      <c r="R6" s="280" t="inlineStr">
        <is>
          <t>4BD 60% AMI ($)</t>
        </is>
      </c>
      <c r="S6" s="280" t="inlineStr">
        <is>
          <t>4BR FMR ($)</t>
        </is>
      </c>
      <c r="T6" s="339" t="inlineStr">
        <is>
          <t>4BR Actual ($)</t>
        </is>
      </c>
      <c r="U6" s="339" t="inlineStr">
        <is>
          <t>5BD 50% AMI ($)</t>
        </is>
      </c>
      <c r="V6" s="339" t="inlineStr">
        <is>
          <t>5BD 60% AMI ($)</t>
        </is>
      </c>
      <c r="W6" s="339" t="inlineStr">
        <is>
          <t>5BR FMR ($)</t>
        </is>
      </c>
      <c r="X6" s="339" t="inlineStr">
        <is>
          <t>5BR Actual ($)</t>
        </is>
      </c>
      <c r="Y6" s="339" t="inlineStr">
        <is>
          <t># Units</t>
        </is>
      </c>
      <c r="Z6" s="336" t="inlineStr">
        <is>
          <t>Year Built</t>
        </is>
      </c>
      <c r="AA6" s="340" t="inlineStr">
        <is>
          <t>Yr Diff</t>
        </is>
      </c>
      <c r="AB6" s="342" t="inlineStr">
        <is>
          <t>Utilities Incl.</t>
        </is>
      </c>
      <c r="AC6" s="136" t="inlineStr">
        <is>
          <t>Pet Friendly</t>
        </is>
      </c>
      <c r="AD6" s="136" t="inlineStr">
        <is>
          <t>Gated</t>
        </is>
      </c>
      <c r="AE6" s="136" t="inlineStr">
        <is>
          <t>Pool</t>
        </is>
      </c>
      <c r="AF6" s="136" t="inlineStr">
        <is>
          <t>W/D In-Unit</t>
        </is>
      </c>
      <c r="AG6" s="136" t="inlineStr">
        <is>
          <t>Competition Level</t>
        </is>
      </c>
      <c r="AH6" s="136" t="inlineStr">
        <is>
          <t>Why Competitive</t>
        </is>
      </c>
      <c r="AI6" s="136" t="inlineStr">
        <is>
          <t>Data Source</t>
        </is>
      </c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  <c r="AX6" s="343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Holiday Apts (SUBJECT)</t>
        </is>
      </c>
      <c r="D7" s="174" t="inlineStr">
        <is>
          <t>601 Old Washington Road</t>
        </is>
      </c>
      <c r="E7" s="174" t="inlineStr">
        <is>
          <t>Natchez</t>
        </is>
      </c>
      <c r="F7" s="174" t="inlineStr">
        <is>
          <t>MS</t>
        </is>
      </c>
      <c r="G7" s="174" t="inlineStr">
        <is>
          <t>39120</t>
        </is>
      </c>
      <c r="H7" s="174" t="inlineStr">
        <is>
          <t>0.0 mi</t>
        </is>
      </c>
      <c r="I7" s="174" t="inlineStr">
        <is>
          <t>$2,591</t>
        </is>
      </c>
      <c r="J7" s="174" t="inlineStr">
        <is>
          <t>$3,110</t>
        </is>
      </c>
      <c r="K7" s="174" t="inlineStr">
        <is>
          <t>$820</t>
        </is>
      </c>
      <c r="L7" s="368">
        <f>B26</f>
        <v/>
      </c>
      <c r="M7" s="174" t="inlineStr">
        <is>
          <t>$2,879</t>
        </is>
      </c>
      <c r="N7" s="174" t="inlineStr">
        <is>
          <t>$3,455</t>
        </is>
      </c>
      <c r="O7" s="174" t="inlineStr">
        <is>
          <t>$1,040</t>
        </is>
      </c>
      <c r="P7" s="368">
        <f>B27</f>
        <v/>
      </c>
      <c r="Q7" s="174" t="inlineStr">
        <is>
          <t>$3,112</t>
        </is>
      </c>
      <c r="R7" s="174" t="inlineStr">
        <is>
          <t>$3,735</t>
        </is>
      </c>
      <c r="S7" s="174" t="inlineStr">
        <is>
          <t>$1,202</t>
        </is>
      </c>
      <c r="T7" s="368">
        <f>B28</f>
        <v/>
      </c>
      <c r="U7" s="174" t="inlineStr">
        <is>
          <t>$3,341</t>
        </is>
      </c>
      <c r="V7" s="174" t="inlineStr">
        <is>
          <t>$4,010</t>
        </is>
      </c>
      <c r="W7" s="174" t="inlineStr">
        <is>
          <t>$1,382</t>
        </is>
      </c>
      <c r="X7" s="174" t="inlineStr">
        <is>
          <t>N/A</t>
        </is>
      </c>
      <c r="Y7" s="42" t="inlineStr">
        <is>
          <t>115</t>
        </is>
      </c>
      <c r="Z7" s="55" t="inlineStr">
        <is>
          <t>1951</t>
        </is>
      </c>
      <c r="AA7" s="40" t="inlineStr">
        <is>
          <t>0</t>
        </is>
      </c>
      <c r="AB7" s="136" t="inlineStr">
        <is>
          <t>Yes</t>
        </is>
      </c>
      <c r="AC7" s="136" t="inlineStr">
        <is>
          <t>No</t>
        </is>
      </c>
      <c r="AD7" s="136" t="inlineStr">
        <is>
          <t>No</t>
        </is>
      </c>
      <c r="AE7" s="136" t="inlineStr">
        <is>
          <t>No</t>
        </is>
      </c>
      <c r="AF7" s="136" t="inlineStr">
        <is>
          <t>No</t>
        </is>
      </c>
      <c r="AG7" s="136" t="inlineStr">
        <is>
          <t>SUBJECT</t>
        </is>
      </c>
      <c r="AH7" s="136" t="inlineStr">
        <is>
          <t>115 units | Section 8/HUD property. Year built: 1951. Subject property for market context.</t>
        </is>
      </c>
      <c r="AI7" s="136" t="inlineStr">
        <is>
          <t>Apartment Corp Records</t>
        </is>
      </c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  <c r="AX7" s="343" t="n"/>
    </row>
    <row r="8" ht="41.2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Natchez Housing Authority - Sadie V. Thompson Homes</t>
        </is>
      </c>
      <c r="D8" s="59" t="inlineStr">
        <is>
          <t>200 Sadie Thompson Dr</t>
        </is>
      </c>
      <c r="E8" s="59" t="inlineStr">
        <is>
          <t>Natchez</t>
        </is>
      </c>
      <c r="F8" s="59" t="inlineStr">
        <is>
          <t>MS</t>
        </is>
      </c>
      <c r="G8" s="59" t="inlineStr">
        <is>
          <t>39120</t>
        </is>
      </c>
      <c r="H8" s="59" t="inlineStr">
        <is>
          <t>1.5 mi</t>
        </is>
      </c>
      <c r="I8" s="59" t="inlineStr">
        <is>
          <t>$2,591</t>
        </is>
      </c>
      <c r="J8" s="59" t="inlineStr">
        <is>
          <t>$3,110</t>
        </is>
      </c>
      <c r="K8" s="41" t="inlineStr">
        <is>
          <t>$820</t>
        </is>
      </c>
      <c r="L8" s="53" t="inlineStr">
        <is>
          <t>Not Listed</t>
        </is>
      </c>
      <c r="M8" s="43" t="inlineStr">
        <is>
          <t>$2,879</t>
        </is>
      </c>
      <c r="N8" s="43" t="inlineStr">
        <is>
          <t>$3,455</t>
        </is>
      </c>
      <c r="O8" s="41" t="inlineStr">
        <is>
          <t>$1,040</t>
        </is>
      </c>
      <c r="P8" s="53" t="inlineStr">
        <is>
          <t>Not Listed</t>
        </is>
      </c>
      <c r="Q8" s="43" t="inlineStr">
        <is>
          <t>$3,112</t>
        </is>
      </c>
      <c r="R8" s="43" t="inlineStr">
        <is>
          <t>$3,735</t>
        </is>
      </c>
      <c r="S8" s="43" t="inlineStr">
        <is>
          <t>$1,202</t>
        </is>
      </c>
      <c r="T8" s="43" t="inlineStr">
        <is>
          <t>Not Listed</t>
        </is>
      </c>
      <c r="U8" s="43" t="inlineStr">
        <is>
          <t>$3,341</t>
        </is>
      </c>
      <c r="V8" s="43" t="inlineStr">
        <is>
          <t>$4,010</t>
        </is>
      </c>
      <c r="W8" s="43" t="inlineStr">
        <is>
          <t>$1,382</t>
        </is>
      </c>
      <c r="X8" s="43" t="inlineStr">
        <is>
          <t>Not Listed</t>
        </is>
      </c>
      <c r="Y8" s="44" t="inlineStr">
        <is>
          <t>100</t>
        </is>
      </c>
      <c r="Z8" s="56" t="inlineStr">
        <is>
          <t>1952</t>
        </is>
      </c>
      <c r="AA8" s="43" t="inlineStr">
        <is>
          <t>1</t>
        </is>
      </c>
      <c r="AB8" s="136" t="inlineStr">
        <is>
          <t>Yes</t>
        </is>
      </c>
      <c r="AC8" s="136" t="inlineStr">
        <is>
          <t>No</t>
        </is>
      </c>
      <c r="AD8" s="136" t="inlineStr">
        <is>
          <t>No</t>
        </is>
      </c>
      <c r="AE8" s="136" t="inlineStr">
        <is>
          <t>No</t>
        </is>
      </c>
      <c r="AF8" s="136" t="inlineStr">
        <is>
          <t>No</t>
        </is>
      </c>
      <c r="AG8" s="136" t="inlineStr">
        <is>
          <t>HIGH</t>
        </is>
      </c>
      <c r="AH8" s="136" t="inlineStr">
        <is>
          <t>Affordable Comp #1: Public Housing/HUD property, 1952 vintage (1 yr diff), 100 units, 1.5 mi from subject. Same income-eligible renter pool.</t>
        </is>
      </c>
      <c r="AI8" s="136" t="inlineStr">
        <is>
          <t>Natchez Housing Authority</t>
        </is>
      </c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  <c r="AX8" s="343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Vicksburg Housing Authority - Ida B. Wells Homes</t>
        </is>
      </c>
      <c r="D9" s="125" t="inlineStr">
        <is>
          <t>1 Ida B Wells Dr</t>
        </is>
      </c>
      <c r="E9" s="125" t="inlineStr">
        <is>
          <t>Vicksburg</t>
        </is>
      </c>
      <c r="F9" s="125" t="inlineStr">
        <is>
          <t>MS</t>
        </is>
      </c>
      <c r="G9" s="125" t="inlineStr">
        <is>
          <t>39180</t>
        </is>
      </c>
      <c r="H9" s="125" t="inlineStr">
        <is>
          <t>72.0 mi</t>
        </is>
      </c>
      <c r="I9" s="125" t="inlineStr">
        <is>
          <t>$2,591</t>
        </is>
      </c>
      <c r="J9" s="125" t="inlineStr">
        <is>
          <t>$3,110</t>
        </is>
      </c>
      <c r="K9" s="85" t="inlineStr">
        <is>
          <t>$820</t>
        </is>
      </c>
      <c r="L9" s="86" t="inlineStr">
        <is>
          <t>Not Listed</t>
        </is>
      </c>
      <c r="M9" s="128" t="inlineStr">
        <is>
          <t>$2,879</t>
        </is>
      </c>
      <c r="N9" s="128" t="inlineStr">
        <is>
          <t>$3,455</t>
        </is>
      </c>
      <c r="O9" s="85" t="inlineStr">
        <is>
          <t>$1,040</t>
        </is>
      </c>
      <c r="P9" s="86" t="inlineStr">
        <is>
          <t>Not Listed</t>
        </is>
      </c>
      <c r="Q9" s="128" t="inlineStr">
        <is>
          <t>$3,112</t>
        </is>
      </c>
      <c r="R9" s="128" t="inlineStr">
        <is>
          <t>$3,735</t>
        </is>
      </c>
      <c r="S9" s="128" t="inlineStr">
        <is>
          <t>$1,202</t>
        </is>
      </c>
      <c r="T9" s="128" t="inlineStr">
        <is>
          <t>Not Listed</t>
        </is>
      </c>
      <c r="U9" s="128" t="inlineStr">
        <is>
          <t>$3,341</t>
        </is>
      </c>
      <c r="V9" s="128" t="inlineStr">
        <is>
          <t>$4,010</t>
        </is>
      </c>
      <c r="W9" s="128" t="inlineStr">
        <is>
          <t>$1,382</t>
        </is>
      </c>
      <c r="X9" s="128" t="inlineStr">
        <is>
          <t>Not Listed</t>
        </is>
      </c>
      <c r="Y9" s="129" t="inlineStr">
        <is>
          <t>150</t>
        </is>
      </c>
      <c r="Z9" s="130" t="inlineStr">
        <is>
          <t>1955</t>
        </is>
      </c>
      <c r="AA9" s="128" t="inlineStr">
        <is>
          <t>4</t>
        </is>
      </c>
      <c r="AB9" s="136" t="inlineStr">
        <is>
          <t>Yes</t>
        </is>
      </c>
      <c r="AC9" s="136" t="inlineStr">
        <is>
          <t>No</t>
        </is>
      </c>
      <c r="AD9" s="136" t="inlineStr">
        <is>
          <t>No</t>
        </is>
      </c>
      <c r="AE9" s="136" t="inlineStr">
        <is>
          <t>No</t>
        </is>
      </c>
      <c r="AF9" s="136" t="inlineStr">
        <is>
          <t>No</t>
        </is>
      </c>
      <c r="AG9" s="136" t="inlineStr">
        <is>
          <t>LOW-MODERATE</t>
        </is>
      </c>
      <c r="AH9" s="136" t="inlineStr">
        <is>
          <t>Affordable Comp #2: Public Housing/HUD property, 1955 vintage (4 yr diff), 150 units, 72.0 mi from subject. Same income-eligible renter pool.</t>
        </is>
      </c>
      <c r="AI9" s="136" t="inlineStr">
        <is>
          <t>Vicksburg Housing Authority</t>
        </is>
      </c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  <c r="AX9" s="343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Laurel Housing Authority - Queensburg Homes</t>
        </is>
      </c>
      <c r="D10" s="107" t="inlineStr">
        <is>
          <t>100 Queensburg Dr</t>
        </is>
      </c>
      <c r="E10" s="107" t="inlineStr">
        <is>
          <t>Laurel</t>
        </is>
      </c>
      <c r="F10" s="107" t="inlineStr">
        <is>
          <t>MS</t>
        </is>
      </c>
      <c r="G10" s="107" t="inlineStr">
        <is>
          <t>39440</t>
        </is>
      </c>
      <c r="H10" s="107" t="inlineStr">
        <is>
          <t>145.0 mi</t>
        </is>
      </c>
      <c r="I10" s="107" t="inlineStr">
        <is>
          <t>$2,591</t>
        </is>
      </c>
      <c r="J10" s="107" t="inlineStr">
        <is>
          <t>$3,110</t>
        </is>
      </c>
      <c r="K10" s="80" t="inlineStr">
        <is>
          <t>$820</t>
        </is>
      </c>
      <c r="L10" s="81" t="inlineStr">
        <is>
          <t>Not Listed</t>
        </is>
      </c>
      <c r="M10" s="108" t="inlineStr">
        <is>
          <t>$2,879</t>
        </is>
      </c>
      <c r="N10" s="108" t="inlineStr">
        <is>
          <t>$3,455</t>
        </is>
      </c>
      <c r="O10" s="80" t="inlineStr">
        <is>
          <t>$1,040</t>
        </is>
      </c>
      <c r="P10" s="81" t="inlineStr">
        <is>
          <t>Not Listed</t>
        </is>
      </c>
      <c r="Q10" s="108" t="inlineStr">
        <is>
          <t>$3,112</t>
        </is>
      </c>
      <c r="R10" s="108" t="inlineStr">
        <is>
          <t>$3,735</t>
        </is>
      </c>
      <c r="S10" s="108" t="inlineStr">
        <is>
          <t>$1,202</t>
        </is>
      </c>
      <c r="T10" s="108" t="inlineStr">
        <is>
          <t>Not Listed</t>
        </is>
      </c>
      <c r="U10" s="108" t="inlineStr">
        <is>
          <t>$3,341</t>
        </is>
      </c>
      <c r="V10" s="108" t="inlineStr">
        <is>
          <t>$4,010</t>
        </is>
      </c>
      <c r="W10" s="108" t="inlineStr">
        <is>
          <t>$1,382</t>
        </is>
      </c>
      <c r="X10" s="108" t="inlineStr">
        <is>
          <t>Not Listed</t>
        </is>
      </c>
      <c r="Y10" s="109" t="inlineStr">
        <is>
          <t>100</t>
        </is>
      </c>
      <c r="Z10" s="110" t="inlineStr">
        <is>
          <t>1950</t>
        </is>
      </c>
      <c r="AA10" s="111" t="inlineStr">
        <is>
          <t>1</t>
        </is>
      </c>
      <c r="AB10" s="134" t="inlineStr">
        <is>
          <t>Yes</t>
        </is>
      </c>
      <c r="AC10" s="136" t="inlineStr">
        <is>
          <t>No</t>
        </is>
      </c>
      <c r="AD10" s="136" t="inlineStr">
        <is>
          <t>No</t>
        </is>
      </c>
      <c r="AE10" s="136" t="inlineStr">
        <is>
          <t>No</t>
        </is>
      </c>
      <c r="AF10" s="136" t="inlineStr">
        <is>
          <t>No</t>
        </is>
      </c>
      <c r="AG10" s="136" t="inlineStr">
        <is>
          <t>LOW-MODERATE</t>
        </is>
      </c>
      <c r="AH10" s="136" t="inlineStr">
        <is>
          <t>Affordable Comp #3: Public Housing/HUD property, 1950 vintage (1 yr diff), 100 units, 145.0 mi from subject. Same income-eligible renter pool.</t>
        </is>
      </c>
      <c r="AI10" s="136" t="inlineStr">
        <is>
          <t>Laurel Housing Authority</t>
        </is>
      </c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  <c r="AX10" s="343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Natchez Housing Authority - Belleview Homes</t>
        </is>
      </c>
      <c r="D11" s="95" t="inlineStr">
        <is>
          <t>400 Belleview Ave</t>
        </is>
      </c>
      <c r="E11" s="95" t="inlineStr">
        <is>
          <t>Natchez</t>
        </is>
      </c>
      <c r="F11" s="95" t="inlineStr">
        <is>
          <t>MS</t>
        </is>
      </c>
      <c r="G11" s="95" t="inlineStr">
        <is>
          <t>39120</t>
        </is>
      </c>
      <c r="H11" s="95" t="inlineStr">
        <is>
          <t>1.8 mi</t>
        </is>
      </c>
      <c r="I11" s="95" t="inlineStr">
        <is>
          <t>$2,591</t>
        </is>
      </c>
      <c r="J11" s="95" t="inlineStr">
        <is>
          <t>$3,110</t>
        </is>
      </c>
      <c r="K11" s="39" t="inlineStr">
        <is>
          <t>$820</t>
        </is>
      </c>
      <c r="L11" s="53" t="inlineStr">
        <is>
          <t>Not Listed</t>
        </is>
      </c>
      <c r="M11" s="96" t="inlineStr">
        <is>
          <t>$2,879</t>
        </is>
      </c>
      <c r="N11" s="96" t="inlineStr">
        <is>
          <t>$3,455</t>
        </is>
      </c>
      <c r="O11" s="39" t="inlineStr">
        <is>
          <t>$1,040</t>
        </is>
      </c>
      <c r="P11" s="53" t="inlineStr">
        <is>
          <t>Not Listed</t>
        </is>
      </c>
      <c r="Q11" s="96" t="inlineStr">
        <is>
          <t>$3,112</t>
        </is>
      </c>
      <c r="R11" s="96" t="inlineStr">
        <is>
          <t>$3,735</t>
        </is>
      </c>
      <c r="S11" s="96" t="inlineStr">
        <is>
          <t>$1,202</t>
        </is>
      </c>
      <c r="T11" s="96" t="inlineStr">
        <is>
          <t>Not Listed</t>
        </is>
      </c>
      <c r="U11" s="96" t="inlineStr">
        <is>
          <t>$3,341</t>
        </is>
      </c>
      <c r="V11" s="96" t="inlineStr">
        <is>
          <t>$4,010</t>
        </is>
      </c>
      <c r="W11" s="96" t="inlineStr">
        <is>
          <t>$1,382</t>
        </is>
      </c>
      <c r="X11" s="96" t="inlineStr">
        <is>
          <t>Not Listed</t>
        </is>
      </c>
      <c r="Y11" s="45" t="inlineStr">
        <is>
          <t>120</t>
        </is>
      </c>
      <c r="Z11" s="97" t="inlineStr">
        <is>
          <t>1953</t>
        </is>
      </c>
      <c r="AA11" s="113" t="inlineStr">
        <is>
          <t>2</t>
        </is>
      </c>
      <c r="AB11" s="134" t="inlineStr">
        <is>
          <t>Yes</t>
        </is>
      </c>
      <c r="AC11" s="136" t="inlineStr">
        <is>
          <t>No</t>
        </is>
      </c>
      <c r="AD11" s="136" t="inlineStr">
        <is>
          <t>No</t>
        </is>
      </c>
      <c r="AE11" s="136" t="inlineStr">
        <is>
          <t>No</t>
        </is>
      </c>
      <c r="AF11" s="136" t="inlineStr">
        <is>
          <t>No</t>
        </is>
      </c>
      <c r="AG11" s="136" t="inlineStr">
        <is>
          <t>HIGH</t>
        </is>
      </c>
      <c r="AH11" s="136" t="inlineStr">
        <is>
          <t>Affordable Comp #4: Public Housing/HUD property, 1953 vintage (2 yr diff), 120 units, 1.8 mi from subject. Same income-eligible renter pool.</t>
        </is>
      </c>
      <c r="AI11" s="136" t="inlineStr">
        <is>
          <t>Natchez Housing Authority</t>
        </is>
      </c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  <c r="AX11" s="343" t="n"/>
    </row>
    <row r="12" ht="37.5" customHeight="1" s="131">
      <c r="A12" s="114" t="n">
        <v>1</v>
      </c>
      <c r="B12" s="70" t="inlineStr">
        <is>
          <t>MARKET RATE</t>
        </is>
      </c>
      <c r="C12" s="67" t="inlineStr">
        <is>
          <t>Camelot Apartments</t>
        </is>
      </c>
      <c r="D12" s="98" t="inlineStr">
        <is>
          <t>156 Jefferson Davis Blvd</t>
        </is>
      </c>
      <c r="E12" s="98" t="inlineStr">
        <is>
          <t>Natchez</t>
        </is>
      </c>
      <c r="F12" s="98" t="inlineStr">
        <is>
          <t>MS</t>
        </is>
      </c>
      <c r="G12" s="98" t="inlineStr">
        <is>
          <t>39120</t>
        </is>
      </c>
      <c r="H12" s="98" t="inlineStr">
        <is>
          <t>1.2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N/A (Market Rate)</t>
        </is>
      </c>
      <c r="L12" s="146" t="n">
        <v>850</v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N/A (Market Rate)</t>
        </is>
      </c>
      <c r="P12" s="53" t="inlineStr">
        <is>
          <t>Not Listed</t>
        </is>
      </c>
      <c r="Q12" s="99" t="inlineStr">
        <is>
          <t>N/A (Market Rate)</t>
        </is>
      </c>
      <c r="R12" s="99" t="inlineStr">
        <is>
          <t>N/A (Market Rate)</t>
        </is>
      </c>
      <c r="S12" s="99" t="inlineStr">
        <is>
          <t>N/A (Market Rate)</t>
        </is>
      </c>
      <c r="T12" s="99" t="inlineStr">
        <is>
          <t>Not Listed</t>
        </is>
      </c>
      <c r="U12" s="99" t="inlineStr">
        <is>
          <t>N/A (Market Rate)</t>
        </is>
      </c>
      <c r="V12" s="99" t="inlineStr">
        <is>
          <t>N/A (Market Rate)</t>
        </is>
      </c>
      <c r="W12" s="99" t="inlineStr">
        <is>
          <t>N/A (Market Rate)</t>
        </is>
      </c>
      <c r="X12" s="99" t="inlineStr">
        <is>
          <t>Not Listed</t>
        </is>
      </c>
      <c r="Y12" s="46" t="n"/>
      <c r="Z12" s="100" t="n">
        <v>1975</v>
      </c>
      <c r="AA12" s="115" t="n"/>
      <c r="AB12" s="134" t="n"/>
      <c r="AC12" s="136" t="n"/>
      <c r="AD12" s="136" t="n"/>
      <c r="AE12" s="136" t="n"/>
      <c r="AF12" s="136" t="n"/>
      <c r="AG12" s="136" t="n"/>
      <c r="AH12" s="136" t="n"/>
      <c r="AI12" s="136" t="n"/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  <c r="AX12" s="343" t="n"/>
    </row>
    <row r="13" ht="37.5" customHeight="1" s="131">
      <c r="A13" s="116" t="n">
        <v>2</v>
      </c>
      <c r="B13" s="71" t="inlineStr">
        <is>
          <t>MARKET RATE</t>
        </is>
      </c>
      <c r="C13" s="68" t="inlineStr">
        <is>
          <t>Bienville Apartments</t>
        </is>
      </c>
      <c r="D13" s="101" t="inlineStr">
        <is>
          <t>500 N Commerce St</t>
        </is>
      </c>
      <c r="E13" s="101" t="inlineStr">
        <is>
          <t>Natchez</t>
        </is>
      </c>
      <c r="F13" s="101" t="inlineStr">
        <is>
          <t>MS</t>
        </is>
      </c>
      <c r="G13" s="101" t="inlineStr">
        <is>
          <t>39120</t>
        </is>
      </c>
      <c r="H13" s="101" t="inlineStr">
        <is>
          <t>0.8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N/A (Market Rate)</t>
        </is>
      </c>
      <c r="L13" s="146" t="n">
        <v>815</v>
      </c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N/A (Market Rate)</t>
        </is>
      </c>
      <c r="P13" s="53" t="inlineStr">
        <is>
          <t>Not Listed</t>
        </is>
      </c>
      <c r="Q13" s="102" t="inlineStr">
        <is>
          <t>N/A (Market Rate)</t>
        </is>
      </c>
      <c r="R13" s="102" t="inlineStr">
        <is>
          <t>N/A (Market Rate)</t>
        </is>
      </c>
      <c r="S13" s="102" t="inlineStr">
        <is>
          <t>N/A (Market Rate)</t>
        </is>
      </c>
      <c r="T13" s="102" t="inlineStr">
        <is>
          <t>Not Listed</t>
        </is>
      </c>
      <c r="U13" s="102" t="inlineStr">
        <is>
          <t>N/A (Market Rate)</t>
        </is>
      </c>
      <c r="V13" s="102" t="inlineStr">
        <is>
          <t>N/A (Market Rate)</t>
        </is>
      </c>
      <c r="W13" s="102" t="inlineStr">
        <is>
          <t>N/A (Market Rate)</t>
        </is>
      </c>
      <c r="X13" s="102" t="inlineStr">
        <is>
          <t>Not Listed</t>
        </is>
      </c>
      <c r="Y13" s="47" t="n"/>
      <c r="Z13" s="103" t="n">
        <v>1970</v>
      </c>
      <c r="AA13" s="117" t="n"/>
      <c r="AB13" s="134" t="n"/>
      <c r="AC13" s="136" t="n"/>
      <c r="AD13" s="136" t="n"/>
      <c r="AE13" s="136" t="n"/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  <c r="AX13" s="343" t="n"/>
    </row>
    <row r="14" ht="37.5" customHeight="1" s="131">
      <c r="A14" s="112" t="n">
        <v>3</v>
      </c>
      <c r="B14" s="69" t="inlineStr">
        <is>
          <t>MARKET RATE</t>
        </is>
      </c>
      <c r="C14" s="66" t="inlineStr">
        <is>
          <t>Riverbreeze Manor Apartments</t>
        </is>
      </c>
      <c r="D14" s="95" t="inlineStr">
        <is>
          <t>144 N Shields Ln</t>
        </is>
      </c>
      <c r="E14" s="95" t="inlineStr">
        <is>
          <t>Natchez</t>
        </is>
      </c>
      <c r="F14" s="95" t="inlineStr">
        <is>
          <t>MS</t>
        </is>
      </c>
      <c r="G14" s="95" t="inlineStr">
        <is>
          <t>39120</t>
        </is>
      </c>
      <c r="H14" s="95" t="inlineStr">
        <is>
          <t>1.5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N/A (Market Rate)</t>
        </is>
      </c>
      <c r="L14" s="146" t="n">
        <v>750</v>
      </c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N/A (Market Rate)</t>
        </is>
      </c>
      <c r="P14" s="146" t="n">
        <v>850</v>
      </c>
      <c r="Q14" s="96" t="inlineStr">
        <is>
          <t>N/A (Market Rate)</t>
        </is>
      </c>
      <c r="R14" s="96" t="inlineStr">
        <is>
          <t>N/A (Market Rate)</t>
        </is>
      </c>
      <c r="S14" s="96" t="inlineStr">
        <is>
          <t>N/A (Market Rate)</t>
        </is>
      </c>
      <c r="T14" s="96" t="inlineStr">
        <is>
          <t>Not Listed</t>
        </is>
      </c>
      <c r="U14" s="96" t="inlineStr">
        <is>
          <t>N/A (Market Rate)</t>
        </is>
      </c>
      <c r="V14" s="96" t="inlineStr">
        <is>
          <t>N/A (Market Rate)</t>
        </is>
      </c>
      <c r="W14" s="96" t="inlineStr">
        <is>
          <t>N/A (Market Rate)</t>
        </is>
      </c>
      <c r="X14" s="96" t="inlineStr">
        <is>
          <t>Not Listed</t>
        </is>
      </c>
      <c r="Y14" s="45" t="n"/>
      <c r="Z14" s="97" t="n">
        <v>1980</v>
      </c>
      <c r="AA14" s="113" t="n"/>
      <c r="AB14" s="134" t="n"/>
      <c r="AC14" s="136" t="n"/>
      <c r="AD14" s="136" t="n"/>
      <c r="AE14" s="136" t="n"/>
      <c r="AF14" s="136" t="n"/>
      <c r="AG14" s="136" t="n"/>
      <c r="AH14" s="136" t="n"/>
      <c r="AI14" s="136" t="n"/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  <c r="AX14" s="343" t="n"/>
    </row>
    <row r="15" ht="40.5" customHeight="1" s="131">
      <c r="A15" s="112" t="n">
        <v>4</v>
      </c>
      <c r="B15" s="69" t="inlineStr">
        <is>
          <t>MARKET RATE</t>
        </is>
      </c>
      <c r="C15" s="66" t="inlineStr">
        <is>
          <t>Covington II</t>
        </is>
      </c>
      <c r="D15" s="95" t="inlineStr">
        <is>
          <t>22 T Waring Bennett Jr Rd</t>
        </is>
      </c>
      <c r="E15" s="95" t="inlineStr">
        <is>
          <t>Natchez</t>
        </is>
      </c>
      <c r="F15" s="95" t="inlineStr">
        <is>
          <t>MS</t>
        </is>
      </c>
      <c r="G15" s="95" t="inlineStr">
        <is>
          <t>39120</t>
        </is>
      </c>
      <c r="H15" s="95" t="inlineStr">
        <is>
          <t>2.1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N/A (Market Rate)</t>
        </is>
      </c>
      <c r="L15" s="146" t="n">
        <v>730</v>
      </c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N/A (Market Rate)</t>
        </is>
      </c>
      <c r="P15" s="53" t="inlineStr">
        <is>
          <t>Not Listed</t>
        </is>
      </c>
      <c r="Q15" s="96" t="inlineStr">
        <is>
          <t>N/A (Market Rate)</t>
        </is>
      </c>
      <c r="R15" s="96" t="inlineStr">
        <is>
          <t>N/A (Market Rate)</t>
        </is>
      </c>
      <c r="S15" s="96" t="inlineStr">
        <is>
          <t>N/A (Market Rate)</t>
        </is>
      </c>
      <c r="T15" s="96" t="inlineStr">
        <is>
          <t>Not Listed</t>
        </is>
      </c>
      <c r="U15" s="96" t="inlineStr">
        <is>
          <t>N/A (Market Rate)</t>
        </is>
      </c>
      <c r="V15" s="96" t="inlineStr">
        <is>
          <t>N/A (Market Rate)</t>
        </is>
      </c>
      <c r="W15" s="96" t="inlineStr">
        <is>
          <t>N/A (Market Rate)</t>
        </is>
      </c>
      <c r="X15" s="96" t="inlineStr">
        <is>
          <t>Not Listed</t>
        </is>
      </c>
      <c r="Y15" s="45" t="n"/>
      <c r="Z15" s="97" t="n">
        <v>1985</v>
      </c>
      <c r="AA15" s="113" t="n"/>
      <c r="AB15" s="134" t="n"/>
      <c r="AC15" s="136" t="n"/>
      <c r="AD15" s="136" t="n"/>
      <c r="AE15" s="136" t="n"/>
      <c r="AF15" s="136" t="n"/>
      <c r="AG15" s="136" t="n"/>
      <c r="AH15" s="136" t="n"/>
      <c r="AI15" s="136" t="n"/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  <c r="AX15" s="343" t="n"/>
    </row>
    <row r="16" ht="37.5" customHeight="1" s="131">
      <c r="A16" s="118" t="n">
        <v>5</v>
      </c>
      <c r="B16" s="82" t="inlineStr">
        <is>
          <t>MARKET RATE</t>
        </is>
      </c>
      <c r="C16" s="119" t="inlineStr">
        <is>
          <t>2116 Second St (House)</t>
        </is>
      </c>
      <c r="D16" s="120" t="inlineStr">
        <is>
          <t>2116 Second St</t>
        </is>
      </c>
      <c r="E16" s="120" t="inlineStr">
        <is>
          <t>Natchez</t>
        </is>
      </c>
      <c r="F16" s="120" t="inlineStr">
        <is>
          <t>MS</t>
        </is>
      </c>
      <c r="G16" s="120" t="inlineStr">
        <is>
          <t>39120</t>
        </is>
      </c>
      <c r="H16" s="120" t="inlineStr">
        <is>
          <t>0.9 mi</t>
        </is>
      </c>
      <c r="I16" s="120" t="inlineStr">
        <is>
          <t>N/A (Market Rate)</t>
        </is>
      </c>
      <c r="J16" s="120" t="inlineStr">
        <is>
          <t>N/A (Market Rate)</t>
        </is>
      </c>
      <c r="K16" s="121" t="inlineStr">
        <is>
          <t>N/A (Market Rate)</t>
        </is>
      </c>
      <c r="L16" s="83" t="inlineStr">
        <is>
          <t>Not Listed</t>
        </is>
      </c>
      <c r="M16" s="122" t="inlineStr">
        <is>
          <t>N/A (Market Rate)</t>
        </is>
      </c>
      <c r="N16" s="122" t="inlineStr">
        <is>
          <t>N/A (Market Rate)</t>
        </is>
      </c>
      <c r="O16" s="121" t="inlineStr">
        <is>
          <t>N/A (Market Rate)</t>
        </is>
      </c>
      <c r="P16" s="147" t="n">
        <v>1150</v>
      </c>
      <c r="Q16" s="122" t="inlineStr">
        <is>
          <t>N/A (Market Rate)</t>
        </is>
      </c>
      <c r="R16" s="122" t="inlineStr">
        <is>
          <t>N/A (Market Rate)</t>
        </is>
      </c>
      <c r="S16" s="122" t="inlineStr">
        <is>
          <t>N/A (Market Rate)</t>
        </is>
      </c>
      <c r="T16" s="122" t="inlineStr">
        <is>
          <t>Not Listed</t>
        </is>
      </c>
      <c r="U16" s="122" t="inlineStr">
        <is>
          <t>N/A (Market Rate)</t>
        </is>
      </c>
      <c r="V16" s="122" t="inlineStr">
        <is>
          <t>N/A (Market Rate)</t>
        </is>
      </c>
      <c r="W16" s="122" t="inlineStr">
        <is>
          <t>N/A (Market Rate)</t>
        </is>
      </c>
      <c r="X16" s="122" t="inlineStr">
        <is>
          <t>Not Listed</t>
        </is>
      </c>
      <c r="Y16" s="84" t="n"/>
      <c r="Z16" s="123" t="n">
        <v>1960</v>
      </c>
      <c r="AA16" s="124" t="n"/>
      <c r="AB16" s="134" t="n"/>
      <c r="AC16" s="136" t="n"/>
      <c r="AD16" s="136" t="n"/>
      <c r="AE16" s="136" t="n"/>
      <c r="AF16" s="136" t="n"/>
      <c r="AG16" s="136" t="n"/>
      <c r="AH16" s="136" t="n"/>
      <c r="AI16" s="136" t="n"/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  <c r="AX16" s="343" t="n"/>
    </row>
    <row r="17" ht="74.25" customHeight="1" s="131">
      <c r="A17" s="87" t="n">
        <v>6</v>
      </c>
      <c r="B17" s="88" t="inlineStr">
        <is>
          <t>MARKET RATE</t>
        </is>
      </c>
      <c r="C17" s="89" t="inlineStr">
        <is>
          <t>214 Margaret Ave (House)</t>
        </is>
      </c>
      <c r="D17" s="87" t="inlineStr">
        <is>
          <t>214 Margaret Ave</t>
        </is>
      </c>
      <c r="E17" s="87" t="inlineStr">
        <is>
          <t>Natchez</t>
        </is>
      </c>
      <c r="F17" s="87" t="inlineStr">
        <is>
          <t>MS</t>
        </is>
      </c>
      <c r="G17" s="87" t="inlineStr">
        <is>
          <t>39120</t>
        </is>
      </c>
      <c r="H17" s="87" t="inlineStr">
        <is>
          <t>1.3 mi</t>
        </is>
      </c>
      <c r="I17" s="87" t="inlineStr">
        <is>
          <t>N/A (Market Rate)</t>
        </is>
      </c>
      <c r="J17" s="87" t="inlineStr">
        <is>
          <t>N/A (Market Rate)</t>
        </is>
      </c>
      <c r="K17" s="90" t="inlineStr">
        <is>
          <t>N/A (Market Rate)</t>
        </is>
      </c>
      <c r="L17" s="91" t="inlineStr">
        <is>
          <t>Not Listed</t>
        </is>
      </c>
      <c r="M17" s="92" t="inlineStr">
        <is>
          <t>N/A (Market Rate)</t>
        </is>
      </c>
      <c r="N17" s="92" t="inlineStr">
        <is>
          <t>N/A (Market Rate)</t>
        </is>
      </c>
      <c r="O17" s="90" t="inlineStr">
        <is>
          <t>N/A (Market Rate)</t>
        </is>
      </c>
      <c r="P17" s="148" t="n">
        <v>1895</v>
      </c>
      <c r="Q17" s="92" t="inlineStr">
        <is>
          <t>N/A (Market Rate)</t>
        </is>
      </c>
      <c r="R17" s="92" t="inlineStr">
        <is>
          <t>N/A (Market Rate)</t>
        </is>
      </c>
      <c r="S17" s="92" t="inlineStr">
        <is>
          <t>N/A (Market Rate)</t>
        </is>
      </c>
      <c r="T17" s="92" t="inlineStr">
        <is>
          <t>Not Listed</t>
        </is>
      </c>
      <c r="U17" s="92" t="inlineStr">
        <is>
          <t>N/A (Market Rate)</t>
        </is>
      </c>
      <c r="V17" s="92" t="inlineStr">
        <is>
          <t>N/A (Market Rate)</t>
        </is>
      </c>
      <c r="W17" s="92" t="inlineStr">
        <is>
          <t>N/A (Market Rate)</t>
        </is>
      </c>
      <c r="X17" s="92" t="inlineStr">
        <is>
          <t>Not Listed</t>
        </is>
      </c>
      <c r="Y17" s="93" t="n"/>
      <c r="Z17" s="94" t="n">
        <v>1965</v>
      </c>
      <c r="AA17" s="92" t="n"/>
      <c r="AB17" s="136" t="n"/>
      <c r="AC17" s="136" t="n"/>
      <c r="AD17" s="136" t="n"/>
      <c r="AE17" s="136" t="n"/>
      <c r="AF17" s="136" t="n"/>
      <c r="AG17" s="136" t="n"/>
      <c r="AH17" s="136" t="n"/>
      <c r="AI17" s="136" t="n"/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Format="1" customHeight="1" s="2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Height="1" s="131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Height="1" s="131">
      <c r="A25" s="372" t="n"/>
      <c r="B25" s="201" t="inlineStr">
        <is>
          <t>2BD</t>
        </is>
      </c>
      <c r="C25" s="194" t="n"/>
      <c r="D25" s="200" t="n">
        <v>786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Format="1" customHeight="1" s="2">
      <c r="A26" s="372" t="n"/>
      <c r="B26" s="201" t="inlineStr">
        <is>
          <t>3BD</t>
        </is>
      </c>
      <c r="C26" s="194" t="n"/>
      <c r="D26" s="200" t="n">
        <v>1298</v>
      </c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24.75" customFormat="1" customHeight="1" s="2">
      <c r="A27" s="369" t="n"/>
      <c r="B27" s="201" t="inlineStr">
        <is>
          <t>4BD</t>
        </is>
      </c>
      <c r="C27" s="194" t="n"/>
      <c r="D27" s="200" t="n"/>
      <c r="E27" s="195" t="n"/>
      <c r="F27" s="183" t="n"/>
      <c r="G27" s="183" t="n"/>
      <c r="H27" s="183" t="n"/>
      <c r="I27" s="183" t="n"/>
      <c r="J27" s="183" t="n"/>
      <c r="K27" s="302" t="n"/>
      <c r="L27" s="302" t="n"/>
      <c r="M27" s="302" t="n"/>
      <c r="N27" s="302" t="n"/>
      <c r="O27" s="343" t="n"/>
      <c r="P27" s="302" t="n"/>
      <c r="Q27" s="302" t="n"/>
      <c r="R27" s="302" t="n"/>
      <c r="S27" s="302" t="n"/>
      <c r="T27" s="302" t="n"/>
      <c r="U27" s="302" t="n"/>
      <c r="V27" s="302" t="n"/>
      <c r="W27" s="302" t="n"/>
      <c r="X27" s="302" t="n"/>
      <c r="Y27" s="302" t="n"/>
      <c r="Z27" s="302" t="n"/>
      <c r="AA27" s="353" t="n"/>
      <c r="AB27" s="302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8.1" customFormat="1" customHeight="1" s="2">
      <c r="A28" s="382" t="n"/>
      <c r="B28" s="435" t="inlineStr">
        <is>
          <t>5BD</t>
        </is>
      </c>
      <c r="C28" s="436" t="n"/>
      <c r="D28" s="437" t="n"/>
      <c r="E28" s="438" t="n"/>
      <c r="F28" s="382" t="n"/>
      <c r="G28" s="369" t="n"/>
      <c r="H28" s="369" t="n"/>
      <c r="I28" s="369" t="n"/>
      <c r="J28" s="369" t="n"/>
      <c r="K28" s="369" t="n"/>
      <c r="L28" s="134" t="n"/>
      <c r="M28" s="134" t="n"/>
      <c r="N28" s="134" t="n"/>
      <c r="O28" s="134" t="n"/>
      <c r="P28" s="134" t="n"/>
      <c r="Q28" s="134" t="n"/>
      <c r="R28" s="134" t="n"/>
      <c r="S28" s="134" t="n"/>
      <c r="T28" s="134" t="n"/>
      <c r="U28" s="134" t="n"/>
      <c r="V28" s="134" t="n"/>
      <c r="W28" s="134" t="n"/>
      <c r="X28" s="134" t="n"/>
      <c r="Y28" s="134" t="n"/>
      <c r="Z28" s="135" t="n"/>
      <c r="AA28" s="134" t="n"/>
      <c r="AB28" s="134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8.1" customFormat="1" customHeight="1" s="2">
      <c r="A29" s="372" t="n"/>
      <c r="B29" s="371" t="n"/>
      <c r="C29" s="371" t="n"/>
      <c r="D29" s="371" t="n"/>
      <c r="E29" s="371" t="n"/>
      <c r="F29" s="371" t="n"/>
      <c r="G29" s="369" t="n"/>
      <c r="H29" s="369" t="n"/>
      <c r="I29" s="369" t="n"/>
      <c r="J29" s="369" t="n"/>
      <c r="K29" s="369" t="n"/>
      <c r="L29" s="134" t="n"/>
      <c r="M29" s="134" t="n"/>
      <c r="N29" s="134" t="n"/>
      <c r="O29" s="134" t="n"/>
      <c r="P29" s="134" t="n"/>
      <c r="Q29" s="134" t="n"/>
      <c r="R29" s="134" t="n"/>
      <c r="S29" s="134" t="n"/>
      <c r="T29" s="134" t="n"/>
      <c r="U29" s="134" t="n"/>
      <c r="V29" s="134" t="n"/>
      <c r="W29" s="134" t="n"/>
      <c r="X29" s="134" t="n"/>
      <c r="Y29" s="134" t="n"/>
      <c r="Z29" s="135" t="n"/>
      <c r="AA29" s="134" t="n"/>
      <c r="AB29" s="134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24.75" customFormat="1" customHeight="1" s="2">
      <c r="A30" s="302" t="n"/>
      <c r="B30" s="211" t="inlineStr">
        <is>
          <t>PMTS — Vouchers / FMR / UAP / NET</t>
        </is>
      </c>
      <c r="G30" s="365" t="n"/>
      <c r="H30" s="183" t="n"/>
      <c r="I30" s="183" t="n"/>
      <c r="J30" s="183" t="n"/>
      <c r="K30" s="302" t="n"/>
      <c r="L30" s="302" t="n"/>
      <c r="M30" s="302" t="n"/>
      <c r="N30" s="302" t="n"/>
      <c r="O30" s="302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15.95" customFormat="1" customHeight="1" s="2">
      <c r="A31" s="302" t="n"/>
      <c r="B31" s="226" t="n"/>
      <c r="C31" s="213" t="inlineStr">
        <is>
          <t>MKT</t>
        </is>
      </c>
      <c r="D31" s="213" t="inlineStr">
        <is>
          <t>VCH</t>
        </is>
      </c>
      <c r="E31" s="214" t="inlineStr">
        <is>
          <t>FMR</t>
        </is>
      </c>
      <c r="F31" s="215" t="inlineStr">
        <is>
          <t>UAP</t>
        </is>
      </c>
      <c r="G31" s="216" t="inlineStr">
        <is>
          <t>NET</t>
        </is>
      </c>
      <c r="H31" s="183" t="n"/>
      <c r="I31" s="183" t="n"/>
      <c r="J31" s="183" t="n"/>
      <c r="K31" s="302" t="n"/>
      <c r="L31" s="302" t="n"/>
      <c r="M31" s="302" t="n"/>
      <c r="N31" s="302" t="n"/>
      <c r="O31" s="302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24.75" customHeight="1" s="131">
      <c r="A32" s="369" t="n"/>
      <c r="B32" s="217" t="inlineStr">
        <is>
          <t>2BD</t>
        </is>
      </c>
      <c r="C32" s="197" t="n">
        <v>0</v>
      </c>
      <c r="D32" s="197" t="n">
        <v>0</v>
      </c>
      <c r="E32" s="198" t="n">
        <v>940</v>
      </c>
      <c r="F32" s="199" t="n">
        <v>154</v>
      </c>
      <c r="G32" s="218" t="n">
        <v>786</v>
      </c>
      <c r="H32" s="183" t="n"/>
      <c r="I32" s="183" t="n"/>
      <c r="J32" s="183" t="n"/>
      <c r="K32" s="302" t="n"/>
      <c r="L32" s="302" t="n"/>
      <c r="M32" s="302" t="n"/>
      <c r="N32" s="302" t="n"/>
      <c r="O32" s="343" t="n"/>
      <c r="P32" s="302" t="n"/>
      <c r="Q32" s="302" t="n"/>
      <c r="R32" s="302" t="n"/>
      <c r="S32" s="302" t="n"/>
      <c r="T32" s="302" t="n"/>
      <c r="U32" s="302" t="n"/>
      <c r="V32" s="302" t="n"/>
      <c r="W32" s="302" t="n"/>
      <c r="X32" s="302" t="n"/>
      <c r="Y32" s="302" t="n"/>
      <c r="Z32" s="302" t="n"/>
      <c r="AA32" s="353" t="n"/>
      <c r="AB32" s="302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24.75" customHeight="1" s="131">
      <c r="A33" s="382" t="n"/>
      <c r="B33" s="217" t="inlineStr">
        <is>
          <t>3BD</t>
        </is>
      </c>
      <c r="C33" s="197" t="n">
        <v>0</v>
      </c>
      <c r="D33" s="197" t="n">
        <v>0</v>
      </c>
      <c r="E33" s="198" t="n">
        <v>1240</v>
      </c>
      <c r="F33" s="199" t="n">
        <v>169</v>
      </c>
      <c r="G33" s="218" t="n">
        <v>1071</v>
      </c>
      <c r="H33" s="183" t="n"/>
      <c r="I33" s="183" t="n"/>
      <c r="J33" s="183" t="n"/>
      <c r="K33" s="302" t="n"/>
      <c r="L33" s="302" t="n"/>
      <c r="M33" s="302" t="n"/>
      <c r="N33" s="302" t="n"/>
      <c r="O33" s="343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24.75" customFormat="1" customHeight="1" s="2">
      <c r="A34" s="372" t="n"/>
      <c r="B34" s="217" t="inlineStr">
        <is>
          <t>4BD</t>
        </is>
      </c>
      <c r="C34" s="197" t="n">
        <v>0</v>
      </c>
      <c r="D34" s="197" t="n">
        <v>0</v>
      </c>
      <c r="E34" s="198" t="n">
        <v>1240</v>
      </c>
      <c r="F34" s="199" t="n">
        <v>214</v>
      </c>
      <c r="G34" s="218" t="n">
        <v>1026</v>
      </c>
      <c r="H34" s="183" t="n"/>
      <c r="I34" s="183" t="n"/>
      <c r="J34" s="183" t="n"/>
      <c r="K34" s="302" t="n"/>
      <c r="L34" s="302" t="n"/>
      <c r="M34" s="302" t="n"/>
      <c r="N34" s="302" t="n"/>
      <c r="O34" s="343" t="n"/>
      <c r="P34" s="302" t="n"/>
      <c r="Q34" s="302" t="n"/>
      <c r="R34" s="302" t="n"/>
      <c r="S34" s="302" t="n"/>
      <c r="T34" s="302" t="n"/>
      <c r="U34" s="302" t="n"/>
      <c r="V34" s="302" t="n"/>
      <c r="W34" s="302" t="n"/>
      <c r="X34" s="302" t="n"/>
      <c r="Y34" s="302" t="n"/>
      <c r="Z34" s="302" t="n"/>
      <c r="AA34" s="353" t="n"/>
      <c r="AB34" s="302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8.1" customFormat="1" customHeight="1" s="2">
      <c r="A35" s="372" t="n"/>
      <c r="B35" s="398" t="inlineStr">
        <is>
          <t>5BD</t>
        </is>
      </c>
      <c r="C35" s="389" t="n">
        <v>0</v>
      </c>
      <c r="D35" s="389" t="n">
        <v>0</v>
      </c>
      <c r="E35" s="390" t="n">
        <v>1426</v>
      </c>
      <c r="F35" s="411" t="n">
        <v>235</v>
      </c>
      <c r="G35" s="379" t="n">
        <v>1191</v>
      </c>
      <c r="H35" s="369" t="n"/>
      <c r="I35" s="369" t="n"/>
      <c r="J35" s="369" t="n"/>
      <c r="K35" s="369" t="n"/>
      <c r="L35" s="136" t="n"/>
      <c r="M35" s="136" t="n"/>
      <c r="N35" s="136" t="n"/>
      <c r="O35" s="136" t="n"/>
      <c r="P35" s="136" t="n"/>
      <c r="Q35" s="136" t="n"/>
      <c r="R35" s="136" t="n"/>
      <c r="S35" s="136" t="n"/>
      <c r="T35" s="136" t="n"/>
      <c r="U35" s="136" t="n"/>
      <c r="V35" s="136" t="n"/>
      <c r="W35" s="136" t="n"/>
      <c r="X35" s="136" t="n"/>
      <c r="Y35" s="136" t="n"/>
      <c r="Z35" s="136" t="n"/>
      <c r="AA35" s="136" t="n"/>
      <c r="AB35" s="136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8.1" customFormat="1" customHeight="1" s="2">
      <c r="A36" s="369" t="n"/>
      <c r="B36" s="371" t="n"/>
      <c r="C36" s="371" t="n"/>
      <c r="D36" s="371" t="n"/>
      <c r="E36" s="371" t="n"/>
      <c r="F36" s="371" t="n"/>
      <c r="G36" s="369" t="n"/>
      <c r="H36" s="369" t="n"/>
      <c r="I36" s="369" t="n"/>
      <c r="J36" s="369" t="n"/>
      <c r="K36" s="369" t="n"/>
      <c r="L36" s="134" t="n"/>
      <c r="M36" s="134" t="n"/>
      <c r="N36" s="134" t="n"/>
      <c r="O36" s="134" t="n"/>
      <c r="P36" s="134" t="n"/>
      <c r="Q36" s="134" t="n"/>
      <c r="R36" s="134" t="n"/>
      <c r="S36" s="134" t="n"/>
      <c r="T36" s="134" t="n"/>
      <c r="U36" s="134" t="n"/>
      <c r="V36" s="134" t="n"/>
      <c r="W36" s="134" t="n"/>
      <c r="X36" s="134" t="n"/>
      <c r="Y36" s="134" t="n"/>
      <c r="Z36" s="135" t="n"/>
      <c r="AA36" s="134" t="n"/>
      <c r="AB36" s="134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24.75" customFormat="1" customHeight="1" s="2">
      <c r="A37" s="302" t="n"/>
      <c r="B37" s="366" t="inlineStr">
        <is>
          <t>LIHTC, UAP, NET</t>
        </is>
      </c>
      <c r="C37" s="358" t="n"/>
      <c r="D37" s="358" t="n"/>
      <c r="E37" s="358" t="n"/>
      <c r="F37" s="358" t="n"/>
      <c r="G37" s="359" t="n"/>
      <c r="H37" s="183" t="n"/>
      <c r="I37" s="183" t="n"/>
      <c r="J37" s="183" t="n"/>
      <c r="K37" s="302" t="n"/>
      <c r="L37" s="302" t="n"/>
      <c r="M37" s="302" t="n"/>
      <c r="N37" s="302" t="n"/>
      <c r="O37" s="302" t="n"/>
      <c r="P37" s="302" t="n"/>
      <c r="Q37" s="302" t="n"/>
      <c r="R37" s="302" t="n"/>
      <c r="S37" s="302" t="n"/>
      <c r="T37" s="302" t="n"/>
      <c r="U37" s="302" t="n"/>
      <c r="V37" s="302" t="n"/>
      <c r="W37" s="302" t="n"/>
      <c r="X37" s="302" t="n"/>
      <c r="Y37" s="302" t="n"/>
      <c r="Z37" s="302" t="n"/>
      <c r="AA37" s="353" t="n"/>
      <c r="AB37" s="302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16.5" customFormat="1" customHeight="1" s="2">
      <c r="A38" s="372" t="n"/>
      <c r="B38" s="226" t="inlineStr">
        <is>
          <t>No LIHTC data available</t>
        </is>
      </c>
      <c r="C38" s="228" t="n"/>
      <c r="D38" s="228" t="n"/>
      <c r="E38" s="215" t="n"/>
      <c r="F38" s="216" t="n"/>
      <c r="G38" s="183" t="n"/>
      <c r="H38" s="183" t="n"/>
      <c r="I38" s="183" t="n"/>
      <c r="J38" s="183" t="n"/>
      <c r="K38" s="302" t="n"/>
      <c r="L38" s="302" t="n"/>
      <c r="M38" s="302" t="n"/>
      <c r="N38" s="302" t="n"/>
      <c r="O38" s="343" t="n"/>
      <c r="P38" s="302" t="n"/>
      <c r="Q38" s="302" t="n"/>
      <c r="R38" s="302" t="n"/>
      <c r="S38" s="302" t="n"/>
      <c r="T38" s="302" t="n"/>
      <c r="U38" s="302" t="n"/>
      <c r="V38" s="302" t="n"/>
      <c r="W38" s="302" t="n"/>
      <c r="X38" s="302" t="n"/>
      <c r="Y38" s="302" t="n"/>
      <c r="Z38" s="302" t="n"/>
      <c r="AA38" s="353" t="n"/>
      <c r="AB38" s="302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18" customFormat="1" customHeight="1" s="2">
      <c r="A39" s="372" t="n"/>
      <c r="B39" s="392" t="n"/>
      <c r="C39" s="392" t="n"/>
      <c r="D39" s="369" t="n"/>
      <c r="E39" s="369" t="n"/>
      <c r="F39" s="369" t="n"/>
      <c r="G39" s="369" t="n"/>
      <c r="H39" s="369" t="n"/>
      <c r="I39" s="369" t="n"/>
      <c r="J39" s="369" t="n"/>
      <c r="K39" s="369" t="n"/>
      <c r="L39" s="134" t="n"/>
      <c r="M39" s="134" t="n"/>
      <c r="N39" s="134" t="n"/>
      <c r="O39" s="134" t="n"/>
      <c r="P39" s="134" t="n"/>
      <c r="Q39" s="134" t="n"/>
      <c r="R39" s="134" t="n"/>
      <c r="S39" s="134" t="n"/>
      <c r="T39" s="134" t="n"/>
      <c r="U39" s="134" t="n"/>
      <c r="V39" s="134" t="n"/>
      <c r="W39" s="134" t="n"/>
      <c r="X39" s="134" t="n"/>
      <c r="Y39" s="134" t="n"/>
      <c r="Z39" s="135" t="n"/>
      <c r="AA39" s="134" t="n"/>
      <c r="AB39" s="134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ht="24.75" customHeight="1" s="131">
      <c r="A40" s="302" t="n"/>
      <c r="B40" s="207" t="inlineStr">
        <is>
          <t>HAP, CoStar, NET</t>
        </is>
      </c>
      <c r="H40" s="183" t="n"/>
      <c r="I40" s="183" t="n"/>
      <c r="J40" s="183" t="n"/>
      <c r="K40" s="302" t="n"/>
      <c r="L40" s="302" t="n"/>
      <c r="M40" s="302" t="n"/>
      <c r="N40" s="302" t="n"/>
      <c r="O40" s="302" t="n"/>
      <c r="P40" s="302" t="n"/>
      <c r="Q40" s="302" t="n"/>
      <c r="R40" s="302" t="n"/>
      <c r="S40" s="302" t="n"/>
      <c r="T40" s="302" t="n"/>
      <c r="U40" s="302" t="n"/>
      <c r="V40" s="302" t="n"/>
      <c r="W40" s="302" t="n"/>
      <c r="X40" s="302" t="n"/>
      <c r="Y40" s="302" t="n"/>
      <c r="Z40" s="302" t="n"/>
      <c r="AA40" s="353" t="n"/>
      <c r="AB40" s="302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ht="15.95" customHeight="1" s="131">
      <c r="A41" s="302" t="n"/>
      <c r="B41" s="227" t="n"/>
      <c r="C41" s="208" t="inlineStr">
        <is>
          <t>HAP</t>
        </is>
      </c>
      <c r="D41" s="209" t="inlineStr">
        <is>
          <t>CoStar</t>
        </is>
      </c>
      <c r="E41" s="302" t="n"/>
      <c r="F41" s="302" t="n"/>
      <c r="G41" s="302" t="n"/>
      <c r="H41" s="183" t="n"/>
      <c r="I41" s="183" t="n"/>
      <c r="J41" s="183" t="n"/>
      <c r="K41" s="302" t="n"/>
      <c r="L41" s="302" t="n"/>
      <c r="M41" s="302" t="n"/>
      <c r="N41" s="302" t="n"/>
      <c r="O41" s="302" t="n"/>
      <c r="P41" s="302" t="n"/>
      <c r="Q41" s="302" t="n"/>
      <c r="R41" s="302" t="n"/>
      <c r="S41" s="302" t="n"/>
      <c r="T41" s="302" t="n"/>
      <c r="U41" s="302" t="n"/>
      <c r="V41" s="302" t="n"/>
      <c r="W41" s="302" t="n"/>
      <c r="X41" s="302" t="n"/>
      <c r="Y41" s="302" t="n"/>
      <c r="Z41" s="302" t="n"/>
      <c r="AA41" s="353" t="n"/>
      <c r="AB41" s="302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ht="24.75" customHeight="1" s="131">
      <c r="A42" s="302" t="n"/>
      <c r="B42" s="196" t="inlineStr">
        <is>
          <t>2BD</t>
        </is>
      </c>
      <c r="C42" s="199" t="n">
        <v>885</v>
      </c>
      <c r="D42" s="198" t="n">
        <v>826</v>
      </c>
      <c r="E42" s="183" t="n"/>
      <c r="F42" s="183" t="n"/>
      <c r="G42" s="183" t="n"/>
      <c r="H42" s="183" t="n"/>
      <c r="I42" s="183" t="n"/>
      <c r="J42" s="183" t="n"/>
      <c r="K42" s="302" t="n"/>
      <c r="L42" s="302" t="n"/>
      <c r="M42" s="302" t="n"/>
      <c r="N42" s="302" t="n"/>
      <c r="O42" s="302" t="n"/>
      <c r="P42" s="302" t="n"/>
      <c r="Q42" s="302" t="n"/>
      <c r="R42" s="302" t="n"/>
      <c r="S42" s="302" t="n"/>
      <c r="T42" s="302" t="n"/>
      <c r="U42" s="302" t="n"/>
      <c r="V42" s="302" t="n"/>
      <c r="W42" s="302" t="n"/>
      <c r="X42" s="302" t="n"/>
      <c r="Y42" s="302" t="n"/>
      <c r="Z42" s="302" t="n"/>
      <c r="AA42" s="353" t="n"/>
      <c r="AB42" s="302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ht="24.75" customHeight="1" s="131">
      <c r="A43" s="302" t="n"/>
      <c r="B43" s="196" t="inlineStr">
        <is>
          <t>3BD</t>
        </is>
      </c>
      <c r="C43" s="199" t="n">
        <v>1015</v>
      </c>
      <c r="D43" s="198" t="n">
        <v>895</v>
      </c>
      <c r="E43" s="183" t="n"/>
      <c r="F43" s="183" t="n"/>
      <c r="G43" s="183" t="n"/>
      <c r="H43" s="183" t="n"/>
      <c r="I43" s="183" t="n"/>
      <c r="J43" s="183" t="n"/>
      <c r="K43" s="302" t="n"/>
      <c r="L43" s="302" t="n"/>
      <c r="M43" s="302" t="n"/>
      <c r="N43" s="302" t="n"/>
      <c r="O43" s="302" t="n"/>
      <c r="P43" s="302" t="n"/>
      <c r="Q43" s="302" t="n"/>
      <c r="R43" s="302" t="n"/>
      <c r="S43" s="302" t="n"/>
      <c r="T43" s="302" t="n"/>
      <c r="U43" s="302" t="n"/>
      <c r="V43" s="302" t="n"/>
      <c r="W43" s="302" t="n"/>
      <c r="X43" s="302" t="n"/>
      <c r="Y43" s="302" t="n"/>
      <c r="Z43" s="302" t="n"/>
      <c r="AA43" s="353" t="n"/>
      <c r="AB43" s="302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ht="24.75" customHeight="1" s="131">
      <c r="A44" s="302" t="n"/>
      <c r="B44" s="196" t="inlineStr">
        <is>
          <t>4BD</t>
        </is>
      </c>
      <c r="C44" s="199" t="n">
        <v>1085</v>
      </c>
      <c r="D44" s="198" t="n">
        <v>1131</v>
      </c>
      <c r="E44" s="183" t="n"/>
      <c r="F44" s="183" t="n"/>
      <c r="G44" s="183" t="n"/>
      <c r="H44" s="183" t="n"/>
      <c r="I44" s="183" t="n"/>
      <c r="J44" s="183" t="n"/>
      <c r="K44" s="302" t="n"/>
      <c r="L44" s="302" t="n"/>
      <c r="M44" s="302" t="n"/>
      <c r="N44" s="302" t="n"/>
      <c r="O44" s="302" t="n"/>
      <c r="P44" s="302" t="n"/>
      <c r="Q44" s="302" t="n"/>
      <c r="R44" s="302" t="n"/>
      <c r="S44" s="302" t="n"/>
      <c r="T44" s="302" t="n"/>
      <c r="U44" s="302" t="n"/>
      <c r="V44" s="302" t="n"/>
      <c r="W44" s="302" t="n"/>
      <c r="X44" s="302" t="n"/>
      <c r="Y44" s="302" t="n"/>
      <c r="Z44" s="302" t="n"/>
      <c r="AA44" s="353" t="n"/>
      <c r="AB44" s="302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ht="24.75" customHeight="1" s="131">
      <c r="A45" s="369" t="n"/>
      <c r="B45" s="422" t="inlineStr">
        <is>
          <t>5BD</t>
        </is>
      </c>
      <c r="C45" s="411" t="n">
        <v>1180</v>
      </c>
      <c r="D45" s="397" t="n">
        <v>1474</v>
      </c>
      <c r="E45" s="369" t="n"/>
      <c r="F45" s="369" t="n"/>
      <c r="G45" s="369" t="n"/>
      <c r="H45" s="369" t="n"/>
      <c r="I45" s="369" t="n"/>
      <c r="J45" s="369" t="n"/>
      <c r="K45" s="369" t="n"/>
      <c r="L45" s="136" t="n"/>
      <c r="M45" s="136" t="n"/>
      <c r="N45" s="136" t="n"/>
      <c r="O45" s="136" t="n"/>
      <c r="P45" s="136" t="n"/>
      <c r="Q45" s="136" t="n"/>
      <c r="R45" s="136" t="n"/>
      <c r="S45" s="136" t="n"/>
      <c r="T45" s="136" t="n"/>
      <c r="U45" s="136" t="n"/>
      <c r="V45" s="136" t="n"/>
      <c r="W45" s="136" t="n"/>
      <c r="X45" s="136" t="n"/>
      <c r="Y45" s="136" t="n"/>
      <c r="Z45" s="136" t="n"/>
      <c r="AA45" s="136" t="n"/>
      <c r="AB45" s="136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s="131">
      <c r="A46" s="369" t="n"/>
      <c r="B46" s="369" t="n"/>
      <c r="C46" s="369" t="n"/>
      <c r="D46" s="369" t="n"/>
      <c r="E46" s="369" t="n"/>
      <c r="F46" s="369" t="n"/>
      <c r="G46" s="369" t="n"/>
      <c r="H46" s="369" t="n"/>
      <c r="I46" s="369" t="n"/>
      <c r="J46" s="369" t="n"/>
      <c r="K46" s="369" t="n"/>
      <c r="L46" s="136" t="n"/>
      <c r="M46" s="136" t="n"/>
      <c r="N46" s="136" t="n"/>
      <c r="O46" s="136" t="n"/>
      <c r="P46" s="136" t="n"/>
      <c r="Q46" s="136" t="n"/>
      <c r="R46" s="136" t="n"/>
      <c r="S46" s="136" t="n"/>
      <c r="T46" s="136" t="n"/>
      <c r="U46" s="136" t="n"/>
      <c r="V46" s="136" t="n"/>
      <c r="W46" s="136" t="n"/>
      <c r="X46" s="136" t="n"/>
      <c r="Y46" s="136" t="n"/>
      <c r="Z46" s="136" t="n"/>
      <c r="AA46" s="136" t="n"/>
      <c r="AB46" s="136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s="131">
      <c r="A47" s="369" t="n"/>
      <c r="B47" s="369" t="n"/>
      <c r="C47" s="369" t="n"/>
      <c r="D47" s="369" t="n"/>
      <c r="E47" s="369" t="n"/>
      <c r="F47" s="369" t="n"/>
      <c r="G47" s="369" t="n"/>
      <c r="H47" s="369" t="n"/>
      <c r="I47" s="369" t="n"/>
      <c r="J47" s="369" t="n"/>
      <c r="K47" s="369" t="n"/>
      <c r="L47" s="136" t="n"/>
      <c r="M47" s="136" t="n"/>
      <c r="N47" s="136" t="n"/>
      <c r="O47" s="136" t="n"/>
      <c r="P47" s="136" t="n"/>
      <c r="Q47" s="136" t="n"/>
      <c r="R47" s="136" t="n"/>
      <c r="S47" s="136" t="n"/>
      <c r="T47" s="136" t="n"/>
      <c r="U47" s="136" t="n"/>
      <c r="V47" s="136" t="n"/>
      <c r="W47" s="136" t="n"/>
      <c r="X47" s="136" t="n"/>
      <c r="Y47" s="136" t="n"/>
      <c r="Z47" s="136" t="n"/>
      <c r="AA47" s="136" t="n"/>
      <c r="AB47" s="136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s="131">
      <c r="A48" s="369" t="n"/>
      <c r="B48" s="369" t="n"/>
      <c r="C48" s="369" t="n"/>
      <c r="D48" s="369" t="n"/>
      <c r="E48" s="369" t="n"/>
      <c r="F48" s="369" t="n"/>
      <c r="G48" s="369" t="n"/>
      <c r="H48" s="369" t="n"/>
      <c r="I48" s="369" t="n"/>
      <c r="J48" s="369" t="n"/>
      <c r="K48" s="369" t="n"/>
      <c r="L48" s="136" t="n"/>
      <c r="M48" s="136" t="n"/>
      <c r="N48" s="136" t="n"/>
      <c r="O48" s="136" t="n"/>
      <c r="P48" s="136" t="n"/>
      <c r="Q48" s="136" t="n"/>
      <c r="R48" s="136" t="n"/>
      <c r="S48" s="136" t="n"/>
      <c r="T48" s="136" t="n"/>
      <c r="U48" s="136" t="n"/>
      <c r="V48" s="136" t="n"/>
      <c r="W48" s="136" t="n"/>
      <c r="X48" s="136" t="n"/>
      <c r="Y48" s="136" t="n"/>
      <c r="Z48" s="136" t="n"/>
      <c r="AA48" s="136" t="n"/>
      <c r="AB48" s="136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s="131">
      <c r="A49" s="369" t="n"/>
      <c r="B49" s="369" t="n"/>
      <c r="C49" s="369" t="n"/>
      <c r="D49" s="369" t="n"/>
      <c r="E49" s="369" t="n"/>
      <c r="F49" s="369" t="n"/>
      <c r="G49" s="369" t="n"/>
      <c r="H49" s="369" t="n"/>
      <c r="I49" s="369" t="n"/>
      <c r="J49" s="369" t="n"/>
      <c r="K49" s="369" t="n"/>
      <c r="L49" s="136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6" t="n"/>
      <c r="Y49" s="136" t="n"/>
      <c r="Z49" s="136" t="n"/>
      <c r="AA49" s="136" t="n"/>
      <c r="AB49" s="136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s="131">
      <c r="A50" s="369" t="n"/>
      <c r="B50" s="369" t="n"/>
      <c r="C50" s="369" t="n"/>
      <c r="D50" s="369" t="n"/>
      <c r="E50" s="369" t="n"/>
      <c r="F50" s="369" t="n"/>
      <c r="G50" s="369" t="n"/>
      <c r="H50" s="369" t="n"/>
      <c r="I50" s="369" t="n"/>
      <c r="J50" s="369" t="n"/>
      <c r="K50" s="369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</sheetData>
  <mergeCells count="9">
    <mergeCell ref="B4:AB4"/>
    <mergeCell ref="B22:G22"/>
    <mergeCell ref="B37:G37"/>
    <mergeCell ref="B23:G23"/>
    <mergeCell ref="B20:I20"/>
    <mergeCell ref="B2:AB2"/>
    <mergeCell ref="B40:G40"/>
    <mergeCell ref="B3:AB3"/>
    <mergeCell ref="B30:G30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W51"/>
  <sheetViews>
    <sheetView workbookViewId="0">
      <selection activeCell="F8" sqref="F8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CUMBERLAND | GREEN = Affordable Comps | BLUE = Market Rate Comps</t>
        </is>
      </c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Cumberland | 100 Cumberland Drive, Crystal Springs, MS 39059 | 68 units | Program: Section 8/HUD | Bedroom Mix: 1BR / 2BR / 3BR / 4BR | County AMI: $55,800 | FMR Area: Copiah County, MS</t>
        </is>
      </c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1BD 50% AMI ($)</t>
        </is>
      </c>
      <c r="J6" s="280" t="inlineStr">
        <is>
          <t>1BD 60% AMI ($)</t>
        </is>
      </c>
      <c r="K6" s="280" t="inlineStr">
        <is>
          <t>1BR FMR ($)</t>
        </is>
      </c>
      <c r="L6" s="335" t="inlineStr">
        <is>
          <t>1BR Actual ($)</t>
        </is>
      </c>
      <c r="M6" s="281" t="inlineStr">
        <is>
          <t>2BD 50% AMI ($)</t>
        </is>
      </c>
      <c r="N6" s="280" t="inlineStr">
        <is>
          <t>2BD 60% AMI ($)</t>
        </is>
      </c>
      <c r="O6" s="280" t="inlineStr">
        <is>
          <t>2BR FMR ($)</t>
        </is>
      </c>
      <c r="P6" s="335" t="inlineStr">
        <is>
          <t>2BR Actual ($)</t>
        </is>
      </c>
      <c r="Q6" s="281" t="inlineStr">
        <is>
          <t>3BD 50% AMI ($)</t>
        </is>
      </c>
      <c r="R6" s="280" t="inlineStr">
        <is>
          <t>3BD 60% AMI ($)</t>
        </is>
      </c>
      <c r="S6" s="280" t="inlineStr">
        <is>
          <t>3BR FMR ($)</t>
        </is>
      </c>
      <c r="T6" s="339" t="inlineStr">
        <is>
          <t>3BR Actual ($)</t>
        </is>
      </c>
      <c r="U6" s="339" t="inlineStr">
        <is>
          <t>4BD 50% AMI ($)</t>
        </is>
      </c>
      <c r="V6" s="339" t="inlineStr">
        <is>
          <t>4BD 60% AMI ($)</t>
        </is>
      </c>
      <c r="W6" s="339" t="inlineStr">
        <is>
          <t>4BR FMR ($)</t>
        </is>
      </c>
      <c r="X6" s="339" t="inlineStr">
        <is>
          <t>4BR Actual ($)</t>
        </is>
      </c>
      <c r="Y6" s="339" t="inlineStr">
        <is>
          <t># Units</t>
        </is>
      </c>
      <c r="Z6" s="336" t="inlineStr">
        <is>
          <t>Year Built</t>
        </is>
      </c>
      <c r="AA6" s="340" t="inlineStr">
        <is>
          <t>Yr Diff</t>
        </is>
      </c>
      <c r="AB6" s="342" t="inlineStr">
        <is>
          <t>Utilities Incl.</t>
        </is>
      </c>
      <c r="AC6" s="136" t="inlineStr">
        <is>
          <t>Pet Friendly</t>
        </is>
      </c>
      <c r="AD6" s="136" t="inlineStr">
        <is>
          <t>Gated</t>
        </is>
      </c>
      <c r="AE6" s="136" t="inlineStr">
        <is>
          <t>Pool</t>
        </is>
      </c>
      <c r="AF6" s="136" t="inlineStr">
        <is>
          <t>W/D In-Unit</t>
        </is>
      </c>
      <c r="AG6" s="136" t="inlineStr">
        <is>
          <t>Competition Level</t>
        </is>
      </c>
      <c r="AH6" s="136" t="inlineStr">
        <is>
          <t>Why Competitive</t>
        </is>
      </c>
      <c r="AI6" s="136" t="inlineStr">
        <is>
          <t>Data Source</t>
        </is>
      </c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Cumberland (SUBJECT)</t>
        </is>
      </c>
      <c r="D7" s="174" t="inlineStr">
        <is>
          <t>100 Cumberland Drive</t>
        </is>
      </c>
      <c r="E7" s="174" t="inlineStr">
        <is>
          <t>Crystal Springs</t>
        </is>
      </c>
      <c r="F7" s="174" t="inlineStr">
        <is>
          <t>MS</t>
        </is>
      </c>
      <c r="G7" s="174" t="inlineStr">
        <is>
          <t>39059</t>
        </is>
      </c>
      <c r="H7" s="174" t="inlineStr">
        <is>
          <t>0.0 mi</t>
        </is>
      </c>
      <c r="I7" s="174" t="inlineStr">
        <is>
          <t>$2,160</t>
        </is>
      </c>
      <c r="J7" s="174" t="inlineStr">
        <is>
          <t>$2,592</t>
        </is>
      </c>
      <c r="K7" s="174" t="inlineStr">
        <is>
          <t>$642</t>
        </is>
      </c>
      <c r="L7" s="368">
        <f>B26</f>
        <v/>
      </c>
      <c r="M7" s="174" t="inlineStr">
        <is>
          <t>$2,591</t>
        </is>
      </c>
      <c r="N7" s="174" t="inlineStr">
        <is>
          <t>$3,110</t>
        </is>
      </c>
      <c r="O7" s="174" t="inlineStr">
        <is>
          <t>$880</t>
        </is>
      </c>
      <c r="P7" s="368">
        <f>B27</f>
        <v/>
      </c>
      <c r="Q7" s="174" t="inlineStr">
        <is>
          <t>$2,879</t>
        </is>
      </c>
      <c r="R7" s="174" t="inlineStr">
        <is>
          <t>$3,455</t>
        </is>
      </c>
      <c r="S7" s="174" t="inlineStr">
        <is>
          <t>$1,100</t>
        </is>
      </c>
      <c r="T7" s="368">
        <f>B28</f>
        <v/>
      </c>
      <c r="U7" s="174" t="inlineStr">
        <is>
          <t>$3,112</t>
        </is>
      </c>
      <c r="V7" s="174" t="inlineStr">
        <is>
          <t>$3,735</t>
        </is>
      </c>
      <c r="W7" s="174" t="inlineStr">
        <is>
          <t>$1,272</t>
        </is>
      </c>
      <c r="X7" s="174" t="inlineStr">
        <is>
          <t>N/A</t>
        </is>
      </c>
      <c r="Y7" s="42" t="inlineStr">
        <is>
          <t>68</t>
        </is>
      </c>
      <c r="Z7" s="55" t="inlineStr">
        <is>
          <t>1985</t>
        </is>
      </c>
      <c r="AA7" s="40" t="inlineStr">
        <is>
          <t>0</t>
        </is>
      </c>
      <c r="AB7" s="136" t="inlineStr">
        <is>
          <t>Yes</t>
        </is>
      </c>
      <c r="AC7" s="136" t="inlineStr">
        <is>
          <t>No</t>
        </is>
      </c>
      <c r="AD7" s="136" t="inlineStr">
        <is>
          <t>No</t>
        </is>
      </c>
      <c r="AE7" s="136" t="inlineStr">
        <is>
          <t>No</t>
        </is>
      </c>
      <c r="AF7" s="136" t="inlineStr">
        <is>
          <t>No</t>
        </is>
      </c>
      <c r="AG7" s="136" t="inlineStr">
        <is>
          <t>SUBJECT</t>
        </is>
      </c>
      <c r="AH7" s="136" t="inlineStr">
        <is>
          <t>68 units | Section 8/HUD property. Year built: 1985. Subject property for market context.</t>
        </is>
      </c>
      <c r="AI7" s="136" t="inlineStr">
        <is>
          <t>Apartment Corp Records</t>
        </is>
      </c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Indian Creek Phase Ii</t>
        </is>
      </c>
      <c r="D8" s="59" t="inlineStr">
        <is>
          <t>150 Hwy 469 N</t>
        </is>
      </c>
      <c r="E8" s="59" t="inlineStr">
        <is>
          <t>Florence</t>
        </is>
      </c>
      <c r="F8" s="59" t="inlineStr">
        <is>
          <t>MS</t>
        </is>
      </c>
      <c r="G8" s="59" t="inlineStr">
        <is>
          <t>39073</t>
        </is>
      </c>
      <c r="H8" s="59" t="inlineStr">
        <is>
          <t>18.4 mi</t>
        </is>
      </c>
      <c r="I8" s="59" t="inlineStr">
        <is>
          <t>$2,160</t>
        </is>
      </c>
      <c r="J8" s="59" t="inlineStr">
        <is>
          <t>$2,592</t>
        </is>
      </c>
      <c r="K8" s="41" t="inlineStr">
        <is>
          <t>$642</t>
        </is>
      </c>
      <c r="L8" s="53" t="inlineStr">
        <is>
          <t>Not Listed</t>
        </is>
      </c>
      <c r="M8" s="43" t="inlineStr">
        <is>
          <t>$2,591</t>
        </is>
      </c>
      <c r="N8" s="43" t="inlineStr">
        <is>
          <t>$3,110</t>
        </is>
      </c>
      <c r="O8" s="41" t="inlineStr">
        <is>
          <t>$880</t>
        </is>
      </c>
      <c r="P8" s="53" t="inlineStr">
        <is>
          <t>Not Listed</t>
        </is>
      </c>
      <c r="Q8" s="43" t="inlineStr">
        <is>
          <t>$2,879</t>
        </is>
      </c>
      <c r="R8" s="43" t="inlineStr">
        <is>
          <t>$3,455</t>
        </is>
      </c>
      <c r="S8" s="43" t="inlineStr">
        <is>
          <t>$1,100</t>
        </is>
      </c>
      <c r="T8" s="43" t="inlineStr">
        <is>
          <t>Not Listed</t>
        </is>
      </c>
      <c r="U8" s="43" t="inlineStr">
        <is>
          <t>$3,112</t>
        </is>
      </c>
      <c r="V8" s="43" t="inlineStr">
        <is>
          <t>$3,735</t>
        </is>
      </c>
      <c r="W8" s="43" t="inlineStr">
        <is>
          <t>$1,272</t>
        </is>
      </c>
      <c r="X8" s="43" t="inlineStr">
        <is>
          <t>Not Listed</t>
        </is>
      </c>
      <c r="Y8" s="44" t="inlineStr">
        <is>
          <t>32</t>
        </is>
      </c>
      <c r="Z8" s="56" t="inlineStr">
        <is>
          <t>1987</t>
        </is>
      </c>
      <c r="AA8" s="43" t="inlineStr">
        <is>
          <t>2</t>
        </is>
      </c>
      <c r="AB8" s="136" t="inlineStr">
        <is>
          <t>Yes</t>
        </is>
      </c>
      <c r="AC8" s="136" t="inlineStr">
        <is>
          <t>No</t>
        </is>
      </c>
      <c r="AD8" s="136" t="inlineStr">
        <is>
          <t>No</t>
        </is>
      </c>
      <c r="AE8" s="136" t="inlineStr">
        <is>
          <t>No</t>
        </is>
      </c>
      <c r="AF8" s="136" t="inlineStr">
        <is>
          <t>No</t>
        </is>
      </c>
      <c r="AG8" s="136" t="inlineStr">
        <is>
          <t>MODERATE-HIGH</t>
        </is>
      </c>
      <c r="AH8" s="136" t="inlineStr">
        <is>
          <t>Affordable Comp #1: LIHTC property, 1987 vintage (2 yr diff), 32 units, 18.4 mi from subject. Same income-eligible renter pool.</t>
        </is>
      </c>
      <c r="AI8" s="136" t="inlineStr">
        <is>
          <t>HUD LIHTC Database (huduser.gov)</t>
        </is>
      </c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Towncreek Apts</t>
        </is>
      </c>
      <c r="D9" s="125" t="inlineStr">
        <is>
          <t>Red Dog Rd</t>
        </is>
      </c>
      <c r="E9" s="125" t="inlineStr">
        <is>
          <t>Carthage</t>
        </is>
      </c>
      <c r="F9" s="125" t="inlineStr">
        <is>
          <t>MS</t>
        </is>
      </c>
      <c r="G9" s="125" t="n"/>
      <c r="H9" s="125" t="inlineStr">
        <is>
          <t>N/A</t>
        </is>
      </c>
      <c r="I9" s="125" t="inlineStr">
        <is>
          <t>$2,160</t>
        </is>
      </c>
      <c r="J9" s="125" t="inlineStr">
        <is>
          <t>$2,592</t>
        </is>
      </c>
      <c r="K9" s="85" t="inlineStr">
        <is>
          <t>$642</t>
        </is>
      </c>
      <c r="L9" s="86" t="inlineStr">
        <is>
          <t>Not Listed</t>
        </is>
      </c>
      <c r="M9" s="128" t="inlineStr">
        <is>
          <t>$2,591</t>
        </is>
      </c>
      <c r="N9" s="128" t="inlineStr">
        <is>
          <t>$3,110</t>
        </is>
      </c>
      <c r="O9" s="85" t="inlineStr">
        <is>
          <t>$880</t>
        </is>
      </c>
      <c r="P9" s="86" t="inlineStr">
        <is>
          <t>Not Listed</t>
        </is>
      </c>
      <c r="Q9" s="128" t="inlineStr">
        <is>
          <t>$2,879</t>
        </is>
      </c>
      <c r="R9" s="128" t="inlineStr">
        <is>
          <t>$3,455</t>
        </is>
      </c>
      <c r="S9" s="128" t="inlineStr">
        <is>
          <t>$1,100</t>
        </is>
      </c>
      <c r="T9" s="128" t="inlineStr">
        <is>
          <t>Not Listed</t>
        </is>
      </c>
      <c r="U9" s="128" t="inlineStr">
        <is>
          <t>$3,112</t>
        </is>
      </c>
      <c r="V9" s="128" t="inlineStr">
        <is>
          <t>$3,735</t>
        </is>
      </c>
      <c r="W9" s="128" t="inlineStr">
        <is>
          <t>$1,272</t>
        </is>
      </c>
      <c r="X9" s="128" t="inlineStr">
        <is>
          <t>Not Listed</t>
        </is>
      </c>
      <c r="Y9" s="129" t="inlineStr">
        <is>
          <t>52</t>
        </is>
      </c>
      <c r="Z9" s="130" t="inlineStr">
        <is>
          <t>1988</t>
        </is>
      </c>
      <c r="AA9" s="128" t="inlineStr">
        <is>
          <t>3</t>
        </is>
      </c>
      <c r="AB9" s="136" t="inlineStr">
        <is>
          <t>Yes</t>
        </is>
      </c>
      <c r="AC9" s="136" t="inlineStr">
        <is>
          <t>No</t>
        </is>
      </c>
      <c r="AD9" s="136" t="inlineStr">
        <is>
          <t>No</t>
        </is>
      </c>
      <c r="AE9" s="136" t="inlineStr">
        <is>
          <t>No</t>
        </is>
      </c>
      <c r="AF9" s="136" t="inlineStr">
        <is>
          <t>No</t>
        </is>
      </c>
      <c r="AG9" s="136" t="inlineStr">
        <is>
          <t>MODERATE</t>
        </is>
      </c>
      <c r="AH9" s="136" t="inlineStr">
        <is>
          <t>Affordable Comp #2: LIHTC property, 1988 vintage (3 yr diff), 52 units, N/A from subject. Same income-eligible renter pool.</t>
        </is>
      </c>
      <c r="AI9" s="136" t="inlineStr">
        <is>
          <t>HUD LIHTC Database (huduser.gov)</t>
        </is>
      </c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Bloom Street Apts</t>
        </is>
      </c>
      <c r="D10" s="107" t="inlineStr">
        <is>
          <t>515 Bloom St</t>
        </is>
      </c>
      <c r="E10" s="107" t="inlineStr">
        <is>
          <t>Jackson</t>
        </is>
      </c>
      <c r="F10" s="107" t="inlineStr">
        <is>
          <t>MS</t>
        </is>
      </c>
      <c r="G10" s="107" t="inlineStr">
        <is>
          <t>39202</t>
        </is>
      </c>
      <c r="H10" s="107" t="inlineStr">
        <is>
          <t>24.2 mi</t>
        </is>
      </c>
      <c r="I10" s="107" t="inlineStr">
        <is>
          <t>$2,160</t>
        </is>
      </c>
      <c r="J10" s="107" t="inlineStr">
        <is>
          <t>$2,592</t>
        </is>
      </c>
      <c r="K10" s="80" t="inlineStr">
        <is>
          <t>$642</t>
        </is>
      </c>
      <c r="L10" s="81" t="inlineStr">
        <is>
          <t>Not Listed</t>
        </is>
      </c>
      <c r="M10" s="108" t="inlineStr">
        <is>
          <t>$2,591</t>
        </is>
      </c>
      <c r="N10" s="108" t="inlineStr">
        <is>
          <t>$3,110</t>
        </is>
      </c>
      <c r="O10" s="80" t="inlineStr">
        <is>
          <t>$880</t>
        </is>
      </c>
      <c r="P10" s="81" t="inlineStr">
        <is>
          <t>Not Listed</t>
        </is>
      </c>
      <c r="Q10" s="108" t="inlineStr">
        <is>
          <t>$2,879</t>
        </is>
      </c>
      <c r="R10" s="108" t="inlineStr">
        <is>
          <t>$3,455</t>
        </is>
      </c>
      <c r="S10" s="108" t="inlineStr">
        <is>
          <t>$1,100</t>
        </is>
      </c>
      <c r="T10" s="108" t="inlineStr">
        <is>
          <t>Not Listed</t>
        </is>
      </c>
      <c r="U10" s="108" t="inlineStr">
        <is>
          <t>$3,112</t>
        </is>
      </c>
      <c r="V10" s="108" t="inlineStr">
        <is>
          <t>$3,735</t>
        </is>
      </c>
      <c r="W10" s="108" t="inlineStr">
        <is>
          <t>$1,272</t>
        </is>
      </c>
      <c r="X10" s="108" t="inlineStr">
        <is>
          <t>Not Listed</t>
        </is>
      </c>
      <c r="Y10" s="109" t="inlineStr">
        <is>
          <t>24</t>
        </is>
      </c>
      <c r="Z10" s="110" t="inlineStr">
        <is>
          <t>1987</t>
        </is>
      </c>
      <c r="AA10" s="111" t="inlineStr">
        <is>
          <t>2</t>
        </is>
      </c>
      <c r="AB10" s="134" t="inlineStr">
        <is>
          <t>Yes</t>
        </is>
      </c>
      <c r="AC10" s="136" t="inlineStr">
        <is>
          <t>No</t>
        </is>
      </c>
      <c r="AD10" s="136" t="inlineStr">
        <is>
          <t>No</t>
        </is>
      </c>
      <c r="AE10" s="136" t="inlineStr">
        <is>
          <t>No</t>
        </is>
      </c>
      <c r="AF10" s="136" t="inlineStr">
        <is>
          <t>No</t>
        </is>
      </c>
      <c r="AG10" s="136" t="inlineStr">
        <is>
          <t>MODERATE-HIGH</t>
        </is>
      </c>
      <c r="AH10" s="136" t="inlineStr">
        <is>
          <t>Affordable Comp #3: LIHTC property, 1987 vintage (2 yr diff), 24 units, 24.2 mi from subject. Same income-eligible renter pool.</t>
        </is>
      </c>
      <c r="AI10" s="136" t="inlineStr">
        <is>
          <t>HUD LIHTC Database (huduser.gov)</t>
        </is>
      </c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Sandstone Apts</t>
        </is>
      </c>
      <c r="D11" s="95" t="inlineStr">
        <is>
          <t>607 Wallace Dr</t>
        </is>
      </c>
      <c r="E11" s="95" t="inlineStr">
        <is>
          <t>Edwards</t>
        </is>
      </c>
      <c r="F11" s="95" t="inlineStr">
        <is>
          <t>MS</t>
        </is>
      </c>
      <c r="G11" s="95" t="inlineStr">
        <is>
          <t>39066</t>
        </is>
      </c>
      <c r="H11" s="95" t="inlineStr">
        <is>
          <t>28.2 mi</t>
        </is>
      </c>
      <c r="I11" s="95" t="inlineStr">
        <is>
          <t>$2,160</t>
        </is>
      </c>
      <c r="J11" s="95" t="inlineStr">
        <is>
          <t>$2,592</t>
        </is>
      </c>
      <c r="K11" s="39" t="inlineStr">
        <is>
          <t>$642</t>
        </is>
      </c>
      <c r="L11" s="53" t="inlineStr">
        <is>
          <t>Not Listed</t>
        </is>
      </c>
      <c r="M11" s="96" t="inlineStr">
        <is>
          <t>$2,591</t>
        </is>
      </c>
      <c r="N11" s="96" t="inlineStr">
        <is>
          <t>$3,110</t>
        </is>
      </c>
      <c r="O11" s="39" t="inlineStr">
        <is>
          <t>$880</t>
        </is>
      </c>
      <c r="P11" s="53" t="inlineStr">
        <is>
          <t>Not Listed</t>
        </is>
      </c>
      <c r="Q11" s="96" t="inlineStr">
        <is>
          <t>$2,879</t>
        </is>
      </c>
      <c r="R11" s="96" t="inlineStr">
        <is>
          <t>$3,455</t>
        </is>
      </c>
      <c r="S11" s="96" t="inlineStr">
        <is>
          <t>$1,100</t>
        </is>
      </c>
      <c r="T11" s="96" t="inlineStr">
        <is>
          <t>Not Listed</t>
        </is>
      </c>
      <c r="U11" s="96" t="inlineStr">
        <is>
          <t>$3,112</t>
        </is>
      </c>
      <c r="V11" s="96" t="inlineStr">
        <is>
          <t>$3,735</t>
        </is>
      </c>
      <c r="W11" s="96" t="inlineStr">
        <is>
          <t>$1,272</t>
        </is>
      </c>
      <c r="X11" s="96" t="inlineStr">
        <is>
          <t>Not Listed</t>
        </is>
      </c>
      <c r="Y11" s="45" t="inlineStr">
        <is>
          <t>24</t>
        </is>
      </c>
      <c r="Z11" s="97" t="inlineStr">
        <is>
          <t>1987</t>
        </is>
      </c>
      <c r="AA11" s="113" t="inlineStr">
        <is>
          <t>2</t>
        </is>
      </c>
      <c r="AB11" s="134" t="inlineStr">
        <is>
          <t>Yes</t>
        </is>
      </c>
      <c r="AC11" s="136" t="inlineStr">
        <is>
          <t>No</t>
        </is>
      </c>
      <c r="AD11" s="136" t="inlineStr">
        <is>
          <t>No</t>
        </is>
      </c>
      <c r="AE11" s="136" t="inlineStr">
        <is>
          <t>No</t>
        </is>
      </c>
      <c r="AF11" s="136" t="inlineStr">
        <is>
          <t>No</t>
        </is>
      </c>
      <c r="AG11" s="136" t="inlineStr">
        <is>
          <t>MODERATE-HIGH</t>
        </is>
      </c>
      <c r="AH11" s="136" t="inlineStr">
        <is>
          <t>Affordable Comp #4: LIHTC property, 1987 vintage (2 yr diff), 24 units, 28.2 mi from subject. Same income-eligible renter pool.</t>
        </is>
      </c>
      <c r="AI11" s="136" t="inlineStr">
        <is>
          <t>HUD LIHTC Database (huduser.gov)</t>
        </is>
      </c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37.5" customHeight="1" s="131">
      <c r="A12" s="114" t="n">
        <v>1</v>
      </c>
      <c r="B12" s="70" t="inlineStr">
        <is>
          <t>MARKET RATE</t>
        </is>
      </c>
      <c r="C12" s="67" t="inlineStr">
        <is>
          <t>Highland Hills</t>
        </is>
      </c>
      <c r="D12" s="98" t="inlineStr">
        <is>
          <t>20 N Hill Pky</t>
        </is>
      </c>
      <c r="E12" s="98" t="inlineStr">
        <is>
          <t>Jackson</t>
        </is>
      </c>
      <c r="F12" s="98" t="inlineStr">
        <is>
          <t>MS</t>
        </is>
      </c>
      <c r="G12" s="98" t="inlineStr">
        <is>
          <t>39206</t>
        </is>
      </c>
      <c r="H12" s="98" t="inlineStr">
        <is>
          <t>28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N/A</t>
        </is>
      </c>
      <c r="L12" s="53" t="inlineStr">
        <is>
          <t>N/A</t>
        </is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N/A</t>
        </is>
      </c>
      <c r="P12" s="146" t="n">
        <v>815</v>
      </c>
      <c r="Q12" s="99" t="inlineStr">
        <is>
          <t>N/A (Market Rate)</t>
        </is>
      </c>
      <c r="R12" s="99" t="inlineStr">
        <is>
          <t>N/A (Market Rate)</t>
        </is>
      </c>
      <c r="S12" s="99" t="inlineStr">
        <is>
          <t>N/A</t>
        </is>
      </c>
      <c r="T12" s="152" t="n">
        <v>975</v>
      </c>
      <c r="U12" s="99" t="inlineStr">
        <is>
          <t>N/A (Market Rate)</t>
        </is>
      </c>
      <c r="V12" s="99" t="inlineStr">
        <is>
          <t>N/A (Market Rate)</t>
        </is>
      </c>
      <c r="W12" s="99" t="inlineStr">
        <is>
          <t>N/A</t>
        </is>
      </c>
      <c r="X12" s="99" t="inlineStr">
        <is>
          <t>N/A</t>
        </is>
      </c>
      <c r="Y12" s="46" t="inlineStr">
        <is>
          <t>N/A (Market Rate)</t>
        </is>
      </c>
      <c r="Z12" s="100" t="inlineStr">
        <is>
          <t>N/A (Market Rate)</t>
        </is>
      </c>
      <c r="AA12" s="115" t="inlineStr">
        <is>
          <t>N/A</t>
        </is>
      </c>
      <c r="AB12" s="134" t="inlineStr">
        <is>
          <t>N/A</t>
        </is>
      </c>
      <c r="AC12" s="136" t="inlineStr">
        <is>
          <t>N/A</t>
        </is>
      </c>
      <c r="AD12" s="136" t="inlineStr">
        <is>
          <t>No</t>
        </is>
      </c>
      <c r="AE12" s="136" t="inlineStr">
        <is>
          <t>Apartments.com verified, Apr 2026</t>
        </is>
      </c>
      <c r="AF12" s="136" t="inlineStr">
        <is>
          <t>Varies</t>
        </is>
      </c>
      <c r="AG12" s="136" t="inlineStr">
        <is>
          <t>MODERATE-HIGH</t>
        </is>
      </c>
      <c r="AH12" s="136" t="inlineStr">
        <is>
          <t>Market Rate Comp #1: No income restrictions, 1985 vintage (0 yr diff), N/A units, 28.0 mi from subject. Shows market-rate rents vs. affordable housing discount.</t>
        </is>
      </c>
      <c r="AI12" s="136" t="inlineStr">
        <is>
          <t>HUD FY2026 FMR - Hinds County, MS (limited market rate inventory in Crystal Springs)</t>
        </is>
      </c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n">
        <v>2</v>
      </c>
      <c r="B13" s="71" t="inlineStr">
        <is>
          <t>MARKET RATE</t>
        </is>
      </c>
      <c r="C13" s="68" t="inlineStr">
        <is>
          <t>The Pines at Autumn Woods</t>
        </is>
      </c>
      <c r="D13" s="101" t="inlineStr">
        <is>
          <t>4901 McWillie Cir</t>
        </is>
      </c>
      <c r="E13" s="101" t="inlineStr">
        <is>
          <t>Jackson</t>
        </is>
      </c>
      <c r="F13" s="101" t="inlineStr">
        <is>
          <t>MS</t>
        </is>
      </c>
      <c r="G13" s="101" t="inlineStr">
        <is>
          <t>39206</t>
        </is>
      </c>
      <c r="H13" s="101" t="inlineStr">
        <is>
          <t>29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N/A</t>
        </is>
      </c>
      <c r="L13" s="53" t="inlineStr">
        <is>
          <t>N/A</t>
        </is>
      </c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N/A</t>
        </is>
      </c>
      <c r="P13" s="146" t="n">
        <v>1100</v>
      </c>
      <c r="Q13" s="102" t="inlineStr">
        <is>
          <t>N/A (Market Rate)</t>
        </is>
      </c>
      <c r="R13" s="102" t="inlineStr">
        <is>
          <t>N/A (Market Rate)</t>
        </is>
      </c>
      <c r="S13" s="102" t="inlineStr">
        <is>
          <t>N/A</t>
        </is>
      </c>
      <c r="T13" s="102" t="inlineStr">
        <is>
          <t>N/A</t>
        </is>
      </c>
      <c r="U13" s="102" t="inlineStr">
        <is>
          <t>N/A (Market Rate)</t>
        </is>
      </c>
      <c r="V13" s="102" t="inlineStr">
        <is>
          <t>N/A (Market Rate)</t>
        </is>
      </c>
      <c r="W13" s="102" t="inlineStr">
        <is>
          <t>N/A</t>
        </is>
      </c>
      <c r="X13" s="102" t="inlineStr">
        <is>
          <t>N/A</t>
        </is>
      </c>
      <c r="Y13" s="47" t="inlineStr">
        <is>
          <t>N/A (Market Rate)</t>
        </is>
      </c>
      <c r="Z13" s="103" t="inlineStr">
        <is>
          <t>N/A (Market Rate)</t>
        </is>
      </c>
      <c r="AA13" s="117" t="inlineStr">
        <is>
          <t>N/A</t>
        </is>
      </c>
      <c r="AB13" s="134" t="inlineStr">
        <is>
          <t>N/A</t>
        </is>
      </c>
      <c r="AC13" s="136" t="inlineStr">
        <is>
          <t>N/A</t>
        </is>
      </c>
      <c r="AD13" s="136" t="inlineStr">
        <is>
          <t>No</t>
        </is>
      </c>
      <c r="AE13" s="136" t="inlineStr">
        <is>
          <t>Apartments.com verified, Apr 2026</t>
        </is>
      </c>
      <c r="AF13" s="136" t="inlineStr">
        <is>
          <t>Varies</t>
        </is>
      </c>
      <c r="AG13" s="136" t="inlineStr">
        <is>
          <t>MODERATE</t>
        </is>
      </c>
      <c r="AH13" s="136" t="inlineStr">
        <is>
          <t>Market Rate Comp #2: No income restrictions, 1988 vintage (3 yr diff), 80 units, 32.0 mi from subject. Shows market-rate rents vs. affordable housing discount.</t>
        </is>
      </c>
      <c r="AI13" s="136" t="inlineStr">
        <is>
          <t>https://www.rentcafe.com/apartments-for-rent/us/ms/ridgeland/</t>
        </is>
      </c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n">
        <v>3</v>
      </c>
      <c r="B14" s="69" t="inlineStr">
        <is>
          <t>MARKET RATE</t>
        </is>
      </c>
      <c r="C14" s="66" t="inlineStr">
        <is>
          <t>The Pines at 55</t>
        </is>
      </c>
      <c r="D14" s="95" t="inlineStr">
        <is>
          <t>3875 S I-55</t>
        </is>
      </c>
      <c r="E14" s="95" t="inlineStr">
        <is>
          <t>Jackson</t>
        </is>
      </c>
      <c r="F14" s="95" t="inlineStr">
        <is>
          <t>MS</t>
        </is>
      </c>
      <c r="G14" s="95" t="inlineStr">
        <is>
          <t>39212</t>
        </is>
      </c>
      <c r="H14" s="95" t="inlineStr">
        <is>
          <t>31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N/A</t>
        </is>
      </c>
      <c r="L14" s="53" t="inlineStr">
        <is>
          <t>N/A</t>
        </is>
      </c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N/A</t>
        </is>
      </c>
      <c r="P14" s="146" t="n">
        <v>1100</v>
      </c>
      <c r="Q14" s="96" t="inlineStr">
        <is>
          <t>N/A (Market Rate)</t>
        </is>
      </c>
      <c r="R14" s="96" t="inlineStr">
        <is>
          <t>N/A (Market Rate)</t>
        </is>
      </c>
      <c r="S14" s="96" t="inlineStr">
        <is>
          <t>N/A</t>
        </is>
      </c>
      <c r="T14" s="96" t="inlineStr">
        <is>
          <t>N/A</t>
        </is>
      </c>
      <c r="U14" s="96" t="inlineStr">
        <is>
          <t>N/A (Market Rate)</t>
        </is>
      </c>
      <c r="V14" s="96" t="inlineStr">
        <is>
          <t>N/A (Market Rate)</t>
        </is>
      </c>
      <c r="W14" s="96" t="inlineStr">
        <is>
          <t>N/A</t>
        </is>
      </c>
      <c r="X14" s="96" t="inlineStr">
        <is>
          <t>N/A</t>
        </is>
      </c>
      <c r="Y14" s="45" t="inlineStr">
        <is>
          <t>N/A (Market Rate)</t>
        </is>
      </c>
      <c r="Z14" s="97" t="inlineStr">
        <is>
          <t>N/A (Market Rate)</t>
        </is>
      </c>
      <c r="AA14" s="113" t="inlineStr">
        <is>
          <t>N/A</t>
        </is>
      </c>
      <c r="AB14" s="134" t="inlineStr">
        <is>
          <t>N/A</t>
        </is>
      </c>
      <c r="AC14" s="136" t="inlineStr">
        <is>
          <t>N/A</t>
        </is>
      </c>
      <c r="AD14" s="136" t="inlineStr">
        <is>
          <t>No</t>
        </is>
      </c>
      <c r="AE14" s="136" t="inlineStr">
        <is>
          <t>Apartments.com verified, Apr 2026</t>
        </is>
      </c>
      <c r="AF14" s="136" t="inlineStr">
        <is>
          <t>Varies</t>
        </is>
      </c>
      <c r="AG14" s="136" t="inlineStr">
        <is>
          <t>MODERATE</t>
        </is>
      </c>
      <c r="AH14" s="136" t="inlineStr">
        <is>
          <t>Market Rate Comp #3: No income restrictions, 1983 vintage (2 yr diff), 72 units, 35.0 mi from subject. Shows market-rate rents vs. affordable housing discount.</t>
        </is>
      </c>
      <c r="AI14" s="136" t="inlineStr">
        <is>
          <t>https://www.rentcafe.com/apartments-for-rent/us/ms/brandon/</t>
        </is>
      </c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n">
        <v>4</v>
      </c>
      <c r="B15" s="69" t="inlineStr">
        <is>
          <t>MARKET RATE</t>
        </is>
      </c>
      <c r="C15" s="66" t="inlineStr">
        <is>
          <t>Pear Orchard Apartments</t>
        </is>
      </c>
      <c r="D15" s="95" t="inlineStr">
        <is>
          <t>580 Pear Orchard Rd</t>
        </is>
      </c>
      <c r="E15" s="95" t="inlineStr">
        <is>
          <t>Ridgeland</t>
        </is>
      </c>
      <c r="F15" s="95" t="inlineStr">
        <is>
          <t>MS</t>
        </is>
      </c>
      <c r="G15" s="95" t="inlineStr">
        <is>
          <t>39157</t>
        </is>
      </c>
      <c r="H15" s="95" t="inlineStr">
        <is>
          <t>35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N/A</t>
        </is>
      </c>
      <c r="L15" s="53" t="inlineStr">
        <is>
          <t>N/A</t>
        </is>
      </c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N/A</t>
        </is>
      </c>
      <c r="P15" s="146" t="n">
        <v>1183</v>
      </c>
      <c r="Q15" s="96" t="inlineStr">
        <is>
          <t>N/A (Market Rate)</t>
        </is>
      </c>
      <c r="R15" s="96" t="inlineStr">
        <is>
          <t>N/A (Market Rate)</t>
        </is>
      </c>
      <c r="S15" s="96" t="inlineStr">
        <is>
          <t>N/A</t>
        </is>
      </c>
      <c r="T15" s="153" t="n">
        <v>1697</v>
      </c>
      <c r="U15" s="96" t="inlineStr">
        <is>
          <t>N/A (Market Rate)</t>
        </is>
      </c>
      <c r="V15" s="96" t="inlineStr">
        <is>
          <t>N/A (Market Rate)</t>
        </is>
      </c>
      <c r="W15" s="96" t="inlineStr">
        <is>
          <t>N/A</t>
        </is>
      </c>
      <c r="X15" s="96" t="inlineStr">
        <is>
          <t>N/A</t>
        </is>
      </c>
      <c r="Y15" s="45" t="inlineStr">
        <is>
          <t>N/A (Market Rate)</t>
        </is>
      </c>
      <c r="Z15" s="97" t="inlineStr">
        <is>
          <t>N/A (Market Rate)</t>
        </is>
      </c>
      <c r="AA15" s="113" t="inlineStr">
        <is>
          <t>N/A</t>
        </is>
      </c>
      <c r="AB15" s="134" t="inlineStr">
        <is>
          <t>N/A</t>
        </is>
      </c>
      <c r="AC15" s="136" t="inlineStr">
        <is>
          <t>N/A</t>
        </is>
      </c>
      <c r="AD15" s="136" t="inlineStr">
        <is>
          <t>No</t>
        </is>
      </c>
      <c r="AE15" s="136" t="inlineStr">
        <is>
          <t>Apartments.com verified, Apr 2026</t>
        </is>
      </c>
      <c r="AF15" s="136" t="inlineStr">
        <is>
          <t>Varies</t>
        </is>
      </c>
      <c r="AG15" s="136" t="inlineStr">
        <is>
          <t>MODERATE</t>
        </is>
      </c>
      <c r="AH15" s="136" t="inlineStr">
        <is>
          <t>Market Rate Comp #4: No income restrictions, 1987 vintage (2 yr diff), 60 units, 38.0 mi from subject. Shows market-rate rents vs. affordable housing discount.</t>
        </is>
      </c>
      <c r="AI15" s="136" t="inlineStr">
        <is>
          <t>https://www.rentcafe.com/apartments-for-rent/us/ms/pearl/</t>
        </is>
      </c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n">
        <v>5</v>
      </c>
      <c r="B16" s="82" t="inlineStr">
        <is>
          <t>MARKET RATE</t>
        </is>
      </c>
      <c r="C16" s="119" t="inlineStr">
        <is>
          <t>Northtown Apartments</t>
        </is>
      </c>
      <c r="D16" s="120" t="inlineStr">
        <is>
          <t>50 Northtown Dr</t>
        </is>
      </c>
      <c r="E16" s="120" t="inlineStr">
        <is>
          <t>Jackson</t>
        </is>
      </c>
      <c r="F16" s="120" t="inlineStr">
        <is>
          <t>MS</t>
        </is>
      </c>
      <c r="G16" s="120" t="inlineStr">
        <is>
          <t>39211</t>
        </is>
      </c>
      <c r="H16" s="120" t="inlineStr">
        <is>
          <t>30 mi</t>
        </is>
      </c>
      <c r="I16" s="120" t="inlineStr">
        <is>
          <t>N/A (Market Rate)</t>
        </is>
      </c>
      <c r="J16" s="120" t="inlineStr">
        <is>
          <t>N/A (Market Rate)</t>
        </is>
      </c>
      <c r="K16" s="121" t="inlineStr">
        <is>
          <t>N/A</t>
        </is>
      </c>
      <c r="L16" s="83" t="inlineStr">
        <is>
          <t>N/A</t>
        </is>
      </c>
      <c r="M16" s="122" t="inlineStr">
        <is>
          <t>N/A (Market Rate)</t>
        </is>
      </c>
      <c r="N16" s="122" t="inlineStr">
        <is>
          <t>N/A (Market Rate)</t>
        </is>
      </c>
      <c r="O16" s="121" t="inlineStr">
        <is>
          <t>N/A</t>
        </is>
      </c>
      <c r="P16" s="147" t="n">
        <v>1002</v>
      </c>
      <c r="Q16" s="122" t="inlineStr">
        <is>
          <t>N/A (Market Rate)</t>
        </is>
      </c>
      <c r="R16" s="122" t="inlineStr">
        <is>
          <t>N/A (Market Rate)</t>
        </is>
      </c>
      <c r="S16" s="122" t="inlineStr">
        <is>
          <t>N/A</t>
        </is>
      </c>
      <c r="T16" s="122" t="inlineStr">
        <is>
          <t>N/A</t>
        </is>
      </c>
      <c r="U16" s="122" t="inlineStr">
        <is>
          <t>N/A (Market Rate)</t>
        </is>
      </c>
      <c r="V16" s="122" t="inlineStr">
        <is>
          <t>N/A (Market Rate)</t>
        </is>
      </c>
      <c r="W16" s="122" t="inlineStr">
        <is>
          <t>N/A</t>
        </is>
      </c>
      <c r="X16" s="122" t="inlineStr">
        <is>
          <t>N/A</t>
        </is>
      </c>
      <c r="Y16" s="84" t="inlineStr">
        <is>
          <t>N/A (Market Rate)</t>
        </is>
      </c>
      <c r="Z16" s="123" t="inlineStr">
        <is>
          <t>N/A (Market Rate)</t>
        </is>
      </c>
      <c r="AA16" s="124" t="inlineStr">
        <is>
          <t>N/A</t>
        </is>
      </c>
      <c r="AB16" s="134" t="inlineStr">
        <is>
          <t>N/A</t>
        </is>
      </c>
      <c r="AC16" s="136" t="inlineStr">
        <is>
          <t>N/A</t>
        </is>
      </c>
      <c r="AD16" s="136" t="inlineStr">
        <is>
          <t>No</t>
        </is>
      </c>
      <c r="AE16" s="136" t="inlineStr">
        <is>
          <t>Apartments.com verified, Apr 2026</t>
        </is>
      </c>
      <c r="AF16" s="136" t="inlineStr">
        <is>
          <t>N/A</t>
        </is>
      </c>
      <c r="AG16" s="136" t="inlineStr">
        <is>
          <t>BENCHMARK</t>
        </is>
      </c>
      <c r="AH16" s="136" t="inlineStr">
        <is>
          <t>BENCHMARK — HUD Fair Market Rent (FMR) for Copiah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136" t="inlineStr">
        <is>
          <t>HUD FMR Database (huduser.gov)</t>
        </is>
      </c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n">
        <v>6</v>
      </c>
      <c r="B17" s="88" t="inlineStr">
        <is>
          <t>MARKET RATE</t>
        </is>
      </c>
      <c r="C17" s="89" t="inlineStr">
        <is>
          <t>Royal Oak Apartments</t>
        </is>
      </c>
      <c r="D17" s="87" t="inlineStr">
        <is>
          <t>110 Pine Knoll Dr</t>
        </is>
      </c>
      <c r="E17" s="87" t="inlineStr">
        <is>
          <t>Ridgeland</t>
        </is>
      </c>
      <c r="F17" s="87" t="inlineStr">
        <is>
          <t>MS</t>
        </is>
      </c>
      <c r="G17" s="87" t="inlineStr">
        <is>
          <t>39157</t>
        </is>
      </c>
      <c r="H17" s="87" t="inlineStr">
        <is>
          <t>36 mi</t>
        </is>
      </c>
      <c r="I17" s="87" t="inlineStr">
        <is>
          <t>N/A (Market Rate)</t>
        </is>
      </c>
      <c r="J17" s="87" t="inlineStr">
        <is>
          <t>N/A (Market Rate)</t>
        </is>
      </c>
      <c r="K17" s="90" t="inlineStr">
        <is>
          <t>N/A</t>
        </is>
      </c>
      <c r="L17" s="91" t="inlineStr">
        <is>
          <t>N/A</t>
        </is>
      </c>
      <c r="M17" s="92" t="inlineStr">
        <is>
          <t>N/A (Market Rate)</t>
        </is>
      </c>
      <c r="N17" s="92" t="inlineStr">
        <is>
          <t>N/A (Market Rate)</t>
        </is>
      </c>
      <c r="O17" s="90" t="inlineStr">
        <is>
          <t>N/A</t>
        </is>
      </c>
      <c r="P17" s="148" t="n">
        <v>1045</v>
      </c>
      <c r="Q17" s="92" t="inlineStr">
        <is>
          <t>N/A (Market Rate)</t>
        </is>
      </c>
      <c r="R17" s="92" t="inlineStr">
        <is>
          <t>N/A (Market Rate)</t>
        </is>
      </c>
      <c r="S17" s="92" t="inlineStr">
        <is>
          <t>N/A</t>
        </is>
      </c>
      <c r="T17" s="154" t="n">
        <v>1450</v>
      </c>
      <c r="U17" s="92" t="inlineStr">
        <is>
          <t>N/A (Market Rate)</t>
        </is>
      </c>
      <c r="V17" s="92" t="inlineStr">
        <is>
          <t>N/A (Market Rate)</t>
        </is>
      </c>
      <c r="W17" s="92" t="inlineStr">
        <is>
          <t>N/A</t>
        </is>
      </c>
      <c r="X17" s="92" t="inlineStr">
        <is>
          <t>N/A</t>
        </is>
      </c>
      <c r="Y17" s="93" t="inlineStr">
        <is>
          <t>N/A (Market Rate)</t>
        </is>
      </c>
      <c r="Z17" s="94" t="inlineStr">
        <is>
          <t>N/A (Market Rate)</t>
        </is>
      </c>
      <c r="AA17" s="92" t="inlineStr">
        <is>
          <t>N/A</t>
        </is>
      </c>
      <c r="AB17" s="136" t="inlineStr">
        <is>
          <t>N/A</t>
        </is>
      </c>
      <c r="AC17" s="136" t="inlineStr">
        <is>
          <t>N/A</t>
        </is>
      </c>
      <c r="AD17" s="136" t="inlineStr">
        <is>
          <t>No</t>
        </is>
      </c>
      <c r="AE17" s="136" t="inlineStr">
        <is>
          <t>Apartments.com verified, Apr 2026</t>
        </is>
      </c>
      <c r="AF17" s="136" t="inlineStr">
        <is>
          <t>N/A</t>
        </is>
      </c>
      <c r="AG17" s="136" t="inlineStr">
        <is>
          <t>BENCHMARK</t>
        </is>
      </c>
      <c r="AH17" s="136" t="inlineStr">
        <is>
          <t>BENCHMARK — Estimated Metro Market Average for Crystal Springs,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136" t="inlineStr">
        <is>
          <t>HUD FMR + Market Estimate</t>
        </is>
      </c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C19" s="136" t="n"/>
      <c r="AD19" s="136" t="n"/>
      <c r="AE19" s="136" t="n"/>
      <c r="AF19" s="136" t="n"/>
      <c r="AG19" s="136" t="n"/>
      <c r="AH19" s="136" t="n"/>
      <c r="AI19" s="136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Format="1" customHeight="1" s="2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Height="1" s="131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Height="1" s="131">
      <c r="A25" s="372" t="n"/>
      <c r="B25" s="201" t="inlineStr">
        <is>
          <t>1BD</t>
        </is>
      </c>
      <c r="C25" s="194" t="n"/>
      <c r="D25" s="200" t="n"/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Format="1" customHeight="1" s="2">
      <c r="A26" s="372" t="n"/>
      <c r="B26" s="201" t="inlineStr">
        <is>
          <t>2BD</t>
        </is>
      </c>
      <c r="C26" s="194" t="n"/>
      <c r="D26" s="200" t="n">
        <v>1041</v>
      </c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24.75" customFormat="1" customHeight="1" s="2">
      <c r="A27" s="369" t="n"/>
      <c r="B27" s="201" t="inlineStr">
        <is>
          <t>3BD</t>
        </is>
      </c>
      <c r="C27" s="194" t="n"/>
      <c r="D27" s="200" t="n">
        <v>1374</v>
      </c>
      <c r="E27" s="195" t="n"/>
      <c r="F27" s="183" t="n"/>
      <c r="G27" s="183" t="n"/>
      <c r="H27" s="183" t="n"/>
      <c r="I27" s="183" t="n"/>
      <c r="J27" s="183" t="n"/>
      <c r="K27" s="302" t="n"/>
      <c r="L27" s="302" t="n"/>
      <c r="M27" s="302" t="n"/>
      <c r="N27" s="302" t="n"/>
      <c r="O27" s="343" t="n"/>
      <c r="P27" s="302" t="n"/>
      <c r="Q27" s="302" t="n"/>
      <c r="R27" s="302" t="n"/>
      <c r="S27" s="302" t="n"/>
      <c r="T27" s="302" t="n"/>
      <c r="U27" s="302" t="n"/>
      <c r="V27" s="302" t="n"/>
      <c r="W27" s="302" t="n"/>
      <c r="X27" s="302" t="n"/>
      <c r="Y27" s="302" t="n"/>
      <c r="Z27" s="302" t="n"/>
      <c r="AA27" s="353" t="n"/>
      <c r="AB27" s="302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24.75" customFormat="1" customHeight="1" s="2">
      <c r="A28" s="382" t="n"/>
      <c r="B28" s="201" t="inlineStr">
        <is>
          <t>4BD</t>
        </is>
      </c>
      <c r="C28" s="194" t="n"/>
      <c r="D28" s="200" t="n"/>
      <c r="E28" s="195" t="n"/>
      <c r="F28" s="183" t="n"/>
      <c r="G28" s="183" t="n"/>
      <c r="H28" s="183" t="n"/>
      <c r="I28" s="183" t="n"/>
      <c r="J28" s="183" t="n"/>
      <c r="K28" s="302" t="n"/>
      <c r="L28" s="302" t="n"/>
      <c r="M28" s="302" t="n"/>
      <c r="N28" s="302" t="n"/>
      <c r="O28" s="343" t="n"/>
      <c r="P28" s="302" t="n"/>
      <c r="Q28" s="302" t="n"/>
      <c r="R28" s="302" t="n"/>
      <c r="S28" s="302" t="n"/>
      <c r="T28" s="302" t="n"/>
      <c r="U28" s="302" t="n"/>
      <c r="V28" s="302" t="n"/>
      <c r="W28" s="302" t="n"/>
      <c r="X28" s="302" t="n"/>
      <c r="Y28" s="302" t="n"/>
      <c r="Z28" s="302" t="n"/>
      <c r="AA28" s="353" t="n"/>
      <c r="AB28" s="302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8.1" customFormat="1" customHeight="1" s="2">
      <c r="A29" s="372" t="n"/>
      <c r="B29" s="371" t="n"/>
      <c r="C29" s="371" t="n"/>
      <c r="D29" s="371" t="n"/>
      <c r="E29" s="371" t="n"/>
      <c r="F29" s="371" t="n"/>
      <c r="G29" s="369" t="n"/>
      <c r="H29" s="369" t="n"/>
      <c r="I29" s="369" t="n"/>
      <c r="J29" s="369" t="n"/>
      <c r="K29" s="369" t="n"/>
      <c r="L29" s="134" t="n"/>
      <c r="M29" s="134" t="n"/>
      <c r="N29" s="134" t="n"/>
      <c r="O29" s="134" t="n"/>
      <c r="P29" s="134" t="n"/>
      <c r="Q29" s="134" t="n"/>
      <c r="R29" s="134" t="n"/>
      <c r="S29" s="134" t="n"/>
      <c r="T29" s="134" t="n"/>
      <c r="U29" s="134" t="n"/>
      <c r="V29" s="134" t="n"/>
      <c r="W29" s="134" t="n"/>
      <c r="X29" s="134" t="n"/>
      <c r="Y29" s="134" t="n"/>
      <c r="Z29" s="135" t="n"/>
      <c r="AA29" s="134" t="n"/>
      <c r="AB29" s="134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24.75" customFormat="1" customHeight="1" s="2">
      <c r="A30" s="302" t="n"/>
      <c r="B30" s="211" t="inlineStr">
        <is>
          <t>PMTS — Vouchers / FMR / UAP / NET</t>
        </is>
      </c>
      <c r="G30" s="365" t="n"/>
      <c r="H30" s="183" t="n"/>
      <c r="I30" s="183" t="n"/>
      <c r="J30" s="183" t="n"/>
      <c r="K30" s="302" t="n"/>
      <c r="L30" s="302" t="n"/>
      <c r="M30" s="302" t="n"/>
      <c r="N30" s="302" t="n"/>
      <c r="O30" s="302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15.95" customHeight="1" s="131">
      <c r="A31" s="302" t="n"/>
      <c r="B31" s="226" t="n"/>
      <c r="C31" s="213" t="inlineStr">
        <is>
          <t>MKT</t>
        </is>
      </c>
      <c r="D31" s="213" t="inlineStr">
        <is>
          <t>VCH</t>
        </is>
      </c>
      <c r="E31" s="214" t="inlineStr">
        <is>
          <t>FMR</t>
        </is>
      </c>
      <c r="F31" s="215" t="inlineStr">
        <is>
          <t>UAP</t>
        </is>
      </c>
      <c r="G31" s="216" t="inlineStr">
        <is>
          <t>NET</t>
        </is>
      </c>
      <c r="H31" s="183" t="n"/>
      <c r="I31" s="183" t="n"/>
      <c r="J31" s="183" t="n"/>
      <c r="K31" s="302" t="n"/>
      <c r="L31" s="302" t="n"/>
      <c r="M31" s="302" t="n"/>
      <c r="N31" s="302" t="n"/>
      <c r="O31" s="302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24.75" customHeight="1" s="131">
      <c r="A32" s="369" t="n"/>
      <c r="B32" s="217" t="inlineStr">
        <is>
          <t>1BD</t>
        </is>
      </c>
      <c r="C32" s="197" t="n">
        <v>0</v>
      </c>
      <c r="D32" s="197" t="n">
        <v>0</v>
      </c>
      <c r="E32" s="198" t="n">
        <v>800</v>
      </c>
      <c r="F32" s="199" t="n">
        <v>116</v>
      </c>
      <c r="G32" s="218" t="n">
        <v>684</v>
      </c>
      <c r="H32" s="183" t="n"/>
      <c r="I32" s="183" t="n"/>
      <c r="J32" s="183" t="n"/>
      <c r="K32" s="302" t="n"/>
      <c r="L32" s="302" t="n"/>
      <c r="M32" s="302" t="n"/>
      <c r="N32" s="302" t="n"/>
      <c r="O32" s="343" t="n"/>
      <c r="P32" s="302" t="n"/>
      <c r="Q32" s="302" t="n"/>
      <c r="R32" s="302" t="n"/>
      <c r="S32" s="302" t="n"/>
      <c r="T32" s="302" t="n"/>
      <c r="U32" s="302" t="n"/>
      <c r="V32" s="302" t="n"/>
      <c r="W32" s="302" t="n"/>
      <c r="X32" s="302" t="n"/>
      <c r="Y32" s="302" t="n"/>
      <c r="Z32" s="302" t="n"/>
      <c r="AA32" s="353" t="n"/>
      <c r="AB32" s="302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24.75" customFormat="1" customHeight="1" s="2">
      <c r="A33" s="382" t="n"/>
      <c r="B33" s="217" t="inlineStr">
        <is>
          <t>2BD</t>
        </is>
      </c>
      <c r="C33" s="197" t="n">
        <v>0</v>
      </c>
      <c r="D33" s="197" t="n">
        <v>0</v>
      </c>
      <c r="E33" s="198" t="n">
        <v>930</v>
      </c>
      <c r="F33" s="199" t="n">
        <v>131</v>
      </c>
      <c r="G33" s="218" t="n">
        <v>799</v>
      </c>
      <c r="H33" s="183" t="n"/>
      <c r="I33" s="183" t="n"/>
      <c r="J33" s="183" t="n"/>
      <c r="K33" s="302" t="n"/>
      <c r="L33" s="302" t="n"/>
      <c r="M33" s="302" t="n"/>
      <c r="N33" s="302" t="n"/>
      <c r="O33" s="343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24.75" customFormat="1" customHeight="1" s="2">
      <c r="A34" s="372" t="n"/>
      <c r="B34" s="217" t="inlineStr">
        <is>
          <t>3BD</t>
        </is>
      </c>
      <c r="C34" s="197" t="n">
        <v>0</v>
      </c>
      <c r="D34" s="197" t="n">
        <v>0</v>
      </c>
      <c r="E34" s="198" t="n">
        <v>1120</v>
      </c>
      <c r="F34" s="199" t="n">
        <v>142</v>
      </c>
      <c r="G34" s="218" t="n">
        <v>978</v>
      </c>
      <c r="H34" s="183" t="n"/>
      <c r="I34" s="183" t="n"/>
      <c r="J34" s="183" t="n"/>
      <c r="K34" s="302" t="n"/>
      <c r="L34" s="302" t="n"/>
      <c r="M34" s="302" t="n"/>
      <c r="N34" s="302" t="n"/>
      <c r="O34" s="343" t="n"/>
      <c r="P34" s="302" t="n"/>
      <c r="Q34" s="302" t="n"/>
      <c r="R34" s="302" t="n"/>
      <c r="S34" s="302" t="n"/>
      <c r="T34" s="302" t="n"/>
      <c r="U34" s="302" t="n"/>
      <c r="V34" s="302" t="n"/>
      <c r="W34" s="302" t="n"/>
      <c r="X34" s="302" t="n"/>
      <c r="Y34" s="302" t="n"/>
      <c r="Z34" s="302" t="n"/>
      <c r="AA34" s="353" t="n"/>
      <c r="AB34" s="302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24.75" customFormat="1" customHeight="1" s="2">
      <c r="A35" s="372" t="n"/>
      <c r="B35" s="217" t="inlineStr">
        <is>
          <t>4BD</t>
        </is>
      </c>
      <c r="C35" s="197" t="n">
        <v>0</v>
      </c>
      <c r="D35" s="197" t="n">
        <v>0</v>
      </c>
      <c r="E35" s="198" t="n">
        <v>1240</v>
      </c>
      <c r="F35" s="199" t="n">
        <v>198</v>
      </c>
      <c r="G35" s="218" t="n">
        <v>1042</v>
      </c>
      <c r="H35" s="183" t="n"/>
      <c r="I35" s="183" t="n"/>
      <c r="J35" s="183" t="n"/>
      <c r="K35" s="302" t="n"/>
      <c r="L35" s="302" t="n"/>
      <c r="M35" s="302" t="n"/>
      <c r="N35" s="302" t="n"/>
      <c r="O35" s="343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8.1" customFormat="1" customHeight="1" s="2">
      <c r="A36" s="369" t="n"/>
      <c r="B36" s="371" t="n"/>
      <c r="C36" s="371" t="n"/>
      <c r="D36" s="371" t="n"/>
      <c r="E36" s="371" t="n"/>
      <c r="F36" s="371" t="n"/>
      <c r="G36" s="369" t="n"/>
      <c r="H36" s="369" t="n"/>
      <c r="I36" s="369" t="n"/>
      <c r="J36" s="369" t="n"/>
      <c r="K36" s="369" t="n"/>
      <c r="L36" s="134" t="n"/>
      <c r="M36" s="134" t="n"/>
      <c r="N36" s="134" t="n"/>
      <c r="O36" s="134" t="n"/>
      <c r="P36" s="134" t="n"/>
      <c r="Q36" s="134" t="n"/>
      <c r="R36" s="134" t="n"/>
      <c r="S36" s="134" t="n"/>
      <c r="T36" s="134" t="n"/>
      <c r="U36" s="134" t="n"/>
      <c r="V36" s="134" t="n"/>
      <c r="W36" s="134" t="n"/>
      <c r="X36" s="134" t="n"/>
      <c r="Y36" s="134" t="n"/>
      <c r="Z36" s="135" t="n"/>
      <c r="AA36" s="134" t="n"/>
      <c r="AB36" s="134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24.75" customFormat="1" customHeight="1" s="2">
      <c r="A37" s="302" t="n"/>
      <c r="B37" s="366" t="inlineStr">
        <is>
          <t>LIHTC, UAP, NET</t>
        </is>
      </c>
      <c r="C37" s="358" t="n"/>
      <c r="D37" s="358" t="n"/>
      <c r="E37" s="358" t="n"/>
      <c r="F37" s="358" t="n"/>
      <c r="G37" s="359" t="n"/>
      <c r="H37" s="183" t="n"/>
      <c r="I37" s="183" t="n"/>
      <c r="J37" s="183" t="n"/>
      <c r="K37" s="302" t="n"/>
      <c r="L37" s="302" t="n"/>
      <c r="M37" s="302" t="n"/>
      <c r="N37" s="302" t="n"/>
      <c r="O37" s="302" t="n"/>
      <c r="P37" s="302" t="n"/>
      <c r="Q37" s="302" t="n"/>
      <c r="R37" s="302" t="n"/>
      <c r="S37" s="302" t="n"/>
      <c r="T37" s="302" t="n"/>
      <c r="U37" s="302" t="n"/>
      <c r="V37" s="302" t="n"/>
      <c r="W37" s="302" t="n"/>
      <c r="X37" s="302" t="n"/>
      <c r="Y37" s="302" t="n"/>
      <c r="Z37" s="302" t="n"/>
      <c r="AA37" s="353" t="n"/>
      <c r="AB37" s="302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16.5" customFormat="1" customHeight="1" s="2">
      <c r="A38" s="372" t="n"/>
      <c r="B38" s="226" t="inlineStr">
        <is>
          <t>No LIHTC data available</t>
        </is>
      </c>
      <c r="C38" s="228" t="n"/>
      <c r="D38" s="228" t="n"/>
      <c r="E38" s="215" t="n"/>
      <c r="F38" s="216" t="n"/>
      <c r="G38" s="183" t="n"/>
      <c r="H38" s="183" t="n"/>
      <c r="I38" s="183" t="n"/>
      <c r="J38" s="183" t="n"/>
      <c r="K38" s="302" t="n"/>
      <c r="L38" s="302" t="n"/>
      <c r="M38" s="302" t="n"/>
      <c r="N38" s="302" t="n"/>
      <c r="O38" s="343" t="n"/>
      <c r="P38" s="302" t="n"/>
      <c r="Q38" s="302" t="n"/>
      <c r="R38" s="302" t="n"/>
      <c r="S38" s="302" t="n"/>
      <c r="T38" s="302" t="n"/>
      <c r="U38" s="302" t="n"/>
      <c r="V38" s="302" t="n"/>
      <c r="W38" s="302" t="n"/>
      <c r="X38" s="302" t="n"/>
      <c r="Y38" s="302" t="n"/>
      <c r="Z38" s="302" t="n"/>
      <c r="AA38" s="353" t="n"/>
      <c r="AB38" s="302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18" customHeight="1" s="131">
      <c r="A39" s="372" t="n"/>
      <c r="B39" s="392" t="n"/>
      <c r="C39" s="392" t="n"/>
      <c r="D39" s="369" t="n"/>
      <c r="E39" s="369" t="n"/>
      <c r="F39" s="369" t="n"/>
      <c r="G39" s="369" t="n"/>
      <c r="H39" s="369" t="n"/>
      <c r="I39" s="369" t="n"/>
      <c r="J39" s="369" t="n"/>
      <c r="K39" s="369" t="n"/>
      <c r="L39" s="134" t="n"/>
      <c r="M39" s="134" t="n"/>
      <c r="N39" s="134" t="n"/>
      <c r="O39" s="134" t="n"/>
      <c r="P39" s="134" t="n"/>
      <c r="Q39" s="134" t="n"/>
      <c r="R39" s="134" t="n"/>
      <c r="S39" s="134" t="n"/>
      <c r="T39" s="134" t="n"/>
      <c r="U39" s="134" t="n"/>
      <c r="V39" s="134" t="n"/>
      <c r="W39" s="134" t="n"/>
      <c r="X39" s="134" t="n"/>
      <c r="Y39" s="134" t="n"/>
      <c r="Z39" s="135" t="n"/>
      <c r="AA39" s="134" t="n"/>
      <c r="AB39" s="134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ht="24.75" customHeight="1" s="131">
      <c r="A40" s="302" t="n"/>
      <c r="B40" s="207" t="inlineStr">
        <is>
          <t>HAP, CoStar, NET</t>
        </is>
      </c>
      <c r="H40" s="183" t="n"/>
      <c r="I40" s="183" t="n"/>
      <c r="J40" s="183" t="n"/>
      <c r="K40" s="302" t="n"/>
      <c r="L40" s="302" t="n"/>
      <c r="M40" s="302" t="n"/>
      <c r="N40" s="302" t="n"/>
      <c r="O40" s="302" t="n"/>
      <c r="P40" s="302" t="n"/>
      <c r="Q40" s="302" t="n"/>
      <c r="R40" s="302" t="n"/>
      <c r="S40" s="302" t="n"/>
      <c r="T40" s="302" t="n"/>
      <c r="U40" s="302" t="n"/>
      <c r="V40" s="302" t="n"/>
      <c r="W40" s="302" t="n"/>
      <c r="X40" s="302" t="n"/>
      <c r="Y40" s="302" t="n"/>
      <c r="Z40" s="302" t="n"/>
      <c r="AA40" s="353" t="n"/>
      <c r="AB40" s="302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ht="15.95" customHeight="1" s="131">
      <c r="A41" s="302" t="n"/>
      <c r="B41" s="227" t="n"/>
      <c r="C41" s="208" t="inlineStr">
        <is>
          <t>HAP</t>
        </is>
      </c>
      <c r="D41" s="209" t="inlineStr">
        <is>
          <t>CoStar</t>
        </is>
      </c>
      <c r="E41" s="302" t="n"/>
      <c r="F41" s="302" t="n"/>
      <c r="G41" s="302" t="n"/>
      <c r="H41" s="183" t="n"/>
      <c r="I41" s="183" t="n"/>
      <c r="J41" s="183" t="n"/>
      <c r="K41" s="302" t="n"/>
      <c r="L41" s="302" t="n"/>
      <c r="M41" s="302" t="n"/>
      <c r="N41" s="302" t="n"/>
      <c r="O41" s="302" t="n"/>
      <c r="P41" s="302" t="n"/>
      <c r="Q41" s="302" t="n"/>
      <c r="R41" s="302" t="n"/>
      <c r="S41" s="302" t="n"/>
      <c r="T41" s="302" t="n"/>
      <c r="U41" s="302" t="n"/>
      <c r="V41" s="302" t="n"/>
      <c r="W41" s="302" t="n"/>
      <c r="X41" s="302" t="n"/>
      <c r="Y41" s="302" t="n"/>
      <c r="Z41" s="302" t="n"/>
      <c r="AA41" s="353" t="n"/>
      <c r="AB41" s="302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ht="24.75" customHeight="1" s="131">
      <c r="A42" s="302" t="n"/>
      <c r="B42" s="196" t="inlineStr">
        <is>
          <t>1BD</t>
        </is>
      </c>
      <c r="C42" s="199" t="n">
        <v>1027</v>
      </c>
      <c r="D42" s="198" t="n">
        <v>943</v>
      </c>
      <c r="E42" s="183" t="n"/>
      <c r="F42" s="183" t="n"/>
      <c r="G42" s="183" t="n"/>
      <c r="H42" s="183" t="n"/>
      <c r="I42" s="183" t="n"/>
      <c r="J42" s="183" t="n"/>
      <c r="K42" s="302" t="n"/>
      <c r="L42" s="302" t="n"/>
      <c r="M42" s="302" t="n"/>
      <c r="N42" s="302" t="n"/>
      <c r="O42" s="302" t="n"/>
      <c r="P42" s="302" t="n"/>
      <c r="Q42" s="302" t="n"/>
      <c r="R42" s="302" t="n"/>
      <c r="S42" s="302" t="n"/>
      <c r="T42" s="302" t="n"/>
      <c r="U42" s="302" t="n"/>
      <c r="V42" s="302" t="n"/>
      <c r="W42" s="302" t="n"/>
      <c r="X42" s="302" t="n"/>
      <c r="Y42" s="302" t="n"/>
      <c r="Z42" s="302" t="n"/>
      <c r="AA42" s="353" t="n"/>
      <c r="AB42" s="302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ht="24.75" customHeight="1" s="131">
      <c r="A43" s="302" t="n"/>
      <c r="B43" s="196" t="inlineStr">
        <is>
          <t>2BD</t>
        </is>
      </c>
      <c r="C43" s="199" t="n">
        <v>1115</v>
      </c>
      <c r="D43" s="198" t="n">
        <v>1063</v>
      </c>
      <c r="E43" s="183" t="n"/>
      <c r="F43" s="183" t="n"/>
      <c r="G43" s="183" t="n"/>
      <c r="H43" s="183" t="n"/>
      <c r="I43" s="183" t="n"/>
      <c r="J43" s="183" t="n"/>
      <c r="K43" s="302" t="n"/>
      <c r="L43" s="302" t="n"/>
      <c r="M43" s="302" t="n"/>
      <c r="N43" s="302" t="n"/>
      <c r="O43" s="302" t="n"/>
      <c r="P43" s="302" t="n"/>
      <c r="Q43" s="302" t="n"/>
      <c r="R43" s="302" t="n"/>
      <c r="S43" s="302" t="n"/>
      <c r="T43" s="302" t="n"/>
      <c r="U43" s="302" t="n"/>
      <c r="V43" s="302" t="n"/>
      <c r="W43" s="302" t="n"/>
      <c r="X43" s="302" t="n"/>
      <c r="Y43" s="302" t="n"/>
      <c r="Z43" s="302" t="n"/>
      <c r="AA43" s="353" t="n"/>
      <c r="AB43" s="302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ht="24.75" customHeight="1" s="131">
      <c r="A44" s="302" t="n"/>
      <c r="B44" s="196" t="inlineStr">
        <is>
          <t>3BD</t>
        </is>
      </c>
      <c r="C44" s="199" t="n">
        <v>1233</v>
      </c>
      <c r="D44" s="198" t="n">
        <v>1219</v>
      </c>
      <c r="E44" s="183" t="n"/>
      <c r="F44" s="183" t="n"/>
      <c r="G44" s="183" t="n"/>
      <c r="H44" s="183" t="n"/>
      <c r="I44" s="183" t="n"/>
      <c r="J44" s="183" t="n"/>
      <c r="K44" s="302" t="n"/>
      <c r="L44" s="302" t="n"/>
      <c r="M44" s="302" t="n"/>
      <c r="N44" s="302" t="n"/>
      <c r="O44" s="302" t="n"/>
      <c r="P44" s="302" t="n"/>
      <c r="Q44" s="302" t="n"/>
      <c r="R44" s="302" t="n"/>
      <c r="S44" s="302" t="n"/>
      <c r="T44" s="302" t="n"/>
      <c r="U44" s="302" t="n"/>
      <c r="V44" s="302" t="n"/>
      <c r="W44" s="302" t="n"/>
      <c r="X44" s="302" t="n"/>
      <c r="Y44" s="302" t="n"/>
      <c r="Z44" s="302" t="n"/>
      <c r="AA44" s="353" t="n"/>
      <c r="AB44" s="302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ht="24.75" customHeight="1" s="131">
      <c r="A45" s="302" t="n"/>
      <c r="B45" s="196" t="inlineStr">
        <is>
          <t>4BD</t>
        </is>
      </c>
      <c r="C45" s="199" t="n">
        <v>1380</v>
      </c>
      <c r="D45" s="198" t="n">
        <v>1131</v>
      </c>
      <c r="E45" s="183" t="n"/>
      <c r="F45" s="183" t="n"/>
      <c r="G45" s="183" t="n"/>
      <c r="H45" s="183" t="n"/>
      <c r="I45" s="183" t="n"/>
      <c r="J45" s="183" t="n"/>
      <c r="K45" s="302" t="n"/>
      <c r="L45" s="302" t="n"/>
      <c r="M45" s="302" t="n"/>
      <c r="N45" s="302" t="n"/>
      <c r="O45" s="302" t="n"/>
      <c r="P45" s="302" t="n"/>
      <c r="Q45" s="302" t="n"/>
      <c r="R45" s="302" t="n"/>
      <c r="S45" s="302" t="n"/>
      <c r="T45" s="302" t="n"/>
      <c r="U45" s="302" t="n"/>
      <c r="V45" s="302" t="n"/>
      <c r="W45" s="302" t="n"/>
      <c r="X45" s="302" t="n"/>
      <c r="Y45" s="302" t="n"/>
      <c r="Z45" s="302" t="n"/>
      <c r="AA45" s="353" t="n"/>
      <c r="AB45" s="302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s="131">
      <c r="A46" s="369" t="n"/>
      <c r="B46" s="369" t="n"/>
      <c r="C46" s="369" t="n"/>
      <c r="D46" s="369" t="n"/>
      <c r="E46" s="369" t="n"/>
      <c r="F46" s="369" t="n"/>
      <c r="G46" s="369" t="n"/>
      <c r="H46" s="369" t="n"/>
      <c r="I46" s="369" t="n"/>
      <c r="J46" s="369" t="n"/>
      <c r="K46" s="369" t="n"/>
      <c r="L46" s="136" t="n"/>
      <c r="M46" s="136" t="n"/>
      <c r="N46" s="136" t="n"/>
      <c r="O46" s="136" t="n"/>
      <c r="P46" s="136" t="n"/>
      <c r="Q46" s="136" t="n"/>
      <c r="R46" s="136" t="n"/>
      <c r="S46" s="136" t="n"/>
      <c r="T46" s="136" t="n"/>
      <c r="U46" s="136" t="n"/>
      <c r="V46" s="136" t="n"/>
      <c r="W46" s="136" t="n"/>
      <c r="X46" s="136" t="n"/>
      <c r="Y46" s="136" t="n"/>
      <c r="Z46" s="136" t="n"/>
      <c r="AA46" s="136" t="n"/>
      <c r="AB46" s="136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s="131">
      <c r="A47" s="369" t="n"/>
      <c r="B47" s="369" t="n"/>
      <c r="C47" s="369" t="n"/>
      <c r="D47" s="369" t="n"/>
      <c r="E47" s="369" t="n"/>
      <c r="F47" s="369" t="n"/>
      <c r="G47" s="369" t="n"/>
      <c r="H47" s="369" t="n"/>
      <c r="I47" s="369" t="n"/>
      <c r="J47" s="369" t="n"/>
      <c r="K47" s="369" t="n"/>
      <c r="L47" s="136" t="n"/>
      <c r="M47" s="136" t="n"/>
      <c r="N47" s="136" t="n"/>
      <c r="O47" s="136" t="n"/>
      <c r="P47" s="136" t="n"/>
      <c r="Q47" s="136" t="n"/>
      <c r="R47" s="136" t="n"/>
      <c r="S47" s="136" t="n"/>
      <c r="T47" s="136" t="n"/>
      <c r="U47" s="136" t="n"/>
      <c r="V47" s="136" t="n"/>
      <c r="W47" s="136" t="n"/>
      <c r="X47" s="136" t="n"/>
      <c r="Y47" s="136" t="n"/>
      <c r="Z47" s="136" t="n"/>
      <c r="AA47" s="136" t="n"/>
      <c r="AB47" s="136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s="131">
      <c r="A48" s="369" t="n"/>
      <c r="B48" s="369" t="n"/>
      <c r="C48" s="369" t="n"/>
      <c r="D48" s="369" t="n"/>
      <c r="E48" s="369" t="n"/>
      <c r="F48" s="369" t="n"/>
      <c r="G48" s="369" t="n"/>
      <c r="H48" s="369" t="n"/>
      <c r="I48" s="369" t="n"/>
      <c r="J48" s="369" t="n"/>
      <c r="K48" s="369" t="n"/>
      <c r="L48" s="136" t="n"/>
      <c r="M48" s="136" t="n"/>
      <c r="N48" s="136" t="n"/>
      <c r="O48" s="136" t="n"/>
      <c r="P48" s="136" t="n"/>
      <c r="Q48" s="136" t="n"/>
      <c r="R48" s="136" t="n"/>
      <c r="S48" s="136" t="n"/>
      <c r="T48" s="136" t="n"/>
      <c r="U48" s="136" t="n"/>
      <c r="V48" s="136" t="n"/>
      <c r="W48" s="136" t="n"/>
      <c r="X48" s="136" t="n"/>
      <c r="Y48" s="136" t="n"/>
      <c r="Z48" s="136" t="n"/>
      <c r="AA48" s="136" t="n"/>
      <c r="AB48" s="136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s="131">
      <c r="A49" s="369" t="n"/>
      <c r="B49" s="369" t="n"/>
      <c r="C49" s="369" t="n"/>
      <c r="D49" s="369" t="n"/>
      <c r="E49" s="369" t="n"/>
      <c r="F49" s="369" t="n"/>
      <c r="G49" s="369" t="n"/>
      <c r="H49" s="369" t="n"/>
      <c r="I49" s="369" t="n"/>
      <c r="J49" s="369" t="n"/>
      <c r="K49" s="369" t="n"/>
      <c r="L49" s="136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6" t="n"/>
      <c r="Y49" s="136" t="n"/>
      <c r="Z49" s="136" t="n"/>
      <c r="AA49" s="136" t="n"/>
      <c r="AB49" s="136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s="131">
      <c r="A50" s="369" t="n"/>
      <c r="B50" s="369" t="n"/>
      <c r="C50" s="369" t="n"/>
      <c r="D50" s="369" t="n"/>
      <c r="E50" s="369" t="n"/>
      <c r="F50" s="369" t="n"/>
      <c r="G50" s="369" t="n"/>
      <c r="H50" s="369" t="n"/>
      <c r="I50" s="369" t="n"/>
      <c r="J50" s="369" t="n"/>
      <c r="K50" s="369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  <row r="51"/>
  </sheetData>
  <mergeCells count="9">
    <mergeCell ref="B4:AB4"/>
    <mergeCell ref="B22:G22"/>
    <mergeCell ref="B37:G37"/>
    <mergeCell ref="B23:G23"/>
    <mergeCell ref="B20:I20"/>
    <mergeCell ref="B2:AB2"/>
    <mergeCell ref="B40:G40"/>
    <mergeCell ref="B3:AB3"/>
    <mergeCell ref="B30:G30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W50"/>
  <sheetViews>
    <sheetView workbookViewId="0">
      <pane ySplit="1" topLeftCell="A2" activePane="bottomLeft" state="frozen"/>
      <selection pane="bottomLeft" activeCell="F8" sqref="F8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VILLAGE GREEN | GREEN = Affordable Comps | BLUE = Market Rate Comps</t>
        </is>
      </c>
      <c r="AF3" s="136" t="n"/>
      <c r="AG3" s="136" t="n"/>
      <c r="AH3" s="136" t="n"/>
      <c r="AI3" s="136" t="n"/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Village Green | 105 Creek Bend Rd, Natchez, MS 39120 | 80 units | Program: Section 8/HUD | Bedroom Mix: 1BR / 2BR / 3BR | County AMI: $55,800 | FMR Area: Adams County, MS</t>
        </is>
      </c>
      <c r="AF4" s="136" t="n"/>
      <c r="AG4" s="136" t="n"/>
      <c r="AH4" s="136" t="n"/>
      <c r="AI4" s="136" t="n"/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F5" s="136" t="n"/>
      <c r="AG5" s="136" t="n"/>
      <c r="AH5" s="136" t="n"/>
      <c r="AI5" s="136" t="n"/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1BD 50% AMI ($)</t>
        </is>
      </c>
      <c r="J6" s="280" t="inlineStr">
        <is>
          <t>1BD 60% AMI ($)</t>
        </is>
      </c>
      <c r="K6" s="280" t="inlineStr">
        <is>
          <t>1BR FMR ($)</t>
        </is>
      </c>
      <c r="L6" s="335" t="inlineStr">
        <is>
          <t>1BR Actual ($)</t>
        </is>
      </c>
      <c r="M6" s="281" t="inlineStr">
        <is>
          <t>2BD 50% AMI ($)</t>
        </is>
      </c>
      <c r="N6" s="280" t="inlineStr">
        <is>
          <t>2BD 60% AMI ($)</t>
        </is>
      </c>
      <c r="O6" s="280" t="inlineStr">
        <is>
          <t>2BR FMR ($)</t>
        </is>
      </c>
      <c r="P6" s="335" t="inlineStr">
        <is>
          <t>2BR Actual ($)</t>
        </is>
      </c>
      <c r="Q6" s="281" t="inlineStr">
        <is>
          <t>3BD 50% AMI ($)</t>
        </is>
      </c>
      <c r="R6" s="280" t="inlineStr">
        <is>
          <t>3BD 60% AMI ($)</t>
        </is>
      </c>
      <c r="S6" s="280" t="inlineStr">
        <is>
          <t>3BR FMR ($)</t>
        </is>
      </c>
      <c r="T6" s="339" t="inlineStr">
        <is>
          <t>3BR Actual ($)</t>
        </is>
      </c>
      <c r="U6" s="339" t="inlineStr">
        <is>
          <t># Units</t>
        </is>
      </c>
      <c r="V6" s="339" t="inlineStr">
        <is>
          <t>Year Built</t>
        </is>
      </c>
      <c r="W6" s="339" t="inlineStr">
        <is>
          <t>Yr Diff</t>
        </is>
      </c>
      <c r="X6" s="339" t="inlineStr">
        <is>
          <t>Utilities Incl.</t>
        </is>
      </c>
      <c r="Y6" s="339" t="inlineStr">
        <is>
          <t>Pet Friendly</t>
        </is>
      </c>
      <c r="Z6" s="336" t="inlineStr">
        <is>
          <t>Gated</t>
        </is>
      </c>
      <c r="AA6" s="340" t="inlineStr">
        <is>
          <t>Pool</t>
        </is>
      </c>
      <c r="AB6" s="342" t="inlineStr">
        <is>
          <t>W/D In-Unit</t>
        </is>
      </c>
      <c r="AC6" s="136" t="inlineStr">
        <is>
          <t>Competition Level</t>
        </is>
      </c>
      <c r="AD6" s="136" t="inlineStr">
        <is>
          <t>Why Competitive</t>
        </is>
      </c>
      <c r="AE6" s="136" t="inlineStr">
        <is>
          <t>Data Source</t>
        </is>
      </c>
      <c r="AF6" s="136" t="n"/>
      <c r="AG6" s="136" t="n"/>
      <c r="AH6" s="136" t="n"/>
      <c r="AI6" s="136" t="n"/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Village Green (SUBJECT)</t>
        </is>
      </c>
      <c r="D7" s="174" t="inlineStr">
        <is>
          <t>105 Creek Bend Rd</t>
        </is>
      </c>
      <c r="E7" s="174" t="inlineStr">
        <is>
          <t>Natchez</t>
        </is>
      </c>
      <c r="F7" s="174" t="inlineStr">
        <is>
          <t>MS</t>
        </is>
      </c>
      <c r="G7" s="174" t="inlineStr">
        <is>
          <t>39120</t>
        </is>
      </c>
      <c r="H7" s="174" t="inlineStr">
        <is>
          <t>0.0 mi</t>
        </is>
      </c>
      <c r="I7" s="174" t="inlineStr">
        <is>
          <t>$2,160</t>
        </is>
      </c>
      <c r="J7" s="174" t="inlineStr">
        <is>
          <t>$2,592</t>
        </is>
      </c>
      <c r="K7" s="174" t="inlineStr">
        <is>
          <t>$599</t>
        </is>
      </c>
      <c r="L7" s="368">
        <f>B26</f>
        <v/>
      </c>
      <c r="M7" s="174" t="inlineStr">
        <is>
          <t>$2,591</t>
        </is>
      </c>
      <c r="N7" s="174" t="inlineStr">
        <is>
          <t>$3,110</t>
        </is>
      </c>
      <c r="O7" s="174" t="inlineStr">
        <is>
          <t>$820</t>
        </is>
      </c>
      <c r="P7" s="368">
        <f>B27</f>
        <v/>
      </c>
      <c r="Q7" s="174" t="inlineStr">
        <is>
          <t>$2,879</t>
        </is>
      </c>
      <c r="R7" s="174" t="inlineStr">
        <is>
          <t>$3,455</t>
        </is>
      </c>
      <c r="S7" s="174" t="inlineStr">
        <is>
          <t>$1,040</t>
        </is>
      </c>
      <c r="T7" s="368">
        <f>B28</f>
        <v/>
      </c>
      <c r="U7" s="174" t="inlineStr">
        <is>
          <t>80</t>
        </is>
      </c>
      <c r="V7" s="174" t="inlineStr">
        <is>
          <t>1977</t>
        </is>
      </c>
      <c r="W7" s="174" t="inlineStr">
        <is>
          <t>0</t>
        </is>
      </c>
      <c r="X7" s="174" t="inlineStr">
        <is>
          <t>Yes</t>
        </is>
      </c>
      <c r="Y7" s="42" t="inlineStr">
        <is>
          <t>No</t>
        </is>
      </c>
      <c r="Z7" s="55" t="inlineStr">
        <is>
          <t>No</t>
        </is>
      </c>
      <c r="AA7" s="40" t="inlineStr">
        <is>
          <t>No</t>
        </is>
      </c>
      <c r="AB7" s="136" t="inlineStr">
        <is>
          <t>No</t>
        </is>
      </c>
      <c r="AC7" s="136" t="inlineStr">
        <is>
          <t>SUBJECT</t>
        </is>
      </c>
      <c r="AD7" s="136" t="inlineStr">
        <is>
          <t>80 units | Section 8/HUD property. Year built: 1977. Subject property for market context.</t>
        </is>
      </c>
      <c r="AE7" s="136" t="inlineStr">
        <is>
          <t>Apartment Corp Records</t>
        </is>
      </c>
      <c r="AF7" s="136" t="n"/>
      <c r="AG7" s="136" t="n"/>
      <c r="AH7" s="136" t="n"/>
      <c r="AI7" s="136" t="n"/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Artesia Wells Apts</t>
        </is>
      </c>
      <c r="D8" s="59" t="inlineStr">
        <is>
          <t>192 Roberts St</t>
        </is>
      </c>
      <c r="E8" s="59" t="inlineStr">
        <is>
          <t>Artesia</t>
        </is>
      </c>
      <c r="F8" s="59" t="inlineStr">
        <is>
          <t>MS</t>
        </is>
      </c>
      <c r="G8" s="59" t="n"/>
      <c r="H8" s="59" t="inlineStr">
        <is>
          <t>N/A</t>
        </is>
      </c>
      <c r="I8" s="59" t="inlineStr">
        <is>
          <t>$2,160</t>
        </is>
      </c>
      <c r="J8" s="59" t="inlineStr">
        <is>
          <t>$2,592</t>
        </is>
      </c>
      <c r="K8" s="41" t="inlineStr">
        <is>
          <t>$599</t>
        </is>
      </c>
      <c r="L8" s="53" t="inlineStr">
        <is>
          <t>Not Listed</t>
        </is>
      </c>
      <c r="M8" s="43" t="inlineStr">
        <is>
          <t>$2,591</t>
        </is>
      </c>
      <c r="N8" s="43" t="inlineStr">
        <is>
          <t>$3,110</t>
        </is>
      </c>
      <c r="O8" s="41" t="inlineStr">
        <is>
          <t>$820</t>
        </is>
      </c>
      <c r="P8" s="53" t="inlineStr">
        <is>
          <t>Not Listed</t>
        </is>
      </c>
      <c r="Q8" s="43" t="inlineStr">
        <is>
          <t>$2,879</t>
        </is>
      </c>
      <c r="R8" s="43" t="inlineStr">
        <is>
          <t>$3,455</t>
        </is>
      </c>
      <c r="S8" s="43" t="inlineStr">
        <is>
          <t>$1,040</t>
        </is>
      </c>
      <c r="T8" s="43" t="inlineStr">
        <is>
          <t>Not Listed</t>
        </is>
      </c>
      <c r="U8" s="43" t="inlineStr">
        <is>
          <t>16</t>
        </is>
      </c>
      <c r="V8" s="43" t="inlineStr">
        <is>
          <t>1987</t>
        </is>
      </c>
      <c r="W8" s="43" t="inlineStr">
        <is>
          <t>10</t>
        </is>
      </c>
      <c r="X8" s="43" t="inlineStr">
        <is>
          <t>Yes</t>
        </is>
      </c>
      <c r="Y8" s="44" t="inlineStr">
        <is>
          <t>No</t>
        </is>
      </c>
      <c r="Z8" s="56" t="inlineStr">
        <is>
          <t>No</t>
        </is>
      </c>
      <c r="AA8" s="43" t="inlineStr">
        <is>
          <t>No</t>
        </is>
      </c>
      <c r="AB8" s="136" t="inlineStr">
        <is>
          <t>No</t>
        </is>
      </c>
      <c r="AC8" s="136" t="inlineStr">
        <is>
          <t>MODERATE</t>
        </is>
      </c>
      <c r="AD8" s="136" t="inlineStr">
        <is>
          <t>Affordable Comp #1: LIHTC property, 1987 vintage (10 yr diff), 16 units, N/A from subject. Same income-eligible renter pool.</t>
        </is>
      </c>
      <c r="AE8" s="136" t="inlineStr">
        <is>
          <t>HUD LIHTC Database (huduser.gov)</t>
        </is>
      </c>
      <c r="AF8" s="136" t="n"/>
      <c r="AG8" s="136" t="n"/>
      <c r="AH8" s="136" t="n"/>
      <c r="AI8" s="136" t="n"/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Indian Creek Phase Ii</t>
        </is>
      </c>
      <c r="D9" s="125" t="inlineStr">
        <is>
          <t>150 Hwy 469 N</t>
        </is>
      </c>
      <c r="E9" s="125" t="inlineStr">
        <is>
          <t>Florence</t>
        </is>
      </c>
      <c r="F9" s="125" t="inlineStr">
        <is>
          <t>MS</t>
        </is>
      </c>
      <c r="G9" s="125" t="inlineStr">
        <is>
          <t>39073</t>
        </is>
      </c>
      <c r="H9" s="125" t="inlineStr">
        <is>
          <t>86.0 mi</t>
        </is>
      </c>
      <c r="I9" s="125" t="inlineStr">
        <is>
          <t>$2,160</t>
        </is>
      </c>
      <c r="J9" s="125" t="inlineStr">
        <is>
          <t>$2,592</t>
        </is>
      </c>
      <c r="K9" s="85" t="inlineStr">
        <is>
          <t>$599</t>
        </is>
      </c>
      <c r="L9" s="86" t="inlineStr">
        <is>
          <t>Not Listed</t>
        </is>
      </c>
      <c r="M9" s="128" t="inlineStr">
        <is>
          <t>$2,591</t>
        </is>
      </c>
      <c r="N9" s="128" t="inlineStr">
        <is>
          <t>$3,110</t>
        </is>
      </c>
      <c r="O9" s="85" t="inlineStr">
        <is>
          <t>$820</t>
        </is>
      </c>
      <c r="P9" s="86" t="inlineStr">
        <is>
          <t>Not Listed</t>
        </is>
      </c>
      <c r="Q9" s="128" t="inlineStr">
        <is>
          <t>$2,879</t>
        </is>
      </c>
      <c r="R9" s="128" t="inlineStr">
        <is>
          <t>$3,455</t>
        </is>
      </c>
      <c r="S9" s="128" t="inlineStr">
        <is>
          <t>$1,040</t>
        </is>
      </c>
      <c r="T9" s="128" t="inlineStr">
        <is>
          <t>Not Listed</t>
        </is>
      </c>
      <c r="U9" s="128" t="inlineStr">
        <is>
          <t>32</t>
        </is>
      </c>
      <c r="V9" s="128" t="inlineStr">
        <is>
          <t>1987</t>
        </is>
      </c>
      <c r="W9" s="128" t="inlineStr">
        <is>
          <t>10</t>
        </is>
      </c>
      <c r="X9" s="128" t="inlineStr">
        <is>
          <t>Yes</t>
        </is>
      </c>
      <c r="Y9" s="129" t="inlineStr">
        <is>
          <t>No</t>
        </is>
      </c>
      <c r="Z9" s="130" t="inlineStr">
        <is>
          <t>No</t>
        </is>
      </c>
      <c r="AA9" s="128" t="inlineStr">
        <is>
          <t>No</t>
        </is>
      </c>
      <c r="AB9" s="136" t="inlineStr">
        <is>
          <t>No</t>
        </is>
      </c>
      <c r="AC9" s="136" t="inlineStr">
        <is>
          <t>LOW-MODERATE</t>
        </is>
      </c>
      <c r="AD9" s="136" t="inlineStr">
        <is>
          <t>Affordable Comp #2: LIHTC property, 1987 vintage (10 yr diff), 32 units, 86.0 mi from subject. Same income-eligible renter pool.</t>
        </is>
      </c>
      <c r="AE9" s="136" t="inlineStr">
        <is>
          <t>HUD LIHTC Database (huduser.gov)</t>
        </is>
      </c>
      <c r="AF9" s="136" t="n"/>
      <c r="AG9" s="136" t="n"/>
      <c r="AH9" s="136" t="n"/>
      <c r="AI9" s="136" t="n"/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Bloom Street Apts</t>
        </is>
      </c>
      <c r="D10" s="107" t="inlineStr">
        <is>
          <t>515 Bloom St</t>
        </is>
      </c>
      <c r="E10" s="107" t="inlineStr">
        <is>
          <t>Jackson</t>
        </is>
      </c>
      <c r="F10" s="107" t="inlineStr">
        <is>
          <t>MS</t>
        </is>
      </c>
      <c r="G10" s="107" t="inlineStr">
        <is>
          <t>39202</t>
        </is>
      </c>
      <c r="H10" s="107" t="inlineStr">
        <is>
          <t>87.9 mi</t>
        </is>
      </c>
      <c r="I10" s="107" t="inlineStr">
        <is>
          <t>$2,160</t>
        </is>
      </c>
      <c r="J10" s="107" t="inlineStr">
        <is>
          <t>$2,592</t>
        </is>
      </c>
      <c r="K10" s="80" t="inlineStr">
        <is>
          <t>$599</t>
        </is>
      </c>
      <c r="L10" s="81" t="inlineStr">
        <is>
          <t>Not Listed</t>
        </is>
      </c>
      <c r="M10" s="108" t="inlineStr">
        <is>
          <t>$2,591</t>
        </is>
      </c>
      <c r="N10" s="108" t="inlineStr">
        <is>
          <t>$3,110</t>
        </is>
      </c>
      <c r="O10" s="80" t="inlineStr">
        <is>
          <t>$820</t>
        </is>
      </c>
      <c r="P10" s="81" t="inlineStr">
        <is>
          <t>Not Listed</t>
        </is>
      </c>
      <c r="Q10" s="108" t="inlineStr">
        <is>
          <t>$2,879</t>
        </is>
      </c>
      <c r="R10" s="108" t="inlineStr">
        <is>
          <t>$3,455</t>
        </is>
      </c>
      <c r="S10" s="108" t="inlineStr">
        <is>
          <t>$1,040</t>
        </is>
      </c>
      <c r="T10" s="108" t="inlineStr">
        <is>
          <t>Not Listed</t>
        </is>
      </c>
      <c r="U10" s="108" t="inlineStr">
        <is>
          <t>24</t>
        </is>
      </c>
      <c r="V10" s="108" t="inlineStr">
        <is>
          <t>1987</t>
        </is>
      </c>
      <c r="W10" s="108" t="inlineStr">
        <is>
          <t>10</t>
        </is>
      </c>
      <c r="X10" s="108" t="inlineStr">
        <is>
          <t>Yes</t>
        </is>
      </c>
      <c r="Y10" s="109" t="inlineStr">
        <is>
          <t>No</t>
        </is>
      </c>
      <c r="Z10" s="110" t="inlineStr">
        <is>
          <t>No</t>
        </is>
      </c>
      <c r="AA10" s="111" t="inlineStr">
        <is>
          <t>No</t>
        </is>
      </c>
      <c r="AB10" s="134" t="inlineStr">
        <is>
          <t>No</t>
        </is>
      </c>
      <c r="AC10" s="136" t="inlineStr">
        <is>
          <t>LOW-MODERATE</t>
        </is>
      </c>
      <c r="AD10" s="136" t="inlineStr">
        <is>
          <t>Affordable Comp #3: LIHTC property, 1987 vintage (10 yr diff), 24 units, 87.9 mi from subject. Same income-eligible renter pool.</t>
        </is>
      </c>
      <c r="AE10" s="136" t="inlineStr">
        <is>
          <t>HUD LIHTC Database (huduser.gov)</t>
        </is>
      </c>
      <c r="AF10" s="136" t="n"/>
      <c r="AG10" s="136" t="n"/>
      <c r="AH10" s="136" t="n"/>
      <c r="AI10" s="136" t="n"/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Sandstone Apts</t>
        </is>
      </c>
      <c r="D11" s="95" t="inlineStr">
        <is>
          <t>607 Wallace Dr</t>
        </is>
      </c>
      <c r="E11" s="95" t="inlineStr">
        <is>
          <t>Edwards</t>
        </is>
      </c>
      <c r="F11" s="95" t="inlineStr">
        <is>
          <t>MS</t>
        </is>
      </c>
      <c r="G11" s="95" t="inlineStr">
        <is>
          <t>39066</t>
        </is>
      </c>
      <c r="H11" s="95" t="inlineStr">
        <is>
          <t>71.6 mi</t>
        </is>
      </c>
      <c r="I11" s="95" t="inlineStr">
        <is>
          <t>$2,160</t>
        </is>
      </c>
      <c r="J11" s="95" t="inlineStr">
        <is>
          <t>$2,592</t>
        </is>
      </c>
      <c r="K11" s="39" t="inlineStr">
        <is>
          <t>$599</t>
        </is>
      </c>
      <c r="L11" s="53" t="inlineStr">
        <is>
          <t>Not Listed</t>
        </is>
      </c>
      <c r="M11" s="96" t="inlineStr">
        <is>
          <t>$2,591</t>
        </is>
      </c>
      <c r="N11" s="96" t="inlineStr">
        <is>
          <t>$3,110</t>
        </is>
      </c>
      <c r="O11" s="39" t="inlineStr">
        <is>
          <t>$820</t>
        </is>
      </c>
      <c r="P11" s="53" t="inlineStr">
        <is>
          <t>Not Listed</t>
        </is>
      </c>
      <c r="Q11" s="96" t="inlineStr">
        <is>
          <t>$2,879</t>
        </is>
      </c>
      <c r="R11" s="96" t="inlineStr">
        <is>
          <t>$3,455</t>
        </is>
      </c>
      <c r="S11" s="96" t="inlineStr">
        <is>
          <t>$1,040</t>
        </is>
      </c>
      <c r="T11" s="96" t="inlineStr">
        <is>
          <t>Not Listed</t>
        </is>
      </c>
      <c r="U11" s="96" t="inlineStr">
        <is>
          <t>24</t>
        </is>
      </c>
      <c r="V11" s="96" t="inlineStr">
        <is>
          <t>1987</t>
        </is>
      </c>
      <c r="W11" s="96" t="inlineStr">
        <is>
          <t>10</t>
        </is>
      </c>
      <c r="X11" s="96" t="inlineStr">
        <is>
          <t>Yes</t>
        </is>
      </c>
      <c r="Y11" s="45" t="inlineStr">
        <is>
          <t>No</t>
        </is>
      </c>
      <c r="Z11" s="97" t="inlineStr">
        <is>
          <t>No</t>
        </is>
      </c>
      <c r="AA11" s="113" t="inlineStr">
        <is>
          <t>No</t>
        </is>
      </c>
      <c r="AB11" s="134" t="inlineStr">
        <is>
          <t>No</t>
        </is>
      </c>
      <c r="AC11" s="136" t="inlineStr">
        <is>
          <t>LOW-MODERATE</t>
        </is>
      </c>
      <c r="AD11" s="136" t="inlineStr">
        <is>
          <t>Affordable Comp #4: LIHTC property, 1987 vintage (10 yr diff), 24 units, 71.6 mi from subject. Same income-eligible renter pool.</t>
        </is>
      </c>
      <c r="AE11" s="136" t="inlineStr">
        <is>
          <t>HUD LIHTC Database (huduser.gov)</t>
        </is>
      </c>
      <c r="AF11" s="136" t="n"/>
      <c r="AG11" s="136" t="n"/>
      <c r="AH11" s="136" t="n"/>
      <c r="AI11" s="136" t="n"/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37.5" customHeight="1" s="131">
      <c r="A12" s="114" t="n">
        <v>1</v>
      </c>
      <c r="B12" s="70" t="inlineStr">
        <is>
          <t>MARKET RATE</t>
        </is>
      </c>
      <c r="C12" s="67" t="inlineStr">
        <is>
          <t>Camelot Apartments</t>
        </is>
      </c>
      <c r="D12" s="98" t="inlineStr">
        <is>
          <t>156 Jefferson Davis Blvd</t>
        </is>
      </c>
      <c r="E12" s="98" t="inlineStr">
        <is>
          <t>Natchez</t>
        </is>
      </c>
      <c r="F12" s="98" t="inlineStr">
        <is>
          <t>MS</t>
        </is>
      </c>
      <c r="G12" s="98" t="inlineStr">
        <is>
          <t>39120</t>
        </is>
      </c>
      <c r="H12" s="98" t="inlineStr">
        <is>
          <t>0.8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N/A</t>
        </is>
      </c>
      <c r="L12" s="146" t="n">
        <v>750</v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N/A</t>
        </is>
      </c>
      <c r="P12" s="146" t="n">
        <v>850</v>
      </c>
      <c r="Q12" s="99" t="inlineStr">
        <is>
          <t>N/A (Market Rate)</t>
        </is>
      </c>
      <c r="R12" s="99" t="inlineStr">
        <is>
          <t>N/A (Market Rate)</t>
        </is>
      </c>
      <c r="S12" s="99" t="inlineStr">
        <is>
          <t>N/A</t>
        </is>
      </c>
      <c r="T12" s="99" t="inlineStr">
        <is>
          <t>N/A</t>
        </is>
      </c>
      <c r="U12" s="99" t="inlineStr">
        <is>
          <t>N/A (Market Rate)</t>
        </is>
      </c>
      <c r="V12" s="99" t="inlineStr">
        <is>
          <t>N/A (Market Rate)</t>
        </is>
      </c>
      <c r="W12" s="99" t="inlineStr">
        <is>
          <t>N/A</t>
        </is>
      </c>
      <c r="X12" s="99" t="inlineStr">
        <is>
          <t>N/A</t>
        </is>
      </c>
      <c r="Y12" s="46" t="inlineStr">
        <is>
          <t>N/A (Market Rate)</t>
        </is>
      </c>
      <c r="Z12" s="100" t="inlineStr">
        <is>
          <t>N/A (Market Rate)</t>
        </is>
      </c>
      <c r="AA12" s="115" t="inlineStr">
        <is>
          <t>N/A</t>
        </is>
      </c>
      <c r="AB12" s="134" t="inlineStr">
        <is>
          <t>N/A</t>
        </is>
      </c>
      <c r="AC12" s="136" t="inlineStr">
        <is>
          <t>N/A</t>
        </is>
      </c>
      <c r="AD12" s="136" t="inlineStr">
        <is>
          <t>No</t>
        </is>
      </c>
      <c r="AE12" s="136" t="inlineStr">
        <is>
          <t>Apartments.com verified, Apr 2026</t>
        </is>
      </c>
      <c r="AF12" s="136" t="n"/>
      <c r="AG12" s="136" t="n"/>
      <c r="AH12" s="136" t="n"/>
      <c r="AI12" s="136" t="n"/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n">
        <v>2</v>
      </c>
      <c r="B13" s="71" t="inlineStr">
        <is>
          <t>MARKET RATE</t>
        </is>
      </c>
      <c r="C13" s="68" t="inlineStr">
        <is>
          <t>Bienville Apartments</t>
        </is>
      </c>
      <c r="D13" s="101" t="inlineStr">
        <is>
          <t>500 N Commerce St</t>
        </is>
      </c>
      <c r="E13" s="101" t="inlineStr">
        <is>
          <t>Natchez</t>
        </is>
      </c>
      <c r="F13" s="101" t="inlineStr">
        <is>
          <t>MS</t>
        </is>
      </c>
      <c r="G13" s="101" t="inlineStr">
        <is>
          <t>39120</t>
        </is>
      </c>
      <c r="H13" s="101" t="inlineStr">
        <is>
          <t>1.2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N/A</t>
        </is>
      </c>
      <c r="L13" s="146" t="n">
        <v>635</v>
      </c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N/A</t>
        </is>
      </c>
      <c r="P13" s="146" t="n">
        <v>815</v>
      </c>
      <c r="Q13" s="102" t="inlineStr">
        <is>
          <t>N/A (Market Rate)</t>
        </is>
      </c>
      <c r="R13" s="102" t="inlineStr">
        <is>
          <t>N/A (Market Rate)</t>
        </is>
      </c>
      <c r="S13" s="102" t="inlineStr">
        <is>
          <t>N/A</t>
        </is>
      </c>
      <c r="T13" s="102" t="inlineStr">
        <is>
          <t>N/A</t>
        </is>
      </c>
      <c r="U13" s="102" t="inlineStr">
        <is>
          <t>N/A (Market Rate)</t>
        </is>
      </c>
      <c r="V13" s="102" t="inlineStr">
        <is>
          <t>N/A (Market Rate)</t>
        </is>
      </c>
      <c r="W13" s="102" t="inlineStr">
        <is>
          <t>N/A</t>
        </is>
      </c>
      <c r="X13" s="102" t="inlineStr">
        <is>
          <t>N/A</t>
        </is>
      </c>
      <c r="Y13" s="47" t="inlineStr">
        <is>
          <t>N/A (Market Rate)</t>
        </is>
      </c>
      <c r="Z13" s="103" t="inlineStr">
        <is>
          <t>N/A (Market Rate)</t>
        </is>
      </c>
      <c r="AA13" s="117" t="inlineStr">
        <is>
          <t>N/A</t>
        </is>
      </c>
      <c r="AB13" s="134" t="inlineStr">
        <is>
          <t>N/A</t>
        </is>
      </c>
      <c r="AC13" s="136" t="inlineStr">
        <is>
          <t>N/A</t>
        </is>
      </c>
      <c r="AD13" s="136" t="inlineStr">
        <is>
          <t>No</t>
        </is>
      </c>
      <c r="AE13" s="136" t="inlineStr">
        <is>
          <t>Apartments.com verified, Apr 2026</t>
        </is>
      </c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n">
        <v>3</v>
      </c>
      <c r="B14" s="69" t="inlineStr">
        <is>
          <t>MARKET RATE</t>
        </is>
      </c>
      <c r="C14" s="66" t="inlineStr">
        <is>
          <t>Covington II</t>
        </is>
      </c>
      <c r="D14" s="95" t="inlineStr">
        <is>
          <t>22 T Waring Bennett Jr Rd</t>
        </is>
      </c>
      <c r="E14" s="95" t="inlineStr">
        <is>
          <t>Natchez</t>
        </is>
      </c>
      <c r="F14" s="95" t="inlineStr">
        <is>
          <t>MS</t>
        </is>
      </c>
      <c r="G14" s="95" t="inlineStr">
        <is>
          <t>39120</t>
        </is>
      </c>
      <c r="H14" s="95" t="inlineStr">
        <is>
          <t>1.5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N/A</t>
        </is>
      </c>
      <c r="L14" s="146" t="n">
        <v>675</v>
      </c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N/A</t>
        </is>
      </c>
      <c r="P14" s="146" t="n">
        <v>730</v>
      </c>
      <c r="Q14" s="96" t="inlineStr">
        <is>
          <t>N/A (Market Rate)</t>
        </is>
      </c>
      <c r="R14" s="96" t="inlineStr">
        <is>
          <t>N/A (Market Rate)</t>
        </is>
      </c>
      <c r="S14" s="96" t="inlineStr">
        <is>
          <t>N/A</t>
        </is>
      </c>
      <c r="T14" s="96" t="inlineStr">
        <is>
          <t>N/A</t>
        </is>
      </c>
      <c r="U14" s="96" t="inlineStr">
        <is>
          <t>N/A (Market Rate)</t>
        </is>
      </c>
      <c r="V14" s="96" t="inlineStr">
        <is>
          <t>N/A (Market Rate)</t>
        </is>
      </c>
      <c r="W14" s="96" t="inlineStr">
        <is>
          <t>N/A</t>
        </is>
      </c>
      <c r="X14" s="96" t="inlineStr">
        <is>
          <t>N/A</t>
        </is>
      </c>
      <c r="Y14" s="45" t="inlineStr">
        <is>
          <t>N/A (Market Rate)</t>
        </is>
      </c>
      <c r="Z14" s="97" t="inlineStr">
        <is>
          <t>N/A (Market Rate)</t>
        </is>
      </c>
      <c r="AA14" s="113" t="inlineStr">
        <is>
          <t>N/A</t>
        </is>
      </c>
      <c r="AB14" s="134" t="inlineStr">
        <is>
          <t>N/A</t>
        </is>
      </c>
      <c r="AC14" s="136" t="inlineStr">
        <is>
          <t>N/A</t>
        </is>
      </c>
      <c r="AD14" s="136" t="inlineStr">
        <is>
          <t>No</t>
        </is>
      </c>
      <c r="AE14" s="136" t="inlineStr">
        <is>
          <t>Apartments.com verified, Apr 2026</t>
        </is>
      </c>
      <c r="AF14" s="136" t="n"/>
      <c r="AG14" s="136" t="n"/>
      <c r="AH14" s="136" t="n"/>
      <c r="AI14" s="136" t="n"/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n">
        <v>4</v>
      </c>
      <c r="B15" s="69" t="inlineStr">
        <is>
          <t>MARKET RATE</t>
        </is>
      </c>
      <c r="C15" s="66" t="inlineStr">
        <is>
          <t>Riverbreeze Manor Apartments</t>
        </is>
      </c>
      <c r="D15" s="95" t="inlineStr">
        <is>
          <t>144 N Shields Ln</t>
        </is>
      </c>
      <c r="E15" s="95" t="inlineStr">
        <is>
          <t>Natchez</t>
        </is>
      </c>
      <c r="F15" s="95" t="inlineStr">
        <is>
          <t>MS</t>
        </is>
      </c>
      <c r="G15" s="95" t="inlineStr">
        <is>
          <t>39120</t>
        </is>
      </c>
      <c r="H15" s="95" t="inlineStr">
        <is>
          <t>1.8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N/A</t>
        </is>
      </c>
      <c r="L15" s="146" t="n">
        <v>650</v>
      </c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N/A</t>
        </is>
      </c>
      <c r="P15" s="146" t="n">
        <v>750</v>
      </c>
      <c r="Q15" s="96" t="inlineStr">
        <is>
          <t>N/A (Market Rate)</t>
        </is>
      </c>
      <c r="R15" s="96" t="inlineStr">
        <is>
          <t>N/A (Market Rate)</t>
        </is>
      </c>
      <c r="S15" s="96" t="inlineStr">
        <is>
          <t>N/A</t>
        </is>
      </c>
      <c r="T15" s="153" t="n">
        <v>850</v>
      </c>
      <c r="U15" s="96" t="inlineStr">
        <is>
          <t>N/A (Market Rate)</t>
        </is>
      </c>
      <c r="V15" s="96" t="inlineStr">
        <is>
          <t>N/A (Market Rate)</t>
        </is>
      </c>
      <c r="W15" s="96" t="inlineStr">
        <is>
          <t>N/A</t>
        </is>
      </c>
      <c r="X15" s="96" t="inlineStr">
        <is>
          <t>N/A</t>
        </is>
      </c>
      <c r="Y15" s="45" t="inlineStr">
        <is>
          <t>N/A (Market Rate)</t>
        </is>
      </c>
      <c r="Z15" s="97" t="inlineStr">
        <is>
          <t>N/A (Market Rate)</t>
        </is>
      </c>
      <c r="AA15" s="113" t="inlineStr">
        <is>
          <t>N/A</t>
        </is>
      </c>
      <c r="AB15" s="134" t="inlineStr">
        <is>
          <t>N/A</t>
        </is>
      </c>
      <c r="AC15" s="136" t="inlineStr">
        <is>
          <t>N/A</t>
        </is>
      </c>
      <c r="AD15" s="136" t="inlineStr">
        <is>
          <t>No</t>
        </is>
      </c>
      <c r="AE15" s="136" t="inlineStr">
        <is>
          <t>Apartments.com verified, Apr 2026</t>
        </is>
      </c>
      <c r="AF15" s="136" t="n"/>
      <c r="AG15" s="136" t="n"/>
      <c r="AH15" s="136" t="n"/>
      <c r="AI15" s="136" t="n"/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n">
        <v>5</v>
      </c>
      <c r="B16" s="82" t="inlineStr">
        <is>
          <t>MARKET RATE</t>
        </is>
      </c>
      <c r="C16" s="119" t="inlineStr">
        <is>
          <t>Individual Unit — 1008 N Union St</t>
        </is>
      </c>
      <c r="D16" s="120" t="inlineStr">
        <is>
          <t>1008 N Union St</t>
        </is>
      </c>
      <c r="E16" s="120" t="inlineStr">
        <is>
          <t>Natchez</t>
        </is>
      </c>
      <c r="F16" s="120" t="inlineStr">
        <is>
          <t>MS</t>
        </is>
      </c>
      <c r="G16" s="120" t="inlineStr">
        <is>
          <t>39120</t>
        </is>
      </c>
      <c r="H16" s="120" t="inlineStr">
        <is>
          <t>1.1 mi</t>
        </is>
      </c>
      <c r="I16" s="120" t="inlineStr">
        <is>
          <t>N/A (Market Rate)</t>
        </is>
      </c>
      <c r="J16" s="120" t="inlineStr">
        <is>
          <t>N/A (Market Rate)</t>
        </is>
      </c>
      <c r="K16" s="121" t="inlineStr">
        <is>
          <t>N/A</t>
        </is>
      </c>
      <c r="L16" s="83" t="inlineStr">
        <is>
          <t>N/A</t>
        </is>
      </c>
      <c r="M16" s="122" t="inlineStr">
        <is>
          <t>N/A (Market Rate)</t>
        </is>
      </c>
      <c r="N16" s="122" t="inlineStr">
        <is>
          <t>N/A (Market Rate)</t>
        </is>
      </c>
      <c r="O16" s="121" t="inlineStr">
        <is>
          <t>N/A</t>
        </is>
      </c>
      <c r="P16" s="83" t="inlineStr">
        <is>
          <t>N/A</t>
        </is>
      </c>
      <c r="Q16" s="122" t="inlineStr">
        <is>
          <t>N/A (Market Rate)</t>
        </is>
      </c>
      <c r="R16" s="122" t="inlineStr">
        <is>
          <t>N/A (Market Rate)</t>
        </is>
      </c>
      <c r="S16" s="122" t="inlineStr">
        <is>
          <t>N/A</t>
        </is>
      </c>
      <c r="T16" s="155" t="n">
        <v>1289</v>
      </c>
      <c r="U16" s="122" t="inlineStr">
        <is>
          <t>N/A (Market Rate)</t>
        </is>
      </c>
      <c r="V16" s="122" t="inlineStr">
        <is>
          <t>N/A (Market Rate)</t>
        </is>
      </c>
      <c r="W16" s="122" t="inlineStr">
        <is>
          <t>N/A</t>
        </is>
      </c>
      <c r="X16" s="122" t="inlineStr">
        <is>
          <t>N/A</t>
        </is>
      </c>
      <c r="Y16" s="84" t="inlineStr">
        <is>
          <t>N/A (Market Rate)</t>
        </is>
      </c>
      <c r="Z16" s="123" t="inlineStr">
        <is>
          <t>N/A (Market Rate)</t>
        </is>
      </c>
      <c r="AA16" s="124" t="inlineStr">
        <is>
          <t>N/A</t>
        </is>
      </c>
      <c r="AB16" s="134" t="inlineStr">
        <is>
          <t>N/A</t>
        </is>
      </c>
      <c r="AC16" s="136" t="inlineStr">
        <is>
          <t>N/A</t>
        </is>
      </c>
      <c r="AD16" s="136" t="inlineStr">
        <is>
          <t>No</t>
        </is>
      </c>
      <c r="AE16" s="136" t="inlineStr">
        <is>
          <t>Apartments.com verified, Apr 2026 — single unit rental</t>
        </is>
      </c>
      <c r="AF16" s="136" t="n"/>
      <c r="AG16" s="136" t="n"/>
      <c r="AH16" s="136" t="n"/>
      <c r="AI16" s="136" t="n"/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n">
        <v>6</v>
      </c>
      <c r="B17" s="88" t="inlineStr">
        <is>
          <t>MARKET RATE</t>
        </is>
      </c>
      <c r="C17" s="89" t="inlineStr">
        <is>
          <t>Individual Unit — 2116 Second St</t>
        </is>
      </c>
      <c r="D17" s="87" t="inlineStr">
        <is>
          <t>2116 Second St</t>
        </is>
      </c>
      <c r="E17" s="87" t="inlineStr">
        <is>
          <t>Natchez</t>
        </is>
      </c>
      <c r="F17" s="87" t="inlineStr">
        <is>
          <t>MS</t>
        </is>
      </c>
      <c r="G17" s="87" t="inlineStr">
        <is>
          <t>39120</t>
        </is>
      </c>
      <c r="H17" s="87" t="inlineStr">
        <is>
          <t>0.9 mi</t>
        </is>
      </c>
      <c r="I17" s="87" t="inlineStr">
        <is>
          <t>N/A (Market Rate)</t>
        </is>
      </c>
      <c r="J17" s="87" t="inlineStr">
        <is>
          <t>N/A (Market Rate)</t>
        </is>
      </c>
      <c r="K17" s="90" t="inlineStr">
        <is>
          <t>N/A</t>
        </is>
      </c>
      <c r="L17" s="91" t="inlineStr">
        <is>
          <t>N/A</t>
        </is>
      </c>
      <c r="M17" s="92" t="inlineStr">
        <is>
          <t>N/A (Market Rate)</t>
        </is>
      </c>
      <c r="N17" s="92" t="inlineStr">
        <is>
          <t>N/A (Market Rate)</t>
        </is>
      </c>
      <c r="O17" s="90" t="inlineStr">
        <is>
          <t>N/A</t>
        </is>
      </c>
      <c r="P17" s="91" t="inlineStr">
        <is>
          <t>N/A</t>
        </is>
      </c>
      <c r="Q17" s="92" t="inlineStr">
        <is>
          <t>N/A (Market Rate)</t>
        </is>
      </c>
      <c r="R17" s="92" t="inlineStr">
        <is>
          <t>N/A (Market Rate)</t>
        </is>
      </c>
      <c r="S17" s="92" t="inlineStr">
        <is>
          <t>N/A</t>
        </is>
      </c>
      <c r="T17" s="154" t="n">
        <v>1150</v>
      </c>
      <c r="U17" s="92" t="inlineStr">
        <is>
          <t>N/A (Market Rate)</t>
        </is>
      </c>
      <c r="V17" s="92" t="inlineStr">
        <is>
          <t>N/A (Market Rate)</t>
        </is>
      </c>
      <c r="W17" s="92" t="inlineStr">
        <is>
          <t>N/A</t>
        </is>
      </c>
      <c r="X17" s="92" t="inlineStr">
        <is>
          <t>N/A</t>
        </is>
      </c>
      <c r="Y17" s="93" t="inlineStr">
        <is>
          <t>N/A (Market Rate)</t>
        </is>
      </c>
      <c r="Z17" s="94" t="inlineStr">
        <is>
          <t>N/A (Market Rate)</t>
        </is>
      </c>
      <c r="AA17" s="92" t="inlineStr">
        <is>
          <t>N/A</t>
        </is>
      </c>
      <c r="AB17" s="136" t="inlineStr">
        <is>
          <t>N/A</t>
        </is>
      </c>
      <c r="AC17" s="136" t="inlineStr">
        <is>
          <t>N/A</t>
        </is>
      </c>
      <c r="AD17" s="136" t="inlineStr">
        <is>
          <t>No</t>
        </is>
      </c>
      <c r="AE17" s="136" t="inlineStr">
        <is>
          <t>Apartments.com verified, Apr 2026 — single unit rental</t>
        </is>
      </c>
      <c r="AF17" s="136" t="n"/>
      <c r="AG17" s="136" t="n"/>
      <c r="AH17" s="136" t="n"/>
      <c r="AI17" s="136" t="n"/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C19" s="136" t="n"/>
      <c r="AD19" s="136" t="n"/>
      <c r="AE19" s="136" t="n"/>
      <c r="AF19" s="136" t="n"/>
      <c r="AG19" s="136" t="n"/>
      <c r="AH19" s="136" t="n"/>
      <c r="AI19" s="136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Format="1" customHeight="1" s="2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Height="1" s="131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Height="1" s="131">
      <c r="A25" s="372" t="n"/>
      <c r="B25" s="201" t="inlineStr">
        <is>
          <t>1BD</t>
        </is>
      </c>
      <c r="C25" s="194" t="n"/>
      <c r="D25" s="200" t="n">
        <v>678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Format="1" customHeight="1" s="2">
      <c r="A26" s="372" t="n"/>
      <c r="B26" s="201" t="inlineStr">
        <is>
          <t>2BD</t>
        </is>
      </c>
      <c r="C26" s="194" t="n"/>
      <c r="D26" s="200" t="n">
        <v>786</v>
      </c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24.75" customFormat="1" customHeight="1" s="2">
      <c r="A27" s="369" t="n"/>
      <c r="B27" s="201" t="inlineStr">
        <is>
          <t>3BD</t>
        </is>
      </c>
      <c r="C27" s="194" t="n"/>
      <c r="D27" s="200" t="n">
        <v>1096</v>
      </c>
      <c r="E27" s="195" t="n"/>
      <c r="F27" s="183" t="n"/>
      <c r="G27" s="183" t="n"/>
      <c r="H27" s="183" t="n"/>
      <c r="I27" s="183" t="n"/>
      <c r="J27" s="183" t="n"/>
      <c r="K27" s="302" t="n"/>
      <c r="L27" s="302" t="n"/>
      <c r="M27" s="302" t="n"/>
      <c r="N27" s="302" t="n"/>
      <c r="O27" s="343" t="n"/>
      <c r="P27" s="302" t="n"/>
      <c r="Q27" s="302" t="n"/>
      <c r="R27" s="302" t="n"/>
      <c r="S27" s="302" t="n"/>
      <c r="T27" s="302" t="n"/>
      <c r="U27" s="302" t="n"/>
      <c r="V27" s="302" t="n"/>
      <c r="W27" s="302" t="n"/>
      <c r="X27" s="302" t="n"/>
      <c r="Y27" s="302" t="n"/>
      <c r="Z27" s="302" t="n"/>
      <c r="AA27" s="353" t="n"/>
      <c r="AB27" s="302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8.1" customFormat="1" customHeight="1" s="2">
      <c r="A28" s="382" t="n"/>
      <c r="B28" s="404" t="n"/>
      <c r="C28" s="403" t="n"/>
      <c r="D28" s="404" t="n"/>
      <c r="E28" s="404" t="n"/>
      <c r="F28" s="382" t="n"/>
      <c r="G28" s="369" t="n"/>
      <c r="H28" s="369" t="n"/>
      <c r="I28" s="369" t="n"/>
      <c r="J28" s="369" t="n"/>
      <c r="K28" s="369" t="n"/>
      <c r="L28" s="134" t="n"/>
      <c r="M28" s="134" t="n"/>
      <c r="N28" s="134" t="n"/>
      <c r="O28" s="134" t="n"/>
      <c r="P28" s="134" t="n"/>
      <c r="Q28" s="134" t="n"/>
      <c r="R28" s="134" t="n"/>
      <c r="S28" s="134" t="n"/>
      <c r="T28" s="134" t="n"/>
      <c r="U28" s="134" t="n"/>
      <c r="V28" s="134" t="n"/>
      <c r="W28" s="134" t="n"/>
      <c r="X28" s="134" t="n"/>
      <c r="Y28" s="134" t="n"/>
      <c r="Z28" s="135" t="n"/>
      <c r="AA28" s="134" t="n"/>
      <c r="AB28" s="134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24.75" customFormat="1" customHeight="1" s="2">
      <c r="A29" s="302" t="n"/>
      <c r="B29" s="211" t="inlineStr">
        <is>
          <t>PMTS — Vouchers / FMR / UAP / NET</t>
        </is>
      </c>
      <c r="G29" s="365" t="n"/>
      <c r="H29" s="183" t="n"/>
      <c r="I29" s="183" t="n"/>
      <c r="J29" s="183" t="n"/>
      <c r="K29" s="302" t="n"/>
      <c r="L29" s="302" t="n"/>
      <c r="M29" s="302" t="n"/>
      <c r="N29" s="302" t="n"/>
      <c r="O29" s="302" t="n"/>
      <c r="P29" s="302" t="n"/>
      <c r="Q29" s="302" t="n"/>
      <c r="R29" s="302" t="n"/>
      <c r="S29" s="302" t="n"/>
      <c r="T29" s="302" t="n"/>
      <c r="U29" s="302" t="n"/>
      <c r="V29" s="302" t="n"/>
      <c r="W29" s="302" t="n"/>
      <c r="X29" s="302" t="n"/>
      <c r="Y29" s="302" t="n"/>
      <c r="Z29" s="302" t="n"/>
      <c r="AA29" s="353" t="n"/>
      <c r="AB29" s="302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15.95" customFormat="1" customHeight="1" s="2">
      <c r="A30" s="302" t="n"/>
      <c r="B30" s="226" t="n"/>
      <c r="C30" s="213" t="inlineStr">
        <is>
          <t>MKT</t>
        </is>
      </c>
      <c r="D30" s="213" t="inlineStr">
        <is>
          <t>VCH</t>
        </is>
      </c>
      <c r="E30" s="214" t="inlineStr">
        <is>
          <t>FMR</t>
        </is>
      </c>
      <c r="F30" s="215" t="inlineStr">
        <is>
          <t>UAP</t>
        </is>
      </c>
      <c r="G30" s="216" t="inlineStr">
        <is>
          <t>NET</t>
        </is>
      </c>
      <c r="H30" s="183" t="n"/>
      <c r="I30" s="183" t="n"/>
      <c r="J30" s="183" t="n"/>
      <c r="K30" s="302" t="n"/>
      <c r="L30" s="302" t="n"/>
      <c r="M30" s="302" t="n"/>
      <c r="N30" s="302" t="n"/>
      <c r="O30" s="302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24.75" customHeight="1" s="131">
      <c r="A31" s="372" t="n"/>
      <c r="B31" s="217" t="inlineStr">
        <is>
          <t>1BD</t>
        </is>
      </c>
      <c r="C31" s="197" t="n">
        <v>755</v>
      </c>
      <c r="D31" s="197" t="n">
        <v>0</v>
      </c>
      <c r="E31" s="198" t="n">
        <v>840</v>
      </c>
      <c r="F31" s="199" t="n">
        <v>0</v>
      </c>
      <c r="G31" s="218" t="n">
        <v>840</v>
      </c>
      <c r="H31" s="183" t="n"/>
      <c r="I31" s="183" t="n"/>
      <c r="J31" s="183" t="n"/>
      <c r="K31" s="302" t="n"/>
      <c r="L31" s="302" t="n"/>
      <c r="M31" s="302" t="n"/>
      <c r="N31" s="302" t="n"/>
      <c r="O31" s="343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24.75" customHeight="1" s="131">
      <c r="A32" s="369" t="n"/>
      <c r="B32" s="217" t="inlineStr">
        <is>
          <t>2BD</t>
        </is>
      </c>
      <c r="C32" s="197" t="n">
        <v>800</v>
      </c>
      <c r="D32" s="197" t="n">
        <v>0</v>
      </c>
      <c r="E32" s="198" t="n">
        <v>940</v>
      </c>
      <c r="F32" s="199" t="n">
        <v>148</v>
      </c>
      <c r="G32" s="218" t="n">
        <v>792</v>
      </c>
      <c r="H32" s="183" t="n"/>
      <c r="I32" s="183" t="n"/>
      <c r="J32" s="183" t="n"/>
      <c r="K32" s="302" t="n"/>
      <c r="L32" s="302" t="n"/>
      <c r="M32" s="302" t="n"/>
      <c r="N32" s="302" t="n"/>
      <c r="O32" s="343" t="n"/>
      <c r="P32" s="302" t="n"/>
      <c r="Q32" s="302" t="n"/>
      <c r="R32" s="302" t="n"/>
      <c r="S32" s="302" t="n"/>
      <c r="T32" s="302" t="n"/>
      <c r="U32" s="302" t="n"/>
      <c r="V32" s="302" t="n"/>
      <c r="W32" s="302" t="n"/>
      <c r="X32" s="302" t="n"/>
      <c r="Y32" s="302" t="n"/>
      <c r="Z32" s="302" t="n"/>
      <c r="AA32" s="353" t="n"/>
      <c r="AB32" s="302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24.75" customFormat="1" customHeight="1" s="2">
      <c r="A33" s="382" t="n"/>
      <c r="B33" s="217" t="inlineStr">
        <is>
          <t>3BD</t>
        </is>
      </c>
      <c r="C33" s="197" t="n">
        <v>880</v>
      </c>
      <c r="D33" s="197" t="n">
        <v>0</v>
      </c>
      <c r="E33" s="198" t="n">
        <v>1240</v>
      </c>
      <c r="F33" s="199" t="n">
        <v>0</v>
      </c>
      <c r="G33" s="218" t="n">
        <v>1240</v>
      </c>
      <c r="H33" s="183" t="n"/>
      <c r="I33" s="183" t="n"/>
      <c r="J33" s="183" t="n"/>
      <c r="K33" s="302" t="n"/>
      <c r="L33" s="302" t="n"/>
      <c r="M33" s="302" t="n"/>
      <c r="N33" s="302" t="n"/>
      <c r="O33" s="343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8.1" customFormat="1" customHeight="1" s="2">
      <c r="A34" s="372" t="n"/>
      <c r="B34" s="372" t="n"/>
      <c r="C34" s="372" t="n"/>
      <c r="D34" s="372" t="n"/>
      <c r="E34" s="372" t="n"/>
      <c r="F34" s="369" t="n"/>
      <c r="G34" s="369" t="n"/>
      <c r="H34" s="369" t="n"/>
      <c r="I34" s="369" t="n"/>
      <c r="J34" s="369" t="n"/>
      <c r="K34" s="369" t="n"/>
      <c r="L34" s="136" t="n"/>
      <c r="M34" s="136" t="n"/>
      <c r="N34" s="136" t="n"/>
      <c r="O34" s="136" t="n"/>
      <c r="P34" s="136" t="n"/>
      <c r="Q34" s="136" t="n"/>
      <c r="R34" s="136" t="n"/>
      <c r="S34" s="136" t="n"/>
      <c r="T34" s="136" t="n"/>
      <c r="U34" s="136" t="n"/>
      <c r="V34" s="136" t="n"/>
      <c r="W34" s="136" t="n"/>
      <c r="X34" s="136" t="n"/>
      <c r="Y34" s="136" t="n"/>
      <c r="Z34" s="136" t="n"/>
      <c r="AA34" s="136" t="n"/>
      <c r="AB34" s="136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24.75" customFormat="1" customHeight="1" s="2">
      <c r="A35" s="302" t="n"/>
      <c r="B35" s="366" t="inlineStr">
        <is>
          <t>LIHTC, UAP, NET</t>
        </is>
      </c>
      <c r="C35" s="358" t="n"/>
      <c r="D35" s="358" t="n"/>
      <c r="E35" s="358" t="n"/>
      <c r="F35" s="358" t="n"/>
      <c r="G35" s="359" t="n"/>
      <c r="H35" s="183" t="n"/>
      <c r="I35" s="183" t="n"/>
      <c r="J35" s="183" t="n"/>
      <c r="K35" s="302" t="n"/>
      <c r="L35" s="302" t="n"/>
      <c r="M35" s="302" t="n"/>
      <c r="N35" s="302" t="n"/>
      <c r="O35" s="302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16.5" customFormat="1" customHeight="1" s="2">
      <c r="A36" s="369" t="n"/>
      <c r="B36" s="226" t="inlineStr">
        <is>
          <t>No LIHTC data available</t>
        </is>
      </c>
      <c r="C36" s="228" t="n"/>
      <c r="D36" s="228" t="n"/>
      <c r="E36" s="215" t="n"/>
      <c r="F36" s="216" t="n"/>
      <c r="G36" s="183" t="n"/>
      <c r="H36" s="183" t="n"/>
      <c r="I36" s="183" t="n"/>
      <c r="J36" s="183" t="n"/>
      <c r="K36" s="302" t="n"/>
      <c r="L36" s="302" t="n"/>
      <c r="M36" s="302" t="n"/>
      <c r="N36" s="302" t="n"/>
      <c r="O36" s="343" t="n"/>
      <c r="P36" s="302" t="n"/>
      <c r="Q36" s="302" t="n"/>
      <c r="R36" s="302" t="n"/>
      <c r="S36" s="302" t="n"/>
      <c r="T36" s="302" t="n"/>
      <c r="U36" s="302" t="n"/>
      <c r="V36" s="302" t="n"/>
      <c r="W36" s="302" t="n"/>
      <c r="X36" s="302" t="n"/>
      <c r="Y36" s="302" t="n"/>
      <c r="Z36" s="302" t="n"/>
      <c r="AA36" s="353" t="n"/>
      <c r="AB36" s="302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18" customFormat="1" customHeight="1" s="2">
      <c r="A37" s="369" t="n"/>
      <c r="B37" s="399" t="n"/>
      <c r="C37" s="381" t="n"/>
      <c r="D37" s="369" t="n"/>
      <c r="E37" s="369" t="n"/>
      <c r="F37" s="369" t="n"/>
      <c r="G37" s="369" t="n"/>
      <c r="H37" s="369" t="n"/>
      <c r="I37" s="369" t="n"/>
      <c r="J37" s="369" t="n"/>
      <c r="K37" s="369" t="n"/>
      <c r="L37" s="134" t="n"/>
      <c r="M37" s="134" t="n"/>
      <c r="N37" s="134" t="n"/>
      <c r="O37" s="134" t="n"/>
      <c r="P37" s="134" t="n"/>
      <c r="Q37" s="134" t="n"/>
      <c r="R37" s="134" t="n"/>
      <c r="S37" s="134" t="n"/>
      <c r="T37" s="134" t="n"/>
      <c r="U37" s="134" t="n"/>
      <c r="V37" s="134" t="n"/>
      <c r="W37" s="134" t="n"/>
      <c r="X37" s="134" t="n"/>
      <c r="Y37" s="134" t="n"/>
      <c r="Z37" s="135" t="n"/>
      <c r="AA37" s="134" t="n"/>
      <c r="AB37" s="134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24.75" customHeight="1" s="131">
      <c r="A38" s="302" t="n"/>
      <c r="B38" s="207" t="inlineStr">
        <is>
          <t>HAP, CoStar, NET</t>
        </is>
      </c>
      <c r="H38" s="183" t="n"/>
      <c r="I38" s="183" t="n"/>
      <c r="J38" s="183" t="n"/>
      <c r="K38" s="302" t="n"/>
      <c r="L38" s="302" t="n"/>
      <c r="M38" s="302" t="n"/>
      <c r="N38" s="302" t="n"/>
      <c r="O38" s="302" t="n"/>
      <c r="P38" s="302" t="n"/>
      <c r="Q38" s="302" t="n"/>
      <c r="R38" s="302" t="n"/>
      <c r="S38" s="302" t="n"/>
      <c r="T38" s="302" t="n"/>
      <c r="U38" s="302" t="n"/>
      <c r="V38" s="302" t="n"/>
      <c r="W38" s="302" t="n"/>
      <c r="X38" s="302" t="n"/>
      <c r="Y38" s="302" t="n"/>
      <c r="Z38" s="302" t="n"/>
      <c r="AA38" s="353" t="n"/>
      <c r="AB38" s="302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15.95" customHeight="1" s="131">
      <c r="A39" s="302" t="n"/>
      <c r="B39" s="227" t="n"/>
      <c r="C39" s="208" t="inlineStr">
        <is>
          <t>HAP</t>
        </is>
      </c>
      <c r="D39" s="209" t="inlineStr">
        <is>
          <t>CoStar</t>
        </is>
      </c>
      <c r="E39" s="302" t="n"/>
      <c r="F39" s="302" t="n"/>
      <c r="G39" s="302" t="n"/>
      <c r="H39" s="183" t="n"/>
      <c r="I39" s="183" t="n"/>
      <c r="J39" s="183" t="n"/>
      <c r="K39" s="302" t="n"/>
      <c r="L39" s="302" t="n"/>
      <c r="M39" s="302" t="n"/>
      <c r="N39" s="302" t="n"/>
      <c r="O39" s="302" t="n"/>
      <c r="P39" s="302" t="n"/>
      <c r="Q39" s="302" t="n"/>
      <c r="R39" s="302" t="n"/>
      <c r="S39" s="302" t="n"/>
      <c r="T39" s="302" t="n"/>
      <c r="U39" s="302" t="n"/>
      <c r="V39" s="302" t="n"/>
      <c r="W39" s="302" t="n"/>
      <c r="X39" s="302" t="n"/>
      <c r="Y39" s="302" t="n"/>
      <c r="Z39" s="302" t="n"/>
      <c r="AA39" s="353" t="n"/>
      <c r="AB39" s="302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ht="24.75" customHeight="1" s="131">
      <c r="A40" s="302" t="n"/>
      <c r="B40" s="196" t="inlineStr">
        <is>
          <t>1BD</t>
        </is>
      </c>
      <c r="C40" s="199" t="n">
        <v>0</v>
      </c>
      <c r="D40" s="198" t="n">
        <v>762</v>
      </c>
      <c r="E40" s="183" t="n"/>
      <c r="F40" s="183" t="n"/>
      <c r="G40" s="183" t="n"/>
      <c r="H40" s="183" t="n"/>
      <c r="I40" s="183" t="n"/>
      <c r="J40" s="183" t="n"/>
      <c r="K40" s="302" t="n"/>
      <c r="L40" s="302" t="n"/>
      <c r="M40" s="302" t="n"/>
      <c r="N40" s="302" t="n"/>
      <c r="O40" s="302" t="n"/>
      <c r="P40" s="302" t="n"/>
      <c r="Q40" s="302" t="n"/>
      <c r="R40" s="302" t="n"/>
      <c r="S40" s="302" t="n"/>
      <c r="T40" s="302" t="n"/>
      <c r="U40" s="302" t="n"/>
      <c r="V40" s="302" t="n"/>
      <c r="W40" s="302" t="n"/>
      <c r="X40" s="302" t="n"/>
      <c r="Y40" s="302" t="n"/>
      <c r="Z40" s="302" t="n"/>
      <c r="AA40" s="353" t="n"/>
      <c r="AB40" s="302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ht="24.75" customHeight="1" s="131">
      <c r="A41" s="302" t="n"/>
      <c r="B41" s="196" t="inlineStr">
        <is>
          <t>2BD</t>
        </is>
      </c>
      <c r="C41" s="199" t="n">
        <v>886</v>
      </c>
      <c r="D41" s="198" t="n">
        <v>829</v>
      </c>
      <c r="E41" s="183" t="n"/>
      <c r="F41" s="183" t="n"/>
      <c r="G41" s="183" t="n"/>
      <c r="H41" s="183" t="n"/>
      <c r="I41" s="183" t="n"/>
      <c r="J41" s="183" t="n"/>
      <c r="K41" s="302" t="n"/>
      <c r="L41" s="302" t="n"/>
      <c r="M41" s="302" t="n"/>
      <c r="N41" s="302" t="n"/>
      <c r="O41" s="302" t="n"/>
      <c r="P41" s="302" t="n"/>
      <c r="Q41" s="302" t="n"/>
      <c r="R41" s="302" t="n"/>
      <c r="S41" s="302" t="n"/>
      <c r="T41" s="302" t="n"/>
      <c r="U41" s="302" t="n"/>
      <c r="V41" s="302" t="n"/>
      <c r="W41" s="302" t="n"/>
      <c r="X41" s="302" t="n"/>
      <c r="Y41" s="302" t="n"/>
      <c r="Z41" s="302" t="n"/>
      <c r="AA41" s="353" t="n"/>
      <c r="AB41" s="302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ht="24.75" customHeight="1" s="131">
      <c r="A42" s="302" t="n"/>
      <c r="B42" s="196" t="inlineStr">
        <is>
          <t>3BD</t>
        </is>
      </c>
      <c r="C42" s="199" t="n">
        <v>0</v>
      </c>
      <c r="D42" s="198" t="n">
        <v>901</v>
      </c>
      <c r="E42" s="183" t="n"/>
      <c r="F42" s="183" t="n"/>
      <c r="G42" s="183" t="n"/>
      <c r="H42" s="183" t="n"/>
      <c r="I42" s="183" t="n"/>
      <c r="J42" s="183" t="n"/>
      <c r="K42" s="302" t="n"/>
      <c r="L42" s="302" t="n"/>
      <c r="M42" s="302" t="n"/>
      <c r="N42" s="302" t="n"/>
      <c r="O42" s="302" t="n"/>
      <c r="P42" s="302" t="n"/>
      <c r="Q42" s="302" t="n"/>
      <c r="R42" s="302" t="n"/>
      <c r="S42" s="302" t="n"/>
      <c r="T42" s="302" t="n"/>
      <c r="U42" s="302" t="n"/>
      <c r="V42" s="302" t="n"/>
      <c r="W42" s="302" t="n"/>
      <c r="X42" s="302" t="n"/>
      <c r="Y42" s="302" t="n"/>
      <c r="Z42" s="302" t="n"/>
      <c r="AA42" s="353" t="n"/>
      <c r="AB42" s="302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s="131">
      <c r="A43" s="369" t="n"/>
      <c r="B43" s="369" t="n"/>
      <c r="C43" s="369" t="n"/>
      <c r="D43" s="369" t="n"/>
      <c r="E43" s="369" t="n"/>
      <c r="F43" s="369" t="n"/>
      <c r="G43" s="369" t="n"/>
      <c r="H43" s="369" t="n"/>
      <c r="I43" s="369" t="n"/>
      <c r="J43" s="369" t="n"/>
      <c r="K43" s="369" t="n"/>
      <c r="L43" s="136" t="n"/>
      <c r="M43" s="136" t="n"/>
      <c r="N43" s="136" t="n"/>
      <c r="O43" s="136" t="n"/>
      <c r="P43" s="136" t="n"/>
      <c r="Q43" s="136" t="n"/>
      <c r="R43" s="136" t="n"/>
      <c r="S43" s="136" t="n"/>
      <c r="T43" s="136" t="n"/>
      <c r="U43" s="136" t="n"/>
      <c r="V43" s="136" t="n"/>
      <c r="W43" s="136" t="n"/>
      <c r="X43" s="136" t="n"/>
      <c r="Y43" s="136" t="n"/>
      <c r="Z43" s="136" t="n"/>
      <c r="AA43" s="136" t="n"/>
      <c r="AB43" s="136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s="131">
      <c r="A44" s="369" t="n"/>
      <c r="B44" s="369" t="n"/>
      <c r="C44" s="369" t="n"/>
      <c r="D44" s="369" t="n"/>
      <c r="E44" s="369" t="n"/>
      <c r="F44" s="369" t="n"/>
      <c r="G44" s="369" t="n"/>
      <c r="H44" s="369" t="n"/>
      <c r="I44" s="369" t="n"/>
      <c r="J44" s="369" t="n"/>
      <c r="K44" s="369" t="n"/>
      <c r="L44" s="136" t="n"/>
      <c r="M44" s="136" t="n"/>
      <c r="N44" s="136" t="n"/>
      <c r="O44" s="136" t="n"/>
      <c r="P44" s="136" t="n"/>
      <c r="Q44" s="136" t="n"/>
      <c r="R44" s="136" t="n"/>
      <c r="S44" s="136" t="n"/>
      <c r="T44" s="136" t="n"/>
      <c r="U44" s="136" t="n"/>
      <c r="V44" s="136" t="n"/>
      <c r="W44" s="136" t="n"/>
      <c r="X44" s="136" t="n"/>
      <c r="Y44" s="136" t="n"/>
      <c r="Z44" s="136" t="n"/>
      <c r="AA44" s="136" t="n"/>
      <c r="AB44" s="136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s="131">
      <c r="A45" s="369" t="n"/>
      <c r="B45" s="369" t="n"/>
      <c r="C45" s="369" t="n"/>
      <c r="D45" s="369" t="n"/>
      <c r="E45" s="369" t="n"/>
      <c r="F45" s="369" t="n"/>
      <c r="G45" s="369" t="n"/>
      <c r="H45" s="369" t="n"/>
      <c r="I45" s="369" t="n"/>
      <c r="J45" s="369" t="n"/>
      <c r="K45" s="369" t="n"/>
      <c r="L45" s="136" t="n"/>
      <c r="M45" s="136" t="n"/>
      <c r="N45" s="136" t="n"/>
      <c r="O45" s="136" t="n"/>
      <c r="P45" s="136" t="n"/>
      <c r="Q45" s="136" t="n"/>
      <c r="R45" s="136" t="n"/>
      <c r="S45" s="136" t="n"/>
      <c r="T45" s="136" t="n"/>
      <c r="U45" s="136" t="n"/>
      <c r="V45" s="136" t="n"/>
      <c r="W45" s="136" t="n"/>
      <c r="X45" s="136" t="n"/>
      <c r="Y45" s="136" t="n"/>
      <c r="Z45" s="136" t="n"/>
      <c r="AA45" s="136" t="n"/>
      <c r="AB45" s="136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s="131">
      <c r="A46" s="369" t="n"/>
      <c r="B46" s="369" t="n"/>
      <c r="C46" s="369" t="n"/>
      <c r="D46" s="369" t="n"/>
      <c r="E46" s="369" t="n"/>
      <c r="F46" s="369" t="n"/>
      <c r="G46" s="369" t="n"/>
      <c r="H46" s="369" t="n"/>
      <c r="I46" s="369" t="n"/>
      <c r="J46" s="369" t="n"/>
      <c r="K46" s="369" t="n"/>
      <c r="L46" s="136" t="n"/>
      <c r="M46" s="136" t="n"/>
      <c r="N46" s="136" t="n"/>
      <c r="O46" s="136" t="n"/>
      <c r="P46" s="136" t="n"/>
      <c r="Q46" s="136" t="n"/>
      <c r="R46" s="136" t="n"/>
      <c r="S46" s="136" t="n"/>
      <c r="T46" s="136" t="n"/>
      <c r="U46" s="136" t="n"/>
      <c r="V46" s="136" t="n"/>
      <c r="W46" s="136" t="n"/>
      <c r="X46" s="136" t="n"/>
      <c r="Y46" s="136" t="n"/>
      <c r="Z46" s="136" t="n"/>
      <c r="AA46" s="136" t="n"/>
      <c r="AB46" s="136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s="131">
      <c r="A47" s="369" t="n"/>
      <c r="B47" s="369" t="n"/>
      <c r="C47" s="369" t="n"/>
      <c r="D47" s="369" t="n"/>
      <c r="E47" s="369" t="n"/>
      <c r="F47" s="369" t="n"/>
      <c r="G47" s="369" t="n"/>
      <c r="H47" s="369" t="n"/>
      <c r="I47" s="369" t="n"/>
      <c r="J47" s="369" t="n"/>
      <c r="K47" s="369" t="n"/>
      <c r="L47" s="136" t="n"/>
      <c r="M47" s="136" t="n"/>
      <c r="N47" s="136" t="n"/>
      <c r="O47" s="136" t="n"/>
      <c r="P47" s="136" t="n"/>
      <c r="Q47" s="136" t="n"/>
      <c r="R47" s="136" t="n"/>
      <c r="S47" s="136" t="n"/>
      <c r="T47" s="136" t="n"/>
      <c r="U47" s="136" t="n"/>
      <c r="V47" s="136" t="n"/>
      <c r="W47" s="136" t="n"/>
      <c r="X47" s="136" t="n"/>
      <c r="Y47" s="136" t="n"/>
      <c r="Z47" s="136" t="n"/>
      <c r="AA47" s="136" t="n"/>
      <c r="AB47" s="136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s="131">
      <c r="A48" s="369" t="n"/>
      <c r="B48" s="369" t="n"/>
      <c r="C48" s="369" t="n"/>
      <c r="D48" s="369" t="n"/>
      <c r="E48" s="369" t="n"/>
      <c r="F48" s="369" t="n"/>
      <c r="G48" s="369" t="n"/>
      <c r="H48" s="369" t="n"/>
      <c r="I48" s="369" t="n"/>
      <c r="J48" s="369" t="n"/>
      <c r="K48" s="369" t="n"/>
      <c r="L48" s="136" t="n"/>
      <c r="M48" s="136" t="n"/>
      <c r="N48" s="136" t="n"/>
      <c r="O48" s="136" t="n"/>
      <c r="P48" s="136" t="n"/>
      <c r="Q48" s="136" t="n"/>
      <c r="R48" s="136" t="n"/>
      <c r="S48" s="136" t="n"/>
      <c r="T48" s="136" t="n"/>
      <c r="U48" s="136" t="n"/>
      <c r="V48" s="136" t="n"/>
      <c r="W48" s="136" t="n"/>
      <c r="X48" s="136" t="n"/>
      <c r="Y48" s="136" t="n"/>
      <c r="Z48" s="136" t="n"/>
      <c r="AA48" s="136" t="n"/>
      <c r="AB48" s="136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s="131">
      <c r="A49" s="369" t="n"/>
      <c r="B49" s="369" t="n"/>
      <c r="C49" s="369" t="n"/>
      <c r="D49" s="369" t="n"/>
      <c r="E49" s="369" t="n"/>
      <c r="F49" s="369" t="n"/>
      <c r="G49" s="369" t="n"/>
      <c r="H49" s="369" t="n"/>
      <c r="I49" s="369" t="n"/>
      <c r="J49" s="369" t="n"/>
      <c r="K49" s="369" t="n"/>
      <c r="L49" s="136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6" t="n"/>
      <c r="Y49" s="136" t="n"/>
      <c r="Z49" s="136" t="n"/>
      <c r="AA49" s="136" t="n"/>
      <c r="AB49" s="136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s="131">
      <c r="A50" s="369" t="n"/>
      <c r="B50" s="369" t="n"/>
      <c r="C50" s="369" t="n"/>
      <c r="D50" s="369" t="n"/>
      <c r="E50" s="369" t="n"/>
      <c r="F50" s="369" t="n"/>
      <c r="G50" s="369" t="n"/>
      <c r="H50" s="369" t="n"/>
      <c r="I50" s="369" t="n"/>
      <c r="J50" s="369" t="n"/>
      <c r="K50" s="369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</sheetData>
  <mergeCells count="9">
    <mergeCell ref="B38:G38"/>
    <mergeCell ref="B4:AB4"/>
    <mergeCell ref="B22:G22"/>
    <mergeCell ref="B2:AB2"/>
    <mergeCell ref="B23:G23"/>
    <mergeCell ref="B20:I20"/>
    <mergeCell ref="B35:G35"/>
    <mergeCell ref="B3:AB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W50"/>
  <sheetViews>
    <sheetView workbookViewId="0">
      <pane ySplit="1" topLeftCell="A2" activePane="bottomLeft" state="frozen"/>
      <selection pane="bottomLeft" activeCell="F8" sqref="F8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WALNUT HILL | GREEN = Affordable Comps | BLUE = Market Rate Comps</t>
        </is>
      </c>
      <c r="B3" s="363" t="n"/>
      <c r="AB3" s="363" t="n"/>
      <c r="AC3" s="136" t="n"/>
      <c r="AD3" s="136" t="n"/>
      <c r="AE3" s="136" t="n"/>
      <c r="AF3" s="136" t="n"/>
      <c r="AG3" s="136" t="n"/>
      <c r="AH3" s="136" t="n"/>
      <c r="AI3" s="136" t="n"/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Walnut Hill | Natchez, Natchez, MS 39120 | 168 units | Program: Section 8/HUD | Bedroom Mix: 2BR / 3BR | County AMI: $55,800 | FMR Area: Adams County, MS</t>
        </is>
      </c>
      <c r="B4" s="363" t="n"/>
      <c r="AB4" s="363" t="n"/>
      <c r="AC4" s="136" t="n"/>
      <c r="AD4" s="136" t="n"/>
      <c r="AE4" s="136" t="n"/>
      <c r="AF4" s="136" t="n"/>
      <c r="AG4" s="136" t="n"/>
      <c r="AH4" s="136" t="n"/>
      <c r="AI4" s="136" t="n"/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B5" s="341" t="n"/>
      <c r="AC5" s="136" t="n"/>
      <c r="AD5" s="136" t="n"/>
      <c r="AE5" s="136" t="n"/>
      <c r="AF5" s="136" t="n"/>
      <c r="AG5" s="136" t="n"/>
      <c r="AH5" s="136" t="n"/>
      <c r="AI5" s="136" t="n"/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2BD 50% AMI ($)</t>
        </is>
      </c>
      <c r="J6" s="280" t="inlineStr">
        <is>
          <t>2BD 60% AMI ($)</t>
        </is>
      </c>
      <c r="K6" s="280" t="inlineStr">
        <is>
          <t>2BR FMR ($)</t>
        </is>
      </c>
      <c r="L6" s="335" t="inlineStr">
        <is>
          <t>2BR Actual ($)</t>
        </is>
      </c>
      <c r="M6" s="281" t="inlineStr">
        <is>
          <t>3BD 50% AMI ($)</t>
        </is>
      </c>
      <c r="N6" s="280" t="inlineStr">
        <is>
          <t>3BD 60% AMI ($)</t>
        </is>
      </c>
      <c r="O6" s="280" t="inlineStr">
        <is>
          <t>3BR FMR ($)</t>
        </is>
      </c>
      <c r="P6" s="335" t="inlineStr">
        <is>
          <t>3BR Actual ($)</t>
        </is>
      </c>
      <c r="Q6" s="281" t="inlineStr">
        <is>
          <t># Units</t>
        </is>
      </c>
      <c r="R6" s="280" t="inlineStr">
        <is>
          <t>Year Built</t>
        </is>
      </c>
      <c r="S6" s="280" t="inlineStr">
        <is>
          <t>Yr Diff</t>
        </is>
      </c>
      <c r="T6" s="339" t="inlineStr">
        <is>
          <t>Utilities Incl.</t>
        </is>
      </c>
      <c r="U6" s="339" t="inlineStr">
        <is>
          <t>Pet Friendly</t>
        </is>
      </c>
      <c r="V6" s="339" t="inlineStr">
        <is>
          <t>Gated</t>
        </is>
      </c>
      <c r="W6" s="339" t="inlineStr">
        <is>
          <t>Pool</t>
        </is>
      </c>
      <c r="X6" s="339" t="inlineStr">
        <is>
          <t>W/D In-Unit</t>
        </is>
      </c>
      <c r="Y6" s="339" t="inlineStr">
        <is>
          <t>Competition Level</t>
        </is>
      </c>
      <c r="Z6" s="336" t="inlineStr">
        <is>
          <t>Why Competitive</t>
        </is>
      </c>
      <c r="AA6" s="340" t="inlineStr">
        <is>
          <t>Data Source</t>
        </is>
      </c>
      <c r="AB6" s="342" t="n"/>
      <c r="AC6" s="136" t="n"/>
      <c r="AD6" s="136" t="n"/>
      <c r="AE6" s="136" t="n"/>
      <c r="AF6" s="136" t="n"/>
      <c r="AG6" s="136" t="n"/>
      <c r="AH6" s="136" t="n"/>
      <c r="AI6" s="136" t="n"/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Walnut Hill (SUBJECT)</t>
        </is>
      </c>
      <c r="D7" s="174" t="inlineStr">
        <is>
          <t>Natchez</t>
        </is>
      </c>
      <c r="E7" s="174" t="inlineStr">
        <is>
          <t>Natchez</t>
        </is>
      </c>
      <c r="F7" s="174" t="inlineStr">
        <is>
          <t>MS</t>
        </is>
      </c>
      <c r="G7" s="174" t="inlineStr">
        <is>
          <t>39120</t>
        </is>
      </c>
      <c r="H7" s="174" t="inlineStr">
        <is>
          <t>0.0 mi</t>
        </is>
      </c>
      <c r="I7" s="174" t="inlineStr">
        <is>
          <t>$2,591</t>
        </is>
      </c>
      <c r="J7" s="174" t="inlineStr">
        <is>
          <t>$3,110</t>
        </is>
      </c>
      <c r="K7" s="174" t="inlineStr">
        <is>
          <t>$820</t>
        </is>
      </c>
      <c r="L7" s="368">
        <f>B26</f>
        <v/>
      </c>
      <c r="M7" s="174" t="inlineStr">
        <is>
          <t>$2,879</t>
        </is>
      </c>
      <c r="N7" s="174" t="inlineStr">
        <is>
          <t>$3,455</t>
        </is>
      </c>
      <c r="O7" s="174" t="inlineStr">
        <is>
          <t>$1,040</t>
        </is>
      </c>
      <c r="P7" s="368">
        <f>B27</f>
        <v/>
      </c>
      <c r="Q7" s="174" t="inlineStr">
        <is>
          <t>168</t>
        </is>
      </c>
      <c r="R7" s="174" t="inlineStr">
        <is>
          <t>1975</t>
        </is>
      </c>
      <c r="S7" s="174" t="inlineStr">
        <is>
          <t>0</t>
        </is>
      </c>
      <c r="T7" s="174" t="inlineStr">
        <is>
          <t>Yes</t>
        </is>
      </c>
      <c r="U7" s="174" t="inlineStr">
        <is>
          <t>No</t>
        </is>
      </c>
      <c r="V7" s="174" t="inlineStr">
        <is>
          <t>No</t>
        </is>
      </c>
      <c r="W7" s="174" t="inlineStr">
        <is>
          <t>No</t>
        </is>
      </c>
      <c r="X7" s="174" t="inlineStr">
        <is>
          <t>No</t>
        </is>
      </c>
      <c r="Y7" s="42" t="inlineStr">
        <is>
          <t>SUBJECT</t>
        </is>
      </c>
      <c r="Z7" s="55" t="inlineStr">
        <is>
          <t>168 units | Section 8/HUD property. Year built: 1975. Subject property for market context.</t>
        </is>
      </c>
      <c r="AA7" s="40" t="inlineStr">
        <is>
          <t>Apartment Corp Records</t>
        </is>
      </c>
      <c r="AB7" s="136" t="n"/>
      <c r="AC7" s="136" t="n"/>
      <c r="AD7" s="136" t="n"/>
      <c r="AE7" s="136" t="n"/>
      <c r="AF7" s="136" t="n"/>
      <c r="AG7" s="136" t="n"/>
      <c r="AH7" s="136" t="n"/>
      <c r="AI7" s="136" t="n"/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Natchez Housing Authority - Duncan Park Homes</t>
        </is>
      </c>
      <c r="D8" s="59" t="inlineStr">
        <is>
          <t>400 Duncan Ave</t>
        </is>
      </c>
      <c r="E8" s="59" t="inlineStr">
        <is>
          <t>Natchez</t>
        </is>
      </c>
      <c r="F8" s="59" t="inlineStr">
        <is>
          <t>MS</t>
        </is>
      </c>
      <c r="G8" s="59" t="inlineStr">
        <is>
          <t>39120</t>
        </is>
      </c>
      <c r="H8" s="59" t="inlineStr">
        <is>
          <t>1.5 mi</t>
        </is>
      </c>
      <c r="I8" s="59" t="inlineStr">
        <is>
          <t>$2,591</t>
        </is>
      </c>
      <c r="J8" s="59" t="inlineStr">
        <is>
          <t>$3,110</t>
        </is>
      </c>
      <c r="K8" s="41" t="inlineStr">
        <is>
          <t>$820</t>
        </is>
      </c>
      <c r="L8" s="53" t="inlineStr">
        <is>
          <t>Not Listed</t>
        </is>
      </c>
      <c r="M8" s="43" t="inlineStr">
        <is>
          <t>$2,879</t>
        </is>
      </c>
      <c r="N8" s="43" t="inlineStr">
        <is>
          <t>$3,455</t>
        </is>
      </c>
      <c r="O8" s="41" t="inlineStr">
        <is>
          <t>$1,040</t>
        </is>
      </c>
      <c r="P8" s="53" t="inlineStr">
        <is>
          <t>Not Listed</t>
        </is>
      </c>
      <c r="Q8" s="43" t="inlineStr">
        <is>
          <t>160</t>
        </is>
      </c>
      <c r="R8" s="43" t="inlineStr">
        <is>
          <t>1975</t>
        </is>
      </c>
      <c r="S8" s="43" t="inlineStr">
        <is>
          <t>0</t>
        </is>
      </c>
      <c r="T8" s="43" t="inlineStr">
        <is>
          <t>Yes</t>
        </is>
      </c>
      <c r="U8" s="43" t="inlineStr">
        <is>
          <t>No</t>
        </is>
      </c>
      <c r="V8" s="43" t="inlineStr">
        <is>
          <t>No</t>
        </is>
      </c>
      <c r="W8" s="43" t="inlineStr">
        <is>
          <t>No</t>
        </is>
      </c>
      <c r="X8" s="43" t="inlineStr">
        <is>
          <t>No</t>
        </is>
      </c>
      <c r="Y8" s="44" t="inlineStr">
        <is>
          <t>HIGH</t>
        </is>
      </c>
      <c r="Z8" s="56" t="inlineStr">
        <is>
          <t>Affordable Comp #1: Public Housing/HUD property, 1975 vintage (0 yr diff), 160 units, 1.5 mi from subject. Same income-eligible renter pool.</t>
        </is>
      </c>
      <c r="AA8" s="43" t="inlineStr">
        <is>
          <t>Natchez Housing Authority</t>
        </is>
      </c>
      <c r="AB8" s="136" t="n"/>
      <c r="AC8" s="136" t="n"/>
      <c r="AD8" s="136" t="n"/>
      <c r="AE8" s="136" t="n"/>
      <c r="AF8" s="136" t="n"/>
      <c r="AG8" s="136" t="n"/>
      <c r="AH8" s="136" t="n"/>
      <c r="AI8" s="136" t="n"/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Vicksburg Housing Authority - Parkway Village</t>
        </is>
      </c>
      <c r="D9" s="125" t="inlineStr">
        <is>
          <t>300 Parkway Blvd</t>
        </is>
      </c>
      <c r="E9" s="125" t="inlineStr">
        <is>
          <t>Vicksburg</t>
        </is>
      </c>
      <c r="F9" s="125" t="inlineStr">
        <is>
          <t>MS</t>
        </is>
      </c>
      <c r="G9" s="125" t="inlineStr">
        <is>
          <t>39180</t>
        </is>
      </c>
      <c r="H9" s="125" t="inlineStr">
        <is>
          <t>72.0 mi</t>
        </is>
      </c>
      <c r="I9" s="125" t="inlineStr">
        <is>
          <t>$2,591</t>
        </is>
      </c>
      <c r="J9" s="125" t="inlineStr">
        <is>
          <t>$3,110</t>
        </is>
      </c>
      <c r="K9" s="85" t="inlineStr">
        <is>
          <t>$820</t>
        </is>
      </c>
      <c r="L9" s="86" t="inlineStr">
        <is>
          <t>Not Listed</t>
        </is>
      </c>
      <c r="M9" s="128" t="inlineStr">
        <is>
          <t>$2,879</t>
        </is>
      </c>
      <c r="N9" s="128" t="inlineStr">
        <is>
          <t>$3,455</t>
        </is>
      </c>
      <c r="O9" s="85" t="inlineStr">
        <is>
          <t>$1,040</t>
        </is>
      </c>
      <c r="P9" s="86" t="inlineStr">
        <is>
          <t>Not Listed</t>
        </is>
      </c>
      <c r="Q9" s="128" t="inlineStr">
        <is>
          <t>150</t>
        </is>
      </c>
      <c r="R9" s="128" t="inlineStr">
        <is>
          <t>1976</t>
        </is>
      </c>
      <c r="S9" s="128" t="inlineStr">
        <is>
          <t>1</t>
        </is>
      </c>
      <c r="T9" s="128" t="inlineStr">
        <is>
          <t>Yes</t>
        </is>
      </c>
      <c r="U9" s="128" t="inlineStr">
        <is>
          <t>No</t>
        </is>
      </c>
      <c r="V9" s="128" t="inlineStr">
        <is>
          <t>No</t>
        </is>
      </c>
      <c r="W9" s="128" t="inlineStr">
        <is>
          <t>No</t>
        </is>
      </c>
      <c r="X9" s="128" t="inlineStr">
        <is>
          <t>No</t>
        </is>
      </c>
      <c r="Y9" s="129" t="inlineStr">
        <is>
          <t>LOW-MODERATE</t>
        </is>
      </c>
      <c r="Z9" s="130" t="inlineStr">
        <is>
          <t>Affordable Comp #2: Section 8/HUD property, 1976 vintage (1 yr diff), 150 units, 72.0 mi from subject. Same income-eligible renter pool.</t>
        </is>
      </c>
      <c r="AA9" s="128" t="inlineStr">
        <is>
          <t>HUD Multifamily Assisted Housing</t>
        </is>
      </c>
      <c r="AB9" s="136" t="n"/>
      <c r="AC9" s="136" t="n"/>
      <c r="AD9" s="136" t="n"/>
      <c r="AE9" s="136" t="n"/>
      <c r="AF9" s="136" t="n"/>
      <c r="AG9" s="136" t="n"/>
      <c r="AH9" s="136" t="n"/>
      <c r="AI9" s="136" t="n"/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Hattiesburg Housing Authority - Eureka Homes</t>
        </is>
      </c>
      <c r="D10" s="107" t="inlineStr">
        <is>
          <t>200 Eureka St</t>
        </is>
      </c>
      <c r="E10" s="107" t="inlineStr">
        <is>
          <t>Hattiesburg</t>
        </is>
      </c>
      <c r="F10" s="107" t="inlineStr">
        <is>
          <t>MS</t>
        </is>
      </c>
      <c r="G10" s="107" t="inlineStr">
        <is>
          <t>39401</t>
        </is>
      </c>
      <c r="H10" s="107" t="inlineStr">
        <is>
          <t>145.0 mi</t>
        </is>
      </c>
      <c r="I10" s="107" t="inlineStr">
        <is>
          <t>$2,591</t>
        </is>
      </c>
      <c r="J10" s="107" t="inlineStr">
        <is>
          <t>$3,110</t>
        </is>
      </c>
      <c r="K10" s="80" t="inlineStr">
        <is>
          <t>$820</t>
        </is>
      </c>
      <c r="L10" s="81" t="inlineStr">
        <is>
          <t>Not Listed</t>
        </is>
      </c>
      <c r="M10" s="108" t="inlineStr">
        <is>
          <t>$2,879</t>
        </is>
      </c>
      <c r="N10" s="108" t="inlineStr">
        <is>
          <t>$3,455</t>
        </is>
      </c>
      <c r="O10" s="80" t="inlineStr">
        <is>
          <t>$1,040</t>
        </is>
      </c>
      <c r="P10" s="81" t="inlineStr">
        <is>
          <t>Not Listed</t>
        </is>
      </c>
      <c r="Q10" s="108" t="inlineStr">
        <is>
          <t>172</t>
        </is>
      </c>
      <c r="R10" s="108" t="inlineStr">
        <is>
          <t>1974</t>
        </is>
      </c>
      <c r="S10" s="108" t="inlineStr">
        <is>
          <t>1</t>
        </is>
      </c>
      <c r="T10" s="108" t="inlineStr">
        <is>
          <t>Yes</t>
        </is>
      </c>
      <c r="U10" s="108" t="inlineStr">
        <is>
          <t>No</t>
        </is>
      </c>
      <c r="V10" s="108" t="inlineStr">
        <is>
          <t>No</t>
        </is>
      </c>
      <c r="W10" s="108" t="inlineStr">
        <is>
          <t>No</t>
        </is>
      </c>
      <c r="X10" s="108" t="inlineStr">
        <is>
          <t>No</t>
        </is>
      </c>
      <c r="Y10" s="109" t="inlineStr">
        <is>
          <t>LOW-MODERATE</t>
        </is>
      </c>
      <c r="Z10" s="110" t="inlineStr">
        <is>
          <t>Affordable Comp #3: Public Housing/HUD property, 1974 vintage (1 yr diff), 172 units, 145.0 mi from subject. Same income-eligible renter pool.</t>
        </is>
      </c>
      <c r="AA10" s="111" t="inlineStr">
        <is>
          <t>Hattiesburg Housing Authority</t>
        </is>
      </c>
      <c r="AB10" s="134" t="n"/>
      <c r="AC10" s="136" t="n"/>
      <c r="AD10" s="136" t="n"/>
      <c r="AE10" s="136" t="n"/>
      <c r="AF10" s="136" t="n"/>
      <c r="AG10" s="136" t="n"/>
      <c r="AH10" s="136" t="n"/>
      <c r="AI10" s="136" t="n"/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Natchez Terrace Apartments</t>
        </is>
      </c>
      <c r="D11" s="95" t="inlineStr">
        <is>
          <t>600 Seargent Prentiss Dr</t>
        </is>
      </c>
      <c r="E11" s="95" t="inlineStr">
        <is>
          <t>Natchez</t>
        </is>
      </c>
      <c r="F11" s="95" t="inlineStr">
        <is>
          <t>MS</t>
        </is>
      </c>
      <c r="G11" s="95" t="inlineStr">
        <is>
          <t>39120</t>
        </is>
      </c>
      <c r="H11" s="95" t="inlineStr">
        <is>
          <t>2.1 mi</t>
        </is>
      </c>
      <c r="I11" s="95" t="inlineStr">
        <is>
          <t>$2,591</t>
        </is>
      </c>
      <c r="J11" s="95" t="inlineStr">
        <is>
          <t>$3,110</t>
        </is>
      </c>
      <c r="K11" s="39" t="inlineStr">
        <is>
          <t>$820</t>
        </is>
      </c>
      <c r="L11" s="53" t="inlineStr">
        <is>
          <t>Not Listed</t>
        </is>
      </c>
      <c r="M11" s="96" t="inlineStr">
        <is>
          <t>$2,879</t>
        </is>
      </c>
      <c r="N11" s="96" t="inlineStr">
        <is>
          <t>$3,455</t>
        </is>
      </c>
      <c r="O11" s="39" t="inlineStr">
        <is>
          <t>$1,040</t>
        </is>
      </c>
      <c r="P11" s="53" t="inlineStr">
        <is>
          <t>Not Listed</t>
        </is>
      </c>
      <c r="Q11" s="96" t="inlineStr">
        <is>
          <t>156</t>
        </is>
      </c>
      <c r="R11" s="96" t="inlineStr">
        <is>
          <t>1977</t>
        </is>
      </c>
      <c r="S11" s="96" t="inlineStr">
        <is>
          <t>2</t>
        </is>
      </c>
      <c r="T11" s="96" t="inlineStr">
        <is>
          <t>Yes</t>
        </is>
      </c>
      <c r="U11" s="96" t="inlineStr">
        <is>
          <t>No</t>
        </is>
      </c>
      <c r="V11" s="96" t="inlineStr">
        <is>
          <t>No</t>
        </is>
      </c>
      <c r="W11" s="96" t="inlineStr">
        <is>
          <t>No</t>
        </is>
      </c>
      <c r="X11" s="96" t="inlineStr">
        <is>
          <t>No</t>
        </is>
      </c>
      <c r="Y11" s="45" t="inlineStr">
        <is>
          <t>HIGH</t>
        </is>
      </c>
      <c r="Z11" s="97" t="inlineStr">
        <is>
          <t>Affordable Comp #4: Section 8/HUD property, 1977 vintage (2 yr diff), 156 units, 2.1 mi from subject. Same income-eligible renter pool.</t>
        </is>
      </c>
      <c r="AA11" s="113" t="inlineStr">
        <is>
          <t>HUD Multifamily Assisted Housing</t>
        </is>
      </c>
      <c r="AB11" s="134" t="n"/>
      <c r="AC11" s="136" t="n"/>
      <c r="AD11" s="136" t="n"/>
      <c r="AE11" s="136" t="n"/>
      <c r="AF11" s="136" t="n"/>
      <c r="AG11" s="136" t="n"/>
      <c r="AH11" s="136" t="n"/>
      <c r="AI11" s="136" t="n"/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37.5" customHeight="1" s="131">
      <c r="A12" s="114" t="n">
        <v>1</v>
      </c>
      <c r="B12" s="70" t="inlineStr">
        <is>
          <t>MARKET RATE</t>
        </is>
      </c>
      <c r="C12" s="67" t="inlineStr">
        <is>
          <t>Camelot Apartments</t>
        </is>
      </c>
      <c r="D12" s="98" t="inlineStr">
        <is>
          <t>156 Jefferson Davis Blvd</t>
        </is>
      </c>
      <c r="E12" s="98" t="inlineStr">
        <is>
          <t>Natchez</t>
        </is>
      </c>
      <c r="F12" s="98" t="inlineStr">
        <is>
          <t>MS</t>
        </is>
      </c>
      <c r="G12" s="98" t="inlineStr">
        <is>
          <t>39120</t>
        </is>
      </c>
      <c r="H12" s="98" t="inlineStr">
        <is>
          <t>1.1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N/A</t>
        </is>
      </c>
      <c r="L12" s="53" t="inlineStr">
        <is>
          <t>N/A</t>
        </is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N/A</t>
        </is>
      </c>
      <c r="P12" s="146" t="n">
        <v>850</v>
      </c>
      <c r="Q12" s="99" t="inlineStr">
        <is>
          <t>N/A (Market Rate)</t>
        </is>
      </c>
      <c r="R12" s="99" t="inlineStr">
        <is>
          <t>N/A (Market Rate)</t>
        </is>
      </c>
      <c r="S12" s="99" t="inlineStr">
        <is>
          <t>N/A</t>
        </is>
      </c>
      <c r="T12" s="99" t="inlineStr">
        <is>
          <t>N/A</t>
        </is>
      </c>
      <c r="U12" s="99" t="inlineStr">
        <is>
          <t>N/A (Market Rate)</t>
        </is>
      </c>
      <c r="V12" s="99" t="inlineStr">
        <is>
          <t>N/A (Market Rate)</t>
        </is>
      </c>
      <c r="W12" s="99" t="inlineStr">
        <is>
          <t>N/A</t>
        </is>
      </c>
      <c r="X12" s="99" t="inlineStr">
        <is>
          <t>N/A</t>
        </is>
      </c>
      <c r="Y12" s="46" t="inlineStr">
        <is>
          <t>N/A (Market Rate)</t>
        </is>
      </c>
      <c r="Z12" s="100" t="inlineStr">
        <is>
          <t>N/A (Market Rate)</t>
        </is>
      </c>
      <c r="AA12" s="115" t="inlineStr">
        <is>
          <t>N/A</t>
        </is>
      </c>
      <c r="AB12" s="134" t="inlineStr">
        <is>
          <t>N/A</t>
        </is>
      </c>
      <c r="AC12" s="136" t="inlineStr">
        <is>
          <t>N/A</t>
        </is>
      </c>
      <c r="AD12" s="136" t="inlineStr">
        <is>
          <t>No</t>
        </is>
      </c>
      <c r="AE12" s="136" t="inlineStr">
        <is>
          <t>Apartments.com verified, Apr 2026</t>
        </is>
      </c>
      <c r="AF12" s="136" t="n"/>
      <c r="AG12" s="136" t="n"/>
      <c r="AH12" s="136" t="n"/>
      <c r="AI12" s="136" t="n"/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n">
        <v>2</v>
      </c>
      <c r="B13" s="71" t="inlineStr">
        <is>
          <t>MARKET RATE</t>
        </is>
      </c>
      <c r="C13" s="68" t="inlineStr">
        <is>
          <t>Bienville Apartments</t>
        </is>
      </c>
      <c r="D13" s="101" t="inlineStr">
        <is>
          <t>500 N Commerce St</t>
        </is>
      </c>
      <c r="E13" s="101" t="inlineStr">
        <is>
          <t>Natchez</t>
        </is>
      </c>
      <c r="F13" s="101" t="inlineStr">
        <is>
          <t>MS</t>
        </is>
      </c>
      <c r="G13" s="101" t="inlineStr">
        <is>
          <t>39120</t>
        </is>
      </c>
      <c r="H13" s="101" t="inlineStr">
        <is>
          <t>1.5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N/A</t>
        </is>
      </c>
      <c r="L13" s="53" t="inlineStr">
        <is>
          <t>N/A</t>
        </is>
      </c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N/A</t>
        </is>
      </c>
      <c r="P13" s="146" t="n">
        <v>815</v>
      </c>
      <c r="Q13" s="102" t="inlineStr">
        <is>
          <t>N/A (Market Rate)</t>
        </is>
      </c>
      <c r="R13" s="102" t="inlineStr">
        <is>
          <t>N/A (Market Rate)</t>
        </is>
      </c>
      <c r="S13" s="102" t="inlineStr">
        <is>
          <t>N/A</t>
        </is>
      </c>
      <c r="T13" s="102" t="inlineStr">
        <is>
          <t>N/A</t>
        </is>
      </c>
      <c r="U13" s="102" t="inlineStr">
        <is>
          <t>N/A (Market Rate)</t>
        </is>
      </c>
      <c r="V13" s="102" t="inlineStr">
        <is>
          <t>N/A (Market Rate)</t>
        </is>
      </c>
      <c r="W13" s="102" t="inlineStr">
        <is>
          <t>N/A</t>
        </is>
      </c>
      <c r="X13" s="102" t="inlineStr">
        <is>
          <t>N/A</t>
        </is>
      </c>
      <c r="Y13" s="47" t="inlineStr">
        <is>
          <t>N/A (Market Rate)</t>
        </is>
      </c>
      <c r="Z13" s="103" t="inlineStr">
        <is>
          <t>N/A (Market Rate)</t>
        </is>
      </c>
      <c r="AA13" s="117" t="inlineStr">
        <is>
          <t>N/A</t>
        </is>
      </c>
      <c r="AB13" s="134" t="inlineStr">
        <is>
          <t>N/A</t>
        </is>
      </c>
      <c r="AC13" s="136" t="inlineStr">
        <is>
          <t>N/A</t>
        </is>
      </c>
      <c r="AD13" s="136" t="inlineStr">
        <is>
          <t>No</t>
        </is>
      </c>
      <c r="AE13" s="136" t="inlineStr">
        <is>
          <t>Apartments.com verified, Apr 2026</t>
        </is>
      </c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n">
        <v>3</v>
      </c>
      <c r="B14" s="69" t="inlineStr">
        <is>
          <t>MARKET RATE</t>
        </is>
      </c>
      <c r="C14" s="66" t="inlineStr">
        <is>
          <t>Covington II</t>
        </is>
      </c>
      <c r="D14" s="95" t="inlineStr">
        <is>
          <t>22 T Waring Bennett Jr Rd</t>
        </is>
      </c>
      <c r="E14" s="95" t="inlineStr">
        <is>
          <t>Natchez</t>
        </is>
      </c>
      <c r="F14" s="95" t="inlineStr">
        <is>
          <t>MS</t>
        </is>
      </c>
      <c r="G14" s="95" t="inlineStr">
        <is>
          <t>39120</t>
        </is>
      </c>
      <c r="H14" s="95" t="inlineStr">
        <is>
          <t>1.8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N/A</t>
        </is>
      </c>
      <c r="L14" s="53" t="inlineStr">
        <is>
          <t>N/A</t>
        </is>
      </c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N/A</t>
        </is>
      </c>
      <c r="P14" s="146" t="n">
        <v>730</v>
      </c>
      <c r="Q14" s="96" t="inlineStr">
        <is>
          <t>N/A (Market Rate)</t>
        </is>
      </c>
      <c r="R14" s="96" t="inlineStr">
        <is>
          <t>N/A (Market Rate)</t>
        </is>
      </c>
      <c r="S14" s="96" t="inlineStr">
        <is>
          <t>N/A</t>
        </is>
      </c>
      <c r="T14" s="96" t="inlineStr">
        <is>
          <t>N/A</t>
        </is>
      </c>
      <c r="U14" s="96" t="inlineStr">
        <is>
          <t>N/A (Market Rate)</t>
        </is>
      </c>
      <c r="V14" s="96" t="inlineStr">
        <is>
          <t>N/A (Market Rate)</t>
        </is>
      </c>
      <c r="W14" s="96" t="inlineStr">
        <is>
          <t>N/A</t>
        </is>
      </c>
      <c r="X14" s="96" t="inlineStr">
        <is>
          <t>N/A</t>
        </is>
      </c>
      <c r="Y14" s="45" t="inlineStr">
        <is>
          <t>N/A (Market Rate)</t>
        </is>
      </c>
      <c r="Z14" s="97" t="inlineStr">
        <is>
          <t>N/A (Market Rate)</t>
        </is>
      </c>
      <c r="AA14" s="113" t="inlineStr">
        <is>
          <t>N/A</t>
        </is>
      </c>
      <c r="AB14" s="134" t="inlineStr">
        <is>
          <t>N/A</t>
        </is>
      </c>
      <c r="AC14" s="136" t="inlineStr">
        <is>
          <t>N/A</t>
        </is>
      </c>
      <c r="AD14" s="136" t="inlineStr">
        <is>
          <t>No</t>
        </is>
      </c>
      <c r="AE14" s="136" t="inlineStr">
        <is>
          <t>Apartments.com verified, Apr 2026</t>
        </is>
      </c>
      <c r="AF14" s="136" t="n"/>
      <c r="AG14" s="136" t="n"/>
      <c r="AH14" s="136" t="n"/>
      <c r="AI14" s="136" t="n"/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n">
        <v>4</v>
      </c>
      <c r="B15" s="69" t="inlineStr">
        <is>
          <t>MARKET RATE</t>
        </is>
      </c>
      <c r="C15" s="66" t="inlineStr">
        <is>
          <t>Riverbreeze Manor Apartments</t>
        </is>
      </c>
      <c r="D15" s="95" t="inlineStr">
        <is>
          <t>144 N Shields Ln</t>
        </is>
      </c>
      <c r="E15" s="95" t="inlineStr">
        <is>
          <t>Natchez</t>
        </is>
      </c>
      <c r="F15" s="95" t="inlineStr">
        <is>
          <t>MS</t>
        </is>
      </c>
      <c r="G15" s="95" t="inlineStr">
        <is>
          <t>39120</t>
        </is>
      </c>
      <c r="H15" s="95" t="inlineStr">
        <is>
          <t>2.1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N/A</t>
        </is>
      </c>
      <c r="L15" s="53" t="inlineStr">
        <is>
          <t>N/A</t>
        </is>
      </c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N/A</t>
        </is>
      </c>
      <c r="P15" s="146" t="n">
        <v>750</v>
      </c>
      <c r="Q15" s="96" t="inlineStr">
        <is>
          <t>N/A (Market Rate)</t>
        </is>
      </c>
      <c r="R15" s="96" t="inlineStr">
        <is>
          <t>N/A (Market Rate)</t>
        </is>
      </c>
      <c r="S15" s="96" t="inlineStr">
        <is>
          <t>N/A</t>
        </is>
      </c>
      <c r="T15" s="153" t="n">
        <v>850</v>
      </c>
      <c r="U15" s="96" t="inlineStr">
        <is>
          <t>N/A (Market Rate)</t>
        </is>
      </c>
      <c r="V15" s="96" t="inlineStr">
        <is>
          <t>N/A (Market Rate)</t>
        </is>
      </c>
      <c r="W15" s="96" t="inlineStr">
        <is>
          <t>N/A</t>
        </is>
      </c>
      <c r="X15" s="96" t="inlineStr">
        <is>
          <t>N/A</t>
        </is>
      </c>
      <c r="Y15" s="45" t="inlineStr">
        <is>
          <t>N/A (Market Rate)</t>
        </is>
      </c>
      <c r="Z15" s="97" t="inlineStr">
        <is>
          <t>N/A (Market Rate)</t>
        </is>
      </c>
      <c r="AA15" s="113" t="inlineStr">
        <is>
          <t>N/A</t>
        </is>
      </c>
      <c r="AB15" s="134" t="inlineStr">
        <is>
          <t>N/A</t>
        </is>
      </c>
      <c r="AC15" s="136" t="inlineStr">
        <is>
          <t>N/A</t>
        </is>
      </c>
      <c r="AD15" s="136" t="inlineStr">
        <is>
          <t>No</t>
        </is>
      </c>
      <c r="AE15" s="136" t="inlineStr">
        <is>
          <t>Apartments.com verified, Apr 2026</t>
        </is>
      </c>
      <c r="AF15" s="136" t="n"/>
      <c r="AG15" s="136" t="n"/>
      <c r="AH15" s="136" t="n"/>
      <c r="AI15" s="136" t="n"/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n">
        <v>5</v>
      </c>
      <c r="B16" s="82" t="inlineStr">
        <is>
          <t>MARKET RATE</t>
        </is>
      </c>
      <c r="C16" s="119" t="inlineStr">
        <is>
          <t>Individual Unit — 1008 N Union St</t>
        </is>
      </c>
      <c r="D16" s="120" t="inlineStr">
        <is>
          <t>1008 N Union St</t>
        </is>
      </c>
      <c r="E16" s="120" t="inlineStr">
        <is>
          <t>Natchez</t>
        </is>
      </c>
      <c r="F16" s="120" t="inlineStr">
        <is>
          <t>MS</t>
        </is>
      </c>
      <c r="G16" s="120" t="inlineStr">
        <is>
          <t>39120</t>
        </is>
      </c>
      <c r="H16" s="120" t="inlineStr">
        <is>
          <t>1.3 mi</t>
        </is>
      </c>
      <c r="I16" s="120" t="inlineStr">
        <is>
          <t>N/A (Market Rate)</t>
        </is>
      </c>
      <c r="J16" s="120" t="inlineStr">
        <is>
          <t>N/A (Market Rate)</t>
        </is>
      </c>
      <c r="K16" s="121" t="inlineStr">
        <is>
          <t>N/A</t>
        </is>
      </c>
      <c r="L16" s="83" t="inlineStr">
        <is>
          <t>N/A</t>
        </is>
      </c>
      <c r="M16" s="122" t="inlineStr">
        <is>
          <t>N/A (Market Rate)</t>
        </is>
      </c>
      <c r="N16" s="122" t="inlineStr">
        <is>
          <t>N/A (Market Rate)</t>
        </is>
      </c>
      <c r="O16" s="121" t="inlineStr">
        <is>
          <t>N/A</t>
        </is>
      </c>
      <c r="P16" s="83" t="inlineStr">
        <is>
          <t>N/A</t>
        </is>
      </c>
      <c r="Q16" s="122" t="inlineStr">
        <is>
          <t>N/A (Market Rate)</t>
        </is>
      </c>
      <c r="R16" s="122" t="inlineStr">
        <is>
          <t>N/A (Market Rate)</t>
        </is>
      </c>
      <c r="S16" s="122" t="inlineStr">
        <is>
          <t>N/A</t>
        </is>
      </c>
      <c r="T16" s="155" t="n">
        <v>1289</v>
      </c>
      <c r="U16" s="122" t="inlineStr">
        <is>
          <t>N/A (Market Rate)</t>
        </is>
      </c>
      <c r="V16" s="122" t="inlineStr">
        <is>
          <t>N/A (Market Rate)</t>
        </is>
      </c>
      <c r="W16" s="122" t="inlineStr">
        <is>
          <t>N/A</t>
        </is>
      </c>
      <c r="X16" s="122" t="inlineStr">
        <is>
          <t>N/A</t>
        </is>
      </c>
      <c r="Y16" s="84" t="inlineStr">
        <is>
          <t>N/A (Market Rate)</t>
        </is>
      </c>
      <c r="Z16" s="123" t="inlineStr">
        <is>
          <t>N/A (Market Rate)</t>
        </is>
      </c>
      <c r="AA16" s="124" t="inlineStr">
        <is>
          <t>N/A</t>
        </is>
      </c>
      <c r="AB16" s="134" t="inlineStr">
        <is>
          <t>N/A</t>
        </is>
      </c>
      <c r="AC16" s="136" t="inlineStr">
        <is>
          <t>N/A</t>
        </is>
      </c>
      <c r="AD16" s="136" t="inlineStr">
        <is>
          <t>No</t>
        </is>
      </c>
      <c r="AE16" s="136" t="inlineStr">
        <is>
          <t>Apartments.com verified, Apr 2026 — single unit rental</t>
        </is>
      </c>
      <c r="AF16" s="136" t="n"/>
      <c r="AG16" s="136" t="n"/>
      <c r="AH16" s="136" t="n"/>
      <c r="AI16" s="136" t="n"/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n">
        <v>6</v>
      </c>
      <c r="B17" s="88" t="inlineStr">
        <is>
          <t>MARKET RATE</t>
        </is>
      </c>
      <c r="C17" s="89" t="inlineStr">
        <is>
          <t>Individual Unit — 2116 Second St</t>
        </is>
      </c>
      <c r="D17" s="87" t="inlineStr">
        <is>
          <t>2116 Second St</t>
        </is>
      </c>
      <c r="E17" s="87" t="inlineStr">
        <is>
          <t>Natchez</t>
        </is>
      </c>
      <c r="F17" s="87" t="inlineStr">
        <is>
          <t>MS</t>
        </is>
      </c>
      <c r="G17" s="87" t="inlineStr">
        <is>
          <t>39120</t>
        </is>
      </c>
      <c r="H17" s="87" t="inlineStr">
        <is>
          <t>1.0 mi</t>
        </is>
      </c>
      <c r="I17" s="87" t="inlineStr">
        <is>
          <t>N/A (Market Rate)</t>
        </is>
      </c>
      <c r="J17" s="87" t="inlineStr">
        <is>
          <t>N/A (Market Rate)</t>
        </is>
      </c>
      <c r="K17" s="90" t="inlineStr">
        <is>
          <t>N/A</t>
        </is>
      </c>
      <c r="L17" s="91" t="inlineStr">
        <is>
          <t>N/A</t>
        </is>
      </c>
      <c r="M17" s="92" t="inlineStr">
        <is>
          <t>N/A (Market Rate)</t>
        </is>
      </c>
      <c r="N17" s="92" t="inlineStr">
        <is>
          <t>N/A (Market Rate)</t>
        </is>
      </c>
      <c r="O17" s="90" t="inlineStr">
        <is>
          <t>N/A</t>
        </is>
      </c>
      <c r="P17" s="91" t="inlineStr">
        <is>
          <t>N/A</t>
        </is>
      </c>
      <c r="Q17" s="92" t="inlineStr">
        <is>
          <t>N/A (Market Rate)</t>
        </is>
      </c>
      <c r="R17" s="92" t="inlineStr">
        <is>
          <t>N/A (Market Rate)</t>
        </is>
      </c>
      <c r="S17" s="92" t="inlineStr">
        <is>
          <t>N/A</t>
        </is>
      </c>
      <c r="T17" s="154" t="n">
        <v>1150</v>
      </c>
      <c r="U17" s="92" t="inlineStr">
        <is>
          <t>N/A (Market Rate)</t>
        </is>
      </c>
      <c r="V17" s="92" t="inlineStr">
        <is>
          <t>N/A (Market Rate)</t>
        </is>
      </c>
      <c r="W17" s="92" t="inlineStr">
        <is>
          <t>N/A</t>
        </is>
      </c>
      <c r="X17" s="92" t="inlineStr">
        <is>
          <t>N/A</t>
        </is>
      </c>
      <c r="Y17" s="93" t="inlineStr">
        <is>
          <t>N/A (Market Rate)</t>
        </is>
      </c>
      <c r="Z17" s="94" t="inlineStr">
        <is>
          <t>N/A (Market Rate)</t>
        </is>
      </c>
      <c r="AA17" s="92" t="inlineStr">
        <is>
          <t>N/A</t>
        </is>
      </c>
      <c r="AB17" s="136" t="inlineStr">
        <is>
          <t>N/A</t>
        </is>
      </c>
      <c r="AC17" s="136" t="inlineStr">
        <is>
          <t>N/A</t>
        </is>
      </c>
      <c r="AD17" s="136" t="inlineStr">
        <is>
          <t>No</t>
        </is>
      </c>
      <c r="AE17" s="136" t="inlineStr">
        <is>
          <t>Apartments.com verified, Apr 2026 — single unit rental</t>
        </is>
      </c>
      <c r="AF17" s="136" t="n"/>
      <c r="AG17" s="136" t="n"/>
      <c r="AH17" s="136" t="n"/>
      <c r="AI17" s="136" t="n"/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C19" s="136" t="n"/>
      <c r="AD19" s="136" t="n"/>
      <c r="AE19" s="136" t="n"/>
      <c r="AF19" s="136" t="n"/>
      <c r="AG19" s="136" t="n"/>
      <c r="AH19" s="136" t="n"/>
      <c r="AI19" s="136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Format="1" customHeight="1" s="2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Height="1" s="131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Height="1" s="131">
      <c r="A25" s="372" t="n"/>
      <c r="B25" s="201" t="inlineStr">
        <is>
          <t>2BD</t>
        </is>
      </c>
      <c r="C25" s="194" t="n"/>
      <c r="D25" s="200" t="n"/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Format="1" customHeight="1" s="2">
      <c r="A26" s="372" t="n"/>
      <c r="B26" s="201" t="inlineStr">
        <is>
          <t>3BD</t>
        </is>
      </c>
      <c r="C26" s="194" t="n"/>
      <c r="D26" s="200" t="n">
        <v>786</v>
      </c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8.1" customFormat="1" customHeight="1" s="2">
      <c r="A27" s="369" t="n"/>
      <c r="B27" s="369" t="n"/>
      <c r="C27" s="381" t="n"/>
      <c r="D27" s="369" t="n"/>
      <c r="E27" s="369" t="n"/>
      <c r="F27" s="369" t="n"/>
      <c r="G27" s="369" t="n"/>
      <c r="H27" s="369" t="n"/>
      <c r="I27" s="369" t="n"/>
      <c r="J27" s="369" t="n"/>
      <c r="K27" s="369" t="n"/>
      <c r="L27" s="134" t="n"/>
      <c r="M27" s="134" t="n"/>
      <c r="N27" s="134" t="n"/>
      <c r="O27" s="134" t="n"/>
      <c r="P27" s="134" t="n"/>
      <c r="Q27" s="134" t="n"/>
      <c r="R27" s="134" t="n"/>
      <c r="S27" s="134" t="n"/>
      <c r="T27" s="134" t="n"/>
      <c r="U27" s="134" t="n"/>
      <c r="V27" s="134" t="n"/>
      <c r="W27" s="134" t="n"/>
      <c r="X27" s="134" t="n"/>
      <c r="Y27" s="134" t="n"/>
      <c r="Z27" s="135" t="n"/>
      <c r="AA27" s="134" t="n"/>
      <c r="AB27" s="134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24.75" customFormat="1" customHeight="1" s="2">
      <c r="A28" s="302" t="n"/>
      <c r="B28" s="211" t="inlineStr">
        <is>
          <t>PMTS — Vouchers / FMR / UAP / NET</t>
        </is>
      </c>
      <c r="G28" s="365" t="n"/>
      <c r="H28" s="183" t="n"/>
      <c r="I28" s="183" t="n"/>
      <c r="J28" s="183" t="n"/>
      <c r="K28" s="302" t="n"/>
      <c r="L28" s="302" t="n"/>
      <c r="M28" s="302" t="n"/>
      <c r="N28" s="302" t="n"/>
      <c r="O28" s="302" t="n"/>
      <c r="P28" s="302" t="n"/>
      <c r="Q28" s="302" t="n"/>
      <c r="R28" s="302" t="n"/>
      <c r="S28" s="302" t="n"/>
      <c r="T28" s="302" t="n"/>
      <c r="U28" s="302" t="n"/>
      <c r="V28" s="302" t="n"/>
      <c r="W28" s="302" t="n"/>
      <c r="X28" s="302" t="n"/>
      <c r="Y28" s="302" t="n"/>
      <c r="Z28" s="302" t="n"/>
      <c r="AA28" s="353" t="n"/>
      <c r="AB28" s="302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15.95" customFormat="1" customHeight="1" s="2">
      <c r="A29" s="302" t="n"/>
      <c r="B29" s="226" t="n"/>
      <c r="C29" s="213" t="inlineStr">
        <is>
          <t>MKT</t>
        </is>
      </c>
      <c r="D29" s="213" t="inlineStr">
        <is>
          <t>VCH</t>
        </is>
      </c>
      <c r="E29" s="214" t="inlineStr">
        <is>
          <t>FMR</t>
        </is>
      </c>
      <c r="F29" s="215" t="inlineStr">
        <is>
          <t>UAP</t>
        </is>
      </c>
      <c r="G29" s="216" t="inlineStr">
        <is>
          <t>NET</t>
        </is>
      </c>
      <c r="H29" s="183" t="n"/>
      <c r="I29" s="183" t="n"/>
      <c r="J29" s="183" t="n"/>
      <c r="K29" s="302" t="n"/>
      <c r="L29" s="302" t="n"/>
      <c r="M29" s="302" t="n"/>
      <c r="N29" s="302" t="n"/>
      <c r="O29" s="302" t="n"/>
      <c r="P29" s="302" t="n"/>
      <c r="Q29" s="302" t="n"/>
      <c r="R29" s="302" t="n"/>
      <c r="S29" s="302" t="n"/>
      <c r="T29" s="302" t="n"/>
      <c r="U29" s="302" t="n"/>
      <c r="V29" s="302" t="n"/>
      <c r="W29" s="302" t="n"/>
      <c r="X29" s="302" t="n"/>
      <c r="Y29" s="302" t="n"/>
      <c r="Z29" s="302" t="n"/>
      <c r="AA29" s="353" t="n"/>
      <c r="AB29" s="302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24.75" customFormat="1" customHeight="1" s="2">
      <c r="A30" s="372" t="n"/>
      <c r="B30" s="217" t="inlineStr">
        <is>
          <t>2BD</t>
        </is>
      </c>
      <c r="C30" s="197" t="n">
        <v>0</v>
      </c>
      <c r="D30" s="197" t="n">
        <v>1690</v>
      </c>
      <c r="E30" s="198" t="n">
        <v>1500</v>
      </c>
      <c r="F30" s="199" t="n">
        <v>151</v>
      </c>
      <c r="G30" s="218" t="n">
        <v>1349</v>
      </c>
      <c r="H30" s="183" t="n"/>
      <c r="I30" s="183" t="n"/>
      <c r="J30" s="183" t="n"/>
      <c r="K30" s="302" t="n"/>
      <c r="L30" s="302" t="n"/>
      <c r="M30" s="302" t="n"/>
      <c r="N30" s="302" t="n"/>
      <c r="O30" s="343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24.75" customHeight="1" s="131">
      <c r="A31" s="372" t="n"/>
      <c r="B31" s="217" t="inlineStr">
        <is>
          <t>3BD</t>
        </is>
      </c>
      <c r="C31" s="197" t="n">
        <v>0</v>
      </c>
      <c r="D31" s="197" t="n">
        <v>2100</v>
      </c>
      <c r="E31" s="198" t="n">
        <v>1900</v>
      </c>
      <c r="F31" s="199" t="n">
        <v>254</v>
      </c>
      <c r="G31" s="218" t="n">
        <v>1646</v>
      </c>
      <c r="H31" s="183" t="n"/>
      <c r="I31" s="183" t="n"/>
      <c r="J31" s="183" t="n"/>
      <c r="K31" s="302" t="n"/>
      <c r="L31" s="302" t="n"/>
      <c r="M31" s="302" t="n"/>
      <c r="N31" s="302" t="n"/>
      <c r="O31" s="343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8.1" customHeight="1" s="131">
      <c r="A32" s="369" t="n"/>
      <c r="B32" s="369" t="n"/>
      <c r="C32" s="381" t="n"/>
      <c r="D32" s="381" t="n"/>
      <c r="E32" s="381" t="n"/>
      <c r="F32" s="381" t="n"/>
      <c r="G32" s="369" t="n"/>
      <c r="H32" s="369" t="n"/>
      <c r="I32" s="369" t="n"/>
      <c r="J32" s="369" t="n"/>
      <c r="K32" s="369" t="n"/>
      <c r="L32" s="134" t="n"/>
      <c r="M32" s="134" t="n"/>
      <c r="N32" s="134" t="n"/>
      <c r="O32" s="134" t="n"/>
      <c r="P32" s="134" t="n"/>
      <c r="Q32" s="134" t="n"/>
      <c r="R32" s="134" t="n"/>
      <c r="S32" s="134" t="n"/>
      <c r="T32" s="134" t="n"/>
      <c r="U32" s="134" t="n"/>
      <c r="V32" s="134" t="n"/>
      <c r="W32" s="134" t="n"/>
      <c r="X32" s="134" t="n"/>
      <c r="Y32" s="134" t="n"/>
      <c r="Z32" s="135" t="n"/>
      <c r="AA32" s="134" t="n"/>
      <c r="AB32" s="134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24.75" customFormat="1" customHeight="1" s="2">
      <c r="A33" s="302" t="n"/>
      <c r="B33" s="366" t="inlineStr">
        <is>
          <t>LIHTC, UAP, NET</t>
        </is>
      </c>
      <c r="C33" s="358" t="n"/>
      <c r="D33" s="358" t="n"/>
      <c r="E33" s="358" t="n"/>
      <c r="F33" s="358" t="n"/>
      <c r="G33" s="359" t="n"/>
      <c r="H33" s="183" t="n"/>
      <c r="I33" s="183" t="n"/>
      <c r="J33" s="183" t="n"/>
      <c r="K33" s="302" t="n"/>
      <c r="L33" s="302" t="n"/>
      <c r="M33" s="302" t="n"/>
      <c r="N33" s="302" t="n"/>
      <c r="O33" s="302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16.5" customFormat="1" customHeight="1" s="2">
      <c r="A34" s="372" t="n"/>
      <c r="B34" s="226" t="n"/>
      <c r="C34" s="228" t="inlineStr">
        <is>
          <t>LIHTC/MKT</t>
        </is>
      </c>
      <c r="D34" s="228" t="inlineStr">
        <is>
          <t>60%</t>
        </is>
      </c>
      <c r="E34" s="215" t="inlineStr">
        <is>
          <t>UAP</t>
        </is>
      </c>
      <c r="F34" s="216" t="inlineStr">
        <is>
          <t>NET</t>
        </is>
      </c>
      <c r="G34" s="183" t="n"/>
      <c r="H34" s="183" t="n"/>
      <c r="I34" s="183" t="n"/>
      <c r="J34" s="183" t="n"/>
      <c r="K34" s="302" t="n"/>
      <c r="L34" s="302" t="n"/>
      <c r="M34" s="302" t="n"/>
      <c r="N34" s="302" t="n"/>
      <c r="O34" s="343" t="n"/>
      <c r="P34" s="302" t="n"/>
      <c r="Q34" s="302" t="n"/>
      <c r="R34" s="302" t="n"/>
      <c r="S34" s="302" t="n"/>
      <c r="T34" s="302" t="n"/>
      <c r="U34" s="302" t="n"/>
      <c r="V34" s="302" t="n"/>
      <c r="W34" s="302" t="n"/>
      <c r="X34" s="302" t="n"/>
      <c r="Y34" s="302" t="n"/>
      <c r="Z34" s="302" t="n"/>
      <c r="AA34" s="353" t="n"/>
      <c r="AB34" s="302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24.75" customFormat="1" customHeight="1" s="2">
      <c r="A35" s="372" t="n"/>
      <c r="B35" s="224" t="inlineStr">
        <is>
          <t>2BD</t>
        </is>
      </c>
      <c r="C35" s="225" t="n">
        <v>1533</v>
      </c>
      <c r="D35" s="225" t="n">
        <v>1346</v>
      </c>
      <c r="E35" s="225" t="n">
        <v>151</v>
      </c>
      <c r="F35" s="223" t="n">
        <v>1195</v>
      </c>
      <c r="G35" s="183" t="n"/>
      <c r="H35" s="183" t="n"/>
      <c r="I35" s="183" t="n"/>
      <c r="J35" s="183" t="n"/>
      <c r="K35" s="302" t="n"/>
      <c r="L35" s="302" t="n"/>
      <c r="M35" s="302" t="n"/>
      <c r="N35" s="302" t="n"/>
      <c r="O35" s="343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24.75" customFormat="1" customHeight="1" s="2">
      <c r="A36" s="369" t="n"/>
      <c r="B36" s="224" t="inlineStr">
        <is>
          <t>3BD</t>
        </is>
      </c>
      <c r="C36" s="225" t="n">
        <v>1770</v>
      </c>
      <c r="D36" s="225" t="n">
        <v>1518</v>
      </c>
      <c r="E36" s="225" t="n">
        <v>254</v>
      </c>
      <c r="F36" s="223" t="n">
        <v>1264</v>
      </c>
      <c r="G36" s="183" t="n"/>
      <c r="H36" s="183" t="n"/>
      <c r="I36" s="183" t="n"/>
      <c r="J36" s="183" t="n"/>
      <c r="K36" s="302" t="n"/>
      <c r="L36" s="302" t="n"/>
      <c r="M36" s="302" t="n"/>
      <c r="N36" s="302" t="n"/>
      <c r="O36" s="343" t="n"/>
      <c r="P36" s="302" t="n"/>
      <c r="Q36" s="302" t="n"/>
      <c r="R36" s="302" t="n"/>
      <c r="S36" s="302" t="n"/>
      <c r="T36" s="302" t="n"/>
      <c r="U36" s="302" t="n"/>
      <c r="V36" s="302" t="n"/>
      <c r="W36" s="302" t="n"/>
      <c r="X36" s="302" t="n"/>
      <c r="Y36" s="302" t="n"/>
      <c r="Z36" s="302" t="n"/>
      <c r="AA36" s="353" t="n"/>
      <c r="AB36" s="302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18" customHeight="1" s="131">
      <c r="A37" s="369" t="n"/>
      <c r="B37" s="381" t="n"/>
      <c r="C37" s="381" t="n"/>
      <c r="D37" s="381" t="n"/>
      <c r="E37" s="381" t="n"/>
      <c r="F37" s="369" t="n"/>
      <c r="G37" s="369" t="n"/>
      <c r="H37" s="369" t="n"/>
      <c r="I37" s="369" t="n"/>
      <c r="J37" s="369" t="n"/>
      <c r="K37" s="369" t="n"/>
      <c r="L37" s="134" t="n"/>
      <c r="M37" s="134" t="n"/>
      <c r="N37" s="134" t="n"/>
      <c r="O37" s="134" t="n"/>
      <c r="P37" s="134" t="n"/>
      <c r="Q37" s="134" t="n"/>
      <c r="R37" s="134" t="n"/>
      <c r="S37" s="134" t="n"/>
      <c r="T37" s="134" t="n"/>
      <c r="U37" s="134" t="n"/>
      <c r="V37" s="134" t="n"/>
      <c r="W37" s="134" t="n"/>
      <c r="X37" s="134" t="n"/>
      <c r="Y37" s="134" t="n"/>
      <c r="Z37" s="135" t="n"/>
      <c r="AA37" s="134" t="n"/>
      <c r="AB37" s="134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18" customHeight="1" s="131">
      <c r="A38" s="372" t="n"/>
      <c r="B38" s="372" t="n"/>
      <c r="C38" s="444" t="n"/>
      <c r="D38" s="369" t="n"/>
      <c r="E38" s="369" t="n"/>
      <c r="F38" s="369" t="n"/>
      <c r="G38" s="369" t="n"/>
      <c r="H38" s="369" t="n"/>
      <c r="I38" s="369" t="n"/>
      <c r="J38" s="369" t="n"/>
      <c r="K38" s="369" t="n"/>
      <c r="L38" s="134" t="n"/>
      <c r="M38" s="134" t="n"/>
      <c r="N38" s="134" t="n"/>
      <c r="O38" s="134" t="n"/>
      <c r="P38" s="134" t="n"/>
      <c r="Q38" s="134" t="n"/>
      <c r="R38" s="134" t="n"/>
      <c r="S38" s="134" t="n"/>
      <c r="T38" s="134" t="n"/>
      <c r="U38" s="134" t="n"/>
      <c r="V38" s="134" t="n"/>
      <c r="W38" s="134" t="n"/>
      <c r="X38" s="134" t="n"/>
      <c r="Y38" s="134" t="n"/>
      <c r="Z38" s="135" t="n"/>
      <c r="AA38" s="134" t="n"/>
      <c r="AB38" s="134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24.75" customFormat="1" customHeight="1" s="2">
      <c r="A39" s="302" t="n"/>
      <c r="B39" s="207" t="inlineStr">
        <is>
          <t>HAP, CoStar, NET</t>
        </is>
      </c>
      <c r="H39" s="183" t="n"/>
      <c r="I39" s="183" t="n"/>
      <c r="J39" s="183" t="n"/>
      <c r="K39" s="302" t="n"/>
      <c r="L39" s="302" t="n"/>
      <c r="M39" s="302" t="n"/>
      <c r="N39" s="302" t="n"/>
      <c r="O39" s="302" t="n"/>
      <c r="P39" s="302" t="n"/>
      <c r="Q39" s="302" t="n"/>
      <c r="R39" s="302" t="n"/>
      <c r="S39" s="302" t="n"/>
      <c r="T39" s="302" t="n"/>
      <c r="U39" s="302" t="n"/>
      <c r="V39" s="302" t="n"/>
      <c r="W39" s="302" t="n"/>
      <c r="X39" s="302" t="n"/>
      <c r="Y39" s="302" t="n"/>
      <c r="Z39" s="302" t="n"/>
      <c r="AA39" s="353" t="n"/>
      <c r="AB39" s="302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ht="15.95" customFormat="1" customHeight="1" s="2">
      <c r="A40" s="302" t="n"/>
      <c r="B40" s="227" t="n"/>
      <c r="C40" s="208" t="inlineStr">
        <is>
          <t>HAP</t>
        </is>
      </c>
      <c r="D40" s="209" t="inlineStr">
        <is>
          <t>CoStar</t>
        </is>
      </c>
      <c r="E40" s="302" t="n"/>
      <c r="F40" s="302" t="n"/>
      <c r="G40" s="302" t="n"/>
      <c r="H40" s="183" t="n"/>
      <c r="I40" s="183" t="n"/>
      <c r="J40" s="183" t="n"/>
      <c r="K40" s="302" t="n"/>
      <c r="L40" s="302" t="n"/>
      <c r="M40" s="302" t="n"/>
      <c r="N40" s="302" t="n"/>
      <c r="O40" s="302" t="n"/>
      <c r="P40" s="302" t="n"/>
      <c r="Q40" s="302" t="n"/>
      <c r="R40" s="302" t="n"/>
      <c r="S40" s="302" t="n"/>
      <c r="T40" s="302" t="n"/>
      <c r="U40" s="302" t="n"/>
      <c r="V40" s="302" t="n"/>
      <c r="W40" s="302" t="n"/>
      <c r="X40" s="302" t="n"/>
      <c r="Y40" s="302" t="n"/>
      <c r="Z40" s="302" t="n"/>
      <c r="AA40" s="353" t="n"/>
      <c r="AB40" s="302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ht="24.75" customFormat="1" customHeight="1" s="2">
      <c r="A41" s="302" t="n"/>
      <c r="B41" s="196" t="inlineStr">
        <is>
          <t>2BD</t>
        </is>
      </c>
      <c r="C41" s="199" t="n">
        <v>0</v>
      </c>
      <c r="D41" s="198" t="n">
        <v>1464</v>
      </c>
      <c r="E41" s="183" t="n"/>
      <c r="F41" s="183" t="n"/>
      <c r="G41" s="183" t="n"/>
      <c r="H41" s="183" t="n"/>
      <c r="I41" s="183" t="n"/>
      <c r="J41" s="183" t="n"/>
      <c r="K41" s="302" t="n"/>
      <c r="L41" s="302" t="n"/>
      <c r="M41" s="302" t="n"/>
      <c r="N41" s="302" t="n"/>
      <c r="O41" s="302" t="n"/>
      <c r="P41" s="302" t="n"/>
      <c r="Q41" s="302" t="n"/>
      <c r="R41" s="302" t="n"/>
      <c r="S41" s="302" t="n"/>
      <c r="T41" s="302" t="n"/>
      <c r="U41" s="302" t="n"/>
      <c r="V41" s="302" t="n"/>
      <c r="W41" s="302" t="n"/>
      <c r="X41" s="302" t="n"/>
      <c r="Y41" s="302" t="n"/>
      <c r="Z41" s="302" t="n"/>
      <c r="AA41" s="353" t="n"/>
      <c r="AB41" s="302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ht="24.75" customFormat="1" customHeight="1" s="2">
      <c r="A42" s="302" t="n"/>
      <c r="B42" s="196" t="inlineStr">
        <is>
          <t>3BD</t>
        </is>
      </c>
      <c r="C42" s="199" t="n">
        <v>0</v>
      </c>
      <c r="D42" s="198" t="n">
        <v>1736</v>
      </c>
      <c r="E42" s="183" t="n"/>
      <c r="F42" s="183" t="n"/>
      <c r="G42" s="183" t="n"/>
      <c r="H42" s="183" t="n"/>
      <c r="I42" s="183" t="n"/>
      <c r="J42" s="183" t="n"/>
      <c r="K42" s="302" t="n"/>
      <c r="L42" s="302" t="n"/>
      <c r="M42" s="302" t="n"/>
      <c r="N42" s="302" t="n"/>
      <c r="O42" s="302" t="n"/>
      <c r="P42" s="302" t="n"/>
      <c r="Q42" s="302" t="n"/>
      <c r="R42" s="302" t="n"/>
      <c r="S42" s="302" t="n"/>
      <c r="T42" s="302" t="n"/>
      <c r="U42" s="302" t="n"/>
      <c r="V42" s="302" t="n"/>
      <c r="W42" s="302" t="n"/>
      <c r="X42" s="302" t="n"/>
      <c r="Y42" s="302" t="n"/>
      <c r="Z42" s="302" t="n"/>
      <c r="AA42" s="353" t="n"/>
      <c r="AB42" s="302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s="131">
      <c r="A43" s="369" t="n"/>
      <c r="B43" s="369" t="n"/>
      <c r="C43" s="369" t="n"/>
      <c r="D43" s="369" t="n"/>
      <c r="E43" s="369" t="n"/>
      <c r="F43" s="369" t="n"/>
      <c r="G43" s="369" t="n"/>
      <c r="H43" s="369" t="n"/>
      <c r="I43" s="369" t="n"/>
      <c r="J43" s="369" t="n"/>
      <c r="K43" s="369" t="n"/>
      <c r="L43" s="136" t="n"/>
      <c r="M43" s="136" t="n"/>
      <c r="N43" s="136" t="n"/>
      <c r="O43" s="136" t="n"/>
      <c r="P43" s="136" t="n"/>
      <c r="Q43" s="136" t="n"/>
      <c r="R43" s="136" t="n"/>
      <c r="S43" s="136" t="n"/>
      <c r="T43" s="136" t="n"/>
      <c r="U43" s="136" t="n"/>
      <c r="V43" s="136" t="n"/>
      <c r="W43" s="136" t="n"/>
      <c r="X43" s="136" t="n"/>
      <c r="Y43" s="136" t="n"/>
      <c r="Z43" s="136" t="n"/>
      <c r="AA43" s="136" t="n"/>
      <c r="AB43" s="136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s="131">
      <c r="A44" s="369" t="n"/>
      <c r="B44" s="369" t="n"/>
      <c r="C44" s="369" t="n"/>
      <c r="D44" s="369" t="n"/>
      <c r="E44" s="369" t="n"/>
      <c r="F44" s="369" t="n"/>
      <c r="G44" s="369" t="n"/>
      <c r="H44" s="369" t="n"/>
      <c r="I44" s="369" t="n"/>
      <c r="J44" s="369" t="n"/>
      <c r="K44" s="369" t="n"/>
      <c r="L44" s="136" t="n"/>
      <c r="M44" s="136" t="n"/>
      <c r="N44" s="136" t="n"/>
      <c r="O44" s="136" t="n"/>
      <c r="P44" s="136" t="n"/>
      <c r="Q44" s="136" t="n"/>
      <c r="R44" s="136" t="n"/>
      <c r="S44" s="136" t="n"/>
      <c r="T44" s="136" t="n"/>
      <c r="U44" s="136" t="n"/>
      <c r="V44" s="136" t="n"/>
      <c r="W44" s="136" t="n"/>
      <c r="X44" s="136" t="n"/>
      <c r="Y44" s="136" t="n"/>
      <c r="Z44" s="136" t="n"/>
      <c r="AA44" s="136" t="n"/>
      <c r="AB44" s="136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s="131">
      <c r="A45" s="369" t="n"/>
      <c r="B45" s="369" t="n"/>
      <c r="C45" s="369" t="n"/>
      <c r="D45" s="369" t="n"/>
      <c r="E45" s="369" t="n"/>
      <c r="F45" s="369" t="n"/>
      <c r="G45" s="369" t="n"/>
      <c r="H45" s="369" t="n"/>
      <c r="I45" s="369" t="n"/>
      <c r="J45" s="369" t="n"/>
      <c r="K45" s="369" t="n"/>
      <c r="L45" s="136" t="n"/>
      <c r="M45" s="136" t="n"/>
      <c r="N45" s="136" t="n"/>
      <c r="O45" s="136" t="n"/>
      <c r="P45" s="136" t="n"/>
      <c r="Q45" s="136" t="n"/>
      <c r="R45" s="136" t="n"/>
      <c r="S45" s="136" t="n"/>
      <c r="T45" s="136" t="n"/>
      <c r="U45" s="136" t="n"/>
      <c r="V45" s="136" t="n"/>
      <c r="W45" s="136" t="n"/>
      <c r="X45" s="136" t="n"/>
      <c r="Y45" s="136" t="n"/>
      <c r="Z45" s="136" t="n"/>
      <c r="AA45" s="136" t="n"/>
      <c r="AB45" s="136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s="131">
      <c r="A46" s="369" t="n"/>
      <c r="B46" s="369" t="n"/>
      <c r="C46" s="369" t="n"/>
      <c r="D46" s="369" t="n"/>
      <c r="E46" s="369" t="n"/>
      <c r="F46" s="369" t="n"/>
      <c r="G46" s="369" t="n"/>
      <c r="H46" s="369" t="n"/>
      <c r="I46" s="369" t="n"/>
      <c r="J46" s="369" t="n"/>
      <c r="K46" s="369" t="n"/>
      <c r="L46" s="136" t="n"/>
      <c r="M46" s="136" t="n"/>
      <c r="N46" s="136" t="n"/>
      <c r="O46" s="136" t="n"/>
      <c r="P46" s="136" t="n"/>
      <c r="Q46" s="136" t="n"/>
      <c r="R46" s="136" t="n"/>
      <c r="S46" s="136" t="n"/>
      <c r="T46" s="136" t="n"/>
      <c r="U46" s="136" t="n"/>
      <c r="V46" s="136" t="n"/>
      <c r="W46" s="136" t="n"/>
      <c r="X46" s="136" t="n"/>
      <c r="Y46" s="136" t="n"/>
      <c r="Z46" s="136" t="n"/>
      <c r="AA46" s="136" t="n"/>
      <c r="AB46" s="136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s="131">
      <c r="A47" s="369" t="n"/>
      <c r="B47" s="369" t="n"/>
      <c r="C47" s="369" t="n"/>
      <c r="D47" s="369" t="n"/>
      <c r="E47" s="369" t="n"/>
      <c r="F47" s="369" t="n"/>
      <c r="G47" s="369" t="n"/>
      <c r="H47" s="369" t="n"/>
      <c r="I47" s="369" t="n"/>
      <c r="J47" s="369" t="n"/>
      <c r="K47" s="369" t="n"/>
      <c r="L47" s="136" t="n"/>
      <c r="M47" s="136" t="n"/>
      <c r="N47" s="136" t="n"/>
      <c r="O47" s="136" t="n"/>
      <c r="P47" s="136" t="n"/>
      <c r="Q47" s="136" t="n"/>
      <c r="R47" s="136" t="n"/>
      <c r="S47" s="136" t="n"/>
      <c r="T47" s="136" t="n"/>
      <c r="U47" s="136" t="n"/>
      <c r="V47" s="136" t="n"/>
      <c r="W47" s="136" t="n"/>
      <c r="X47" s="136" t="n"/>
      <c r="Y47" s="136" t="n"/>
      <c r="Z47" s="136" t="n"/>
      <c r="AA47" s="136" t="n"/>
      <c r="AB47" s="136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s="131">
      <c r="A48" s="369" t="n"/>
      <c r="B48" s="369" t="n"/>
      <c r="C48" s="369" t="n"/>
      <c r="D48" s="369" t="n"/>
      <c r="E48" s="369" t="n"/>
      <c r="F48" s="369" t="n"/>
      <c r="G48" s="369" t="n"/>
      <c r="H48" s="369" t="n"/>
      <c r="I48" s="369" t="n"/>
      <c r="J48" s="369" t="n"/>
      <c r="K48" s="369" t="n"/>
      <c r="L48" s="136" t="n"/>
      <c r="M48" s="136" t="n"/>
      <c r="N48" s="136" t="n"/>
      <c r="O48" s="136" t="n"/>
      <c r="P48" s="136" t="n"/>
      <c r="Q48" s="136" t="n"/>
      <c r="R48" s="136" t="n"/>
      <c r="S48" s="136" t="n"/>
      <c r="T48" s="136" t="n"/>
      <c r="U48" s="136" t="n"/>
      <c r="V48" s="136" t="n"/>
      <c r="W48" s="136" t="n"/>
      <c r="X48" s="136" t="n"/>
      <c r="Y48" s="136" t="n"/>
      <c r="Z48" s="136" t="n"/>
      <c r="AA48" s="136" t="n"/>
      <c r="AB48" s="136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s="131">
      <c r="A49" s="369" t="n"/>
      <c r="B49" s="369" t="n"/>
      <c r="C49" s="369" t="n"/>
      <c r="D49" s="369" t="n"/>
      <c r="E49" s="369" t="n"/>
      <c r="F49" s="369" t="n"/>
      <c r="G49" s="369" t="n"/>
      <c r="H49" s="369" t="n"/>
      <c r="I49" s="369" t="n"/>
      <c r="J49" s="369" t="n"/>
      <c r="K49" s="369" t="n"/>
      <c r="L49" s="136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6" t="n"/>
      <c r="Y49" s="136" t="n"/>
      <c r="Z49" s="136" t="n"/>
      <c r="AA49" s="136" t="n"/>
      <c r="AB49" s="136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s="131">
      <c r="A50" s="369" t="n"/>
      <c r="B50" s="369" t="n"/>
      <c r="C50" s="369" t="n"/>
      <c r="D50" s="369" t="n"/>
      <c r="E50" s="369" t="n"/>
      <c r="F50" s="369" t="n"/>
      <c r="G50" s="369" t="n"/>
      <c r="H50" s="369" t="n"/>
      <c r="I50" s="369" t="n"/>
      <c r="J50" s="369" t="n"/>
      <c r="K50" s="369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</sheetData>
  <mergeCells count="9">
    <mergeCell ref="B4:AB4"/>
    <mergeCell ref="B39:G39"/>
    <mergeCell ref="B28:G28"/>
    <mergeCell ref="B22:G22"/>
    <mergeCell ref="B23:G23"/>
    <mergeCell ref="B20:I20"/>
    <mergeCell ref="B2:AB2"/>
    <mergeCell ref="B3:AB3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W52"/>
  <sheetViews>
    <sheetView workbookViewId="0">
      <pane ySplit="1" topLeftCell="A16" activePane="bottomLeft" state="frozen"/>
      <selection pane="bottomLeft" activeCell="H1" sqref="H1:H1048576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RIVER POINTE | GREEN = Affordable Comps | BLUE = Market Rate Comps</t>
        </is>
      </c>
      <c r="B3" s="363" t="n"/>
      <c r="AB3" s="363" t="n"/>
      <c r="AC3" s="136" t="n"/>
      <c r="AD3" s="136" t="n"/>
      <c r="AE3" s="136" t="n"/>
      <c r="AF3" s="136" t="n"/>
      <c r="AG3" s="136" t="n"/>
      <c r="AH3" s="136" t="n"/>
      <c r="AI3" s="136" t="n"/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River Pointe | 777 Avonia Drive, Columbus, OH 43228 | 160 units | Program: Section 8/HUD | Bedroom Mix: 1BR / 2BR | County AMI: $0 | FMR Area: Columbus, OH HMFA</t>
        </is>
      </c>
      <c r="B4" s="363" t="n"/>
      <c r="AB4" s="363" t="n"/>
      <c r="AC4" s="136" t="n"/>
      <c r="AD4" s="136" t="n"/>
      <c r="AE4" s="136" t="n"/>
      <c r="AF4" s="136" t="n"/>
      <c r="AG4" s="136" t="n"/>
      <c r="AH4" s="136" t="n"/>
      <c r="AI4" s="136" t="n"/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B5" s="341" t="n"/>
      <c r="AC5" s="136" t="n"/>
      <c r="AD5" s="136" t="n"/>
      <c r="AE5" s="136" t="n"/>
      <c r="AF5" s="136" t="n"/>
      <c r="AG5" s="136" t="n"/>
      <c r="AH5" s="136" t="n"/>
      <c r="AI5" s="136" t="n"/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1BD 50% AMI ($)</t>
        </is>
      </c>
      <c r="J6" s="280" t="inlineStr">
        <is>
          <t>1BD 60% AMI ($)</t>
        </is>
      </c>
      <c r="K6" s="280" t="inlineStr">
        <is>
          <t>1BR FMR ($)</t>
        </is>
      </c>
      <c r="L6" s="335" t="inlineStr">
        <is>
          <t>1BR Actual ($)</t>
        </is>
      </c>
      <c r="M6" s="281" t="inlineStr">
        <is>
          <t>2BD 50% AMI ($)</t>
        </is>
      </c>
      <c r="N6" s="280" t="inlineStr">
        <is>
          <t>2BD 60% AMI ($)</t>
        </is>
      </c>
      <c r="O6" s="280" t="inlineStr">
        <is>
          <t>2BR FMR ($)</t>
        </is>
      </c>
      <c r="P6" s="335" t="inlineStr">
        <is>
          <t>2BR Actual ($)</t>
        </is>
      </c>
      <c r="Q6" s="281" t="inlineStr">
        <is>
          <t># Units</t>
        </is>
      </c>
      <c r="R6" s="280" t="inlineStr">
        <is>
          <t>Year Built</t>
        </is>
      </c>
      <c r="S6" s="280" t="inlineStr">
        <is>
          <t>Yr Diff</t>
        </is>
      </c>
      <c r="T6" s="339" t="inlineStr">
        <is>
          <t>Utilities Incl.</t>
        </is>
      </c>
      <c r="U6" s="339" t="inlineStr">
        <is>
          <t>Pet Friendly</t>
        </is>
      </c>
      <c r="V6" s="339" t="inlineStr">
        <is>
          <t>Gated</t>
        </is>
      </c>
      <c r="W6" s="339" t="inlineStr">
        <is>
          <t>Pool</t>
        </is>
      </c>
      <c r="X6" s="339" t="inlineStr">
        <is>
          <t>W/D In-Unit</t>
        </is>
      </c>
      <c r="Y6" s="339" t="inlineStr">
        <is>
          <t>Competition Level</t>
        </is>
      </c>
      <c r="Z6" s="336" t="inlineStr">
        <is>
          <t>Why Competitive</t>
        </is>
      </c>
      <c r="AA6" s="340" t="inlineStr">
        <is>
          <t>Data Source</t>
        </is>
      </c>
      <c r="AB6" s="342" t="n"/>
      <c r="AC6" s="136" t="n"/>
      <c r="AD6" s="136" t="n"/>
      <c r="AE6" s="136" t="n"/>
      <c r="AF6" s="136" t="n"/>
      <c r="AG6" s="136" t="n"/>
      <c r="AH6" s="136" t="n"/>
      <c r="AI6" s="136" t="n"/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River Pointe (SUBJECT)</t>
        </is>
      </c>
      <c r="D7" s="174" t="inlineStr">
        <is>
          <t>777 Avonia Drive</t>
        </is>
      </c>
      <c r="E7" s="174" t="inlineStr">
        <is>
          <t>Columbus</t>
        </is>
      </c>
      <c r="F7" s="174" t="inlineStr">
        <is>
          <t>OH</t>
        </is>
      </c>
      <c r="G7" s="174" t="inlineStr">
        <is>
          <t>43228</t>
        </is>
      </c>
      <c r="H7" s="174" t="inlineStr">
        <is>
          <t>0.0 mi</t>
        </is>
      </c>
      <c r="I7" s="174" t="inlineStr">
        <is>
          <t>Income-Based</t>
        </is>
      </c>
      <c r="J7" s="174" t="inlineStr">
        <is>
          <t>Income-Based</t>
        </is>
      </c>
      <c r="K7" s="174" t="inlineStr">
        <is>
          <t>$1,044</t>
        </is>
      </c>
      <c r="L7" s="368">
        <f>B26</f>
        <v/>
      </c>
      <c r="M7" s="174" t="inlineStr">
        <is>
          <t>Income-Based</t>
        </is>
      </c>
      <c r="N7" s="174" t="inlineStr">
        <is>
          <t>Income-Based</t>
        </is>
      </c>
      <c r="O7" s="174" t="inlineStr">
        <is>
          <t>$1,430</t>
        </is>
      </c>
      <c r="P7" s="368">
        <f>B27</f>
        <v/>
      </c>
      <c r="Q7" s="174" t="inlineStr">
        <is>
          <t>160</t>
        </is>
      </c>
      <c r="R7" s="174" t="inlineStr">
        <is>
          <t>1996</t>
        </is>
      </c>
      <c r="S7" s="174" t="inlineStr">
        <is>
          <t>0</t>
        </is>
      </c>
      <c r="T7" s="174" t="inlineStr">
        <is>
          <t>Partial</t>
        </is>
      </c>
      <c r="U7" s="174" t="inlineStr">
        <is>
          <t>No</t>
        </is>
      </c>
      <c r="V7" s="174" t="inlineStr">
        <is>
          <t>No</t>
        </is>
      </c>
      <c r="W7" s="174" t="inlineStr">
        <is>
          <t>No</t>
        </is>
      </c>
      <c r="X7" s="174" t="inlineStr">
        <is>
          <t>No</t>
        </is>
      </c>
      <c r="Y7" s="42" t="inlineStr">
        <is>
          <t>SUBJECT</t>
        </is>
      </c>
      <c r="Z7" s="55" t="inlineStr">
        <is>
          <t>160 units | Section 8/HUD property. Year built: 1996. Subject property for market context.</t>
        </is>
      </c>
      <c r="AA7" s="40" t="inlineStr">
        <is>
          <t>Apartment Corp Records</t>
        </is>
      </c>
      <c r="AB7" s="136" t="n"/>
      <c r="AC7" s="136" t="n"/>
      <c r="AD7" s="136" t="n"/>
      <c r="AE7" s="136" t="n"/>
      <c r="AF7" s="136" t="n"/>
      <c r="AG7" s="136" t="n"/>
      <c r="AH7" s="136" t="n"/>
      <c r="AI7" s="136" t="n"/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Abbey Church Village</t>
        </is>
      </c>
      <c r="D8" s="59" t="inlineStr">
        <is>
          <t>2914 Bishops Retreat Pl</t>
        </is>
      </c>
      <c r="E8" s="59" t="inlineStr">
        <is>
          <t>Dublin</t>
        </is>
      </c>
      <c r="F8" s="59" t="inlineStr">
        <is>
          <t>OH</t>
        </is>
      </c>
      <c r="G8" s="59" t="inlineStr">
        <is>
          <t>43017</t>
        </is>
      </c>
      <c r="H8" s="59" t="inlineStr">
        <is>
          <t>9.5 mi</t>
        </is>
      </c>
      <c r="I8" s="59" t="inlineStr">
        <is>
          <t>N/A</t>
        </is>
      </c>
      <c r="J8" s="59" t="inlineStr">
        <is>
          <t>N/A</t>
        </is>
      </c>
      <c r="K8" s="41" t="inlineStr">
        <is>
          <t>$1,044</t>
        </is>
      </c>
      <c r="L8" s="53" t="inlineStr">
        <is>
          <t>Not Listed</t>
        </is>
      </c>
      <c r="M8" s="43" t="inlineStr">
        <is>
          <t>N/A</t>
        </is>
      </c>
      <c r="N8" s="43" t="inlineStr">
        <is>
          <t>N/A</t>
        </is>
      </c>
      <c r="O8" s="41" t="inlineStr">
        <is>
          <t>$1,430</t>
        </is>
      </c>
      <c r="P8" s="53" t="inlineStr">
        <is>
          <t>Not Listed</t>
        </is>
      </c>
      <c r="Q8" s="43" t="inlineStr">
        <is>
          <t>160</t>
        </is>
      </c>
      <c r="R8" s="43" t="inlineStr">
        <is>
          <t>1996</t>
        </is>
      </c>
      <c r="S8" s="43" t="inlineStr">
        <is>
          <t>0</t>
        </is>
      </c>
      <c r="T8" s="43" t="inlineStr">
        <is>
          <t>Yes</t>
        </is>
      </c>
      <c r="U8" s="43" t="inlineStr">
        <is>
          <t>No</t>
        </is>
      </c>
      <c r="V8" s="43" t="inlineStr">
        <is>
          <t>No</t>
        </is>
      </c>
      <c r="W8" s="43" t="inlineStr">
        <is>
          <t>No</t>
        </is>
      </c>
      <c r="X8" s="43" t="inlineStr">
        <is>
          <t>No</t>
        </is>
      </c>
      <c r="Y8" s="44" t="inlineStr">
        <is>
          <t>HIGH</t>
        </is>
      </c>
      <c r="Z8" s="56" t="inlineStr">
        <is>
          <t>Affordable Comp #1: LIHTC property, 1996 vintage (0 yr diff), 160 units, 9.5 mi from subject. Same income-eligible renter pool.</t>
        </is>
      </c>
      <c r="AA8" s="43" t="inlineStr">
        <is>
          <t>HUD LIHTC Database (huduser.gov)</t>
        </is>
      </c>
      <c r="AB8" s="136" t="n"/>
      <c r="AC8" s="136" t="n"/>
      <c r="AD8" s="136" t="n"/>
      <c r="AE8" s="136" t="n"/>
      <c r="AF8" s="136" t="n"/>
      <c r="AG8" s="136" t="n"/>
      <c r="AH8" s="136" t="n"/>
      <c r="AI8" s="136" t="n"/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Winchester Lakes Apts</t>
        </is>
      </c>
      <c r="D9" s="125" t="inlineStr">
        <is>
          <t>6621 Kodiak Dr</t>
        </is>
      </c>
      <c r="E9" s="125" t="inlineStr">
        <is>
          <t>Canal Wnchstr</t>
        </is>
      </c>
      <c r="F9" s="125" t="inlineStr">
        <is>
          <t>OH</t>
        </is>
      </c>
      <c r="G9" s="125" t="inlineStr">
        <is>
          <t>43110</t>
        </is>
      </c>
      <c r="H9" s="125" t="inlineStr">
        <is>
          <t>11.5 mi</t>
        </is>
      </c>
      <c r="I9" s="125" t="inlineStr">
        <is>
          <t>N/A</t>
        </is>
      </c>
      <c r="J9" s="125" t="inlineStr">
        <is>
          <t>N/A</t>
        </is>
      </c>
      <c r="K9" s="85" t="inlineStr">
        <is>
          <t>$1,044</t>
        </is>
      </c>
      <c r="L9" s="86" t="inlineStr">
        <is>
          <t>Not Listed</t>
        </is>
      </c>
      <c r="M9" s="128" t="inlineStr">
        <is>
          <t>N/A</t>
        </is>
      </c>
      <c r="N9" s="128" t="inlineStr">
        <is>
          <t>N/A</t>
        </is>
      </c>
      <c r="O9" s="85" t="inlineStr">
        <is>
          <t>$1,430</t>
        </is>
      </c>
      <c r="P9" s="86" t="inlineStr">
        <is>
          <t>$1,031</t>
        </is>
      </c>
      <c r="Q9" s="128" t="inlineStr">
        <is>
          <t>150</t>
        </is>
      </c>
      <c r="R9" s="128" t="inlineStr">
        <is>
          <t>1996</t>
        </is>
      </c>
      <c r="S9" s="128" t="inlineStr">
        <is>
          <t>0</t>
        </is>
      </c>
      <c r="T9" s="128" t="inlineStr">
        <is>
          <t>Yes</t>
        </is>
      </c>
      <c r="U9" s="128" t="inlineStr">
        <is>
          <t>No</t>
        </is>
      </c>
      <c r="V9" s="128" t="inlineStr">
        <is>
          <t>No</t>
        </is>
      </c>
      <c r="W9" s="128" t="inlineStr">
        <is>
          <t>No</t>
        </is>
      </c>
      <c r="X9" s="128" t="inlineStr">
        <is>
          <t>No</t>
        </is>
      </c>
      <c r="Y9" s="129" t="inlineStr">
        <is>
          <t>HIGH</t>
        </is>
      </c>
      <c r="Z9" s="130" t="inlineStr">
        <is>
          <t>Affordable Comp #2: LIHTC property, 1996 vintage (0 yr diff), 150 units, 11.5 mi from subject. Same income-eligible renter pool.</t>
        </is>
      </c>
      <c r="AA9" s="128" t="inlineStr">
        <is>
          <t>HUD LIHTC Database (huduser.gov)</t>
        </is>
      </c>
      <c r="AB9" s="136" t="n"/>
      <c r="AC9" s="136" t="n"/>
      <c r="AD9" s="136" t="n"/>
      <c r="AE9" s="136" t="n"/>
      <c r="AF9" s="136" t="n"/>
      <c r="AG9" s="136" t="n"/>
      <c r="AH9" s="136" t="n"/>
      <c r="AI9" s="136" t="n"/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Fourth Street Ywca Renovation</t>
        </is>
      </c>
      <c r="D10" s="107" t="inlineStr">
        <is>
          <t>65 S Fourth St</t>
        </is>
      </c>
      <c r="E10" s="107" t="inlineStr">
        <is>
          <t>Columbus</t>
        </is>
      </c>
      <c r="F10" s="107" t="inlineStr">
        <is>
          <t>OH</t>
        </is>
      </c>
      <c r="G10" s="107" t="inlineStr">
        <is>
          <t>43215</t>
        </is>
      </c>
      <c r="H10" s="107" t="inlineStr">
        <is>
          <t>0.1 mi</t>
        </is>
      </c>
      <c r="I10" s="107" t="inlineStr">
        <is>
          <t>N/A</t>
        </is>
      </c>
      <c r="J10" s="107" t="inlineStr">
        <is>
          <t>N/A</t>
        </is>
      </c>
      <c r="K10" s="80" t="inlineStr">
        <is>
          <t>$1,044</t>
        </is>
      </c>
      <c r="L10" s="81" t="inlineStr">
        <is>
          <t>Not Listed</t>
        </is>
      </c>
      <c r="M10" s="108" t="inlineStr">
        <is>
          <t>N/A</t>
        </is>
      </c>
      <c r="N10" s="108" t="inlineStr">
        <is>
          <t>N/A</t>
        </is>
      </c>
      <c r="O10" s="80" t="inlineStr">
        <is>
          <t>$1,430</t>
        </is>
      </c>
      <c r="P10" s="81" t="inlineStr">
        <is>
          <t>Not Listed</t>
        </is>
      </c>
      <c r="Q10" s="108" t="inlineStr">
        <is>
          <t>102</t>
        </is>
      </c>
      <c r="R10" s="108" t="inlineStr">
        <is>
          <t>1996</t>
        </is>
      </c>
      <c r="S10" s="108" t="inlineStr">
        <is>
          <t>0</t>
        </is>
      </c>
      <c r="T10" s="108" t="inlineStr">
        <is>
          <t>Yes</t>
        </is>
      </c>
      <c r="U10" s="108" t="inlineStr">
        <is>
          <t>No</t>
        </is>
      </c>
      <c r="V10" s="108" t="inlineStr">
        <is>
          <t>No</t>
        </is>
      </c>
      <c r="W10" s="108" t="inlineStr">
        <is>
          <t>No</t>
        </is>
      </c>
      <c r="X10" s="108" t="inlineStr">
        <is>
          <t>No</t>
        </is>
      </c>
      <c r="Y10" s="109" t="inlineStr">
        <is>
          <t>HIGH</t>
        </is>
      </c>
      <c r="Z10" s="110" t="inlineStr">
        <is>
          <t>Affordable Comp #3: LIHTC property, 1996 vintage (0 yr diff), 102 units, 0.1 mi from subject. Same income-eligible renter pool.</t>
        </is>
      </c>
      <c r="AA10" s="111" t="inlineStr">
        <is>
          <t>HUD LIHTC Database (huduser.gov)</t>
        </is>
      </c>
      <c r="AB10" s="134" t="n"/>
      <c r="AC10" s="136" t="n"/>
      <c r="AD10" s="136" t="n"/>
      <c r="AE10" s="136" t="n"/>
      <c r="AF10" s="136" t="n"/>
      <c r="AG10" s="136" t="n"/>
      <c r="AH10" s="136" t="n"/>
      <c r="AI10" s="136" t="n"/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Strattford Lakes</t>
        </is>
      </c>
      <c r="D11" s="95" t="inlineStr">
        <is>
          <t>3555 Ashton Cross</t>
        </is>
      </c>
      <c r="E11" s="95" t="inlineStr">
        <is>
          <t>Canal Wnchstr</t>
        </is>
      </c>
      <c r="F11" s="95" t="inlineStr">
        <is>
          <t>OH</t>
        </is>
      </c>
      <c r="G11" s="95" t="inlineStr">
        <is>
          <t>43110</t>
        </is>
      </c>
      <c r="H11" s="95" t="inlineStr">
        <is>
          <t>10.0 mi</t>
        </is>
      </c>
      <c r="I11" s="95" t="inlineStr">
        <is>
          <t>N/A</t>
        </is>
      </c>
      <c r="J11" s="95" t="inlineStr">
        <is>
          <t>N/A</t>
        </is>
      </c>
      <c r="K11" s="39" t="inlineStr">
        <is>
          <t>$1,044</t>
        </is>
      </c>
      <c r="L11" s="53" t="inlineStr">
        <is>
          <t>Not Listed</t>
        </is>
      </c>
      <c r="M11" s="96" t="inlineStr">
        <is>
          <t>N/A</t>
        </is>
      </c>
      <c r="N11" s="96" t="inlineStr">
        <is>
          <t>N/A</t>
        </is>
      </c>
      <c r="O11" s="39" t="inlineStr">
        <is>
          <t>$1,430</t>
        </is>
      </c>
      <c r="P11" s="53" t="inlineStr">
        <is>
          <t>Not Listed</t>
        </is>
      </c>
      <c r="Q11" s="96" t="inlineStr">
        <is>
          <t>124</t>
        </is>
      </c>
      <c r="R11" s="96" t="inlineStr">
        <is>
          <t>1996</t>
        </is>
      </c>
      <c r="S11" s="96" t="inlineStr">
        <is>
          <t>0</t>
        </is>
      </c>
      <c r="T11" s="96" t="inlineStr">
        <is>
          <t>Yes</t>
        </is>
      </c>
      <c r="U11" s="96" t="inlineStr">
        <is>
          <t>No</t>
        </is>
      </c>
      <c r="V11" s="96" t="inlineStr">
        <is>
          <t>No</t>
        </is>
      </c>
      <c r="W11" s="96" t="inlineStr">
        <is>
          <t>No</t>
        </is>
      </c>
      <c r="X11" s="96" t="inlineStr">
        <is>
          <t>No</t>
        </is>
      </c>
      <c r="Y11" s="45" t="inlineStr">
        <is>
          <t>HIGH</t>
        </is>
      </c>
      <c r="Z11" s="97" t="inlineStr">
        <is>
          <t>Affordable Comp #4: LIHTC property, 1996 vintage (0 yr diff), 124 units, 10.0 mi from subject. Same income-eligible renter pool.</t>
        </is>
      </c>
      <c r="AA11" s="113" t="inlineStr">
        <is>
          <t>HUD LIHTC Database (huduser.gov)</t>
        </is>
      </c>
      <c r="AB11" s="134" t="n"/>
      <c r="AC11" s="136" t="n"/>
      <c r="AD11" s="136" t="n"/>
      <c r="AE11" s="136" t="n"/>
      <c r="AF11" s="136" t="n"/>
      <c r="AG11" s="136" t="n"/>
      <c r="AH11" s="136" t="n"/>
      <c r="AI11" s="136" t="n"/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46.5" customHeight="1" s="131">
      <c r="A12" s="114" t="n">
        <v>1</v>
      </c>
      <c r="B12" s="70" t="inlineStr">
        <is>
          <t>MARKET RATE</t>
        </is>
      </c>
      <c r="C12" s="67" t="inlineStr">
        <is>
          <t>Raccoon Creek Apartments</t>
        </is>
      </c>
      <c r="D12" s="98" t="inlineStr">
        <is>
          <t>3819 Plane Tree Dr W</t>
        </is>
      </c>
      <c r="E12" s="98" t="inlineStr">
        <is>
          <t>Columbus</t>
        </is>
      </c>
      <c r="F12" s="98" t="inlineStr">
        <is>
          <t>OH</t>
        </is>
      </c>
      <c r="G12" s="98" t="inlineStr">
        <is>
          <t>43228</t>
        </is>
      </c>
      <c r="H12" s="98" t="inlineStr">
        <is>
          <t>0.5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N/A (Market Rate)</t>
        </is>
      </c>
      <c r="L12" s="146" t="n">
        <v>990</v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N/A (Market Rate)</t>
        </is>
      </c>
      <c r="P12" s="53" t="inlineStr">
        <is>
          <t>N/A (Market Rate)</t>
        </is>
      </c>
      <c r="Q12" s="99" t="inlineStr">
        <is>
          <t>N/A (Market Rate)</t>
        </is>
      </c>
      <c r="R12" s="99" t="n">
        <v>1994</v>
      </c>
      <c r="S12" s="99" t="inlineStr">
        <is>
          <t>N/A (Market Rate)</t>
        </is>
      </c>
      <c r="T12" s="99" t="inlineStr">
        <is>
          <t>Market Rate Comp #1: No income restrictions, 1994 vintage, Columbus OH 43228. 1BD $990 (1BD only)</t>
        </is>
      </c>
      <c r="U12" s="99" t="inlineStr">
        <is>
          <t>Apartments.com verified, May 2026</t>
        </is>
      </c>
      <c r="V12" s="99" t="inlineStr">
        <is>
          <t>Varies</t>
        </is>
      </c>
      <c r="W12" s="99" t="inlineStr">
        <is>
          <t>Varies</t>
        </is>
      </c>
      <c r="X12" s="99" t="inlineStr">
        <is>
          <t>Varies</t>
        </is>
      </c>
      <c r="Y12" s="46" t="inlineStr">
        <is>
          <t>HIGH</t>
        </is>
      </c>
      <c r="Z12" s="100" t="inlineStr">
        <is>
          <t>Market Rate Comp #1: No income restrictions, 1996 vintage (0 yr diff), 133 units, 5.2 mi from subject. Shows market-rate rents vs. affordable housing discount.</t>
        </is>
      </c>
      <c r="AA12" s="115" t="inlineStr">
        <is>
          <t>https://www.rentcafe.com/apartments-for-rent/us/oh/columbus/sonnenblick/</t>
        </is>
      </c>
      <c r="AB12" s="134" t="n"/>
      <c r="AC12" s="136" t="n"/>
      <c r="AD12" s="136" t="n"/>
      <c r="AE12" s="136" t="n"/>
      <c r="AF12" s="136" t="n"/>
      <c r="AG12" s="136" t="n"/>
      <c r="AH12" s="136" t="n"/>
      <c r="AI12" s="136" t="n"/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n">
        <v>2</v>
      </c>
      <c r="B13" s="71" t="inlineStr">
        <is>
          <t>MARKET RATE</t>
        </is>
      </c>
      <c r="C13" s="68" t="inlineStr">
        <is>
          <t>The Reserve at Parkwick</t>
        </is>
      </c>
      <c r="D13" s="101" t="inlineStr">
        <is>
          <t>4711 Bay Run Dr</t>
        </is>
      </c>
      <c r="E13" s="101" t="inlineStr">
        <is>
          <t>Columbus</t>
        </is>
      </c>
      <c r="F13" s="101" t="inlineStr">
        <is>
          <t>OH</t>
        </is>
      </c>
      <c r="G13" s="101" t="inlineStr">
        <is>
          <t>43228</t>
        </is>
      </c>
      <c r="H13" s="101" t="inlineStr">
        <is>
          <t>1.5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N/A (Market Rate)</t>
        </is>
      </c>
      <c r="L13" s="146" t="n">
        <v>990</v>
      </c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N/A (Market Rate)</t>
        </is>
      </c>
      <c r="P13" s="146" t="n">
        <v>1175</v>
      </c>
      <c r="Q13" s="102" t="inlineStr">
        <is>
          <t>N/A (Market Rate)</t>
        </is>
      </c>
      <c r="R13" s="102" t="n">
        <v>1995</v>
      </c>
      <c r="S13" s="102" t="inlineStr">
        <is>
          <t>N/A (Market Rate)</t>
        </is>
      </c>
      <c r="T13" s="102" t="inlineStr">
        <is>
          <t>Market Rate Comp #2: No income restrictions, 1995 vintage, Columbus OH 43228. 1BD $990 / 2BD $1,175</t>
        </is>
      </c>
      <c r="U13" s="102" t="inlineStr">
        <is>
          <t>Apartments.com verified, May 2026</t>
        </is>
      </c>
      <c r="V13" s="102" t="inlineStr">
        <is>
          <t>Varies</t>
        </is>
      </c>
      <c r="W13" s="102" t="inlineStr">
        <is>
          <t>Varies</t>
        </is>
      </c>
      <c r="X13" s="102" t="inlineStr">
        <is>
          <t>Varies</t>
        </is>
      </c>
      <c r="Y13" s="47" t="inlineStr">
        <is>
          <t>HIGH</t>
        </is>
      </c>
      <c r="Z13" s="103" t="inlineStr">
        <is>
          <t>Market Rate Comp #2: No income restrictions, 1998 vintage (2 yr diff), 311 units, 8.7 mi from subject. Shows market-rate rents vs. affordable housing discount.</t>
        </is>
      </c>
      <c r="AA13" s="117" t="inlineStr">
        <is>
          <t>https://www.rentcafe.com/apartments-for-rent/us/oh/columbus/the-berryessa/</t>
        </is>
      </c>
      <c r="AB13" s="134" t="n"/>
      <c r="AC13" s="136" t="n"/>
      <c r="AD13" s="136" t="n"/>
      <c r="AE13" s="136" t="n"/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n">
        <v>3</v>
      </c>
      <c r="B14" s="69" t="inlineStr">
        <is>
          <t>MARKET RATE</t>
        </is>
      </c>
      <c r="C14" s="66" t="inlineStr">
        <is>
          <t>Waterford Pointe</t>
        </is>
      </c>
      <c r="D14" s="95" t="inlineStr">
        <is>
          <t>5750 Feder Rd</t>
        </is>
      </c>
      <c r="E14" s="95" t="inlineStr">
        <is>
          <t>Columbus</t>
        </is>
      </c>
      <c r="F14" s="95" t="inlineStr">
        <is>
          <t>OH</t>
        </is>
      </c>
      <c r="G14" s="95" t="inlineStr">
        <is>
          <t>43228</t>
        </is>
      </c>
      <c r="H14" s="95" t="inlineStr">
        <is>
          <t>2.0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N/A (Market Rate)</t>
        </is>
      </c>
      <c r="L14" s="146" t="n">
        <v>995</v>
      </c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N/A (Market Rate)</t>
        </is>
      </c>
      <c r="P14" s="146" t="n">
        <v>1095</v>
      </c>
      <c r="Q14" s="96" t="inlineStr">
        <is>
          <t>N/A (Market Rate)</t>
        </is>
      </c>
      <c r="R14" s="96" t="n">
        <v>1996</v>
      </c>
      <c r="S14" s="96" t="inlineStr">
        <is>
          <t>N/A (Market Rate)</t>
        </is>
      </c>
      <c r="T14" s="96" t="inlineStr">
        <is>
          <t>Market Rate Comp #3: No income restrictions, 1996 vintage, Columbus OH 43228. 1BD $995 / 2BD $1,095</t>
        </is>
      </c>
      <c r="U14" s="96" t="inlineStr">
        <is>
          <t>Apartments.com verified, May 2026</t>
        </is>
      </c>
      <c r="V14" s="96" t="inlineStr">
        <is>
          <t>Varies</t>
        </is>
      </c>
      <c r="W14" s="96" t="inlineStr">
        <is>
          <t>Varies</t>
        </is>
      </c>
      <c r="X14" s="96" t="inlineStr">
        <is>
          <t>Varies</t>
        </is>
      </c>
      <c r="Y14" s="45" t="inlineStr">
        <is>
          <t>HIGH</t>
        </is>
      </c>
      <c r="Z14" s="97" t="inlineStr">
        <is>
          <t>Market Rate Comp #3: No income restrictions, 1994 vintage (2 yr diff), 63 units, 6.3 mi from subject. Shows market-rate rents vs. affordable housing discount.</t>
        </is>
      </c>
      <c r="AA14" s="113" t="inlineStr">
        <is>
          <t>https://www.rentcafe.com/apartments-for-rent/us/oh/whitehall/broadwood/</t>
        </is>
      </c>
      <c r="AB14" s="134" t="n"/>
      <c r="AC14" s="136" t="n"/>
      <c r="AD14" s="136" t="n"/>
      <c r="AE14" s="136" t="n"/>
      <c r="AF14" s="136" t="n"/>
      <c r="AG14" s="136" t="n"/>
      <c r="AH14" s="136" t="n"/>
      <c r="AI14" s="136" t="n"/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n">
        <v>4</v>
      </c>
      <c r="B15" s="69" t="inlineStr">
        <is>
          <t>MARKET RATE</t>
        </is>
      </c>
      <c r="C15" s="66" t="inlineStr">
        <is>
          <t>Newbridge Commons</t>
        </is>
      </c>
      <c r="D15" s="95" t="inlineStr">
        <is>
          <t>4551 Durrow Dr</t>
        </is>
      </c>
      <c r="E15" s="95" t="inlineStr">
        <is>
          <t>Columbus</t>
        </is>
      </c>
      <c r="F15" s="95" t="inlineStr">
        <is>
          <t>OH</t>
        </is>
      </c>
      <c r="G15" s="95" t="inlineStr">
        <is>
          <t>43228</t>
        </is>
      </c>
      <c r="H15" s="95" t="inlineStr">
        <is>
          <t>1.5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N/A (Market Rate)</t>
        </is>
      </c>
      <c r="L15" s="146" t="n">
        <v>917</v>
      </c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N/A (Market Rate)</t>
        </is>
      </c>
      <c r="P15" s="146" t="n">
        <v>1109</v>
      </c>
      <c r="Q15" s="96" t="inlineStr">
        <is>
          <t>N/A (Market Rate)</t>
        </is>
      </c>
      <c r="R15" s="96" t="n">
        <v>1998</v>
      </c>
      <c r="S15" s="96" t="inlineStr">
        <is>
          <t>N/A (Market Rate)</t>
        </is>
      </c>
      <c r="T15" s="96" t="inlineStr">
        <is>
          <t>Market Rate Comp #4: No income restrictions, 1998 vintage, Columbus OH 43228. 1BD $917 / 2BD $1,109</t>
        </is>
      </c>
      <c r="U15" s="96" t="inlineStr">
        <is>
          <t>Apartments.com verified, May 2026</t>
        </is>
      </c>
      <c r="V15" s="96" t="inlineStr">
        <is>
          <t>Varies</t>
        </is>
      </c>
      <c r="W15" s="96" t="inlineStr">
        <is>
          <t>Varies</t>
        </is>
      </c>
      <c r="X15" s="96" t="inlineStr">
        <is>
          <t>Varies</t>
        </is>
      </c>
      <c r="Y15" s="45" t="inlineStr">
        <is>
          <t>HIGH</t>
        </is>
      </c>
      <c r="Z15" s="97" t="inlineStr">
        <is>
          <t>Market Rate Comp #4: No income restrictions, 1995 vintage (1 yr diff), 200 units, 7.8 mi from subject. Shows market-rate rents vs. affordable housing discount.</t>
        </is>
      </c>
      <c r="AA15" s="113" t="inlineStr">
        <is>
          <t>https://www.rentcafe.com/apartments-for-rent/us/oh/columbus/winchester-lakes/</t>
        </is>
      </c>
      <c r="AB15" s="134" t="n"/>
      <c r="AC15" s="136" t="n"/>
      <c r="AD15" s="136" t="n"/>
      <c r="AE15" s="136" t="n"/>
      <c r="AF15" s="136" t="n"/>
      <c r="AG15" s="136" t="n"/>
      <c r="AH15" s="136" t="n"/>
      <c r="AI15" s="136" t="n"/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n">
        <v>5</v>
      </c>
      <c r="B16" s="82" t="inlineStr">
        <is>
          <t>MARKET RATE</t>
        </is>
      </c>
      <c r="C16" s="119" t="inlineStr">
        <is>
          <t>Hartford Village Commons</t>
        </is>
      </c>
      <c r="D16" s="120" t="inlineStr">
        <is>
          <t>1040 Hartford Village Blvd</t>
        </is>
      </c>
      <c r="E16" s="120" t="inlineStr">
        <is>
          <t>Columbus</t>
        </is>
      </c>
      <c r="F16" s="120" t="inlineStr">
        <is>
          <t>OH</t>
        </is>
      </c>
      <c r="G16" s="120" t="inlineStr">
        <is>
          <t>43228</t>
        </is>
      </c>
      <c r="H16" s="120" t="inlineStr">
        <is>
          <t>2.0 mi</t>
        </is>
      </c>
      <c r="I16" s="120" t="inlineStr">
        <is>
          <t>N/A (Market Rate)</t>
        </is>
      </c>
      <c r="J16" s="120" t="inlineStr">
        <is>
          <t>N/A (Market Rate)</t>
        </is>
      </c>
      <c r="K16" s="121" t="inlineStr">
        <is>
          <t>N/A (Market Rate)</t>
        </is>
      </c>
      <c r="L16" s="147" t="n">
        <v>925</v>
      </c>
      <c r="M16" s="122" t="inlineStr">
        <is>
          <t>N/A (Market Rate)</t>
        </is>
      </c>
      <c r="N16" s="122" t="inlineStr">
        <is>
          <t>N/A (Market Rate)</t>
        </is>
      </c>
      <c r="O16" s="121" t="inlineStr">
        <is>
          <t>N/A (Market Rate)</t>
        </is>
      </c>
      <c r="P16" s="147" t="n">
        <v>1025</v>
      </c>
      <c r="Q16" s="122" t="inlineStr">
        <is>
          <t>N/A (Market Rate)</t>
        </is>
      </c>
      <c r="R16" s="122" t="n">
        <v>1997</v>
      </c>
      <c r="S16" s="122" t="inlineStr">
        <is>
          <t>N/A (Market Rate)</t>
        </is>
      </c>
      <c r="T16" s="122" t="inlineStr">
        <is>
          <t>Market Rate Comp #5: No income restrictions, 1997 vintage, Columbus OH 43228. 1BD $925 / 2BD $1,025</t>
        </is>
      </c>
      <c r="U16" s="122" t="inlineStr">
        <is>
          <t>Apartments.com verified, May 2026</t>
        </is>
      </c>
      <c r="V16" s="122" t="inlineStr">
        <is>
          <t>N/A</t>
        </is>
      </c>
      <c r="W16" s="122" t="inlineStr">
        <is>
          <t>N/A</t>
        </is>
      </c>
      <c r="X16" s="122" t="inlineStr">
        <is>
          <t>N/A</t>
        </is>
      </c>
      <c r="Y16" s="84" t="inlineStr">
        <is>
          <t>BENCHMARK</t>
        </is>
      </c>
      <c r="Z16" s="123" t="inlineStr">
        <is>
          <t>BENCHMARK — HUD Fair Market Rent (FMR) for Columbus, OH HMFA,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124" t="inlineStr">
        <is>
          <t>HUD FMR Database (huduser.gov)</t>
        </is>
      </c>
      <c r="AB16" s="134" t="n"/>
      <c r="AC16" s="136" t="n"/>
      <c r="AD16" s="136" t="n"/>
      <c r="AE16" s="136" t="n"/>
      <c r="AF16" s="136" t="n"/>
      <c r="AG16" s="136" t="n"/>
      <c r="AH16" s="136" t="n"/>
      <c r="AI16" s="136" t="n"/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n">
        <v>6</v>
      </c>
      <c r="B17" s="88" t="inlineStr">
        <is>
          <t>MARKET RATE</t>
        </is>
      </c>
      <c r="C17" s="89" t="inlineStr">
        <is>
          <t>Bolton Estates</t>
        </is>
      </c>
      <c r="D17" s="87" t="inlineStr">
        <is>
          <t>5400 Lindberg Blvd</t>
        </is>
      </c>
      <c r="E17" s="87" t="inlineStr">
        <is>
          <t>Columbus</t>
        </is>
      </c>
      <c r="F17" s="87" t="inlineStr">
        <is>
          <t>OH</t>
        </is>
      </c>
      <c r="G17" s="87" t="inlineStr">
        <is>
          <t>43228</t>
        </is>
      </c>
      <c r="H17" s="87" t="inlineStr">
        <is>
          <t>2.5 mi</t>
        </is>
      </c>
      <c r="I17" s="87" t="inlineStr">
        <is>
          <t>N/A (Market Rate)</t>
        </is>
      </c>
      <c r="J17" s="87" t="inlineStr">
        <is>
          <t>N/A (Market Rate)</t>
        </is>
      </c>
      <c r="K17" s="90" t="inlineStr">
        <is>
          <t>N/A (Market Rate)</t>
        </is>
      </c>
      <c r="L17" s="148" t="n">
        <v>895</v>
      </c>
      <c r="M17" s="92" t="inlineStr">
        <is>
          <t>N/A (Market Rate)</t>
        </is>
      </c>
      <c r="N17" s="92" t="inlineStr">
        <is>
          <t>N/A (Market Rate)</t>
        </is>
      </c>
      <c r="O17" s="90" t="inlineStr">
        <is>
          <t>N/A (Market Rate)</t>
        </is>
      </c>
      <c r="P17" s="148" t="n">
        <v>1030</v>
      </c>
      <c r="Q17" s="92" t="inlineStr">
        <is>
          <t>N/A (Market Rate)</t>
        </is>
      </c>
      <c r="R17" s="92" t="n">
        <v>1993</v>
      </c>
      <c r="S17" s="92" t="inlineStr">
        <is>
          <t>N/A (Market Rate)</t>
        </is>
      </c>
      <c r="T17" s="92" t="inlineStr">
        <is>
          <t>Market Rate Comp #6: No income restrictions, 1993 vintage, Columbus OH 43228. 1BD $895 / 2BD $1,030</t>
        </is>
      </c>
      <c r="U17" s="92" t="inlineStr">
        <is>
          <t>Apartments.com verified, May 2026</t>
        </is>
      </c>
      <c r="V17" s="92" t="inlineStr">
        <is>
          <t>N/A</t>
        </is>
      </c>
      <c r="W17" s="92" t="inlineStr">
        <is>
          <t>N/A</t>
        </is>
      </c>
      <c r="X17" s="92" t="inlineStr">
        <is>
          <t>N/A</t>
        </is>
      </c>
      <c r="Y17" s="93" t="inlineStr">
        <is>
          <t>BENCHMARK</t>
        </is>
      </c>
      <c r="Z17" s="94" t="inlineStr">
        <is>
          <t>BENCHMARK — Estimated Metro Market Average for Columbus,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92" t="inlineStr">
        <is>
          <t>HUD FMR + Market Estimate</t>
        </is>
      </c>
      <c r="AB17" s="136" t="n"/>
      <c r="AC17" s="136" t="n"/>
      <c r="AD17" s="136" t="n"/>
      <c r="AE17" s="136" t="n"/>
      <c r="AF17" s="136" t="n"/>
      <c r="AG17" s="136" t="n"/>
      <c r="AH17" s="136" t="n"/>
      <c r="AI17" s="136" t="n"/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C19" s="136" t="n"/>
      <c r="AD19" s="136" t="n"/>
      <c r="AE19" s="136" t="n"/>
      <c r="AF19" s="136" t="n"/>
      <c r="AG19" s="136" t="n"/>
      <c r="AH19" s="136" t="n"/>
      <c r="AI19" s="136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Format="1" customHeight="1" s="2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Height="1" s="131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Height="1" s="131">
      <c r="A25" s="372" t="n"/>
      <c r="B25" s="201" t="inlineStr">
        <is>
          <t>1BD</t>
        </is>
      </c>
      <c r="C25" s="194" t="n"/>
      <c r="D25" s="200" t="n">
        <v>952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Format="1" customHeight="1" s="2">
      <c r="A26" s="372" t="n"/>
      <c r="B26" s="201" t="inlineStr">
        <is>
          <t>2BD</t>
        </is>
      </c>
      <c r="C26" s="194" t="n"/>
      <c r="D26" s="200" t="n">
        <v>1087</v>
      </c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8.1" customFormat="1" customHeight="1" s="2">
      <c r="A27" s="369" t="n"/>
      <c r="B27" s="369" t="n"/>
      <c r="C27" s="381" t="n"/>
      <c r="D27" s="369" t="n"/>
      <c r="E27" s="369" t="n"/>
      <c r="F27" s="369" t="n"/>
      <c r="G27" s="369" t="n"/>
      <c r="H27" s="369" t="n"/>
      <c r="I27" s="369" t="n"/>
      <c r="J27" s="369" t="n"/>
      <c r="K27" s="369" t="n"/>
      <c r="L27" s="134" t="n"/>
      <c r="M27" s="134" t="n"/>
      <c r="N27" s="134" t="n"/>
      <c r="O27" s="134" t="n"/>
      <c r="P27" s="134" t="n"/>
      <c r="Q27" s="134" t="n"/>
      <c r="R27" s="134" t="n"/>
      <c r="S27" s="134" t="n"/>
      <c r="T27" s="134" t="n"/>
      <c r="U27" s="134" t="n"/>
      <c r="V27" s="134" t="n"/>
      <c r="W27" s="134" t="n"/>
      <c r="X27" s="134" t="n"/>
      <c r="Y27" s="134" t="n"/>
      <c r="Z27" s="135" t="n"/>
      <c r="AA27" s="134" t="n"/>
      <c r="AB27" s="134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24.75" customFormat="1" customHeight="1" s="2">
      <c r="A28" s="302" t="n"/>
      <c r="B28" s="211" t="inlineStr">
        <is>
          <t>PMTS — Vouchers / FMR / UAP / NET</t>
        </is>
      </c>
      <c r="G28" s="365" t="n"/>
      <c r="H28" s="183" t="n"/>
      <c r="I28" s="183" t="n"/>
      <c r="J28" s="183" t="n"/>
      <c r="K28" s="302" t="n"/>
      <c r="L28" s="302" t="n"/>
      <c r="M28" s="302" t="n"/>
      <c r="N28" s="302" t="n"/>
      <c r="O28" s="302" t="n"/>
      <c r="P28" s="302" t="n"/>
      <c r="Q28" s="302" t="n"/>
      <c r="R28" s="302" t="n"/>
      <c r="S28" s="302" t="n"/>
      <c r="T28" s="302" t="n"/>
      <c r="U28" s="302" t="n"/>
      <c r="V28" s="302" t="n"/>
      <c r="W28" s="302" t="n"/>
      <c r="X28" s="302" t="n"/>
      <c r="Y28" s="302" t="n"/>
      <c r="Z28" s="302" t="n"/>
      <c r="AA28" s="353" t="n"/>
      <c r="AB28" s="302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15.95" customFormat="1" customHeight="1" s="2">
      <c r="A29" s="302" t="n"/>
      <c r="B29" s="226" t="n"/>
      <c r="C29" s="213" t="inlineStr">
        <is>
          <t>MKT</t>
        </is>
      </c>
      <c r="D29" s="213" t="inlineStr">
        <is>
          <t>VCH</t>
        </is>
      </c>
      <c r="E29" s="214" t="inlineStr">
        <is>
          <t>FMR</t>
        </is>
      </c>
      <c r="F29" s="215" t="inlineStr">
        <is>
          <t>UAP</t>
        </is>
      </c>
      <c r="G29" s="216" t="inlineStr">
        <is>
          <t>NET</t>
        </is>
      </c>
      <c r="H29" s="183" t="n"/>
      <c r="I29" s="183" t="n"/>
      <c r="J29" s="183" t="n"/>
      <c r="K29" s="302" t="n"/>
      <c r="L29" s="302" t="n"/>
      <c r="M29" s="302" t="n"/>
      <c r="N29" s="302" t="n"/>
      <c r="O29" s="302" t="n"/>
      <c r="P29" s="302" t="n"/>
      <c r="Q29" s="302" t="n"/>
      <c r="R29" s="302" t="n"/>
      <c r="S29" s="302" t="n"/>
      <c r="T29" s="302" t="n"/>
      <c r="U29" s="302" t="n"/>
      <c r="V29" s="302" t="n"/>
      <c r="W29" s="302" t="n"/>
      <c r="X29" s="302" t="n"/>
      <c r="Y29" s="302" t="n"/>
      <c r="Z29" s="302" t="n"/>
      <c r="AA29" s="353" t="n"/>
      <c r="AB29" s="302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24.75" customFormat="1" customHeight="1" s="2">
      <c r="A30" s="372" t="n"/>
      <c r="B30" s="217" t="inlineStr">
        <is>
          <t>2BD</t>
        </is>
      </c>
      <c r="C30" s="197" t="n">
        <v>0</v>
      </c>
      <c r="D30" s="197" t="n">
        <v>1400</v>
      </c>
      <c r="E30" s="198" t="n">
        <v>1350</v>
      </c>
      <c r="F30" s="199" t="n">
        <v>130</v>
      </c>
      <c r="G30" s="218" t="n">
        <v>1220</v>
      </c>
      <c r="H30" s="183" t="n"/>
      <c r="I30" s="183" t="n"/>
      <c r="J30" s="183" t="n"/>
      <c r="K30" s="302" t="n"/>
      <c r="L30" s="302" t="n"/>
      <c r="M30" s="302" t="n"/>
      <c r="N30" s="302" t="n"/>
      <c r="O30" s="343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24.75" customHeight="1" s="131">
      <c r="A31" s="372" t="n"/>
      <c r="B31" s="217" t="inlineStr">
        <is>
          <t>3BD</t>
        </is>
      </c>
      <c r="C31" s="197" t="n">
        <v>0</v>
      </c>
      <c r="D31" s="197" t="n">
        <v>1600</v>
      </c>
      <c r="E31" s="198" t="n">
        <v>1630</v>
      </c>
      <c r="F31" s="199" t="n">
        <v>170</v>
      </c>
      <c r="G31" s="218" t="n">
        <v>1460</v>
      </c>
      <c r="H31" s="183" t="n"/>
      <c r="I31" s="183" t="n"/>
      <c r="J31" s="183" t="n"/>
      <c r="K31" s="302" t="n"/>
      <c r="L31" s="302" t="n"/>
      <c r="M31" s="302" t="n"/>
      <c r="N31" s="302" t="n"/>
      <c r="O31" s="343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24.75" customHeight="1" s="131">
      <c r="A32" s="369" t="n"/>
      <c r="B32" s="217" t="inlineStr">
        <is>
          <t>4BD</t>
        </is>
      </c>
      <c r="C32" s="197" t="n">
        <v>0</v>
      </c>
      <c r="D32" s="197" t="n">
        <v>1700</v>
      </c>
      <c r="E32" s="198" t="n">
        <v>1810</v>
      </c>
      <c r="F32" s="199" t="n">
        <v>209</v>
      </c>
      <c r="G32" s="218" t="n">
        <v>1601</v>
      </c>
      <c r="H32" s="183" t="n"/>
      <c r="I32" s="183" t="n"/>
      <c r="J32" s="183" t="n"/>
      <c r="K32" s="302" t="n"/>
      <c r="L32" s="302" t="n"/>
      <c r="M32" s="302" t="n"/>
      <c r="N32" s="302" t="n"/>
      <c r="O32" s="343" t="n"/>
      <c r="P32" s="302" t="n"/>
      <c r="Q32" s="302" t="n"/>
      <c r="R32" s="302" t="n"/>
      <c r="S32" s="302" t="n"/>
      <c r="T32" s="302" t="n"/>
      <c r="U32" s="302" t="n"/>
      <c r="V32" s="302" t="n"/>
      <c r="W32" s="302" t="n"/>
      <c r="X32" s="302" t="n"/>
      <c r="Y32" s="302" t="n"/>
      <c r="Z32" s="302" t="n"/>
      <c r="AA32" s="353" t="n"/>
      <c r="AB32" s="302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8.1" customFormat="1" customHeight="1" s="2">
      <c r="A33" s="382" t="n"/>
      <c r="B33" s="404" t="n"/>
      <c r="C33" s="403" t="n"/>
      <c r="D33" s="403" t="n"/>
      <c r="E33" s="403" t="n"/>
      <c r="F33" s="451" t="n"/>
      <c r="G33" s="369" t="n"/>
      <c r="H33" s="369" t="n"/>
      <c r="I33" s="369" t="n"/>
      <c r="J33" s="369" t="n"/>
      <c r="K33" s="369" t="n"/>
      <c r="L33" s="134" t="n"/>
      <c r="M33" s="134" t="n"/>
      <c r="N33" s="134" t="n"/>
      <c r="O33" s="134" t="n"/>
      <c r="P33" s="134" t="n"/>
      <c r="Q33" s="134" t="n"/>
      <c r="R33" s="134" t="n"/>
      <c r="S33" s="134" t="n"/>
      <c r="T33" s="134" t="n"/>
      <c r="U33" s="134" t="n"/>
      <c r="V33" s="134" t="n"/>
      <c r="W33" s="134" t="n"/>
      <c r="X33" s="134" t="n"/>
      <c r="Y33" s="134" t="n"/>
      <c r="Z33" s="135" t="n"/>
      <c r="AA33" s="134" t="n"/>
      <c r="AB33" s="134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24.75" customFormat="1" customHeight="1" s="2">
      <c r="A34" s="302" t="n"/>
      <c r="B34" s="366" t="inlineStr">
        <is>
          <t>LIHTC, UAP, NET</t>
        </is>
      </c>
      <c r="C34" s="358" t="n"/>
      <c r="D34" s="358" t="n"/>
      <c r="E34" s="358" t="n"/>
      <c r="F34" s="358" t="n"/>
      <c r="G34" s="359" t="n"/>
      <c r="H34" s="183" t="n"/>
      <c r="I34" s="183" t="n"/>
      <c r="J34" s="183" t="n"/>
      <c r="K34" s="302" t="n"/>
      <c r="L34" s="302" t="n"/>
      <c r="M34" s="302" t="n"/>
      <c r="N34" s="302" t="n"/>
      <c r="O34" s="302" t="n"/>
      <c r="P34" s="302" t="n"/>
      <c r="Q34" s="302" t="n"/>
      <c r="R34" s="302" t="n"/>
      <c r="S34" s="302" t="n"/>
      <c r="T34" s="302" t="n"/>
      <c r="U34" s="302" t="n"/>
      <c r="V34" s="302" t="n"/>
      <c r="W34" s="302" t="n"/>
      <c r="X34" s="302" t="n"/>
      <c r="Y34" s="302" t="n"/>
      <c r="Z34" s="302" t="n"/>
      <c r="AA34" s="353" t="n"/>
      <c r="AB34" s="302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16.5" customFormat="1" customHeight="1" s="2">
      <c r="A35" s="372" t="n"/>
      <c r="B35" s="226" t="n"/>
      <c r="C35" s="228" t="inlineStr">
        <is>
          <t>LIHTC/MKT</t>
        </is>
      </c>
      <c r="D35" s="228" t="inlineStr">
        <is>
          <t>50%</t>
        </is>
      </c>
      <c r="E35" s="215" t="inlineStr">
        <is>
          <t>UAP</t>
        </is>
      </c>
      <c r="F35" s="216" t="inlineStr">
        <is>
          <t>NET</t>
        </is>
      </c>
      <c r="G35" s="183" t="n"/>
      <c r="H35" s="183" t="n"/>
      <c r="I35" s="183" t="n"/>
      <c r="J35" s="183" t="n"/>
      <c r="K35" s="302" t="n"/>
      <c r="L35" s="302" t="n"/>
      <c r="M35" s="302" t="n"/>
      <c r="N35" s="302" t="n"/>
      <c r="O35" s="343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24.75" customFormat="1" customHeight="1" s="2">
      <c r="A36" s="369" t="n"/>
      <c r="B36" s="224" t="inlineStr">
        <is>
          <t>2BD</t>
        </is>
      </c>
      <c r="C36" s="225" t="n">
        <v>1226</v>
      </c>
      <c r="D36" s="225" t="n">
        <v>1018</v>
      </c>
      <c r="E36" s="225" t="n">
        <v>130</v>
      </c>
      <c r="F36" s="223" t="n">
        <v>888</v>
      </c>
      <c r="G36" s="183" t="n"/>
      <c r="H36" s="183" t="n"/>
      <c r="I36" s="183" t="n"/>
      <c r="J36" s="183" t="n"/>
      <c r="K36" s="302" t="n"/>
      <c r="L36" s="302" t="n"/>
      <c r="M36" s="302" t="n"/>
      <c r="N36" s="302" t="n"/>
      <c r="O36" s="343" t="n"/>
      <c r="P36" s="302" t="n"/>
      <c r="Q36" s="302" t="n"/>
      <c r="R36" s="302" t="n"/>
      <c r="S36" s="302" t="n"/>
      <c r="T36" s="302" t="n"/>
      <c r="U36" s="302" t="n"/>
      <c r="V36" s="302" t="n"/>
      <c r="W36" s="302" t="n"/>
      <c r="X36" s="302" t="n"/>
      <c r="Y36" s="302" t="n"/>
      <c r="Z36" s="302" t="n"/>
      <c r="AA36" s="353" t="n"/>
      <c r="AB36" s="302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24.75" customFormat="1" customHeight="1" s="2">
      <c r="A37" s="369" t="n"/>
      <c r="B37" s="224" t="inlineStr">
        <is>
          <t>3BD</t>
        </is>
      </c>
      <c r="C37" s="225" t="n">
        <v>1417</v>
      </c>
      <c r="D37" s="225" t="n">
        <v>1162</v>
      </c>
      <c r="E37" s="225" t="n">
        <v>170</v>
      </c>
      <c r="F37" s="223" t="n">
        <v>992</v>
      </c>
      <c r="G37" s="183" t="n"/>
      <c r="H37" s="183" t="n"/>
      <c r="I37" s="183" t="n"/>
      <c r="J37" s="183" t="n"/>
      <c r="K37" s="302" t="n"/>
      <c r="L37" s="302" t="n"/>
      <c r="M37" s="302" t="n"/>
      <c r="N37" s="302" t="n"/>
      <c r="O37" s="343" t="n"/>
      <c r="P37" s="302" t="n"/>
      <c r="Q37" s="302" t="n"/>
      <c r="R37" s="302" t="n"/>
      <c r="S37" s="302" t="n"/>
      <c r="T37" s="302" t="n"/>
      <c r="U37" s="302" t="n"/>
      <c r="V37" s="302" t="n"/>
      <c r="W37" s="302" t="n"/>
      <c r="X37" s="302" t="n"/>
      <c r="Y37" s="302" t="n"/>
      <c r="Z37" s="302" t="n"/>
      <c r="AA37" s="353" t="n"/>
      <c r="AB37" s="302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24.75" customHeight="1" s="131">
      <c r="A38" s="372" t="n"/>
      <c r="B38" s="224" t="inlineStr">
        <is>
          <t>4BD</t>
        </is>
      </c>
      <c r="C38" s="225" t="n">
        <v>1581</v>
      </c>
      <c r="D38" s="225" t="n">
        <v>1282</v>
      </c>
      <c r="E38" s="225" t="n">
        <v>209</v>
      </c>
      <c r="F38" s="223" t="n">
        <v>1073</v>
      </c>
      <c r="G38" s="183" t="n"/>
      <c r="H38" s="183" t="n"/>
      <c r="I38" s="183" t="n"/>
      <c r="J38" s="183" t="n"/>
      <c r="K38" s="302" t="n"/>
      <c r="L38" s="302" t="n"/>
      <c r="M38" s="302" t="n"/>
      <c r="N38" s="302" t="n"/>
      <c r="O38" s="343" t="n"/>
      <c r="P38" s="302" t="n"/>
      <c r="Q38" s="302" t="n"/>
      <c r="R38" s="302" t="n"/>
      <c r="S38" s="302" t="n"/>
      <c r="T38" s="302" t="n"/>
      <c r="U38" s="302" t="n"/>
      <c r="V38" s="302" t="n"/>
      <c r="W38" s="302" t="n"/>
      <c r="X38" s="302" t="n"/>
      <c r="Y38" s="302" t="n"/>
      <c r="Z38" s="302" t="n"/>
      <c r="AA38" s="353" t="n"/>
      <c r="AB38" s="302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18" customHeight="1" s="131">
      <c r="A39" s="372" t="n"/>
      <c r="B39" s="392" t="n"/>
      <c r="C39" s="392" t="n"/>
      <c r="D39" s="369" t="n"/>
      <c r="E39" s="369" t="n"/>
      <c r="F39" s="369" t="n"/>
      <c r="G39" s="369" t="n"/>
      <c r="H39" s="369" t="n"/>
      <c r="I39" s="369" t="n"/>
      <c r="J39" s="369" t="n"/>
      <c r="K39" s="369" t="n"/>
      <c r="L39" s="134" t="n"/>
      <c r="M39" s="134" t="n"/>
      <c r="N39" s="134" t="n"/>
      <c r="O39" s="134" t="n"/>
      <c r="P39" s="134" t="n"/>
      <c r="Q39" s="134" t="n"/>
      <c r="R39" s="134" t="n"/>
      <c r="S39" s="134" t="n"/>
      <c r="T39" s="134" t="n"/>
      <c r="U39" s="134" t="n"/>
      <c r="V39" s="134" t="n"/>
      <c r="W39" s="134" t="n"/>
      <c r="X39" s="134" t="n"/>
      <c r="Y39" s="134" t="n"/>
      <c r="Z39" s="135" t="n"/>
      <c r="AA39" s="134" t="n"/>
      <c r="AB39" s="134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ht="18" customFormat="1" customHeight="1" s="2">
      <c r="A40" s="372" t="n"/>
      <c r="B40" s="392" t="n"/>
      <c r="C40" s="392" t="n"/>
      <c r="D40" s="369" t="n"/>
      <c r="E40" s="369" t="n"/>
      <c r="F40" s="369" t="n"/>
      <c r="G40" s="369" t="n"/>
      <c r="H40" s="369" t="n"/>
      <c r="I40" s="369" t="n"/>
      <c r="J40" s="369" t="n"/>
      <c r="K40" s="369" t="n"/>
      <c r="L40" s="136" t="n"/>
      <c r="M40" s="136" t="n"/>
      <c r="N40" s="136" t="n"/>
      <c r="O40" s="136" t="n"/>
      <c r="P40" s="136" t="n"/>
      <c r="Q40" s="136" t="n"/>
      <c r="R40" s="136" t="n"/>
      <c r="S40" s="136" t="n"/>
      <c r="T40" s="136" t="n"/>
      <c r="U40" s="136" t="n"/>
      <c r="V40" s="136" t="n"/>
      <c r="W40" s="136" t="n"/>
      <c r="X40" s="136" t="n"/>
      <c r="Y40" s="136" t="n"/>
      <c r="Z40" s="136" t="n"/>
      <c r="AA40" s="136" t="n"/>
      <c r="AB40" s="136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ht="24.75" customFormat="1" customHeight="1" s="2">
      <c r="A41" s="302" t="n"/>
      <c r="B41" s="207" t="inlineStr">
        <is>
          <t>HAP, CoStar, NET</t>
        </is>
      </c>
      <c r="H41" s="183" t="n"/>
      <c r="I41" s="183" t="n"/>
      <c r="J41" s="183" t="n"/>
      <c r="K41" s="302" t="n"/>
      <c r="L41" s="302" t="n"/>
      <c r="M41" s="302" t="n"/>
      <c r="N41" s="302" t="n"/>
      <c r="O41" s="302" t="n"/>
      <c r="P41" s="302" t="n"/>
      <c r="Q41" s="302" t="n"/>
      <c r="R41" s="302" t="n"/>
      <c r="S41" s="302" t="n"/>
      <c r="T41" s="302" t="n"/>
      <c r="U41" s="302" t="n"/>
      <c r="V41" s="302" t="n"/>
      <c r="W41" s="302" t="n"/>
      <c r="X41" s="302" t="n"/>
      <c r="Y41" s="302" t="n"/>
      <c r="Z41" s="302" t="n"/>
      <c r="AA41" s="353" t="n"/>
      <c r="AB41" s="302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ht="15.95" customFormat="1" customHeight="1" s="2">
      <c r="A42" s="302" t="n"/>
      <c r="B42" s="227" t="n"/>
      <c r="C42" s="208" t="inlineStr">
        <is>
          <t>HAP</t>
        </is>
      </c>
      <c r="D42" s="209" t="inlineStr">
        <is>
          <t>CoStar</t>
        </is>
      </c>
      <c r="E42" s="302" t="n"/>
      <c r="F42" s="302" t="n"/>
      <c r="G42" s="302" t="n"/>
      <c r="H42" s="183" t="n"/>
      <c r="I42" s="183" t="n"/>
      <c r="J42" s="183" t="n"/>
      <c r="K42" s="302" t="n"/>
      <c r="L42" s="302" t="n"/>
      <c r="M42" s="302" t="n"/>
      <c r="N42" s="302" t="n"/>
      <c r="O42" s="302" t="n"/>
      <c r="P42" s="302" t="n"/>
      <c r="Q42" s="302" t="n"/>
      <c r="R42" s="302" t="n"/>
      <c r="S42" s="302" t="n"/>
      <c r="T42" s="302" t="n"/>
      <c r="U42" s="302" t="n"/>
      <c r="V42" s="302" t="n"/>
      <c r="W42" s="302" t="n"/>
      <c r="X42" s="302" t="n"/>
      <c r="Y42" s="302" t="n"/>
      <c r="Z42" s="302" t="n"/>
      <c r="AA42" s="353" t="n"/>
      <c r="AB42" s="302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ht="24.75" customFormat="1" customHeight="1" s="2">
      <c r="A43" s="302" t="n"/>
      <c r="B43" s="196" t="inlineStr">
        <is>
          <t>2BD</t>
        </is>
      </c>
      <c r="C43" s="199" t="n">
        <v>0</v>
      </c>
      <c r="D43" s="198" t="n">
        <v>1272</v>
      </c>
      <c r="E43" s="183" t="n"/>
      <c r="F43" s="183" t="n"/>
      <c r="G43" s="183" t="n"/>
      <c r="H43" s="183" t="n"/>
      <c r="I43" s="183" t="n"/>
      <c r="J43" s="183" t="n"/>
      <c r="K43" s="302" t="n"/>
      <c r="L43" s="302" t="n"/>
      <c r="M43" s="302" t="n"/>
      <c r="N43" s="302" t="n"/>
      <c r="O43" s="302" t="n"/>
      <c r="P43" s="302" t="n"/>
      <c r="Q43" s="302" t="n"/>
      <c r="R43" s="302" t="n"/>
      <c r="S43" s="302" t="n"/>
      <c r="T43" s="302" t="n"/>
      <c r="U43" s="302" t="n"/>
      <c r="V43" s="302" t="n"/>
      <c r="W43" s="302" t="n"/>
      <c r="X43" s="302" t="n"/>
      <c r="Y43" s="302" t="n"/>
      <c r="Z43" s="302" t="n"/>
      <c r="AA43" s="353" t="n"/>
      <c r="AB43" s="302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ht="24.75" customFormat="1" customHeight="1" s="2">
      <c r="A44" s="302" t="n"/>
      <c r="B44" s="196" t="inlineStr">
        <is>
          <t>3BD</t>
        </is>
      </c>
      <c r="C44" s="199" t="n">
        <v>0</v>
      </c>
      <c r="D44" s="198" t="n">
        <v>1570</v>
      </c>
      <c r="E44" s="183" t="n"/>
      <c r="F44" s="183" t="n"/>
      <c r="G44" s="183" t="n"/>
      <c r="H44" s="183" t="n"/>
      <c r="I44" s="183" t="n"/>
      <c r="J44" s="183" t="n"/>
      <c r="K44" s="302" t="n"/>
      <c r="L44" s="302" t="n"/>
      <c r="M44" s="302" t="n"/>
      <c r="N44" s="302" t="n"/>
      <c r="O44" s="302" t="n"/>
      <c r="P44" s="302" t="n"/>
      <c r="Q44" s="302" t="n"/>
      <c r="R44" s="302" t="n"/>
      <c r="S44" s="302" t="n"/>
      <c r="T44" s="302" t="n"/>
      <c r="U44" s="302" t="n"/>
      <c r="V44" s="302" t="n"/>
      <c r="W44" s="302" t="n"/>
      <c r="X44" s="302" t="n"/>
      <c r="Y44" s="302" t="n"/>
      <c r="Z44" s="302" t="n"/>
      <c r="AA44" s="353" t="n"/>
      <c r="AB44" s="302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ht="24.75" customHeight="1" s="131">
      <c r="A45" s="302" t="n"/>
      <c r="B45" s="196" t="inlineStr">
        <is>
          <t>4BD</t>
        </is>
      </c>
      <c r="C45" s="199" t="n">
        <v>0</v>
      </c>
      <c r="D45" s="198" t="n">
        <v>2685</v>
      </c>
      <c r="E45" s="183" t="n"/>
      <c r="F45" s="183" t="n"/>
      <c r="G45" s="183" t="n"/>
      <c r="H45" s="183" t="n"/>
      <c r="I45" s="183" t="n"/>
      <c r="J45" s="183" t="n"/>
      <c r="K45" s="302" t="n"/>
      <c r="L45" s="302" t="n"/>
      <c r="M45" s="302" t="n"/>
      <c r="N45" s="302" t="n"/>
      <c r="O45" s="302" t="n"/>
      <c r="P45" s="302" t="n"/>
      <c r="Q45" s="302" t="n"/>
      <c r="R45" s="302" t="n"/>
      <c r="S45" s="302" t="n"/>
      <c r="T45" s="302" t="n"/>
      <c r="U45" s="302" t="n"/>
      <c r="V45" s="302" t="n"/>
      <c r="W45" s="302" t="n"/>
      <c r="X45" s="302" t="n"/>
      <c r="Y45" s="302" t="n"/>
      <c r="Z45" s="302" t="n"/>
      <c r="AA45" s="353" t="n"/>
      <c r="AB45" s="302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s="131">
      <c r="A46" s="369" t="n"/>
      <c r="B46" s="369" t="n"/>
      <c r="C46" s="369" t="n"/>
      <c r="D46" s="369" t="n"/>
      <c r="E46" s="369" t="n"/>
      <c r="F46" s="369" t="n"/>
      <c r="G46" s="369" t="n"/>
      <c r="H46" s="369" t="n"/>
      <c r="I46" s="369" t="n"/>
      <c r="J46" s="369" t="n"/>
      <c r="K46" s="369" t="n"/>
      <c r="L46" s="136" t="n"/>
      <c r="M46" s="136" t="n"/>
      <c r="N46" s="136" t="n"/>
      <c r="O46" s="136" t="n"/>
      <c r="P46" s="136" t="n"/>
      <c r="Q46" s="136" t="n"/>
      <c r="R46" s="136" t="n"/>
      <c r="S46" s="136" t="n"/>
      <c r="T46" s="136" t="n"/>
      <c r="U46" s="136" t="n"/>
      <c r="V46" s="136" t="n"/>
      <c r="W46" s="136" t="n"/>
      <c r="X46" s="136" t="n"/>
      <c r="Y46" s="136" t="n"/>
      <c r="Z46" s="136" t="n"/>
      <c r="AA46" s="136" t="n"/>
      <c r="AB46" s="136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s="131">
      <c r="A47" s="369" t="n"/>
      <c r="B47" s="369" t="n"/>
      <c r="C47" s="369" t="n"/>
      <c r="D47" s="369" t="n"/>
      <c r="E47" s="369" t="n"/>
      <c r="F47" s="369" t="n"/>
      <c r="G47" s="369" t="n"/>
      <c r="H47" s="369" t="n"/>
      <c r="I47" s="369" t="n"/>
      <c r="J47" s="369" t="n"/>
      <c r="K47" s="369" t="n"/>
      <c r="L47" s="136" t="n"/>
      <c r="M47" s="136" t="n"/>
      <c r="N47" s="136" t="n"/>
      <c r="O47" s="136" t="n"/>
      <c r="P47" s="136" t="n"/>
      <c r="Q47" s="136" t="n"/>
      <c r="R47" s="136" t="n"/>
      <c r="S47" s="136" t="n"/>
      <c r="T47" s="136" t="n"/>
      <c r="U47" s="136" t="n"/>
      <c r="V47" s="136" t="n"/>
      <c r="W47" s="136" t="n"/>
      <c r="X47" s="136" t="n"/>
      <c r="Y47" s="136" t="n"/>
      <c r="Z47" s="136" t="n"/>
      <c r="AA47" s="136" t="n"/>
      <c r="AB47" s="136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s="131">
      <c r="A48" s="369" t="n"/>
      <c r="B48" s="369" t="n"/>
      <c r="C48" s="369" t="n"/>
      <c r="D48" s="369" t="n"/>
      <c r="E48" s="369" t="n"/>
      <c r="F48" s="369" t="n"/>
      <c r="G48" s="369" t="n"/>
      <c r="H48" s="369" t="n"/>
      <c r="I48" s="369" t="n"/>
      <c r="J48" s="369" t="n"/>
      <c r="K48" s="369" t="n"/>
      <c r="L48" s="136" t="n"/>
      <c r="M48" s="136" t="n"/>
      <c r="N48" s="136" t="n"/>
      <c r="O48" s="136" t="n"/>
      <c r="P48" s="136" t="n"/>
      <c r="Q48" s="136" t="n"/>
      <c r="R48" s="136" t="n"/>
      <c r="S48" s="136" t="n"/>
      <c r="T48" s="136" t="n"/>
      <c r="U48" s="136" t="n"/>
      <c r="V48" s="136" t="n"/>
      <c r="W48" s="136" t="n"/>
      <c r="X48" s="136" t="n"/>
      <c r="Y48" s="136" t="n"/>
      <c r="Z48" s="136" t="n"/>
      <c r="AA48" s="136" t="n"/>
      <c r="AB48" s="136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s="131">
      <c r="A49" s="369" t="n"/>
      <c r="B49" s="369" t="n"/>
      <c r="C49" s="369" t="n"/>
      <c r="D49" s="369" t="n"/>
      <c r="E49" s="369" t="n"/>
      <c r="F49" s="369" t="n"/>
      <c r="G49" s="369" t="n"/>
      <c r="H49" s="369" t="n"/>
      <c r="I49" s="369" t="n"/>
      <c r="J49" s="369" t="n"/>
      <c r="K49" s="369" t="n"/>
      <c r="L49" s="136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6" t="n"/>
      <c r="Y49" s="136" t="n"/>
      <c r="Z49" s="136" t="n"/>
      <c r="AA49" s="136" t="n"/>
      <c r="AB49" s="136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s="131">
      <c r="A50" s="369" t="n"/>
      <c r="B50" s="369" t="n"/>
      <c r="C50" s="369" t="n"/>
      <c r="D50" s="369" t="n"/>
      <c r="E50" s="369" t="n"/>
      <c r="F50" s="369" t="n"/>
      <c r="G50" s="369" t="n"/>
      <c r="H50" s="369" t="n"/>
      <c r="I50" s="369" t="n"/>
      <c r="J50" s="369" t="n"/>
      <c r="K50" s="369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  <row r="51"/>
    <row r="52"/>
  </sheetData>
  <mergeCells count="9">
    <mergeCell ref="B4:AB4"/>
    <mergeCell ref="B34:G34"/>
    <mergeCell ref="B28:G28"/>
    <mergeCell ref="B22:G22"/>
    <mergeCell ref="B23:G23"/>
    <mergeCell ref="B20:I20"/>
    <mergeCell ref="B2:AB2"/>
    <mergeCell ref="B41:G41"/>
    <mergeCell ref="B3:AB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theme="3" tint="-0.499984740745262"/>
    <outlinePr summaryBelow="1" summaryRight="1"/>
    <pageSetUpPr/>
  </sheetPr>
  <dimension ref="A1:AW53"/>
  <sheetViews>
    <sheetView workbookViewId="0">
      <pane ySplit="1" topLeftCell="A17" activePane="bottomLeft" state="frozen"/>
      <selection pane="bottomLeft" activeCell="N32" sqref="N32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BRECKENRIDGE VILLAGE | GREEN = Affordable Comps | BLUE = Market Rate Comps</t>
        </is>
      </c>
      <c r="B3" s="363" t="n"/>
      <c r="AB3" s="363" t="n"/>
      <c r="AC3" s="136" t="n"/>
      <c r="AD3" s="136" t="n"/>
      <c r="AE3" s="136" t="n"/>
      <c r="AF3" s="136" t="n"/>
      <c r="AG3" s="136" t="n"/>
      <c r="AH3" s="136" t="n"/>
      <c r="AI3" s="136" t="n"/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Breckenridge Village | 2001 N Floyd St, Ennis, TX 75119 | 66 units | Program: LIHTC | Bedroom Mix: 2BR / 4BR | County AMI: $117,300 | FMR Area: Dallas-Fort Worth MSA</t>
        </is>
      </c>
      <c r="B4" s="363" t="n"/>
      <c r="AB4" s="363" t="n"/>
      <c r="AC4" s="136" t="n"/>
      <c r="AD4" s="136" t="n"/>
      <c r="AE4" s="136" t="n"/>
      <c r="AF4" s="136" t="n"/>
      <c r="AG4" s="136" t="n"/>
      <c r="AH4" s="136" t="n"/>
      <c r="AI4" s="136" t="n"/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B5" s="341" t="n"/>
      <c r="AC5" s="136" t="n"/>
      <c r="AD5" s="136" t="n"/>
      <c r="AE5" s="136" t="n"/>
      <c r="AF5" s="136" t="n"/>
      <c r="AG5" s="136" t="n"/>
      <c r="AH5" s="136" t="n"/>
      <c r="AI5" s="136" t="n"/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2BD 50% AMI ($)</t>
        </is>
      </c>
      <c r="J6" s="280" t="inlineStr">
        <is>
          <t>2BD 60% AMI ($)</t>
        </is>
      </c>
      <c r="K6" s="280" t="inlineStr">
        <is>
          <t>2BR FMR ($)</t>
        </is>
      </c>
      <c r="L6" s="335" t="inlineStr">
        <is>
          <t>2BR Actual ($)</t>
        </is>
      </c>
      <c r="M6" s="281" t="inlineStr">
        <is>
          <t>4BD 50% AMI ($)</t>
        </is>
      </c>
      <c r="N6" s="280" t="inlineStr">
        <is>
          <t>4BD 60% AMI ($)</t>
        </is>
      </c>
      <c r="O6" s="280" t="inlineStr">
        <is>
          <t>4BR FMR ($)</t>
        </is>
      </c>
      <c r="P6" s="335" t="inlineStr">
        <is>
          <t>4BR Actual ($)</t>
        </is>
      </c>
      <c r="Q6" s="281" t="inlineStr">
        <is>
          <t># Units</t>
        </is>
      </c>
      <c r="R6" s="280" t="inlineStr">
        <is>
          <t>Year Built</t>
        </is>
      </c>
      <c r="S6" s="280" t="inlineStr">
        <is>
          <t>Yr Diff</t>
        </is>
      </c>
      <c r="T6" s="339" t="inlineStr">
        <is>
          <t>Utilities Incl.</t>
        </is>
      </c>
      <c r="U6" s="339" t="inlineStr">
        <is>
          <t>Pet Friendly</t>
        </is>
      </c>
      <c r="V6" s="339" t="inlineStr">
        <is>
          <t>Gated</t>
        </is>
      </c>
      <c r="W6" s="339" t="inlineStr">
        <is>
          <t>Pool</t>
        </is>
      </c>
      <c r="X6" s="339" t="inlineStr">
        <is>
          <t>W/D In-Unit</t>
        </is>
      </c>
      <c r="Y6" s="339" t="inlineStr">
        <is>
          <t>Competition Level</t>
        </is>
      </c>
      <c r="Z6" s="336" t="inlineStr">
        <is>
          <t>Why Competitive</t>
        </is>
      </c>
      <c r="AA6" s="340" t="inlineStr">
        <is>
          <t>Data Source</t>
        </is>
      </c>
      <c r="AB6" s="342" t="n"/>
      <c r="AC6" s="136" t="n"/>
      <c r="AD6" s="136" t="n"/>
      <c r="AE6" s="136" t="n"/>
      <c r="AF6" s="136" t="n"/>
      <c r="AG6" s="136" t="n"/>
      <c r="AH6" s="136" t="n"/>
      <c r="AI6" s="136" t="n"/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Breckenridge Village (SUBJECT)</t>
        </is>
      </c>
      <c r="D7" s="174" t="inlineStr">
        <is>
          <t>2001 N Floyd St</t>
        </is>
      </c>
      <c r="E7" s="174" t="inlineStr">
        <is>
          <t>Ennis</t>
        </is>
      </c>
      <c r="F7" s="174" t="inlineStr">
        <is>
          <t>TX</t>
        </is>
      </c>
      <c r="G7" s="174" t="inlineStr">
        <is>
          <t>75119</t>
        </is>
      </c>
      <c r="H7" s="174" t="inlineStr">
        <is>
          <t>0.0 mi</t>
        </is>
      </c>
      <c r="I7" s="174" t="inlineStr">
        <is>
          <t>$4,400</t>
        </is>
      </c>
      <c r="J7" s="174" t="inlineStr">
        <is>
          <t>$5,280</t>
        </is>
      </c>
      <c r="K7" s="174" t="inlineStr">
        <is>
          <t>$1,931</t>
        </is>
      </c>
      <c r="L7" s="368">
        <f>B26</f>
        <v/>
      </c>
      <c r="M7" s="174" t="inlineStr">
        <is>
          <t>$5,279</t>
        </is>
      </c>
      <c r="N7" s="174" t="inlineStr">
        <is>
          <t>$6,335</t>
        </is>
      </c>
      <c r="O7" s="174" t="inlineStr">
        <is>
          <t>$2,810</t>
        </is>
      </c>
      <c r="P7" s="368">
        <f>B27</f>
        <v/>
      </c>
      <c r="Q7" s="174" t="inlineStr">
        <is>
          <t>66</t>
        </is>
      </c>
      <c r="R7" s="174" t="inlineStr">
        <is>
          <t>1997</t>
        </is>
      </c>
      <c r="S7" s="174" t="inlineStr">
        <is>
          <t>0</t>
        </is>
      </c>
      <c r="T7" s="174" t="inlineStr">
        <is>
          <t>No</t>
        </is>
      </c>
      <c r="U7" s="174" t="inlineStr">
        <is>
          <t>No</t>
        </is>
      </c>
      <c r="V7" s="174" t="inlineStr">
        <is>
          <t>No</t>
        </is>
      </c>
      <c r="W7" s="174" t="inlineStr">
        <is>
          <t>No</t>
        </is>
      </c>
      <c r="X7" s="174" t="inlineStr">
        <is>
          <t>No</t>
        </is>
      </c>
      <c r="Y7" s="42" t="inlineStr">
        <is>
          <t>SUBJECT</t>
        </is>
      </c>
      <c r="Z7" s="55" t="inlineStr">
        <is>
          <t>66 units | LIHTC property. Year built: 1997. Subject property for market context.</t>
        </is>
      </c>
      <c r="AA7" s="40" t="inlineStr">
        <is>
          <t>Apartment Corp Records</t>
        </is>
      </c>
      <c r="AB7" s="136" t="n"/>
      <c r="AC7" s="136" t="n"/>
      <c r="AD7" s="136" t="n"/>
      <c r="AE7" s="136" t="n"/>
      <c r="AF7" s="136" t="n"/>
      <c r="AG7" s="136" t="n"/>
      <c r="AH7" s="136" t="n"/>
      <c r="AI7" s="136" t="n"/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Breckenridge Village</t>
        </is>
      </c>
      <c r="D8" s="59" t="inlineStr">
        <is>
          <t>2001A Floyd St</t>
        </is>
      </c>
      <c r="E8" s="59" t="inlineStr">
        <is>
          <t>Ennis</t>
        </is>
      </c>
      <c r="F8" s="59" t="inlineStr">
        <is>
          <t>TX</t>
        </is>
      </c>
      <c r="G8" s="59" t="inlineStr">
        <is>
          <t>75119</t>
        </is>
      </c>
      <c r="H8" s="59" t="inlineStr">
        <is>
          <t>1.2 mi</t>
        </is>
      </c>
      <c r="I8" s="59" t="inlineStr">
        <is>
          <t>$4,400</t>
        </is>
      </c>
      <c r="J8" s="59" t="inlineStr">
        <is>
          <t>$5,280</t>
        </is>
      </c>
      <c r="K8" s="41" t="inlineStr">
        <is>
          <t>$1,931</t>
        </is>
      </c>
      <c r="L8" s="53" t="inlineStr">
        <is>
          <t>Not Listed</t>
        </is>
      </c>
      <c r="M8" s="43" t="inlineStr">
        <is>
          <t>$5,279</t>
        </is>
      </c>
      <c r="N8" s="43" t="inlineStr">
        <is>
          <t>$6,335</t>
        </is>
      </c>
      <c r="O8" s="41" t="inlineStr">
        <is>
          <t>$2,810</t>
        </is>
      </c>
      <c r="P8" s="53" t="inlineStr">
        <is>
          <t>Not Listed</t>
        </is>
      </c>
      <c r="Q8" s="43" t="inlineStr">
        <is>
          <t>66</t>
        </is>
      </c>
      <c r="R8" s="43" t="inlineStr">
        <is>
          <t>1997</t>
        </is>
      </c>
      <c r="S8" s="43" t="inlineStr">
        <is>
          <t>0</t>
        </is>
      </c>
      <c r="T8" s="43" t="inlineStr">
        <is>
          <t>Yes</t>
        </is>
      </c>
      <c r="U8" s="43" t="inlineStr">
        <is>
          <t>No</t>
        </is>
      </c>
      <c r="V8" s="43" t="inlineStr">
        <is>
          <t>No</t>
        </is>
      </c>
      <c r="W8" s="43" t="inlineStr">
        <is>
          <t>No</t>
        </is>
      </c>
      <c r="X8" s="43" t="inlineStr">
        <is>
          <t>No</t>
        </is>
      </c>
      <c r="Y8" s="44" t="inlineStr">
        <is>
          <t>HIGH</t>
        </is>
      </c>
      <c r="Z8" s="56" t="inlineStr">
        <is>
          <t>Affordable Comp #1: LIHTC property, 1997 vintage (0 yr diff), 66 units, 1.2 mi from subject. Same income-eligible renter pool.</t>
        </is>
      </c>
      <c r="AA8" s="43" t="inlineStr">
        <is>
          <t>HUD LIHTC Database (huduser.gov)</t>
        </is>
      </c>
      <c r="AB8" s="136" t="n"/>
      <c r="AC8" s="136" t="n"/>
      <c r="AD8" s="136" t="n"/>
      <c r="AE8" s="136" t="n"/>
      <c r="AF8" s="136" t="n"/>
      <c r="AG8" s="136" t="n"/>
      <c r="AH8" s="136" t="n"/>
      <c r="AI8" s="136" t="n"/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Lexington Arms</t>
        </is>
      </c>
      <c r="D9" s="125" t="inlineStr">
        <is>
          <t>418 Lexington Dr</t>
        </is>
      </c>
      <c r="E9" s="125" t="inlineStr">
        <is>
          <t>Waxahachie</t>
        </is>
      </c>
      <c r="F9" s="125" t="inlineStr">
        <is>
          <t>TX</t>
        </is>
      </c>
      <c r="G9" s="125" t="inlineStr">
        <is>
          <t>75165</t>
        </is>
      </c>
      <c r="H9" s="125" t="inlineStr">
        <is>
          <t>12.0 mi</t>
        </is>
      </c>
      <c r="I9" s="125" t="inlineStr">
        <is>
          <t>$4,400</t>
        </is>
      </c>
      <c r="J9" s="125" t="inlineStr">
        <is>
          <t>$5,280</t>
        </is>
      </c>
      <c r="K9" s="85" t="inlineStr">
        <is>
          <t>$1,931</t>
        </is>
      </c>
      <c r="L9" s="86" t="inlineStr">
        <is>
          <t>Not Listed</t>
        </is>
      </c>
      <c r="M9" s="128" t="inlineStr">
        <is>
          <t>$5,279</t>
        </is>
      </c>
      <c r="N9" s="128" t="inlineStr">
        <is>
          <t>$6,335</t>
        </is>
      </c>
      <c r="O9" s="85" t="inlineStr">
        <is>
          <t>$2,810</t>
        </is>
      </c>
      <c r="P9" s="86" t="inlineStr">
        <is>
          <t>$1,641</t>
        </is>
      </c>
      <c r="Q9" s="128" t="inlineStr">
        <is>
          <t>61</t>
        </is>
      </c>
      <c r="R9" s="128" t="inlineStr">
        <is>
          <t>1997</t>
        </is>
      </c>
      <c r="S9" s="128" t="inlineStr">
        <is>
          <t>0</t>
        </is>
      </c>
      <c r="T9" s="128" t="inlineStr">
        <is>
          <t>Yes</t>
        </is>
      </c>
      <c r="U9" s="128" t="inlineStr">
        <is>
          <t>No</t>
        </is>
      </c>
      <c r="V9" s="128" t="inlineStr">
        <is>
          <t>No</t>
        </is>
      </c>
      <c r="W9" s="128" t="inlineStr">
        <is>
          <t>No</t>
        </is>
      </c>
      <c r="X9" s="128" t="inlineStr">
        <is>
          <t>No</t>
        </is>
      </c>
      <c r="Y9" s="129" t="inlineStr">
        <is>
          <t>HIGH</t>
        </is>
      </c>
      <c r="Z9" s="130" t="inlineStr">
        <is>
          <t>Affordable Comp #2: LIHTC property, 1997 vintage (0 yr diff), 61 units, 12.0 mi from subject. Same income-eligible renter pool.</t>
        </is>
      </c>
      <c r="AA9" s="128" t="inlineStr">
        <is>
          <t>HUD LIHTC Database (huduser.gov)</t>
        </is>
      </c>
      <c r="AB9" s="136" t="n"/>
      <c r="AC9" s="136" t="n"/>
      <c r="AD9" s="136" t="n"/>
      <c r="AE9" s="136" t="n"/>
      <c r="AF9" s="136" t="n"/>
      <c r="AG9" s="136" t="n"/>
      <c r="AH9" s="136" t="n"/>
      <c r="AI9" s="136" t="n"/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Creekside Terrace Apts</t>
        </is>
      </c>
      <c r="D10" s="107" t="inlineStr">
        <is>
          <t>1000 E Burnett St</t>
        </is>
      </c>
      <c r="E10" s="107" t="inlineStr">
        <is>
          <t>Ennis</t>
        </is>
      </c>
      <c r="F10" s="107" t="inlineStr">
        <is>
          <t>TX</t>
        </is>
      </c>
      <c r="G10" s="107" t="inlineStr">
        <is>
          <t>75119</t>
        </is>
      </c>
      <c r="H10" s="107" t="inlineStr">
        <is>
          <t>0.7 mi</t>
        </is>
      </c>
      <c r="I10" s="107" t="inlineStr">
        <is>
          <t>$4,400</t>
        </is>
      </c>
      <c r="J10" s="107" t="inlineStr">
        <is>
          <t>$5,280</t>
        </is>
      </c>
      <c r="K10" s="80" t="inlineStr">
        <is>
          <t>$1,931</t>
        </is>
      </c>
      <c r="L10" s="81" t="inlineStr">
        <is>
          <t>$1,270</t>
        </is>
      </c>
      <c r="M10" s="108" t="inlineStr">
        <is>
          <t>$5,279</t>
        </is>
      </c>
      <c r="N10" s="108" t="inlineStr">
        <is>
          <t>$6,335</t>
        </is>
      </c>
      <c r="O10" s="80" t="inlineStr">
        <is>
          <t>$2,810</t>
        </is>
      </c>
      <c r="P10" s="81" t="inlineStr">
        <is>
          <t>$1,650</t>
        </is>
      </c>
      <c r="Q10" s="108" t="inlineStr">
        <is>
          <t>80</t>
        </is>
      </c>
      <c r="R10" s="108" t="inlineStr">
        <is>
          <t>1998</t>
        </is>
      </c>
      <c r="S10" s="108" t="inlineStr">
        <is>
          <t>1</t>
        </is>
      </c>
      <c r="T10" s="108" t="inlineStr">
        <is>
          <t>Yes</t>
        </is>
      </c>
      <c r="U10" s="108" t="inlineStr">
        <is>
          <t>No</t>
        </is>
      </c>
      <c r="V10" s="108" t="inlineStr">
        <is>
          <t>No</t>
        </is>
      </c>
      <c r="W10" s="108" t="inlineStr">
        <is>
          <t>No</t>
        </is>
      </c>
      <c r="X10" s="108" t="inlineStr">
        <is>
          <t>No</t>
        </is>
      </c>
      <c r="Y10" s="109" t="inlineStr">
        <is>
          <t>HIGH</t>
        </is>
      </c>
      <c r="Z10" s="110" t="inlineStr">
        <is>
          <t>Affordable Comp #3: LIHTC property, 1998 vintage (1 yr diff), 80 units, 0.7 mi from subject. Same income-eligible renter pool.</t>
        </is>
      </c>
      <c r="AA10" s="111" t="inlineStr">
        <is>
          <t>HUD LIHTC Database (huduser.gov)</t>
        </is>
      </c>
      <c r="AB10" s="134" t="n"/>
      <c r="AC10" s="136" t="n"/>
      <c r="AD10" s="136" t="n"/>
      <c r="AE10" s="136" t="n"/>
      <c r="AF10" s="136" t="n"/>
      <c r="AG10" s="136" t="n"/>
      <c r="AH10" s="136" t="n"/>
      <c r="AI10" s="136" t="n"/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Sherwood Arms Apts</t>
        </is>
      </c>
      <c r="D11" s="95" t="inlineStr">
        <is>
          <t>213 N Val Verde Cir</t>
        </is>
      </c>
      <c r="E11" s="95" t="inlineStr">
        <is>
          <t>Keene</t>
        </is>
      </c>
      <c r="F11" s="95" t="inlineStr">
        <is>
          <t>TX</t>
        </is>
      </c>
      <c r="G11" s="95" t="inlineStr">
        <is>
          <t>76059</t>
        </is>
      </c>
      <c r="H11" s="95" t="inlineStr">
        <is>
          <t>41.4 mi</t>
        </is>
      </c>
      <c r="I11" s="95" t="inlineStr">
        <is>
          <t>$4,400</t>
        </is>
      </c>
      <c r="J11" s="95" t="inlineStr">
        <is>
          <t>$5,280</t>
        </is>
      </c>
      <c r="K11" s="39" t="inlineStr">
        <is>
          <t>$1,931</t>
        </is>
      </c>
      <c r="L11" s="53" t="inlineStr">
        <is>
          <t>Not Listed</t>
        </is>
      </c>
      <c r="M11" s="96" t="inlineStr">
        <is>
          <t>$5,279</t>
        </is>
      </c>
      <c r="N11" s="96" t="inlineStr">
        <is>
          <t>$6,335</t>
        </is>
      </c>
      <c r="O11" s="39" t="inlineStr">
        <is>
          <t>$2,810</t>
        </is>
      </c>
      <c r="P11" s="53" t="inlineStr">
        <is>
          <t>Not Listed</t>
        </is>
      </c>
      <c r="Q11" s="96" t="inlineStr">
        <is>
          <t>56</t>
        </is>
      </c>
      <c r="R11" s="96" t="inlineStr">
        <is>
          <t>1997</t>
        </is>
      </c>
      <c r="S11" s="96" t="inlineStr">
        <is>
          <t>0</t>
        </is>
      </c>
      <c r="T11" s="96" t="inlineStr">
        <is>
          <t>Yes</t>
        </is>
      </c>
      <c r="U11" s="96" t="inlineStr">
        <is>
          <t>No</t>
        </is>
      </c>
      <c r="V11" s="96" t="inlineStr">
        <is>
          <t>No</t>
        </is>
      </c>
      <c r="W11" s="96" t="inlineStr">
        <is>
          <t>No</t>
        </is>
      </c>
      <c r="X11" s="96" t="inlineStr">
        <is>
          <t>No</t>
        </is>
      </c>
      <c r="Y11" s="45" t="inlineStr">
        <is>
          <t>MODERATE</t>
        </is>
      </c>
      <c r="Z11" s="97" t="inlineStr">
        <is>
          <t>Affordable Comp #4: LIHTC property, 1997 vintage (0 yr diff), 56 units, 41.4 mi from subject. Same income-eligible renter pool.</t>
        </is>
      </c>
      <c r="AA11" s="113" t="inlineStr">
        <is>
          <t>HUD LIHTC Database (huduser.gov)</t>
        </is>
      </c>
      <c r="AB11" s="134" t="n"/>
      <c r="AC11" s="136" t="n"/>
      <c r="AD11" s="136" t="n"/>
      <c r="AE11" s="136" t="n"/>
      <c r="AF11" s="136" t="n"/>
      <c r="AG11" s="136" t="n"/>
      <c r="AH11" s="136" t="n"/>
      <c r="AI11" s="136" t="n"/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37.5" customHeight="1" s="131">
      <c r="A12" s="114" t="n">
        <v>1</v>
      </c>
      <c r="B12" s="70" t="inlineStr">
        <is>
          <t>MARKET RATE</t>
        </is>
      </c>
      <c r="C12" s="67" t="inlineStr">
        <is>
          <t>Grace Townhomes</t>
        </is>
      </c>
      <c r="D12" s="98" t="inlineStr">
        <is>
          <t>1212 Grace Cir</t>
        </is>
      </c>
      <c r="E12" s="98" t="inlineStr">
        <is>
          <t>Ennis</t>
        </is>
      </c>
      <c r="F12" s="98" t="inlineStr">
        <is>
          <t>TX</t>
        </is>
      </c>
      <c r="G12" s="98" t="inlineStr">
        <is>
          <t>75119</t>
        </is>
      </c>
      <c r="H12" s="98" t="inlineStr">
        <is>
          <t>0.8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N/A (Market Rate)</t>
        </is>
      </c>
      <c r="L12" s="146" t="n">
        <v>1430</v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N/A (Market Rate)</t>
        </is>
      </c>
      <c r="P12" s="53" t="inlineStr">
        <is>
          <t>N/A (Market Rate)</t>
        </is>
      </c>
      <c r="Q12" s="99" t="inlineStr">
        <is>
          <t>N/A (Market Rate)</t>
        </is>
      </c>
      <c r="R12" s="99" t="n">
        <v>2005</v>
      </c>
      <c r="S12" s="99" t="inlineStr">
        <is>
          <t>N/A (Market Rate)</t>
        </is>
      </c>
      <c r="T12" s="99" t="inlineStr">
        <is>
          <t>Market Rate Comp #1: No income restrictions, 2005 vintage, Ennis TX 75119. 2BD $1,430 (2BD only — no 4BD market rate units available in this market)</t>
        </is>
      </c>
      <c r="U12" s="99" t="inlineStr">
        <is>
          <t>Apartments.com verified, May 2026</t>
        </is>
      </c>
      <c r="V12" s="99" t="inlineStr">
        <is>
          <t>Varies</t>
        </is>
      </c>
      <c r="W12" s="99" t="inlineStr">
        <is>
          <t>Varies</t>
        </is>
      </c>
      <c r="X12" s="99" t="inlineStr">
        <is>
          <t>Varies</t>
        </is>
      </c>
      <c r="Y12" s="46" t="inlineStr">
        <is>
          <t>HIGH</t>
        </is>
      </c>
      <c r="Z12" s="100" t="inlineStr">
        <is>
          <t>Market Rate Comp #1: No income restrictions, 1997 vintage (0 yr diff), N/A units, N/A from subject. Shows market-rate rents vs. affordable housing discount.</t>
        </is>
      </c>
      <c r="AA12" s="115" t="inlineStr">
        <is>
          <t>HUD FY2026 FMR - Ellis County, TX (limited market rate listings in Ennis)</t>
        </is>
      </c>
      <c r="AB12" s="134" t="n"/>
      <c r="AC12" s="136" t="n"/>
      <c r="AD12" s="136" t="n"/>
      <c r="AE12" s="136" t="n"/>
      <c r="AF12" s="136" t="n"/>
      <c r="AG12" s="136" t="n"/>
      <c r="AH12" s="136" t="n"/>
      <c r="AI12" s="136" t="n"/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n">
        <v>2</v>
      </c>
      <c r="B13" s="71" t="inlineStr">
        <is>
          <t>MARKET RATE</t>
        </is>
      </c>
      <c r="C13" s="68" t="inlineStr">
        <is>
          <t>Silverton Village</t>
        </is>
      </c>
      <c r="D13" s="101" t="inlineStr">
        <is>
          <t>3700 Fm-85</t>
        </is>
      </c>
      <c r="E13" s="101" t="inlineStr">
        <is>
          <t>Ennis</t>
        </is>
      </c>
      <c r="F13" s="101" t="inlineStr">
        <is>
          <t>TX</t>
        </is>
      </c>
      <c r="G13" s="101" t="inlineStr">
        <is>
          <t>75119</t>
        </is>
      </c>
      <c r="H13" s="101" t="inlineStr">
        <is>
          <t>1.2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N/A (Market Rate)</t>
        </is>
      </c>
      <c r="L13" s="146" t="n">
        <v>1497</v>
      </c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N/A (Market Rate)</t>
        </is>
      </c>
      <c r="P13" s="53" t="inlineStr">
        <is>
          <t>N/A (Market Rate)</t>
        </is>
      </c>
      <c r="Q13" s="102" t="inlineStr">
        <is>
          <t>N/A (Market Rate)</t>
        </is>
      </c>
      <c r="R13" s="102" t="n">
        <v>2010</v>
      </c>
      <c r="S13" s="102" t="inlineStr">
        <is>
          <t>N/A (Market Rate)</t>
        </is>
      </c>
      <c r="T13" s="102" t="inlineStr">
        <is>
          <t>Market Rate Comp #2: No income restrictions, 2010 vintage, Ennis TX 75119. 2BD $1,497 (2BD only — no 4BD market rate units available in this market)</t>
        </is>
      </c>
      <c r="U13" s="102" t="inlineStr">
        <is>
          <t>Apartments.com verified, May 2026</t>
        </is>
      </c>
      <c r="V13" s="102" t="inlineStr">
        <is>
          <t>Varies</t>
        </is>
      </c>
      <c r="W13" s="102" t="inlineStr">
        <is>
          <t>Varies</t>
        </is>
      </c>
      <c r="X13" s="102" t="inlineStr">
        <is>
          <t>Varies</t>
        </is>
      </c>
      <c r="Y13" s="47" t="inlineStr">
        <is>
          <t>HIGH</t>
        </is>
      </c>
      <c r="Z13" s="103" t="inlineStr">
        <is>
          <t>Market Rate Comp #2: No income restrictions, 1999 vintage (2 yr diff), 80 units, 12.0 mi from subject. Shows market-rate rents vs. affordable housing discount.</t>
        </is>
      </c>
      <c r="AA13" s="117" t="inlineStr">
        <is>
          <t>https://www.rentcafe.com/apartments-for-rent/us/tx/waxahachie/</t>
        </is>
      </c>
      <c r="AB13" s="134" t="n"/>
      <c r="AC13" s="136" t="n"/>
      <c r="AD13" s="136" t="n"/>
      <c r="AE13" s="136" t="n"/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n">
        <v>3</v>
      </c>
      <c r="B14" s="69" t="inlineStr">
        <is>
          <t>MARKET RATE</t>
        </is>
      </c>
      <c r="C14" s="66" t="inlineStr">
        <is>
          <t>The Willows</t>
        </is>
      </c>
      <c r="D14" s="95" t="inlineStr">
        <is>
          <t>2300 Yorkstown Dr</t>
        </is>
      </c>
      <c r="E14" s="95" t="inlineStr">
        <is>
          <t>Ennis</t>
        </is>
      </c>
      <c r="F14" s="95" t="inlineStr">
        <is>
          <t>TX</t>
        </is>
      </c>
      <c r="G14" s="95" t="inlineStr">
        <is>
          <t>75119</t>
        </is>
      </c>
      <c r="H14" s="95" t="inlineStr">
        <is>
          <t>1.5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N/A (Market Rate)</t>
        </is>
      </c>
      <c r="L14" s="146" t="n">
        <v>1424</v>
      </c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N/A (Market Rate)</t>
        </is>
      </c>
      <c r="P14" s="53" t="inlineStr">
        <is>
          <t>N/A (Market Rate)</t>
        </is>
      </c>
      <c r="Q14" s="96" t="inlineStr">
        <is>
          <t>N/A (Market Rate)</t>
        </is>
      </c>
      <c r="R14" s="96" t="n">
        <v>2008</v>
      </c>
      <c r="S14" s="96" t="inlineStr">
        <is>
          <t>N/A (Market Rate)</t>
        </is>
      </c>
      <c r="T14" s="96" t="inlineStr">
        <is>
          <t>Market Rate Comp #3: No income restrictions, 2008 vintage, Ennis TX 75119. 2BD $1,424 (2BD only — no 4BD market rate units available in this market)</t>
        </is>
      </c>
      <c r="U14" s="96" t="inlineStr">
        <is>
          <t>Apartments.com verified, May 2026</t>
        </is>
      </c>
      <c r="V14" s="96" t="inlineStr">
        <is>
          <t>Varies</t>
        </is>
      </c>
      <c r="W14" s="96" t="inlineStr">
        <is>
          <t>Varies</t>
        </is>
      </c>
      <c r="X14" s="96" t="inlineStr">
        <is>
          <t>Varies</t>
        </is>
      </c>
      <c r="Y14" s="45" t="inlineStr">
        <is>
          <t>MODERATE-HIGH</t>
        </is>
      </c>
      <c r="Z14" s="97" t="inlineStr">
        <is>
          <t>Market Rate Comp #3: No income restrictions, 1995 vintage (2 yr diff), 72 units, 28.0 mi from subject. Shows market-rate rents vs. affordable housing discount.</t>
        </is>
      </c>
      <c r="AA14" s="113" t="inlineStr">
        <is>
          <t>https://www.rentcafe.com/apartments-for-rent/us/tx/corsicana/</t>
        </is>
      </c>
      <c r="AB14" s="134" t="n"/>
      <c r="AC14" s="136" t="n"/>
      <c r="AD14" s="136" t="n"/>
      <c r="AE14" s="136" t="n"/>
      <c r="AF14" s="136" t="n"/>
      <c r="AG14" s="136" t="n"/>
      <c r="AH14" s="136" t="n"/>
      <c r="AI14" s="136" t="n"/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n">
        <v>4</v>
      </c>
      <c r="B15" s="69" t="inlineStr">
        <is>
          <t>MARKET RATE</t>
        </is>
      </c>
      <c r="C15" s="66" t="inlineStr">
        <is>
          <t>Spyglass of Ennis</t>
        </is>
      </c>
      <c r="D15" s="95" t="inlineStr">
        <is>
          <t>1803 W Ennis Ave</t>
        </is>
      </c>
      <c r="E15" s="95" t="inlineStr">
        <is>
          <t>Ennis</t>
        </is>
      </c>
      <c r="F15" s="95" t="inlineStr">
        <is>
          <t>TX</t>
        </is>
      </c>
      <c r="G15" s="95" t="inlineStr">
        <is>
          <t>75119</t>
        </is>
      </c>
      <c r="H15" s="95" t="inlineStr">
        <is>
          <t>0.9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N/A (Market Rate)</t>
        </is>
      </c>
      <c r="L15" s="146" t="n">
        <v>1559</v>
      </c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N/A (Market Rate)</t>
        </is>
      </c>
      <c r="P15" s="53" t="inlineStr">
        <is>
          <t>N/A (Market Rate)</t>
        </is>
      </c>
      <c r="Q15" s="96" t="inlineStr">
        <is>
          <t>N/A (Market Rate)</t>
        </is>
      </c>
      <c r="R15" s="96" t="n">
        <v>2012</v>
      </c>
      <c r="S15" s="96" t="inlineStr">
        <is>
          <t>N/A (Market Rate)</t>
        </is>
      </c>
      <c r="T15" s="96" t="inlineStr">
        <is>
          <t>Market Rate Comp #4: No income restrictions, 2012 vintage, Ennis TX 75119. 2BD $1,559 (2BD only — no 4BD market rate units available in this market)</t>
        </is>
      </c>
      <c r="U15" s="96" t="inlineStr">
        <is>
          <t>Apartments.com verified, May 2026</t>
        </is>
      </c>
      <c r="V15" s="96" t="inlineStr">
        <is>
          <t>Varies</t>
        </is>
      </c>
      <c r="W15" s="96" t="inlineStr">
        <is>
          <t>Varies</t>
        </is>
      </c>
      <c r="X15" s="96" t="inlineStr">
        <is>
          <t>Varies</t>
        </is>
      </c>
      <c r="Y15" s="45" t="inlineStr">
        <is>
          <t>MODERATE-HIGH</t>
        </is>
      </c>
      <c r="Z15" s="97" t="inlineStr">
        <is>
          <t>Market Rate Comp #4: No income restrictions, 1996 vintage (1 yr diff), 88 units, 20.0 mi from subject. Shows market-rate rents vs. affordable housing discount.</t>
        </is>
      </c>
      <c r="AA15" s="113" t="inlineStr">
        <is>
          <t>https://www.rentcafe.com/apartments-for-rent/us/tx/mansfield/</t>
        </is>
      </c>
      <c r="AB15" s="134" t="n"/>
      <c r="AC15" s="136" t="n"/>
      <c r="AD15" s="136" t="n"/>
      <c r="AE15" s="136" t="n"/>
      <c r="AF15" s="136" t="n"/>
      <c r="AG15" s="136" t="n"/>
      <c r="AH15" s="136" t="n"/>
      <c r="AI15" s="136" t="n"/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n">
        <v>5</v>
      </c>
      <c r="B16" s="82" t="inlineStr">
        <is>
          <t>MARKET RATE</t>
        </is>
      </c>
      <c r="C16" s="119" t="inlineStr">
        <is>
          <t>Townhouse Apartments</t>
        </is>
      </c>
      <c r="D16" s="120" t="inlineStr">
        <is>
          <t>1001 Biloxi Dr</t>
        </is>
      </c>
      <c r="E16" s="120" t="inlineStr">
        <is>
          <t>Ennis</t>
        </is>
      </c>
      <c r="F16" s="120" t="inlineStr">
        <is>
          <t>TX</t>
        </is>
      </c>
      <c r="G16" s="120" t="inlineStr">
        <is>
          <t>75119</t>
        </is>
      </c>
      <c r="H16" s="120" t="inlineStr">
        <is>
          <t>1.1 mi</t>
        </is>
      </c>
      <c r="I16" s="120" t="inlineStr">
        <is>
          <t>N/A (Market Rate)</t>
        </is>
      </c>
      <c r="J16" s="120" t="inlineStr">
        <is>
          <t>N/A (Market Rate)</t>
        </is>
      </c>
      <c r="K16" s="121" t="inlineStr">
        <is>
          <t>N/A (Market Rate)</t>
        </is>
      </c>
      <c r="L16" s="147" t="n">
        <v>1505</v>
      </c>
      <c r="M16" s="122" t="inlineStr">
        <is>
          <t>N/A (Market Rate)</t>
        </is>
      </c>
      <c r="N16" s="122" t="inlineStr">
        <is>
          <t>N/A (Market Rate)</t>
        </is>
      </c>
      <c r="O16" s="121" t="inlineStr">
        <is>
          <t>N/A (Market Rate)</t>
        </is>
      </c>
      <c r="P16" s="83" t="inlineStr">
        <is>
          <t>N/A (Market Rate)</t>
        </is>
      </c>
      <c r="Q16" s="122" t="inlineStr">
        <is>
          <t>N/A (Market Rate)</t>
        </is>
      </c>
      <c r="R16" s="122" t="n">
        <v>2000</v>
      </c>
      <c r="S16" s="122" t="inlineStr">
        <is>
          <t>N/A (Market Rate)</t>
        </is>
      </c>
      <c r="T16" s="122" t="inlineStr">
        <is>
          <t>Market Rate Comp #5: No income restrictions, 2000 vintage, Ennis TX 75119. 2BD $1,505 (2BD only — no 4BD market rate units available in this market)</t>
        </is>
      </c>
      <c r="U16" s="122" t="inlineStr">
        <is>
          <t>Apartments.com verified, May 2026</t>
        </is>
      </c>
      <c r="V16" s="122" t="inlineStr">
        <is>
          <t>N/A</t>
        </is>
      </c>
      <c r="W16" s="122" t="inlineStr">
        <is>
          <t>N/A</t>
        </is>
      </c>
      <c r="X16" s="122" t="inlineStr">
        <is>
          <t>N/A</t>
        </is>
      </c>
      <c r="Y16" s="84" t="inlineStr">
        <is>
          <t>BENCHMARK</t>
        </is>
      </c>
      <c r="Z16" s="123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124" t="inlineStr">
        <is>
          <t>HUD FMR Database (huduser.gov)</t>
        </is>
      </c>
      <c r="AB16" s="134" t="n"/>
      <c r="AC16" s="136" t="n"/>
      <c r="AD16" s="136" t="n"/>
      <c r="AE16" s="136" t="n"/>
      <c r="AF16" s="136" t="n"/>
      <c r="AG16" s="136" t="n"/>
      <c r="AH16" s="136" t="n"/>
      <c r="AI16" s="136" t="n"/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n">
        <v>6</v>
      </c>
      <c r="B17" s="88" t="inlineStr">
        <is>
          <t>MARKET RATE</t>
        </is>
      </c>
      <c r="C17" s="89" t="inlineStr">
        <is>
          <t>Emerald Garden Apartments</t>
        </is>
      </c>
      <c r="D17" s="87" t="inlineStr">
        <is>
          <t>901 N I-45</t>
        </is>
      </c>
      <c r="E17" s="87" t="inlineStr">
        <is>
          <t>Ennis</t>
        </is>
      </c>
      <c r="F17" s="87" t="inlineStr">
        <is>
          <t>TX</t>
        </is>
      </c>
      <c r="G17" s="87" t="inlineStr">
        <is>
          <t>75119</t>
        </is>
      </c>
      <c r="H17" s="87" t="inlineStr">
        <is>
          <t>1.8 mi</t>
        </is>
      </c>
      <c r="I17" s="87" t="inlineStr">
        <is>
          <t>N/A (Market Rate)</t>
        </is>
      </c>
      <c r="J17" s="87" t="inlineStr">
        <is>
          <t>N/A (Market Rate)</t>
        </is>
      </c>
      <c r="K17" s="90" t="inlineStr">
        <is>
          <t>N/A (Market Rate)</t>
        </is>
      </c>
      <c r="L17" s="148" t="n">
        <v>1328</v>
      </c>
      <c r="M17" s="92" t="inlineStr">
        <is>
          <t>N/A (Market Rate)</t>
        </is>
      </c>
      <c r="N17" s="92" t="inlineStr">
        <is>
          <t>N/A (Market Rate)</t>
        </is>
      </c>
      <c r="O17" s="90" t="inlineStr">
        <is>
          <t>N/A (Market Rate)</t>
        </is>
      </c>
      <c r="P17" s="91" t="inlineStr">
        <is>
          <t>N/A (Market Rate)</t>
        </is>
      </c>
      <c r="Q17" s="92" t="inlineStr">
        <is>
          <t>N/A (Market Rate)</t>
        </is>
      </c>
      <c r="R17" s="92" t="n">
        <v>2003</v>
      </c>
      <c r="S17" s="92" t="inlineStr">
        <is>
          <t>N/A (Market Rate)</t>
        </is>
      </c>
      <c r="T17" s="92" t="inlineStr">
        <is>
          <t>Market Rate Comp #6: No income restrictions, 2003 vintage, Ennis TX 75119. 2BD $1,328 (2BD only — no 4BD market rate units available in this market)</t>
        </is>
      </c>
      <c r="U17" s="92" t="inlineStr">
        <is>
          <t>Apartments.com verified, May 2026</t>
        </is>
      </c>
      <c r="V17" s="92" t="inlineStr">
        <is>
          <t>N/A</t>
        </is>
      </c>
      <c r="W17" s="92" t="inlineStr">
        <is>
          <t>N/A</t>
        </is>
      </c>
      <c r="X17" s="92" t="inlineStr">
        <is>
          <t>N/A</t>
        </is>
      </c>
      <c r="Y17" s="93" t="inlineStr">
        <is>
          <t>BENCHMARK</t>
        </is>
      </c>
      <c r="Z17" s="94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92" t="inlineStr">
        <is>
          <t>HUD FMR + Market Estimate</t>
        </is>
      </c>
      <c r="AB17" s="136" t="n"/>
      <c r="AC17" s="136" t="n"/>
      <c r="AD17" s="136" t="n"/>
      <c r="AE17" s="136" t="n"/>
      <c r="AF17" s="136" t="n"/>
      <c r="AG17" s="136" t="n"/>
      <c r="AH17" s="136" t="n"/>
      <c r="AI17" s="136" t="n"/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C19" s="136" t="n"/>
      <c r="AD19" s="136" t="n"/>
      <c r="AE19" s="136" t="n"/>
      <c r="AF19" s="136" t="n"/>
      <c r="AG19" s="136" t="n"/>
      <c r="AH19" s="136" t="n"/>
      <c r="AI19" s="136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Format="1" customHeight="1" s="2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Height="1" s="131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Height="1" s="131">
      <c r="A25" s="372" t="n"/>
      <c r="B25" s="201" t="inlineStr">
        <is>
          <t>2BD</t>
        </is>
      </c>
      <c r="C25" s="194" t="n"/>
      <c r="D25" s="200" t="n">
        <v>1457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Format="1" customHeight="1" s="2">
      <c r="A26" s="372" t="n"/>
      <c r="B26" s="201" t="inlineStr">
        <is>
          <t>4BD</t>
        </is>
      </c>
      <c r="C26" s="194" t="n"/>
      <c r="D26" s="200" t="n"/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8.1" customFormat="1" customHeight="1" s="2">
      <c r="A27" s="369" t="n"/>
      <c r="B27" s="369" t="n"/>
      <c r="C27" s="369" t="n"/>
      <c r="D27" s="369" t="n"/>
      <c r="E27" s="369" t="n"/>
      <c r="F27" s="369" t="n"/>
      <c r="G27" s="369" t="n"/>
      <c r="H27" s="369" t="n"/>
      <c r="I27" s="369" t="n"/>
      <c r="J27" s="369" t="n"/>
      <c r="K27" s="369" t="n"/>
      <c r="L27" s="134" t="n"/>
      <c r="M27" s="134" t="n"/>
      <c r="N27" s="134" t="n"/>
      <c r="O27" s="134" t="n"/>
      <c r="P27" s="134" t="n"/>
      <c r="Q27" s="134" t="n"/>
      <c r="R27" s="134" t="n"/>
      <c r="S27" s="134" t="n"/>
      <c r="T27" s="134" t="n"/>
      <c r="U27" s="134" t="n"/>
      <c r="V27" s="134" t="n"/>
      <c r="W27" s="134" t="n"/>
      <c r="X27" s="134" t="n"/>
      <c r="Y27" s="134" t="n"/>
      <c r="Z27" s="135" t="n"/>
      <c r="AA27" s="134" t="n"/>
      <c r="AB27" s="134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24.75" customFormat="1" customHeight="1" s="2">
      <c r="A28" s="302" t="n"/>
      <c r="B28" s="211" t="inlineStr">
        <is>
          <t>PMTS — Vouchers / FMR / UAP / NET</t>
        </is>
      </c>
      <c r="G28" s="365" t="n"/>
      <c r="H28" s="183" t="n"/>
      <c r="I28" s="183" t="n"/>
      <c r="J28" s="183" t="n"/>
      <c r="K28" s="302" t="n"/>
      <c r="L28" s="302" t="n"/>
      <c r="M28" s="302" t="n"/>
      <c r="N28" s="302" t="n"/>
      <c r="O28" s="302" t="n"/>
      <c r="P28" s="302" t="n"/>
      <c r="Q28" s="302" t="n"/>
      <c r="R28" s="302" t="n"/>
      <c r="S28" s="302" t="n"/>
      <c r="T28" s="302" t="n"/>
      <c r="U28" s="302" t="n"/>
      <c r="V28" s="302" t="n"/>
      <c r="W28" s="302" t="n"/>
      <c r="X28" s="302" t="n"/>
      <c r="Y28" s="302" t="n"/>
      <c r="Z28" s="302" t="n"/>
      <c r="AA28" s="353" t="n"/>
      <c r="AB28" s="302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15.95" customFormat="1" customHeight="1" s="2">
      <c r="A29" s="302" t="n"/>
      <c r="B29" s="226" t="n"/>
      <c r="C29" s="213" t="inlineStr">
        <is>
          <t>MKT</t>
        </is>
      </c>
      <c r="D29" s="213" t="inlineStr">
        <is>
          <t>VCH</t>
        </is>
      </c>
      <c r="E29" s="214" t="inlineStr">
        <is>
          <t>FMR</t>
        </is>
      </c>
      <c r="F29" s="215" t="inlineStr">
        <is>
          <t>UAP</t>
        </is>
      </c>
      <c r="G29" s="216" t="inlineStr">
        <is>
          <t>NET</t>
        </is>
      </c>
      <c r="H29" s="183" t="n"/>
      <c r="I29" s="183" t="n"/>
      <c r="J29" s="183" t="n"/>
      <c r="K29" s="302" t="n"/>
      <c r="L29" s="302" t="n"/>
      <c r="M29" s="302" t="n"/>
      <c r="N29" s="302" t="n"/>
      <c r="O29" s="302" t="n"/>
      <c r="P29" s="302" t="n"/>
      <c r="Q29" s="302" t="n"/>
      <c r="R29" s="302" t="n"/>
      <c r="S29" s="302" t="n"/>
      <c r="T29" s="302" t="n"/>
      <c r="U29" s="302" t="n"/>
      <c r="V29" s="302" t="n"/>
      <c r="W29" s="302" t="n"/>
      <c r="X29" s="302" t="n"/>
      <c r="Y29" s="302" t="n"/>
      <c r="Z29" s="302" t="n"/>
      <c r="AA29" s="353" t="n"/>
      <c r="AB29" s="302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24.75" customHeight="1" s="131">
      <c r="A30" s="372" t="n"/>
      <c r="B30" s="217" t="inlineStr">
        <is>
          <t>2BD</t>
        </is>
      </c>
      <c r="C30" s="197" t="n">
        <v>0</v>
      </c>
      <c r="D30" s="197" t="n">
        <v>0</v>
      </c>
      <c r="E30" s="198" t="n">
        <v>1520</v>
      </c>
      <c r="F30" s="199" t="n">
        <v>477</v>
      </c>
      <c r="G30" s="218" t="n">
        <v>1043</v>
      </c>
      <c r="H30" s="183" t="n"/>
      <c r="I30" s="183" t="n"/>
      <c r="J30" s="183" t="n"/>
      <c r="K30" s="302" t="n"/>
      <c r="L30" s="302" t="n"/>
      <c r="M30" s="302" t="n"/>
      <c r="N30" s="302" t="n"/>
      <c r="O30" s="343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24.75" customHeight="1" s="131">
      <c r="A31" s="372" t="n"/>
      <c r="B31" s="217" t="inlineStr">
        <is>
          <t>4BD</t>
        </is>
      </c>
      <c r="C31" s="197" t="n">
        <v>0</v>
      </c>
      <c r="D31" s="197" t="n">
        <v>1618</v>
      </c>
      <c r="E31" s="198" t="n">
        <v>2440</v>
      </c>
      <c r="F31" s="199" t="n">
        <v>477</v>
      </c>
      <c r="G31" s="218" t="n">
        <v>1963</v>
      </c>
      <c r="H31" s="183" t="n"/>
      <c r="I31" s="183" t="n"/>
      <c r="J31" s="183" t="n"/>
      <c r="K31" s="302" t="n"/>
      <c r="L31" s="302" t="n"/>
      <c r="M31" s="302" t="n"/>
      <c r="N31" s="302" t="n"/>
      <c r="O31" s="343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8.1" customFormat="1" customHeight="1" s="2">
      <c r="A32" s="369" t="n"/>
      <c r="B32" s="369" t="n"/>
      <c r="C32" s="381" t="n"/>
      <c r="D32" s="381" t="n"/>
      <c r="E32" s="381" t="n"/>
      <c r="F32" s="381" t="n"/>
      <c r="G32" s="369" t="n"/>
      <c r="H32" s="369" t="n"/>
      <c r="I32" s="369" t="n"/>
      <c r="J32" s="369" t="n"/>
      <c r="K32" s="369" t="n"/>
      <c r="L32" s="134" t="n"/>
      <c r="M32" s="134" t="n"/>
      <c r="N32" s="134" t="n"/>
      <c r="O32" s="134" t="n"/>
      <c r="P32" s="134" t="n"/>
      <c r="Q32" s="134" t="n"/>
      <c r="R32" s="134" t="n"/>
      <c r="S32" s="134" t="n"/>
      <c r="T32" s="134" t="n"/>
      <c r="U32" s="134" t="n"/>
      <c r="V32" s="134" t="n"/>
      <c r="W32" s="134" t="n"/>
      <c r="X32" s="134" t="n"/>
      <c r="Y32" s="134" t="n"/>
      <c r="Z32" s="135" t="n"/>
      <c r="AA32" s="134" t="n"/>
      <c r="AB32" s="134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24.75" customFormat="1" customHeight="1" s="2">
      <c r="A33" s="302" t="n"/>
      <c r="B33" s="366" t="inlineStr">
        <is>
          <t>LIHTC, UAP, NET</t>
        </is>
      </c>
      <c r="C33" s="358" t="n"/>
      <c r="D33" s="358" t="n"/>
      <c r="E33" s="358" t="n"/>
      <c r="F33" s="358" t="n"/>
      <c r="G33" s="359" t="n"/>
      <c r="H33" s="183" t="n"/>
      <c r="I33" s="183" t="n"/>
      <c r="J33" s="183" t="n"/>
      <c r="K33" s="302" t="n"/>
      <c r="L33" s="302" t="n"/>
      <c r="M33" s="302" t="n"/>
      <c r="N33" s="302" t="n"/>
      <c r="O33" s="302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16.5" customFormat="1" customHeight="1" s="2">
      <c r="A34" s="372" t="n"/>
      <c r="B34" s="226" t="n"/>
      <c r="C34" s="228" t="inlineStr">
        <is>
          <t>LIHTC/MKT</t>
        </is>
      </c>
      <c r="D34" s="228" t="inlineStr">
        <is>
          <t>50%</t>
        </is>
      </c>
      <c r="E34" s="215" t="inlineStr">
        <is>
          <t>UAP</t>
        </is>
      </c>
      <c r="F34" s="216" t="inlineStr">
        <is>
          <t>NET</t>
        </is>
      </c>
      <c r="G34" s="183" t="n"/>
      <c r="H34" s="183" t="n"/>
      <c r="I34" s="183" t="n"/>
      <c r="J34" s="183" t="n"/>
      <c r="K34" s="302" t="n"/>
      <c r="L34" s="302" t="n"/>
      <c r="M34" s="302" t="n"/>
      <c r="N34" s="302" t="n"/>
      <c r="O34" s="343" t="n"/>
      <c r="P34" s="302" t="n"/>
      <c r="Q34" s="302" t="n"/>
      <c r="R34" s="302" t="n"/>
      <c r="S34" s="302" t="n"/>
      <c r="T34" s="302" t="n"/>
      <c r="U34" s="302" t="n"/>
      <c r="V34" s="302" t="n"/>
      <c r="W34" s="302" t="n"/>
      <c r="X34" s="302" t="n"/>
      <c r="Y34" s="302" t="n"/>
      <c r="Z34" s="302" t="n"/>
      <c r="AA34" s="353" t="n"/>
      <c r="AB34" s="302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24.75" customFormat="1" customHeight="1" s="2">
      <c r="A35" s="372" t="n"/>
      <c r="B35" s="224" t="inlineStr">
        <is>
          <t>4BD</t>
        </is>
      </c>
      <c r="C35" s="225" t="n">
        <v>1746</v>
      </c>
      <c r="D35" s="225" t="n">
        <v>1269</v>
      </c>
      <c r="E35" s="225" t="n">
        <v>477</v>
      </c>
      <c r="F35" s="223" t="n">
        <v>792</v>
      </c>
      <c r="G35" s="183" t="n"/>
      <c r="H35" s="183" t="n"/>
      <c r="I35" s="183" t="n"/>
      <c r="J35" s="183" t="n"/>
      <c r="K35" s="302" t="n"/>
      <c r="L35" s="302" t="n"/>
      <c r="M35" s="302" t="n"/>
      <c r="N35" s="302" t="n"/>
      <c r="O35" s="343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18" customFormat="1" customHeight="1" s="2">
      <c r="A36" s="369" t="n"/>
      <c r="B36" s="381" t="n"/>
      <c r="C36" s="381" t="n"/>
      <c r="D36" s="381" t="n"/>
      <c r="E36" s="381" t="n"/>
      <c r="F36" s="369" t="n"/>
      <c r="G36" s="369" t="n"/>
      <c r="H36" s="369" t="n"/>
      <c r="I36" s="369" t="n"/>
      <c r="J36" s="369" t="n"/>
      <c r="K36" s="369" t="n"/>
      <c r="L36" s="134" t="n"/>
      <c r="M36" s="134" t="n"/>
      <c r="N36" s="134" t="n"/>
      <c r="O36" s="134" t="n"/>
      <c r="P36" s="134" t="n"/>
      <c r="Q36" s="134" t="n"/>
      <c r="R36" s="134" t="n"/>
      <c r="S36" s="134" t="n"/>
      <c r="T36" s="134" t="n"/>
      <c r="U36" s="134" t="n"/>
      <c r="V36" s="134" t="n"/>
      <c r="W36" s="134" t="n"/>
      <c r="X36" s="134" t="n"/>
      <c r="Y36" s="134" t="n"/>
      <c r="Z36" s="135" t="n"/>
      <c r="AA36" s="134" t="n"/>
      <c r="AB36" s="134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18" customFormat="1" customHeight="1" s="2">
      <c r="A37" s="369" t="n"/>
      <c r="B37" s="369" t="n"/>
      <c r="C37" s="431" t="inlineStr">
        <is>
          <t>LIHTC/MKT</t>
        </is>
      </c>
      <c r="D37" s="431" t="inlineStr">
        <is>
          <t>60%</t>
        </is>
      </c>
      <c r="E37" s="432" t="inlineStr">
        <is>
          <t>UAP</t>
        </is>
      </c>
      <c r="F37" s="386" t="inlineStr">
        <is>
          <t>NET</t>
        </is>
      </c>
      <c r="G37" s="369" t="n"/>
      <c r="H37" s="369" t="n"/>
      <c r="I37" s="369" t="n"/>
      <c r="J37" s="369" t="n"/>
      <c r="K37" s="369" t="n"/>
      <c r="L37" s="134" t="n"/>
      <c r="M37" s="134" t="n"/>
      <c r="N37" s="134" t="n"/>
      <c r="O37" s="134" t="n"/>
      <c r="P37" s="134" t="n"/>
      <c r="Q37" s="134" t="n"/>
      <c r="R37" s="134" t="n"/>
      <c r="S37" s="134" t="n"/>
      <c r="T37" s="134" t="n"/>
      <c r="U37" s="134" t="n"/>
      <c r="V37" s="134" t="n"/>
      <c r="W37" s="134" t="n"/>
      <c r="X37" s="134" t="n"/>
      <c r="Y37" s="134" t="n"/>
      <c r="Z37" s="135" t="n"/>
      <c r="AA37" s="134" t="n"/>
      <c r="AB37" s="134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24.75" customHeight="1" s="131">
      <c r="A38" s="372" t="n"/>
      <c r="B38" s="224" t="inlineStr">
        <is>
          <t>2BD</t>
        </is>
      </c>
      <c r="C38" s="225" t="n">
        <v>1626</v>
      </c>
      <c r="D38" s="225" t="n">
        <v>1275</v>
      </c>
      <c r="E38" s="225" t="n">
        <v>477</v>
      </c>
      <c r="F38" s="223" t="n">
        <v>798</v>
      </c>
      <c r="G38" s="183" t="n"/>
      <c r="H38" s="183" t="n"/>
      <c r="I38" s="183" t="n"/>
      <c r="J38" s="183" t="n"/>
      <c r="K38" s="302" t="n"/>
      <c r="L38" s="302" t="n"/>
      <c r="M38" s="302" t="n"/>
      <c r="N38" s="302" t="n"/>
      <c r="O38" s="343" t="n"/>
      <c r="P38" s="302" t="n"/>
      <c r="Q38" s="302" t="n"/>
      <c r="R38" s="302" t="n"/>
      <c r="S38" s="302" t="n"/>
      <c r="T38" s="302" t="n"/>
      <c r="U38" s="302" t="n"/>
      <c r="V38" s="302" t="n"/>
      <c r="W38" s="302" t="n"/>
      <c r="X38" s="302" t="n"/>
      <c r="Y38" s="302" t="n"/>
      <c r="Z38" s="302" t="n"/>
      <c r="AA38" s="353" t="n"/>
      <c r="AB38" s="302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24.75" customHeight="1" s="131">
      <c r="A39" s="372" t="n"/>
      <c r="B39" s="224" t="inlineStr">
        <is>
          <t>4BD</t>
        </is>
      </c>
      <c r="C39" s="225" t="n">
        <v>2095</v>
      </c>
      <c r="D39" s="225" t="n">
        <v>1618</v>
      </c>
      <c r="E39" s="225" t="n">
        <v>477</v>
      </c>
      <c r="F39" s="223" t="n">
        <v>1141</v>
      </c>
      <c r="G39" s="183" t="n"/>
      <c r="H39" s="183" t="n"/>
      <c r="I39" s="183" t="n"/>
      <c r="J39" s="183" t="n"/>
      <c r="K39" s="302" t="n"/>
      <c r="L39" s="302" t="n"/>
      <c r="M39" s="302" t="n"/>
      <c r="N39" s="302" t="n"/>
      <c r="O39" s="343" t="n"/>
      <c r="P39" s="302" t="n"/>
      <c r="Q39" s="302" t="n"/>
      <c r="R39" s="302" t="n"/>
      <c r="S39" s="302" t="n"/>
      <c r="T39" s="302" t="n"/>
      <c r="U39" s="302" t="n"/>
      <c r="V39" s="302" t="n"/>
      <c r="W39" s="302" t="n"/>
      <c r="X39" s="302" t="n"/>
      <c r="Y39" s="302" t="n"/>
      <c r="Z39" s="302" t="n"/>
      <c r="AA39" s="353" t="n"/>
      <c r="AB39" s="302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ht="18" customFormat="1" customHeight="1" s="2">
      <c r="A40" s="372" t="n"/>
      <c r="B40" s="392" t="n"/>
      <c r="C40" s="392" t="n"/>
      <c r="D40" s="369" t="n"/>
      <c r="E40" s="369" t="n"/>
      <c r="F40" s="369" t="n"/>
      <c r="G40" s="369" t="n"/>
      <c r="H40" s="369" t="n"/>
      <c r="I40" s="369" t="n"/>
      <c r="J40" s="369" t="n"/>
      <c r="K40" s="369" t="n"/>
      <c r="L40" s="136" t="n"/>
      <c r="M40" s="136" t="n"/>
      <c r="N40" s="136" t="n"/>
      <c r="O40" s="136" t="n"/>
      <c r="P40" s="136" t="n"/>
      <c r="Q40" s="136" t="n"/>
      <c r="R40" s="136" t="n"/>
      <c r="S40" s="136" t="n"/>
      <c r="T40" s="136" t="n"/>
      <c r="U40" s="136" t="n"/>
      <c r="V40" s="136" t="n"/>
      <c r="W40" s="136" t="n"/>
      <c r="X40" s="136" t="n"/>
      <c r="Y40" s="136" t="n"/>
      <c r="Z40" s="136" t="n"/>
      <c r="AA40" s="136" t="n"/>
      <c r="AB40" s="136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ht="18" customFormat="1" customHeight="1" s="2">
      <c r="A41" s="369" t="n"/>
      <c r="B41" s="371" t="n"/>
      <c r="C41" s="371" t="n"/>
      <c r="D41" s="371" t="n"/>
      <c r="E41" s="371" t="n"/>
      <c r="F41" s="371" t="n"/>
      <c r="G41" s="369" t="n"/>
      <c r="H41" s="369" t="n"/>
      <c r="I41" s="369" t="n"/>
      <c r="J41" s="369" t="n"/>
      <c r="K41" s="369" t="n"/>
      <c r="L41" s="136" t="n"/>
      <c r="M41" s="136" t="n"/>
      <c r="N41" s="136" t="n"/>
      <c r="O41" s="136" t="n"/>
      <c r="P41" s="136" t="n"/>
      <c r="Q41" s="136" t="n"/>
      <c r="R41" s="136" t="n"/>
      <c r="S41" s="136" t="n"/>
      <c r="T41" s="136" t="n"/>
      <c r="U41" s="136" t="n"/>
      <c r="V41" s="136" t="n"/>
      <c r="W41" s="136" t="n"/>
      <c r="X41" s="136" t="n"/>
      <c r="Y41" s="136" t="n"/>
      <c r="Z41" s="136" t="n"/>
      <c r="AA41" s="136" t="n"/>
      <c r="AB41" s="136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ht="24.75" customFormat="1" customHeight="1" s="2">
      <c r="A42" s="302" t="n"/>
      <c r="B42" s="207" t="inlineStr">
        <is>
          <t>HAP, CoStar, NET</t>
        </is>
      </c>
      <c r="H42" s="183" t="n"/>
      <c r="I42" s="183" t="n"/>
      <c r="J42" s="183" t="n"/>
      <c r="K42" s="302" t="n"/>
      <c r="L42" s="302" t="n"/>
      <c r="M42" s="302" t="n"/>
      <c r="N42" s="302" t="n"/>
      <c r="O42" s="302" t="n"/>
      <c r="P42" s="302" t="n"/>
      <c r="Q42" s="302" t="n"/>
      <c r="R42" s="302" t="n"/>
      <c r="S42" s="302" t="n"/>
      <c r="T42" s="302" t="n"/>
      <c r="U42" s="302" t="n"/>
      <c r="V42" s="302" t="n"/>
      <c r="W42" s="302" t="n"/>
      <c r="X42" s="302" t="n"/>
      <c r="Y42" s="302" t="n"/>
      <c r="Z42" s="302" t="n"/>
      <c r="AA42" s="353" t="n"/>
      <c r="AB42" s="302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ht="15.95" customFormat="1" customHeight="1" s="2">
      <c r="A43" s="302" t="n"/>
      <c r="B43" s="227" t="n"/>
      <c r="C43" s="208" t="inlineStr">
        <is>
          <t>HAP</t>
        </is>
      </c>
      <c r="D43" s="209" t="inlineStr">
        <is>
          <t>CoStar</t>
        </is>
      </c>
      <c r="E43" s="302" t="n"/>
      <c r="F43" s="302" t="n"/>
      <c r="G43" s="302" t="n"/>
      <c r="H43" s="183" t="n"/>
      <c r="I43" s="183" t="n"/>
      <c r="J43" s="183" t="n"/>
      <c r="K43" s="302" t="n"/>
      <c r="L43" s="302" t="n"/>
      <c r="M43" s="302" t="n"/>
      <c r="N43" s="302" t="n"/>
      <c r="O43" s="302" t="n"/>
      <c r="P43" s="302" t="n"/>
      <c r="Q43" s="302" t="n"/>
      <c r="R43" s="302" t="n"/>
      <c r="S43" s="302" t="n"/>
      <c r="T43" s="302" t="n"/>
      <c r="U43" s="302" t="n"/>
      <c r="V43" s="302" t="n"/>
      <c r="W43" s="302" t="n"/>
      <c r="X43" s="302" t="n"/>
      <c r="Y43" s="302" t="n"/>
      <c r="Z43" s="302" t="n"/>
      <c r="AA43" s="353" t="n"/>
      <c r="AB43" s="302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ht="24.75" customHeight="1" s="131">
      <c r="A44" s="302" t="n"/>
      <c r="B44" s="196" t="inlineStr">
        <is>
          <t>2BD</t>
        </is>
      </c>
      <c r="C44" s="199" t="n">
        <v>0</v>
      </c>
      <c r="D44" s="198" t="n">
        <v>1368</v>
      </c>
      <c r="E44" s="183" t="n"/>
      <c r="F44" s="183" t="n"/>
      <c r="G44" s="183" t="n"/>
      <c r="H44" s="183" t="n"/>
      <c r="I44" s="183" t="n"/>
      <c r="J44" s="183" t="n"/>
      <c r="K44" s="302" t="n"/>
      <c r="L44" s="302" t="n"/>
      <c r="M44" s="302" t="n"/>
      <c r="N44" s="302" t="n"/>
      <c r="O44" s="302" t="n"/>
      <c r="P44" s="302" t="n"/>
      <c r="Q44" s="302" t="n"/>
      <c r="R44" s="302" t="n"/>
      <c r="S44" s="302" t="n"/>
      <c r="T44" s="302" t="n"/>
      <c r="U44" s="302" t="n"/>
      <c r="V44" s="302" t="n"/>
      <c r="W44" s="302" t="n"/>
      <c r="X44" s="302" t="n"/>
      <c r="Y44" s="302" t="n"/>
      <c r="Z44" s="302" t="n"/>
      <c r="AA44" s="353" t="n"/>
      <c r="AB44" s="302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ht="24.75" customHeight="1" s="131">
      <c r="A45" s="302" t="n"/>
      <c r="B45" s="196" t="inlineStr">
        <is>
          <t>4BD</t>
        </is>
      </c>
      <c r="C45" s="199" t="n">
        <v>0</v>
      </c>
      <c r="D45" s="198" t="n">
        <v>1766</v>
      </c>
      <c r="E45" s="183" t="n"/>
      <c r="F45" s="183" t="n"/>
      <c r="G45" s="183" t="n"/>
      <c r="H45" s="183" t="n"/>
      <c r="I45" s="183" t="n"/>
      <c r="J45" s="183" t="n"/>
      <c r="K45" s="302" t="n"/>
      <c r="L45" s="302" t="n"/>
      <c r="M45" s="302" t="n"/>
      <c r="N45" s="302" t="n"/>
      <c r="O45" s="302" t="n"/>
      <c r="P45" s="302" t="n"/>
      <c r="Q45" s="302" t="n"/>
      <c r="R45" s="302" t="n"/>
      <c r="S45" s="302" t="n"/>
      <c r="T45" s="302" t="n"/>
      <c r="U45" s="302" t="n"/>
      <c r="V45" s="302" t="n"/>
      <c r="W45" s="302" t="n"/>
      <c r="X45" s="302" t="n"/>
      <c r="Y45" s="302" t="n"/>
      <c r="Z45" s="302" t="n"/>
      <c r="AA45" s="353" t="n"/>
      <c r="AB45" s="302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s="131">
      <c r="A46" s="369" t="n"/>
      <c r="B46" s="369" t="n"/>
      <c r="C46" s="369" t="n"/>
      <c r="D46" s="369" t="n"/>
      <c r="E46" s="369" t="n"/>
      <c r="F46" s="369" t="n"/>
      <c r="G46" s="369" t="n"/>
      <c r="H46" s="369" t="n"/>
      <c r="I46" s="369" t="n"/>
      <c r="J46" s="369" t="n"/>
      <c r="K46" s="369" t="n"/>
      <c r="L46" s="136" t="n"/>
      <c r="M46" s="136" t="n"/>
      <c r="N46" s="136" t="n"/>
      <c r="O46" s="136" t="n"/>
      <c r="P46" s="136" t="n"/>
      <c r="Q46" s="136" t="n"/>
      <c r="R46" s="136" t="n"/>
      <c r="S46" s="136" t="n"/>
      <c r="T46" s="136" t="n"/>
      <c r="U46" s="136" t="n"/>
      <c r="V46" s="136" t="n"/>
      <c r="W46" s="136" t="n"/>
      <c r="X46" s="136" t="n"/>
      <c r="Y46" s="136" t="n"/>
      <c r="Z46" s="136" t="n"/>
      <c r="AA46" s="136" t="n"/>
      <c r="AB46" s="136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s="131">
      <c r="A47" s="369" t="n"/>
      <c r="B47" s="369" t="n"/>
      <c r="C47" s="369" t="n"/>
      <c r="D47" s="369" t="n"/>
      <c r="E47" s="369" t="n"/>
      <c r="F47" s="369" t="n"/>
      <c r="G47" s="369" t="n"/>
      <c r="H47" s="369" t="n"/>
      <c r="I47" s="369" t="n"/>
      <c r="J47" s="369" t="n"/>
      <c r="K47" s="369" t="n"/>
      <c r="L47" s="136" t="n"/>
      <c r="M47" s="136" t="n"/>
      <c r="N47" s="136" t="n"/>
      <c r="O47" s="136" t="n"/>
      <c r="P47" s="136" t="n"/>
      <c r="Q47" s="136" t="n"/>
      <c r="R47" s="136" t="n"/>
      <c r="S47" s="136" t="n"/>
      <c r="T47" s="136" t="n"/>
      <c r="U47" s="136" t="n"/>
      <c r="V47" s="136" t="n"/>
      <c r="W47" s="136" t="n"/>
      <c r="X47" s="136" t="n"/>
      <c r="Y47" s="136" t="n"/>
      <c r="Z47" s="136" t="n"/>
      <c r="AA47" s="136" t="n"/>
      <c r="AB47" s="136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s="131">
      <c r="A48" s="369" t="n"/>
      <c r="B48" s="369" t="n"/>
      <c r="C48" s="369" t="n"/>
      <c r="D48" s="369" t="n"/>
      <c r="E48" s="369" t="n"/>
      <c r="F48" s="369" t="n"/>
      <c r="G48" s="369" t="n"/>
      <c r="H48" s="369" t="n"/>
      <c r="I48" s="369" t="n"/>
      <c r="J48" s="369" t="n"/>
      <c r="K48" s="369" t="n"/>
      <c r="L48" s="136" t="n"/>
      <c r="M48" s="136" t="n"/>
      <c r="N48" s="136" t="n"/>
      <c r="O48" s="136" t="n"/>
      <c r="P48" s="136" t="n"/>
      <c r="Q48" s="136" t="n"/>
      <c r="R48" s="136" t="n"/>
      <c r="S48" s="136" t="n"/>
      <c r="T48" s="136" t="n"/>
      <c r="U48" s="136" t="n"/>
      <c r="V48" s="136" t="n"/>
      <c r="W48" s="136" t="n"/>
      <c r="X48" s="136" t="n"/>
      <c r="Y48" s="136" t="n"/>
      <c r="Z48" s="136" t="n"/>
      <c r="AA48" s="136" t="n"/>
      <c r="AB48" s="136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s="131">
      <c r="A49" s="369" t="n"/>
      <c r="B49" s="369" t="n"/>
      <c r="C49" s="369" t="n"/>
      <c r="D49" s="369" t="n"/>
      <c r="E49" s="369" t="n"/>
      <c r="F49" s="369" t="n"/>
      <c r="G49" s="369" t="n"/>
      <c r="H49" s="369" t="n"/>
      <c r="I49" s="369" t="n"/>
      <c r="J49" s="369" t="n"/>
      <c r="K49" s="369" t="n"/>
      <c r="L49" s="136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6" t="n"/>
      <c r="Y49" s="136" t="n"/>
      <c r="Z49" s="136" t="n"/>
      <c r="AA49" s="136" t="n"/>
      <c r="AB49" s="136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s="131">
      <c r="A50" s="369" t="n"/>
      <c r="B50" s="369" t="n"/>
      <c r="C50" s="369" t="n"/>
      <c r="D50" s="369" t="n"/>
      <c r="E50" s="369" t="n"/>
      <c r="F50" s="369" t="n"/>
      <c r="G50" s="369" t="n"/>
      <c r="H50" s="369" t="n"/>
      <c r="I50" s="369" t="n"/>
      <c r="J50" s="369" t="n"/>
      <c r="K50" s="369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  <row r="51"/>
    <row r="52"/>
    <row r="53"/>
  </sheetData>
  <mergeCells count="9">
    <mergeCell ref="B4:AB4"/>
    <mergeCell ref="B42:G42"/>
    <mergeCell ref="B28:G28"/>
    <mergeCell ref="B22:G22"/>
    <mergeCell ref="B23:G23"/>
    <mergeCell ref="B20:I20"/>
    <mergeCell ref="B2:AB2"/>
    <mergeCell ref="B3:AB3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W53"/>
  <sheetViews>
    <sheetView workbookViewId="0">
      <pane ySplit="1" topLeftCell="A14" activePane="bottomLeft" state="frozen"/>
      <selection pane="bottomLeft" activeCell="G23" sqref="G23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LEXINGTON ARMS | GREEN = Affordable Comps | BLUE = Market Rate Comps</t>
        </is>
      </c>
      <c r="B3" s="363" t="n"/>
      <c r="AB3" s="363" t="n"/>
      <c r="AC3" s="136" t="n"/>
      <c r="AD3" s="136" t="n"/>
      <c r="AE3" s="136" t="n"/>
      <c r="AF3" s="136" t="n"/>
      <c r="AG3" s="136" t="n"/>
      <c r="AH3" s="136" t="n"/>
      <c r="AI3" s="136" t="n"/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Lexington Arms | 418 Lexington Dr, Waxahachie, TX 75165 | 61 units | Program: LIHTC | Bedroom Mix: 2BR / 4BR | County AMI: $117,300 | FMR Area: Dallas-Fort Worth MSA</t>
        </is>
      </c>
      <c r="B4" s="363" t="n"/>
      <c r="AB4" s="363" t="n"/>
      <c r="AC4" s="136" t="n"/>
      <c r="AD4" s="136" t="n"/>
      <c r="AE4" s="136" t="n"/>
      <c r="AF4" s="136" t="n"/>
      <c r="AG4" s="136" t="n"/>
      <c r="AH4" s="136" t="n"/>
      <c r="AI4" s="136" t="n"/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B5" s="341" t="n"/>
      <c r="AC5" s="136" t="n"/>
      <c r="AD5" s="136" t="n"/>
      <c r="AE5" s="136" t="n"/>
      <c r="AF5" s="136" t="n"/>
      <c r="AG5" s="136" t="n"/>
      <c r="AH5" s="136" t="n"/>
      <c r="AI5" s="136" t="n"/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2BD 50% AMI ($)</t>
        </is>
      </c>
      <c r="J6" s="280" t="inlineStr">
        <is>
          <t>2BD 60% AMI ($)</t>
        </is>
      </c>
      <c r="K6" s="280" t="inlineStr">
        <is>
          <t>2BR FMR ($)</t>
        </is>
      </c>
      <c r="L6" s="335" t="inlineStr">
        <is>
          <t>2BR Actual ($)</t>
        </is>
      </c>
      <c r="M6" s="281" t="inlineStr">
        <is>
          <t>4BD 50% AMI ($)</t>
        </is>
      </c>
      <c r="N6" s="280" t="inlineStr">
        <is>
          <t>4BD 60% AMI ($)</t>
        </is>
      </c>
      <c r="O6" s="280" t="inlineStr">
        <is>
          <t>4BR FMR ($)</t>
        </is>
      </c>
      <c r="P6" s="335" t="inlineStr">
        <is>
          <t>4BR Actual ($)</t>
        </is>
      </c>
      <c r="Q6" s="281" t="inlineStr">
        <is>
          <t># Units</t>
        </is>
      </c>
      <c r="R6" s="280" t="inlineStr">
        <is>
          <t>Year Built</t>
        </is>
      </c>
      <c r="S6" s="280" t="inlineStr">
        <is>
          <t>Yr Diff</t>
        </is>
      </c>
      <c r="T6" s="339" t="inlineStr">
        <is>
          <t>Utilities Incl.</t>
        </is>
      </c>
      <c r="U6" s="339" t="inlineStr">
        <is>
          <t>Pet Friendly</t>
        </is>
      </c>
      <c r="V6" s="339" t="inlineStr">
        <is>
          <t>Gated</t>
        </is>
      </c>
      <c r="W6" s="339" t="inlineStr">
        <is>
          <t>Pool</t>
        </is>
      </c>
      <c r="X6" s="339" t="inlineStr">
        <is>
          <t>W/D In-Unit</t>
        </is>
      </c>
      <c r="Y6" s="339" t="inlineStr">
        <is>
          <t>Competition Level</t>
        </is>
      </c>
      <c r="Z6" s="336" t="inlineStr">
        <is>
          <t>Why Competitive</t>
        </is>
      </c>
      <c r="AA6" s="340" t="inlineStr">
        <is>
          <t>Data Source</t>
        </is>
      </c>
      <c r="AB6" s="342" t="n"/>
      <c r="AC6" s="136" t="n"/>
      <c r="AD6" s="136" t="n"/>
      <c r="AE6" s="136" t="n"/>
      <c r="AF6" s="136" t="n"/>
      <c r="AG6" s="136" t="n"/>
      <c r="AH6" s="136" t="n"/>
      <c r="AI6" s="136" t="n"/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Lexington Arms (SUBJECT)</t>
        </is>
      </c>
      <c r="D7" s="174" t="inlineStr">
        <is>
          <t>418 Lexington Dr</t>
        </is>
      </c>
      <c r="E7" s="174" t="inlineStr">
        <is>
          <t>Waxahachie</t>
        </is>
      </c>
      <c r="F7" s="174" t="inlineStr">
        <is>
          <t>TX</t>
        </is>
      </c>
      <c r="G7" s="174" t="inlineStr">
        <is>
          <t>75165</t>
        </is>
      </c>
      <c r="H7" s="174" t="inlineStr">
        <is>
          <t>0.0 mi</t>
        </is>
      </c>
      <c r="I7" s="174" t="inlineStr">
        <is>
          <t>$4,400</t>
        </is>
      </c>
      <c r="J7" s="174" t="inlineStr">
        <is>
          <t>$5,280</t>
        </is>
      </c>
      <c r="K7" s="174" t="inlineStr">
        <is>
          <t>$1,931</t>
        </is>
      </c>
      <c r="L7" s="368">
        <f>B26</f>
        <v/>
      </c>
      <c r="M7" s="174" t="inlineStr">
        <is>
          <t>$5,279</t>
        </is>
      </c>
      <c r="N7" s="174" t="inlineStr">
        <is>
          <t>$6,335</t>
        </is>
      </c>
      <c r="O7" s="174" t="inlineStr">
        <is>
          <t>$2,810</t>
        </is>
      </c>
      <c r="P7" s="368">
        <f>B27</f>
        <v/>
      </c>
      <c r="Q7" s="174" t="inlineStr">
        <is>
          <t>61</t>
        </is>
      </c>
      <c r="R7" s="174" t="inlineStr">
        <is>
          <t>1997</t>
        </is>
      </c>
      <c r="S7" s="174" t="inlineStr">
        <is>
          <t>0</t>
        </is>
      </c>
      <c r="T7" s="174" t="inlineStr">
        <is>
          <t>No</t>
        </is>
      </c>
      <c r="U7" s="174" t="inlineStr">
        <is>
          <t>No</t>
        </is>
      </c>
      <c r="V7" s="174" t="inlineStr">
        <is>
          <t>No</t>
        </is>
      </c>
      <c r="W7" s="174" t="inlineStr">
        <is>
          <t>No</t>
        </is>
      </c>
      <c r="X7" s="174" t="inlineStr">
        <is>
          <t>No</t>
        </is>
      </c>
      <c r="Y7" s="42" t="inlineStr">
        <is>
          <t>SUBJECT</t>
        </is>
      </c>
      <c r="Z7" s="55" t="inlineStr">
        <is>
          <t>61 units | LIHTC property. Year built: 1997. Subject property for market context.</t>
        </is>
      </c>
      <c r="AA7" s="40" t="inlineStr">
        <is>
          <t>Apartment Corp Records</t>
        </is>
      </c>
      <c r="AB7" s="136" t="n"/>
      <c r="AC7" s="136" t="n"/>
      <c r="AD7" s="136" t="n"/>
      <c r="AE7" s="136" t="n"/>
      <c r="AF7" s="136" t="n"/>
      <c r="AG7" s="136" t="n"/>
      <c r="AH7" s="136" t="n"/>
      <c r="AI7" s="136" t="n"/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Breckenridge Village</t>
        </is>
      </c>
      <c r="D8" s="59" t="inlineStr">
        <is>
          <t>2001A Floyd St</t>
        </is>
      </c>
      <c r="E8" s="59" t="inlineStr">
        <is>
          <t>Ennis</t>
        </is>
      </c>
      <c r="F8" s="59" t="inlineStr">
        <is>
          <t>TX</t>
        </is>
      </c>
      <c r="G8" s="59" t="inlineStr">
        <is>
          <t>75119</t>
        </is>
      </c>
      <c r="H8" s="59" t="inlineStr">
        <is>
          <t>12.8 mi</t>
        </is>
      </c>
      <c r="I8" s="59" t="inlineStr">
        <is>
          <t>$4,400</t>
        </is>
      </c>
      <c r="J8" s="59" t="inlineStr">
        <is>
          <t>$5,280</t>
        </is>
      </c>
      <c r="K8" s="41" t="inlineStr">
        <is>
          <t>$1,931</t>
        </is>
      </c>
      <c r="L8" s="53" t="inlineStr">
        <is>
          <t>Not Listed</t>
        </is>
      </c>
      <c r="M8" s="43" t="inlineStr">
        <is>
          <t>$5,279</t>
        </is>
      </c>
      <c r="N8" s="43" t="inlineStr">
        <is>
          <t>$6,335</t>
        </is>
      </c>
      <c r="O8" s="41" t="inlineStr">
        <is>
          <t>$2,810</t>
        </is>
      </c>
      <c r="P8" s="53" t="inlineStr">
        <is>
          <t>Not Listed</t>
        </is>
      </c>
      <c r="Q8" s="43" t="inlineStr">
        <is>
          <t>66</t>
        </is>
      </c>
      <c r="R8" s="43" t="inlineStr">
        <is>
          <t>1997</t>
        </is>
      </c>
      <c r="S8" s="43" t="inlineStr">
        <is>
          <t>0</t>
        </is>
      </c>
      <c r="T8" s="43" t="inlineStr">
        <is>
          <t>Yes</t>
        </is>
      </c>
      <c r="U8" s="43" t="inlineStr">
        <is>
          <t>No</t>
        </is>
      </c>
      <c r="V8" s="43" t="inlineStr">
        <is>
          <t>No</t>
        </is>
      </c>
      <c r="W8" s="43" t="inlineStr">
        <is>
          <t>No</t>
        </is>
      </c>
      <c r="X8" s="43" t="inlineStr">
        <is>
          <t>No</t>
        </is>
      </c>
      <c r="Y8" s="44" t="inlineStr">
        <is>
          <t>HIGH</t>
        </is>
      </c>
      <c r="Z8" s="56" t="inlineStr">
        <is>
          <t>Affordable Comp #1: LIHTC property, 1997 vintage (0 yr diff), 66 units, 12.8 mi from subject. Same income-eligible renter pool.</t>
        </is>
      </c>
      <c r="AA8" s="43" t="inlineStr">
        <is>
          <t>HUD LIHTC Database (huduser.gov)</t>
        </is>
      </c>
      <c r="AB8" s="136" t="n"/>
      <c r="AC8" s="136" t="n"/>
      <c r="AD8" s="136" t="n"/>
      <c r="AE8" s="136" t="n"/>
      <c r="AF8" s="136" t="n"/>
      <c r="AG8" s="136" t="n"/>
      <c r="AH8" s="136" t="n"/>
      <c r="AI8" s="136" t="n"/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Sherwood Arms Apts</t>
        </is>
      </c>
      <c r="D9" s="125" t="inlineStr">
        <is>
          <t>213 N Val Verde Cir</t>
        </is>
      </c>
      <c r="E9" s="125" t="inlineStr">
        <is>
          <t>Keene</t>
        </is>
      </c>
      <c r="F9" s="125" t="inlineStr">
        <is>
          <t>TX</t>
        </is>
      </c>
      <c r="G9" s="125" t="inlineStr">
        <is>
          <t>76059</t>
        </is>
      </c>
      <c r="H9" s="125" t="inlineStr">
        <is>
          <t>28.1 mi</t>
        </is>
      </c>
      <c r="I9" s="125" t="inlineStr">
        <is>
          <t>$4,400</t>
        </is>
      </c>
      <c r="J9" s="125" t="inlineStr">
        <is>
          <t>$5,280</t>
        </is>
      </c>
      <c r="K9" s="85" t="inlineStr">
        <is>
          <t>$1,931</t>
        </is>
      </c>
      <c r="L9" s="86" t="inlineStr">
        <is>
          <t>Not Listed</t>
        </is>
      </c>
      <c r="M9" s="128" t="inlineStr">
        <is>
          <t>$5,279</t>
        </is>
      </c>
      <c r="N9" s="128" t="inlineStr">
        <is>
          <t>$6,335</t>
        </is>
      </c>
      <c r="O9" s="85" t="inlineStr">
        <is>
          <t>$2,810</t>
        </is>
      </c>
      <c r="P9" s="86" t="inlineStr">
        <is>
          <t>Not Listed</t>
        </is>
      </c>
      <c r="Q9" s="128" t="inlineStr">
        <is>
          <t>56</t>
        </is>
      </c>
      <c r="R9" s="128" t="inlineStr">
        <is>
          <t>1997</t>
        </is>
      </c>
      <c r="S9" s="128" t="inlineStr">
        <is>
          <t>0</t>
        </is>
      </c>
      <c r="T9" s="128" t="inlineStr">
        <is>
          <t>Yes</t>
        </is>
      </c>
      <c r="U9" s="128" t="inlineStr">
        <is>
          <t>No</t>
        </is>
      </c>
      <c r="V9" s="128" t="inlineStr">
        <is>
          <t>No</t>
        </is>
      </c>
      <c r="W9" s="128" t="inlineStr">
        <is>
          <t>No</t>
        </is>
      </c>
      <c r="X9" s="128" t="inlineStr">
        <is>
          <t>No</t>
        </is>
      </c>
      <c r="Y9" s="129" t="inlineStr">
        <is>
          <t>MODERATE-HIGH</t>
        </is>
      </c>
      <c r="Z9" s="130" t="inlineStr">
        <is>
          <t>Affordable Comp #2: LIHTC property, 1997 vintage (0 yr diff), 56 units, 28.1 mi from subject. Same income-eligible renter pool.</t>
        </is>
      </c>
      <c r="AA9" s="128" t="inlineStr">
        <is>
          <t>HUD LIHTC Database (huduser.gov)</t>
        </is>
      </c>
      <c r="AB9" s="136" t="n"/>
      <c r="AC9" s="136" t="n"/>
      <c r="AD9" s="136" t="n"/>
      <c r="AE9" s="136" t="n"/>
      <c r="AF9" s="136" t="n"/>
      <c r="AG9" s="136" t="n"/>
      <c r="AH9" s="136" t="n"/>
      <c r="AI9" s="136" t="n"/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Creekside Terrace Apts</t>
        </is>
      </c>
      <c r="D10" s="107" t="inlineStr">
        <is>
          <t>1000 E Burnett St</t>
        </is>
      </c>
      <c r="E10" s="107" t="inlineStr">
        <is>
          <t>Ennis</t>
        </is>
      </c>
      <c r="F10" s="107" t="inlineStr">
        <is>
          <t>TX</t>
        </is>
      </c>
      <c r="G10" s="107" t="inlineStr">
        <is>
          <t>75119</t>
        </is>
      </c>
      <c r="H10" s="107" t="inlineStr">
        <is>
          <t>14.3 mi</t>
        </is>
      </c>
      <c r="I10" s="107" t="inlineStr">
        <is>
          <t>$4,400</t>
        </is>
      </c>
      <c r="J10" s="107" t="inlineStr">
        <is>
          <t>$5,280</t>
        </is>
      </c>
      <c r="K10" s="80" t="inlineStr">
        <is>
          <t>$1,931</t>
        </is>
      </c>
      <c r="L10" s="81" t="inlineStr">
        <is>
          <t>$1,270</t>
        </is>
      </c>
      <c r="M10" s="108" t="inlineStr">
        <is>
          <t>$5,279</t>
        </is>
      </c>
      <c r="N10" s="108" t="inlineStr">
        <is>
          <t>$6,335</t>
        </is>
      </c>
      <c r="O10" s="80" t="inlineStr">
        <is>
          <t>$2,810</t>
        </is>
      </c>
      <c r="P10" s="81" t="inlineStr">
        <is>
          <t>$1,650</t>
        </is>
      </c>
      <c r="Q10" s="108" t="inlineStr">
        <is>
          <t>80</t>
        </is>
      </c>
      <c r="R10" s="108" t="inlineStr">
        <is>
          <t>1998</t>
        </is>
      </c>
      <c r="S10" s="108" t="inlineStr">
        <is>
          <t>1</t>
        </is>
      </c>
      <c r="T10" s="108" t="inlineStr">
        <is>
          <t>Yes</t>
        </is>
      </c>
      <c r="U10" s="108" t="inlineStr">
        <is>
          <t>No</t>
        </is>
      </c>
      <c r="V10" s="108" t="inlineStr">
        <is>
          <t>No</t>
        </is>
      </c>
      <c r="W10" s="108" t="inlineStr">
        <is>
          <t>No</t>
        </is>
      </c>
      <c r="X10" s="108" t="inlineStr">
        <is>
          <t>No</t>
        </is>
      </c>
      <c r="Y10" s="109" t="inlineStr">
        <is>
          <t>HIGH</t>
        </is>
      </c>
      <c r="Z10" s="110" t="inlineStr">
        <is>
          <t>Affordable Comp #3: LIHTC property, 1998 vintage (1 yr diff), 80 units, 14.3 mi from subject. Same income-eligible renter pool.</t>
        </is>
      </c>
      <c r="AA10" s="111" t="inlineStr">
        <is>
          <t>HUD LIHTC Database (huduser.gov)</t>
        </is>
      </c>
      <c r="AB10" s="134" t="n"/>
      <c r="AC10" s="136" t="n"/>
      <c r="AD10" s="136" t="n"/>
      <c r="AE10" s="136" t="n"/>
      <c r="AF10" s="136" t="n"/>
      <c r="AG10" s="136" t="n"/>
      <c r="AH10" s="136" t="n"/>
      <c r="AI10" s="136" t="n"/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Hillcrest House</t>
        </is>
      </c>
      <c r="D11" s="95" t="inlineStr">
        <is>
          <t>834 N Marsalis Ave</t>
        </is>
      </c>
      <c r="E11" s="95" t="inlineStr">
        <is>
          <t>Dallas</t>
        </is>
      </c>
      <c r="F11" s="95" t="inlineStr">
        <is>
          <t>TX</t>
        </is>
      </c>
      <c r="G11" s="95" t="inlineStr">
        <is>
          <t>75203</t>
        </is>
      </c>
      <c r="H11" s="95" t="inlineStr">
        <is>
          <t>25.7 mi</t>
        </is>
      </c>
      <c r="I11" s="95" t="inlineStr">
        <is>
          <t>$4,400</t>
        </is>
      </c>
      <c r="J11" s="95" t="inlineStr">
        <is>
          <t>$5,280</t>
        </is>
      </c>
      <c r="K11" s="39" t="inlineStr">
        <is>
          <t>$1,931</t>
        </is>
      </c>
      <c r="L11" s="53" t="inlineStr">
        <is>
          <t>Not Listed</t>
        </is>
      </c>
      <c r="M11" s="96" t="inlineStr">
        <is>
          <t>$5,279</t>
        </is>
      </c>
      <c r="N11" s="96" t="inlineStr">
        <is>
          <t>$6,335</t>
        </is>
      </c>
      <c r="O11" s="39" t="inlineStr">
        <is>
          <t>$2,810</t>
        </is>
      </c>
      <c r="P11" s="53" t="inlineStr">
        <is>
          <t>Not Listed</t>
        </is>
      </c>
      <c r="Q11" s="96" t="inlineStr">
        <is>
          <t>64</t>
        </is>
      </c>
      <c r="R11" s="96" t="inlineStr">
        <is>
          <t>1996</t>
        </is>
      </c>
      <c r="S11" s="96" t="inlineStr">
        <is>
          <t>1</t>
        </is>
      </c>
      <c r="T11" s="96" t="inlineStr">
        <is>
          <t>Yes</t>
        </is>
      </c>
      <c r="U11" s="96" t="inlineStr">
        <is>
          <t>No</t>
        </is>
      </c>
      <c r="V11" s="96" t="inlineStr">
        <is>
          <t>No</t>
        </is>
      </c>
      <c r="W11" s="96" t="inlineStr">
        <is>
          <t>No</t>
        </is>
      </c>
      <c r="X11" s="96" t="inlineStr">
        <is>
          <t>No</t>
        </is>
      </c>
      <c r="Y11" s="45" t="inlineStr">
        <is>
          <t>MODERATE-HIGH</t>
        </is>
      </c>
      <c r="Z11" s="97" t="inlineStr">
        <is>
          <t>Affordable Comp #4: LIHTC property, 1996 vintage (1 yr diff), 64 units, 25.7 mi from subject. Same income-eligible renter pool.</t>
        </is>
      </c>
      <c r="AA11" s="113" t="inlineStr">
        <is>
          <t>HUD LIHTC Database (huduser.gov)</t>
        </is>
      </c>
      <c r="AB11" s="134" t="n"/>
      <c r="AC11" s="136" t="n"/>
      <c r="AD11" s="136" t="n"/>
      <c r="AE11" s="136" t="n"/>
      <c r="AF11" s="136" t="n"/>
      <c r="AG11" s="136" t="n"/>
      <c r="AH11" s="136" t="n"/>
      <c r="AI11" s="136" t="n"/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37.5" customHeight="1" s="131">
      <c r="A12" s="114" t="n">
        <v>1</v>
      </c>
      <c r="B12" s="70" t="inlineStr">
        <is>
          <t>MARKET RATE</t>
        </is>
      </c>
      <c r="C12" s="67" t="inlineStr">
        <is>
          <t>Bridgepoint</t>
        </is>
      </c>
      <c r="D12" s="98" t="inlineStr">
        <is>
          <t>2200 Brown St</t>
        </is>
      </c>
      <c r="E12" s="98" t="inlineStr">
        <is>
          <t>Waxahachie</t>
        </is>
      </c>
      <c r="F12" s="98" t="inlineStr">
        <is>
          <t>TX</t>
        </is>
      </c>
      <c r="G12" s="98" t="inlineStr">
        <is>
          <t>75165</t>
        </is>
      </c>
      <c r="H12" s="98" t="inlineStr">
        <is>
          <t>1.5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N/A (Market Rate)</t>
        </is>
      </c>
      <c r="L12" s="146" t="n">
        <v>1247</v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N/A (Market Rate)</t>
        </is>
      </c>
      <c r="P12" s="53" t="inlineStr">
        <is>
          <t>N/A (Market Rate)</t>
        </is>
      </c>
      <c r="Q12" s="99" t="inlineStr">
        <is>
          <t>N/A (Market Rate)</t>
        </is>
      </c>
      <c r="R12" s="99" t="n">
        <v>2015</v>
      </c>
      <c r="S12" s="99" t="inlineStr">
        <is>
          <t>N/A (Market Rate)</t>
        </is>
      </c>
      <c r="T12" s="99" t="inlineStr">
        <is>
          <t>Market Rate Comp #1: No income restrictions, 2015 vintage, Waxahachie TX 75165. 2BD $1,247 (2BD only — no 4BD market rate units available in this market)</t>
        </is>
      </c>
      <c r="U12" s="99" t="inlineStr">
        <is>
          <t>Apartments.com verified, May 2026</t>
        </is>
      </c>
      <c r="V12" s="99" t="inlineStr">
        <is>
          <t>Varies</t>
        </is>
      </c>
      <c r="W12" s="99" t="inlineStr">
        <is>
          <t>Varies</t>
        </is>
      </c>
      <c r="X12" s="99" t="inlineStr">
        <is>
          <t>Varies</t>
        </is>
      </c>
      <c r="Y12" s="46" t="inlineStr">
        <is>
          <t>HIGH</t>
        </is>
      </c>
      <c r="Z12" s="100" t="inlineStr">
        <is>
          <t>Market Rate Comp #1: No income restrictions, 1997 vintage (0 yr diff), N/A units, N/A from subject. Shows market-rate rents vs. affordable housing discount.</t>
        </is>
      </c>
      <c r="AA12" s="115" t="inlineStr">
        <is>
          <t>HUD FY2026 FMR - Ellis County, TX (limited market rate listings in Waxahachie)</t>
        </is>
      </c>
      <c r="AB12" s="134" t="n"/>
      <c r="AC12" s="136" t="n"/>
      <c r="AD12" s="136" t="n"/>
      <c r="AE12" s="136" t="n"/>
      <c r="AF12" s="136" t="n"/>
      <c r="AG12" s="136" t="n"/>
      <c r="AH12" s="136" t="n"/>
      <c r="AI12" s="136" t="n"/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n">
        <v>2</v>
      </c>
      <c r="B13" s="71" t="inlineStr">
        <is>
          <t>MARKET RATE</t>
        </is>
      </c>
      <c r="C13" s="68" t="inlineStr">
        <is>
          <t>Oxford at Crossroads Centre</t>
        </is>
      </c>
      <c r="D13" s="101" t="inlineStr">
        <is>
          <t>411 Alliance Blvd</t>
        </is>
      </c>
      <c r="E13" s="101" t="inlineStr">
        <is>
          <t>Waxahachie</t>
        </is>
      </c>
      <c r="F13" s="101" t="inlineStr">
        <is>
          <t>TX</t>
        </is>
      </c>
      <c r="G13" s="101" t="inlineStr">
        <is>
          <t>75165</t>
        </is>
      </c>
      <c r="H13" s="101" t="inlineStr">
        <is>
          <t>2.0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N/A (Market Rate)</t>
        </is>
      </c>
      <c r="L13" s="146" t="n">
        <v>1525</v>
      </c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N/A (Market Rate)</t>
        </is>
      </c>
      <c r="P13" s="53" t="inlineStr">
        <is>
          <t>N/A (Market Rate)</t>
        </is>
      </c>
      <c r="Q13" s="102" t="inlineStr">
        <is>
          <t>N/A (Market Rate)</t>
        </is>
      </c>
      <c r="R13" s="102" t="n">
        <v>2018</v>
      </c>
      <c r="S13" s="102" t="inlineStr">
        <is>
          <t>N/A (Market Rate)</t>
        </is>
      </c>
      <c r="T13" s="102" t="inlineStr">
        <is>
          <t>Market Rate Comp #2: No income restrictions, 2018 vintage, Waxahachie TX 75165. 2BD $1,525 (2BD only — no 4BD market rate units available in this market)</t>
        </is>
      </c>
      <c r="U13" s="102" t="inlineStr">
        <is>
          <t>Apartments.com verified, May 2026</t>
        </is>
      </c>
      <c r="V13" s="102" t="inlineStr">
        <is>
          <t>Varies</t>
        </is>
      </c>
      <c r="W13" s="102" t="inlineStr">
        <is>
          <t>Varies</t>
        </is>
      </c>
      <c r="X13" s="102" t="inlineStr">
        <is>
          <t>Varies</t>
        </is>
      </c>
      <c r="Y13" s="47" t="inlineStr">
        <is>
          <t>HIGH</t>
        </is>
      </c>
      <c r="Z13" s="103" t="inlineStr">
        <is>
          <t>Market Rate Comp #2: No income restrictions, 1999 vintage (2 yr diff), 66 units, 12.0 mi from subject. Shows market-rate rents vs. affordable housing discount.</t>
        </is>
      </c>
      <c r="AA13" s="117" t="inlineStr">
        <is>
          <t>https://www.rentcafe.com/apartments-for-rent/us/tx/ennis/</t>
        </is>
      </c>
      <c r="AB13" s="134" t="n"/>
      <c r="AC13" s="136" t="n"/>
      <c r="AD13" s="136" t="n"/>
      <c r="AE13" s="136" t="n"/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n">
        <v>3</v>
      </c>
      <c r="B14" s="69" t="inlineStr">
        <is>
          <t>MARKET RATE</t>
        </is>
      </c>
      <c r="C14" s="66" t="inlineStr">
        <is>
          <t>Emory on Grand</t>
        </is>
      </c>
      <c r="D14" s="95" t="inlineStr">
        <is>
          <t>1831 John Arden Dr</t>
        </is>
      </c>
      <c r="E14" s="95" t="inlineStr">
        <is>
          <t>Waxahachie</t>
        </is>
      </c>
      <c r="F14" s="95" t="inlineStr">
        <is>
          <t>TX</t>
        </is>
      </c>
      <c r="G14" s="95" t="inlineStr">
        <is>
          <t>75165</t>
        </is>
      </c>
      <c r="H14" s="95" t="inlineStr">
        <is>
          <t>1.8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N/A (Market Rate)</t>
        </is>
      </c>
      <c r="L14" s="146" t="n">
        <v>1395</v>
      </c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N/A (Market Rate)</t>
        </is>
      </c>
      <c r="P14" s="53" t="inlineStr">
        <is>
          <t>N/A (Market Rate)</t>
        </is>
      </c>
      <c r="Q14" s="96" t="inlineStr">
        <is>
          <t>N/A (Market Rate)</t>
        </is>
      </c>
      <c r="R14" s="96" t="n">
        <v>2016</v>
      </c>
      <c r="S14" s="96" t="inlineStr">
        <is>
          <t>N/A (Market Rate)</t>
        </is>
      </c>
      <c r="T14" s="96" t="inlineStr">
        <is>
          <t>Market Rate Comp #3: No income restrictions, 2016 vintage, Waxahachie TX 75165. 2BD $1,395 (2BD only — no 4BD market rate units available in this market)</t>
        </is>
      </c>
      <c r="U14" s="96" t="inlineStr">
        <is>
          <t>Apartments.com verified, May 2026</t>
        </is>
      </c>
      <c r="V14" s="96" t="inlineStr">
        <is>
          <t>Varies</t>
        </is>
      </c>
      <c r="W14" s="96" t="inlineStr">
        <is>
          <t>Varies</t>
        </is>
      </c>
      <c r="X14" s="96" t="inlineStr">
        <is>
          <t>Varies</t>
        </is>
      </c>
      <c r="Y14" s="45" t="inlineStr">
        <is>
          <t>HIGH</t>
        </is>
      </c>
      <c r="Z14" s="97" t="inlineStr">
        <is>
          <t>Market Rate Comp #3: No income restrictions, 2000 vintage (3 yr diff), 80 units, 15.0 mi from subject. Shows market-rate rents vs. affordable housing discount.</t>
        </is>
      </c>
      <c r="AA14" s="113" t="inlineStr">
        <is>
          <t>https://www.rentcafe.com/apartments-for-rent/us/tx/midlothian/</t>
        </is>
      </c>
      <c r="AB14" s="134" t="n"/>
      <c r="AC14" s="136" t="n"/>
      <c r="AD14" s="136" t="n"/>
      <c r="AE14" s="136" t="n"/>
      <c r="AF14" s="136" t="n"/>
      <c r="AG14" s="136" t="n"/>
      <c r="AH14" s="136" t="n"/>
      <c r="AI14" s="136" t="n"/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n">
        <v>4</v>
      </c>
      <c r="B15" s="69" t="inlineStr">
        <is>
          <t>MARKET RATE</t>
        </is>
      </c>
      <c r="C15" s="66" t="inlineStr">
        <is>
          <t>Blue Lake Villas</t>
        </is>
      </c>
      <c r="D15" s="95" t="inlineStr">
        <is>
          <t>155 Lakeside Dr</t>
        </is>
      </c>
      <c r="E15" s="95" t="inlineStr">
        <is>
          <t>Waxahachie</t>
        </is>
      </c>
      <c r="F15" s="95" t="inlineStr">
        <is>
          <t>TX</t>
        </is>
      </c>
      <c r="G15" s="95" t="inlineStr">
        <is>
          <t>75165</t>
        </is>
      </c>
      <c r="H15" s="95" t="inlineStr">
        <is>
          <t>2.2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N/A (Market Rate)</t>
        </is>
      </c>
      <c r="L15" s="146" t="n">
        <v>1349</v>
      </c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N/A (Market Rate)</t>
        </is>
      </c>
      <c r="P15" s="53" t="inlineStr">
        <is>
          <t>N/A (Market Rate)</t>
        </is>
      </c>
      <c r="Q15" s="96" t="inlineStr">
        <is>
          <t>N/A (Market Rate)</t>
        </is>
      </c>
      <c r="R15" s="96" t="n">
        <v>2012</v>
      </c>
      <c r="S15" s="96" t="inlineStr">
        <is>
          <t>N/A (Market Rate)</t>
        </is>
      </c>
      <c r="T15" s="96" t="inlineStr">
        <is>
          <t>Market Rate Comp #4: No income restrictions, 2012 vintage, Waxahachie TX 75165. 2BD $1,349 (2BD only — no 4BD market rate units available in this market)</t>
        </is>
      </c>
      <c r="U15" s="96" t="inlineStr">
        <is>
          <t>Apartments.com verified, May 2026</t>
        </is>
      </c>
      <c r="V15" s="96" t="inlineStr">
        <is>
          <t>Varies</t>
        </is>
      </c>
      <c r="W15" s="96" t="inlineStr">
        <is>
          <t>Varies</t>
        </is>
      </c>
      <c r="X15" s="96" t="inlineStr">
        <is>
          <t>Varies</t>
        </is>
      </c>
      <c r="Y15" s="45" t="inlineStr">
        <is>
          <t>HIGH</t>
        </is>
      </c>
      <c r="Z15" s="97" t="inlineStr">
        <is>
          <t>Market Rate Comp #4: No income restrictions, 1998 vintage (1 yr diff), 72 units, 10.0 mi from subject. Shows market-rate rents vs. affordable housing discount.</t>
        </is>
      </c>
      <c r="AA15" s="113" t="inlineStr">
        <is>
          <t>https://www.rentcafe.com/apartments-for-rent/us/tx/red-oak/</t>
        </is>
      </c>
      <c r="AB15" s="134" t="n"/>
      <c r="AC15" s="136" t="n"/>
      <c r="AD15" s="136" t="n"/>
      <c r="AE15" s="136" t="n"/>
      <c r="AF15" s="136" t="n"/>
      <c r="AG15" s="136" t="n"/>
      <c r="AH15" s="136" t="n"/>
      <c r="AI15" s="136" t="n"/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n">
        <v>5</v>
      </c>
      <c r="B16" s="82" t="inlineStr">
        <is>
          <t>MARKET RATE</t>
        </is>
      </c>
      <c r="C16" s="119" t="inlineStr">
        <is>
          <t>Hunter's Cove Apartments</t>
        </is>
      </c>
      <c r="D16" s="120" t="inlineStr">
        <is>
          <t>1250 W Highway 287 Bypass</t>
        </is>
      </c>
      <c r="E16" s="120" t="inlineStr">
        <is>
          <t>Waxahachie</t>
        </is>
      </c>
      <c r="F16" s="120" t="inlineStr">
        <is>
          <t>TX</t>
        </is>
      </c>
      <c r="G16" s="120" t="inlineStr">
        <is>
          <t>75165</t>
        </is>
      </c>
      <c r="H16" s="120" t="inlineStr">
        <is>
          <t>1.2 mi</t>
        </is>
      </c>
      <c r="I16" s="120" t="inlineStr">
        <is>
          <t>N/A (Market Rate)</t>
        </is>
      </c>
      <c r="J16" s="120" t="inlineStr">
        <is>
          <t>N/A (Market Rate)</t>
        </is>
      </c>
      <c r="K16" s="121" t="inlineStr">
        <is>
          <t>N/A (Market Rate)</t>
        </is>
      </c>
      <c r="L16" s="147" t="n">
        <v>1599</v>
      </c>
      <c r="M16" s="122" t="inlineStr">
        <is>
          <t>N/A (Market Rate)</t>
        </is>
      </c>
      <c r="N16" s="122" t="inlineStr">
        <is>
          <t>N/A (Market Rate)</t>
        </is>
      </c>
      <c r="O16" s="121" t="inlineStr">
        <is>
          <t>N/A (Market Rate)</t>
        </is>
      </c>
      <c r="P16" s="83" t="inlineStr">
        <is>
          <t>N/A (Market Rate)</t>
        </is>
      </c>
      <c r="Q16" s="122" t="inlineStr">
        <is>
          <t>N/A (Market Rate)</t>
        </is>
      </c>
      <c r="R16" s="122" t="n">
        <v>2014</v>
      </c>
      <c r="S16" s="122" t="inlineStr">
        <is>
          <t>N/A (Market Rate)</t>
        </is>
      </c>
      <c r="T16" s="122" t="inlineStr">
        <is>
          <t>Market Rate Comp #5: No income restrictions, 2014 vintage, Waxahachie TX 75165. 2BD $1,599 (2BD only — no 4BD market rate units available in this market)</t>
        </is>
      </c>
      <c r="U16" s="122" t="inlineStr">
        <is>
          <t>Apartments.com verified, May 2026</t>
        </is>
      </c>
      <c r="V16" s="122" t="inlineStr">
        <is>
          <t>N/A</t>
        </is>
      </c>
      <c r="W16" s="122" t="inlineStr">
        <is>
          <t>N/A</t>
        </is>
      </c>
      <c r="X16" s="122" t="inlineStr">
        <is>
          <t>N/A</t>
        </is>
      </c>
      <c r="Y16" s="84" t="inlineStr">
        <is>
          <t>BENCHMARK</t>
        </is>
      </c>
      <c r="Z16" s="123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124" t="inlineStr">
        <is>
          <t>HUD FMR Database (huduser.gov)</t>
        </is>
      </c>
      <c r="AB16" s="134" t="n"/>
      <c r="AC16" s="136" t="n"/>
      <c r="AD16" s="136" t="n"/>
      <c r="AE16" s="136" t="n"/>
      <c r="AF16" s="136" t="n"/>
      <c r="AG16" s="136" t="n"/>
      <c r="AH16" s="136" t="n"/>
      <c r="AI16" s="136" t="n"/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n">
        <v>6</v>
      </c>
      <c r="B17" s="88" t="inlineStr">
        <is>
          <t>MARKET RATE</t>
        </is>
      </c>
      <c r="C17" s="89" t="inlineStr">
        <is>
          <t>Bent Tree Townhomes</t>
        </is>
      </c>
      <c r="D17" s="87" t="inlineStr">
        <is>
          <t>1721 S IH-35 E</t>
        </is>
      </c>
      <c r="E17" s="87" t="inlineStr">
        <is>
          <t>Waxahachie</t>
        </is>
      </c>
      <c r="F17" s="87" t="inlineStr">
        <is>
          <t>TX</t>
        </is>
      </c>
      <c r="G17" s="87" t="inlineStr">
        <is>
          <t>75165</t>
        </is>
      </c>
      <c r="H17" s="87" t="inlineStr">
        <is>
          <t>1.0 mi</t>
        </is>
      </c>
      <c r="I17" s="87" t="inlineStr">
        <is>
          <t>N/A (Market Rate)</t>
        </is>
      </c>
      <c r="J17" s="87" t="inlineStr">
        <is>
          <t>N/A (Market Rate)</t>
        </is>
      </c>
      <c r="K17" s="90" t="inlineStr">
        <is>
          <t>N/A (Market Rate)</t>
        </is>
      </c>
      <c r="L17" s="148" t="n">
        <v>1289</v>
      </c>
      <c r="M17" s="92" t="inlineStr">
        <is>
          <t>N/A (Market Rate)</t>
        </is>
      </c>
      <c r="N17" s="92" t="inlineStr">
        <is>
          <t>N/A (Market Rate)</t>
        </is>
      </c>
      <c r="O17" s="90" t="inlineStr">
        <is>
          <t>N/A (Market Rate)</t>
        </is>
      </c>
      <c r="P17" s="91" t="inlineStr">
        <is>
          <t>N/A (Market Rate)</t>
        </is>
      </c>
      <c r="Q17" s="92" t="inlineStr">
        <is>
          <t>N/A (Market Rate)</t>
        </is>
      </c>
      <c r="R17" s="92" t="n">
        <v>2010</v>
      </c>
      <c r="S17" s="92" t="inlineStr">
        <is>
          <t>N/A (Market Rate)</t>
        </is>
      </c>
      <c r="T17" s="92" t="inlineStr">
        <is>
          <t>Market Rate Comp #6: No income restrictions, 2010 vintage, Waxahachie TX 75165. 2BD $1,289 (2BD only — no 4BD market rate units available in this market)</t>
        </is>
      </c>
      <c r="U17" s="92" t="inlineStr">
        <is>
          <t>Apartments.com verified, May 2026</t>
        </is>
      </c>
      <c r="V17" s="92" t="inlineStr">
        <is>
          <t>N/A</t>
        </is>
      </c>
      <c r="W17" s="92" t="inlineStr">
        <is>
          <t>N/A</t>
        </is>
      </c>
      <c r="X17" s="92" t="inlineStr">
        <is>
          <t>N/A</t>
        </is>
      </c>
      <c r="Y17" s="93" t="inlineStr">
        <is>
          <t>BENCHMARK</t>
        </is>
      </c>
      <c r="Z17" s="94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92" t="inlineStr">
        <is>
          <t>HUD FMR + Market Estimate</t>
        </is>
      </c>
      <c r="AB17" s="136" t="n"/>
      <c r="AC17" s="136" t="n"/>
      <c r="AD17" s="136" t="n"/>
      <c r="AE17" s="136" t="n"/>
      <c r="AF17" s="136" t="n"/>
      <c r="AG17" s="136" t="n"/>
      <c r="AH17" s="136" t="n"/>
      <c r="AI17" s="136" t="n"/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C19" s="136" t="n"/>
      <c r="AD19" s="136" t="n"/>
      <c r="AE19" s="136" t="n"/>
      <c r="AF19" s="136" t="n"/>
      <c r="AG19" s="136" t="n"/>
      <c r="AH19" s="136" t="n"/>
      <c r="AI19" s="136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Height="1" s="131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Height="1" s="131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Format="1" customHeight="1" s="2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Format="1" customHeight="1" s="2">
      <c r="A25" s="372" t="n"/>
      <c r="B25" s="201" t="inlineStr">
        <is>
          <t>2BD</t>
        </is>
      </c>
      <c r="C25" s="194" t="n"/>
      <c r="D25" s="200" t="n">
        <v>1401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Height="1" s="131">
      <c r="A26" s="372" t="n"/>
      <c r="B26" s="201" t="inlineStr">
        <is>
          <t>4BD</t>
        </is>
      </c>
      <c r="C26" s="194" t="n"/>
      <c r="D26" s="200" t="n"/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8.1" customHeight="1" s="131">
      <c r="A27" s="369" t="n"/>
      <c r="B27" s="369" t="n"/>
      <c r="C27" s="369" t="n"/>
      <c r="D27" s="369" t="n"/>
      <c r="E27" s="369" t="n"/>
      <c r="F27" s="369" t="n"/>
      <c r="G27" s="369" t="n"/>
      <c r="H27" s="369" t="n"/>
      <c r="I27" s="369" t="n"/>
      <c r="J27" s="369" t="n"/>
      <c r="K27" s="369" t="n"/>
      <c r="L27" s="134" t="n"/>
      <c r="M27" s="134" t="n"/>
      <c r="N27" s="134" t="n"/>
      <c r="O27" s="134" t="n"/>
      <c r="P27" s="134" t="n"/>
      <c r="Q27" s="134" t="n"/>
      <c r="R27" s="134" t="n"/>
      <c r="S27" s="134" t="n"/>
      <c r="T27" s="134" t="n"/>
      <c r="U27" s="134" t="n"/>
      <c r="V27" s="134" t="n"/>
      <c r="W27" s="134" t="n"/>
      <c r="X27" s="134" t="n"/>
      <c r="Y27" s="134" t="n"/>
      <c r="Z27" s="135" t="n"/>
      <c r="AA27" s="134" t="n"/>
      <c r="AB27" s="134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24.75" customFormat="1" customHeight="1" s="2">
      <c r="A28" s="302" t="n"/>
      <c r="B28" s="211" t="inlineStr">
        <is>
          <t>PMTS — Vouchers / FMR / UAP / NET</t>
        </is>
      </c>
      <c r="G28" s="365" t="n"/>
      <c r="H28" s="183" t="n"/>
      <c r="I28" s="183" t="n"/>
      <c r="J28" s="183" t="n"/>
      <c r="K28" s="302" t="n"/>
      <c r="L28" s="302" t="n"/>
      <c r="M28" s="302" t="n"/>
      <c r="N28" s="302" t="n"/>
      <c r="O28" s="302" t="n"/>
      <c r="P28" s="302" t="n"/>
      <c r="Q28" s="302" t="n"/>
      <c r="R28" s="302" t="n"/>
      <c r="S28" s="302" t="n"/>
      <c r="T28" s="302" t="n"/>
      <c r="U28" s="302" t="n"/>
      <c r="V28" s="302" t="n"/>
      <c r="W28" s="302" t="n"/>
      <c r="X28" s="302" t="n"/>
      <c r="Y28" s="302" t="n"/>
      <c r="Z28" s="302" t="n"/>
      <c r="AA28" s="353" t="n"/>
      <c r="AB28" s="302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15.95" customFormat="1" customHeight="1" s="2">
      <c r="A29" s="302" t="n"/>
      <c r="B29" s="226" t="n"/>
      <c r="C29" s="213" t="inlineStr">
        <is>
          <t>MKT</t>
        </is>
      </c>
      <c r="D29" s="213" t="inlineStr">
        <is>
          <t>VCH</t>
        </is>
      </c>
      <c r="E29" s="214" t="inlineStr">
        <is>
          <t>FMR</t>
        </is>
      </c>
      <c r="F29" s="215" t="inlineStr">
        <is>
          <t>UAP</t>
        </is>
      </c>
      <c r="G29" s="216" t="inlineStr">
        <is>
          <t>NET</t>
        </is>
      </c>
      <c r="H29" s="183" t="n"/>
      <c r="I29" s="183" t="n"/>
      <c r="J29" s="183" t="n"/>
      <c r="K29" s="302" t="n"/>
      <c r="L29" s="302" t="n"/>
      <c r="M29" s="302" t="n"/>
      <c r="N29" s="302" t="n"/>
      <c r="O29" s="302" t="n"/>
      <c r="P29" s="302" t="n"/>
      <c r="Q29" s="302" t="n"/>
      <c r="R29" s="302" t="n"/>
      <c r="S29" s="302" t="n"/>
      <c r="T29" s="302" t="n"/>
      <c r="U29" s="302" t="n"/>
      <c r="V29" s="302" t="n"/>
      <c r="W29" s="302" t="n"/>
      <c r="X29" s="302" t="n"/>
      <c r="Y29" s="302" t="n"/>
      <c r="Z29" s="302" t="n"/>
      <c r="AA29" s="353" t="n"/>
      <c r="AB29" s="302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24.75" customFormat="1" customHeight="1" s="2">
      <c r="A30" s="372" t="n"/>
      <c r="B30" s="217" t="inlineStr">
        <is>
          <t>2BD</t>
        </is>
      </c>
      <c r="C30" s="197" t="n">
        <v>0</v>
      </c>
      <c r="D30" s="197" t="n">
        <v>0</v>
      </c>
      <c r="E30" s="198" t="n">
        <v>1560</v>
      </c>
      <c r="F30" s="199" t="n">
        <v>477</v>
      </c>
      <c r="G30" s="218" t="n">
        <v>1083</v>
      </c>
      <c r="H30" s="183" t="n"/>
      <c r="I30" s="183" t="n"/>
      <c r="J30" s="183" t="n"/>
      <c r="K30" s="302" t="n"/>
      <c r="L30" s="302" t="n"/>
      <c r="M30" s="302" t="n"/>
      <c r="N30" s="302" t="n"/>
      <c r="O30" s="343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24.75" customFormat="1" customHeight="1" s="2">
      <c r="A31" s="372" t="n"/>
      <c r="B31" s="217" t="inlineStr">
        <is>
          <t>4BD</t>
        </is>
      </c>
      <c r="C31" s="197" t="n">
        <v>0</v>
      </c>
      <c r="D31" s="197" t="n">
        <v>1618</v>
      </c>
      <c r="E31" s="198" t="n">
        <v>2510</v>
      </c>
      <c r="F31" s="199" t="n">
        <v>477</v>
      </c>
      <c r="G31" s="218" t="n">
        <v>2033</v>
      </c>
      <c r="H31" s="183" t="n"/>
      <c r="I31" s="183" t="n"/>
      <c r="J31" s="183" t="n"/>
      <c r="K31" s="302" t="n"/>
      <c r="L31" s="302" t="n"/>
      <c r="M31" s="302" t="n"/>
      <c r="N31" s="302" t="n"/>
      <c r="O31" s="343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8.1" customHeight="1" s="131">
      <c r="A32" s="369" t="n"/>
      <c r="B32" s="369" t="n"/>
      <c r="C32" s="381" t="n"/>
      <c r="D32" s="381" t="n"/>
      <c r="E32" s="381" t="n"/>
      <c r="F32" s="381" t="n"/>
      <c r="G32" s="369" t="n"/>
      <c r="H32" s="369" t="n"/>
      <c r="I32" s="369" t="n"/>
      <c r="J32" s="369" t="n"/>
      <c r="K32" s="369" t="n"/>
      <c r="L32" s="134" t="n"/>
      <c r="M32" s="134" t="n"/>
      <c r="N32" s="134" t="n"/>
      <c r="O32" s="134" t="n"/>
      <c r="P32" s="134" t="n"/>
      <c r="Q32" s="134" t="n"/>
      <c r="R32" s="134" t="n"/>
      <c r="S32" s="134" t="n"/>
      <c r="T32" s="134" t="n"/>
      <c r="U32" s="134" t="n"/>
      <c r="V32" s="134" t="n"/>
      <c r="W32" s="134" t="n"/>
      <c r="X32" s="134" t="n"/>
      <c r="Y32" s="134" t="n"/>
      <c r="Z32" s="135" t="n"/>
      <c r="AA32" s="134" t="n"/>
      <c r="AB32" s="134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24.75" customHeight="1" s="131">
      <c r="A33" s="302" t="n"/>
      <c r="B33" s="366" t="inlineStr">
        <is>
          <t>LIHTC, UAP, NET</t>
        </is>
      </c>
      <c r="C33" s="358" t="n"/>
      <c r="D33" s="358" t="n"/>
      <c r="E33" s="358" t="n"/>
      <c r="F33" s="358" t="n"/>
      <c r="G33" s="359" t="n"/>
      <c r="H33" s="183" t="n"/>
      <c r="I33" s="183" t="n"/>
      <c r="J33" s="183" t="n"/>
      <c r="K33" s="302" t="n"/>
      <c r="L33" s="302" t="n"/>
      <c r="M33" s="302" t="n"/>
      <c r="N33" s="302" t="n"/>
      <c r="O33" s="302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16.5" customFormat="1" customHeight="1" s="2">
      <c r="A34" s="372" t="n"/>
      <c r="B34" s="226" t="n"/>
      <c r="C34" s="228" t="inlineStr">
        <is>
          <t>LIHTC/MKT</t>
        </is>
      </c>
      <c r="D34" s="228" t="inlineStr">
        <is>
          <t>50%</t>
        </is>
      </c>
      <c r="E34" s="215" t="inlineStr">
        <is>
          <t>UAP</t>
        </is>
      </c>
      <c r="F34" s="216" t="inlineStr">
        <is>
          <t>NET</t>
        </is>
      </c>
      <c r="G34" s="183" t="n"/>
      <c r="H34" s="183" t="n"/>
      <c r="I34" s="183" t="n"/>
      <c r="J34" s="183" t="n"/>
      <c r="K34" s="302" t="n"/>
      <c r="L34" s="302" t="n"/>
      <c r="M34" s="302" t="n"/>
      <c r="N34" s="302" t="n"/>
      <c r="O34" s="343" t="n"/>
      <c r="P34" s="302" t="n"/>
      <c r="Q34" s="302" t="n"/>
      <c r="R34" s="302" t="n"/>
      <c r="S34" s="302" t="n"/>
      <c r="T34" s="302" t="n"/>
      <c r="U34" s="302" t="n"/>
      <c r="V34" s="302" t="n"/>
      <c r="W34" s="302" t="n"/>
      <c r="X34" s="302" t="n"/>
      <c r="Y34" s="302" t="n"/>
      <c r="Z34" s="302" t="n"/>
      <c r="AA34" s="353" t="n"/>
      <c r="AB34" s="302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24.75" customFormat="1" customHeight="1" s="2">
      <c r="A35" s="372" t="n"/>
      <c r="B35" s="224" t="inlineStr">
        <is>
          <t>4BD</t>
        </is>
      </c>
      <c r="C35" s="225" t="n">
        <v>1746</v>
      </c>
      <c r="D35" s="225" t="n">
        <v>1269</v>
      </c>
      <c r="E35" s="225" t="n">
        <v>477</v>
      </c>
      <c r="F35" s="223" t="n">
        <v>792</v>
      </c>
      <c r="G35" s="183" t="n"/>
      <c r="H35" s="183" t="n"/>
      <c r="I35" s="183" t="n"/>
      <c r="J35" s="183" t="n"/>
      <c r="K35" s="302" t="n"/>
      <c r="L35" s="302" t="n"/>
      <c r="M35" s="302" t="n"/>
      <c r="N35" s="302" t="n"/>
      <c r="O35" s="343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18" customFormat="1" customHeight="1" s="2">
      <c r="A36" s="369" t="n"/>
      <c r="B36" s="381" t="n"/>
      <c r="C36" s="381" t="n"/>
      <c r="D36" s="381" t="n"/>
      <c r="E36" s="381" t="n"/>
      <c r="F36" s="369" t="n"/>
      <c r="G36" s="369" t="n"/>
      <c r="H36" s="369" t="n"/>
      <c r="I36" s="369" t="n"/>
      <c r="J36" s="369" t="n"/>
      <c r="K36" s="369" t="n"/>
      <c r="L36" s="134" t="n"/>
      <c r="M36" s="134" t="n"/>
      <c r="N36" s="134" t="n"/>
      <c r="O36" s="134" t="n"/>
      <c r="P36" s="134" t="n"/>
      <c r="Q36" s="134" t="n"/>
      <c r="R36" s="134" t="n"/>
      <c r="S36" s="134" t="n"/>
      <c r="T36" s="134" t="n"/>
      <c r="U36" s="134" t="n"/>
      <c r="V36" s="134" t="n"/>
      <c r="W36" s="134" t="n"/>
      <c r="X36" s="134" t="n"/>
      <c r="Y36" s="134" t="n"/>
      <c r="Z36" s="135" t="n"/>
      <c r="AA36" s="134" t="n"/>
      <c r="AB36" s="134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18" customFormat="1" customHeight="1" s="2">
      <c r="A37" s="369" t="n"/>
      <c r="B37" s="369" t="n"/>
      <c r="C37" s="431" t="inlineStr">
        <is>
          <t>LIHTC/MKT</t>
        </is>
      </c>
      <c r="D37" s="431" t="inlineStr">
        <is>
          <t>60%</t>
        </is>
      </c>
      <c r="E37" s="432" t="inlineStr">
        <is>
          <t>UAP</t>
        </is>
      </c>
      <c r="F37" s="386" t="inlineStr">
        <is>
          <t>NET</t>
        </is>
      </c>
      <c r="G37" s="369" t="n"/>
      <c r="H37" s="369" t="n"/>
      <c r="I37" s="369" t="n"/>
      <c r="J37" s="369" t="n"/>
      <c r="K37" s="369" t="n"/>
      <c r="L37" s="134" t="n"/>
      <c r="M37" s="134" t="n"/>
      <c r="N37" s="134" t="n"/>
      <c r="O37" s="134" t="n"/>
      <c r="P37" s="134" t="n"/>
      <c r="Q37" s="134" t="n"/>
      <c r="R37" s="134" t="n"/>
      <c r="S37" s="134" t="n"/>
      <c r="T37" s="134" t="n"/>
      <c r="U37" s="134" t="n"/>
      <c r="V37" s="134" t="n"/>
      <c r="W37" s="134" t="n"/>
      <c r="X37" s="134" t="n"/>
      <c r="Y37" s="134" t="n"/>
      <c r="Z37" s="135" t="n"/>
      <c r="AA37" s="134" t="n"/>
      <c r="AB37" s="134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24.75" customFormat="1" customHeight="1" s="2">
      <c r="A38" s="372" t="n"/>
      <c r="B38" s="224" t="inlineStr">
        <is>
          <t>2BD</t>
        </is>
      </c>
      <c r="C38" s="225" t="n">
        <v>1626</v>
      </c>
      <c r="D38" s="225" t="n">
        <v>1125</v>
      </c>
      <c r="E38" s="225" t="n">
        <v>477</v>
      </c>
      <c r="F38" s="223" t="n">
        <v>648</v>
      </c>
      <c r="G38" s="183" t="n"/>
      <c r="H38" s="183" t="n"/>
      <c r="I38" s="183" t="n"/>
      <c r="J38" s="183" t="n"/>
      <c r="K38" s="302" t="n"/>
      <c r="L38" s="302" t="n"/>
      <c r="M38" s="302" t="n"/>
      <c r="N38" s="302" t="n"/>
      <c r="O38" s="343" t="n"/>
      <c r="P38" s="302" t="n"/>
      <c r="Q38" s="302" t="n"/>
      <c r="R38" s="302" t="n"/>
      <c r="S38" s="302" t="n"/>
      <c r="T38" s="302" t="n"/>
      <c r="U38" s="302" t="n"/>
      <c r="V38" s="302" t="n"/>
      <c r="W38" s="302" t="n"/>
      <c r="X38" s="302" t="n"/>
      <c r="Y38" s="302" t="n"/>
      <c r="Z38" s="302" t="n"/>
      <c r="AA38" s="353" t="n"/>
      <c r="AB38" s="302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24.75" customFormat="1" customHeight="1" s="2">
      <c r="A39" s="372" t="n"/>
      <c r="B39" s="224" t="inlineStr">
        <is>
          <t>4BD</t>
        </is>
      </c>
      <c r="C39" s="225" t="n">
        <v>2095</v>
      </c>
      <c r="D39" s="225" t="n">
        <v>1618</v>
      </c>
      <c r="E39" s="225" t="n">
        <v>477</v>
      </c>
      <c r="F39" s="223" t="n">
        <v>1141</v>
      </c>
      <c r="G39" s="183" t="n"/>
      <c r="H39" s="183" t="n"/>
      <c r="I39" s="183" t="n"/>
      <c r="J39" s="183" t="n"/>
      <c r="K39" s="302" t="n"/>
      <c r="L39" s="302" t="n"/>
      <c r="M39" s="302" t="n"/>
      <c r="N39" s="302" t="n"/>
      <c r="O39" s="343" t="n"/>
      <c r="P39" s="302" t="n"/>
      <c r="Q39" s="302" t="n"/>
      <c r="R39" s="302" t="n"/>
      <c r="S39" s="302" t="n"/>
      <c r="T39" s="302" t="n"/>
      <c r="U39" s="302" t="n"/>
      <c r="V39" s="302" t="n"/>
      <c r="W39" s="302" t="n"/>
      <c r="X39" s="302" t="n"/>
      <c r="Y39" s="302" t="n"/>
      <c r="Z39" s="302" t="n"/>
      <c r="AA39" s="353" t="n"/>
      <c r="AB39" s="302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ht="18" customHeight="1" s="131">
      <c r="A40" s="372" t="n"/>
      <c r="B40" s="392" t="n"/>
      <c r="C40" s="392" t="n"/>
      <c r="D40" s="369" t="n"/>
      <c r="E40" s="369" t="n"/>
      <c r="F40" s="369" t="n"/>
      <c r="G40" s="369" t="n"/>
      <c r="H40" s="369" t="n"/>
      <c r="I40" s="369" t="n"/>
      <c r="J40" s="369" t="n"/>
      <c r="K40" s="369" t="n"/>
      <c r="L40" s="136" t="n"/>
      <c r="M40" s="136" t="n"/>
      <c r="N40" s="136" t="n"/>
      <c r="O40" s="136" t="n"/>
      <c r="P40" s="136" t="n"/>
      <c r="Q40" s="136" t="n"/>
      <c r="R40" s="136" t="n"/>
      <c r="S40" s="136" t="n"/>
      <c r="T40" s="136" t="n"/>
      <c r="U40" s="136" t="n"/>
      <c r="V40" s="136" t="n"/>
      <c r="W40" s="136" t="n"/>
      <c r="X40" s="136" t="n"/>
      <c r="Y40" s="136" t="n"/>
      <c r="Z40" s="136" t="n"/>
      <c r="AA40" s="136" t="n"/>
      <c r="AB40" s="136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ht="18" customHeight="1" s="131">
      <c r="A41" s="369" t="n"/>
      <c r="B41" s="371" t="n"/>
      <c r="C41" s="371" t="n"/>
      <c r="D41" s="371" t="n"/>
      <c r="E41" s="371" t="n"/>
      <c r="F41" s="371" t="n"/>
      <c r="G41" s="369" t="n"/>
      <c r="H41" s="369" t="n"/>
      <c r="I41" s="369" t="n"/>
      <c r="J41" s="369" t="n"/>
      <c r="K41" s="369" t="n"/>
      <c r="L41" s="136" t="n"/>
      <c r="M41" s="136" t="n"/>
      <c r="N41" s="136" t="n"/>
      <c r="O41" s="136" t="n"/>
      <c r="P41" s="136" t="n"/>
      <c r="Q41" s="136" t="n"/>
      <c r="R41" s="136" t="n"/>
      <c r="S41" s="136" t="n"/>
      <c r="T41" s="136" t="n"/>
      <c r="U41" s="136" t="n"/>
      <c r="V41" s="136" t="n"/>
      <c r="W41" s="136" t="n"/>
      <c r="X41" s="136" t="n"/>
      <c r="Y41" s="136" t="n"/>
      <c r="Z41" s="136" t="n"/>
      <c r="AA41" s="136" t="n"/>
      <c r="AB41" s="136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ht="24.75" customFormat="1" customHeight="1" s="2">
      <c r="A42" s="302" t="n"/>
      <c r="B42" s="207" t="inlineStr">
        <is>
          <t>HAP, CoStar, NET</t>
        </is>
      </c>
      <c r="H42" s="183" t="n"/>
      <c r="I42" s="183" t="n"/>
      <c r="J42" s="183" t="n"/>
      <c r="K42" s="302" t="n"/>
      <c r="L42" s="302" t="n"/>
      <c r="M42" s="302" t="n"/>
      <c r="N42" s="302" t="n"/>
      <c r="O42" s="302" t="n"/>
      <c r="P42" s="302" t="n"/>
      <c r="Q42" s="302" t="n"/>
      <c r="R42" s="302" t="n"/>
      <c r="S42" s="302" t="n"/>
      <c r="T42" s="302" t="n"/>
      <c r="U42" s="302" t="n"/>
      <c r="V42" s="302" t="n"/>
      <c r="W42" s="302" t="n"/>
      <c r="X42" s="302" t="n"/>
      <c r="Y42" s="302" t="n"/>
      <c r="Z42" s="302" t="n"/>
      <c r="AA42" s="353" t="n"/>
      <c r="AB42" s="302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ht="15.95" customFormat="1" customHeight="1" s="2">
      <c r="A43" s="302" t="n"/>
      <c r="B43" s="227" t="n"/>
      <c r="C43" s="208" t="inlineStr">
        <is>
          <t>HAP</t>
        </is>
      </c>
      <c r="D43" s="209" t="inlineStr">
        <is>
          <t>CoStar</t>
        </is>
      </c>
      <c r="E43" s="302" t="n"/>
      <c r="F43" s="302" t="n"/>
      <c r="G43" s="302" t="n"/>
      <c r="H43" s="183" t="n"/>
      <c r="I43" s="183" t="n"/>
      <c r="J43" s="183" t="n"/>
      <c r="K43" s="302" t="n"/>
      <c r="L43" s="302" t="n"/>
      <c r="M43" s="302" t="n"/>
      <c r="N43" s="302" t="n"/>
      <c r="O43" s="302" t="n"/>
      <c r="P43" s="302" t="n"/>
      <c r="Q43" s="302" t="n"/>
      <c r="R43" s="302" t="n"/>
      <c r="S43" s="302" t="n"/>
      <c r="T43" s="302" t="n"/>
      <c r="U43" s="302" t="n"/>
      <c r="V43" s="302" t="n"/>
      <c r="W43" s="302" t="n"/>
      <c r="X43" s="302" t="n"/>
      <c r="Y43" s="302" t="n"/>
      <c r="Z43" s="302" t="n"/>
      <c r="AA43" s="353" t="n"/>
      <c r="AB43" s="302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ht="24.75" customFormat="1" customHeight="1" s="2">
      <c r="A44" s="302" t="n"/>
      <c r="B44" s="196" t="inlineStr">
        <is>
          <t>2BD</t>
        </is>
      </c>
      <c r="C44" s="199" t="n">
        <v>0</v>
      </c>
      <c r="D44" s="198" t="n">
        <v>1537</v>
      </c>
      <c r="E44" s="183" t="n"/>
      <c r="F44" s="183" t="n"/>
      <c r="G44" s="183" t="n"/>
      <c r="H44" s="183" t="n"/>
      <c r="I44" s="183" t="n"/>
      <c r="J44" s="183" t="n"/>
      <c r="K44" s="302" t="n"/>
      <c r="L44" s="302" t="n"/>
      <c r="M44" s="302" t="n"/>
      <c r="N44" s="302" t="n"/>
      <c r="O44" s="302" t="n"/>
      <c r="P44" s="302" t="n"/>
      <c r="Q44" s="302" t="n"/>
      <c r="R44" s="302" t="n"/>
      <c r="S44" s="302" t="n"/>
      <c r="T44" s="302" t="n"/>
      <c r="U44" s="302" t="n"/>
      <c r="V44" s="302" t="n"/>
      <c r="W44" s="302" t="n"/>
      <c r="X44" s="302" t="n"/>
      <c r="Y44" s="302" t="n"/>
      <c r="Z44" s="302" t="n"/>
      <c r="AA44" s="353" t="n"/>
      <c r="AB44" s="302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ht="24.75" customFormat="1" customHeight="1" s="2">
      <c r="A45" s="302" t="n"/>
      <c r="B45" s="196" t="inlineStr">
        <is>
          <t>4BD</t>
        </is>
      </c>
      <c r="C45" s="199" t="n">
        <v>0</v>
      </c>
      <c r="D45" s="198" t="n">
        <v>1840</v>
      </c>
      <c r="E45" s="183" t="n"/>
      <c r="F45" s="183" t="n"/>
      <c r="G45" s="183" t="n"/>
      <c r="H45" s="183" t="n"/>
      <c r="I45" s="183" t="n"/>
      <c r="J45" s="183" t="n"/>
      <c r="K45" s="302" t="n"/>
      <c r="L45" s="302" t="n"/>
      <c r="M45" s="302" t="n"/>
      <c r="N45" s="302" t="n"/>
      <c r="O45" s="302" t="n"/>
      <c r="P45" s="302" t="n"/>
      <c r="Q45" s="302" t="n"/>
      <c r="R45" s="302" t="n"/>
      <c r="S45" s="302" t="n"/>
      <c r="T45" s="302" t="n"/>
      <c r="U45" s="302" t="n"/>
      <c r="V45" s="302" t="n"/>
      <c r="W45" s="302" t="n"/>
      <c r="X45" s="302" t="n"/>
      <c r="Y45" s="302" t="n"/>
      <c r="Z45" s="302" t="n"/>
      <c r="AA45" s="353" t="n"/>
      <c r="AB45" s="302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s="131">
      <c r="A46" s="369" t="n"/>
      <c r="B46" s="369" t="n"/>
      <c r="C46" s="369" t="n"/>
      <c r="D46" s="369" t="n"/>
      <c r="E46" s="369" t="n"/>
      <c r="F46" s="369" t="n"/>
      <c r="G46" s="369" t="n"/>
      <c r="H46" s="369" t="n"/>
      <c r="I46" s="369" t="n"/>
      <c r="J46" s="369" t="n"/>
      <c r="K46" s="369" t="n"/>
      <c r="L46" s="136" t="n"/>
      <c r="M46" s="136" t="n"/>
      <c r="N46" s="136" t="n"/>
      <c r="O46" s="136" t="n"/>
      <c r="P46" s="136" t="n"/>
      <c r="Q46" s="136" t="n"/>
      <c r="R46" s="136" t="n"/>
      <c r="S46" s="136" t="n"/>
      <c r="T46" s="136" t="n"/>
      <c r="U46" s="136" t="n"/>
      <c r="V46" s="136" t="n"/>
      <c r="W46" s="136" t="n"/>
      <c r="X46" s="136" t="n"/>
      <c r="Y46" s="136" t="n"/>
      <c r="Z46" s="136" t="n"/>
      <c r="AA46" s="136" t="n"/>
      <c r="AB46" s="136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s="131">
      <c r="A47" s="369" t="n"/>
      <c r="B47" s="369" t="n"/>
      <c r="C47" s="369" t="n"/>
      <c r="D47" s="369" t="n"/>
      <c r="E47" s="369" t="n"/>
      <c r="F47" s="369" t="n"/>
      <c r="G47" s="369" t="n"/>
      <c r="H47" s="369" t="n"/>
      <c r="I47" s="369" t="n"/>
      <c r="J47" s="369" t="n"/>
      <c r="K47" s="369" t="n"/>
      <c r="L47" s="136" t="n"/>
      <c r="M47" s="136" t="n"/>
      <c r="N47" s="136" t="n"/>
      <c r="O47" s="136" t="n"/>
      <c r="P47" s="136" t="n"/>
      <c r="Q47" s="136" t="n"/>
      <c r="R47" s="136" t="n"/>
      <c r="S47" s="136" t="n"/>
      <c r="T47" s="136" t="n"/>
      <c r="U47" s="136" t="n"/>
      <c r="V47" s="136" t="n"/>
      <c r="W47" s="136" t="n"/>
      <c r="X47" s="136" t="n"/>
      <c r="Y47" s="136" t="n"/>
      <c r="Z47" s="136" t="n"/>
      <c r="AA47" s="136" t="n"/>
      <c r="AB47" s="136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s="131">
      <c r="A48" s="369" t="n"/>
      <c r="B48" s="369" t="n"/>
      <c r="C48" s="369" t="n"/>
      <c r="D48" s="369" t="n"/>
      <c r="E48" s="369" t="n"/>
      <c r="F48" s="369" t="n"/>
      <c r="G48" s="369" t="n"/>
      <c r="H48" s="369" t="n"/>
      <c r="I48" s="369" t="n"/>
      <c r="J48" s="369" t="n"/>
      <c r="K48" s="369" t="n"/>
      <c r="L48" s="136" t="n"/>
      <c r="M48" s="136" t="n"/>
      <c r="N48" s="136" t="n"/>
      <c r="O48" s="136" t="n"/>
      <c r="P48" s="136" t="n"/>
      <c r="Q48" s="136" t="n"/>
      <c r="R48" s="136" t="n"/>
      <c r="S48" s="136" t="n"/>
      <c r="T48" s="136" t="n"/>
      <c r="U48" s="136" t="n"/>
      <c r="V48" s="136" t="n"/>
      <c r="W48" s="136" t="n"/>
      <c r="X48" s="136" t="n"/>
      <c r="Y48" s="136" t="n"/>
      <c r="Z48" s="136" t="n"/>
      <c r="AA48" s="136" t="n"/>
      <c r="AB48" s="136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s="131">
      <c r="A49" s="369" t="n"/>
      <c r="B49" s="369" t="n"/>
      <c r="C49" s="369" t="n"/>
      <c r="D49" s="369" t="n"/>
      <c r="E49" s="369" t="n"/>
      <c r="F49" s="369" t="n"/>
      <c r="G49" s="369" t="n"/>
      <c r="H49" s="369" t="n"/>
      <c r="I49" s="369" t="n"/>
      <c r="J49" s="369" t="n"/>
      <c r="K49" s="369" t="n"/>
      <c r="L49" s="136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6" t="n"/>
      <c r="Y49" s="136" t="n"/>
      <c r="Z49" s="136" t="n"/>
      <c r="AA49" s="136" t="n"/>
      <c r="AB49" s="136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s="131">
      <c r="A50" s="369" t="n"/>
      <c r="B50" s="369" t="n"/>
      <c r="C50" s="369" t="n"/>
      <c r="D50" s="369" t="n"/>
      <c r="E50" s="369" t="n"/>
      <c r="F50" s="369" t="n"/>
      <c r="G50" s="369" t="n"/>
      <c r="H50" s="369" t="n"/>
      <c r="I50" s="369" t="n"/>
      <c r="J50" s="369" t="n"/>
      <c r="K50" s="369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  <row r="51"/>
    <row r="52"/>
    <row r="53"/>
  </sheetData>
  <mergeCells count="9">
    <mergeCell ref="B4:AB4"/>
    <mergeCell ref="B42:G42"/>
    <mergeCell ref="B28:G28"/>
    <mergeCell ref="B22:G22"/>
    <mergeCell ref="B23:G23"/>
    <mergeCell ref="B20:I20"/>
    <mergeCell ref="B2:AB2"/>
    <mergeCell ref="B3:AB3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W53"/>
  <sheetViews>
    <sheetView workbookViewId="0">
      <pane ySplit="1" topLeftCell="A14" activePane="bottomLeft" state="frozen"/>
      <selection pane="bottomLeft" activeCell="B18" sqref="B18:E21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GRACE TOWNHOMES | GREEN = Affordable Comps | BLUE = Market Rate Comps</t>
        </is>
      </c>
      <c r="AF3" s="136" t="n"/>
      <c r="AG3" s="136" t="n"/>
      <c r="AH3" s="136" t="n"/>
      <c r="AI3" s="136" t="n"/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Grace Townhomes | 1212 Grace Circle, Ennis, TX 75119 | 112 units | Program: LIHTC | Bedroom Mix: 1BR / 2BR / 3BR | County AMI: $117,300 | FMR Area: Dallas-Fort Worth MSA</t>
        </is>
      </c>
      <c r="AF4" s="136" t="n"/>
      <c r="AG4" s="136" t="n"/>
      <c r="AH4" s="136" t="n"/>
      <c r="AI4" s="136" t="n"/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F5" s="136" t="n"/>
      <c r="AG5" s="136" t="n"/>
      <c r="AH5" s="136" t="n"/>
      <c r="AI5" s="136" t="n"/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1BD 50% AMI ($)</t>
        </is>
      </c>
      <c r="J6" s="280" t="inlineStr">
        <is>
          <t>1BD 60% AMI ($)</t>
        </is>
      </c>
      <c r="K6" s="280" t="inlineStr">
        <is>
          <t>1BR FMR ($)</t>
        </is>
      </c>
      <c r="L6" s="335" t="inlineStr">
        <is>
          <t>1BR Actual ($)</t>
        </is>
      </c>
      <c r="M6" s="281" t="inlineStr">
        <is>
          <t>2BD 50% AMI ($)</t>
        </is>
      </c>
      <c r="N6" s="280" t="inlineStr">
        <is>
          <t>2BD 60% AMI ($)</t>
        </is>
      </c>
      <c r="O6" s="280" t="inlineStr">
        <is>
          <t>2BR FMR ($)</t>
        </is>
      </c>
      <c r="P6" s="335" t="inlineStr">
        <is>
          <t>2BR Actual ($)</t>
        </is>
      </c>
      <c r="Q6" s="281" t="inlineStr">
        <is>
          <t>3BD 50% AMI ($)</t>
        </is>
      </c>
      <c r="R6" s="280" t="inlineStr">
        <is>
          <t>3BD 60% AMI ($)</t>
        </is>
      </c>
      <c r="S6" s="280" t="inlineStr">
        <is>
          <t>3BR FMR ($)</t>
        </is>
      </c>
      <c r="T6" s="339" t="inlineStr">
        <is>
          <t>3BR Actual ($)</t>
        </is>
      </c>
      <c r="U6" s="339" t="inlineStr">
        <is>
          <t># Units</t>
        </is>
      </c>
      <c r="V6" s="339" t="inlineStr">
        <is>
          <t>Year Built</t>
        </is>
      </c>
      <c r="W6" s="339" t="inlineStr">
        <is>
          <t>Yr Diff</t>
        </is>
      </c>
      <c r="X6" s="339" t="inlineStr">
        <is>
          <t>Utilities Incl.</t>
        </is>
      </c>
      <c r="Y6" s="339" t="inlineStr">
        <is>
          <t>Pet Friendly</t>
        </is>
      </c>
      <c r="Z6" s="336" t="inlineStr">
        <is>
          <t>Gated</t>
        </is>
      </c>
      <c r="AA6" s="340" t="inlineStr">
        <is>
          <t>Pool</t>
        </is>
      </c>
      <c r="AB6" s="342" t="inlineStr">
        <is>
          <t>W/D In-Unit</t>
        </is>
      </c>
      <c r="AC6" s="136" t="inlineStr">
        <is>
          <t>Competition Level</t>
        </is>
      </c>
      <c r="AD6" s="136" t="inlineStr">
        <is>
          <t>Why Competitive</t>
        </is>
      </c>
      <c r="AE6" s="136" t="inlineStr">
        <is>
          <t>Data Source</t>
        </is>
      </c>
      <c r="AF6" s="136" t="n"/>
      <c r="AG6" s="136" t="n"/>
      <c r="AH6" s="136" t="n"/>
      <c r="AI6" s="136" t="n"/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Grace Townhomes (SUBJECT)</t>
        </is>
      </c>
      <c r="D7" s="174" t="inlineStr">
        <is>
          <t>1212 Grace Circle</t>
        </is>
      </c>
      <c r="E7" s="174" t="inlineStr">
        <is>
          <t>Ennis</t>
        </is>
      </c>
      <c r="F7" s="174" t="inlineStr">
        <is>
          <t>TX</t>
        </is>
      </c>
      <c r="G7" s="174" t="inlineStr">
        <is>
          <t>75119</t>
        </is>
      </c>
      <c r="H7" s="174" t="inlineStr">
        <is>
          <t>0.0 mi</t>
        </is>
      </c>
      <c r="I7" s="174" t="inlineStr">
        <is>
          <t>$3,668</t>
        </is>
      </c>
      <c r="J7" s="174" t="inlineStr">
        <is>
          <t>$4,402</t>
        </is>
      </c>
      <c r="K7" s="174" t="inlineStr">
        <is>
          <t>$1,411</t>
        </is>
      </c>
      <c r="L7" s="368">
        <f>B26</f>
        <v/>
      </c>
      <c r="M7" s="174" t="inlineStr">
        <is>
          <t>$4,400</t>
        </is>
      </c>
      <c r="N7" s="174" t="inlineStr">
        <is>
          <t>$5,280</t>
        </is>
      </c>
      <c r="O7" s="174" t="inlineStr">
        <is>
          <t>$1,931</t>
        </is>
      </c>
      <c r="P7" s="368">
        <f>B27</f>
        <v/>
      </c>
      <c r="Q7" s="174" t="inlineStr">
        <is>
          <t>$4,887</t>
        </is>
      </c>
      <c r="R7" s="174" t="inlineStr">
        <is>
          <t>$5,865</t>
        </is>
      </c>
      <c r="S7" s="174" t="inlineStr">
        <is>
          <t>$2,431</t>
        </is>
      </c>
      <c r="T7" s="368">
        <f>B28</f>
        <v/>
      </c>
      <c r="U7" s="174" t="inlineStr">
        <is>
          <t>112</t>
        </is>
      </c>
      <c r="V7" s="174" t="inlineStr">
        <is>
          <t>2001</t>
        </is>
      </c>
      <c r="W7" s="174" t="inlineStr">
        <is>
          <t>0</t>
        </is>
      </c>
      <c r="X7" s="174" t="inlineStr">
        <is>
          <t>No</t>
        </is>
      </c>
      <c r="Y7" s="42" t="inlineStr">
        <is>
          <t>No</t>
        </is>
      </c>
      <c r="Z7" s="55" t="inlineStr">
        <is>
          <t>No</t>
        </is>
      </c>
      <c r="AA7" s="40" t="inlineStr">
        <is>
          <t>No</t>
        </is>
      </c>
      <c r="AB7" s="136" t="inlineStr">
        <is>
          <t>Yes</t>
        </is>
      </c>
      <c r="AC7" s="136" t="inlineStr">
        <is>
          <t>SUBJECT</t>
        </is>
      </c>
      <c r="AD7" s="136" t="inlineStr">
        <is>
          <t>112 units | LIHTC property. Year built: 2001. Subject property for market context.</t>
        </is>
      </c>
      <c r="AE7" s="136" t="inlineStr">
        <is>
          <t>Apartment Corp Records</t>
        </is>
      </c>
      <c r="AF7" s="136" t="n"/>
      <c r="AG7" s="136" t="n"/>
      <c r="AH7" s="136" t="n"/>
      <c r="AI7" s="136" t="n"/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Villas Of Hickory Estates</t>
        </is>
      </c>
      <c r="D8" s="59" t="inlineStr">
        <is>
          <t>3211 Hickory Tree Rd</t>
        </is>
      </c>
      <c r="E8" s="59" t="inlineStr">
        <is>
          <t>Balch Springs</t>
        </is>
      </c>
      <c r="F8" s="59" t="inlineStr">
        <is>
          <t>TX</t>
        </is>
      </c>
      <c r="G8" s="59" t="inlineStr">
        <is>
          <t>75180</t>
        </is>
      </c>
      <c r="H8" s="59" t="inlineStr">
        <is>
          <t>27.4 mi</t>
        </is>
      </c>
      <c r="I8" s="59" t="inlineStr">
        <is>
          <t>$3,668</t>
        </is>
      </c>
      <c r="J8" s="59" t="inlineStr">
        <is>
          <t>$4,402</t>
        </is>
      </c>
      <c r="K8" s="41" t="inlineStr">
        <is>
          <t>$1,411</t>
        </is>
      </c>
      <c r="L8" s="53" t="inlineStr">
        <is>
          <t>Not Listed</t>
        </is>
      </c>
      <c r="M8" s="43" t="inlineStr">
        <is>
          <t>$4,400</t>
        </is>
      </c>
      <c r="N8" s="43" t="inlineStr">
        <is>
          <t>$5,280</t>
        </is>
      </c>
      <c r="O8" s="41" t="inlineStr">
        <is>
          <t>$1,931</t>
        </is>
      </c>
      <c r="P8" s="53" t="inlineStr">
        <is>
          <t>Not Listed</t>
        </is>
      </c>
      <c r="Q8" s="43" t="inlineStr">
        <is>
          <t>$4,887</t>
        </is>
      </c>
      <c r="R8" s="43" t="inlineStr">
        <is>
          <t>$5,865</t>
        </is>
      </c>
      <c r="S8" s="43" t="inlineStr">
        <is>
          <t>$2,431</t>
        </is>
      </c>
      <c r="T8" s="43" t="inlineStr">
        <is>
          <t>Not Listed</t>
        </is>
      </c>
      <c r="U8" s="43" t="inlineStr">
        <is>
          <t>128</t>
        </is>
      </c>
      <c r="V8" s="43" t="inlineStr">
        <is>
          <t>2001</t>
        </is>
      </c>
      <c r="W8" s="43" t="inlineStr">
        <is>
          <t>0</t>
        </is>
      </c>
      <c r="X8" s="43" t="inlineStr">
        <is>
          <t>Yes</t>
        </is>
      </c>
      <c r="Y8" s="44" t="inlineStr">
        <is>
          <t>No</t>
        </is>
      </c>
      <c r="Z8" s="56" t="inlineStr">
        <is>
          <t>No</t>
        </is>
      </c>
      <c r="AA8" s="43" t="inlineStr">
        <is>
          <t>No</t>
        </is>
      </c>
      <c r="AB8" s="136" t="inlineStr">
        <is>
          <t>No</t>
        </is>
      </c>
      <c r="AC8" s="136" t="inlineStr">
        <is>
          <t>MODERATE-HIGH</t>
        </is>
      </c>
      <c r="AD8" s="136" t="inlineStr">
        <is>
          <t>Affordable Comp #1: LIHTC property, 2001 vintage (0 yr diff), 128 units, 27.4 mi from subject. Same income-eligible renter pool.</t>
        </is>
      </c>
      <c r="AE8" s="136" t="inlineStr">
        <is>
          <t>HUD LIHTC Database (huduser.gov)</t>
        </is>
      </c>
      <c r="AF8" s="136" t="n"/>
      <c r="AG8" s="136" t="n"/>
      <c r="AH8" s="136" t="n"/>
      <c r="AI8" s="136" t="n"/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Ryans Crossing (Pemberton Place)</t>
        </is>
      </c>
      <c r="D9" s="125" t="inlineStr">
        <is>
          <t>1509 Mlk Jr Blvd</t>
        </is>
      </c>
      <c r="E9" s="125" t="inlineStr">
        <is>
          <t>Marshall</t>
        </is>
      </c>
      <c r="F9" s="125" t="inlineStr">
        <is>
          <t>TX</t>
        </is>
      </c>
      <c r="G9" s="125" t="n"/>
      <c r="H9" s="125" t="inlineStr">
        <is>
          <t>N/A</t>
        </is>
      </c>
      <c r="I9" s="125" t="inlineStr">
        <is>
          <t>$3,668</t>
        </is>
      </c>
      <c r="J9" s="125" t="inlineStr">
        <is>
          <t>$4,402</t>
        </is>
      </c>
      <c r="K9" s="85" t="inlineStr">
        <is>
          <t>$1,411</t>
        </is>
      </c>
      <c r="L9" s="86" t="inlineStr">
        <is>
          <t>$867</t>
        </is>
      </c>
      <c r="M9" s="128" t="inlineStr">
        <is>
          <t>$4,400</t>
        </is>
      </c>
      <c r="N9" s="128" t="inlineStr">
        <is>
          <t>$5,280</t>
        </is>
      </c>
      <c r="O9" s="85" t="inlineStr">
        <is>
          <t>$1,931</t>
        </is>
      </c>
      <c r="P9" s="86" t="inlineStr">
        <is>
          <t>$1,101</t>
        </is>
      </c>
      <c r="Q9" s="128" t="inlineStr">
        <is>
          <t>$4,887</t>
        </is>
      </c>
      <c r="R9" s="128" t="inlineStr">
        <is>
          <t>$5,865</t>
        </is>
      </c>
      <c r="S9" s="128" t="inlineStr">
        <is>
          <t>$2,431</t>
        </is>
      </c>
      <c r="T9" s="128" t="inlineStr">
        <is>
          <t>$1,221</t>
        </is>
      </c>
      <c r="U9" s="128" t="inlineStr">
        <is>
          <t>112</t>
        </is>
      </c>
      <c r="V9" s="128" t="inlineStr">
        <is>
          <t>2002</t>
        </is>
      </c>
      <c r="W9" s="128" t="inlineStr">
        <is>
          <t>1</t>
        </is>
      </c>
      <c r="X9" s="128" t="inlineStr">
        <is>
          <t>Yes</t>
        </is>
      </c>
      <c r="Y9" s="129" t="inlineStr">
        <is>
          <t>No</t>
        </is>
      </c>
      <c r="Z9" s="130" t="inlineStr">
        <is>
          <t>No</t>
        </is>
      </c>
      <c r="AA9" s="128" t="inlineStr">
        <is>
          <t>No</t>
        </is>
      </c>
      <c r="AB9" s="136" t="inlineStr">
        <is>
          <t>No</t>
        </is>
      </c>
      <c r="AC9" s="136" t="inlineStr">
        <is>
          <t>MODERATE</t>
        </is>
      </c>
      <c r="AD9" s="136" t="inlineStr">
        <is>
          <t>Affordable Comp #2: LIHTC property, 2002 vintage (1 yr diff), 112 units, N/A from subject. Same income-eligible renter pool.</t>
        </is>
      </c>
      <c r="AE9" s="136" t="inlineStr">
        <is>
          <t>HUD LIHTC Database (huduser.gov)</t>
        </is>
      </c>
      <c r="AF9" s="136" t="n"/>
      <c r="AG9" s="136" t="n"/>
      <c r="AH9" s="136" t="n"/>
      <c r="AI9" s="136" t="n"/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May Road Apts</t>
        </is>
      </c>
      <c r="D10" s="107" t="inlineStr">
        <is>
          <t>1488 May Cir</t>
        </is>
      </c>
      <c r="E10" s="107" t="inlineStr">
        <is>
          <t>Seagoville</t>
        </is>
      </c>
      <c r="F10" s="107" t="inlineStr">
        <is>
          <t>TX</t>
        </is>
      </c>
      <c r="G10" s="107" t="n"/>
      <c r="H10" s="107" t="inlineStr">
        <is>
          <t>N/A</t>
        </is>
      </c>
      <c r="I10" s="107" t="inlineStr">
        <is>
          <t>$3,668</t>
        </is>
      </c>
      <c r="J10" s="107" t="inlineStr">
        <is>
          <t>$4,402</t>
        </is>
      </c>
      <c r="K10" s="80" t="inlineStr">
        <is>
          <t>$1,411</t>
        </is>
      </c>
      <c r="L10" s="81" t="inlineStr">
        <is>
          <t>Not Listed</t>
        </is>
      </c>
      <c r="M10" s="108" t="inlineStr">
        <is>
          <t>$4,400</t>
        </is>
      </c>
      <c r="N10" s="108" t="inlineStr">
        <is>
          <t>$5,280</t>
        </is>
      </c>
      <c r="O10" s="80" t="inlineStr">
        <is>
          <t>$1,931</t>
        </is>
      </c>
      <c r="P10" s="81" t="inlineStr">
        <is>
          <t>Not Listed</t>
        </is>
      </c>
      <c r="Q10" s="108" t="inlineStr">
        <is>
          <t>$4,887</t>
        </is>
      </c>
      <c r="R10" s="108" t="inlineStr">
        <is>
          <t>$5,865</t>
        </is>
      </c>
      <c r="S10" s="108" t="inlineStr">
        <is>
          <t>$2,431</t>
        </is>
      </c>
      <c r="T10" s="108" t="inlineStr">
        <is>
          <t>Not Listed</t>
        </is>
      </c>
      <c r="U10" s="108" t="inlineStr">
        <is>
          <t>81</t>
        </is>
      </c>
      <c r="V10" s="108" t="inlineStr">
        <is>
          <t>2001</t>
        </is>
      </c>
      <c r="W10" s="108" t="inlineStr">
        <is>
          <t>0</t>
        </is>
      </c>
      <c r="X10" s="108" t="inlineStr">
        <is>
          <t>Yes</t>
        </is>
      </c>
      <c r="Y10" s="109" t="inlineStr">
        <is>
          <t>No</t>
        </is>
      </c>
      <c r="Z10" s="110" t="inlineStr">
        <is>
          <t>No</t>
        </is>
      </c>
      <c r="AA10" s="111" t="inlineStr">
        <is>
          <t>No</t>
        </is>
      </c>
      <c r="AB10" s="134" t="inlineStr">
        <is>
          <t>No</t>
        </is>
      </c>
      <c r="AC10" s="136" t="inlineStr">
        <is>
          <t>MODERATE</t>
        </is>
      </c>
      <c r="AD10" s="136" t="inlineStr">
        <is>
          <t>Affordable Comp #3: LIHTC property, 2001 vintage (0 yr diff), 81 units, N/A from subject. Same income-eligible renter pool.</t>
        </is>
      </c>
      <c r="AE10" s="136" t="inlineStr">
        <is>
          <t>HUD LIHTC Database (huduser.gov)</t>
        </is>
      </c>
      <c r="AF10" s="136" t="n"/>
      <c r="AG10" s="136" t="n"/>
      <c r="AH10" s="136" t="n"/>
      <c r="AI10" s="136" t="n"/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Creekside Terrace Apts</t>
        </is>
      </c>
      <c r="D11" s="95" t="inlineStr">
        <is>
          <t>1000 E Burnett St</t>
        </is>
      </c>
      <c r="E11" s="95" t="inlineStr">
        <is>
          <t>Ennis</t>
        </is>
      </c>
      <c r="F11" s="95" t="inlineStr">
        <is>
          <t>TX</t>
        </is>
      </c>
      <c r="G11" s="95" t="inlineStr">
        <is>
          <t>75119</t>
        </is>
      </c>
      <c r="H11" s="95" t="inlineStr">
        <is>
          <t>0.7 mi</t>
        </is>
      </c>
      <c r="I11" s="95" t="inlineStr">
        <is>
          <t>$3,668</t>
        </is>
      </c>
      <c r="J11" s="95" t="inlineStr">
        <is>
          <t>$4,402</t>
        </is>
      </c>
      <c r="K11" s="39" t="inlineStr">
        <is>
          <t>$1,411</t>
        </is>
      </c>
      <c r="L11" s="53" t="inlineStr">
        <is>
          <t>$1,150</t>
        </is>
      </c>
      <c r="M11" s="96" t="inlineStr">
        <is>
          <t>$4,400</t>
        </is>
      </c>
      <c r="N11" s="96" t="inlineStr">
        <is>
          <t>$5,280</t>
        </is>
      </c>
      <c r="O11" s="39" t="inlineStr">
        <is>
          <t>$1,931</t>
        </is>
      </c>
      <c r="P11" s="53" t="inlineStr">
        <is>
          <t>$1,270</t>
        </is>
      </c>
      <c r="Q11" s="96" t="inlineStr">
        <is>
          <t>$4,887</t>
        </is>
      </c>
      <c r="R11" s="96" t="inlineStr">
        <is>
          <t>$5,865</t>
        </is>
      </c>
      <c r="S11" s="96" t="inlineStr">
        <is>
          <t>$2,431</t>
        </is>
      </c>
      <c r="T11" s="96" t="inlineStr">
        <is>
          <t>$1,450</t>
        </is>
      </c>
      <c r="U11" s="96" t="inlineStr">
        <is>
          <t>80</t>
        </is>
      </c>
      <c r="V11" s="96" t="inlineStr">
        <is>
          <t>1998</t>
        </is>
      </c>
      <c r="W11" s="96" t="inlineStr">
        <is>
          <t>3</t>
        </is>
      </c>
      <c r="X11" s="96" t="inlineStr">
        <is>
          <t>Yes</t>
        </is>
      </c>
      <c r="Y11" s="45" t="inlineStr">
        <is>
          <t>No</t>
        </is>
      </c>
      <c r="Z11" s="97" t="inlineStr">
        <is>
          <t>No</t>
        </is>
      </c>
      <c r="AA11" s="113" t="inlineStr">
        <is>
          <t>No</t>
        </is>
      </c>
      <c r="AB11" s="134" t="inlineStr">
        <is>
          <t>No</t>
        </is>
      </c>
      <c r="AC11" s="136" t="inlineStr">
        <is>
          <t>HIGH</t>
        </is>
      </c>
      <c r="AD11" s="136" t="inlineStr">
        <is>
          <t>Affordable Comp #4: LIHTC property, 1998 vintage (3 yr diff), 80 units, 0.7 mi from subject. Same income-eligible renter pool.</t>
        </is>
      </c>
      <c r="AE11" s="136" t="inlineStr">
        <is>
          <t>HUD LIHTC Database (huduser.gov)</t>
        </is>
      </c>
      <c r="AF11" s="136" t="n"/>
      <c r="AG11" s="136" t="n"/>
      <c r="AH11" s="136" t="n"/>
      <c r="AI11" s="136" t="n"/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37.5" customHeight="1" s="131">
      <c r="A12" s="114" t="n">
        <v>1</v>
      </c>
      <c r="B12" s="70" t="inlineStr">
        <is>
          <t>MARKET RATE</t>
        </is>
      </c>
      <c r="C12" s="67" t="inlineStr">
        <is>
          <t>Silverton Village</t>
        </is>
      </c>
      <c r="D12" s="98" t="inlineStr">
        <is>
          <t>3700 Fm-85</t>
        </is>
      </c>
      <c r="E12" s="98" t="inlineStr">
        <is>
          <t>Ennis</t>
        </is>
      </c>
      <c r="F12" s="98" t="inlineStr">
        <is>
          <t>TX</t>
        </is>
      </c>
      <c r="G12" s="98" t="inlineStr">
        <is>
          <t>75119</t>
        </is>
      </c>
      <c r="H12" s="98" t="inlineStr">
        <is>
          <t>1.2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$1,411</t>
        </is>
      </c>
      <c r="L12" s="53" t="inlineStr">
        <is>
          <t>$867</t>
        </is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N/A (Market Rate)</t>
        </is>
      </c>
      <c r="P12" s="157" t="n">
        <v>1497</v>
      </c>
      <c r="Q12" s="99" t="inlineStr">
        <is>
          <t>N/A (Market Rate)</t>
        </is>
      </c>
      <c r="R12" s="99" t="inlineStr">
        <is>
          <t>N/A (Market Rate)</t>
        </is>
      </c>
      <c r="S12" s="99" t="inlineStr">
        <is>
          <t>N/A (Market Rate)</t>
        </is>
      </c>
      <c r="T12" s="158" t="n">
        <v>1725</v>
      </c>
      <c r="U12" s="99" t="inlineStr">
        <is>
          <t>100</t>
        </is>
      </c>
      <c r="V12" s="99" t="inlineStr">
        <is>
          <t>2003</t>
        </is>
      </c>
      <c r="W12" s="99" t="inlineStr">
        <is>
          <t>2</t>
        </is>
      </c>
      <c r="X12" s="99" t="inlineStr">
        <is>
          <t>Varies</t>
        </is>
      </c>
      <c r="Y12" s="46" t="inlineStr">
        <is>
          <t>Varies</t>
        </is>
      </c>
      <c r="Z12" s="100" t="inlineStr">
        <is>
          <t>Varies</t>
        </is>
      </c>
      <c r="AA12" s="115" t="inlineStr">
        <is>
          <t>Varies</t>
        </is>
      </c>
      <c r="AB12" s="134" t="inlineStr">
        <is>
          <t>Varies</t>
        </is>
      </c>
      <c r="AC12" s="136" t="inlineStr">
        <is>
          <t>HIGH</t>
        </is>
      </c>
      <c r="AD12" s="136" t="inlineStr">
        <is>
          <t>Market Rate Comp #1: No income restrictions, 2003 vintage (2 yr diff), 100 units, 1.8 mi from subject. Shows market-rate rents vs. affordable housing discount.</t>
        </is>
      </c>
      <c r="AE12" s="136" t="inlineStr">
        <is>
          <t>https://www.rentcafe.com/apartments-for-rent/us/tx/ennis/ryans-crossing/</t>
        </is>
      </c>
      <c r="AF12" s="136" t="n"/>
      <c r="AG12" s="136" t="n"/>
      <c r="AH12" s="136" t="n"/>
      <c r="AI12" s="136" t="n"/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n">
        <v>2</v>
      </c>
      <c r="B13" s="71" t="inlineStr">
        <is>
          <t>MARKET RATE</t>
        </is>
      </c>
      <c r="C13" s="68" t="inlineStr">
        <is>
          <t>The Willows</t>
        </is>
      </c>
      <c r="D13" s="101" t="inlineStr">
        <is>
          <t>2300 Yorkstown Dr</t>
        </is>
      </c>
      <c r="E13" s="101" t="inlineStr">
        <is>
          <t>Ennis</t>
        </is>
      </c>
      <c r="F13" s="101" t="inlineStr">
        <is>
          <t>TX</t>
        </is>
      </c>
      <c r="G13" s="101" t="inlineStr">
        <is>
          <t>75119</t>
        </is>
      </c>
      <c r="H13" s="101" t="inlineStr">
        <is>
          <t>0.8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N/A (Market Rate)</t>
        </is>
      </c>
      <c r="L13" s="157" t="n">
        <v>1074</v>
      </c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N/A (Market Rate)</t>
        </is>
      </c>
      <c r="P13" s="157" t="n">
        <v>1424</v>
      </c>
      <c r="Q13" s="102" t="inlineStr">
        <is>
          <t>N/A (Market Rate)</t>
        </is>
      </c>
      <c r="R13" s="102" t="inlineStr">
        <is>
          <t>N/A (Market Rate)</t>
        </is>
      </c>
      <c r="S13" s="102" t="inlineStr">
        <is>
          <t>$2,431</t>
        </is>
      </c>
      <c r="T13" s="102" t="inlineStr">
        <is>
          <t>$1,375</t>
        </is>
      </c>
      <c r="U13" s="102" t="inlineStr">
        <is>
          <t>88</t>
        </is>
      </c>
      <c r="V13" s="102" t="inlineStr">
        <is>
          <t>2000</t>
        </is>
      </c>
      <c r="W13" s="102" t="inlineStr">
        <is>
          <t>1</t>
        </is>
      </c>
      <c r="X13" s="102" t="inlineStr">
        <is>
          <t>Varies</t>
        </is>
      </c>
      <c r="Y13" s="47" t="inlineStr">
        <is>
          <t>Varies</t>
        </is>
      </c>
      <c r="Z13" s="103" t="inlineStr">
        <is>
          <t>Varies</t>
        </is>
      </c>
      <c r="AA13" s="117" t="inlineStr">
        <is>
          <t>Varies</t>
        </is>
      </c>
      <c r="AB13" s="134" t="inlineStr">
        <is>
          <t>Varies</t>
        </is>
      </c>
      <c r="AC13" s="136" t="inlineStr">
        <is>
          <t>HIGH</t>
        </is>
      </c>
      <c r="AD13" s="136" t="inlineStr">
        <is>
          <t>Market Rate Comp #2: No income restrictions, 2000 vintage (1 yr diff), 88 units, 12.5 mi from subject. Shows market-rate rents vs. affordable housing discount.</t>
        </is>
      </c>
      <c r="AE13" s="136" t="inlineStr">
        <is>
          <t>https://www.rentcafe.com/apartments-for-rent/us/tx/waxahachie/</t>
        </is>
      </c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n">
        <v>3</v>
      </c>
      <c r="B14" s="69" t="inlineStr">
        <is>
          <t>MARKET RATE</t>
        </is>
      </c>
      <c r="C14" s="66" t="inlineStr">
        <is>
          <t>Spyglass of Ennis</t>
        </is>
      </c>
      <c r="D14" s="95" t="inlineStr">
        <is>
          <t>1803 W Ennis Ave</t>
        </is>
      </c>
      <c r="E14" s="95" t="inlineStr">
        <is>
          <t>Ennis</t>
        </is>
      </c>
      <c r="F14" s="95" t="inlineStr">
        <is>
          <t>TX</t>
        </is>
      </c>
      <c r="G14" s="95" t="inlineStr">
        <is>
          <t>75119</t>
        </is>
      </c>
      <c r="H14" s="95" t="inlineStr">
        <is>
          <t>1.5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N/A (Market Rate)</t>
        </is>
      </c>
      <c r="L14" s="157" t="n">
        <v>1304</v>
      </c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N/A (Market Rate)</t>
        </is>
      </c>
      <c r="P14" s="157" t="n">
        <v>1559</v>
      </c>
      <c r="Q14" s="96" t="inlineStr">
        <is>
          <t>N/A (Market Rate)</t>
        </is>
      </c>
      <c r="R14" s="96" t="inlineStr">
        <is>
          <t>N/A (Market Rate)</t>
        </is>
      </c>
      <c r="S14" s="96" t="inlineStr">
        <is>
          <t>$2,431</t>
        </is>
      </c>
      <c r="T14" s="96" t="inlineStr">
        <is>
          <t>$1,325</t>
        </is>
      </c>
      <c r="U14" s="96" t="inlineStr">
        <is>
          <t>72</t>
        </is>
      </c>
      <c r="V14" s="96" t="inlineStr">
        <is>
          <t>1999</t>
        </is>
      </c>
      <c r="W14" s="96" t="inlineStr">
        <is>
          <t>2</t>
        </is>
      </c>
      <c r="X14" s="96" t="inlineStr">
        <is>
          <t>Varies</t>
        </is>
      </c>
      <c r="Y14" s="45" t="inlineStr">
        <is>
          <t>Varies</t>
        </is>
      </c>
      <c r="Z14" s="97" t="inlineStr">
        <is>
          <t>Varies</t>
        </is>
      </c>
      <c r="AA14" s="113" t="inlineStr">
        <is>
          <t>Varies</t>
        </is>
      </c>
      <c r="AB14" s="134" t="inlineStr">
        <is>
          <t>Varies</t>
        </is>
      </c>
      <c r="AC14" s="136" t="inlineStr">
        <is>
          <t>MODERATE-HIGH</t>
        </is>
      </c>
      <c r="AD14" s="136" t="inlineStr">
        <is>
          <t>Market Rate Comp #3: No income restrictions, 1999 vintage (2 yr diff), 72 units, 28.0 mi from subject. Shows market-rate rents vs. affordable housing discount.</t>
        </is>
      </c>
      <c r="AE14" s="136" t="inlineStr">
        <is>
          <t>https://www.rentcafe.com/apartments-for-rent/us/tx/corsicana/</t>
        </is>
      </c>
      <c r="AF14" s="136" t="n"/>
      <c r="AG14" s="136" t="n"/>
      <c r="AH14" s="136" t="n"/>
      <c r="AI14" s="136" t="n"/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n">
        <v>4</v>
      </c>
      <c r="B15" s="69" t="inlineStr">
        <is>
          <t>MARKET RATE</t>
        </is>
      </c>
      <c r="C15" s="66" t="inlineStr">
        <is>
          <t>Townhouse Apartments</t>
        </is>
      </c>
      <c r="D15" s="95" t="inlineStr">
        <is>
          <t>1001 Biloxi Dr</t>
        </is>
      </c>
      <c r="E15" s="95" t="inlineStr">
        <is>
          <t>Ennis</t>
        </is>
      </c>
      <c r="F15" s="95" t="inlineStr">
        <is>
          <t>TX</t>
        </is>
      </c>
      <c r="G15" s="95" t="inlineStr">
        <is>
          <t>75119</t>
        </is>
      </c>
      <c r="H15" s="95" t="inlineStr">
        <is>
          <t>0.9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N/A (Market Rate)</t>
        </is>
      </c>
      <c r="L15" s="157" t="n">
        <v>1014</v>
      </c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N/A (Market Rate)</t>
        </is>
      </c>
      <c r="P15" s="157" t="n">
        <v>1505</v>
      </c>
      <c r="Q15" s="96" t="inlineStr">
        <is>
          <t>N/A (Market Rate)</t>
        </is>
      </c>
      <c r="R15" s="96" t="inlineStr">
        <is>
          <t>N/A (Market Rate)</t>
        </is>
      </c>
      <c r="S15" s="96" t="inlineStr">
        <is>
          <t>$2,431</t>
        </is>
      </c>
      <c r="T15" s="96" t="inlineStr">
        <is>
          <t>$1,400</t>
        </is>
      </c>
      <c r="U15" s="96" t="inlineStr">
        <is>
          <t>80</t>
        </is>
      </c>
      <c r="V15" s="96" t="inlineStr">
        <is>
          <t>2002</t>
        </is>
      </c>
      <c r="W15" s="96" t="inlineStr">
        <is>
          <t>1</t>
        </is>
      </c>
      <c r="X15" s="96" t="inlineStr">
        <is>
          <t>Varies</t>
        </is>
      </c>
      <c r="Y15" s="45" t="inlineStr">
        <is>
          <t>Varies</t>
        </is>
      </c>
      <c r="Z15" s="97" t="inlineStr">
        <is>
          <t>Varies</t>
        </is>
      </c>
      <c r="AA15" s="113" t="inlineStr">
        <is>
          <t>Varies</t>
        </is>
      </c>
      <c r="AB15" s="134" t="inlineStr">
        <is>
          <t>Varies</t>
        </is>
      </c>
      <c r="AC15" s="136" t="inlineStr">
        <is>
          <t>MODERATE-HIGH</t>
        </is>
      </c>
      <c r="AD15" s="136" t="inlineStr">
        <is>
          <t>Market Rate Comp #4: No income restrictions, 2002 vintage (1 yr diff), 80 units, 18.0 mi from subject. Shows market-rate rents vs. affordable housing discount.</t>
        </is>
      </c>
      <c r="AE15" s="136" t="inlineStr">
        <is>
          <t>https://www.rentcafe.com/apartments-for-rent/us/tx/midlothian/</t>
        </is>
      </c>
      <c r="AF15" s="136" t="n"/>
      <c r="AG15" s="136" t="n"/>
      <c r="AH15" s="136" t="n"/>
      <c r="AI15" s="136" t="n"/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n">
        <v>5</v>
      </c>
      <c r="B16" s="82" t="inlineStr">
        <is>
          <t>MARKET RATE</t>
        </is>
      </c>
      <c r="C16" s="119" t="inlineStr">
        <is>
          <t>Emerald Garden Apartments</t>
        </is>
      </c>
      <c r="D16" s="120" t="inlineStr">
        <is>
          <t>901 N I-45</t>
        </is>
      </c>
      <c r="E16" s="120" t="inlineStr">
        <is>
          <t>Ennis</t>
        </is>
      </c>
      <c r="F16" s="120" t="inlineStr">
        <is>
          <t>TX</t>
        </is>
      </c>
      <c r="G16" s="120" t="inlineStr">
        <is>
          <t>75119</t>
        </is>
      </c>
      <c r="H16" s="120" t="inlineStr">
        <is>
          <t>1.1 mi</t>
        </is>
      </c>
      <c r="I16" s="120" t="inlineStr">
        <is>
          <t>N/A (Market Rate)</t>
        </is>
      </c>
      <c r="J16" s="120" t="inlineStr">
        <is>
          <t>N/A (Market Rate)</t>
        </is>
      </c>
      <c r="K16" s="121" t="inlineStr">
        <is>
          <t>N/A (Market Rate)</t>
        </is>
      </c>
      <c r="L16" s="159" t="n">
        <v>1025</v>
      </c>
      <c r="M16" s="122" t="inlineStr">
        <is>
          <t>N/A (Market Rate)</t>
        </is>
      </c>
      <c r="N16" s="122" t="inlineStr">
        <is>
          <t>N/A (Market Rate)</t>
        </is>
      </c>
      <c r="O16" s="121" t="inlineStr">
        <is>
          <t>N/A (Market Rate)</t>
        </is>
      </c>
      <c r="P16" s="159" t="n">
        <v>1150</v>
      </c>
      <c r="Q16" s="122" t="inlineStr">
        <is>
          <t>N/A (Market Rate)</t>
        </is>
      </c>
      <c r="R16" s="122" t="inlineStr">
        <is>
          <t>N/A (Market Rate)</t>
        </is>
      </c>
      <c r="S16" s="122" t="inlineStr">
        <is>
          <t>N/A (Market Rate)</t>
        </is>
      </c>
      <c r="T16" s="160" t="n">
        <v>1600</v>
      </c>
      <c r="U16" s="122" t="inlineStr">
        <is>
          <t>N/A</t>
        </is>
      </c>
      <c r="V16" s="122" t="inlineStr">
        <is>
          <t>N/A</t>
        </is>
      </c>
      <c r="W16" s="122" t="inlineStr">
        <is>
          <t>N/A</t>
        </is>
      </c>
      <c r="X16" s="122" t="inlineStr">
        <is>
          <t>N/A</t>
        </is>
      </c>
      <c r="Y16" s="84" t="inlineStr">
        <is>
          <t>N/A</t>
        </is>
      </c>
      <c r="Z16" s="123" t="inlineStr">
        <is>
          <t>N/A</t>
        </is>
      </c>
      <c r="AA16" s="124" t="inlineStr">
        <is>
          <t>N/A</t>
        </is>
      </c>
      <c r="AB16" s="134" t="inlineStr">
        <is>
          <t>N/A</t>
        </is>
      </c>
      <c r="AC16" s="136" t="inlineStr">
        <is>
          <t>BENCHMARK</t>
        </is>
      </c>
      <c r="AD16" s="136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136" t="inlineStr">
        <is>
          <t>HUD FMR Database (huduser.gov)</t>
        </is>
      </c>
      <c r="AF16" s="136" t="n"/>
      <c r="AG16" s="136" t="n"/>
      <c r="AH16" s="136" t="n"/>
      <c r="AI16" s="136" t="n"/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n">
        <v>6</v>
      </c>
      <c r="B17" s="88" t="inlineStr">
        <is>
          <t>MARKET RATE</t>
        </is>
      </c>
      <c r="C17" s="89" t="inlineStr">
        <is>
          <t>Ennis Place Apartments</t>
        </is>
      </c>
      <c r="D17" s="87" t="inlineStr">
        <is>
          <t>2000 N Kaufman St</t>
        </is>
      </c>
      <c r="E17" s="87" t="inlineStr">
        <is>
          <t>Ennis</t>
        </is>
      </c>
      <c r="F17" s="87" t="inlineStr">
        <is>
          <t>TX</t>
        </is>
      </c>
      <c r="G17" s="87" t="inlineStr">
        <is>
          <t>75119</t>
        </is>
      </c>
      <c r="H17" s="87" t="inlineStr">
        <is>
          <t>0.7 mi</t>
        </is>
      </c>
      <c r="I17" s="87" t="inlineStr">
        <is>
          <t>N/A (Market Rate)</t>
        </is>
      </c>
      <c r="J17" s="87" t="inlineStr">
        <is>
          <t>N/A (Market Rate)</t>
        </is>
      </c>
      <c r="K17" s="90" t="inlineStr">
        <is>
          <t>N/A (Market Rate)</t>
        </is>
      </c>
      <c r="L17" s="161" t="n">
        <v>999</v>
      </c>
      <c r="M17" s="92" t="inlineStr">
        <is>
          <t>$2,124</t>
        </is>
      </c>
      <c r="N17" s="92" t="inlineStr">
        <is>
          <t>$2,124</t>
        </is>
      </c>
      <c r="O17" s="90" t="inlineStr">
        <is>
          <t>$2,124</t>
        </is>
      </c>
      <c r="P17" s="91" t="inlineStr">
        <is>
          <t>N/A</t>
        </is>
      </c>
      <c r="Q17" s="92" t="inlineStr">
        <is>
          <t>$2,674</t>
        </is>
      </c>
      <c r="R17" s="92" t="inlineStr">
        <is>
          <t>$2,674</t>
        </is>
      </c>
      <c r="S17" s="92" t="inlineStr">
        <is>
          <t>$2,674</t>
        </is>
      </c>
      <c r="T17" s="92" t="inlineStr">
        <is>
          <t>N/A</t>
        </is>
      </c>
      <c r="U17" s="92" t="inlineStr">
        <is>
          <t>N/A</t>
        </is>
      </c>
      <c r="V17" s="92" t="inlineStr">
        <is>
          <t>N/A</t>
        </is>
      </c>
      <c r="W17" s="92" t="inlineStr">
        <is>
          <t>N/A</t>
        </is>
      </c>
      <c r="X17" s="92" t="inlineStr">
        <is>
          <t>N/A</t>
        </is>
      </c>
      <c r="Y17" s="93" t="inlineStr">
        <is>
          <t>N/A</t>
        </is>
      </c>
      <c r="Z17" s="94" t="inlineStr">
        <is>
          <t>N/A</t>
        </is>
      </c>
      <c r="AA17" s="92" t="inlineStr">
        <is>
          <t>N/A</t>
        </is>
      </c>
      <c r="AB17" s="136" t="inlineStr">
        <is>
          <t>N/A</t>
        </is>
      </c>
      <c r="AC17" s="136" t="inlineStr">
        <is>
          <t>BENCHMARK</t>
        </is>
      </c>
      <c r="AD17" s="136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136" t="inlineStr">
        <is>
          <t>HUD FMR + Market Estimate</t>
        </is>
      </c>
      <c r="AF17" s="136" t="n"/>
      <c r="AG17" s="136" t="n"/>
      <c r="AH17" s="136" t="n"/>
      <c r="AI17" s="136" t="n"/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F19" s="136" t="n"/>
      <c r="AG19" s="136" t="n"/>
      <c r="AH19" s="136" t="n"/>
      <c r="AI19" s="136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Format="1" customHeight="1" s="2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Format="1" customHeight="1" s="2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Height="1" s="131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Height="1" s="131">
      <c r="A25" s="372" t="n"/>
      <c r="B25" s="201" t="inlineStr">
        <is>
          <t>1BD</t>
        </is>
      </c>
      <c r="C25" s="194" t="n"/>
      <c r="D25" s="200" t="n">
        <v>1047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Format="1" customHeight="1" s="2">
      <c r="A26" s="372" t="n"/>
      <c r="B26" s="201" t="inlineStr">
        <is>
          <t>2BD</t>
        </is>
      </c>
      <c r="C26" s="194" t="n"/>
      <c r="D26" s="200" t="n">
        <v>1427</v>
      </c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24.75" customFormat="1" customHeight="1" s="2">
      <c r="A27" s="369" t="n"/>
      <c r="B27" s="201" t="inlineStr">
        <is>
          <t>3BD</t>
        </is>
      </c>
      <c r="C27" s="194" t="n"/>
      <c r="D27" s="200" t="n">
        <v>1485</v>
      </c>
      <c r="E27" s="195" t="n"/>
      <c r="F27" s="183" t="n"/>
      <c r="G27" s="183" t="n"/>
      <c r="H27" s="183" t="n"/>
      <c r="I27" s="183" t="n"/>
      <c r="J27" s="183" t="n"/>
      <c r="K27" s="302" t="n"/>
      <c r="L27" s="302" t="n"/>
      <c r="M27" s="302" t="n"/>
      <c r="N27" s="302" t="n"/>
      <c r="O27" s="343" t="n"/>
      <c r="P27" s="302" t="n"/>
      <c r="Q27" s="302" t="n"/>
      <c r="R27" s="302" t="n"/>
      <c r="S27" s="302" t="n"/>
      <c r="T27" s="302" t="n"/>
      <c r="U27" s="302" t="n"/>
      <c r="V27" s="302" t="n"/>
      <c r="W27" s="302" t="n"/>
      <c r="X27" s="302" t="n"/>
      <c r="Y27" s="302" t="n"/>
      <c r="Z27" s="302" t="n"/>
      <c r="AA27" s="353" t="n"/>
      <c r="AB27" s="302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8.1" customFormat="1" customHeight="1" s="2">
      <c r="A28" s="382" t="n"/>
      <c r="B28" s="404" t="n"/>
      <c r="C28" s="454" t="n"/>
      <c r="D28" s="404" t="n"/>
      <c r="E28" s="404" t="n"/>
      <c r="F28" s="382" t="n"/>
      <c r="G28" s="369" t="n"/>
      <c r="H28" s="369" t="n"/>
      <c r="I28" s="369" t="n"/>
      <c r="J28" s="369" t="n"/>
      <c r="K28" s="369" t="n"/>
      <c r="L28" s="134" t="n"/>
      <c r="M28" s="134" t="n"/>
      <c r="N28" s="134" t="n"/>
      <c r="O28" s="134" t="n"/>
      <c r="P28" s="134" t="n"/>
      <c r="Q28" s="134" t="n"/>
      <c r="R28" s="134" t="n"/>
      <c r="S28" s="134" t="n"/>
      <c r="T28" s="134" t="n"/>
      <c r="U28" s="134" t="n"/>
      <c r="V28" s="134" t="n"/>
      <c r="W28" s="134" t="n"/>
      <c r="X28" s="134" t="n"/>
      <c r="Y28" s="134" t="n"/>
      <c r="Z28" s="135" t="n"/>
      <c r="AA28" s="134" t="n"/>
      <c r="AB28" s="134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24.75" customFormat="1" customHeight="1" s="2">
      <c r="A29" s="302" t="n"/>
      <c r="B29" s="211" t="inlineStr">
        <is>
          <t>PMTS — Vouchers / FMR / UAP / NET</t>
        </is>
      </c>
      <c r="G29" s="365" t="n"/>
      <c r="H29" s="183" t="n"/>
      <c r="I29" s="183" t="n"/>
      <c r="J29" s="183" t="n"/>
      <c r="K29" s="302" t="n"/>
      <c r="L29" s="302" t="n"/>
      <c r="M29" s="302" t="n"/>
      <c r="N29" s="302" t="n"/>
      <c r="O29" s="302" t="n"/>
      <c r="P29" s="302" t="n"/>
      <c r="Q29" s="302" t="n"/>
      <c r="R29" s="302" t="n"/>
      <c r="S29" s="302" t="n"/>
      <c r="T29" s="302" t="n"/>
      <c r="U29" s="302" t="n"/>
      <c r="V29" s="302" t="n"/>
      <c r="W29" s="302" t="n"/>
      <c r="X29" s="302" t="n"/>
      <c r="Y29" s="302" t="n"/>
      <c r="Z29" s="302" t="n"/>
      <c r="AA29" s="353" t="n"/>
      <c r="AB29" s="302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15.95" customFormat="1" customHeight="1" s="2">
      <c r="A30" s="302" t="n"/>
      <c r="B30" s="226" t="n"/>
      <c r="C30" s="213" t="inlineStr">
        <is>
          <t>MKT</t>
        </is>
      </c>
      <c r="D30" s="213" t="inlineStr">
        <is>
          <t>VCH</t>
        </is>
      </c>
      <c r="E30" s="214" t="inlineStr">
        <is>
          <t>FMR</t>
        </is>
      </c>
      <c r="F30" s="215" t="inlineStr">
        <is>
          <t>UAP</t>
        </is>
      </c>
      <c r="G30" s="216" t="inlineStr">
        <is>
          <t>NET</t>
        </is>
      </c>
      <c r="H30" s="183" t="n"/>
      <c r="I30" s="183" t="n"/>
      <c r="J30" s="183" t="n"/>
      <c r="K30" s="302" t="n"/>
      <c r="L30" s="302" t="n"/>
      <c r="M30" s="302" t="n"/>
      <c r="N30" s="302" t="n"/>
      <c r="O30" s="302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24.75" customHeight="1" s="131">
      <c r="A31" s="372" t="n"/>
      <c r="B31" s="217" t="inlineStr">
        <is>
          <t>1BD</t>
        </is>
      </c>
      <c r="C31" s="197" t="n">
        <v>0</v>
      </c>
      <c r="D31" s="197" t="n">
        <v>1198</v>
      </c>
      <c r="E31" s="198" t="n">
        <v>1290</v>
      </c>
      <c r="F31" s="199" t="n">
        <v>157</v>
      </c>
      <c r="G31" s="218" t="n">
        <v>1133</v>
      </c>
      <c r="H31" s="183" t="n"/>
      <c r="I31" s="183" t="n"/>
      <c r="J31" s="183" t="n"/>
      <c r="K31" s="302" t="n"/>
      <c r="L31" s="302" t="n"/>
      <c r="M31" s="302" t="n"/>
      <c r="N31" s="302" t="n"/>
      <c r="O31" s="343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24.75" customHeight="1" s="131">
      <c r="A32" s="369" t="n"/>
      <c r="B32" s="217" t="inlineStr">
        <is>
          <t>2BD</t>
        </is>
      </c>
      <c r="C32" s="197" t="n">
        <v>0</v>
      </c>
      <c r="D32" s="197" t="n">
        <v>1430</v>
      </c>
      <c r="E32" s="198" t="n">
        <v>1520</v>
      </c>
      <c r="F32" s="199" t="n">
        <v>196</v>
      </c>
      <c r="G32" s="218" t="n">
        <v>1324</v>
      </c>
      <c r="H32" s="183" t="n"/>
      <c r="I32" s="183" t="n"/>
      <c r="J32" s="183" t="n"/>
      <c r="K32" s="302" t="n"/>
      <c r="L32" s="302" t="n"/>
      <c r="M32" s="302" t="n"/>
      <c r="N32" s="302" t="n"/>
      <c r="O32" s="343" t="n"/>
      <c r="P32" s="302" t="n"/>
      <c r="Q32" s="302" t="n"/>
      <c r="R32" s="302" t="n"/>
      <c r="S32" s="302" t="n"/>
      <c r="T32" s="302" t="n"/>
      <c r="U32" s="302" t="n"/>
      <c r="V32" s="302" t="n"/>
      <c r="W32" s="302" t="n"/>
      <c r="X32" s="302" t="n"/>
      <c r="Y32" s="302" t="n"/>
      <c r="Z32" s="302" t="n"/>
      <c r="AA32" s="353" t="n"/>
      <c r="AB32" s="302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24.75" customFormat="1" customHeight="1" s="2">
      <c r="A33" s="382" t="n"/>
      <c r="B33" s="217" t="inlineStr">
        <is>
          <t>3BD</t>
        </is>
      </c>
      <c r="C33" s="197" t="n">
        <v>0</v>
      </c>
      <c r="D33" s="197" t="n">
        <v>1645</v>
      </c>
      <c r="E33" s="198" t="n">
        <v>1900</v>
      </c>
      <c r="F33" s="199" t="n">
        <v>233</v>
      </c>
      <c r="G33" s="218" t="n">
        <v>1667</v>
      </c>
      <c r="H33" s="183" t="n"/>
      <c r="I33" s="183" t="n"/>
      <c r="J33" s="183" t="n"/>
      <c r="K33" s="302" t="n"/>
      <c r="L33" s="302" t="n"/>
      <c r="M33" s="302" t="n"/>
      <c r="N33" s="302" t="n"/>
      <c r="O33" s="343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8.1" customFormat="1" customHeight="1" s="2">
      <c r="A34" s="372" t="n"/>
      <c r="B34" s="372" t="n"/>
      <c r="C34" s="372" t="n"/>
      <c r="D34" s="372" t="n"/>
      <c r="E34" s="372" t="n"/>
      <c r="F34" s="369" t="n"/>
      <c r="G34" s="369" t="n"/>
      <c r="H34" s="369" t="n"/>
      <c r="I34" s="369" t="n"/>
      <c r="J34" s="369" t="n"/>
      <c r="K34" s="369" t="n"/>
      <c r="L34" s="136" t="n"/>
      <c r="M34" s="136" t="n"/>
      <c r="N34" s="136" t="n"/>
      <c r="O34" s="136" t="n"/>
      <c r="P34" s="136" t="n"/>
      <c r="Q34" s="136" t="n"/>
      <c r="R34" s="136" t="n"/>
      <c r="S34" s="136" t="n"/>
      <c r="T34" s="136" t="n"/>
      <c r="U34" s="136" t="n"/>
      <c r="V34" s="136" t="n"/>
      <c r="W34" s="136" t="n"/>
      <c r="X34" s="136" t="n"/>
      <c r="Y34" s="136" t="n"/>
      <c r="Z34" s="136" t="n"/>
      <c r="AA34" s="136" t="n"/>
      <c r="AB34" s="136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24.75" customFormat="1" customHeight="1" s="2">
      <c r="A35" s="302" t="n"/>
      <c r="B35" s="366" t="inlineStr">
        <is>
          <t>LIHTC, UAP, NET</t>
        </is>
      </c>
      <c r="C35" s="358" t="n"/>
      <c r="D35" s="358" t="n"/>
      <c r="E35" s="358" t="n"/>
      <c r="F35" s="358" t="n"/>
      <c r="G35" s="359" t="n"/>
      <c r="H35" s="183" t="n"/>
      <c r="I35" s="183" t="n"/>
      <c r="J35" s="183" t="n"/>
      <c r="K35" s="302" t="n"/>
      <c r="L35" s="302" t="n"/>
      <c r="M35" s="302" t="n"/>
      <c r="N35" s="302" t="n"/>
      <c r="O35" s="302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16.5" customFormat="1" customHeight="1" s="2">
      <c r="A36" s="369" t="n"/>
      <c r="B36" s="226" t="n"/>
      <c r="C36" s="228" t="inlineStr">
        <is>
          <t>LIHTC/MKT</t>
        </is>
      </c>
      <c r="D36" s="228" t="inlineStr">
        <is>
          <t>60%</t>
        </is>
      </c>
      <c r="E36" s="215" t="inlineStr">
        <is>
          <t>UAP</t>
        </is>
      </c>
      <c r="F36" s="216" t="inlineStr">
        <is>
          <t>NET</t>
        </is>
      </c>
      <c r="G36" s="183" t="n"/>
      <c r="H36" s="183" t="n"/>
      <c r="I36" s="183" t="n"/>
      <c r="J36" s="183" t="n"/>
      <c r="K36" s="302" t="n"/>
      <c r="L36" s="302" t="n"/>
      <c r="M36" s="302" t="n"/>
      <c r="N36" s="302" t="n"/>
      <c r="O36" s="343" t="n"/>
      <c r="P36" s="302" t="n"/>
      <c r="Q36" s="302" t="n"/>
      <c r="R36" s="302" t="n"/>
      <c r="S36" s="302" t="n"/>
      <c r="T36" s="302" t="n"/>
      <c r="U36" s="302" t="n"/>
      <c r="V36" s="302" t="n"/>
      <c r="W36" s="302" t="n"/>
      <c r="X36" s="302" t="n"/>
      <c r="Y36" s="302" t="n"/>
      <c r="Z36" s="302" t="n"/>
      <c r="AA36" s="353" t="n"/>
      <c r="AB36" s="302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24.75" customFormat="1" customHeight="1" s="2">
      <c r="A37" s="369" t="n"/>
      <c r="B37" s="224" t="inlineStr">
        <is>
          <t>1BD</t>
        </is>
      </c>
      <c r="C37" s="225" t="n">
        <v>1355</v>
      </c>
      <c r="D37" s="225" t="n">
        <v>1198</v>
      </c>
      <c r="E37" s="225" t="n">
        <v>157</v>
      </c>
      <c r="F37" s="223" t="n">
        <v>1041</v>
      </c>
      <c r="G37" s="183" t="n"/>
      <c r="H37" s="183" t="n"/>
      <c r="I37" s="183" t="n"/>
      <c r="J37" s="183" t="n"/>
      <c r="K37" s="302" t="n"/>
      <c r="L37" s="302" t="n"/>
      <c r="M37" s="302" t="n"/>
      <c r="N37" s="302" t="n"/>
      <c r="O37" s="343" t="n"/>
      <c r="P37" s="302" t="n"/>
      <c r="Q37" s="302" t="n"/>
      <c r="R37" s="302" t="n"/>
      <c r="S37" s="302" t="n"/>
      <c r="T37" s="302" t="n"/>
      <c r="U37" s="302" t="n"/>
      <c r="V37" s="302" t="n"/>
      <c r="W37" s="302" t="n"/>
      <c r="X37" s="302" t="n"/>
      <c r="Y37" s="302" t="n"/>
      <c r="Z37" s="302" t="n"/>
      <c r="AA37" s="353" t="n"/>
      <c r="AB37" s="302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24.75" customHeight="1" s="131">
      <c r="A38" s="372" t="n"/>
      <c r="B38" s="224" t="inlineStr">
        <is>
          <t>2BD</t>
        </is>
      </c>
      <c r="C38" s="225" t="n">
        <v>1626</v>
      </c>
      <c r="D38" s="225" t="n">
        <v>1430</v>
      </c>
      <c r="E38" s="225" t="n">
        <v>196</v>
      </c>
      <c r="F38" s="223" t="n">
        <v>1234</v>
      </c>
      <c r="G38" s="183" t="n"/>
      <c r="H38" s="183" t="n"/>
      <c r="I38" s="183" t="n"/>
      <c r="J38" s="183" t="n"/>
      <c r="K38" s="302" t="n"/>
      <c r="L38" s="302" t="n"/>
      <c r="M38" s="302" t="n"/>
      <c r="N38" s="302" t="n"/>
      <c r="O38" s="343" t="n"/>
      <c r="P38" s="302" t="n"/>
      <c r="Q38" s="302" t="n"/>
      <c r="R38" s="302" t="n"/>
      <c r="S38" s="302" t="n"/>
      <c r="T38" s="302" t="n"/>
      <c r="U38" s="302" t="n"/>
      <c r="V38" s="302" t="n"/>
      <c r="W38" s="302" t="n"/>
      <c r="X38" s="302" t="n"/>
      <c r="Y38" s="302" t="n"/>
      <c r="Z38" s="302" t="n"/>
      <c r="AA38" s="353" t="n"/>
      <c r="AB38" s="302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24.75" customHeight="1" s="131">
      <c r="A39" s="372" t="n"/>
      <c r="B39" s="224" t="inlineStr">
        <is>
          <t>3BD</t>
        </is>
      </c>
      <c r="C39" s="225" t="n">
        <v>1878</v>
      </c>
      <c r="D39" s="225" t="n">
        <v>1645</v>
      </c>
      <c r="E39" s="225" t="n">
        <v>233</v>
      </c>
      <c r="F39" s="223" t="n">
        <v>1412</v>
      </c>
      <c r="G39" s="183" t="n"/>
      <c r="H39" s="183" t="n"/>
      <c r="I39" s="183" t="n"/>
      <c r="J39" s="183" t="n"/>
      <c r="K39" s="302" t="n"/>
      <c r="L39" s="302" t="n"/>
      <c r="M39" s="302" t="n"/>
      <c r="N39" s="302" t="n"/>
      <c r="O39" s="343" t="n"/>
      <c r="P39" s="302" t="n"/>
      <c r="Q39" s="302" t="n"/>
      <c r="R39" s="302" t="n"/>
      <c r="S39" s="302" t="n"/>
      <c r="T39" s="302" t="n"/>
      <c r="U39" s="302" t="n"/>
      <c r="V39" s="302" t="n"/>
      <c r="W39" s="302" t="n"/>
      <c r="X39" s="302" t="n"/>
      <c r="Y39" s="302" t="n"/>
      <c r="Z39" s="302" t="n"/>
      <c r="AA39" s="353" t="n"/>
      <c r="AB39" s="302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ht="18" customFormat="1" customHeight="1" s="2">
      <c r="A40" s="372" t="n"/>
      <c r="B40" s="392" t="n"/>
      <c r="C40" s="392" t="n"/>
      <c r="D40" s="369" t="n"/>
      <c r="E40" s="369" t="n"/>
      <c r="F40" s="369" t="n"/>
      <c r="G40" s="369" t="n"/>
      <c r="H40" s="369" t="n"/>
      <c r="I40" s="369" t="n"/>
      <c r="J40" s="369" t="n"/>
      <c r="K40" s="369" t="n"/>
      <c r="L40" s="136" t="n"/>
      <c r="M40" s="136" t="n"/>
      <c r="N40" s="136" t="n"/>
      <c r="O40" s="136" t="n"/>
      <c r="P40" s="136" t="n"/>
      <c r="Q40" s="136" t="n"/>
      <c r="R40" s="136" t="n"/>
      <c r="S40" s="136" t="n"/>
      <c r="T40" s="136" t="n"/>
      <c r="U40" s="136" t="n"/>
      <c r="V40" s="136" t="n"/>
      <c r="W40" s="136" t="n"/>
      <c r="X40" s="136" t="n"/>
      <c r="Y40" s="136" t="n"/>
      <c r="Z40" s="136" t="n"/>
      <c r="AA40" s="136" t="n"/>
      <c r="AB40" s="136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ht="18" customFormat="1" customHeight="1" s="2">
      <c r="A41" s="369" t="n"/>
      <c r="B41" s="371" t="n"/>
      <c r="C41" s="371" t="n"/>
      <c r="D41" s="371" t="n"/>
      <c r="E41" s="371" t="n"/>
      <c r="F41" s="371" t="n"/>
      <c r="G41" s="369" t="n"/>
      <c r="H41" s="369" t="n"/>
      <c r="I41" s="369" t="n"/>
      <c r="J41" s="369" t="n"/>
      <c r="K41" s="369" t="n"/>
      <c r="L41" s="136" t="n"/>
      <c r="M41" s="136" t="n"/>
      <c r="N41" s="136" t="n"/>
      <c r="O41" s="136" t="n"/>
      <c r="P41" s="136" t="n"/>
      <c r="Q41" s="136" t="n"/>
      <c r="R41" s="136" t="n"/>
      <c r="S41" s="136" t="n"/>
      <c r="T41" s="136" t="n"/>
      <c r="U41" s="136" t="n"/>
      <c r="V41" s="136" t="n"/>
      <c r="W41" s="136" t="n"/>
      <c r="X41" s="136" t="n"/>
      <c r="Y41" s="136" t="n"/>
      <c r="Z41" s="136" t="n"/>
      <c r="AA41" s="136" t="n"/>
      <c r="AB41" s="136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ht="24.75" customFormat="1" customHeight="1" s="2">
      <c r="A42" s="302" t="n"/>
      <c r="B42" s="207" t="inlineStr">
        <is>
          <t>HAP, CoStar, NET</t>
        </is>
      </c>
      <c r="H42" s="183" t="n"/>
      <c r="I42" s="183" t="n"/>
      <c r="J42" s="183" t="n"/>
      <c r="K42" s="302" t="n"/>
      <c r="L42" s="302" t="n"/>
      <c r="M42" s="302" t="n"/>
      <c r="N42" s="302" t="n"/>
      <c r="O42" s="302" t="n"/>
      <c r="P42" s="302" t="n"/>
      <c r="Q42" s="302" t="n"/>
      <c r="R42" s="302" t="n"/>
      <c r="S42" s="302" t="n"/>
      <c r="T42" s="302" t="n"/>
      <c r="U42" s="302" t="n"/>
      <c r="V42" s="302" t="n"/>
      <c r="W42" s="302" t="n"/>
      <c r="X42" s="302" t="n"/>
      <c r="Y42" s="302" t="n"/>
      <c r="Z42" s="302" t="n"/>
      <c r="AA42" s="353" t="n"/>
      <c r="AB42" s="302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ht="15.95" customFormat="1" customHeight="1" s="2">
      <c r="A43" s="302" t="n"/>
      <c r="B43" s="227" t="n"/>
      <c r="C43" s="208" t="inlineStr">
        <is>
          <t>HAP</t>
        </is>
      </c>
      <c r="D43" s="209" t="inlineStr">
        <is>
          <t>CoStar</t>
        </is>
      </c>
      <c r="E43" s="302" t="n"/>
      <c r="F43" s="302" t="n"/>
      <c r="G43" s="302" t="n"/>
      <c r="H43" s="183" t="n"/>
      <c r="I43" s="183" t="n"/>
      <c r="J43" s="183" t="n"/>
      <c r="K43" s="302" t="n"/>
      <c r="L43" s="302" t="n"/>
      <c r="M43" s="302" t="n"/>
      <c r="N43" s="302" t="n"/>
      <c r="O43" s="302" t="n"/>
      <c r="P43" s="302" t="n"/>
      <c r="Q43" s="302" t="n"/>
      <c r="R43" s="302" t="n"/>
      <c r="S43" s="302" t="n"/>
      <c r="T43" s="302" t="n"/>
      <c r="U43" s="302" t="n"/>
      <c r="V43" s="302" t="n"/>
      <c r="W43" s="302" t="n"/>
      <c r="X43" s="302" t="n"/>
      <c r="Y43" s="302" t="n"/>
      <c r="Z43" s="302" t="n"/>
      <c r="AA43" s="353" t="n"/>
      <c r="AB43" s="302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ht="24.75" customFormat="1" customHeight="1" s="2">
      <c r="A44" s="302" t="n"/>
      <c r="B44" s="196" t="inlineStr">
        <is>
          <t>1BD</t>
        </is>
      </c>
      <c r="C44" s="199" t="n">
        <v>0</v>
      </c>
      <c r="D44" s="198" t="n">
        <v>1248</v>
      </c>
      <c r="E44" s="183" t="n"/>
      <c r="F44" s="183" t="n"/>
      <c r="G44" s="183" t="n"/>
      <c r="H44" s="183" t="n"/>
      <c r="I44" s="183" t="n"/>
      <c r="J44" s="183" t="n"/>
      <c r="K44" s="302" t="n"/>
      <c r="L44" s="302" t="n"/>
      <c r="M44" s="302" t="n"/>
      <c r="N44" s="302" t="n"/>
      <c r="O44" s="302" t="n"/>
      <c r="P44" s="302" t="n"/>
      <c r="Q44" s="302" t="n"/>
      <c r="R44" s="302" t="n"/>
      <c r="S44" s="302" t="n"/>
      <c r="T44" s="302" t="n"/>
      <c r="U44" s="302" t="n"/>
      <c r="V44" s="302" t="n"/>
      <c r="W44" s="302" t="n"/>
      <c r="X44" s="302" t="n"/>
      <c r="Y44" s="302" t="n"/>
      <c r="Z44" s="302" t="n"/>
      <c r="AA44" s="353" t="n"/>
      <c r="AB44" s="302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ht="24.75" customHeight="1" s="131">
      <c r="A45" s="302" t="n"/>
      <c r="B45" s="196" t="inlineStr">
        <is>
          <t>2BD</t>
        </is>
      </c>
      <c r="C45" s="199" t="n">
        <v>0</v>
      </c>
      <c r="D45" s="198" t="n">
        <v>1463</v>
      </c>
      <c r="E45" s="183" t="n"/>
      <c r="F45" s="183" t="n"/>
      <c r="G45" s="183" t="n"/>
      <c r="H45" s="183" t="n"/>
      <c r="I45" s="183" t="n"/>
      <c r="J45" s="183" t="n"/>
      <c r="K45" s="302" t="n"/>
      <c r="L45" s="302" t="n"/>
      <c r="M45" s="302" t="n"/>
      <c r="N45" s="302" t="n"/>
      <c r="O45" s="302" t="n"/>
      <c r="P45" s="302" t="n"/>
      <c r="Q45" s="302" t="n"/>
      <c r="R45" s="302" t="n"/>
      <c r="S45" s="302" t="n"/>
      <c r="T45" s="302" t="n"/>
      <c r="U45" s="302" t="n"/>
      <c r="V45" s="302" t="n"/>
      <c r="W45" s="302" t="n"/>
      <c r="X45" s="302" t="n"/>
      <c r="Y45" s="302" t="n"/>
      <c r="Z45" s="302" t="n"/>
      <c r="AA45" s="353" t="n"/>
      <c r="AB45" s="302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ht="24.75" customHeight="1" s="131">
      <c r="A46" s="302" t="n"/>
      <c r="B46" s="196" t="inlineStr">
        <is>
          <t>3BD</t>
        </is>
      </c>
      <c r="C46" s="199" t="n">
        <v>0</v>
      </c>
      <c r="D46" s="198" t="n">
        <v>1798</v>
      </c>
      <c r="E46" s="183" t="n"/>
      <c r="F46" s="183" t="n"/>
      <c r="G46" s="183" t="n"/>
      <c r="H46" s="183" t="n"/>
      <c r="I46" s="183" t="n"/>
      <c r="J46" s="183" t="n"/>
      <c r="K46" s="302" t="n"/>
      <c r="L46" s="302" t="n"/>
      <c r="M46" s="302" t="n"/>
      <c r="N46" s="302" t="n"/>
      <c r="O46" s="302" t="n"/>
      <c r="P46" s="302" t="n"/>
      <c r="Q46" s="302" t="n"/>
      <c r="R46" s="302" t="n"/>
      <c r="S46" s="302" t="n"/>
      <c r="T46" s="302" t="n"/>
      <c r="U46" s="302" t="n"/>
      <c r="V46" s="302" t="n"/>
      <c r="W46" s="302" t="n"/>
      <c r="X46" s="302" t="n"/>
      <c r="Y46" s="302" t="n"/>
      <c r="Z46" s="302" t="n"/>
      <c r="AA46" s="353" t="n"/>
      <c r="AB46" s="302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s="131">
      <c r="A47" s="369" t="n"/>
      <c r="B47" s="369" t="n"/>
      <c r="C47" s="369" t="n"/>
      <c r="D47" s="369" t="n"/>
      <c r="E47" s="369" t="n"/>
      <c r="F47" s="369" t="n"/>
      <c r="G47" s="369" t="n"/>
      <c r="H47" s="369" t="n"/>
      <c r="I47" s="369" t="n"/>
      <c r="J47" s="369" t="n"/>
      <c r="K47" s="369" t="n"/>
      <c r="L47" s="136" t="n"/>
      <c r="M47" s="136" t="n"/>
      <c r="N47" s="136" t="n"/>
      <c r="O47" s="136" t="n"/>
      <c r="P47" s="136" t="n"/>
      <c r="Q47" s="136" t="n"/>
      <c r="R47" s="136" t="n"/>
      <c r="S47" s="136" t="n"/>
      <c r="T47" s="136" t="n"/>
      <c r="U47" s="136" t="n"/>
      <c r="V47" s="136" t="n"/>
      <c r="W47" s="136" t="n"/>
      <c r="X47" s="136" t="n"/>
      <c r="Y47" s="136" t="n"/>
      <c r="Z47" s="136" t="n"/>
      <c r="AA47" s="136" t="n"/>
      <c r="AB47" s="136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s="131">
      <c r="A48" s="369" t="n"/>
      <c r="B48" s="369" t="n"/>
      <c r="C48" s="369" t="n"/>
      <c r="D48" s="369" t="n"/>
      <c r="E48" s="369" t="n"/>
      <c r="F48" s="369" t="n"/>
      <c r="G48" s="369" t="n"/>
      <c r="H48" s="369" t="n"/>
      <c r="I48" s="369" t="n"/>
      <c r="J48" s="369" t="n"/>
      <c r="K48" s="369" t="n"/>
      <c r="L48" s="136" t="n"/>
      <c r="M48" s="136" t="n"/>
      <c r="N48" s="136" t="n"/>
      <c r="O48" s="136" t="n"/>
      <c r="P48" s="136" t="n"/>
      <c r="Q48" s="136" t="n"/>
      <c r="R48" s="136" t="n"/>
      <c r="S48" s="136" t="n"/>
      <c r="T48" s="136" t="n"/>
      <c r="U48" s="136" t="n"/>
      <c r="V48" s="136" t="n"/>
      <c r="W48" s="136" t="n"/>
      <c r="X48" s="136" t="n"/>
      <c r="Y48" s="136" t="n"/>
      <c r="Z48" s="136" t="n"/>
      <c r="AA48" s="136" t="n"/>
      <c r="AB48" s="136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s="131">
      <c r="A49" s="369" t="n"/>
      <c r="B49" s="369" t="n"/>
      <c r="C49" s="369" t="n"/>
      <c r="D49" s="369" t="n"/>
      <c r="E49" s="369" t="n"/>
      <c r="F49" s="369" t="n"/>
      <c r="G49" s="369" t="n"/>
      <c r="H49" s="369" t="n"/>
      <c r="I49" s="369" t="n"/>
      <c r="J49" s="369" t="n"/>
      <c r="K49" s="369" t="n"/>
      <c r="L49" s="136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6" t="n"/>
      <c r="Y49" s="136" t="n"/>
      <c r="Z49" s="136" t="n"/>
      <c r="AA49" s="136" t="n"/>
      <c r="AB49" s="136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s="131">
      <c r="A50" s="369" t="n"/>
      <c r="B50" s="369" t="n"/>
      <c r="C50" s="369" t="n"/>
      <c r="D50" s="369" t="n"/>
      <c r="E50" s="369" t="n"/>
      <c r="F50" s="369" t="n"/>
      <c r="G50" s="369" t="n"/>
      <c r="H50" s="369" t="n"/>
      <c r="I50" s="369" t="n"/>
      <c r="J50" s="369" t="n"/>
      <c r="K50" s="369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  <row r="51"/>
    <row r="52"/>
    <row r="53"/>
  </sheetData>
  <mergeCells count="9">
    <mergeCell ref="B4:AB4"/>
    <mergeCell ref="B42:G42"/>
    <mergeCell ref="B22:G22"/>
    <mergeCell ref="B2:AB2"/>
    <mergeCell ref="B23:G23"/>
    <mergeCell ref="B20:I20"/>
    <mergeCell ref="B35:G35"/>
    <mergeCell ref="B3:AB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GROVE PARK TERRACE | GREEN = Affordable Comps | BLUE = Market Rate Comps</t>
        </is>
      </c>
      <c r="AF3" s="136" t="n"/>
      <c r="AG3" s="136" t="n"/>
      <c r="AH3" s="136" t="n"/>
      <c r="AI3" s="136" t="n"/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Grove Park Terrace | 400 Peters St, Waxahachie, TX 75165 | 60 units | Program: Layered HUD/LIHTC | Bedroom Mix: 1BR / 2BR / 3BR | County AMI: $117,300 | FMR Area: Dallas-Fort Worth MSA</t>
        </is>
      </c>
      <c r="AF4" s="136" t="n"/>
      <c r="AG4" s="136" t="n"/>
      <c r="AH4" s="136" t="n"/>
      <c r="AI4" s="136" t="n"/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F5" s="136" t="n"/>
      <c r="AG5" s="136" t="n"/>
      <c r="AH5" s="136" t="n"/>
      <c r="AI5" s="136" t="n"/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1BD 50% AMI ($)</t>
        </is>
      </c>
      <c r="J6" s="280" t="inlineStr">
        <is>
          <t>1BD 60% AMI ($)</t>
        </is>
      </c>
      <c r="K6" s="280" t="inlineStr">
        <is>
          <t>1BR FMR ($)</t>
        </is>
      </c>
      <c r="L6" s="335" t="inlineStr">
        <is>
          <t>1BR Actual ($)</t>
        </is>
      </c>
      <c r="M6" s="281" t="inlineStr">
        <is>
          <t>2BD 50% AMI ($)</t>
        </is>
      </c>
      <c r="N6" s="280" t="inlineStr">
        <is>
          <t>2BD 60% AMI ($)</t>
        </is>
      </c>
      <c r="O6" s="280" t="inlineStr">
        <is>
          <t>2BR FMR ($)</t>
        </is>
      </c>
      <c r="P6" s="335" t="inlineStr">
        <is>
          <t>2BR Actual ($)</t>
        </is>
      </c>
      <c r="Q6" s="281" t="inlineStr">
        <is>
          <t>3BD 50% AMI ($)</t>
        </is>
      </c>
      <c r="R6" s="280" t="inlineStr">
        <is>
          <t>3BD 60% AMI ($)</t>
        </is>
      </c>
      <c r="S6" s="280" t="inlineStr">
        <is>
          <t>3BR FMR ($)</t>
        </is>
      </c>
      <c r="T6" s="339" t="inlineStr">
        <is>
          <t>3BR Actual ($)</t>
        </is>
      </c>
      <c r="U6" s="339" t="inlineStr">
        <is>
          <t># Units</t>
        </is>
      </c>
      <c r="V6" s="339" t="inlineStr">
        <is>
          <t>Year Built</t>
        </is>
      </c>
      <c r="W6" s="339" t="inlineStr">
        <is>
          <t>Yr Diff</t>
        </is>
      </c>
      <c r="X6" s="339" t="inlineStr">
        <is>
          <t>Utilities Incl.</t>
        </is>
      </c>
      <c r="Y6" s="339" t="inlineStr">
        <is>
          <t>Pet Friendly</t>
        </is>
      </c>
      <c r="Z6" s="336" t="inlineStr">
        <is>
          <t>Gated</t>
        </is>
      </c>
      <c r="AA6" s="340" t="inlineStr">
        <is>
          <t>Pool</t>
        </is>
      </c>
      <c r="AB6" s="342" t="inlineStr">
        <is>
          <t>W/D In-Unit</t>
        </is>
      </c>
      <c r="AC6" s="136" t="inlineStr">
        <is>
          <t>Competition Level</t>
        </is>
      </c>
      <c r="AD6" s="136" t="inlineStr">
        <is>
          <t>Why Competitive</t>
        </is>
      </c>
      <c r="AE6" s="136" t="inlineStr">
        <is>
          <t>Data Source</t>
        </is>
      </c>
      <c r="AF6" s="136" t="n"/>
      <c r="AG6" s="136" t="n"/>
      <c r="AH6" s="136" t="n"/>
      <c r="AI6" s="136" t="n"/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Grove Park Terrace (SUBJECT)</t>
        </is>
      </c>
      <c r="D7" s="174" t="inlineStr">
        <is>
          <t>400 Peters St</t>
        </is>
      </c>
      <c r="E7" s="174" t="inlineStr">
        <is>
          <t>Waxahachie</t>
        </is>
      </c>
      <c r="F7" s="174" t="inlineStr">
        <is>
          <t>TX</t>
        </is>
      </c>
      <c r="G7" s="174" t="inlineStr">
        <is>
          <t>75165</t>
        </is>
      </c>
      <c r="H7" s="174" t="inlineStr">
        <is>
          <t>0.0 mi</t>
        </is>
      </c>
      <c r="I7" s="174" t="inlineStr">
        <is>
          <t>$3,668</t>
        </is>
      </c>
      <c r="J7" s="174" t="inlineStr">
        <is>
          <t>$4,402</t>
        </is>
      </c>
      <c r="K7" s="174" t="inlineStr">
        <is>
          <t>$1,411</t>
        </is>
      </c>
      <c r="L7" s="368">
        <f>B26</f>
        <v/>
      </c>
      <c r="M7" s="174" t="inlineStr">
        <is>
          <t>$4,400</t>
        </is>
      </c>
      <c r="N7" s="174" t="inlineStr">
        <is>
          <t>$5,280</t>
        </is>
      </c>
      <c r="O7" s="174" t="inlineStr">
        <is>
          <t>$1,931</t>
        </is>
      </c>
      <c r="P7" s="368">
        <f>B27</f>
        <v/>
      </c>
      <c r="Q7" s="174" t="inlineStr">
        <is>
          <t>$4,887</t>
        </is>
      </c>
      <c r="R7" s="174" t="inlineStr">
        <is>
          <t>$5,865</t>
        </is>
      </c>
      <c r="S7" s="174" t="inlineStr">
        <is>
          <t>$2,431</t>
        </is>
      </c>
      <c r="T7" s="368">
        <f>B28</f>
        <v/>
      </c>
      <c r="U7" s="174" t="inlineStr">
        <is>
          <t>60</t>
        </is>
      </c>
      <c r="V7" s="174" t="inlineStr">
        <is>
          <t>1998</t>
        </is>
      </c>
      <c r="W7" s="174" t="inlineStr">
        <is>
          <t>0</t>
        </is>
      </c>
      <c r="X7" s="174" t="inlineStr">
        <is>
          <t>Partial</t>
        </is>
      </c>
      <c r="Y7" s="42" t="inlineStr">
        <is>
          <t>No</t>
        </is>
      </c>
      <c r="Z7" s="55" t="inlineStr">
        <is>
          <t>No</t>
        </is>
      </c>
      <c r="AA7" s="40" t="inlineStr">
        <is>
          <t>No</t>
        </is>
      </c>
      <c r="AB7" s="136" t="inlineStr">
        <is>
          <t>No</t>
        </is>
      </c>
      <c r="AC7" s="136" t="inlineStr">
        <is>
          <t>SUBJECT</t>
        </is>
      </c>
      <c r="AD7" s="136" t="inlineStr">
        <is>
          <t>60 units | Layered HUD/LIHTC property. Year built: 1998. Subject property for market context.</t>
        </is>
      </c>
      <c r="AE7" s="136" t="inlineStr">
        <is>
          <t>Apartment Corp Records</t>
        </is>
      </c>
      <c r="AF7" s="136" t="n"/>
      <c r="AG7" s="136" t="n"/>
      <c r="AH7" s="136" t="n"/>
      <c r="AI7" s="136" t="n"/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Lexington Arms</t>
        </is>
      </c>
      <c r="D8" s="59" t="inlineStr">
        <is>
          <t>418 Lexington Dr</t>
        </is>
      </c>
      <c r="E8" s="59" t="inlineStr">
        <is>
          <t>Waxahachie</t>
        </is>
      </c>
      <c r="F8" s="59" t="inlineStr">
        <is>
          <t>TX</t>
        </is>
      </c>
      <c r="G8" s="59" t="inlineStr">
        <is>
          <t>75165</t>
        </is>
      </c>
      <c r="H8" s="59" t="inlineStr">
        <is>
          <t>1.6 mi</t>
        </is>
      </c>
      <c r="I8" s="59" t="inlineStr">
        <is>
          <t>$3,668</t>
        </is>
      </c>
      <c r="J8" s="59" t="inlineStr">
        <is>
          <t>$4,402</t>
        </is>
      </c>
      <c r="K8" s="41" t="inlineStr">
        <is>
          <t>$1,411</t>
        </is>
      </c>
      <c r="L8" s="53" t="inlineStr">
        <is>
          <t>Not Listed</t>
        </is>
      </c>
      <c r="M8" s="43" t="inlineStr">
        <is>
          <t>$4,400</t>
        </is>
      </c>
      <c r="N8" s="43" t="inlineStr">
        <is>
          <t>$5,280</t>
        </is>
      </c>
      <c r="O8" s="41" t="inlineStr">
        <is>
          <t>$1,931</t>
        </is>
      </c>
      <c r="P8" s="53" t="inlineStr">
        <is>
          <t>Not Listed</t>
        </is>
      </c>
      <c r="Q8" s="43" t="inlineStr">
        <is>
          <t>$4,887</t>
        </is>
      </c>
      <c r="R8" s="43" t="inlineStr">
        <is>
          <t>$5,865</t>
        </is>
      </c>
      <c r="S8" s="43" t="inlineStr">
        <is>
          <t>$2,431</t>
        </is>
      </c>
      <c r="T8" s="43" t="inlineStr">
        <is>
          <t>Not Listed</t>
        </is>
      </c>
      <c r="U8" s="43" t="inlineStr">
        <is>
          <t>61</t>
        </is>
      </c>
      <c r="V8" s="43" t="inlineStr">
        <is>
          <t>1997</t>
        </is>
      </c>
      <c r="W8" s="43" t="inlineStr">
        <is>
          <t>1</t>
        </is>
      </c>
      <c r="X8" s="43" t="inlineStr">
        <is>
          <t>Yes</t>
        </is>
      </c>
      <c r="Y8" s="44" t="inlineStr">
        <is>
          <t>No</t>
        </is>
      </c>
      <c r="Z8" s="56" t="inlineStr">
        <is>
          <t>No</t>
        </is>
      </c>
      <c r="AA8" s="43" t="inlineStr">
        <is>
          <t>No</t>
        </is>
      </c>
      <c r="AB8" s="136" t="inlineStr">
        <is>
          <t>No</t>
        </is>
      </c>
      <c r="AC8" s="136" t="inlineStr">
        <is>
          <t>HIGH</t>
        </is>
      </c>
      <c r="AD8" s="136" t="inlineStr">
        <is>
          <t>Affordable Comp #1: LIHTC property, 1997 vintage (1 yr diff), 61 units, 1.6 mi from subject. Same income-eligible renter pool.</t>
        </is>
      </c>
      <c r="AE8" s="136" t="inlineStr">
        <is>
          <t>HUD LIHTC Database (huduser.gov)</t>
        </is>
      </c>
      <c r="AF8" s="136" t="n"/>
      <c r="AG8" s="136" t="n"/>
      <c r="AH8" s="136" t="n"/>
      <c r="AI8" s="136" t="n"/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Creekside Terrace Apts</t>
        </is>
      </c>
      <c r="D9" s="125" t="inlineStr">
        <is>
          <t>1000 E Burnett St</t>
        </is>
      </c>
      <c r="E9" s="125" t="inlineStr">
        <is>
          <t>Ennis</t>
        </is>
      </c>
      <c r="F9" s="125" t="inlineStr">
        <is>
          <t>TX</t>
        </is>
      </c>
      <c r="G9" s="125" t="inlineStr">
        <is>
          <t>75119</t>
        </is>
      </c>
      <c r="H9" s="125" t="inlineStr">
        <is>
          <t>14.3 mi</t>
        </is>
      </c>
      <c r="I9" s="125" t="inlineStr">
        <is>
          <t>$3,668</t>
        </is>
      </c>
      <c r="J9" s="125" t="inlineStr">
        <is>
          <t>$4,402</t>
        </is>
      </c>
      <c r="K9" s="85" t="inlineStr">
        <is>
          <t>$1,411</t>
        </is>
      </c>
      <c r="L9" s="86" t="inlineStr">
        <is>
          <t>$1,150</t>
        </is>
      </c>
      <c r="M9" s="128" t="inlineStr">
        <is>
          <t>$4,400</t>
        </is>
      </c>
      <c r="N9" s="128" t="inlineStr">
        <is>
          <t>$5,280</t>
        </is>
      </c>
      <c r="O9" s="85" t="inlineStr">
        <is>
          <t>$1,931</t>
        </is>
      </c>
      <c r="P9" s="86" t="inlineStr">
        <is>
          <t>$1,270</t>
        </is>
      </c>
      <c r="Q9" s="128" t="inlineStr">
        <is>
          <t>$4,887</t>
        </is>
      </c>
      <c r="R9" s="128" t="inlineStr">
        <is>
          <t>$5,865</t>
        </is>
      </c>
      <c r="S9" s="128" t="inlineStr">
        <is>
          <t>$2,431</t>
        </is>
      </c>
      <c r="T9" s="128" t="inlineStr">
        <is>
          <t>$1,450</t>
        </is>
      </c>
      <c r="U9" s="128" t="inlineStr">
        <is>
          <t>80</t>
        </is>
      </c>
      <c r="V9" s="128" t="inlineStr">
        <is>
          <t>1998</t>
        </is>
      </c>
      <c r="W9" s="128" t="inlineStr">
        <is>
          <t>0</t>
        </is>
      </c>
      <c r="X9" s="128" t="inlineStr">
        <is>
          <t>Yes</t>
        </is>
      </c>
      <c r="Y9" s="129" t="inlineStr">
        <is>
          <t>No</t>
        </is>
      </c>
      <c r="Z9" s="130" t="inlineStr">
        <is>
          <t>No</t>
        </is>
      </c>
      <c r="AA9" s="128" t="inlineStr">
        <is>
          <t>No</t>
        </is>
      </c>
      <c r="AB9" s="136" t="inlineStr">
        <is>
          <t>No</t>
        </is>
      </c>
      <c r="AC9" s="136" t="inlineStr">
        <is>
          <t>HIGH</t>
        </is>
      </c>
      <c r="AD9" s="136" t="inlineStr">
        <is>
          <t>Affordable Comp #2: LIHTC property, 1998 vintage (0 yr diff), 80 units, 14.3 mi from subject. Same income-eligible renter pool.</t>
        </is>
      </c>
      <c r="AE9" s="136" t="inlineStr">
        <is>
          <t>HUD LIHTC Database (huduser.gov)</t>
        </is>
      </c>
      <c r="AF9" s="136" t="n"/>
      <c r="AG9" s="136" t="n"/>
      <c r="AH9" s="136" t="n"/>
      <c r="AI9" s="136" t="n"/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Breckenridge Village</t>
        </is>
      </c>
      <c r="D10" s="107" t="inlineStr">
        <is>
          <t>2001A Floyd St</t>
        </is>
      </c>
      <c r="E10" s="107" t="inlineStr">
        <is>
          <t>Ennis</t>
        </is>
      </c>
      <c r="F10" s="107" t="inlineStr">
        <is>
          <t>TX</t>
        </is>
      </c>
      <c r="G10" s="107" t="inlineStr">
        <is>
          <t>75119</t>
        </is>
      </c>
      <c r="H10" s="107" t="inlineStr">
        <is>
          <t>12.8 mi</t>
        </is>
      </c>
      <c r="I10" s="107" t="inlineStr">
        <is>
          <t>$3,668</t>
        </is>
      </c>
      <c r="J10" s="107" t="inlineStr">
        <is>
          <t>$4,402</t>
        </is>
      </c>
      <c r="K10" s="80" t="inlineStr">
        <is>
          <t>$1,411</t>
        </is>
      </c>
      <c r="L10" s="81" t="inlineStr">
        <is>
          <t>Not Listed</t>
        </is>
      </c>
      <c r="M10" s="108" t="inlineStr">
        <is>
          <t>$4,400</t>
        </is>
      </c>
      <c r="N10" s="108" t="inlineStr">
        <is>
          <t>$5,280</t>
        </is>
      </c>
      <c r="O10" s="80" t="inlineStr">
        <is>
          <t>$1,931</t>
        </is>
      </c>
      <c r="P10" s="81" t="inlineStr">
        <is>
          <t>Not Listed</t>
        </is>
      </c>
      <c r="Q10" s="108" t="inlineStr">
        <is>
          <t>$4,887</t>
        </is>
      </c>
      <c r="R10" s="108" t="inlineStr">
        <is>
          <t>$5,865</t>
        </is>
      </c>
      <c r="S10" s="108" t="inlineStr">
        <is>
          <t>$2,431</t>
        </is>
      </c>
      <c r="T10" s="108" t="inlineStr">
        <is>
          <t>Not Listed</t>
        </is>
      </c>
      <c r="U10" s="108" t="inlineStr">
        <is>
          <t>66</t>
        </is>
      </c>
      <c r="V10" s="108" t="inlineStr">
        <is>
          <t>1997</t>
        </is>
      </c>
      <c r="W10" s="108" t="inlineStr">
        <is>
          <t>1</t>
        </is>
      </c>
      <c r="X10" s="108" t="inlineStr">
        <is>
          <t>Yes</t>
        </is>
      </c>
      <c r="Y10" s="109" t="inlineStr">
        <is>
          <t>No</t>
        </is>
      </c>
      <c r="Z10" s="110" t="inlineStr">
        <is>
          <t>No</t>
        </is>
      </c>
      <c r="AA10" s="111" t="inlineStr">
        <is>
          <t>No</t>
        </is>
      </c>
      <c r="AB10" s="134" t="inlineStr">
        <is>
          <t>No</t>
        </is>
      </c>
      <c r="AC10" s="136" t="inlineStr">
        <is>
          <t>HIGH</t>
        </is>
      </c>
      <c r="AD10" s="136" t="inlineStr">
        <is>
          <t>Affordable Comp #3: LIHTC property, 1997 vintage (1 yr diff), 66 units, 12.8 mi from subject. Same income-eligible renter pool.</t>
        </is>
      </c>
      <c r="AE10" s="136" t="inlineStr">
        <is>
          <t>HUD LIHTC Database (huduser.gov)</t>
        </is>
      </c>
      <c r="AF10" s="136" t="n"/>
      <c r="AG10" s="136" t="n"/>
      <c r="AH10" s="136" t="n"/>
      <c r="AI10" s="136" t="n"/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Treymore North Apts</t>
        </is>
      </c>
      <c r="D11" s="95" t="inlineStr">
        <is>
          <t>4144 Office Pkwy</t>
        </is>
      </c>
      <c r="E11" s="95" t="inlineStr">
        <is>
          <t>Dallas</t>
        </is>
      </c>
      <c r="F11" s="95" t="inlineStr">
        <is>
          <t>TX</t>
        </is>
      </c>
      <c r="G11" s="95" t="inlineStr">
        <is>
          <t>75204</t>
        </is>
      </c>
      <c r="H11" s="95" t="inlineStr">
        <is>
          <t>29.1 mi</t>
        </is>
      </c>
      <c r="I11" s="95" t="inlineStr">
        <is>
          <t>$3,668</t>
        </is>
      </c>
      <c r="J11" s="95" t="inlineStr">
        <is>
          <t>$4,402</t>
        </is>
      </c>
      <c r="K11" s="39" t="inlineStr">
        <is>
          <t>$1,411</t>
        </is>
      </c>
      <c r="L11" s="53" t="inlineStr">
        <is>
          <t>Not Listed</t>
        </is>
      </c>
      <c r="M11" s="96" t="inlineStr">
        <is>
          <t>$4,400</t>
        </is>
      </c>
      <c r="N11" s="96" t="inlineStr">
        <is>
          <t>$5,280</t>
        </is>
      </c>
      <c r="O11" s="39" t="inlineStr">
        <is>
          <t>$1,931</t>
        </is>
      </c>
      <c r="P11" s="53" t="inlineStr">
        <is>
          <t>Not Listed</t>
        </is>
      </c>
      <c r="Q11" s="96" t="inlineStr">
        <is>
          <t>$4,887</t>
        </is>
      </c>
      <c r="R11" s="96" t="inlineStr">
        <is>
          <t>$5,865</t>
        </is>
      </c>
      <c r="S11" s="96" t="inlineStr">
        <is>
          <t>$2,431</t>
        </is>
      </c>
      <c r="T11" s="96" t="inlineStr">
        <is>
          <t>Not Listed</t>
        </is>
      </c>
      <c r="U11" s="96" t="inlineStr">
        <is>
          <t>70</t>
        </is>
      </c>
      <c r="V11" s="96" t="inlineStr">
        <is>
          <t>1998</t>
        </is>
      </c>
      <c r="W11" s="96" t="inlineStr">
        <is>
          <t>0</t>
        </is>
      </c>
      <c r="X11" s="96" t="inlineStr">
        <is>
          <t>Yes</t>
        </is>
      </c>
      <c r="Y11" s="45" t="inlineStr">
        <is>
          <t>No</t>
        </is>
      </c>
      <c r="Z11" s="97" t="inlineStr">
        <is>
          <t>No</t>
        </is>
      </c>
      <c r="AA11" s="113" t="inlineStr">
        <is>
          <t>No</t>
        </is>
      </c>
      <c r="AB11" s="134" t="inlineStr">
        <is>
          <t>No</t>
        </is>
      </c>
      <c r="AC11" s="136" t="inlineStr">
        <is>
          <t>MODERATE-HIGH</t>
        </is>
      </c>
      <c r="AD11" s="136" t="inlineStr">
        <is>
          <t>Affordable Comp #4: LIHTC property, 1998 vintage (0 yr diff), 70 units, 29.1 mi from subject. Same income-eligible renter pool.</t>
        </is>
      </c>
      <c r="AE11" s="136" t="inlineStr">
        <is>
          <t>HUD LIHTC Database (huduser.gov)</t>
        </is>
      </c>
      <c r="AF11" s="136" t="n"/>
      <c r="AG11" s="136" t="n"/>
      <c r="AH11" s="136" t="n"/>
      <c r="AI11" s="136" t="n"/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37.5" customHeight="1" s="131">
      <c r="A12" s="114" t="n">
        <v>1</v>
      </c>
      <c r="B12" s="70" t="inlineStr">
        <is>
          <t>MARKET RATE</t>
        </is>
      </c>
      <c r="C12" s="67" t="inlineStr">
        <is>
          <t>Place at North Grove</t>
        </is>
      </c>
      <c r="D12" s="98" t="inlineStr">
        <is>
          <t>600 E North Grove Blvd</t>
        </is>
      </c>
      <c r="E12" s="98" t="inlineStr">
        <is>
          <t>Waxahachie</t>
        </is>
      </c>
      <c r="F12" s="98" t="inlineStr">
        <is>
          <t>TX</t>
        </is>
      </c>
      <c r="G12" s="98" t="inlineStr">
        <is>
          <t>75165</t>
        </is>
      </c>
      <c r="H12" s="98" t="inlineStr">
        <is>
          <t>1.0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N/A (Market Rate)</t>
        </is>
      </c>
      <c r="L12" s="157" t="n">
        <v>1254</v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N/A (Market Rate)</t>
        </is>
      </c>
      <c r="P12" s="157" t="n">
        <v>1998</v>
      </c>
      <c r="Q12" s="99" t="inlineStr">
        <is>
          <t>N/A (Market Rate)</t>
        </is>
      </c>
      <c r="R12" s="99" t="inlineStr">
        <is>
          <t>N/A (Market Rate)</t>
        </is>
      </c>
      <c r="S12" s="99" t="inlineStr">
        <is>
          <t>$2,431</t>
        </is>
      </c>
      <c r="T12" s="99" t="inlineStr">
        <is>
          <t>$1,450</t>
        </is>
      </c>
      <c r="U12" s="99" t="inlineStr">
        <is>
          <t>N/A</t>
        </is>
      </c>
      <c r="V12" s="99" t="inlineStr">
        <is>
          <t>1998</t>
        </is>
      </c>
      <c r="W12" s="99" t="inlineStr">
        <is>
          <t>0</t>
        </is>
      </c>
      <c r="X12" s="99" t="inlineStr">
        <is>
          <t>Varies</t>
        </is>
      </c>
      <c r="Y12" s="46" t="inlineStr">
        <is>
          <t>Varies</t>
        </is>
      </c>
      <c r="Z12" s="100" t="inlineStr">
        <is>
          <t>Varies</t>
        </is>
      </c>
      <c r="AA12" s="115" t="inlineStr">
        <is>
          <t>Varies</t>
        </is>
      </c>
      <c r="AB12" s="134" t="inlineStr">
        <is>
          <t>Varies</t>
        </is>
      </c>
      <c r="AC12" s="136" t="inlineStr">
        <is>
          <t>HIGH</t>
        </is>
      </c>
      <c r="AD12" s="136" t="inlineStr">
        <is>
          <t>Market Rate Comp #1: No income restrictions, 1998 vintage (0 yr diff), N/A units, N/A from subject. Shows market-rate rents vs. affordable housing discount.</t>
        </is>
      </c>
      <c r="AE12" s="136" t="inlineStr">
        <is>
          <t>HUD FY2026 FMR - Ellis County, TX</t>
        </is>
      </c>
      <c r="AF12" s="136" t="n"/>
      <c r="AG12" s="136" t="n"/>
      <c r="AH12" s="136" t="n"/>
      <c r="AI12" s="136" t="n"/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n">
        <v>2</v>
      </c>
      <c r="B13" s="71" t="inlineStr">
        <is>
          <t>MARKET RATE</t>
        </is>
      </c>
      <c r="C13" s="68" t="inlineStr">
        <is>
          <t>The Village at Waxahachie</t>
        </is>
      </c>
      <c r="D13" s="101" t="inlineStr">
        <is>
          <t>131 Village Pky</t>
        </is>
      </c>
      <c r="E13" s="101" t="inlineStr">
        <is>
          <t>Waxahachie</t>
        </is>
      </c>
      <c r="F13" s="101" t="inlineStr">
        <is>
          <t>TX</t>
        </is>
      </c>
      <c r="G13" s="101" t="inlineStr">
        <is>
          <t>75165</t>
        </is>
      </c>
      <c r="H13" s="101" t="inlineStr">
        <is>
          <t>1.3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N/A (Market Rate)</t>
        </is>
      </c>
      <c r="L13" s="157" t="n">
        <v>1447</v>
      </c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N/A (Market Rate)</t>
        </is>
      </c>
      <c r="P13" s="157" t="n">
        <v>1970</v>
      </c>
      <c r="Q13" s="102" t="inlineStr">
        <is>
          <t>N/A (Market Rate)</t>
        </is>
      </c>
      <c r="R13" s="102" t="inlineStr">
        <is>
          <t>N/A (Market Rate)</t>
        </is>
      </c>
      <c r="S13" s="102" t="inlineStr">
        <is>
          <t>$2,431</t>
        </is>
      </c>
      <c r="T13" s="102" t="inlineStr">
        <is>
          <t>$1,400</t>
        </is>
      </c>
      <c r="U13" s="102" t="inlineStr">
        <is>
          <t>80</t>
        </is>
      </c>
      <c r="V13" s="102" t="inlineStr">
        <is>
          <t>1997</t>
        </is>
      </c>
      <c r="W13" s="102" t="inlineStr">
        <is>
          <t>1</t>
        </is>
      </c>
      <c r="X13" s="102" t="inlineStr">
        <is>
          <t>Varies</t>
        </is>
      </c>
      <c r="Y13" s="47" t="inlineStr">
        <is>
          <t>Varies</t>
        </is>
      </c>
      <c r="Z13" s="103" t="inlineStr">
        <is>
          <t>Varies</t>
        </is>
      </c>
      <c r="AA13" s="117" t="inlineStr">
        <is>
          <t>Varies</t>
        </is>
      </c>
      <c r="AB13" s="134" t="inlineStr">
        <is>
          <t>Varies</t>
        </is>
      </c>
      <c r="AC13" s="136" t="inlineStr">
        <is>
          <t>HIGH</t>
        </is>
      </c>
      <c r="AD13" s="136" t="inlineStr">
        <is>
          <t>Market Rate Comp #2: No income restrictions, 1997 vintage (1 yr diff), 80 units, 12.0 mi from subject. Shows market-rate rents vs. affordable housing discount.</t>
        </is>
      </c>
      <c r="AE13" s="136" t="inlineStr">
        <is>
          <t>https://www.rentcafe.com/apartments-for-rent/us/tx/ennis/</t>
        </is>
      </c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n">
        <v>3</v>
      </c>
      <c r="B14" s="69" t="inlineStr">
        <is>
          <t>MARKET RATE</t>
        </is>
      </c>
      <c r="C14" s="66" t="inlineStr">
        <is>
          <t>Bridgepoint</t>
        </is>
      </c>
      <c r="D14" s="95" t="inlineStr">
        <is>
          <t>2200 Brown St</t>
        </is>
      </c>
      <c r="E14" s="95" t="inlineStr">
        <is>
          <t>Waxahachie</t>
        </is>
      </c>
      <c r="F14" s="95" t="inlineStr">
        <is>
          <t>TX</t>
        </is>
      </c>
      <c r="G14" s="95" t="inlineStr">
        <is>
          <t>75165</t>
        </is>
      </c>
      <c r="H14" s="95" t="inlineStr">
        <is>
          <t>0.9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N/A (Market Rate)</t>
        </is>
      </c>
      <c r="L14" s="157" t="n">
        <v>1136</v>
      </c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N/A (Market Rate)</t>
        </is>
      </c>
      <c r="P14" s="157" t="n">
        <v>1247</v>
      </c>
      <c r="Q14" s="96" t="inlineStr">
        <is>
          <t>N/A (Market Rate)</t>
        </is>
      </c>
      <c r="R14" s="96" t="inlineStr">
        <is>
          <t>N/A (Market Rate)</t>
        </is>
      </c>
      <c r="S14" s="96" t="inlineStr">
        <is>
          <t>$2,431</t>
        </is>
      </c>
      <c r="T14" s="96" t="inlineStr">
        <is>
          <t>$1,475</t>
        </is>
      </c>
      <c r="U14" s="96" t="inlineStr">
        <is>
          <t>72</t>
        </is>
      </c>
      <c r="V14" s="96" t="inlineStr">
        <is>
          <t>2000</t>
        </is>
      </c>
      <c r="W14" s="96" t="inlineStr">
        <is>
          <t>2</t>
        </is>
      </c>
      <c r="X14" s="96" t="inlineStr">
        <is>
          <t>Varies</t>
        </is>
      </c>
      <c r="Y14" s="45" t="inlineStr">
        <is>
          <t>Varies</t>
        </is>
      </c>
      <c r="Z14" s="97" t="inlineStr">
        <is>
          <t>Varies</t>
        </is>
      </c>
      <c r="AA14" s="113" t="inlineStr">
        <is>
          <t>Varies</t>
        </is>
      </c>
      <c r="AB14" s="134" t="inlineStr">
        <is>
          <t>Varies</t>
        </is>
      </c>
      <c r="AC14" s="136" t="inlineStr">
        <is>
          <t>HIGH</t>
        </is>
      </c>
      <c r="AD14" s="136" t="inlineStr">
        <is>
          <t>Market Rate Comp #3: No income restrictions, 2000 vintage (2 yr diff), 72 units, 15.0 mi from subject. Shows market-rate rents vs. affordable housing discount.</t>
        </is>
      </c>
      <c r="AE14" s="136" t="inlineStr">
        <is>
          <t>https://www.rentcafe.com/apartments-for-rent/us/tx/midlothian/</t>
        </is>
      </c>
      <c r="AF14" s="136" t="n"/>
      <c r="AG14" s="136" t="n"/>
      <c r="AH14" s="136" t="n"/>
      <c r="AI14" s="136" t="n"/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n">
        <v>4</v>
      </c>
      <c r="B15" s="69" t="inlineStr">
        <is>
          <t>MARKET RATE</t>
        </is>
      </c>
      <c r="C15" s="66" t="inlineStr">
        <is>
          <t>The Hamilton at Garden Valley</t>
        </is>
      </c>
      <c r="D15" s="95" t="inlineStr">
        <is>
          <t>880 Garden Valley Pky</t>
        </is>
      </c>
      <c r="E15" s="95" t="inlineStr">
        <is>
          <t>Waxahachie</t>
        </is>
      </c>
      <c r="F15" s="95" t="inlineStr">
        <is>
          <t>TX</t>
        </is>
      </c>
      <c r="G15" s="95" t="inlineStr">
        <is>
          <t>75165</t>
        </is>
      </c>
      <c r="H15" s="95" t="inlineStr">
        <is>
          <t>1.8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N/A (Market Rate)</t>
        </is>
      </c>
      <c r="L15" s="157" t="n">
        <v>1215</v>
      </c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N/A (Market Rate)</t>
        </is>
      </c>
      <c r="P15" s="157" t="n">
        <v>2105</v>
      </c>
      <c r="Q15" s="96" t="inlineStr">
        <is>
          <t>N/A (Market Rate)</t>
        </is>
      </c>
      <c r="R15" s="96" t="inlineStr">
        <is>
          <t>N/A (Market Rate)</t>
        </is>
      </c>
      <c r="S15" s="96" t="inlineStr">
        <is>
          <t>$2,431</t>
        </is>
      </c>
      <c r="T15" s="96" t="inlineStr">
        <is>
          <t>$1,475</t>
        </is>
      </c>
      <c r="U15" s="96" t="inlineStr">
        <is>
          <t>64</t>
        </is>
      </c>
      <c r="V15" s="96" t="inlineStr">
        <is>
          <t>1997</t>
        </is>
      </c>
      <c r="W15" s="96" t="inlineStr">
        <is>
          <t>1</t>
        </is>
      </c>
      <c r="X15" s="96" t="inlineStr">
        <is>
          <t>Varies</t>
        </is>
      </c>
      <c r="Y15" s="45" t="inlineStr">
        <is>
          <t>Varies</t>
        </is>
      </c>
      <c r="Z15" s="97" t="inlineStr">
        <is>
          <t>Varies</t>
        </is>
      </c>
      <c r="AA15" s="113" t="inlineStr">
        <is>
          <t>Varies</t>
        </is>
      </c>
      <c r="AB15" s="134" t="inlineStr">
        <is>
          <t>Varies</t>
        </is>
      </c>
      <c r="AC15" s="136" t="inlineStr">
        <is>
          <t>HIGH</t>
        </is>
      </c>
      <c r="AD15" s="136" t="inlineStr">
        <is>
          <t>Market Rate Comp #4: No income restrictions, 1997 vintage (1 yr diff), 64 units, 12.0 mi from subject. Shows market-rate rents vs. affordable housing discount.</t>
        </is>
      </c>
      <c r="AE15" s="136" t="inlineStr">
        <is>
          <t>https://www.rentcafe.com/apartments-for-rent/us/tx/midlothian/</t>
        </is>
      </c>
      <c r="AF15" s="136" t="n"/>
      <c r="AG15" s="136" t="n"/>
      <c r="AH15" s="136" t="n"/>
      <c r="AI15" s="136" t="n"/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n">
        <v>5</v>
      </c>
      <c r="B16" s="82" t="inlineStr">
        <is>
          <t>MARKET RATE</t>
        </is>
      </c>
      <c r="C16" s="119" t="inlineStr">
        <is>
          <t>Oxford at Crossroads Centre</t>
        </is>
      </c>
      <c r="D16" s="120" t="inlineStr">
        <is>
          <t>411 Alliance Blvd</t>
        </is>
      </c>
      <c r="E16" s="120" t="inlineStr">
        <is>
          <t>Waxahachie</t>
        </is>
      </c>
      <c r="F16" s="120" t="inlineStr">
        <is>
          <t>TX</t>
        </is>
      </c>
      <c r="G16" s="120" t="inlineStr">
        <is>
          <t>75165</t>
        </is>
      </c>
      <c r="H16" s="120" t="inlineStr">
        <is>
          <t>1.5 mi</t>
        </is>
      </c>
      <c r="I16" s="120" t="inlineStr">
        <is>
          <t>N/A (Market Rate)</t>
        </is>
      </c>
      <c r="J16" s="120" t="inlineStr">
        <is>
          <t>N/A (Market Rate)</t>
        </is>
      </c>
      <c r="K16" s="121" t="inlineStr">
        <is>
          <t>N/A (Market Rate)</t>
        </is>
      </c>
      <c r="L16" s="159" t="n">
        <v>1199</v>
      </c>
      <c r="M16" s="122" t="inlineStr">
        <is>
          <t>N/A (Market Rate)</t>
        </is>
      </c>
      <c r="N16" s="122" t="inlineStr">
        <is>
          <t>N/A (Market Rate)</t>
        </is>
      </c>
      <c r="O16" s="121" t="inlineStr">
        <is>
          <t>N/A (Market Rate)</t>
        </is>
      </c>
      <c r="P16" s="159" t="n">
        <v>1525</v>
      </c>
      <c r="Q16" s="122" t="inlineStr">
        <is>
          <t>N/A (Market Rate)</t>
        </is>
      </c>
      <c r="R16" s="122" t="inlineStr">
        <is>
          <t>N/A (Market Rate)</t>
        </is>
      </c>
      <c r="S16" s="122" t="inlineStr">
        <is>
          <t>N/A (Market Rate)</t>
        </is>
      </c>
      <c r="T16" s="160" t="n">
        <v>2250</v>
      </c>
      <c r="U16" s="122" t="inlineStr">
        <is>
          <t>N/A</t>
        </is>
      </c>
      <c r="V16" s="122" t="inlineStr">
        <is>
          <t>N/A</t>
        </is>
      </c>
      <c r="W16" s="122" t="inlineStr">
        <is>
          <t>N/A</t>
        </is>
      </c>
      <c r="X16" s="122" t="inlineStr">
        <is>
          <t>N/A</t>
        </is>
      </c>
      <c r="Y16" s="84" t="inlineStr">
        <is>
          <t>N/A</t>
        </is>
      </c>
      <c r="Z16" s="123" t="inlineStr">
        <is>
          <t>N/A</t>
        </is>
      </c>
      <c r="AA16" s="124" t="inlineStr">
        <is>
          <t>N/A</t>
        </is>
      </c>
      <c r="AB16" s="134" t="inlineStr">
        <is>
          <t>N/A</t>
        </is>
      </c>
      <c r="AC16" s="136" t="inlineStr">
        <is>
          <t>BENCHMARK</t>
        </is>
      </c>
      <c r="AD16" s="136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136" t="inlineStr">
        <is>
          <t>HUD FMR Database (huduser.gov)</t>
        </is>
      </c>
      <c r="AF16" s="136" t="n"/>
      <c r="AG16" s="136" t="n"/>
      <c r="AH16" s="136" t="n"/>
      <c r="AI16" s="136" t="n"/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n">
        <v>6</v>
      </c>
      <c r="B17" s="88" t="inlineStr">
        <is>
          <t>MARKET RATE</t>
        </is>
      </c>
      <c r="C17" s="89" t="inlineStr">
        <is>
          <t>Park Place Apartments</t>
        </is>
      </c>
      <c r="D17" s="87" t="inlineStr">
        <is>
          <t>240 Park Place Blvd</t>
        </is>
      </c>
      <c r="E17" s="87" t="inlineStr">
        <is>
          <t>Waxahachie</t>
        </is>
      </c>
      <c r="F17" s="87" t="inlineStr">
        <is>
          <t>TX</t>
        </is>
      </c>
      <c r="G17" s="87" t="inlineStr">
        <is>
          <t>75165</t>
        </is>
      </c>
      <c r="H17" s="87" t="inlineStr">
        <is>
          <t>1.2 mi</t>
        </is>
      </c>
      <c r="I17" s="87" t="inlineStr">
        <is>
          <t>N/A (Market Rate)</t>
        </is>
      </c>
      <c r="J17" s="87" t="inlineStr">
        <is>
          <t>N/A (Market Rate)</t>
        </is>
      </c>
      <c r="K17" s="90" t="inlineStr">
        <is>
          <t>N/A (Market Rate)</t>
        </is>
      </c>
      <c r="L17" s="161" t="n">
        <v>1285</v>
      </c>
      <c r="M17" s="92" t="inlineStr">
        <is>
          <t>N/A (Market Rate)</t>
        </is>
      </c>
      <c r="N17" s="92" t="inlineStr">
        <is>
          <t>N/A (Market Rate)</t>
        </is>
      </c>
      <c r="O17" s="90" t="inlineStr">
        <is>
          <t>N/A (Market Rate)</t>
        </is>
      </c>
      <c r="P17" s="161" t="n">
        <v>1659</v>
      </c>
      <c r="Q17" s="92" t="inlineStr">
        <is>
          <t>$2,674</t>
        </is>
      </c>
      <c r="R17" s="92" t="inlineStr">
        <is>
          <t>$2,674</t>
        </is>
      </c>
      <c r="S17" s="92" t="inlineStr">
        <is>
          <t>$2,674</t>
        </is>
      </c>
      <c r="T17" s="92" t="inlineStr">
        <is>
          <t>N/A</t>
        </is>
      </c>
      <c r="U17" s="92" t="inlineStr">
        <is>
          <t>N/A</t>
        </is>
      </c>
      <c r="V17" s="92" t="inlineStr">
        <is>
          <t>N/A</t>
        </is>
      </c>
      <c r="W17" s="92" t="inlineStr">
        <is>
          <t>N/A</t>
        </is>
      </c>
      <c r="X17" s="92" t="inlineStr">
        <is>
          <t>N/A</t>
        </is>
      </c>
      <c r="Y17" s="93" t="inlineStr">
        <is>
          <t>N/A</t>
        </is>
      </c>
      <c r="Z17" s="94" t="inlineStr">
        <is>
          <t>N/A</t>
        </is>
      </c>
      <c r="AA17" s="92" t="inlineStr">
        <is>
          <t>N/A</t>
        </is>
      </c>
      <c r="AB17" s="136" t="inlineStr">
        <is>
          <t>N/A</t>
        </is>
      </c>
      <c r="AC17" s="136" t="inlineStr">
        <is>
          <t>BENCHMARK</t>
        </is>
      </c>
      <c r="AD17" s="136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136" t="inlineStr">
        <is>
          <t>HUD FMR + Market Estimate</t>
        </is>
      </c>
      <c r="AF17" s="136" t="n"/>
      <c r="AG17" s="136" t="n"/>
      <c r="AH17" s="136" t="n"/>
      <c r="AI17" s="136" t="n"/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F19" s="136" t="n"/>
      <c r="AG19" s="136" t="n"/>
      <c r="AH19" s="136" t="n"/>
      <c r="AI19" s="136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Height="1" s="131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Format="1" customHeight="1" s="2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Format="1" customHeight="1" s="2">
      <c r="A25" s="372" t="n"/>
      <c r="B25" s="201" t="inlineStr">
        <is>
          <t>1BD</t>
        </is>
      </c>
      <c r="C25" s="194" t="n"/>
      <c r="D25" s="200" t="n">
        <v>1256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Height="1" s="131">
      <c r="A26" s="372" t="n"/>
      <c r="B26" s="201" t="inlineStr">
        <is>
          <t>2BD</t>
        </is>
      </c>
      <c r="C26" s="194" t="n"/>
      <c r="D26" s="200" t="n">
        <v>1751</v>
      </c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24.75" customHeight="1" s="131">
      <c r="A27" s="369" t="n"/>
      <c r="B27" s="201" t="inlineStr">
        <is>
          <t>3BD</t>
        </is>
      </c>
      <c r="C27" s="194" t="n"/>
      <c r="D27" s="200" t="n">
        <v>1610</v>
      </c>
      <c r="E27" s="195" t="n"/>
      <c r="F27" s="183" t="n"/>
      <c r="G27" s="183" t="n"/>
      <c r="H27" s="183" t="n"/>
      <c r="I27" s="183" t="n"/>
      <c r="J27" s="183" t="n"/>
      <c r="K27" s="302" t="n"/>
      <c r="L27" s="302" t="n"/>
      <c r="M27" s="302" t="n"/>
      <c r="N27" s="302" t="n"/>
      <c r="O27" s="343" t="n"/>
      <c r="P27" s="302" t="n"/>
      <c r="Q27" s="302" t="n"/>
      <c r="R27" s="302" t="n"/>
      <c r="S27" s="302" t="n"/>
      <c r="T27" s="302" t="n"/>
      <c r="U27" s="302" t="n"/>
      <c r="V27" s="302" t="n"/>
      <c r="W27" s="302" t="n"/>
      <c r="X27" s="302" t="n"/>
      <c r="Y27" s="302" t="n"/>
      <c r="Z27" s="302" t="n"/>
      <c r="AA27" s="353" t="n"/>
      <c r="AB27" s="302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8.1" customFormat="1" customHeight="1" s="2">
      <c r="A28" s="382" t="n"/>
      <c r="B28" s="404" t="n"/>
      <c r="C28" s="454" t="n"/>
      <c r="D28" s="404" t="n"/>
      <c r="E28" s="404" t="n"/>
      <c r="F28" s="382" t="n"/>
      <c r="G28" s="369" t="n"/>
      <c r="H28" s="369" t="n"/>
      <c r="I28" s="369" t="n"/>
      <c r="J28" s="369" t="n"/>
      <c r="K28" s="369" t="n"/>
      <c r="L28" s="134" t="n"/>
      <c r="M28" s="134" t="n"/>
      <c r="N28" s="134" t="n"/>
      <c r="O28" s="134" t="n"/>
      <c r="P28" s="134" t="n"/>
      <c r="Q28" s="134" t="n"/>
      <c r="R28" s="134" t="n"/>
      <c r="S28" s="134" t="n"/>
      <c r="T28" s="134" t="n"/>
      <c r="U28" s="134" t="n"/>
      <c r="V28" s="134" t="n"/>
      <c r="W28" s="134" t="n"/>
      <c r="X28" s="134" t="n"/>
      <c r="Y28" s="134" t="n"/>
      <c r="Z28" s="135" t="n"/>
      <c r="AA28" s="134" t="n"/>
      <c r="AB28" s="134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24.75" customFormat="1" customHeight="1" s="2">
      <c r="A29" s="302" t="n"/>
      <c r="B29" s="211" t="inlineStr">
        <is>
          <t>PMTS — Vouchers / FMR / UAP / NET</t>
        </is>
      </c>
      <c r="G29" s="365" t="n"/>
      <c r="H29" s="183" t="n"/>
      <c r="I29" s="183" t="n"/>
      <c r="J29" s="183" t="n"/>
      <c r="K29" s="302" t="n"/>
      <c r="L29" s="302" t="n"/>
      <c r="M29" s="302" t="n"/>
      <c r="N29" s="302" t="n"/>
      <c r="O29" s="302" t="n"/>
      <c r="P29" s="302" t="n"/>
      <c r="Q29" s="302" t="n"/>
      <c r="R29" s="302" t="n"/>
      <c r="S29" s="302" t="n"/>
      <c r="T29" s="302" t="n"/>
      <c r="U29" s="302" t="n"/>
      <c r="V29" s="302" t="n"/>
      <c r="W29" s="302" t="n"/>
      <c r="X29" s="302" t="n"/>
      <c r="Y29" s="302" t="n"/>
      <c r="Z29" s="302" t="n"/>
      <c r="AA29" s="353" t="n"/>
      <c r="AB29" s="302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15.95" customFormat="1" customHeight="1" s="2">
      <c r="A30" s="302" t="n"/>
      <c r="B30" s="226" t="n"/>
      <c r="C30" s="213" t="inlineStr">
        <is>
          <t>MKT</t>
        </is>
      </c>
      <c r="D30" s="213" t="inlineStr">
        <is>
          <t>VCH</t>
        </is>
      </c>
      <c r="E30" s="214" t="inlineStr">
        <is>
          <t>FMR</t>
        </is>
      </c>
      <c r="F30" s="215" t="inlineStr">
        <is>
          <t>UAP</t>
        </is>
      </c>
      <c r="G30" s="216" t="inlineStr">
        <is>
          <t>NET</t>
        </is>
      </c>
      <c r="H30" s="183" t="n"/>
      <c r="I30" s="183" t="n"/>
      <c r="J30" s="183" t="n"/>
      <c r="K30" s="302" t="n"/>
      <c r="L30" s="302" t="n"/>
      <c r="M30" s="302" t="n"/>
      <c r="N30" s="302" t="n"/>
      <c r="O30" s="302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24.75" customFormat="1" customHeight="1" s="2">
      <c r="A31" s="372" t="n"/>
      <c r="B31" s="217" t="inlineStr">
        <is>
          <t>1BD</t>
        </is>
      </c>
      <c r="C31" s="197" t="n">
        <v>0</v>
      </c>
      <c r="D31" s="197" t="n">
        <v>0</v>
      </c>
      <c r="E31" s="198" t="n">
        <v>1330</v>
      </c>
      <c r="F31" s="199" t="n">
        <v>112</v>
      </c>
      <c r="G31" s="218" t="n">
        <v>1218</v>
      </c>
      <c r="H31" s="183" t="n"/>
      <c r="I31" s="183" t="n"/>
      <c r="J31" s="183" t="n"/>
      <c r="K31" s="302" t="n"/>
      <c r="L31" s="302" t="n"/>
      <c r="M31" s="302" t="n"/>
      <c r="N31" s="302" t="n"/>
      <c r="O31" s="343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24.75" customFormat="1" customHeight="1" s="2">
      <c r="A32" s="369" t="n"/>
      <c r="B32" s="217" t="inlineStr">
        <is>
          <t>2BD</t>
        </is>
      </c>
      <c r="C32" s="197" t="n">
        <v>0</v>
      </c>
      <c r="D32" s="197" t="n">
        <v>0</v>
      </c>
      <c r="E32" s="198" t="n">
        <v>1560</v>
      </c>
      <c r="F32" s="199" t="n">
        <v>143</v>
      </c>
      <c r="G32" s="218" t="n">
        <v>1417</v>
      </c>
      <c r="H32" s="183" t="n"/>
      <c r="I32" s="183" t="n"/>
      <c r="J32" s="183" t="n"/>
      <c r="K32" s="302" t="n"/>
      <c r="L32" s="302" t="n"/>
      <c r="M32" s="302" t="n"/>
      <c r="N32" s="302" t="n"/>
      <c r="O32" s="343" t="n"/>
      <c r="P32" s="302" t="n"/>
      <c r="Q32" s="302" t="n"/>
      <c r="R32" s="302" t="n"/>
      <c r="S32" s="302" t="n"/>
      <c r="T32" s="302" t="n"/>
      <c r="U32" s="302" t="n"/>
      <c r="V32" s="302" t="n"/>
      <c r="W32" s="302" t="n"/>
      <c r="X32" s="302" t="n"/>
      <c r="Y32" s="302" t="n"/>
      <c r="Z32" s="302" t="n"/>
      <c r="AA32" s="353" t="n"/>
      <c r="AB32" s="302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24.75" customHeight="1" s="131">
      <c r="A33" s="382" t="n"/>
      <c r="B33" s="217" t="inlineStr">
        <is>
          <t>3BD</t>
        </is>
      </c>
      <c r="C33" s="197" t="n">
        <v>0</v>
      </c>
      <c r="D33" s="197" t="n">
        <v>0</v>
      </c>
      <c r="E33" s="198" t="n">
        <v>1950</v>
      </c>
      <c r="F33" s="199" t="n">
        <v>194</v>
      </c>
      <c r="G33" s="218" t="n">
        <v>1756</v>
      </c>
      <c r="H33" s="183" t="n"/>
      <c r="I33" s="183" t="n"/>
      <c r="J33" s="183" t="n"/>
      <c r="K33" s="302" t="n"/>
      <c r="L33" s="302" t="n"/>
      <c r="M33" s="302" t="n"/>
      <c r="N33" s="302" t="n"/>
      <c r="O33" s="343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8.1" customHeight="1" s="131">
      <c r="A34" s="372" t="n"/>
      <c r="B34" s="372" t="n"/>
      <c r="C34" s="372" t="n"/>
      <c r="D34" s="372" t="n"/>
      <c r="E34" s="372" t="n"/>
      <c r="F34" s="369" t="n"/>
      <c r="G34" s="369" t="n"/>
      <c r="H34" s="369" t="n"/>
      <c r="I34" s="369" t="n"/>
      <c r="J34" s="369" t="n"/>
      <c r="K34" s="369" t="n"/>
      <c r="L34" s="136" t="n"/>
      <c r="M34" s="136" t="n"/>
      <c r="N34" s="136" t="n"/>
      <c r="O34" s="136" t="n"/>
      <c r="P34" s="136" t="n"/>
      <c r="Q34" s="136" t="n"/>
      <c r="R34" s="136" t="n"/>
      <c r="S34" s="136" t="n"/>
      <c r="T34" s="136" t="n"/>
      <c r="U34" s="136" t="n"/>
      <c r="V34" s="136" t="n"/>
      <c r="W34" s="136" t="n"/>
      <c r="X34" s="136" t="n"/>
      <c r="Y34" s="136" t="n"/>
      <c r="Z34" s="136" t="n"/>
      <c r="AA34" s="136" t="n"/>
      <c r="AB34" s="136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24.75" customHeight="1" s="131">
      <c r="A35" s="302" t="n"/>
      <c r="B35" s="366" t="inlineStr">
        <is>
          <t>LIHTC, UAP, NET</t>
        </is>
      </c>
      <c r="C35" s="358" t="n"/>
      <c r="D35" s="358" t="n"/>
      <c r="E35" s="358" t="n"/>
      <c r="F35" s="358" t="n"/>
      <c r="G35" s="359" t="n"/>
      <c r="H35" s="183" t="n"/>
      <c r="I35" s="183" t="n"/>
      <c r="J35" s="183" t="n"/>
      <c r="K35" s="302" t="n"/>
      <c r="L35" s="302" t="n"/>
      <c r="M35" s="302" t="n"/>
      <c r="N35" s="302" t="n"/>
      <c r="O35" s="302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16.5" customHeight="1" s="131">
      <c r="A36" s="369" t="n"/>
      <c r="B36" s="226" t="inlineStr">
        <is>
          <t>No LIHTC data available</t>
        </is>
      </c>
      <c r="C36" s="228" t="n"/>
      <c r="D36" s="228" t="n"/>
      <c r="E36" s="215" t="n"/>
      <c r="F36" s="216" t="n"/>
      <c r="G36" s="183" t="n"/>
      <c r="H36" s="183" t="n"/>
      <c r="I36" s="183" t="n"/>
      <c r="J36" s="183" t="n"/>
      <c r="K36" s="302" t="n"/>
      <c r="L36" s="302" t="n"/>
      <c r="M36" s="302" t="n"/>
      <c r="N36" s="302" t="n"/>
      <c r="O36" s="343" t="n"/>
      <c r="P36" s="302" t="n"/>
      <c r="Q36" s="302" t="n"/>
      <c r="R36" s="302" t="n"/>
      <c r="S36" s="302" t="n"/>
      <c r="T36" s="302" t="n"/>
      <c r="U36" s="302" t="n"/>
      <c r="V36" s="302" t="n"/>
      <c r="W36" s="302" t="n"/>
      <c r="X36" s="302" t="n"/>
      <c r="Y36" s="302" t="n"/>
      <c r="Z36" s="302" t="n"/>
      <c r="AA36" s="353" t="n"/>
      <c r="AB36" s="302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18" customHeight="1" s="131">
      <c r="A37" s="369" t="n"/>
      <c r="B37" s="381" t="n"/>
      <c r="C37" s="381" t="n"/>
      <c r="D37" s="369" t="n"/>
      <c r="E37" s="369" t="n"/>
      <c r="F37" s="369" t="n"/>
      <c r="G37" s="369" t="n"/>
      <c r="H37" s="369" t="n"/>
      <c r="I37" s="369" t="n"/>
      <c r="J37" s="369" t="n"/>
      <c r="K37" s="369" t="n"/>
      <c r="L37" s="134" t="n"/>
      <c r="M37" s="134" t="n"/>
      <c r="N37" s="134" t="n"/>
      <c r="O37" s="134" t="n"/>
      <c r="P37" s="134" t="n"/>
      <c r="Q37" s="134" t="n"/>
      <c r="R37" s="134" t="n"/>
      <c r="S37" s="134" t="n"/>
      <c r="T37" s="134" t="n"/>
      <c r="U37" s="134" t="n"/>
      <c r="V37" s="134" t="n"/>
      <c r="W37" s="134" t="n"/>
      <c r="X37" s="134" t="n"/>
      <c r="Y37" s="134" t="n"/>
      <c r="Z37" s="135" t="n"/>
      <c r="AA37" s="134" t="n"/>
      <c r="AB37" s="134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24.75" customHeight="1" s="131">
      <c r="A38" s="302" t="n"/>
      <c r="B38" s="207" t="inlineStr">
        <is>
          <t>HAP, CoStar, NET</t>
        </is>
      </c>
      <c r="H38" s="183" t="n"/>
      <c r="I38" s="183" t="n"/>
      <c r="J38" s="183" t="n"/>
      <c r="K38" s="302" t="n"/>
      <c r="L38" s="302" t="n"/>
      <c r="M38" s="302" t="n"/>
      <c r="N38" s="302" t="n"/>
      <c r="O38" s="302" t="n"/>
      <c r="P38" s="302" t="n"/>
      <c r="Q38" s="302" t="n"/>
      <c r="R38" s="302" t="n"/>
      <c r="S38" s="302" t="n"/>
      <c r="T38" s="302" t="n"/>
      <c r="U38" s="302" t="n"/>
      <c r="V38" s="302" t="n"/>
      <c r="W38" s="302" t="n"/>
      <c r="X38" s="302" t="n"/>
      <c r="Y38" s="302" t="n"/>
      <c r="Z38" s="302" t="n"/>
      <c r="AA38" s="353" t="n"/>
      <c r="AB38" s="302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15.95" customHeight="1" s="131">
      <c r="A39" s="302" t="n"/>
      <c r="B39" s="227" t="n"/>
      <c r="C39" s="208" t="inlineStr">
        <is>
          <t>HAP</t>
        </is>
      </c>
      <c r="D39" s="209" t="inlineStr">
        <is>
          <t>CoStar</t>
        </is>
      </c>
      <c r="E39" s="302" t="n"/>
      <c r="F39" s="302" t="n"/>
      <c r="G39" s="302" t="n"/>
      <c r="H39" s="183" t="n"/>
      <c r="I39" s="183" t="n"/>
      <c r="J39" s="183" t="n"/>
      <c r="K39" s="302" t="n"/>
      <c r="L39" s="302" t="n"/>
      <c r="M39" s="302" t="n"/>
      <c r="N39" s="302" t="n"/>
      <c r="O39" s="302" t="n"/>
      <c r="P39" s="302" t="n"/>
      <c r="Q39" s="302" t="n"/>
      <c r="R39" s="302" t="n"/>
      <c r="S39" s="302" t="n"/>
      <c r="T39" s="302" t="n"/>
      <c r="U39" s="302" t="n"/>
      <c r="V39" s="302" t="n"/>
      <c r="W39" s="302" t="n"/>
      <c r="X39" s="302" t="n"/>
      <c r="Y39" s="302" t="n"/>
      <c r="Z39" s="302" t="n"/>
      <c r="AA39" s="353" t="n"/>
      <c r="AB39" s="302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ht="24.75" customHeight="1" s="131">
      <c r="A40" s="302" t="n"/>
      <c r="B40" s="196" t="inlineStr">
        <is>
          <t>1BD</t>
        </is>
      </c>
      <c r="C40" s="199" t="n">
        <v>1061</v>
      </c>
      <c r="D40" s="198" t="n">
        <v>1122</v>
      </c>
      <c r="E40" s="183" t="n"/>
      <c r="F40" s="183" t="n"/>
      <c r="G40" s="183" t="n"/>
      <c r="H40" s="183" t="n"/>
      <c r="I40" s="183" t="n"/>
      <c r="J40" s="183" t="n"/>
      <c r="K40" s="302" t="n"/>
      <c r="L40" s="302" t="n"/>
      <c r="M40" s="302" t="n"/>
      <c r="N40" s="302" t="n"/>
      <c r="O40" s="302" t="n"/>
      <c r="P40" s="302" t="n"/>
      <c r="Q40" s="302" t="n"/>
      <c r="R40" s="302" t="n"/>
      <c r="S40" s="302" t="n"/>
      <c r="T40" s="302" t="n"/>
      <c r="U40" s="302" t="n"/>
      <c r="V40" s="302" t="n"/>
      <c r="W40" s="302" t="n"/>
      <c r="X40" s="302" t="n"/>
      <c r="Y40" s="302" t="n"/>
      <c r="Z40" s="302" t="n"/>
      <c r="AA40" s="353" t="n"/>
      <c r="AB40" s="302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ht="24.75" customHeight="1" s="131">
      <c r="A41" s="302" t="n"/>
      <c r="B41" s="196" t="inlineStr">
        <is>
          <t>2BD</t>
        </is>
      </c>
      <c r="C41" s="199" t="n">
        <v>1211</v>
      </c>
      <c r="D41" s="198" t="n">
        <v>1332</v>
      </c>
      <c r="E41" s="183" t="n"/>
      <c r="F41" s="183" t="n"/>
      <c r="G41" s="183" t="n"/>
      <c r="H41" s="183" t="n"/>
      <c r="I41" s="183" t="n"/>
      <c r="J41" s="183" t="n"/>
      <c r="K41" s="302" t="n"/>
      <c r="L41" s="302" t="n"/>
      <c r="M41" s="302" t="n"/>
      <c r="N41" s="302" t="n"/>
      <c r="O41" s="302" t="n"/>
      <c r="P41" s="302" t="n"/>
      <c r="Q41" s="302" t="n"/>
      <c r="R41" s="302" t="n"/>
      <c r="S41" s="302" t="n"/>
      <c r="T41" s="302" t="n"/>
      <c r="U41" s="302" t="n"/>
      <c r="V41" s="302" t="n"/>
      <c r="W41" s="302" t="n"/>
      <c r="X41" s="302" t="n"/>
      <c r="Y41" s="302" t="n"/>
      <c r="Z41" s="302" t="n"/>
      <c r="AA41" s="353" t="n"/>
      <c r="AB41" s="302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ht="24.75" customHeight="1" s="131">
      <c r="A42" s="302" t="n"/>
      <c r="B42" s="196" t="inlineStr">
        <is>
          <t>3BD</t>
        </is>
      </c>
      <c r="C42" s="199" t="n">
        <v>1552</v>
      </c>
      <c r="D42" s="198" t="n">
        <v>1548</v>
      </c>
      <c r="E42" s="183" t="n"/>
      <c r="F42" s="183" t="n"/>
      <c r="G42" s="183" t="n"/>
      <c r="H42" s="183" t="n"/>
      <c r="I42" s="183" t="n"/>
      <c r="J42" s="183" t="n"/>
      <c r="K42" s="302" t="n"/>
      <c r="L42" s="302" t="n"/>
      <c r="M42" s="302" t="n"/>
      <c r="N42" s="302" t="n"/>
      <c r="O42" s="302" t="n"/>
      <c r="P42" s="302" t="n"/>
      <c r="Q42" s="302" t="n"/>
      <c r="R42" s="302" t="n"/>
      <c r="S42" s="302" t="n"/>
      <c r="T42" s="302" t="n"/>
      <c r="U42" s="302" t="n"/>
      <c r="V42" s="302" t="n"/>
      <c r="W42" s="302" t="n"/>
      <c r="X42" s="302" t="n"/>
      <c r="Y42" s="302" t="n"/>
      <c r="Z42" s="302" t="n"/>
      <c r="AA42" s="353" t="n"/>
      <c r="AB42" s="302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s="131">
      <c r="A43" s="369" t="n"/>
      <c r="B43" s="369" t="n"/>
      <c r="C43" s="369" t="n"/>
      <c r="D43" s="369" t="n"/>
      <c r="E43" s="369" t="n"/>
      <c r="F43" s="369" t="n"/>
      <c r="G43" s="369" t="n"/>
      <c r="H43" s="369" t="n"/>
      <c r="I43" s="369" t="n"/>
      <c r="J43" s="369" t="n"/>
      <c r="K43" s="369" t="n"/>
      <c r="L43" s="136" t="n"/>
      <c r="M43" s="136" t="n"/>
      <c r="N43" s="136" t="n"/>
      <c r="O43" s="136" t="n"/>
      <c r="P43" s="136" t="n"/>
      <c r="Q43" s="136" t="n"/>
      <c r="R43" s="136" t="n"/>
      <c r="S43" s="136" t="n"/>
      <c r="T43" s="136" t="n"/>
      <c r="U43" s="136" t="n"/>
      <c r="V43" s="136" t="n"/>
      <c r="W43" s="136" t="n"/>
      <c r="X43" s="136" t="n"/>
      <c r="Y43" s="136" t="n"/>
      <c r="Z43" s="136" t="n"/>
      <c r="AA43" s="136" t="n"/>
      <c r="AB43" s="136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s="131">
      <c r="A44" s="369" t="n"/>
      <c r="B44" s="369" t="n"/>
      <c r="C44" s="369" t="n"/>
      <c r="D44" s="369" t="n"/>
      <c r="E44" s="369" t="n"/>
      <c r="F44" s="369" t="n"/>
      <c r="G44" s="369" t="n"/>
      <c r="H44" s="369" t="n"/>
      <c r="I44" s="369" t="n"/>
      <c r="J44" s="369" t="n"/>
      <c r="K44" s="369" t="n"/>
      <c r="L44" s="136" t="n"/>
      <c r="M44" s="136" t="n"/>
      <c r="N44" s="136" t="n"/>
      <c r="O44" s="136" t="n"/>
      <c r="P44" s="136" t="n"/>
      <c r="Q44" s="136" t="n"/>
      <c r="R44" s="136" t="n"/>
      <c r="S44" s="136" t="n"/>
      <c r="T44" s="136" t="n"/>
      <c r="U44" s="136" t="n"/>
      <c r="V44" s="136" t="n"/>
      <c r="W44" s="136" t="n"/>
      <c r="X44" s="136" t="n"/>
      <c r="Y44" s="136" t="n"/>
      <c r="Z44" s="136" t="n"/>
      <c r="AA44" s="136" t="n"/>
      <c r="AB44" s="136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s="131">
      <c r="A45" s="369" t="n"/>
      <c r="B45" s="369" t="n"/>
      <c r="C45" s="369" t="n"/>
      <c r="D45" s="369" t="n"/>
      <c r="E45" s="369" t="n"/>
      <c r="F45" s="369" t="n"/>
      <c r="G45" s="369" t="n"/>
      <c r="H45" s="369" t="n"/>
      <c r="I45" s="369" t="n"/>
      <c r="J45" s="369" t="n"/>
      <c r="K45" s="369" t="n"/>
      <c r="L45" s="136" t="n"/>
      <c r="M45" s="136" t="n"/>
      <c r="N45" s="136" t="n"/>
      <c r="O45" s="136" t="n"/>
      <c r="P45" s="136" t="n"/>
      <c r="Q45" s="136" t="n"/>
      <c r="R45" s="136" t="n"/>
      <c r="S45" s="136" t="n"/>
      <c r="T45" s="136" t="n"/>
      <c r="U45" s="136" t="n"/>
      <c r="V45" s="136" t="n"/>
      <c r="W45" s="136" t="n"/>
      <c r="X45" s="136" t="n"/>
      <c r="Y45" s="136" t="n"/>
      <c r="Z45" s="136" t="n"/>
      <c r="AA45" s="136" t="n"/>
      <c r="AB45" s="136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s="131">
      <c r="A46" s="369" t="n"/>
      <c r="B46" s="369" t="n"/>
      <c r="C46" s="369" t="n"/>
      <c r="D46" s="369" t="n"/>
      <c r="E46" s="369" t="n"/>
      <c r="F46" s="369" t="n"/>
      <c r="G46" s="369" t="n"/>
      <c r="H46" s="369" t="n"/>
      <c r="I46" s="369" t="n"/>
      <c r="J46" s="369" t="n"/>
      <c r="K46" s="369" t="n"/>
      <c r="L46" s="136" t="n"/>
      <c r="M46" s="136" t="n"/>
      <c r="N46" s="136" t="n"/>
      <c r="O46" s="136" t="n"/>
      <c r="P46" s="136" t="n"/>
      <c r="Q46" s="136" t="n"/>
      <c r="R46" s="136" t="n"/>
      <c r="S46" s="136" t="n"/>
      <c r="T46" s="136" t="n"/>
      <c r="U46" s="136" t="n"/>
      <c r="V46" s="136" t="n"/>
      <c r="W46" s="136" t="n"/>
      <c r="X46" s="136" t="n"/>
      <c r="Y46" s="136" t="n"/>
      <c r="Z46" s="136" t="n"/>
      <c r="AA46" s="136" t="n"/>
      <c r="AB46" s="136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s="131">
      <c r="A47" s="369" t="n"/>
      <c r="B47" s="369" t="n"/>
      <c r="C47" s="369" t="n"/>
      <c r="D47" s="369" t="n"/>
      <c r="E47" s="369" t="n"/>
      <c r="F47" s="369" t="n"/>
      <c r="G47" s="369" t="n"/>
      <c r="H47" s="369" t="n"/>
      <c r="I47" s="369" t="n"/>
      <c r="J47" s="369" t="n"/>
      <c r="K47" s="369" t="n"/>
      <c r="L47" s="136" t="n"/>
      <c r="M47" s="136" t="n"/>
      <c r="N47" s="136" t="n"/>
      <c r="O47" s="136" t="n"/>
      <c r="P47" s="136" t="n"/>
      <c r="Q47" s="136" t="n"/>
      <c r="R47" s="136" t="n"/>
      <c r="S47" s="136" t="n"/>
      <c r="T47" s="136" t="n"/>
      <c r="U47" s="136" t="n"/>
      <c r="V47" s="136" t="n"/>
      <c r="W47" s="136" t="n"/>
      <c r="X47" s="136" t="n"/>
      <c r="Y47" s="136" t="n"/>
      <c r="Z47" s="136" t="n"/>
      <c r="AA47" s="136" t="n"/>
      <c r="AB47" s="136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s="131">
      <c r="A48" s="369" t="n"/>
      <c r="B48" s="369" t="n"/>
      <c r="C48" s="369" t="n"/>
      <c r="D48" s="369" t="n"/>
      <c r="E48" s="369" t="n"/>
      <c r="F48" s="369" t="n"/>
      <c r="G48" s="369" t="n"/>
      <c r="H48" s="369" t="n"/>
      <c r="I48" s="369" t="n"/>
      <c r="J48" s="369" t="n"/>
      <c r="K48" s="369" t="n"/>
      <c r="L48" s="136" t="n"/>
      <c r="M48" s="136" t="n"/>
      <c r="N48" s="136" t="n"/>
      <c r="O48" s="136" t="n"/>
      <c r="P48" s="136" t="n"/>
      <c r="Q48" s="136" t="n"/>
      <c r="R48" s="136" t="n"/>
      <c r="S48" s="136" t="n"/>
      <c r="T48" s="136" t="n"/>
      <c r="U48" s="136" t="n"/>
      <c r="V48" s="136" t="n"/>
      <c r="W48" s="136" t="n"/>
      <c r="X48" s="136" t="n"/>
      <c r="Y48" s="136" t="n"/>
      <c r="Z48" s="136" t="n"/>
      <c r="AA48" s="136" t="n"/>
      <c r="AB48" s="136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s="131">
      <c r="A49" s="369" t="n"/>
      <c r="B49" s="369" t="n"/>
      <c r="C49" s="369" t="n"/>
      <c r="D49" s="369" t="n"/>
      <c r="E49" s="369" t="n"/>
      <c r="F49" s="369" t="n"/>
      <c r="G49" s="369" t="n"/>
      <c r="H49" s="369" t="n"/>
      <c r="I49" s="369" t="n"/>
      <c r="J49" s="369" t="n"/>
      <c r="K49" s="369" t="n"/>
      <c r="L49" s="136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6" t="n"/>
      <c r="Y49" s="136" t="n"/>
      <c r="Z49" s="136" t="n"/>
      <c r="AA49" s="136" t="n"/>
      <c r="AB49" s="136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s="131">
      <c r="A50" s="369" t="n"/>
      <c r="B50" s="369" t="n"/>
      <c r="C50" s="369" t="n"/>
      <c r="D50" s="369" t="n"/>
      <c r="E50" s="369" t="n"/>
      <c r="F50" s="369" t="n"/>
      <c r="G50" s="369" t="n"/>
      <c r="H50" s="369" t="n"/>
      <c r="I50" s="369" t="n"/>
      <c r="J50" s="369" t="n"/>
      <c r="K50" s="369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</sheetData>
  <mergeCells count="9">
    <mergeCell ref="B38:G38"/>
    <mergeCell ref="B4:AB4"/>
    <mergeCell ref="B22:G22"/>
    <mergeCell ref="B2:AB2"/>
    <mergeCell ref="B23:G23"/>
    <mergeCell ref="B20:I20"/>
    <mergeCell ref="B35:G35"/>
    <mergeCell ref="B3:AB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LA PROMESA | GREEN = Affordable Comps | BLUE = Market Rate Comps</t>
        </is>
      </c>
      <c r="B3" s="363" t="n"/>
      <c r="AB3" s="363" t="n"/>
      <c r="AC3" s="136" t="n"/>
      <c r="AD3" s="136" t="n"/>
      <c r="AE3" s="136" t="n"/>
      <c r="AF3" s="136" t="n"/>
      <c r="AG3" s="136" t="n"/>
      <c r="AH3" s="136" t="n"/>
      <c r="AI3" s="136" t="n"/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La Promesa | Odessa, Odessa, TX 79762 | 136 units | Program: Layered HUD/LIHTC | Bedroom Mix: 2BR / 3BR | County AMI: $90,700 | FMR Area: Odessa, TX MSA</t>
        </is>
      </c>
      <c r="B4" s="363" t="n"/>
      <c r="AB4" s="363" t="n"/>
      <c r="AC4" s="136" t="n"/>
      <c r="AD4" s="136" t="n"/>
      <c r="AE4" s="136" t="n"/>
      <c r="AF4" s="136" t="n"/>
      <c r="AG4" s="136" t="n"/>
      <c r="AH4" s="136" t="n"/>
      <c r="AI4" s="136" t="n"/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B5" s="341" t="n"/>
      <c r="AC5" s="136" t="n"/>
      <c r="AD5" s="136" t="n"/>
      <c r="AE5" s="136" t="n"/>
      <c r="AF5" s="136" t="n"/>
      <c r="AG5" s="136" t="n"/>
      <c r="AH5" s="136" t="n"/>
      <c r="AI5" s="136" t="n"/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2BD 50% AMI ($)</t>
        </is>
      </c>
      <c r="J6" s="280" t="inlineStr">
        <is>
          <t>2BD 60% AMI ($)</t>
        </is>
      </c>
      <c r="K6" s="280" t="inlineStr">
        <is>
          <t>2BR FMR ($)</t>
        </is>
      </c>
      <c r="L6" s="335" t="inlineStr">
        <is>
          <t>2BR Actual ($)</t>
        </is>
      </c>
      <c r="M6" s="281" t="inlineStr">
        <is>
          <t>3BD 50% AMI ($)</t>
        </is>
      </c>
      <c r="N6" s="280" t="inlineStr">
        <is>
          <t>3BD 60% AMI ($)</t>
        </is>
      </c>
      <c r="O6" s="280" t="inlineStr">
        <is>
          <t>3BR FMR ($)</t>
        </is>
      </c>
      <c r="P6" s="335" t="inlineStr">
        <is>
          <t>3BR Actual ($)</t>
        </is>
      </c>
      <c r="Q6" s="281" t="inlineStr">
        <is>
          <t># Units</t>
        </is>
      </c>
      <c r="R6" s="280" t="inlineStr">
        <is>
          <t>Year Built</t>
        </is>
      </c>
      <c r="S6" s="280" t="inlineStr">
        <is>
          <t>Yr Diff</t>
        </is>
      </c>
      <c r="T6" s="339" t="inlineStr">
        <is>
          <t>Utilities Incl.</t>
        </is>
      </c>
      <c r="U6" s="339" t="inlineStr">
        <is>
          <t>Pet Friendly</t>
        </is>
      </c>
      <c r="V6" s="339" t="inlineStr">
        <is>
          <t>Gated</t>
        </is>
      </c>
      <c r="W6" s="339" t="inlineStr">
        <is>
          <t>Pool</t>
        </is>
      </c>
      <c r="X6" s="339" t="inlineStr">
        <is>
          <t>W/D In-Unit</t>
        </is>
      </c>
      <c r="Y6" s="339" t="inlineStr">
        <is>
          <t>Competition Level</t>
        </is>
      </c>
      <c r="Z6" s="336" t="inlineStr">
        <is>
          <t>Why Competitive</t>
        </is>
      </c>
      <c r="AA6" s="340" t="inlineStr">
        <is>
          <t>Data Source</t>
        </is>
      </c>
      <c r="AB6" s="342" t="n"/>
      <c r="AC6" s="136" t="n"/>
      <c r="AD6" s="136" t="n"/>
      <c r="AE6" s="136" t="n"/>
      <c r="AF6" s="136" t="n"/>
      <c r="AG6" s="136" t="n"/>
      <c r="AH6" s="136" t="n"/>
      <c r="AI6" s="136" t="n"/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La Promesa (SUBJECT)</t>
        </is>
      </c>
      <c r="D7" s="174" t="inlineStr">
        <is>
          <t>Odessa</t>
        </is>
      </c>
      <c r="E7" s="174" t="inlineStr">
        <is>
          <t>Odessa</t>
        </is>
      </c>
      <c r="F7" s="174" t="inlineStr">
        <is>
          <t>TX</t>
        </is>
      </c>
      <c r="G7" s="174" t="inlineStr">
        <is>
          <t>79762</t>
        </is>
      </c>
      <c r="H7" s="174" t="inlineStr">
        <is>
          <t>0.0 mi</t>
        </is>
      </c>
      <c r="I7" s="174" t="inlineStr">
        <is>
          <t>$3,529</t>
        </is>
      </c>
      <c r="J7" s="174" t="inlineStr">
        <is>
          <t>$4,235</t>
        </is>
      </c>
      <c r="K7" s="174" t="inlineStr">
        <is>
          <t>$1,254</t>
        </is>
      </c>
      <c r="L7" s="368">
        <f>B26</f>
        <v/>
      </c>
      <c r="M7" s="174" t="inlineStr">
        <is>
          <t>$3,920</t>
        </is>
      </c>
      <c r="N7" s="174" t="inlineStr">
        <is>
          <t>$4,705</t>
        </is>
      </c>
      <c r="O7" s="174" t="inlineStr">
        <is>
          <t>$1,573</t>
        </is>
      </c>
      <c r="P7" s="368">
        <f>B27</f>
        <v/>
      </c>
      <c r="Q7" s="174" t="inlineStr">
        <is>
          <t>136</t>
        </is>
      </c>
      <c r="R7" s="174" t="inlineStr">
        <is>
          <t>1978</t>
        </is>
      </c>
      <c r="S7" s="174" t="inlineStr">
        <is>
          <t>0</t>
        </is>
      </c>
      <c r="T7" s="174" t="inlineStr">
        <is>
          <t>Yes</t>
        </is>
      </c>
      <c r="U7" s="174" t="inlineStr">
        <is>
          <t>No</t>
        </is>
      </c>
      <c r="V7" s="174" t="inlineStr">
        <is>
          <t>No</t>
        </is>
      </c>
      <c r="W7" s="174" t="inlineStr">
        <is>
          <t>No</t>
        </is>
      </c>
      <c r="X7" s="174" t="inlineStr">
        <is>
          <t>No</t>
        </is>
      </c>
      <c r="Y7" s="42" t="inlineStr">
        <is>
          <t>SUBJECT</t>
        </is>
      </c>
      <c r="Z7" s="55" t="inlineStr">
        <is>
          <t>136 units | Layered HUD/LIHTC property. Year built: 1978. Subject property for market context.</t>
        </is>
      </c>
      <c r="AA7" s="40" t="inlineStr">
        <is>
          <t>Apartment Corp Records</t>
        </is>
      </c>
      <c r="AB7" s="136" t="n"/>
      <c r="AC7" s="136" t="n"/>
      <c r="AD7" s="136" t="n"/>
      <c r="AE7" s="136" t="n"/>
      <c r="AF7" s="136" t="n"/>
      <c r="AG7" s="136" t="n"/>
      <c r="AH7" s="136" t="n"/>
      <c r="AI7" s="136" t="n"/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Skyline Village</t>
        </is>
      </c>
      <c r="D8" s="59" t="n"/>
      <c r="E8" s="59" t="inlineStr">
        <is>
          <t>Mckinney</t>
        </is>
      </c>
      <c r="F8" s="59" t="inlineStr">
        <is>
          <t>TX</t>
        </is>
      </c>
      <c r="G8" s="59" t="n"/>
      <c r="H8" s="59" t="inlineStr">
        <is>
          <t>N/A</t>
        </is>
      </c>
      <c r="I8" s="59" t="inlineStr">
        <is>
          <t>$3,529</t>
        </is>
      </c>
      <c r="J8" s="59" t="inlineStr">
        <is>
          <t>$4,235</t>
        </is>
      </c>
      <c r="K8" s="41" t="inlineStr">
        <is>
          <t>$1,254</t>
        </is>
      </c>
      <c r="L8" s="53" t="inlineStr">
        <is>
          <t>Not Listed</t>
        </is>
      </c>
      <c r="M8" s="43" t="inlineStr">
        <is>
          <t>$3,920</t>
        </is>
      </c>
      <c r="N8" s="43" t="inlineStr">
        <is>
          <t>$4,705</t>
        </is>
      </c>
      <c r="O8" s="41" t="inlineStr">
        <is>
          <t>$1,573</t>
        </is>
      </c>
      <c r="P8" s="53" t="inlineStr">
        <is>
          <t>Not Listed</t>
        </is>
      </c>
      <c r="Q8" s="43" t="inlineStr">
        <is>
          <t>168</t>
        </is>
      </c>
      <c r="R8" s="43" t="inlineStr">
        <is>
          <t>1988</t>
        </is>
      </c>
      <c r="S8" s="43" t="inlineStr">
        <is>
          <t>10</t>
        </is>
      </c>
      <c r="T8" s="43" t="inlineStr">
        <is>
          <t>Yes</t>
        </is>
      </c>
      <c r="U8" s="43" t="inlineStr">
        <is>
          <t>No</t>
        </is>
      </c>
      <c r="V8" s="43" t="inlineStr">
        <is>
          <t>No</t>
        </is>
      </c>
      <c r="W8" s="43" t="inlineStr">
        <is>
          <t>No</t>
        </is>
      </c>
      <c r="X8" s="43" t="inlineStr">
        <is>
          <t>No</t>
        </is>
      </c>
      <c r="Y8" s="44" t="inlineStr">
        <is>
          <t>MODERATE</t>
        </is>
      </c>
      <c r="Z8" s="56" t="inlineStr">
        <is>
          <t>Affordable Comp #1: LIHTC property, 1988 vintage (10 yr diff), 168 units, N/A from subject. Same income-eligible renter pool.</t>
        </is>
      </c>
      <c r="AA8" s="43" t="inlineStr">
        <is>
          <t>HUD LIHTC Database (huduser.gov)</t>
        </is>
      </c>
      <c r="AB8" s="136" t="n"/>
      <c r="AC8" s="136" t="n"/>
      <c r="AD8" s="136" t="n"/>
      <c r="AE8" s="136" t="n"/>
      <c r="AF8" s="136" t="n"/>
      <c r="AG8" s="136" t="n"/>
      <c r="AH8" s="136" t="n"/>
      <c r="AI8" s="136" t="n"/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Orange Grove Apts</t>
        </is>
      </c>
      <c r="D9" s="125" t="inlineStr">
        <is>
          <t>Rr 1</t>
        </is>
      </c>
      <c r="E9" s="125" t="inlineStr">
        <is>
          <t>Newton</t>
        </is>
      </c>
      <c r="F9" s="125" t="inlineStr">
        <is>
          <t>TX</t>
        </is>
      </c>
      <c r="G9" s="125" t="inlineStr">
        <is>
          <t>75966</t>
        </is>
      </c>
      <c r="H9" s="125" t="inlineStr">
        <is>
          <t>N/A</t>
        </is>
      </c>
      <c r="I9" s="125" t="inlineStr">
        <is>
          <t>$3,529</t>
        </is>
      </c>
      <c r="J9" s="125" t="inlineStr">
        <is>
          <t>$4,235</t>
        </is>
      </c>
      <c r="K9" s="85" t="inlineStr">
        <is>
          <t>$1,254</t>
        </is>
      </c>
      <c r="L9" s="86" t="inlineStr">
        <is>
          <t>Not Listed</t>
        </is>
      </c>
      <c r="M9" s="128" t="inlineStr">
        <is>
          <t>$3,920</t>
        </is>
      </c>
      <c r="N9" s="128" t="inlineStr">
        <is>
          <t>$4,705</t>
        </is>
      </c>
      <c r="O9" s="85" t="inlineStr">
        <is>
          <t>$1,573</t>
        </is>
      </c>
      <c r="P9" s="86" t="inlineStr">
        <is>
          <t>Not Listed</t>
        </is>
      </c>
      <c r="Q9" s="128" t="inlineStr">
        <is>
          <t>24</t>
        </is>
      </c>
      <c r="R9" s="128" t="inlineStr">
        <is>
          <t>1987</t>
        </is>
      </c>
      <c r="S9" s="128" t="inlineStr">
        <is>
          <t>9</t>
        </is>
      </c>
      <c r="T9" s="128" t="inlineStr">
        <is>
          <t>Yes</t>
        </is>
      </c>
      <c r="U9" s="128" t="inlineStr">
        <is>
          <t>No</t>
        </is>
      </c>
      <c r="V9" s="128" t="inlineStr">
        <is>
          <t>No</t>
        </is>
      </c>
      <c r="W9" s="128" t="inlineStr">
        <is>
          <t>No</t>
        </is>
      </c>
      <c r="X9" s="128" t="inlineStr">
        <is>
          <t>No</t>
        </is>
      </c>
      <c r="Y9" s="129" t="inlineStr">
        <is>
          <t>MODERATE</t>
        </is>
      </c>
      <c r="Z9" s="130" t="inlineStr">
        <is>
          <t>Affordable Comp #2: LIHTC property, 1987 vintage (9 yr diff), 24 units, N/A from subject. Same income-eligible renter pool.</t>
        </is>
      </c>
      <c r="AA9" s="128" t="inlineStr">
        <is>
          <t>HUD LIHTC Database (huduser.gov)</t>
        </is>
      </c>
      <c r="AB9" s="136" t="n"/>
      <c r="AC9" s="136" t="n"/>
      <c r="AD9" s="136" t="n"/>
      <c r="AE9" s="136" t="n"/>
      <c r="AF9" s="136" t="n"/>
      <c r="AG9" s="136" t="n"/>
      <c r="AH9" s="136" t="n"/>
      <c r="AI9" s="136" t="n"/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Victoria Housing</t>
        </is>
      </c>
      <c r="D10" s="107" t="inlineStr">
        <is>
          <t>2817 Yanez Ave</t>
        </is>
      </c>
      <c r="E10" s="107" t="inlineStr">
        <is>
          <t>Mission</t>
        </is>
      </c>
      <c r="F10" s="107" t="inlineStr">
        <is>
          <t>TX</t>
        </is>
      </c>
      <c r="G10" s="107" t="n"/>
      <c r="H10" s="107" t="inlineStr">
        <is>
          <t>N/A</t>
        </is>
      </c>
      <c r="I10" s="107" t="inlineStr">
        <is>
          <t>$3,529</t>
        </is>
      </c>
      <c r="J10" s="107" t="inlineStr">
        <is>
          <t>$4,235</t>
        </is>
      </c>
      <c r="K10" s="80" t="inlineStr">
        <is>
          <t>$1,254</t>
        </is>
      </c>
      <c r="L10" s="81" t="inlineStr">
        <is>
          <t>Not Listed</t>
        </is>
      </c>
      <c r="M10" s="108" t="inlineStr">
        <is>
          <t>$3,920</t>
        </is>
      </c>
      <c r="N10" s="108" t="inlineStr">
        <is>
          <t>$4,705</t>
        </is>
      </c>
      <c r="O10" s="80" t="inlineStr">
        <is>
          <t>$1,573</t>
        </is>
      </c>
      <c r="P10" s="81" t="inlineStr">
        <is>
          <t>Not Listed</t>
        </is>
      </c>
      <c r="Q10" s="108" t="inlineStr">
        <is>
          <t>1</t>
        </is>
      </c>
      <c r="R10" s="108" t="inlineStr">
        <is>
          <t>1987</t>
        </is>
      </c>
      <c r="S10" s="108" t="inlineStr">
        <is>
          <t>9</t>
        </is>
      </c>
      <c r="T10" s="108" t="inlineStr">
        <is>
          <t>Yes</t>
        </is>
      </c>
      <c r="U10" s="108" t="inlineStr">
        <is>
          <t>No</t>
        </is>
      </c>
      <c r="V10" s="108" t="inlineStr">
        <is>
          <t>No</t>
        </is>
      </c>
      <c r="W10" s="108" t="inlineStr">
        <is>
          <t>No</t>
        </is>
      </c>
      <c r="X10" s="108" t="inlineStr">
        <is>
          <t>No</t>
        </is>
      </c>
      <c r="Y10" s="109" t="inlineStr">
        <is>
          <t>MODERATE</t>
        </is>
      </c>
      <c r="Z10" s="110" t="inlineStr">
        <is>
          <t>Affordable Comp #3: LIHTC property, 1987 vintage (9 yr diff), 1 units, N/A from subject. Same income-eligible renter pool.</t>
        </is>
      </c>
      <c r="AA10" s="111" t="inlineStr">
        <is>
          <t>HUD LIHTC Database (huduser.gov)</t>
        </is>
      </c>
      <c r="AB10" s="134" t="n"/>
      <c r="AC10" s="136" t="n"/>
      <c r="AD10" s="136" t="n"/>
      <c r="AE10" s="136" t="n"/>
      <c r="AF10" s="136" t="n"/>
      <c r="AG10" s="136" t="n"/>
      <c r="AH10" s="136" t="n"/>
      <c r="AI10" s="136" t="n"/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Springhill Apts</t>
        </is>
      </c>
      <c r="D11" s="95" t="inlineStr">
        <is>
          <t>4830 Ray Bon Dr</t>
        </is>
      </c>
      <c r="E11" s="95" t="inlineStr">
        <is>
          <t>San Antonio</t>
        </is>
      </c>
      <c r="F11" s="95" t="inlineStr">
        <is>
          <t>TX</t>
        </is>
      </c>
      <c r="G11" s="95" t="inlineStr">
        <is>
          <t>78218</t>
        </is>
      </c>
      <c r="H11" s="95" t="inlineStr">
        <is>
          <t>287.1 mi</t>
        </is>
      </c>
      <c r="I11" s="95" t="inlineStr">
        <is>
          <t>$3,529</t>
        </is>
      </c>
      <c r="J11" s="95" t="inlineStr">
        <is>
          <t>$4,235</t>
        </is>
      </c>
      <c r="K11" s="39" t="inlineStr">
        <is>
          <t>$1,254</t>
        </is>
      </c>
      <c r="L11" s="53" t="inlineStr">
        <is>
          <t>Not Listed</t>
        </is>
      </c>
      <c r="M11" s="96" t="inlineStr">
        <is>
          <t>$3,920</t>
        </is>
      </c>
      <c r="N11" s="96" t="inlineStr">
        <is>
          <t>$4,705</t>
        </is>
      </c>
      <c r="O11" s="39" t="inlineStr">
        <is>
          <t>$1,573</t>
        </is>
      </c>
      <c r="P11" s="53" t="inlineStr">
        <is>
          <t>Not Listed</t>
        </is>
      </c>
      <c r="Q11" s="96" t="inlineStr">
        <is>
          <t>132</t>
        </is>
      </c>
      <c r="R11" s="96" t="inlineStr">
        <is>
          <t>1987</t>
        </is>
      </c>
      <c r="S11" s="96" t="inlineStr">
        <is>
          <t>9</t>
        </is>
      </c>
      <c r="T11" s="96" t="inlineStr">
        <is>
          <t>Yes</t>
        </is>
      </c>
      <c r="U11" s="96" t="inlineStr">
        <is>
          <t>No</t>
        </is>
      </c>
      <c r="V11" s="96" t="inlineStr">
        <is>
          <t>No</t>
        </is>
      </c>
      <c r="W11" s="96" t="inlineStr">
        <is>
          <t>No</t>
        </is>
      </c>
      <c r="X11" s="96" t="inlineStr">
        <is>
          <t>No</t>
        </is>
      </c>
      <c r="Y11" s="45" t="inlineStr">
        <is>
          <t>LOW</t>
        </is>
      </c>
      <c r="Z11" s="97" t="inlineStr">
        <is>
          <t>Affordable Comp #4: LIHTC property, 1987 vintage (9 yr diff), 132 units, 287.1 mi from subject. Same income-eligible renter pool.</t>
        </is>
      </c>
      <c r="AA11" s="113" t="inlineStr">
        <is>
          <t>HUD LIHTC Database (huduser.gov)</t>
        </is>
      </c>
      <c r="AB11" s="134" t="n"/>
      <c r="AC11" s="136" t="n"/>
      <c r="AD11" s="136" t="n"/>
      <c r="AE11" s="136" t="n"/>
      <c r="AF11" s="136" t="n"/>
      <c r="AG11" s="136" t="n"/>
      <c r="AH11" s="136" t="n"/>
      <c r="AI11" s="136" t="n"/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37.5" customHeight="1" s="131">
      <c r="A12" s="114" t="n">
        <v>1</v>
      </c>
      <c r="B12" s="70" t="inlineStr">
        <is>
          <t>MARKET RATE</t>
        </is>
      </c>
      <c r="C12" s="67" t="inlineStr">
        <is>
          <t>Madison Square</t>
        </is>
      </c>
      <c r="D12" s="98" t="inlineStr">
        <is>
          <t>2201 Rocky Lane Rd</t>
        </is>
      </c>
      <c r="E12" s="98" t="inlineStr">
        <is>
          <t>Odessa</t>
        </is>
      </c>
      <c r="F12" s="98" t="inlineStr">
        <is>
          <t>TX</t>
        </is>
      </c>
      <c r="G12" s="98" t="inlineStr">
        <is>
          <t>79762</t>
        </is>
      </c>
      <c r="H12" s="98" t="inlineStr">
        <is>
          <t>2.1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N/A (Market Rate)</t>
        </is>
      </c>
      <c r="L12" s="157" t="n">
        <v>1220</v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$1,573</t>
        </is>
      </c>
      <c r="P12" s="53" t="inlineStr">
        <is>
          <t>$1,600</t>
        </is>
      </c>
      <c r="Q12" s="99" t="inlineStr">
        <is>
          <t>N/A</t>
        </is>
      </c>
      <c r="R12" s="99" t="inlineStr">
        <is>
          <t>1978</t>
        </is>
      </c>
      <c r="S12" s="99" t="inlineStr">
        <is>
          <t>0</t>
        </is>
      </c>
      <c r="T12" s="99" t="inlineStr">
        <is>
          <t>Varies</t>
        </is>
      </c>
      <c r="U12" s="99" t="inlineStr">
        <is>
          <t>Varies</t>
        </is>
      </c>
      <c r="V12" s="99" t="inlineStr">
        <is>
          <t>Varies</t>
        </is>
      </c>
      <c r="W12" s="99" t="inlineStr">
        <is>
          <t>Varies</t>
        </is>
      </c>
      <c r="X12" s="99" t="inlineStr">
        <is>
          <t>Varies</t>
        </is>
      </c>
      <c r="Y12" s="46" t="inlineStr">
        <is>
          <t>HIGH</t>
        </is>
      </c>
      <c r="Z12" s="100" t="inlineStr">
        <is>
          <t>Market Rate Comp #1: No income restrictions, 1978 vintage (0 yr diff), N/A units, N/A from subject. Shows market-rate rents vs. affordable housing discount.</t>
        </is>
      </c>
      <c r="AA12" s="115" t="inlineStr">
        <is>
          <t>HUD FY2026 FMR - Ector County, TX (limited market rate listings for 1968-1988 vintage)</t>
        </is>
      </c>
      <c r="AB12" s="134" t="n"/>
      <c r="AC12" s="136" t="n"/>
      <c r="AD12" s="136" t="n"/>
      <c r="AE12" s="136" t="n"/>
      <c r="AF12" s="136" t="n"/>
      <c r="AG12" s="136" t="n"/>
      <c r="AH12" s="136" t="n"/>
      <c r="AI12" s="136" t="n"/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n">
        <v>2</v>
      </c>
      <c r="B13" s="71" t="inlineStr">
        <is>
          <t>MARKET RATE</t>
        </is>
      </c>
      <c r="C13" s="68" t="inlineStr">
        <is>
          <t>Alara</t>
        </is>
      </c>
      <c r="D13" s="101" t="inlineStr">
        <is>
          <t>6501 Eastridge Rd</t>
        </is>
      </c>
      <c r="E13" s="101" t="inlineStr">
        <is>
          <t>Odessa</t>
        </is>
      </c>
      <c r="F13" s="101" t="inlineStr">
        <is>
          <t>TX</t>
        </is>
      </c>
      <c r="G13" s="101" t="inlineStr">
        <is>
          <t>79762</t>
        </is>
      </c>
      <c r="H13" s="101" t="inlineStr">
        <is>
          <t>3.5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N/A (Market Rate)</t>
        </is>
      </c>
      <c r="L13" s="157" t="n">
        <v>1205</v>
      </c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N/A (Market Rate)</t>
        </is>
      </c>
      <c r="P13" s="157" t="n">
        <v>1545</v>
      </c>
      <c r="Q13" s="102" t="inlineStr">
        <is>
          <t>N/A</t>
        </is>
      </c>
      <c r="R13" s="102" t="inlineStr">
        <is>
          <t>1975</t>
        </is>
      </c>
      <c r="S13" s="102" t="inlineStr">
        <is>
          <t>3</t>
        </is>
      </c>
      <c r="T13" s="102" t="inlineStr">
        <is>
          <t>Varies</t>
        </is>
      </c>
      <c r="U13" s="102" t="inlineStr">
        <is>
          <t>Varies</t>
        </is>
      </c>
      <c r="V13" s="102" t="inlineStr">
        <is>
          <t>Varies</t>
        </is>
      </c>
      <c r="W13" s="102" t="inlineStr">
        <is>
          <t>Varies</t>
        </is>
      </c>
      <c r="X13" s="102" t="inlineStr">
        <is>
          <t>Varies</t>
        </is>
      </c>
      <c r="Y13" s="47" t="inlineStr">
        <is>
          <t>HIGH</t>
        </is>
      </c>
      <c r="Z13" s="103" t="inlineStr">
        <is>
          <t>Market Rate Comp #2: No income restrictions, 1975 vintage (3 yr diff), N/A units, N/A from subject. Shows market-rate rents vs. affordable housing discount.</t>
        </is>
      </c>
      <c r="AA13" s="117" t="inlineStr">
        <is>
          <t>HUD FY2026 FMR - Ector County, TX</t>
        </is>
      </c>
      <c r="AB13" s="134" t="n"/>
      <c r="AC13" s="136" t="n"/>
      <c r="AD13" s="136" t="n"/>
      <c r="AE13" s="136" t="n"/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n">
        <v>3</v>
      </c>
      <c r="B14" s="69" t="inlineStr">
        <is>
          <t>MARKET RATE</t>
        </is>
      </c>
      <c r="C14" s="66" t="inlineStr">
        <is>
          <t>Westwinds Village</t>
        </is>
      </c>
      <c r="D14" s="95" t="inlineStr">
        <is>
          <t>4900 E University Blvd</t>
        </is>
      </c>
      <c r="E14" s="95" t="inlineStr">
        <is>
          <t>Odessa</t>
        </is>
      </c>
      <c r="F14" s="95" t="inlineStr">
        <is>
          <t>TX</t>
        </is>
      </c>
      <c r="G14" s="95" t="inlineStr">
        <is>
          <t>79762</t>
        </is>
      </c>
      <c r="H14" s="95" t="inlineStr">
        <is>
          <t>1.8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N/A (Market Rate)</t>
        </is>
      </c>
      <c r="L14" s="157" t="n">
        <v>1045</v>
      </c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N/A (Market Rate)</t>
        </is>
      </c>
      <c r="P14" s="157" t="n">
        <v>1550</v>
      </c>
      <c r="Q14" s="96" t="inlineStr">
        <is>
          <t>N/A</t>
        </is>
      </c>
      <c r="R14" s="96" t="inlineStr">
        <is>
          <t>1980</t>
        </is>
      </c>
      <c r="S14" s="96" t="inlineStr">
        <is>
          <t>2</t>
        </is>
      </c>
      <c r="T14" s="96" t="inlineStr">
        <is>
          <t>Varies</t>
        </is>
      </c>
      <c r="U14" s="96" t="inlineStr">
        <is>
          <t>Varies</t>
        </is>
      </c>
      <c r="V14" s="96" t="inlineStr">
        <is>
          <t>Varies</t>
        </is>
      </c>
      <c r="W14" s="96" t="inlineStr">
        <is>
          <t>Varies</t>
        </is>
      </c>
      <c r="X14" s="96" t="inlineStr">
        <is>
          <t>Varies</t>
        </is>
      </c>
      <c r="Y14" s="45" t="inlineStr">
        <is>
          <t>HIGH</t>
        </is>
      </c>
      <c r="Z14" s="97" t="inlineStr">
        <is>
          <t>Market Rate Comp #3: No income restrictions, 1980 vintage (2 yr diff), N/A units, N/A from subject. Shows market-rate rents vs. affordable housing discount.</t>
        </is>
      </c>
      <c r="AA14" s="113" t="inlineStr">
        <is>
          <t>HUD FY2026 FMR - Ector County, TX</t>
        </is>
      </c>
      <c r="AB14" s="134" t="n"/>
      <c r="AC14" s="136" t="n"/>
      <c r="AD14" s="136" t="n"/>
      <c r="AE14" s="136" t="n"/>
      <c r="AF14" s="136" t="n"/>
      <c r="AG14" s="136" t="n"/>
      <c r="AH14" s="136" t="n"/>
      <c r="AI14" s="136" t="n"/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n">
        <v>4</v>
      </c>
      <c r="B15" s="69" t="inlineStr">
        <is>
          <t>MARKET RATE</t>
        </is>
      </c>
      <c r="C15" s="66" t="inlineStr">
        <is>
          <t>Marvin Gardens Apartments</t>
        </is>
      </c>
      <c r="D15" s="95" t="inlineStr">
        <is>
          <t>4307 Wendover Ave</t>
        </is>
      </c>
      <c r="E15" s="95" t="inlineStr">
        <is>
          <t>Odessa</t>
        </is>
      </c>
      <c r="F15" s="95" t="inlineStr">
        <is>
          <t>TX</t>
        </is>
      </c>
      <c r="G15" s="95" t="inlineStr">
        <is>
          <t>79762</t>
        </is>
      </c>
      <c r="H15" s="95" t="inlineStr">
        <is>
          <t>1.2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N/A (Market Rate)</t>
        </is>
      </c>
      <c r="L15" s="157" t="n">
        <v>1395</v>
      </c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$1,573</t>
        </is>
      </c>
      <c r="P15" s="53" t="inlineStr">
        <is>
          <t>$1,350</t>
        </is>
      </c>
      <c r="Q15" s="96" t="inlineStr">
        <is>
          <t>N/A</t>
        </is>
      </c>
      <c r="R15" s="96" t="inlineStr">
        <is>
          <t>1980</t>
        </is>
      </c>
      <c r="S15" s="96" t="inlineStr">
        <is>
          <t>2</t>
        </is>
      </c>
      <c r="T15" s="96" t="inlineStr">
        <is>
          <t>Varies</t>
        </is>
      </c>
      <c r="U15" s="96" t="inlineStr">
        <is>
          <t>Varies</t>
        </is>
      </c>
      <c r="V15" s="96" t="inlineStr">
        <is>
          <t>Varies</t>
        </is>
      </c>
      <c r="W15" s="96" t="inlineStr">
        <is>
          <t>Varies</t>
        </is>
      </c>
      <c r="X15" s="96" t="inlineStr">
        <is>
          <t>Varies</t>
        </is>
      </c>
      <c r="Y15" s="45" t="inlineStr">
        <is>
          <t>HIGH</t>
        </is>
      </c>
      <c r="Z15" s="97" t="inlineStr">
        <is>
          <t>Market Rate Comp #4: No income restrictions, 1980 vintage (2 yr diff), N/A units, N/A from subject. Shows market-rate rents vs. affordable housing discount.</t>
        </is>
      </c>
      <c r="AA15" s="113" t="inlineStr">
        <is>
          <t>HUD FY2026 FMR - Ector County, TX</t>
        </is>
      </c>
      <c r="AB15" s="134" t="n"/>
      <c r="AC15" s="136" t="n"/>
      <c r="AD15" s="136" t="n"/>
      <c r="AE15" s="136" t="n"/>
      <c r="AF15" s="136" t="n"/>
      <c r="AG15" s="136" t="n"/>
      <c r="AH15" s="136" t="n"/>
      <c r="AI15" s="136" t="n"/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n">
        <v>5</v>
      </c>
      <c r="B16" s="82" t="inlineStr">
        <is>
          <t>MARKET RATE</t>
        </is>
      </c>
      <c r="C16" s="119" t="inlineStr">
        <is>
          <t>Regency Square Apartments</t>
        </is>
      </c>
      <c r="D16" s="120" t="inlineStr">
        <is>
          <t>4100 Tanglewood Ln</t>
        </is>
      </c>
      <c r="E16" s="120" t="inlineStr">
        <is>
          <t>Odessa</t>
        </is>
      </c>
      <c r="F16" s="120" t="inlineStr">
        <is>
          <t>TX</t>
        </is>
      </c>
      <c r="G16" s="120" t="inlineStr">
        <is>
          <t>79762</t>
        </is>
      </c>
      <c r="H16" s="120" t="inlineStr">
        <is>
          <t>2.0 mi</t>
        </is>
      </c>
      <c r="I16" s="120" t="inlineStr">
        <is>
          <t>N/A (Market Rate)</t>
        </is>
      </c>
      <c r="J16" s="120" t="inlineStr">
        <is>
          <t>N/A (Market Rate)</t>
        </is>
      </c>
      <c r="K16" s="121" t="inlineStr">
        <is>
          <t>N/A (Market Rate)</t>
        </is>
      </c>
      <c r="L16" s="159" t="n">
        <v>1325</v>
      </c>
      <c r="M16" s="122" t="inlineStr">
        <is>
          <t>N/A (Market Rate)</t>
        </is>
      </c>
      <c r="N16" s="122" t="inlineStr">
        <is>
          <t>N/A (Market Rate)</t>
        </is>
      </c>
      <c r="O16" s="121" t="inlineStr">
        <is>
          <t>N/A (Market Rate)</t>
        </is>
      </c>
      <c r="P16" s="159" t="n">
        <v>1625</v>
      </c>
      <c r="Q16" s="122" t="inlineStr">
        <is>
          <t>N/A</t>
        </is>
      </c>
      <c r="R16" s="122" t="inlineStr">
        <is>
          <t>N/A</t>
        </is>
      </c>
      <c r="S16" s="122" t="inlineStr">
        <is>
          <t>N/A</t>
        </is>
      </c>
      <c r="T16" s="122" t="inlineStr">
        <is>
          <t>N/A</t>
        </is>
      </c>
      <c r="U16" s="122" t="inlineStr">
        <is>
          <t>N/A</t>
        </is>
      </c>
      <c r="V16" s="122" t="inlineStr">
        <is>
          <t>N/A</t>
        </is>
      </c>
      <c r="W16" s="122" t="inlineStr">
        <is>
          <t>N/A</t>
        </is>
      </c>
      <c r="X16" s="122" t="inlineStr">
        <is>
          <t>N/A</t>
        </is>
      </c>
      <c r="Y16" s="84" t="inlineStr">
        <is>
          <t>BENCHMARK</t>
        </is>
      </c>
      <c r="Z16" s="123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124" t="inlineStr">
        <is>
          <t>HUD FMR Database (huduser.gov)</t>
        </is>
      </c>
      <c r="AB16" s="134" t="n"/>
      <c r="AC16" s="136" t="n"/>
      <c r="AD16" s="136" t="n"/>
      <c r="AE16" s="136" t="n"/>
      <c r="AF16" s="136" t="n"/>
      <c r="AG16" s="136" t="n"/>
      <c r="AH16" s="136" t="n"/>
      <c r="AI16" s="136" t="n"/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n">
        <v>6</v>
      </c>
      <c r="B17" s="88" t="inlineStr">
        <is>
          <t>MARKET RATE</t>
        </is>
      </c>
      <c r="C17" s="89" t="inlineStr">
        <is>
          <t>Country Crest Townhomes</t>
        </is>
      </c>
      <c r="D17" s="87" t="inlineStr">
        <is>
          <t>6500 Eastridge Rd</t>
        </is>
      </c>
      <c r="E17" s="87" t="inlineStr">
        <is>
          <t>Odessa</t>
        </is>
      </c>
      <c r="F17" s="87" t="inlineStr">
        <is>
          <t>TX</t>
        </is>
      </c>
      <c r="G17" s="87" t="inlineStr">
        <is>
          <t>79762</t>
        </is>
      </c>
      <c r="H17" s="87" t="inlineStr">
        <is>
          <t>3.8 mi</t>
        </is>
      </c>
      <c r="I17" s="87" t="inlineStr">
        <is>
          <t>N/A (Market Rate)</t>
        </is>
      </c>
      <c r="J17" s="87" t="inlineStr">
        <is>
          <t>N/A (Market Rate)</t>
        </is>
      </c>
      <c r="K17" s="90" t="inlineStr">
        <is>
          <t>N/A (Market Rate)</t>
        </is>
      </c>
      <c r="L17" s="161" t="n">
        <v>1570</v>
      </c>
      <c r="M17" s="92" t="inlineStr">
        <is>
          <t>N/A (Market Rate)</t>
        </is>
      </c>
      <c r="N17" s="92" t="inlineStr">
        <is>
          <t>N/A (Market Rate)</t>
        </is>
      </c>
      <c r="O17" s="90" t="inlineStr">
        <is>
          <t>N/A (Market Rate)</t>
        </is>
      </c>
      <c r="P17" s="161" t="n">
        <v>1770</v>
      </c>
      <c r="Q17" s="92" t="inlineStr">
        <is>
          <t>N/A</t>
        </is>
      </c>
      <c r="R17" s="92" t="inlineStr">
        <is>
          <t>N/A</t>
        </is>
      </c>
      <c r="S17" s="92" t="inlineStr">
        <is>
          <t>N/A</t>
        </is>
      </c>
      <c r="T17" s="92" t="inlineStr">
        <is>
          <t>N/A</t>
        </is>
      </c>
      <c r="U17" s="92" t="inlineStr">
        <is>
          <t>N/A</t>
        </is>
      </c>
      <c r="V17" s="92" t="inlineStr">
        <is>
          <t>N/A</t>
        </is>
      </c>
      <c r="W17" s="92" t="inlineStr">
        <is>
          <t>N/A</t>
        </is>
      </c>
      <c r="X17" s="92" t="inlineStr">
        <is>
          <t>N/A</t>
        </is>
      </c>
      <c r="Y17" s="93" t="inlineStr">
        <is>
          <t>BENCHMARK</t>
        </is>
      </c>
      <c r="Z17" s="94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92" t="inlineStr">
        <is>
          <t>HUD FMR + Market Estimate</t>
        </is>
      </c>
      <c r="AB17" s="136" t="n"/>
      <c r="AC17" s="136" t="n"/>
      <c r="AD17" s="136" t="n"/>
      <c r="AE17" s="136" t="n"/>
      <c r="AF17" s="136" t="n"/>
      <c r="AG17" s="136" t="n"/>
      <c r="AH17" s="136" t="n"/>
      <c r="AI17" s="136" t="n"/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C19" s="136" t="n"/>
      <c r="AD19" s="136" t="n"/>
      <c r="AE19" s="136" t="n"/>
      <c r="AF19" s="136" t="n"/>
      <c r="AG19" s="136" t="n"/>
      <c r="AH19" s="136" t="n"/>
      <c r="AI19" s="136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Height="1" s="131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Format="1" customHeight="1" s="2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Format="1" customHeight="1" s="2">
      <c r="A25" s="372" t="n"/>
      <c r="B25" s="201" t="inlineStr">
        <is>
          <t>2BD</t>
        </is>
      </c>
      <c r="C25" s="194" t="n"/>
      <c r="D25" s="200" t="n">
        <v>1293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Height="1" s="131">
      <c r="A26" s="372" t="n"/>
      <c r="B26" s="201" t="inlineStr">
        <is>
          <t>3BD</t>
        </is>
      </c>
      <c r="C26" s="194" t="n"/>
      <c r="D26" s="200" t="n">
        <v>1573</v>
      </c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8.1" customHeight="1" s="131">
      <c r="A27" s="369" t="n"/>
      <c r="B27" s="369" t="n"/>
      <c r="C27" s="399" t="n"/>
      <c r="D27" s="369" t="n"/>
      <c r="E27" s="369" t="n"/>
      <c r="F27" s="369" t="n"/>
      <c r="G27" s="369" t="n"/>
      <c r="H27" s="369" t="n"/>
      <c r="I27" s="369" t="n"/>
      <c r="J27" s="369" t="n"/>
      <c r="K27" s="369" t="n"/>
      <c r="L27" s="134" t="n"/>
      <c r="M27" s="134" t="n"/>
      <c r="N27" s="134" t="n"/>
      <c r="O27" s="134" t="n"/>
      <c r="P27" s="134" t="n"/>
      <c r="Q27" s="134" t="n"/>
      <c r="R27" s="134" t="n"/>
      <c r="S27" s="134" t="n"/>
      <c r="T27" s="134" t="n"/>
      <c r="U27" s="134" t="n"/>
      <c r="V27" s="134" t="n"/>
      <c r="W27" s="134" t="n"/>
      <c r="X27" s="134" t="n"/>
      <c r="Y27" s="134" t="n"/>
      <c r="Z27" s="135" t="n"/>
      <c r="AA27" s="134" t="n"/>
      <c r="AB27" s="134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24.75" customFormat="1" customHeight="1" s="2">
      <c r="A28" s="302" t="n"/>
      <c r="B28" s="211" t="inlineStr">
        <is>
          <t>PMTS — Vouchers / FMR / UAP / NET</t>
        </is>
      </c>
      <c r="G28" s="365" t="n"/>
      <c r="H28" s="183" t="n"/>
      <c r="I28" s="183" t="n"/>
      <c r="J28" s="183" t="n"/>
      <c r="K28" s="302" t="n"/>
      <c r="L28" s="302" t="n"/>
      <c r="M28" s="302" t="n"/>
      <c r="N28" s="302" t="n"/>
      <c r="O28" s="302" t="n"/>
      <c r="P28" s="302" t="n"/>
      <c r="Q28" s="302" t="n"/>
      <c r="R28" s="302" t="n"/>
      <c r="S28" s="302" t="n"/>
      <c r="T28" s="302" t="n"/>
      <c r="U28" s="302" t="n"/>
      <c r="V28" s="302" t="n"/>
      <c r="W28" s="302" t="n"/>
      <c r="X28" s="302" t="n"/>
      <c r="Y28" s="302" t="n"/>
      <c r="Z28" s="302" t="n"/>
      <c r="AA28" s="353" t="n"/>
      <c r="AB28" s="302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15.95" customFormat="1" customHeight="1" s="2">
      <c r="A29" s="302" t="n"/>
      <c r="B29" s="226" t="n"/>
      <c r="C29" s="213" t="inlineStr">
        <is>
          <t>MKT</t>
        </is>
      </c>
      <c r="D29" s="213" t="inlineStr">
        <is>
          <t>VCH</t>
        </is>
      </c>
      <c r="E29" s="214" t="inlineStr">
        <is>
          <t>FMR</t>
        </is>
      </c>
      <c r="F29" s="215" t="inlineStr">
        <is>
          <t>UAP</t>
        </is>
      </c>
      <c r="G29" s="216" t="inlineStr">
        <is>
          <t>NET</t>
        </is>
      </c>
      <c r="H29" s="183" t="n"/>
      <c r="I29" s="183" t="n"/>
      <c r="J29" s="183" t="n"/>
      <c r="K29" s="302" t="n"/>
      <c r="L29" s="302" t="n"/>
      <c r="M29" s="302" t="n"/>
      <c r="N29" s="302" t="n"/>
      <c r="O29" s="302" t="n"/>
      <c r="P29" s="302" t="n"/>
      <c r="Q29" s="302" t="n"/>
      <c r="R29" s="302" t="n"/>
      <c r="S29" s="302" t="n"/>
      <c r="T29" s="302" t="n"/>
      <c r="U29" s="302" t="n"/>
      <c r="V29" s="302" t="n"/>
      <c r="W29" s="302" t="n"/>
      <c r="X29" s="302" t="n"/>
      <c r="Y29" s="302" t="n"/>
      <c r="Z29" s="302" t="n"/>
      <c r="AA29" s="353" t="n"/>
      <c r="AB29" s="302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24.75" customFormat="1" customHeight="1" s="2">
      <c r="A30" s="372" t="n"/>
      <c r="B30" s="217" t="inlineStr">
        <is>
          <t>2BD</t>
        </is>
      </c>
      <c r="C30" s="197" t="n">
        <v>0</v>
      </c>
      <c r="D30" s="197" t="n">
        <v>0</v>
      </c>
      <c r="E30" s="198" t="n">
        <v>1760</v>
      </c>
      <c r="F30" s="199" t="n">
        <v>205</v>
      </c>
      <c r="G30" s="218" t="n">
        <v>1555</v>
      </c>
      <c r="H30" s="183" t="n"/>
      <c r="I30" s="183" t="n"/>
      <c r="J30" s="183" t="n"/>
      <c r="K30" s="302" t="n"/>
      <c r="L30" s="302" t="n"/>
      <c r="M30" s="302" t="n"/>
      <c r="N30" s="302" t="n"/>
      <c r="O30" s="343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8.1" customFormat="1" customHeight="1" s="2">
      <c r="A31" s="372" t="n"/>
      <c r="B31" s="455" t="inlineStr">
        <is>
          <t>2BD HC</t>
        </is>
      </c>
      <c r="C31" s="456" t="n">
        <v>0</v>
      </c>
      <c r="D31" s="389" t="n">
        <v>0</v>
      </c>
      <c r="E31" s="390" t="n">
        <v>1760</v>
      </c>
      <c r="F31" s="389" t="n">
        <v>178</v>
      </c>
      <c r="G31" s="379" t="n">
        <v>1582</v>
      </c>
      <c r="H31" s="369" t="n"/>
      <c r="I31" s="369" t="n"/>
      <c r="J31" s="369" t="n"/>
      <c r="K31" s="369" t="n"/>
      <c r="L31" s="134" t="n"/>
      <c r="M31" s="134" t="n"/>
      <c r="N31" s="134" t="n"/>
      <c r="O31" s="134" t="n"/>
      <c r="P31" s="134" t="n"/>
      <c r="Q31" s="134" t="n"/>
      <c r="R31" s="134" t="n"/>
      <c r="S31" s="134" t="n"/>
      <c r="T31" s="134" t="n"/>
      <c r="U31" s="134" t="n"/>
      <c r="V31" s="134" t="n"/>
      <c r="W31" s="134" t="n"/>
      <c r="X31" s="134" t="n"/>
      <c r="Y31" s="134" t="n"/>
      <c r="Z31" s="135" t="n"/>
      <c r="AA31" s="134" t="n"/>
      <c r="AB31" s="134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8.1" customFormat="1" customHeight="1" s="2">
      <c r="A32" s="369" t="n"/>
      <c r="B32" s="420" t="inlineStr">
        <is>
          <t>2BD TH</t>
        </is>
      </c>
      <c r="C32" s="421" t="n">
        <v>0</v>
      </c>
      <c r="D32" s="412" t="n">
        <v>0</v>
      </c>
      <c r="E32" s="440" t="n">
        <v>1760</v>
      </c>
      <c r="F32" s="412" t="n">
        <v>183</v>
      </c>
      <c r="G32" s="379" t="n">
        <v>1577</v>
      </c>
      <c r="H32" s="369" t="n"/>
      <c r="I32" s="369" t="n"/>
      <c r="J32" s="369" t="n"/>
      <c r="K32" s="369" t="n"/>
      <c r="L32" s="134" t="n"/>
      <c r="M32" s="134" t="n"/>
      <c r="N32" s="134" t="n"/>
      <c r="O32" s="134" t="n"/>
      <c r="P32" s="134" t="n"/>
      <c r="Q32" s="134" t="n"/>
      <c r="R32" s="134" t="n"/>
      <c r="S32" s="134" t="n"/>
      <c r="T32" s="134" t="n"/>
      <c r="U32" s="134" t="n"/>
      <c r="V32" s="134" t="n"/>
      <c r="W32" s="134" t="n"/>
      <c r="X32" s="134" t="n"/>
      <c r="Y32" s="134" t="n"/>
      <c r="Z32" s="135" t="n"/>
      <c r="AA32" s="134" t="n"/>
      <c r="AB32" s="134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24.75" customFormat="1" customHeight="1" s="2">
      <c r="A33" s="382" t="n"/>
      <c r="B33" s="217" t="inlineStr">
        <is>
          <t>3BD</t>
        </is>
      </c>
      <c r="C33" s="197" t="n">
        <v>0</v>
      </c>
      <c r="D33" s="197" t="n">
        <v>0</v>
      </c>
      <c r="E33" s="198" t="n">
        <v>2120</v>
      </c>
      <c r="F33" s="199" t="n">
        <v>231</v>
      </c>
      <c r="G33" s="218" t="n">
        <v>1889</v>
      </c>
      <c r="H33" s="183" t="n"/>
      <c r="I33" s="183" t="n"/>
      <c r="J33" s="183" t="n"/>
      <c r="K33" s="302" t="n"/>
      <c r="L33" s="302" t="n"/>
      <c r="M33" s="302" t="n"/>
      <c r="N33" s="302" t="n"/>
      <c r="O33" s="343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8.1" customHeight="1" s="131">
      <c r="A34" s="372" t="n"/>
      <c r="B34" s="372" t="n"/>
      <c r="C34" s="372" t="n"/>
      <c r="D34" s="372" t="n"/>
      <c r="E34" s="372" t="n"/>
      <c r="F34" s="369" t="n"/>
      <c r="G34" s="369" t="n"/>
      <c r="H34" s="369" t="n"/>
      <c r="I34" s="369" t="n"/>
      <c r="J34" s="369" t="n"/>
      <c r="K34" s="369" t="n"/>
      <c r="L34" s="136" t="n"/>
      <c r="M34" s="136" t="n"/>
      <c r="N34" s="136" t="n"/>
      <c r="O34" s="136" t="n"/>
      <c r="P34" s="136" t="n"/>
      <c r="Q34" s="136" t="n"/>
      <c r="R34" s="136" t="n"/>
      <c r="S34" s="136" t="n"/>
      <c r="T34" s="136" t="n"/>
      <c r="U34" s="136" t="n"/>
      <c r="V34" s="136" t="n"/>
      <c r="W34" s="136" t="n"/>
      <c r="X34" s="136" t="n"/>
      <c r="Y34" s="136" t="n"/>
      <c r="Z34" s="136" t="n"/>
      <c r="AA34" s="136" t="n"/>
      <c r="AB34" s="136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24.75" customHeight="1" s="131">
      <c r="A35" s="302" t="n"/>
      <c r="B35" s="366" t="inlineStr">
        <is>
          <t>LIHTC, UAP, NET</t>
        </is>
      </c>
      <c r="C35" s="358" t="n"/>
      <c r="D35" s="358" t="n"/>
      <c r="E35" s="358" t="n"/>
      <c r="F35" s="358" t="n"/>
      <c r="G35" s="359" t="n"/>
      <c r="H35" s="183" t="n"/>
      <c r="I35" s="183" t="n"/>
      <c r="J35" s="183" t="n"/>
      <c r="K35" s="302" t="n"/>
      <c r="L35" s="302" t="n"/>
      <c r="M35" s="302" t="n"/>
      <c r="N35" s="302" t="n"/>
      <c r="O35" s="302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16.5" customHeight="1" s="131">
      <c r="A36" s="369" t="n"/>
      <c r="B36" s="226" t="inlineStr">
        <is>
          <t>No LIHTC data available</t>
        </is>
      </c>
      <c r="C36" s="228" t="n"/>
      <c r="D36" s="228" t="n"/>
      <c r="E36" s="215" t="n"/>
      <c r="F36" s="216" t="n"/>
      <c r="G36" s="183" t="n"/>
      <c r="H36" s="183" t="n"/>
      <c r="I36" s="183" t="n"/>
      <c r="J36" s="183" t="n"/>
      <c r="K36" s="302" t="n"/>
      <c r="L36" s="302" t="n"/>
      <c r="M36" s="302" t="n"/>
      <c r="N36" s="302" t="n"/>
      <c r="O36" s="343" t="n"/>
      <c r="P36" s="302" t="n"/>
      <c r="Q36" s="302" t="n"/>
      <c r="R36" s="302" t="n"/>
      <c r="S36" s="302" t="n"/>
      <c r="T36" s="302" t="n"/>
      <c r="U36" s="302" t="n"/>
      <c r="V36" s="302" t="n"/>
      <c r="W36" s="302" t="n"/>
      <c r="X36" s="302" t="n"/>
      <c r="Y36" s="302" t="n"/>
      <c r="Z36" s="302" t="n"/>
      <c r="AA36" s="353" t="n"/>
      <c r="AB36" s="302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18" customHeight="1" s="131">
      <c r="A37" s="369" t="n"/>
      <c r="B37" s="369" t="n"/>
      <c r="C37" s="369" t="n"/>
      <c r="D37" s="369" t="n"/>
      <c r="E37" s="369" t="n"/>
      <c r="F37" s="369" t="n"/>
      <c r="G37" s="369" t="n"/>
      <c r="H37" s="369" t="n"/>
      <c r="I37" s="369" t="n"/>
      <c r="J37" s="369" t="n"/>
      <c r="K37" s="369" t="n"/>
      <c r="L37" s="134" t="n"/>
      <c r="M37" s="134" t="n"/>
      <c r="N37" s="134" t="n"/>
      <c r="O37" s="134" t="n"/>
      <c r="P37" s="134" t="n"/>
      <c r="Q37" s="134" t="n"/>
      <c r="R37" s="134" t="n"/>
      <c r="S37" s="134" t="n"/>
      <c r="T37" s="134" t="n"/>
      <c r="U37" s="134" t="n"/>
      <c r="V37" s="134" t="n"/>
      <c r="W37" s="134" t="n"/>
      <c r="X37" s="134" t="n"/>
      <c r="Y37" s="134" t="n"/>
      <c r="Z37" s="135" t="n"/>
      <c r="AA37" s="134" t="n"/>
      <c r="AB37" s="134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24.75" customHeight="1" s="131">
      <c r="A38" s="302" t="n"/>
      <c r="B38" s="207" t="inlineStr">
        <is>
          <t>HAP, CoStar, NET</t>
        </is>
      </c>
      <c r="H38" s="183" t="n"/>
      <c r="I38" s="183" t="n"/>
      <c r="J38" s="183" t="n"/>
      <c r="K38" s="302" t="n"/>
      <c r="L38" s="302" t="n"/>
      <c r="M38" s="302" t="n"/>
      <c r="N38" s="302" t="n"/>
      <c r="O38" s="302" t="n"/>
      <c r="P38" s="302" t="n"/>
      <c r="Q38" s="302" t="n"/>
      <c r="R38" s="302" t="n"/>
      <c r="S38" s="302" t="n"/>
      <c r="T38" s="302" t="n"/>
      <c r="U38" s="302" t="n"/>
      <c r="V38" s="302" t="n"/>
      <c r="W38" s="302" t="n"/>
      <c r="X38" s="302" t="n"/>
      <c r="Y38" s="302" t="n"/>
      <c r="Z38" s="302" t="n"/>
      <c r="AA38" s="353" t="n"/>
      <c r="AB38" s="302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15.95" customHeight="1" s="131">
      <c r="A39" s="302" t="n"/>
      <c r="B39" s="227" t="n"/>
      <c r="C39" s="208" t="inlineStr">
        <is>
          <t>HAP</t>
        </is>
      </c>
      <c r="D39" s="209" t="inlineStr">
        <is>
          <t>CoStar</t>
        </is>
      </c>
      <c r="E39" s="302" t="n"/>
      <c r="F39" s="302" t="n"/>
      <c r="G39" s="302" t="n"/>
      <c r="H39" s="183" t="n"/>
      <c r="I39" s="183" t="n"/>
      <c r="J39" s="183" t="n"/>
      <c r="K39" s="302" t="n"/>
      <c r="L39" s="302" t="n"/>
      <c r="M39" s="302" t="n"/>
      <c r="N39" s="302" t="n"/>
      <c r="O39" s="302" t="n"/>
      <c r="P39" s="302" t="n"/>
      <c r="Q39" s="302" t="n"/>
      <c r="R39" s="302" t="n"/>
      <c r="S39" s="302" t="n"/>
      <c r="T39" s="302" t="n"/>
      <c r="U39" s="302" t="n"/>
      <c r="V39" s="302" t="n"/>
      <c r="W39" s="302" t="n"/>
      <c r="X39" s="302" t="n"/>
      <c r="Y39" s="302" t="n"/>
      <c r="Z39" s="302" t="n"/>
      <c r="AA39" s="353" t="n"/>
      <c r="AB39" s="302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ht="24.75" customHeight="1" s="131">
      <c r="A40" s="302" t="n"/>
      <c r="B40" s="196" t="inlineStr">
        <is>
          <t>2BD</t>
        </is>
      </c>
      <c r="C40" s="199" t="n">
        <v>1515</v>
      </c>
      <c r="D40" s="198" t="n">
        <v>1315</v>
      </c>
      <c r="E40" s="183" t="n"/>
      <c r="F40" s="183" t="n"/>
      <c r="G40" s="183" t="n"/>
      <c r="H40" s="183" t="n"/>
      <c r="I40" s="183" t="n"/>
      <c r="J40" s="183" t="n"/>
      <c r="K40" s="302" t="n"/>
      <c r="L40" s="302" t="n"/>
      <c r="M40" s="302" t="n"/>
      <c r="N40" s="302" t="n"/>
      <c r="O40" s="302" t="n"/>
      <c r="P40" s="302" t="n"/>
      <c r="Q40" s="302" t="n"/>
      <c r="R40" s="302" t="n"/>
      <c r="S40" s="302" t="n"/>
      <c r="T40" s="302" t="n"/>
      <c r="U40" s="302" t="n"/>
      <c r="V40" s="302" t="n"/>
      <c r="W40" s="302" t="n"/>
      <c r="X40" s="302" t="n"/>
      <c r="Y40" s="302" t="n"/>
      <c r="Z40" s="302" t="n"/>
      <c r="AA40" s="353" t="n"/>
      <c r="AB40" s="302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ht="24.75" customHeight="1" s="131">
      <c r="A41" s="369" t="n"/>
      <c r="B41" s="420" t="inlineStr">
        <is>
          <t>2BD HC</t>
        </is>
      </c>
      <c r="C41" s="421" t="n">
        <v>1570</v>
      </c>
      <c r="D41" s="397" t="n">
        <v>1315</v>
      </c>
      <c r="E41" s="369" t="n"/>
      <c r="F41" s="369" t="n"/>
      <c r="G41" s="369" t="n"/>
      <c r="H41" s="369" t="n"/>
      <c r="I41" s="369" t="n"/>
      <c r="J41" s="369" t="n"/>
      <c r="K41" s="369" t="n"/>
      <c r="L41" s="136" t="n"/>
      <c r="M41" s="136" t="n"/>
      <c r="N41" s="136" t="n"/>
      <c r="O41" s="136" t="n"/>
      <c r="P41" s="136" t="n"/>
      <c r="Q41" s="136" t="n"/>
      <c r="R41" s="136" t="n"/>
      <c r="S41" s="136" t="n"/>
      <c r="T41" s="136" t="n"/>
      <c r="U41" s="136" t="n"/>
      <c r="V41" s="136" t="n"/>
      <c r="W41" s="136" t="n"/>
      <c r="X41" s="136" t="n"/>
      <c r="Y41" s="136" t="n"/>
      <c r="Z41" s="136" t="n"/>
      <c r="AA41" s="136" t="n"/>
      <c r="AB41" s="136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ht="24.75" customHeight="1" s="131">
      <c r="A42" s="369" t="n"/>
      <c r="B42" s="422" t="inlineStr">
        <is>
          <t>2BD TH</t>
        </is>
      </c>
      <c r="C42" s="411" t="n">
        <v>1720</v>
      </c>
      <c r="D42" s="397" t="n">
        <v>1315</v>
      </c>
      <c r="E42" s="369" t="n"/>
      <c r="F42" s="369" t="n"/>
      <c r="G42" s="369" t="n"/>
      <c r="H42" s="369" t="n"/>
      <c r="I42" s="369" t="n"/>
      <c r="J42" s="369" t="n"/>
      <c r="K42" s="369" t="n"/>
      <c r="L42" s="136" t="n"/>
      <c r="M42" s="136" t="n"/>
      <c r="N42" s="136" t="n"/>
      <c r="O42" s="136" t="n"/>
      <c r="P42" s="136" t="n"/>
      <c r="Q42" s="136" t="n"/>
      <c r="R42" s="136" t="n"/>
      <c r="S42" s="136" t="n"/>
      <c r="T42" s="136" t="n"/>
      <c r="U42" s="136" t="n"/>
      <c r="V42" s="136" t="n"/>
      <c r="W42" s="136" t="n"/>
      <c r="X42" s="136" t="n"/>
      <c r="Y42" s="136" t="n"/>
      <c r="Z42" s="136" t="n"/>
      <c r="AA42" s="136" t="n"/>
      <c r="AB42" s="136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ht="24.75" customHeight="1" s="131">
      <c r="A43" s="369" t="n"/>
      <c r="B43" s="422" t="inlineStr">
        <is>
          <t>3BD</t>
        </is>
      </c>
      <c r="C43" s="411" t="n">
        <v>1845</v>
      </c>
      <c r="D43" s="397" t="n">
        <v>1630</v>
      </c>
      <c r="E43" s="369" t="n"/>
      <c r="F43" s="369" t="n"/>
      <c r="G43" s="369" t="n"/>
      <c r="H43" s="369" t="n"/>
      <c r="I43" s="369" t="n"/>
      <c r="J43" s="369" t="n"/>
      <c r="K43" s="369" t="n"/>
      <c r="L43" s="136" t="n"/>
      <c r="M43" s="136" t="n"/>
      <c r="N43" s="136" t="n"/>
      <c r="O43" s="136" t="n"/>
      <c r="P43" s="136" t="n"/>
      <c r="Q43" s="136" t="n"/>
      <c r="R43" s="136" t="n"/>
      <c r="S43" s="136" t="n"/>
      <c r="T43" s="136" t="n"/>
      <c r="U43" s="136" t="n"/>
      <c r="V43" s="136" t="n"/>
      <c r="W43" s="136" t="n"/>
      <c r="X43" s="136" t="n"/>
      <c r="Y43" s="136" t="n"/>
      <c r="Z43" s="136" t="n"/>
      <c r="AA43" s="136" t="n"/>
      <c r="AB43" s="136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s="131">
      <c r="A44" s="369" t="n"/>
      <c r="B44" s="369" t="n"/>
      <c r="C44" s="369" t="n"/>
      <c r="D44" s="369" t="n"/>
      <c r="E44" s="369" t="n"/>
      <c r="F44" s="369" t="n"/>
      <c r="G44" s="369" t="n"/>
      <c r="H44" s="369" t="n"/>
      <c r="I44" s="369" t="n"/>
      <c r="J44" s="369" t="n"/>
      <c r="K44" s="369" t="n"/>
      <c r="L44" s="136" t="n"/>
      <c r="M44" s="136" t="n"/>
      <c r="N44" s="136" t="n"/>
      <c r="O44" s="136" t="n"/>
      <c r="P44" s="136" t="n"/>
      <c r="Q44" s="136" t="n"/>
      <c r="R44" s="136" t="n"/>
      <c r="S44" s="136" t="n"/>
      <c r="T44" s="136" t="n"/>
      <c r="U44" s="136" t="n"/>
      <c r="V44" s="136" t="n"/>
      <c r="W44" s="136" t="n"/>
      <c r="X44" s="136" t="n"/>
      <c r="Y44" s="136" t="n"/>
      <c r="Z44" s="136" t="n"/>
      <c r="AA44" s="136" t="n"/>
      <c r="AB44" s="136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s="131">
      <c r="A45" s="369" t="n"/>
      <c r="B45" s="369" t="n"/>
      <c r="C45" s="369" t="n"/>
      <c r="D45" s="369" t="n"/>
      <c r="E45" s="369" t="n"/>
      <c r="F45" s="369" t="n"/>
      <c r="G45" s="369" t="n"/>
      <c r="H45" s="369" t="n"/>
      <c r="I45" s="369" t="n"/>
      <c r="J45" s="369" t="n"/>
      <c r="K45" s="369" t="n"/>
      <c r="L45" s="136" t="n"/>
      <c r="M45" s="136" t="n"/>
      <c r="N45" s="136" t="n"/>
      <c r="O45" s="136" t="n"/>
      <c r="P45" s="136" t="n"/>
      <c r="Q45" s="136" t="n"/>
      <c r="R45" s="136" t="n"/>
      <c r="S45" s="136" t="n"/>
      <c r="T45" s="136" t="n"/>
      <c r="U45" s="136" t="n"/>
      <c r="V45" s="136" t="n"/>
      <c r="W45" s="136" t="n"/>
      <c r="X45" s="136" t="n"/>
      <c r="Y45" s="136" t="n"/>
      <c r="Z45" s="136" t="n"/>
      <c r="AA45" s="136" t="n"/>
      <c r="AB45" s="136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s="131">
      <c r="A46" s="369" t="n"/>
      <c r="B46" s="369" t="n"/>
      <c r="C46" s="369" t="n"/>
      <c r="D46" s="369" t="n"/>
      <c r="E46" s="369" t="n"/>
      <c r="F46" s="369" t="n"/>
      <c r="G46" s="369" t="n"/>
      <c r="H46" s="369" t="n"/>
      <c r="I46" s="369" t="n"/>
      <c r="J46" s="369" t="n"/>
      <c r="K46" s="369" t="n"/>
      <c r="L46" s="136" t="n"/>
      <c r="M46" s="136" t="n"/>
      <c r="N46" s="136" t="n"/>
      <c r="O46" s="136" t="n"/>
      <c r="P46" s="136" t="n"/>
      <c r="Q46" s="136" t="n"/>
      <c r="R46" s="136" t="n"/>
      <c r="S46" s="136" t="n"/>
      <c r="T46" s="136" t="n"/>
      <c r="U46" s="136" t="n"/>
      <c r="V46" s="136" t="n"/>
      <c r="W46" s="136" t="n"/>
      <c r="X46" s="136" t="n"/>
      <c r="Y46" s="136" t="n"/>
      <c r="Z46" s="136" t="n"/>
      <c r="AA46" s="136" t="n"/>
      <c r="AB46" s="136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s="131">
      <c r="A47" s="369" t="n"/>
      <c r="B47" s="369" t="n"/>
      <c r="C47" s="369" t="n"/>
      <c r="D47" s="369" t="n"/>
      <c r="E47" s="369" t="n"/>
      <c r="F47" s="369" t="n"/>
      <c r="G47" s="369" t="n"/>
      <c r="H47" s="369" t="n"/>
      <c r="I47" s="369" t="n"/>
      <c r="J47" s="369" t="n"/>
      <c r="K47" s="369" t="n"/>
      <c r="L47" s="136" t="n"/>
      <c r="M47" s="136" t="n"/>
      <c r="N47" s="136" t="n"/>
      <c r="O47" s="136" t="n"/>
      <c r="P47" s="136" t="n"/>
      <c r="Q47" s="136" t="n"/>
      <c r="R47" s="136" t="n"/>
      <c r="S47" s="136" t="n"/>
      <c r="T47" s="136" t="n"/>
      <c r="U47" s="136" t="n"/>
      <c r="V47" s="136" t="n"/>
      <c r="W47" s="136" t="n"/>
      <c r="X47" s="136" t="n"/>
      <c r="Y47" s="136" t="n"/>
      <c r="Z47" s="136" t="n"/>
      <c r="AA47" s="136" t="n"/>
      <c r="AB47" s="136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s="131">
      <c r="A48" s="369" t="n"/>
      <c r="B48" s="369" t="n"/>
      <c r="C48" s="369" t="n"/>
      <c r="D48" s="369" t="n"/>
      <c r="E48" s="369" t="n"/>
      <c r="F48" s="369" t="n"/>
      <c r="G48" s="369" t="n"/>
      <c r="H48" s="369" t="n"/>
      <c r="I48" s="369" t="n"/>
      <c r="J48" s="369" t="n"/>
      <c r="K48" s="369" t="n"/>
      <c r="L48" s="136" t="n"/>
      <c r="M48" s="136" t="n"/>
      <c r="N48" s="136" t="n"/>
      <c r="O48" s="136" t="n"/>
      <c r="P48" s="136" t="n"/>
      <c r="Q48" s="136" t="n"/>
      <c r="R48" s="136" t="n"/>
      <c r="S48" s="136" t="n"/>
      <c r="T48" s="136" t="n"/>
      <c r="U48" s="136" t="n"/>
      <c r="V48" s="136" t="n"/>
      <c r="W48" s="136" t="n"/>
      <c r="X48" s="136" t="n"/>
      <c r="Y48" s="136" t="n"/>
      <c r="Z48" s="136" t="n"/>
      <c r="AA48" s="136" t="n"/>
      <c r="AB48" s="136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s="131">
      <c r="A49" s="369" t="n"/>
      <c r="B49" s="369" t="n"/>
      <c r="C49" s="369" t="n"/>
      <c r="D49" s="369" t="n"/>
      <c r="E49" s="369" t="n"/>
      <c r="F49" s="369" t="n"/>
      <c r="G49" s="369" t="n"/>
      <c r="H49" s="369" t="n"/>
      <c r="I49" s="369" t="n"/>
      <c r="J49" s="369" t="n"/>
      <c r="K49" s="369" t="n"/>
      <c r="L49" s="136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6" t="n"/>
      <c r="Y49" s="136" t="n"/>
      <c r="Z49" s="136" t="n"/>
      <c r="AA49" s="136" t="n"/>
      <c r="AB49" s="136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s="131">
      <c r="A50" s="369" t="n"/>
      <c r="B50" s="369" t="n"/>
      <c r="C50" s="369" t="n"/>
      <c r="D50" s="369" t="n"/>
      <c r="E50" s="369" t="n"/>
      <c r="F50" s="369" t="n"/>
      <c r="G50" s="369" t="n"/>
      <c r="H50" s="369" t="n"/>
      <c r="I50" s="369" t="n"/>
      <c r="J50" s="369" t="n"/>
      <c r="K50" s="369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</sheetData>
  <mergeCells count="9">
    <mergeCell ref="B4:AB4"/>
    <mergeCell ref="B38:G38"/>
    <mergeCell ref="B28:G28"/>
    <mergeCell ref="B22:G22"/>
    <mergeCell ref="B23:G23"/>
    <mergeCell ref="B20:I20"/>
    <mergeCell ref="B2:AB2"/>
    <mergeCell ref="B35:G35"/>
    <mergeCell ref="B3:AB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W51"/>
  <sheetViews>
    <sheetView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NEW WILMINGTON ARMS | GREEN = Affordable Comps | BLUE = Market Rate Comps</t>
        </is>
      </c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New Wilmington Arms | 700 W. Laurel Avenue, Compton, CA 90220 | units N/A | Program: Section 8/HUD | Bedroom Mix: 1BR / 2BR / 3BR / 4BR | County AMI: $106,600 | FMR Area: Los Angeles County</t>
        </is>
      </c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1BD 50% AMI ($)</t>
        </is>
      </c>
      <c r="J6" s="280" t="inlineStr">
        <is>
          <t>1BD 60% AMI ($)</t>
        </is>
      </c>
      <c r="K6" s="280" t="inlineStr">
        <is>
          <t>1BR FMR ($)</t>
        </is>
      </c>
      <c r="L6" s="335" t="inlineStr">
        <is>
          <t>1BR Actual ($)</t>
        </is>
      </c>
      <c r="M6" s="281" t="inlineStr">
        <is>
          <t>2BD 50% AMI ($)</t>
        </is>
      </c>
      <c r="N6" s="280" t="inlineStr">
        <is>
          <t>2BD 60% AMI ($)</t>
        </is>
      </c>
      <c r="O6" s="280" t="inlineStr">
        <is>
          <t>2BR FMR ($)</t>
        </is>
      </c>
      <c r="P6" s="335" t="inlineStr">
        <is>
          <t>2BR Actual ($)</t>
        </is>
      </c>
      <c r="Q6" s="281" t="inlineStr">
        <is>
          <t>3BD 50% AMI ($)</t>
        </is>
      </c>
      <c r="R6" s="280" t="inlineStr">
        <is>
          <t>3BD 60% AMI ($)</t>
        </is>
      </c>
      <c r="S6" s="280" t="inlineStr">
        <is>
          <t>3BR FMR ($)</t>
        </is>
      </c>
      <c r="T6" s="339" t="inlineStr">
        <is>
          <t>3BR Actual ($)</t>
        </is>
      </c>
      <c r="U6" s="339" t="inlineStr">
        <is>
          <t>4BD 50% AMI ($)</t>
        </is>
      </c>
      <c r="V6" s="339" t="inlineStr">
        <is>
          <t>4BD 60% AMI ($)</t>
        </is>
      </c>
      <c r="W6" s="339" t="inlineStr">
        <is>
          <t>4BR FMR ($)</t>
        </is>
      </c>
      <c r="X6" s="339" t="inlineStr">
        <is>
          <t>4BR Actual ($)</t>
        </is>
      </c>
      <c r="Y6" s="339" t="inlineStr">
        <is>
          <t># Units</t>
        </is>
      </c>
      <c r="Z6" s="336" t="inlineStr">
        <is>
          <t>Year Built</t>
        </is>
      </c>
      <c r="AA6" s="340" t="inlineStr">
        <is>
          <t>Yr Diff</t>
        </is>
      </c>
      <c r="AB6" s="342" t="inlineStr">
        <is>
          <t>Utilities Incl.</t>
        </is>
      </c>
      <c r="AC6" s="136" t="inlineStr">
        <is>
          <t>Pet Friendly</t>
        </is>
      </c>
      <c r="AD6" s="136" t="inlineStr">
        <is>
          <t>Gated</t>
        </is>
      </c>
      <c r="AE6" s="136" t="inlineStr">
        <is>
          <t>Pool</t>
        </is>
      </c>
      <c r="AF6" s="136" t="inlineStr">
        <is>
          <t>W/D In-Unit</t>
        </is>
      </c>
      <c r="AG6" s="136" t="inlineStr">
        <is>
          <t>Competition Level</t>
        </is>
      </c>
      <c r="AH6" s="136" t="inlineStr">
        <is>
          <t>Why Competitive</t>
        </is>
      </c>
      <c r="AI6" s="136" t="inlineStr">
        <is>
          <t>Data Source</t>
        </is>
      </c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New Wilmington Arms (SUBJECT)</t>
        </is>
      </c>
      <c r="D7" s="174" t="inlineStr">
        <is>
          <t>700 W. Laurel Avenue</t>
        </is>
      </c>
      <c r="E7" s="174" t="inlineStr">
        <is>
          <t>Compton</t>
        </is>
      </c>
      <c r="F7" s="174" t="inlineStr">
        <is>
          <t>CA</t>
        </is>
      </c>
      <c r="G7" s="174" t="inlineStr">
        <is>
          <t>90220</t>
        </is>
      </c>
      <c r="H7" s="174" t="inlineStr">
        <is>
          <t>0.0 mi</t>
        </is>
      </c>
      <c r="I7" s="174" t="inlineStr">
        <is>
          <t>$4,733</t>
        </is>
      </c>
      <c r="J7" s="174" t="inlineStr">
        <is>
          <t>$5,680</t>
        </is>
      </c>
      <c r="K7" s="174" t="inlineStr">
        <is>
          <t>$1,736</t>
        </is>
      </c>
      <c r="L7" s="368">
        <f>B26</f>
        <v/>
      </c>
      <c r="M7" s="174" t="inlineStr">
        <is>
          <t>$5,679</t>
        </is>
      </c>
      <c r="N7" s="174" t="inlineStr">
        <is>
          <t>$6,815</t>
        </is>
      </c>
      <c r="O7" s="174" t="inlineStr">
        <is>
          <t>$2,376</t>
        </is>
      </c>
      <c r="P7" s="368">
        <f>B27</f>
        <v/>
      </c>
      <c r="Q7" s="174" t="inlineStr">
        <is>
          <t>$6,312</t>
        </is>
      </c>
      <c r="R7" s="174" t="inlineStr">
        <is>
          <t>$7,575</t>
        </is>
      </c>
      <c r="S7" s="174" t="inlineStr">
        <is>
          <t>$3,044</t>
        </is>
      </c>
      <c r="T7" s="368">
        <f>B28</f>
        <v/>
      </c>
      <c r="U7" s="174" t="inlineStr">
        <is>
          <t>$6,816</t>
        </is>
      </c>
      <c r="V7" s="174" t="inlineStr">
        <is>
          <t>$8,180</t>
        </is>
      </c>
      <c r="W7" s="174" t="inlineStr">
        <is>
          <t>$3,520</t>
        </is>
      </c>
      <c r="X7" s="174" t="inlineStr">
        <is>
          <t>N/A</t>
        </is>
      </c>
      <c r="Y7" s="42" t="inlineStr">
        <is>
          <t>N/A</t>
        </is>
      </c>
      <c r="Z7" s="55" t="inlineStr">
        <is>
          <t>1973</t>
        </is>
      </c>
      <c r="AA7" s="40" t="inlineStr">
        <is>
          <t>0</t>
        </is>
      </c>
      <c r="AB7" s="136" t="inlineStr">
        <is>
          <t>Yes</t>
        </is>
      </c>
      <c r="AC7" s="136" t="inlineStr">
        <is>
          <t>No</t>
        </is>
      </c>
      <c r="AD7" s="136" t="inlineStr">
        <is>
          <t>No</t>
        </is>
      </c>
      <c r="AE7" s="136" t="inlineStr">
        <is>
          <t>No</t>
        </is>
      </c>
      <c r="AF7" s="136" t="inlineStr">
        <is>
          <t>No</t>
        </is>
      </c>
      <c r="AG7" s="136" t="inlineStr">
        <is>
          <t>SUBJECT</t>
        </is>
      </c>
      <c r="AH7" s="136" t="inlineStr">
        <is>
          <t>units N/A | Section 8/HUD property. Year built: 1973. Subject property for market context.</t>
        </is>
      </c>
      <c r="AI7" s="136" t="inlineStr">
        <is>
          <t>Apartment Corp Records</t>
        </is>
      </c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Compton Gardens Apartments</t>
        </is>
      </c>
      <c r="D8" s="59" t="inlineStr">
        <is>
          <t>1100 N Wilmington Ave</t>
        </is>
      </c>
      <c r="E8" s="59" t="inlineStr">
        <is>
          <t>Compton</t>
        </is>
      </c>
      <c r="F8" s="59" t="inlineStr">
        <is>
          <t>CA</t>
        </is>
      </c>
      <c r="G8" s="59" t="inlineStr">
        <is>
          <t>90222</t>
        </is>
      </c>
      <c r="H8" s="59" t="inlineStr">
        <is>
          <t>1.2 mi</t>
        </is>
      </c>
      <c r="I8" s="59" t="inlineStr">
        <is>
          <t>$4,733</t>
        </is>
      </c>
      <c r="J8" s="59" t="inlineStr">
        <is>
          <t>$5,680</t>
        </is>
      </c>
      <c r="K8" s="41" t="inlineStr">
        <is>
          <t>$1,736</t>
        </is>
      </c>
      <c r="L8" s="53" t="inlineStr">
        <is>
          <t>Not Listed</t>
        </is>
      </c>
      <c r="M8" s="43" t="inlineStr">
        <is>
          <t>$5,679</t>
        </is>
      </c>
      <c r="N8" s="43" t="inlineStr">
        <is>
          <t>$6,815</t>
        </is>
      </c>
      <c r="O8" s="41" t="inlineStr">
        <is>
          <t>$2,376</t>
        </is>
      </c>
      <c r="P8" s="53" t="inlineStr">
        <is>
          <t>Not Listed</t>
        </is>
      </c>
      <c r="Q8" s="43" t="inlineStr">
        <is>
          <t>$6,312</t>
        </is>
      </c>
      <c r="R8" s="43" t="inlineStr">
        <is>
          <t>$7,575</t>
        </is>
      </c>
      <c r="S8" s="43" t="inlineStr">
        <is>
          <t>$3,044</t>
        </is>
      </c>
      <c r="T8" s="43" t="inlineStr">
        <is>
          <t>Not Listed</t>
        </is>
      </c>
      <c r="U8" s="43" t="inlineStr">
        <is>
          <t>$6,816</t>
        </is>
      </c>
      <c r="V8" s="43" t="inlineStr">
        <is>
          <t>$8,180</t>
        </is>
      </c>
      <c r="W8" s="43" t="inlineStr">
        <is>
          <t>$3,520</t>
        </is>
      </c>
      <c r="X8" s="43" t="inlineStr">
        <is>
          <t>Not Listed</t>
        </is>
      </c>
      <c r="Y8" s="44" t="inlineStr">
        <is>
          <t>60</t>
        </is>
      </c>
      <c r="Z8" s="56" t="inlineStr">
        <is>
          <t>1974</t>
        </is>
      </c>
      <c r="AA8" s="43" t="inlineStr">
        <is>
          <t>1</t>
        </is>
      </c>
      <c r="AB8" s="136" t="inlineStr">
        <is>
          <t>Yes</t>
        </is>
      </c>
      <c r="AC8" s="136" t="inlineStr">
        <is>
          <t>No</t>
        </is>
      </c>
      <c r="AD8" s="136" t="inlineStr">
        <is>
          <t>No</t>
        </is>
      </c>
      <c r="AE8" s="136" t="inlineStr">
        <is>
          <t>No</t>
        </is>
      </c>
      <c r="AF8" s="136" t="inlineStr">
        <is>
          <t>No</t>
        </is>
      </c>
      <c r="AG8" s="136" t="inlineStr">
        <is>
          <t>HIGH</t>
        </is>
      </c>
      <c r="AH8" s="136" t="inlineStr">
        <is>
          <t>Affordable Comp #1: Section 8/HUD property, 1974 vintage (1 yr diff), 60 units, 1.2 mi from subject. Same income-eligible renter pool.</t>
        </is>
      </c>
      <c r="AI8" s="136" t="inlineStr">
        <is>
          <t>HUD Multifamily Assisted Housing</t>
        </is>
      </c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Rosecrans Manor</t>
        </is>
      </c>
      <c r="D9" s="125" t="inlineStr">
        <is>
          <t>2200 W Rosecrans Ave</t>
        </is>
      </c>
      <c r="E9" s="125" t="inlineStr">
        <is>
          <t>Compton</t>
        </is>
      </c>
      <c r="F9" s="125" t="inlineStr">
        <is>
          <t>CA</t>
        </is>
      </c>
      <c r="G9" s="125" t="inlineStr">
        <is>
          <t>90220</t>
        </is>
      </c>
      <c r="H9" s="125" t="inlineStr">
        <is>
          <t>2.5 mi</t>
        </is>
      </c>
      <c r="I9" s="125" t="inlineStr">
        <is>
          <t>$4,733</t>
        </is>
      </c>
      <c r="J9" s="125" t="inlineStr">
        <is>
          <t>$5,680</t>
        </is>
      </c>
      <c r="K9" s="85" t="inlineStr">
        <is>
          <t>$1,736</t>
        </is>
      </c>
      <c r="L9" s="86" t="inlineStr">
        <is>
          <t>Not Listed</t>
        </is>
      </c>
      <c r="M9" s="128" t="inlineStr">
        <is>
          <t>$5,679</t>
        </is>
      </c>
      <c r="N9" s="128" t="inlineStr">
        <is>
          <t>$6,815</t>
        </is>
      </c>
      <c r="O9" s="85" t="inlineStr">
        <is>
          <t>$2,376</t>
        </is>
      </c>
      <c r="P9" s="86" t="inlineStr">
        <is>
          <t>Not Listed</t>
        </is>
      </c>
      <c r="Q9" s="128" t="inlineStr">
        <is>
          <t>$6,312</t>
        </is>
      </c>
      <c r="R9" s="128" t="inlineStr">
        <is>
          <t>$7,575</t>
        </is>
      </c>
      <c r="S9" s="128" t="inlineStr">
        <is>
          <t>$3,044</t>
        </is>
      </c>
      <c r="T9" s="128" t="inlineStr">
        <is>
          <t>Not Listed</t>
        </is>
      </c>
      <c r="U9" s="128" t="inlineStr">
        <is>
          <t>$6,816</t>
        </is>
      </c>
      <c r="V9" s="128" t="inlineStr">
        <is>
          <t>$8,180</t>
        </is>
      </c>
      <c r="W9" s="128" t="inlineStr">
        <is>
          <t>$3,520</t>
        </is>
      </c>
      <c r="X9" s="128" t="inlineStr">
        <is>
          <t>Not Listed</t>
        </is>
      </c>
      <c r="Y9" s="129" t="inlineStr">
        <is>
          <t>72</t>
        </is>
      </c>
      <c r="Z9" s="130" t="inlineStr">
        <is>
          <t>1972</t>
        </is>
      </c>
      <c r="AA9" s="128" t="inlineStr">
        <is>
          <t>1</t>
        </is>
      </c>
      <c r="AB9" s="136" t="inlineStr">
        <is>
          <t>Yes</t>
        </is>
      </c>
      <c r="AC9" s="136" t="inlineStr">
        <is>
          <t>No</t>
        </is>
      </c>
      <c r="AD9" s="136" t="inlineStr">
        <is>
          <t>No</t>
        </is>
      </c>
      <c r="AE9" s="136" t="inlineStr">
        <is>
          <t>No</t>
        </is>
      </c>
      <c r="AF9" s="136" t="inlineStr">
        <is>
          <t>No</t>
        </is>
      </c>
      <c r="AG9" s="136" t="inlineStr">
        <is>
          <t>HIGH</t>
        </is>
      </c>
      <c r="AH9" s="136" t="inlineStr">
        <is>
          <t>Affordable Comp #2: Section 8/HUD property, 1972 vintage (1 yr diff), 72 units, 2.5 mi from subject. Same income-eligible renter pool.</t>
        </is>
      </c>
      <c r="AI9" s="136" t="inlineStr">
        <is>
          <t>HUD Multifamily Assisted Housing</t>
        </is>
      </c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Willowbrook Terrace</t>
        </is>
      </c>
      <c r="D10" s="107" t="inlineStr">
        <is>
          <t>11800 Wilmington Ave</t>
        </is>
      </c>
      <c r="E10" s="107" t="inlineStr">
        <is>
          <t>Los Angeles</t>
        </is>
      </c>
      <c r="F10" s="107" t="inlineStr">
        <is>
          <t>CA</t>
        </is>
      </c>
      <c r="G10" s="107" t="inlineStr">
        <is>
          <t>90059</t>
        </is>
      </c>
      <c r="H10" s="107" t="inlineStr">
        <is>
          <t>4.8 mi</t>
        </is>
      </c>
      <c r="I10" s="107" t="inlineStr">
        <is>
          <t>$4,733</t>
        </is>
      </c>
      <c r="J10" s="107" t="inlineStr">
        <is>
          <t>$5,680</t>
        </is>
      </c>
      <c r="K10" s="80" t="inlineStr">
        <is>
          <t>$1,736</t>
        </is>
      </c>
      <c r="L10" s="81" t="inlineStr">
        <is>
          <t>Not Listed</t>
        </is>
      </c>
      <c r="M10" s="108" t="inlineStr">
        <is>
          <t>$5,679</t>
        </is>
      </c>
      <c r="N10" s="108" t="inlineStr">
        <is>
          <t>$6,815</t>
        </is>
      </c>
      <c r="O10" s="80" t="inlineStr">
        <is>
          <t>$2,376</t>
        </is>
      </c>
      <c r="P10" s="81" t="inlineStr">
        <is>
          <t>Not Listed</t>
        </is>
      </c>
      <c r="Q10" s="108" t="inlineStr">
        <is>
          <t>$6,312</t>
        </is>
      </c>
      <c r="R10" s="108" t="inlineStr">
        <is>
          <t>$7,575</t>
        </is>
      </c>
      <c r="S10" s="108" t="inlineStr">
        <is>
          <t>$3,044</t>
        </is>
      </c>
      <c r="T10" s="108" t="inlineStr">
        <is>
          <t>Not Listed</t>
        </is>
      </c>
      <c r="U10" s="108" t="inlineStr">
        <is>
          <t>$6,816</t>
        </is>
      </c>
      <c r="V10" s="108" t="inlineStr">
        <is>
          <t>$8,180</t>
        </is>
      </c>
      <c r="W10" s="108" t="inlineStr">
        <is>
          <t>$3,520</t>
        </is>
      </c>
      <c r="X10" s="108" t="inlineStr">
        <is>
          <t>Not Listed</t>
        </is>
      </c>
      <c r="Y10" s="109" t="inlineStr">
        <is>
          <t>68</t>
        </is>
      </c>
      <c r="Z10" s="110" t="inlineStr">
        <is>
          <t>1975</t>
        </is>
      </c>
      <c r="AA10" s="111" t="inlineStr">
        <is>
          <t>2</t>
        </is>
      </c>
      <c r="AB10" s="134" t="inlineStr">
        <is>
          <t>Yes</t>
        </is>
      </c>
      <c r="AC10" s="136" t="inlineStr">
        <is>
          <t>No</t>
        </is>
      </c>
      <c r="AD10" s="136" t="inlineStr">
        <is>
          <t>No</t>
        </is>
      </c>
      <c r="AE10" s="136" t="inlineStr">
        <is>
          <t>No</t>
        </is>
      </c>
      <c r="AF10" s="136" t="inlineStr">
        <is>
          <t>No</t>
        </is>
      </c>
      <c r="AG10" s="136" t="inlineStr">
        <is>
          <t>HIGH</t>
        </is>
      </c>
      <c r="AH10" s="136" t="inlineStr">
        <is>
          <t>Affordable Comp #3: Section 8/HUD property, 1975 vintage (2 yr diff), 68 units, 4.8 mi from subject. Same income-eligible renter pool.</t>
        </is>
      </c>
      <c r="AI10" s="136" t="inlineStr">
        <is>
          <t>HUD Multifamily Assisted Housing</t>
        </is>
      </c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Compton Housing Authority - Lueders Park Homes</t>
        </is>
      </c>
      <c r="D11" s="95" t="inlineStr">
        <is>
          <t>600 S Central Ave</t>
        </is>
      </c>
      <c r="E11" s="95" t="inlineStr">
        <is>
          <t>Compton</t>
        </is>
      </c>
      <c r="F11" s="95" t="inlineStr">
        <is>
          <t>CA</t>
        </is>
      </c>
      <c r="G11" s="95" t="inlineStr">
        <is>
          <t>90220</t>
        </is>
      </c>
      <c r="H11" s="95" t="inlineStr">
        <is>
          <t>1.8 mi</t>
        </is>
      </c>
      <c r="I11" s="95" t="inlineStr">
        <is>
          <t>$4,733</t>
        </is>
      </c>
      <c r="J11" s="95" t="inlineStr">
        <is>
          <t>$5,680</t>
        </is>
      </c>
      <c r="K11" s="39" t="inlineStr">
        <is>
          <t>$1,736</t>
        </is>
      </c>
      <c r="L11" s="53" t="inlineStr">
        <is>
          <t>Not Listed</t>
        </is>
      </c>
      <c r="M11" s="96" t="inlineStr">
        <is>
          <t>$5,679</t>
        </is>
      </c>
      <c r="N11" s="96" t="inlineStr">
        <is>
          <t>$6,815</t>
        </is>
      </c>
      <c r="O11" s="39" t="inlineStr">
        <is>
          <t>$2,376</t>
        </is>
      </c>
      <c r="P11" s="53" t="inlineStr">
        <is>
          <t>Not Listed</t>
        </is>
      </c>
      <c r="Q11" s="96" t="inlineStr">
        <is>
          <t>$6,312</t>
        </is>
      </c>
      <c r="R11" s="96" t="inlineStr">
        <is>
          <t>$7,575</t>
        </is>
      </c>
      <c r="S11" s="96" t="inlineStr">
        <is>
          <t>$3,044</t>
        </is>
      </c>
      <c r="T11" s="96" t="inlineStr">
        <is>
          <t>Not Listed</t>
        </is>
      </c>
      <c r="U11" s="96" t="inlineStr">
        <is>
          <t>$6,816</t>
        </is>
      </c>
      <c r="V11" s="96" t="inlineStr">
        <is>
          <t>$8,180</t>
        </is>
      </c>
      <c r="W11" s="96" t="inlineStr">
        <is>
          <t>$3,520</t>
        </is>
      </c>
      <c r="X11" s="96" t="inlineStr">
        <is>
          <t>Not Listed</t>
        </is>
      </c>
      <c r="Y11" s="45" t="inlineStr">
        <is>
          <t>64</t>
        </is>
      </c>
      <c r="Z11" s="97" t="inlineStr">
        <is>
          <t>1973</t>
        </is>
      </c>
      <c r="AA11" s="113" t="inlineStr">
        <is>
          <t>0</t>
        </is>
      </c>
      <c r="AB11" s="134" t="inlineStr">
        <is>
          <t>Yes</t>
        </is>
      </c>
      <c r="AC11" s="136" t="inlineStr">
        <is>
          <t>No</t>
        </is>
      </c>
      <c r="AD11" s="136" t="inlineStr">
        <is>
          <t>No</t>
        </is>
      </c>
      <c r="AE11" s="136" t="inlineStr">
        <is>
          <t>No</t>
        </is>
      </c>
      <c r="AF11" s="136" t="inlineStr">
        <is>
          <t>No</t>
        </is>
      </c>
      <c r="AG11" s="136" t="inlineStr">
        <is>
          <t>HIGH</t>
        </is>
      </c>
      <c r="AH11" s="136" t="inlineStr">
        <is>
          <t>Affordable Comp #4: Public Housing/HUD property, 1973 vintage (0 yr diff), 64 units, 1.8 mi from subject. Same income-eligible renter pool.</t>
        </is>
      </c>
      <c r="AI11" s="136" t="inlineStr">
        <is>
          <t>Compton Housing Authority</t>
        </is>
      </c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37.5" customHeight="1" s="131">
      <c r="A12" s="114" t="n">
        <v>1</v>
      </c>
      <c r="B12" s="70" t="inlineStr">
        <is>
          <t>MARKET RATE</t>
        </is>
      </c>
      <c r="C12" s="67" t="inlineStr">
        <is>
          <t>Jasmine Garden Apartments</t>
        </is>
      </c>
      <c r="D12" s="98" t="inlineStr">
        <is>
          <t>601 W Corregidor St</t>
        </is>
      </c>
      <c r="E12" s="98" t="inlineStr">
        <is>
          <t>Compton</t>
        </is>
      </c>
      <c r="F12" s="98" t="inlineStr">
        <is>
          <t>CA</t>
        </is>
      </c>
      <c r="G12" s="98" t="inlineStr">
        <is>
          <t>90220</t>
        </is>
      </c>
      <c r="H12" s="98" t="inlineStr">
        <is>
          <t>0.5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N/A (Market Rate)</t>
        </is>
      </c>
      <c r="L12" s="157" t="n">
        <v>1704</v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N/A (Market Rate)</t>
        </is>
      </c>
      <c r="P12" s="157" t="n">
        <v>2044</v>
      </c>
      <c r="Q12" s="99" t="inlineStr">
        <is>
          <t>N/A (Market Rate)</t>
        </is>
      </c>
      <c r="R12" s="99" t="inlineStr">
        <is>
          <t>N/A (Market Rate)</t>
        </is>
      </c>
      <c r="S12" s="99" t="inlineStr">
        <is>
          <t>N/A (Market Rate)</t>
        </is>
      </c>
      <c r="T12" s="158" t="n">
        <v>2363</v>
      </c>
      <c r="U12" s="99" t="inlineStr">
        <is>
          <t>N/A (Market Rate)</t>
        </is>
      </c>
      <c r="V12" s="99" t="inlineStr">
        <is>
          <t>N/A (Market Rate)</t>
        </is>
      </c>
      <c r="W12" s="99" t="inlineStr">
        <is>
          <t>$3,520</t>
        </is>
      </c>
      <c r="X12" s="99" t="inlineStr">
        <is>
          <t>Not Listed</t>
        </is>
      </c>
      <c r="Y12" s="46" t="inlineStr">
        <is>
          <t>60</t>
        </is>
      </c>
      <c r="Z12" s="100" t="inlineStr">
        <is>
          <t>1975</t>
        </is>
      </c>
      <c r="AA12" s="115" t="inlineStr">
        <is>
          <t>2</t>
        </is>
      </c>
      <c r="AB12" s="134" t="inlineStr">
        <is>
          <t>Varies</t>
        </is>
      </c>
      <c r="AC12" s="136" t="inlineStr">
        <is>
          <t>Varies</t>
        </is>
      </c>
      <c r="AD12" s="136" t="inlineStr">
        <is>
          <t>Varies</t>
        </is>
      </c>
      <c r="AE12" s="136" t="inlineStr">
        <is>
          <t>Varies</t>
        </is>
      </c>
      <c r="AF12" s="136" t="inlineStr">
        <is>
          <t>Varies</t>
        </is>
      </c>
      <c r="AG12" s="136" t="inlineStr">
        <is>
          <t>HIGH</t>
        </is>
      </c>
      <c r="AH12" s="136" t="inlineStr">
        <is>
          <t>Market Rate Comp #1: No income restrictions, 1975 vintage (2 yr diff), 60 units, 1.5 mi from subject. Shows market-rate rents vs. affordable housing discount.</t>
        </is>
      </c>
      <c r="AI12" s="136" t="inlineStr">
        <is>
          <t>https://www.rentcafe.com/apartments-for-rent/us/ca/compton/</t>
        </is>
      </c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n">
        <v>2</v>
      </c>
      <c r="B13" s="71" t="inlineStr">
        <is>
          <t>MARKET RATE</t>
        </is>
      </c>
      <c r="C13" s="68" t="inlineStr">
        <is>
          <t>819 W 137th St</t>
        </is>
      </c>
      <c r="D13" s="101" t="inlineStr">
        <is>
          <t>819 W 137th St</t>
        </is>
      </c>
      <c r="E13" s="101" t="inlineStr">
        <is>
          <t>Compton</t>
        </is>
      </c>
      <c r="F13" s="101" t="inlineStr">
        <is>
          <t>CA</t>
        </is>
      </c>
      <c r="G13" s="101" t="inlineStr">
        <is>
          <t>90222</t>
        </is>
      </c>
      <c r="H13" s="101" t="inlineStr">
        <is>
          <t>1.2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N/A (Market Rate)</t>
        </is>
      </c>
      <c r="L13" s="157" t="n">
        <v>1650</v>
      </c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N/A (Market Rate)</t>
        </is>
      </c>
      <c r="P13" s="157" t="n">
        <v>1850</v>
      </c>
      <c r="Q13" s="102" t="inlineStr">
        <is>
          <t>N/A (Market Rate)</t>
        </is>
      </c>
      <c r="R13" s="102" t="inlineStr">
        <is>
          <t>N/A (Market Rate)</t>
        </is>
      </c>
      <c r="S13" s="102" t="inlineStr">
        <is>
          <t>$3,044</t>
        </is>
      </c>
      <c r="T13" s="102" t="inlineStr">
        <is>
          <t>$2,250</t>
        </is>
      </c>
      <c r="U13" s="102" t="inlineStr">
        <is>
          <t>N/A (Market Rate)</t>
        </is>
      </c>
      <c r="V13" s="102" t="inlineStr">
        <is>
          <t>N/A (Market Rate)</t>
        </is>
      </c>
      <c r="W13" s="102" t="inlineStr">
        <is>
          <t>$3,520</t>
        </is>
      </c>
      <c r="X13" s="102" t="inlineStr">
        <is>
          <t>Not Listed</t>
        </is>
      </c>
      <c r="Y13" s="47" t="inlineStr">
        <is>
          <t>48</t>
        </is>
      </c>
      <c r="Z13" s="103" t="inlineStr">
        <is>
          <t>1970</t>
        </is>
      </c>
      <c r="AA13" s="117" t="inlineStr">
        <is>
          <t>3</t>
        </is>
      </c>
      <c r="AB13" s="134" t="inlineStr">
        <is>
          <t>Varies</t>
        </is>
      </c>
      <c r="AC13" s="136" t="inlineStr">
        <is>
          <t>Varies</t>
        </is>
      </c>
      <c r="AD13" s="136" t="inlineStr">
        <is>
          <t>Varies</t>
        </is>
      </c>
      <c r="AE13" s="136" t="inlineStr">
        <is>
          <t>Varies</t>
        </is>
      </c>
      <c r="AF13" s="136" t="inlineStr">
        <is>
          <t>Varies</t>
        </is>
      </c>
      <c r="AG13" s="136" t="inlineStr">
        <is>
          <t>HIGH</t>
        </is>
      </c>
      <c r="AH13" s="136" t="inlineStr">
        <is>
          <t>Market Rate Comp #2: No income restrictions, 1970 vintage (3 yr diff), 48 units, 3.2 mi from subject. Shows market-rate rents vs. affordable housing discount.</t>
        </is>
      </c>
      <c r="AI13" s="136" t="inlineStr">
        <is>
          <t>https://www.rentcafe.com/apartments-for-rent/us/ca/lynwood/</t>
        </is>
      </c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n">
        <v>3</v>
      </c>
      <c r="B14" s="69" t="inlineStr">
        <is>
          <t>MARKET RATE</t>
        </is>
      </c>
      <c r="C14" s="66" t="inlineStr">
        <is>
          <t>Le Chateau Apartments</t>
        </is>
      </c>
      <c r="D14" s="95" t="inlineStr">
        <is>
          <t>4267 Carlin Ave</t>
        </is>
      </c>
      <c r="E14" s="95" t="inlineStr">
        <is>
          <t>Lynwood</t>
        </is>
      </c>
      <c r="F14" s="95" t="inlineStr">
        <is>
          <t>CA</t>
        </is>
      </c>
      <c r="G14" s="95" t="inlineStr">
        <is>
          <t>90262</t>
        </is>
      </c>
      <c r="H14" s="95" t="inlineStr">
        <is>
          <t>2.1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N/A (Market Rate)</t>
        </is>
      </c>
      <c r="L14" s="157" t="n">
        <v>1795</v>
      </c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N/A (Market Rate)</t>
        </is>
      </c>
      <c r="P14" s="157" t="n">
        <v>2095</v>
      </c>
      <c r="Q14" s="96" t="inlineStr">
        <is>
          <t>N/A (Market Rate)</t>
        </is>
      </c>
      <c r="R14" s="96" t="inlineStr">
        <is>
          <t>N/A (Market Rate)</t>
        </is>
      </c>
      <c r="S14" s="96" t="inlineStr">
        <is>
          <t>$3,044</t>
        </is>
      </c>
      <c r="T14" s="96" t="inlineStr">
        <is>
          <t>$2,500</t>
        </is>
      </c>
      <c r="U14" s="96" t="inlineStr">
        <is>
          <t>N/A (Market Rate)</t>
        </is>
      </c>
      <c r="V14" s="96" t="inlineStr">
        <is>
          <t>N/A (Market Rate)</t>
        </is>
      </c>
      <c r="W14" s="96" t="inlineStr">
        <is>
          <t>$3,520</t>
        </is>
      </c>
      <c r="X14" s="96" t="inlineStr">
        <is>
          <t>Not Listed</t>
        </is>
      </c>
      <c r="Y14" s="45" t="inlineStr">
        <is>
          <t>72</t>
        </is>
      </c>
      <c r="Z14" s="97" t="inlineStr">
        <is>
          <t>1972</t>
        </is>
      </c>
      <c r="AA14" s="113" t="inlineStr">
        <is>
          <t>1</t>
        </is>
      </c>
      <c r="AB14" s="134" t="inlineStr">
        <is>
          <t>Varies</t>
        </is>
      </c>
      <c r="AC14" s="136" t="inlineStr">
        <is>
          <t>Varies</t>
        </is>
      </c>
      <c r="AD14" s="136" t="inlineStr">
        <is>
          <t>Varies</t>
        </is>
      </c>
      <c r="AE14" s="136" t="inlineStr">
        <is>
          <t>Varies</t>
        </is>
      </c>
      <c r="AF14" s="136" t="inlineStr">
        <is>
          <t>Varies</t>
        </is>
      </c>
      <c r="AG14" s="136" t="inlineStr">
        <is>
          <t>HIGH</t>
        </is>
      </c>
      <c r="AH14" s="136" t="inlineStr">
        <is>
          <t>Market Rate Comp #3: No income restrictions, 1972 vintage (1 yr diff), 72 units, 4.8 mi from subject. Shows market-rate rents vs. affordable housing discount.</t>
        </is>
      </c>
      <c r="AI14" s="136" t="inlineStr">
        <is>
          <t>https://www.rentcafe.com/apartments-for-rent/us/ca/carson/</t>
        </is>
      </c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n">
        <v>4</v>
      </c>
      <c r="B15" s="69" t="inlineStr">
        <is>
          <t>MARKET RATE</t>
        </is>
      </c>
      <c r="C15" s="66" t="inlineStr">
        <is>
          <t>Lynwood Palms</t>
        </is>
      </c>
      <c r="D15" s="95" t="inlineStr">
        <is>
          <t>3189 Euclid</t>
        </is>
      </c>
      <c r="E15" s="95" t="inlineStr">
        <is>
          <t>Lynwood</t>
        </is>
      </c>
      <c r="F15" s="95" t="inlineStr">
        <is>
          <t>CA</t>
        </is>
      </c>
      <c r="G15" s="95" t="inlineStr">
        <is>
          <t>90262</t>
        </is>
      </c>
      <c r="H15" s="95" t="inlineStr">
        <is>
          <t>2.3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$1,736</t>
        </is>
      </c>
      <c r="L15" s="53" t="inlineStr">
        <is>
          <t>Not Listed</t>
        </is>
      </c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N/A (Market Rate)</t>
        </is>
      </c>
      <c r="P15" s="157" t="n">
        <v>2295</v>
      </c>
      <c r="Q15" s="96" t="inlineStr">
        <is>
          <t>N/A (Market Rate)</t>
        </is>
      </c>
      <c r="R15" s="96" t="inlineStr">
        <is>
          <t>N/A (Market Rate)</t>
        </is>
      </c>
      <c r="S15" s="96" t="inlineStr">
        <is>
          <t>$3,044</t>
        </is>
      </c>
      <c r="T15" s="96" t="inlineStr">
        <is>
          <t>$2,600</t>
        </is>
      </c>
      <c r="U15" s="96" t="inlineStr">
        <is>
          <t>N/A (Market Rate)</t>
        </is>
      </c>
      <c r="V15" s="96" t="inlineStr">
        <is>
          <t>N/A (Market Rate)</t>
        </is>
      </c>
      <c r="W15" s="96" t="inlineStr">
        <is>
          <t>$3,520</t>
        </is>
      </c>
      <c r="X15" s="96" t="inlineStr">
        <is>
          <t>Not Listed</t>
        </is>
      </c>
      <c r="Y15" s="45" t="inlineStr">
        <is>
          <t>52</t>
        </is>
      </c>
      <c r="Z15" s="97" t="inlineStr">
        <is>
          <t>1971</t>
        </is>
      </c>
      <c r="AA15" s="113" t="inlineStr">
        <is>
          <t>2</t>
        </is>
      </c>
      <c r="AB15" s="134" t="inlineStr">
        <is>
          <t>Varies</t>
        </is>
      </c>
      <c r="AC15" s="136" t="inlineStr">
        <is>
          <t>Varies</t>
        </is>
      </c>
      <c r="AD15" s="136" t="inlineStr">
        <is>
          <t>Varies</t>
        </is>
      </c>
      <c r="AE15" s="136" t="inlineStr">
        <is>
          <t>Varies</t>
        </is>
      </c>
      <c r="AF15" s="136" t="inlineStr">
        <is>
          <t>Varies</t>
        </is>
      </c>
      <c r="AG15" s="136" t="inlineStr">
        <is>
          <t>HIGH</t>
        </is>
      </c>
      <c r="AH15" s="136" t="inlineStr">
        <is>
          <t>Market Rate Comp #4: No income restrictions, 1971 vintage (2 yr diff), 52 units, 6.5 mi from subject. Shows market-rate rents vs. affordable housing discount.</t>
        </is>
      </c>
      <c r="AI15" s="136" t="inlineStr">
        <is>
          <t>https://www.rentcafe.com/apartments-for-rent/us/ca/inglewood/</t>
        </is>
      </c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n">
        <v>5</v>
      </c>
      <c r="B16" s="82" t="inlineStr">
        <is>
          <t>MARKET RATE</t>
        </is>
      </c>
      <c r="C16" s="119" t="inlineStr">
        <is>
          <t>The Ray Apartments</t>
        </is>
      </c>
      <c r="D16" s="120" t="inlineStr">
        <is>
          <t>6479 Atlantic Ave</t>
        </is>
      </c>
      <c r="E16" s="120" t="inlineStr">
        <is>
          <t>Long Beach</t>
        </is>
      </c>
      <c r="F16" s="120" t="inlineStr">
        <is>
          <t>CA</t>
        </is>
      </c>
      <c r="G16" s="120" t="inlineStr">
        <is>
          <t>90805</t>
        </is>
      </c>
      <c r="H16" s="120" t="inlineStr">
        <is>
          <t>3.0 mi</t>
        </is>
      </c>
      <c r="I16" s="120" t="inlineStr">
        <is>
          <t>N/A (Market Rate)</t>
        </is>
      </c>
      <c r="J16" s="120" t="inlineStr">
        <is>
          <t>N/A (Market Rate)</t>
        </is>
      </c>
      <c r="K16" s="121" t="inlineStr">
        <is>
          <t>N/A (Market Rate)</t>
        </is>
      </c>
      <c r="L16" s="159" t="n">
        <v>2113</v>
      </c>
      <c r="M16" s="122" t="inlineStr">
        <is>
          <t>N/A (Market Rate)</t>
        </is>
      </c>
      <c r="N16" s="122" t="inlineStr">
        <is>
          <t>N/A (Market Rate)</t>
        </is>
      </c>
      <c r="O16" s="121" t="inlineStr">
        <is>
          <t>N/A (Market Rate)</t>
        </is>
      </c>
      <c r="P16" s="159" t="n">
        <v>2403</v>
      </c>
      <c r="Q16" s="122" t="inlineStr">
        <is>
          <t>$3,044</t>
        </is>
      </c>
      <c r="R16" s="122" t="inlineStr">
        <is>
          <t>$3,044</t>
        </is>
      </c>
      <c r="S16" s="122" t="inlineStr">
        <is>
          <t>$3,044</t>
        </is>
      </c>
      <c r="T16" s="122" t="inlineStr">
        <is>
          <t>N/A</t>
        </is>
      </c>
      <c r="U16" s="122" t="inlineStr">
        <is>
          <t>$3,520</t>
        </is>
      </c>
      <c r="V16" s="122" t="inlineStr">
        <is>
          <t>$3,520</t>
        </is>
      </c>
      <c r="W16" s="122" t="inlineStr">
        <is>
          <t>$3,520</t>
        </is>
      </c>
      <c r="X16" s="122" t="inlineStr">
        <is>
          <t>N/A</t>
        </is>
      </c>
      <c r="Y16" s="84" t="inlineStr">
        <is>
          <t>N/A</t>
        </is>
      </c>
      <c r="Z16" s="123" t="inlineStr">
        <is>
          <t>N/A</t>
        </is>
      </c>
      <c r="AA16" s="124" t="inlineStr">
        <is>
          <t>N/A</t>
        </is>
      </c>
      <c r="AB16" s="134" t="inlineStr">
        <is>
          <t>N/A</t>
        </is>
      </c>
      <c r="AC16" s="136" t="inlineStr">
        <is>
          <t>N/A</t>
        </is>
      </c>
      <c r="AD16" s="136" t="inlineStr">
        <is>
          <t>N/A</t>
        </is>
      </c>
      <c r="AE16" s="136" t="inlineStr">
        <is>
          <t>N/A</t>
        </is>
      </c>
      <c r="AF16" s="136" t="inlineStr">
        <is>
          <t>N/A</t>
        </is>
      </c>
      <c r="AG16" s="136" t="inlineStr">
        <is>
          <t>BENCHMARK</t>
        </is>
      </c>
      <c r="AH16" s="136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136" t="inlineStr">
        <is>
          <t>HUD FMR Database (huduser.gov)</t>
        </is>
      </c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n">
        <v>6</v>
      </c>
      <c r="B17" s="88" t="inlineStr">
        <is>
          <t>MARKET RATE</t>
        </is>
      </c>
      <c r="C17" s="89" t="inlineStr">
        <is>
          <t>903 N. Sloan Ave.</t>
        </is>
      </c>
      <c r="D17" s="87" t="inlineStr">
        <is>
          <t>903 N Sloan Ave</t>
        </is>
      </c>
      <c r="E17" s="87" t="inlineStr">
        <is>
          <t>Compton</t>
        </is>
      </c>
      <c r="F17" s="87" t="inlineStr">
        <is>
          <t>CA</t>
        </is>
      </c>
      <c r="G17" s="87" t="inlineStr">
        <is>
          <t>90221</t>
        </is>
      </c>
      <c r="H17" s="87" t="inlineStr">
        <is>
          <t>0.8 mi</t>
        </is>
      </c>
      <c r="I17" s="87" t="inlineStr">
        <is>
          <t>N/A (Market Rate)</t>
        </is>
      </c>
      <c r="J17" s="87" t="inlineStr">
        <is>
          <t>N/A (Market Rate)</t>
        </is>
      </c>
      <c r="K17" s="90" t="inlineStr">
        <is>
          <t>N/A (Market Rate)</t>
        </is>
      </c>
      <c r="L17" s="161" t="n">
        <v>1695</v>
      </c>
      <c r="M17" s="92" t="inlineStr">
        <is>
          <t>$2,613</t>
        </is>
      </c>
      <c r="N17" s="92" t="inlineStr">
        <is>
          <t>$2,613</t>
        </is>
      </c>
      <c r="O17" s="90" t="inlineStr">
        <is>
          <t>$2,613</t>
        </is>
      </c>
      <c r="P17" s="91" t="inlineStr">
        <is>
          <t>N/A</t>
        </is>
      </c>
      <c r="Q17" s="92" t="inlineStr">
        <is>
          <t>$3,348</t>
        </is>
      </c>
      <c r="R17" s="92" t="inlineStr">
        <is>
          <t>$3,348</t>
        </is>
      </c>
      <c r="S17" s="92" t="inlineStr">
        <is>
          <t>$3,348</t>
        </is>
      </c>
      <c r="T17" s="92" t="inlineStr">
        <is>
          <t>N/A</t>
        </is>
      </c>
      <c r="U17" s="92" t="inlineStr">
        <is>
          <t>$3,872</t>
        </is>
      </c>
      <c r="V17" s="92" t="inlineStr">
        <is>
          <t>$3,872</t>
        </is>
      </c>
      <c r="W17" s="92" t="inlineStr">
        <is>
          <t>$3,872</t>
        </is>
      </c>
      <c r="X17" s="92" t="inlineStr">
        <is>
          <t>N/A</t>
        </is>
      </c>
      <c r="Y17" s="93" t="inlineStr">
        <is>
          <t>N/A</t>
        </is>
      </c>
      <c r="Z17" s="94" t="inlineStr">
        <is>
          <t>N/A</t>
        </is>
      </c>
      <c r="AA17" s="92" t="inlineStr">
        <is>
          <t>N/A</t>
        </is>
      </c>
      <c r="AB17" s="136" t="inlineStr">
        <is>
          <t>N/A</t>
        </is>
      </c>
      <c r="AC17" s="136" t="inlineStr">
        <is>
          <t>N/A</t>
        </is>
      </c>
      <c r="AD17" s="136" t="inlineStr">
        <is>
          <t>N/A</t>
        </is>
      </c>
      <c r="AE17" s="136" t="inlineStr">
        <is>
          <t>N/A</t>
        </is>
      </c>
      <c r="AF17" s="136" t="inlineStr">
        <is>
          <t>N/A</t>
        </is>
      </c>
      <c r="AG17" s="136" t="inlineStr">
        <is>
          <t>BENCHMARK</t>
        </is>
      </c>
      <c r="AH17" s="136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136" t="inlineStr">
        <is>
          <t>HUD FMR + Market Estimate</t>
        </is>
      </c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Height="1" s="131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Format="1" customHeight="1" s="2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Format="1" customHeight="1" s="2">
      <c r="A25" s="372" t="n"/>
      <c r="B25" s="201" t="inlineStr">
        <is>
          <t>1BD</t>
        </is>
      </c>
      <c r="C25" s="194" t="n"/>
      <c r="D25" s="200" t="n">
        <v>1791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Format="1" customHeight="1" s="2">
      <c r="A26" s="372" t="n"/>
      <c r="B26" s="201" t="inlineStr">
        <is>
          <t>2BD</t>
        </is>
      </c>
      <c r="C26" s="194" t="n"/>
      <c r="D26" s="200" t="n">
        <v>2137</v>
      </c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24.75" customFormat="1" customHeight="1" s="2">
      <c r="A27" s="369" t="n"/>
      <c r="B27" s="201" t="inlineStr">
        <is>
          <t>3BD</t>
        </is>
      </c>
      <c r="C27" s="194" t="n"/>
      <c r="D27" s="200" t="n">
        <v>2428</v>
      </c>
      <c r="E27" s="195" t="n"/>
      <c r="F27" s="183" t="n"/>
      <c r="G27" s="183" t="n"/>
      <c r="H27" s="183" t="n"/>
      <c r="I27" s="183" t="n"/>
      <c r="J27" s="183" t="n"/>
      <c r="K27" s="302" t="n"/>
      <c r="L27" s="302" t="n"/>
      <c r="M27" s="302" t="n"/>
      <c r="N27" s="302" t="n"/>
      <c r="O27" s="343" t="n"/>
      <c r="P27" s="302" t="n"/>
      <c r="Q27" s="302" t="n"/>
      <c r="R27" s="302" t="n"/>
      <c r="S27" s="302" t="n"/>
      <c r="T27" s="302" t="n"/>
      <c r="U27" s="302" t="n"/>
      <c r="V27" s="302" t="n"/>
      <c r="W27" s="302" t="n"/>
      <c r="X27" s="302" t="n"/>
      <c r="Y27" s="302" t="n"/>
      <c r="Z27" s="302" t="n"/>
      <c r="AA27" s="353" t="n"/>
      <c r="AB27" s="302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24.75" customHeight="1" s="131">
      <c r="A28" s="382" t="n"/>
      <c r="B28" s="201" t="inlineStr">
        <is>
          <t>4BD</t>
        </is>
      </c>
      <c r="C28" s="194" t="n"/>
      <c r="D28" s="200" t="n"/>
      <c r="E28" s="195" t="n"/>
      <c r="F28" s="183" t="n"/>
      <c r="G28" s="183" t="n"/>
      <c r="H28" s="183" t="n"/>
      <c r="I28" s="183" t="n"/>
      <c r="J28" s="183" t="n"/>
      <c r="K28" s="302" t="n"/>
      <c r="L28" s="302" t="n"/>
      <c r="M28" s="302" t="n"/>
      <c r="N28" s="302" t="n"/>
      <c r="O28" s="343" t="n"/>
      <c r="P28" s="302" t="n"/>
      <c r="Q28" s="302" t="n"/>
      <c r="R28" s="302" t="n"/>
      <c r="S28" s="302" t="n"/>
      <c r="T28" s="302" t="n"/>
      <c r="U28" s="302" t="n"/>
      <c r="V28" s="302" t="n"/>
      <c r="W28" s="302" t="n"/>
      <c r="X28" s="302" t="n"/>
      <c r="Y28" s="302" t="n"/>
      <c r="Z28" s="302" t="n"/>
      <c r="AA28" s="353" t="n"/>
      <c r="AB28" s="302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8.1" customHeight="1" s="131">
      <c r="A29" s="372" t="n"/>
      <c r="B29" s="371" t="n"/>
      <c r="C29" s="371" t="n"/>
      <c r="D29" s="371" t="n"/>
      <c r="E29" s="371" t="n"/>
      <c r="F29" s="371" t="n"/>
      <c r="G29" s="369" t="n"/>
      <c r="H29" s="369" t="n"/>
      <c r="I29" s="369" t="n"/>
      <c r="J29" s="369" t="n"/>
      <c r="K29" s="369" t="n"/>
      <c r="L29" s="134" t="n"/>
      <c r="M29" s="134" t="n"/>
      <c r="N29" s="134" t="n"/>
      <c r="O29" s="134" t="n"/>
      <c r="P29" s="134" t="n"/>
      <c r="Q29" s="134" t="n"/>
      <c r="R29" s="134" t="n"/>
      <c r="S29" s="134" t="n"/>
      <c r="T29" s="134" t="n"/>
      <c r="U29" s="134" t="n"/>
      <c r="V29" s="134" t="n"/>
      <c r="W29" s="134" t="n"/>
      <c r="X29" s="134" t="n"/>
      <c r="Y29" s="134" t="n"/>
      <c r="Z29" s="135" t="n"/>
      <c r="AA29" s="134" t="n"/>
      <c r="AB29" s="134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24.75" customFormat="1" customHeight="1" s="2">
      <c r="A30" s="302" t="n"/>
      <c r="B30" s="211" t="inlineStr">
        <is>
          <t>PMTS — Vouchers / FMR / UAP / NET</t>
        </is>
      </c>
      <c r="G30" s="365" t="n"/>
      <c r="H30" s="183" t="n"/>
      <c r="I30" s="183" t="n"/>
      <c r="J30" s="183" t="n"/>
      <c r="K30" s="302" t="n"/>
      <c r="L30" s="302" t="n"/>
      <c r="M30" s="302" t="n"/>
      <c r="N30" s="302" t="n"/>
      <c r="O30" s="302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15.95" customFormat="1" customHeight="1" s="2">
      <c r="A31" s="302" t="n"/>
      <c r="B31" s="226" t="n"/>
      <c r="C31" s="213" t="inlineStr">
        <is>
          <t>MKT</t>
        </is>
      </c>
      <c r="D31" s="213" t="inlineStr">
        <is>
          <t>VCH</t>
        </is>
      </c>
      <c r="E31" s="214" t="inlineStr">
        <is>
          <t>FMR</t>
        </is>
      </c>
      <c r="F31" s="215" t="inlineStr">
        <is>
          <t>UAP</t>
        </is>
      </c>
      <c r="G31" s="216" t="inlineStr">
        <is>
          <t>NET</t>
        </is>
      </c>
      <c r="H31" s="183" t="n"/>
      <c r="I31" s="183" t="n"/>
      <c r="J31" s="183" t="n"/>
      <c r="K31" s="302" t="n"/>
      <c r="L31" s="302" t="n"/>
      <c r="M31" s="302" t="n"/>
      <c r="N31" s="302" t="n"/>
      <c r="O31" s="302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24.75" customFormat="1" customHeight="1" s="2">
      <c r="A32" s="369" t="n"/>
      <c r="B32" s="217" t="inlineStr">
        <is>
          <t>1BD</t>
        </is>
      </c>
      <c r="C32" s="197" t="n">
        <v>0</v>
      </c>
      <c r="D32" s="197" t="n">
        <v>0</v>
      </c>
      <c r="E32" s="198" t="n">
        <v>1810</v>
      </c>
      <c r="F32" s="199" t="n">
        <v>73</v>
      </c>
      <c r="G32" s="218" t="n">
        <v>1737</v>
      </c>
      <c r="H32" s="183" t="n"/>
      <c r="I32" s="183" t="n"/>
      <c r="J32" s="183" t="n"/>
      <c r="K32" s="302" t="n"/>
      <c r="L32" s="302" t="n"/>
      <c r="M32" s="302" t="n"/>
      <c r="N32" s="302" t="n"/>
      <c r="O32" s="343" t="n"/>
      <c r="P32" s="302" t="n"/>
      <c r="Q32" s="302" t="n"/>
      <c r="R32" s="302" t="n"/>
      <c r="S32" s="302" t="n"/>
      <c r="T32" s="302" t="n"/>
      <c r="U32" s="302" t="n"/>
      <c r="V32" s="302" t="n"/>
      <c r="W32" s="302" t="n"/>
      <c r="X32" s="302" t="n"/>
      <c r="Y32" s="302" t="n"/>
      <c r="Z32" s="302" t="n"/>
      <c r="AA32" s="353" t="n"/>
      <c r="AB32" s="302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24.75" customFormat="1" customHeight="1" s="2">
      <c r="A33" s="382" t="n"/>
      <c r="B33" s="217" t="inlineStr">
        <is>
          <t>2BD</t>
        </is>
      </c>
      <c r="C33" s="197" t="n">
        <v>0</v>
      </c>
      <c r="D33" s="197" t="n">
        <v>0</v>
      </c>
      <c r="E33" s="198" t="n">
        <v>2290</v>
      </c>
      <c r="F33" s="199" t="n">
        <v>79</v>
      </c>
      <c r="G33" s="218" t="n">
        <v>2211</v>
      </c>
      <c r="H33" s="183" t="n"/>
      <c r="I33" s="183" t="n"/>
      <c r="J33" s="183" t="n"/>
      <c r="K33" s="302" t="n"/>
      <c r="L33" s="302" t="n"/>
      <c r="M33" s="302" t="n"/>
      <c r="N33" s="302" t="n"/>
      <c r="O33" s="343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24.75" customFormat="1" customHeight="1" s="2">
      <c r="A34" s="372" t="n"/>
      <c r="B34" s="217" t="inlineStr">
        <is>
          <t>3BD</t>
        </is>
      </c>
      <c r="C34" s="197" t="n">
        <v>0</v>
      </c>
      <c r="D34" s="197" t="n">
        <v>0</v>
      </c>
      <c r="E34" s="198" t="n">
        <v>2940</v>
      </c>
      <c r="F34" s="199" t="n">
        <v>137</v>
      </c>
      <c r="G34" s="218" t="n">
        <v>2803</v>
      </c>
      <c r="H34" s="183" t="n"/>
      <c r="I34" s="183" t="n"/>
      <c r="J34" s="183" t="n"/>
      <c r="K34" s="302" t="n"/>
      <c r="L34" s="302" t="n"/>
      <c r="M34" s="302" t="n"/>
      <c r="N34" s="302" t="n"/>
      <c r="O34" s="343" t="n"/>
      <c r="P34" s="302" t="n"/>
      <c r="Q34" s="302" t="n"/>
      <c r="R34" s="302" t="n"/>
      <c r="S34" s="302" t="n"/>
      <c r="T34" s="302" t="n"/>
      <c r="U34" s="302" t="n"/>
      <c r="V34" s="302" t="n"/>
      <c r="W34" s="302" t="n"/>
      <c r="X34" s="302" t="n"/>
      <c r="Y34" s="302" t="n"/>
      <c r="Z34" s="302" t="n"/>
      <c r="AA34" s="353" t="n"/>
      <c r="AB34" s="302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24.75" customFormat="1" customHeight="1" s="2">
      <c r="A35" s="372" t="n"/>
      <c r="B35" s="217" t="inlineStr">
        <is>
          <t>4BD</t>
        </is>
      </c>
      <c r="C35" s="197" t="n">
        <v>0</v>
      </c>
      <c r="D35" s="197" t="n">
        <v>0</v>
      </c>
      <c r="E35" s="198" t="n">
        <v>3240</v>
      </c>
      <c r="F35" s="199" t="n">
        <v>187</v>
      </c>
      <c r="G35" s="218" t="n">
        <v>3053</v>
      </c>
      <c r="H35" s="183" t="n"/>
      <c r="I35" s="183" t="n"/>
      <c r="J35" s="183" t="n"/>
      <c r="K35" s="302" t="n"/>
      <c r="L35" s="302" t="n"/>
      <c r="M35" s="302" t="n"/>
      <c r="N35" s="302" t="n"/>
      <c r="O35" s="343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8.1" customHeight="1" s="131">
      <c r="A36" s="369" t="n"/>
      <c r="B36" s="371" t="n"/>
      <c r="C36" s="371" t="n"/>
      <c r="D36" s="371" t="n"/>
      <c r="E36" s="371" t="n"/>
      <c r="F36" s="371" t="n"/>
      <c r="G36" s="369" t="n"/>
      <c r="H36" s="369" t="n"/>
      <c r="I36" s="369" t="n"/>
      <c r="J36" s="369" t="n"/>
      <c r="K36" s="369" t="n"/>
      <c r="L36" s="134" t="n"/>
      <c r="M36" s="134" t="n"/>
      <c r="N36" s="134" t="n"/>
      <c r="O36" s="134" t="n"/>
      <c r="P36" s="134" t="n"/>
      <c r="Q36" s="134" t="n"/>
      <c r="R36" s="134" t="n"/>
      <c r="S36" s="134" t="n"/>
      <c r="T36" s="134" t="n"/>
      <c r="U36" s="134" t="n"/>
      <c r="V36" s="134" t="n"/>
      <c r="W36" s="134" t="n"/>
      <c r="X36" s="134" t="n"/>
      <c r="Y36" s="134" t="n"/>
      <c r="Z36" s="135" t="n"/>
      <c r="AA36" s="134" t="n"/>
      <c r="AB36" s="134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24.75" customHeight="1" s="131">
      <c r="A37" s="302" t="n"/>
      <c r="B37" s="366" t="inlineStr">
        <is>
          <t>LIHTC, UAP, NET</t>
        </is>
      </c>
      <c r="C37" s="358" t="n"/>
      <c r="D37" s="358" t="n"/>
      <c r="E37" s="358" t="n"/>
      <c r="F37" s="358" t="n"/>
      <c r="G37" s="359" t="n"/>
      <c r="H37" s="183" t="n"/>
      <c r="I37" s="183" t="n"/>
      <c r="J37" s="183" t="n"/>
      <c r="K37" s="302" t="n"/>
      <c r="L37" s="302" t="n"/>
      <c r="M37" s="302" t="n"/>
      <c r="N37" s="302" t="n"/>
      <c r="O37" s="302" t="n"/>
      <c r="P37" s="302" t="n"/>
      <c r="Q37" s="302" t="n"/>
      <c r="R37" s="302" t="n"/>
      <c r="S37" s="302" t="n"/>
      <c r="T37" s="302" t="n"/>
      <c r="U37" s="302" t="n"/>
      <c r="V37" s="302" t="n"/>
      <c r="W37" s="302" t="n"/>
      <c r="X37" s="302" t="n"/>
      <c r="Y37" s="302" t="n"/>
      <c r="Z37" s="302" t="n"/>
      <c r="AA37" s="353" t="n"/>
      <c r="AB37" s="302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16.5" customHeight="1" s="131">
      <c r="A38" s="372" t="n"/>
      <c r="B38" s="226" t="inlineStr">
        <is>
          <t>No LIHTC data available</t>
        </is>
      </c>
      <c r="C38" s="228" t="n"/>
      <c r="D38" s="228" t="n"/>
      <c r="E38" s="215" t="n"/>
      <c r="F38" s="216" t="n"/>
      <c r="G38" s="183" t="n"/>
      <c r="H38" s="183" t="n"/>
      <c r="I38" s="183" t="n"/>
      <c r="J38" s="183" t="n"/>
      <c r="K38" s="302" t="n"/>
      <c r="L38" s="302" t="n"/>
      <c r="M38" s="302" t="n"/>
      <c r="N38" s="302" t="n"/>
      <c r="O38" s="343" t="n"/>
      <c r="P38" s="302" t="n"/>
      <c r="Q38" s="302" t="n"/>
      <c r="R38" s="302" t="n"/>
      <c r="S38" s="302" t="n"/>
      <c r="T38" s="302" t="n"/>
      <c r="U38" s="302" t="n"/>
      <c r="V38" s="302" t="n"/>
      <c r="W38" s="302" t="n"/>
      <c r="X38" s="302" t="n"/>
      <c r="Y38" s="302" t="n"/>
      <c r="Z38" s="302" t="n"/>
      <c r="AA38" s="353" t="n"/>
      <c r="AB38" s="302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18" customHeight="1" s="131">
      <c r="A39" s="372" t="n"/>
      <c r="B39" s="392" t="n"/>
      <c r="C39" s="392" t="n"/>
      <c r="D39" s="369" t="n"/>
      <c r="E39" s="369" t="n"/>
      <c r="F39" s="369" t="n"/>
      <c r="G39" s="369" t="n"/>
      <c r="H39" s="369" t="n"/>
      <c r="I39" s="369" t="n"/>
      <c r="J39" s="369" t="n"/>
      <c r="K39" s="369" t="n"/>
      <c r="L39" s="134" t="n"/>
      <c r="M39" s="134" t="n"/>
      <c r="N39" s="134" t="n"/>
      <c r="O39" s="134" t="n"/>
      <c r="P39" s="134" t="n"/>
      <c r="Q39" s="134" t="n"/>
      <c r="R39" s="134" t="n"/>
      <c r="S39" s="134" t="n"/>
      <c r="T39" s="134" t="n"/>
      <c r="U39" s="134" t="n"/>
      <c r="V39" s="134" t="n"/>
      <c r="W39" s="134" t="n"/>
      <c r="X39" s="134" t="n"/>
      <c r="Y39" s="134" t="n"/>
      <c r="Z39" s="135" t="n"/>
      <c r="AA39" s="134" t="n"/>
      <c r="AB39" s="134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ht="24.75" customHeight="1" s="131">
      <c r="A40" s="302" t="n"/>
      <c r="B40" s="207" t="inlineStr">
        <is>
          <t>HAP, CoStar, NET</t>
        </is>
      </c>
      <c r="H40" s="183" t="n"/>
      <c r="I40" s="183" t="n"/>
      <c r="J40" s="183" t="n"/>
      <c r="K40" s="302" t="n"/>
      <c r="L40" s="302" t="n"/>
      <c r="M40" s="302" t="n"/>
      <c r="N40" s="302" t="n"/>
      <c r="O40" s="302" t="n"/>
      <c r="P40" s="302" t="n"/>
      <c r="Q40" s="302" t="n"/>
      <c r="R40" s="302" t="n"/>
      <c r="S40" s="302" t="n"/>
      <c r="T40" s="302" t="n"/>
      <c r="U40" s="302" t="n"/>
      <c r="V40" s="302" t="n"/>
      <c r="W40" s="302" t="n"/>
      <c r="X40" s="302" t="n"/>
      <c r="Y40" s="302" t="n"/>
      <c r="Z40" s="302" t="n"/>
      <c r="AA40" s="353" t="n"/>
      <c r="AB40" s="302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ht="15.95" customHeight="1" s="131">
      <c r="A41" s="302" t="n"/>
      <c r="B41" s="227" t="n"/>
      <c r="C41" s="208" t="inlineStr">
        <is>
          <t>HAP</t>
        </is>
      </c>
      <c r="D41" s="209" t="inlineStr">
        <is>
          <t>CoStar</t>
        </is>
      </c>
      <c r="E41" s="302" t="n"/>
      <c r="F41" s="302" t="n"/>
      <c r="G41" s="302" t="n"/>
      <c r="H41" s="183" t="n"/>
      <c r="I41" s="183" t="n"/>
      <c r="J41" s="183" t="n"/>
      <c r="K41" s="302" t="n"/>
      <c r="L41" s="302" t="n"/>
      <c r="M41" s="302" t="n"/>
      <c r="N41" s="302" t="n"/>
      <c r="O41" s="302" t="n"/>
      <c r="P41" s="302" t="n"/>
      <c r="Q41" s="302" t="n"/>
      <c r="R41" s="302" t="n"/>
      <c r="S41" s="302" t="n"/>
      <c r="T41" s="302" t="n"/>
      <c r="U41" s="302" t="n"/>
      <c r="V41" s="302" t="n"/>
      <c r="W41" s="302" t="n"/>
      <c r="X41" s="302" t="n"/>
      <c r="Y41" s="302" t="n"/>
      <c r="Z41" s="302" t="n"/>
      <c r="AA41" s="353" t="n"/>
      <c r="AB41" s="302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ht="24.75" customHeight="1" s="131">
      <c r="A42" s="302" t="n"/>
      <c r="B42" s="196" t="inlineStr">
        <is>
          <t>1BD</t>
        </is>
      </c>
      <c r="C42" s="199" t="n">
        <v>1172</v>
      </c>
      <c r="D42" s="198" t="n">
        <v>1929</v>
      </c>
      <c r="E42" s="183" t="n"/>
      <c r="F42" s="183" t="n"/>
      <c r="G42" s="183" t="n"/>
      <c r="H42" s="183" t="n"/>
      <c r="I42" s="183" t="n"/>
      <c r="J42" s="183" t="n"/>
      <c r="K42" s="302" t="n"/>
      <c r="L42" s="302" t="n"/>
      <c r="M42" s="302" t="n"/>
      <c r="N42" s="302" t="n"/>
      <c r="O42" s="302" t="n"/>
      <c r="P42" s="302" t="n"/>
      <c r="Q42" s="302" t="n"/>
      <c r="R42" s="302" t="n"/>
      <c r="S42" s="302" t="n"/>
      <c r="T42" s="302" t="n"/>
      <c r="U42" s="302" t="n"/>
      <c r="V42" s="302" t="n"/>
      <c r="W42" s="302" t="n"/>
      <c r="X42" s="302" t="n"/>
      <c r="Y42" s="302" t="n"/>
      <c r="Z42" s="302" t="n"/>
      <c r="AA42" s="353" t="n"/>
      <c r="AB42" s="302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ht="24.75" customHeight="1" s="131">
      <c r="A43" s="302" t="n"/>
      <c r="B43" s="196" t="inlineStr">
        <is>
          <t>2BD</t>
        </is>
      </c>
      <c r="C43" s="199" t="n">
        <v>1500</v>
      </c>
      <c r="D43" s="198" t="n">
        <v>2232</v>
      </c>
      <c r="E43" s="183" t="n"/>
      <c r="F43" s="183" t="n"/>
      <c r="G43" s="183" t="n"/>
      <c r="H43" s="183" t="n"/>
      <c r="I43" s="183" t="n"/>
      <c r="J43" s="183" t="n"/>
      <c r="K43" s="302" t="n"/>
      <c r="L43" s="302" t="n"/>
      <c r="M43" s="302" t="n"/>
      <c r="N43" s="302" t="n"/>
      <c r="O43" s="302" t="n"/>
      <c r="P43" s="302" t="n"/>
      <c r="Q43" s="302" t="n"/>
      <c r="R43" s="302" t="n"/>
      <c r="S43" s="302" t="n"/>
      <c r="T43" s="302" t="n"/>
      <c r="U43" s="302" t="n"/>
      <c r="V43" s="302" t="n"/>
      <c r="W43" s="302" t="n"/>
      <c r="X43" s="302" t="n"/>
      <c r="Y43" s="302" t="n"/>
      <c r="Z43" s="302" t="n"/>
      <c r="AA43" s="353" t="n"/>
      <c r="AB43" s="302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ht="24.75" customHeight="1" s="131">
      <c r="A44" s="302" t="n"/>
      <c r="B44" s="196" t="inlineStr">
        <is>
          <t>3BD</t>
        </is>
      </c>
      <c r="C44" s="199" t="n">
        <v>1747</v>
      </c>
      <c r="D44" s="198" t="n">
        <v>2508</v>
      </c>
      <c r="E44" s="183" t="n"/>
      <c r="F44" s="183" t="n"/>
      <c r="G44" s="183" t="n"/>
      <c r="H44" s="183" t="n"/>
      <c r="I44" s="183" t="n"/>
      <c r="J44" s="183" t="n"/>
      <c r="K44" s="302" t="n"/>
      <c r="L44" s="302" t="n"/>
      <c r="M44" s="302" t="n"/>
      <c r="N44" s="302" t="n"/>
      <c r="O44" s="302" t="n"/>
      <c r="P44" s="302" t="n"/>
      <c r="Q44" s="302" t="n"/>
      <c r="R44" s="302" t="n"/>
      <c r="S44" s="302" t="n"/>
      <c r="T44" s="302" t="n"/>
      <c r="U44" s="302" t="n"/>
      <c r="V44" s="302" t="n"/>
      <c r="W44" s="302" t="n"/>
      <c r="X44" s="302" t="n"/>
      <c r="Y44" s="302" t="n"/>
      <c r="Z44" s="302" t="n"/>
      <c r="AA44" s="353" t="n"/>
      <c r="AB44" s="302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ht="24.75" customHeight="1" s="131">
      <c r="A45" s="302" t="n"/>
      <c r="B45" s="196" t="inlineStr">
        <is>
          <t>4BD</t>
        </is>
      </c>
      <c r="C45" s="199" t="n">
        <v>2042</v>
      </c>
      <c r="D45" s="198" t="n">
        <v>2894</v>
      </c>
      <c r="E45" s="183" t="n"/>
      <c r="F45" s="183" t="n"/>
      <c r="G45" s="183" t="n"/>
      <c r="H45" s="183" t="n"/>
      <c r="I45" s="183" t="n"/>
      <c r="J45" s="183" t="n"/>
      <c r="K45" s="302" t="n"/>
      <c r="L45" s="302" t="n"/>
      <c r="M45" s="302" t="n"/>
      <c r="N45" s="302" t="n"/>
      <c r="O45" s="302" t="n"/>
      <c r="P45" s="302" t="n"/>
      <c r="Q45" s="302" t="n"/>
      <c r="R45" s="302" t="n"/>
      <c r="S45" s="302" t="n"/>
      <c r="T45" s="302" t="n"/>
      <c r="U45" s="302" t="n"/>
      <c r="V45" s="302" t="n"/>
      <c r="W45" s="302" t="n"/>
      <c r="X45" s="302" t="n"/>
      <c r="Y45" s="302" t="n"/>
      <c r="Z45" s="302" t="n"/>
      <c r="AA45" s="353" t="n"/>
      <c r="AB45" s="302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s="131">
      <c r="A46" s="369" t="n"/>
      <c r="B46" s="369" t="n"/>
      <c r="C46" s="369" t="n"/>
      <c r="D46" s="369" t="n"/>
      <c r="E46" s="369" t="n"/>
      <c r="F46" s="369" t="n"/>
      <c r="G46" s="369" t="n"/>
      <c r="H46" s="369" t="n"/>
      <c r="I46" s="369" t="n"/>
      <c r="J46" s="369" t="n"/>
      <c r="K46" s="369" t="n"/>
      <c r="L46" s="136" t="n"/>
      <c r="M46" s="136" t="n"/>
      <c r="N46" s="136" t="n"/>
      <c r="O46" s="136" t="n"/>
      <c r="P46" s="136" t="n"/>
      <c r="Q46" s="136" t="n"/>
      <c r="R46" s="136" t="n"/>
      <c r="S46" s="136" t="n"/>
      <c r="T46" s="136" t="n"/>
      <c r="U46" s="136" t="n"/>
      <c r="V46" s="136" t="n"/>
      <c r="W46" s="136" t="n"/>
      <c r="X46" s="136" t="n"/>
      <c r="Y46" s="136" t="n"/>
      <c r="Z46" s="136" t="n"/>
      <c r="AA46" s="136" t="n"/>
      <c r="AB46" s="136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s="131">
      <c r="A47" s="369" t="n"/>
      <c r="B47" s="369" t="n"/>
      <c r="C47" s="369" t="n"/>
      <c r="D47" s="369" t="n"/>
      <c r="E47" s="369" t="n"/>
      <c r="F47" s="369" t="n"/>
      <c r="G47" s="369" t="n"/>
      <c r="H47" s="369" t="n"/>
      <c r="I47" s="369" t="n"/>
      <c r="J47" s="369" t="n"/>
      <c r="K47" s="369" t="n"/>
      <c r="L47" s="136" t="n"/>
      <c r="M47" s="136" t="n"/>
      <c r="N47" s="136" t="n"/>
      <c r="O47" s="136" t="n"/>
      <c r="P47" s="136" t="n"/>
      <c r="Q47" s="136" t="n"/>
      <c r="R47" s="136" t="n"/>
      <c r="S47" s="136" t="n"/>
      <c r="T47" s="136" t="n"/>
      <c r="U47" s="136" t="n"/>
      <c r="V47" s="136" t="n"/>
      <c r="W47" s="136" t="n"/>
      <c r="X47" s="136" t="n"/>
      <c r="Y47" s="136" t="n"/>
      <c r="Z47" s="136" t="n"/>
      <c r="AA47" s="136" t="n"/>
      <c r="AB47" s="136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s="131">
      <c r="A48" s="369" t="n"/>
      <c r="B48" s="369" t="n"/>
      <c r="C48" s="369" t="n"/>
      <c r="D48" s="369" t="n"/>
      <c r="E48" s="369" t="n"/>
      <c r="F48" s="369" t="n"/>
      <c r="G48" s="369" t="n"/>
      <c r="H48" s="369" t="n"/>
      <c r="I48" s="369" t="n"/>
      <c r="J48" s="369" t="n"/>
      <c r="K48" s="369" t="n"/>
      <c r="L48" s="136" t="n"/>
      <c r="M48" s="136" t="n"/>
      <c r="N48" s="136" t="n"/>
      <c r="O48" s="136" t="n"/>
      <c r="P48" s="136" t="n"/>
      <c r="Q48" s="136" t="n"/>
      <c r="R48" s="136" t="n"/>
      <c r="S48" s="136" t="n"/>
      <c r="T48" s="136" t="n"/>
      <c r="U48" s="136" t="n"/>
      <c r="V48" s="136" t="n"/>
      <c r="W48" s="136" t="n"/>
      <c r="X48" s="136" t="n"/>
      <c r="Y48" s="136" t="n"/>
      <c r="Z48" s="136" t="n"/>
      <c r="AA48" s="136" t="n"/>
      <c r="AB48" s="136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s="131">
      <c r="A49" s="369" t="n"/>
      <c r="B49" s="369" t="n"/>
      <c r="C49" s="369" t="n"/>
      <c r="D49" s="369" t="n"/>
      <c r="E49" s="369" t="n"/>
      <c r="F49" s="369" t="n"/>
      <c r="G49" s="369" t="n"/>
      <c r="H49" s="369" t="n"/>
      <c r="I49" s="369" t="n"/>
      <c r="J49" s="369" t="n"/>
      <c r="K49" s="369" t="n"/>
      <c r="L49" s="136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6" t="n"/>
      <c r="Y49" s="136" t="n"/>
      <c r="Z49" s="136" t="n"/>
      <c r="AA49" s="136" t="n"/>
      <c r="AB49" s="136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s="131">
      <c r="A50" s="369" t="n"/>
      <c r="B50" s="369" t="n"/>
      <c r="C50" s="369" t="n"/>
      <c r="D50" s="369" t="n"/>
      <c r="E50" s="369" t="n"/>
      <c r="F50" s="369" t="n"/>
      <c r="G50" s="369" t="n"/>
      <c r="H50" s="369" t="n"/>
      <c r="I50" s="369" t="n"/>
      <c r="J50" s="369" t="n"/>
      <c r="K50" s="369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  <row r="51"/>
  </sheetData>
  <mergeCells count="9">
    <mergeCell ref="B4:AB4"/>
    <mergeCell ref="B22:G22"/>
    <mergeCell ref="B37:G37"/>
    <mergeCell ref="B23:G23"/>
    <mergeCell ref="B20:I20"/>
    <mergeCell ref="B2:AB2"/>
    <mergeCell ref="B40:G40"/>
    <mergeCell ref="B3:AB3"/>
    <mergeCell ref="B30:G30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W50"/>
  <sheetViews>
    <sheetView workbookViewId="0">
      <pane ySplit="1" topLeftCell="A14" activePane="bottomLeft" state="frozen"/>
      <selection pane="bottomLeft" activeCell="D28" sqref="B26:D28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GATES ON MANHATTAN | GREEN = Affordable Comps | BLUE = Market Rate Comps</t>
        </is>
      </c>
      <c r="AF3" s="136" t="n"/>
      <c r="AG3" s="136" t="n"/>
      <c r="AH3" s="136" t="n"/>
      <c r="AI3" s="136" t="n"/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Gates on Manhattan | 1050 Manhattan Blvd, Harvey, LA 70058 | 276 units | Program: Section 8/HUD | Bedroom Mix: 1BR / 2BR / 3BR | County AMI: $89,800 | FMR Area: New Orleans MSA</t>
        </is>
      </c>
      <c r="AF4" s="136" t="n"/>
      <c r="AG4" s="136" t="n"/>
      <c r="AH4" s="136" t="n"/>
      <c r="AI4" s="136" t="n"/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F5" s="136" t="n"/>
      <c r="AG5" s="136" t="n"/>
      <c r="AH5" s="136" t="n"/>
      <c r="AI5" s="136" t="n"/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1BD 50% AMI ($)</t>
        </is>
      </c>
      <c r="J6" s="280" t="inlineStr">
        <is>
          <t>1BD 60% AMI ($)</t>
        </is>
      </c>
      <c r="K6" s="280" t="inlineStr">
        <is>
          <t>1BR FMR ($)</t>
        </is>
      </c>
      <c r="L6" s="335" t="inlineStr">
        <is>
          <t>1BR Actual ($)</t>
        </is>
      </c>
      <c r="M6" s="281" t="inlineStr">
        <is>
          <t>2BD 50% AMI ($)</t>
        </is>
      </c>
      <c r="N6" s="280" t="inlineStr">
        <is>
          <t>2BD 60% AMI ($)</t>
        </is>
      </c>
      <c r="O6" s="280" t="inlineStr">
        <is>
          <t>2BR FMR ($)</t>
        </is>
      </c>
      <c r="P6" s="335" t="inlineStr">
        <is>
          <t>2BR Actual ($)</t>
        </is>
      </c>
      <c r="Q6" s="281" t="inlineStr">
        <is>
          <t>3BD 50% AMI ($)</t>
        </is>
      </c>
      <c r="R6" s="280" t="inlineStr">
        <is>
          <t>3BD 60% AMI ($)</t>
        </is>
      </c>
      <c r="S6" s="280" t="inlineStr">
        <is>
          <t>3BR FMR ($)</t>
        </is>
      </c>
      <c r="T6" s="339" t="inlineStr">
        <is>
          <t>3BR Actual ($)</t>
        </is>
      </c>
      <c r="U6" s="339" t="inlineStr">
        <is>
          <t># Units</t>
        </is>
      </c>
      <c r="V6" s="339" t="inlineStr">
        <is>
          <t>Year Built</t>
        </is>
      </c>
      <c r="W6" s="339" t="inlineStr">
        <is>
          <t>Yr Diff</t>
        </is>
      </c>
      <c r="X6" s="339" t="inlineStr">
        <is>
          <t>Utilities Incl.</t>
        </is>
      </c>
      <c r="Y6" s="339" t="inlineStr">
        <is>
          <t>Pet Friendly</t>
        </is>
      </c>
      <c r="Z6" s="336" t="inlineStr">
        <is>
          <t>Gated</t>
        </is>
      </c>
      <c r="AA6" s="340" t="inlineStr">
        <is>
          <t>Pool</t>
        </is>
      </c>
      <c r="AB6" s="342" t="inlineStr">
        <is>
          <t>W/D In-Unit</t>
        </is>
      </c>
      <c r="AC6" s="136" t="inlineStr">
        <is>
          <t>Competition Level</t>
        </is>
      </c>
      <c r="AD6" s="136" t="inlineStr">
        <is>
          <t>Why Competitive</t>
        </is>
      </c>
      <c r="AE6" s="136" t="inlineStr">
        <is>
          <t>Data Source</t>
        </is>
      </c>
      <c r="AF6" s="136" t="n"/>
      <c r="AG6" s="136" t="n"/>
      <c r="AH6" s="136" t="n"/>
      <c r="AI6" s="136" t="n"/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Gates on Manhattan (SUBJECT)</t>
        </is>
      </c>
      <c r="D7" s="174" t="inlineStr">
        <is>
          <t>1050 Manhattan Blvd</t>
        </is>
      </c>
      <c r="E7" s="174" t="inlineStr">
        <is>
          <t>Harvey</t>
        </is>
      </c>
      <c r="F7" s="174" t="inlineStr">
        <is>
          <t>LA</t>
        </is>
      </c>
      <c r="G7" s="174" t="inlineStr">
        <is>
          <t>70058</t>
        </is>
      </c>
      <c r="H7" s="174" t="inlineStr">
        <is>
          <t>0.0 mi</t>
        </is>
      </c>
      <c r="I7" s="174" t="inlineStr">
        <is>
          <t>$2,808</t>
        </is>
      </c>
      <c r="J7" s="174" t="inlineStr">
        <is>
          <t>$3,370</t>
        </is>
      </c>
      <c r="K7" s="174" t="inlineStr">
        <is>
          <t>$916</t>
        </is>
      </c>
      <c r="L7" s="368">
        <f>B26</f>
        <v/>
      </c>
      <c r="M7" s="174" t="inlineStr">
        <is>
          <t>$3,370</t>
        </is>
      </c>
      <c r="N7" s="174" t="inlineStr">
        <is>
          <t>$4,045</t>
        </is>
      </c>
      <c r="O7" s="174" t="inlineStr">
        <is>
          <t>$1,254</t>
        </is>
      </c>
      <c r="P7" s="368">
        <f>B27</f>
        <v/>
      </c>
      <c r="Q7" s="174" t="inlineStr">
        <is>
          <t>$3,741</t>
        </is>
      </c>
      <c r="R7" s="174" t="inlineStr">
        <is>
          <t>$4,490</t>
        </is>
      </c>
      <c r="S7" s="174" t="inlineStr">
        <is>
          <t>$1,573</t>
        </is>
      </c>
      <c r="T7" s="368">
        <f>B28</f>
        <v/>
      </c>
      <c r="U7" s="174" t="inlineStr">
        <is>
          <t>276</t>
        </is>
      </c>
      <c r="V7" s="174" t="inlineStr">
        <is>
          <t>1968</t>
        </is>
      </c>
      <c r="W7" s="174" t="inlineStr">
        <is>
          <t>0</t>
        </is>
      </c>
      <c r="X7" s="174" t="inlineStr">
        <is>
          <t>Yes</t>
        </is>
      </c>
      <c r="Y7" s="42" t="inlineStr">
        <is>
          <t>No</t>
        </is>
      </c>
      <c r="Z7" s="55" t="inlineStr">
        <is>
          <t>No</t>
        </is>
      </c>
      <c r="AA7" s="40" t="inlineStr">
        <is>
          <t>No</t>
        </is>
      </c>
      <c r="AB7" s="136" t="inlineStr">
        <is>
          <t>No</t>
        </is>
      </c>
      <c r="AC7" s="136" t="inlineStr">
        <is>
          <t>SUBJECT</t>
        </is>
      </c>
      <c r="AD7" s="136" t="inlineStr">
        <is>
          <t>276 units | Section 8/HUD property. Year built: 1968. Subject property for market context.</t>
        </is>
      </c>
      <c r="AE7" s="136" t="inlineStr">
        <is>
          <t>Apartment Corp Records</t>
        </is>
      </c>
      <c r="AF7" s="136" t="n"/>
      <c r="AG7" s="136" t="n"/>
      <c r="AH7" s="136" t="n"/>
      <c r="AI7" s="136" t="n"/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Westchase Apartments</t>
        </is>
      </c>
      <c r="D8" s="59" t="inlineStr">
        <is>
          <t>1013 Manhattan Blvd</t>
        </is>
      </c>
      <c r="E8" s="59" t="inlineStr">
        <is>
          <t>Harvey</t>
        </is>
      </c>
      <c r="F8" s="59" t="inlineStr">
        <is>
          <t>LA</t>
        </is>
      </c>
      <c r="G8" s="59" t="inlineStr">
        <is>
          <t>70058</t>
        </is>
      </c>
      <c r="H8" s="59" t="inlineStr">
        <is>
          <t>0.3 mi</t>
        </is>
      </c>
      <c r="I8" s="59" t="inlineStr">
        <is>
          <t>$2,808</t>
        </is>
      </c>
      <c r="J8" s="59" t="inlineStr">
        <is>
          <t>$3,370</t>
        </is>
      </c>
      <c r="K8" s="41" t="inlineStr">
        <is>
          <t>$916</t>
        </is>
      </c>
      <c r="L8" s="53" t="inlineStr">
        <is>
          <t>$887</t>
        </is>
      </c>
      <c r="M8" s="43" t="inlineStr">
        <is>
          <t>$3,370</t>
        </is>
      </c>
      <c r="N8" s="43" t="inlineStr">
        <is>
          <t>$4,045</t>
        </is>
      </c>
      <c r="O8" s="41" t="inlineStr">
        <is>
          <t>$1,254</t>
        </is>
      </c>
      <c r="P8" s="53" t="inlineStr">
        <is>
          <t>$1,083</t>
        </is>
      </c>
      <c r="Q8" s="43" t="inlineStr">
        <is>
          <t>$3,741</t>
        </is>
      </c>
      <c r="R8" s="43" t="inlineStr">
        <is>
          <t>$4,490</t>
        </is>
      </c>
      <c r="S8" s="43" t="inlineStr">
        <is>
          <t>$1,573</t>
        </is>
      </c>
      <c r="T8" s="43" t="inlineStr">
        <is>
          <t>Not Listed</t>
        </is>
      </c>
      <c r="U8" s="43" t="inlineStr">
        <is>
          <t>250</t>
        </is>
      </c>
      <c r="V8" s="43" t="inlineStr">
        <is>
          <t>1970</t>
        </is>
      </c>
      <c r="W8" s="43" t="inlineStr">
        <is>
          <t>2</t>
        </is>
      </c>
      <c r="X8" s="43" t="inlineStr">
        <is>
          <t>Yes</t>
        </is>
      </c>
      <c r="Y8" s="44" t="inlineStr">
        <is>
          <t>No</t>
        </is>
      </c>
      <c r="Z8" s="56" t="inlineStr">
        <is>
          <t>No</t>
        </is>
      </c>
      <c r="AA8" s="43" t="inlineStr">
        <is>
          <t>No</t>
        </is>
      </c>
      <c r="AB8" s="136" t="inlineStr">
        <is>
          <t>No</t>
        </is>
      </c>
      <c r="AC8" s="136" t="inlineStr">
        <is>
          <t>HIGH</t>
        </is>
      </c>
      <c r="AD8" s="136" t="inlineStr">
        <is>
          <t>Affordable Comp #1: Section 8/HUD property, 1970 vintage (2 yr diff), 250 units, 0.3 mi from subject. Same income-eligible renter pool.</t>
        </is>
      </c>
      <c r="AE8" s="136" t="inlineStr">
        <is>
          <t>AffordableHousingOnline.com</t>
        </is>
      </c>
      <c r="AF8" s="136" t="n"/>
      <c r="AG8" s="136" t="n"/>
      <c r="AH8" s="136" t="n"/>
      <c r="AI8" s="136" t="n"/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Sunset Villa Apartments</t>
        </is>
      </c>
      <c r="D9" s="125" t="inlineStr">
        <is>
          <t>1000 Scotsdale Dr</t>
        </is>
      </c>
      <c r="E9" s="125" t="inlineStr">
        <is>
          <t>Harvey</t>
        </is>
      </c>
      <c r="F9" s="125" t="inlineStr">
        <is>
          <t>LA</t>
        </is>
      </c>
      <c r="G9" s="125" t="inlineStr">
        <is>
          <t>70058</t>
        </is>
      </c>
      <c r="H9" s="125" t="inlineStr">
        <is>
          <t>1.2 mi</t>
        </is>
      </c>
      <c r="I9" s="125" t="inlineStr">
        <is>
          <t>$2,808</t>
        </is>
      </c>
      <c r="J9" s="125" t="inlineStr">
        <is>
          <t>$3,370</t>
        </is>
      </c>
      <c r="K9" s="85" t="inlineStr">
        <is>
          <t>$916</t>
        </is>
      </c>
      <c r="L9" s="86" t="inlineStr">
        <is>
          <t>$1,146</t>
        </is>
      </c>
      <c r="M9" s="128" t="inlineStr">
        <is>
          <t>$3,370</t>
        </is>
      </c>
      <c r="N9" s="128" t="inlineStr">
        <is>
          <t>$4,045</t>
        </is>
      </c>
      <c r="O9" s="85" t="inlineStr">
        <is>
          <t>$1,254</t>
        </is>
      </c>
      <c r="P9" s="86" t="inlineStr">
        <is>
          <t>$1,146</t>
        </is>
      </c>
      <c r="Q9" s="128" t="inlineStr">
        <is>
          <t>$3,741</t>
        </is>
      </c>
      <c r="R9" s="128" t="inlineStr">
        <is>
          <t>$4,490</t>
        </is>
      </c>
      <c r="S9" s="128" t="inlineStr">
        <is>
          <t>$1,573</t>
        </is>
      </c>
      <c r="T9" s="128" t="inlineStr">
        <is>
          <t>$1,146</t>
        </is>
      </c>
      <c r="U9" s="128" t="inlineStr">
        <is>
          <t>200</t>
        </is>
      </c>
      <c r="V9" s="128" t="inlineStr">
        <is>
          <t>1968</t>
        </is>
      </c>
      <c r="W9" s="128" t="inlineStr">
        <is>
          <t>0</t>
        </is>
      </c>
      <c r="X9" s="128" t="inlineStr">
        <is>
          <t>Yes</t>
        </is>
      </c>
      <c r="Y9" s="129" t="inlineStr">
        <is>
          <t>No</t>
        </is>
      </c>
      <c r="Z9" s="130" t="inlineStr">
        <is>
          <t>No</t>
        </is>
      </c>
      <c r="AA9" s="128" t="inlineStr">
        <is>
          <t>No</t>
        </is>
      </c>
      <c r="AB9" s="136" t="inlineStr">
        <is>
          <t>No</t>
        </is>
      </c>
      <c r="AC9" s="136" t="inlineStr">
        <is>
          <t>HIGH</t>
        </is>
      </c>
      <c r="AD9" s="136" t="inlineStr">
        <is>
          <t>Affordable Comp #2: Section 8/HUD property, 1968 vintage (0 yr diff), 200 units, 1.2 mi from subject. Same income-eligible renter pool.</t>
        </is>
      </c>
      <c r="AE9" s="136" t="inlineStr">
        <is>
          <t>AffordableHousingOnline.com</t>
        </is>
      </c>
      <c r="AF9" s="136" t="n"/>
      <c r="AG9" s="136" t="n"/>
      <c r="AH9" s="136" t="n"/>
      <c r="AI9" s="136" t="n"/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Gretna Manor Apartments</t>
        </is>
      </c>
      <c r="D10" s="107" t="inlineStr">
        <is>
          <t>400 Huey P Long Ave</t>
        </is>
      </c>
      <c r="E10" s="107" t="inlineStr">
        <is>
          <t>Gretna</t>
        </is>
      </c>
      <c r="F10" s="107" t="inlineStr">
        <is>
          <t>LA</t>
        </is>
      </c>
      <c r="G10" s="107" t="inlineStr">
        <is>
          <t>70053</t>
        </is>
      </c>
      <c r="H10" s="107" t="inlineStr">
        <is>
          <t>3.5 mi</t>
        </is>
      </c>
      <c r="I10" s="107" t="inlineStr">
        <is>
          <t>$2,808</t>
        </is>
      </c>
      <c r="J10" s="107" t="inlineStr">
        <is>
          <t>$3,370</t>
        </is>
      </c>
      <c r="K10" s="80" t="inlineStr">
        <is>
          <t>$916</t>
        </is>
      </c>
      <c r="L10" s="81" t="inlineStr">
        <is>
          <t>Not Listed</t>
        </is>
      </c>
      <c r="M10" s="108" t="inlineStr">
        <is>
          <t>$3,370</t>
        </is>
      </c>
      <c r="N10" s="108" t="inlineStr">
        <is>
          <t>$4,045</t>
        </is>
      </c>
      <c r="O10" s="80" t="inlineStr">
        <is>
          <t>$1,254</t>
        </is>
      </c>
      <c r="P10" s="81" t="inlineStr">
        <is>
          <t>Not Listed</t>
        </is>
      </c>
      <c r="Q10" s="108" t="inlineStr">
        <is>
          <t>$3,741</t>
        </is>
      </c>
      <c r="R10" s="108" t="inlineStr">
        <is>
          <t>$4,490</t>
        </is>
      </c>
      <c r="S10" s="108" t="inlineStr">
        <is>
          <t>$1,573</t>
        </is>
      </c>
      <c r="T10" s="108" t="inlineStr">
        <is>
          <t>Not Listed</t>
        </is>
      </c>
      <c r="U10" s="108" t="inlineStr">
        <is>
          <t>220</t>
        </is>
      </c>
      <c r="V10" s="108" t="inlineStr">
        <is>
          <t>1972</t>
        </is>
      </c>
      <c r="W10" s="108" t="inlineStr">
        <is>
          <t>4</t>
        </is>
      </c>
      <c r="X10" s="108" t="inlineStr">
        <is>
          <t>Yes</t>
        </is>
      </c>
      <c r="Y10" s="109" t="inlineStr">
        <is>
          <t>No</t>
        </is>
      </c>
      <c r="Z10" s="110" t="inlineStr">
        <is>
          <t>No</t>
        </is>
      </c>
      <c r="AA10" s="111" t="inlineStr">
        <is>
          <t>No</t>
        </is>
      </c>
      <c r="AB10" s="134" t="inlineStr">
        <is>
          <t>No</t>
        </is>
      </c>
      <c r="AC10" s="136" t="inlineStr">
        <is>
          <t>HIGH</t>
        </is>
      </c>
      <c r="AD10" s="136" t="inlineStr">
        <is>
          <t>Affordable Comp #3: Section 8/HUD property, 1972 vintage (4 yr diff), 220 units, 3.5 mi from subject. Same income-eligible renter pool.</t>
        </is>
      </c>
      <c r="AE10" s="136" t="inlineStr">
        <is>
          <t>HUD Multifamily Assisted Housing</t>
        </is>
      </c>
      <c r="AF10" s="136" t="n"/>
      <c r="AG10" s="136" t="n"/>
      <c r="AH10" s="136" t="n"/>
      <c r="AI10" s="136" t="n"/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Jefferson Parish Housing Authority - Woodmere Homes</t>
        </is>
      </c>
      <c r="D11" s="95" t="inlineStr">
        <is>
          <t>1200 Woodmere Blvd</t>
        </is>
      </c>
      <c r="E11" s="95" t="inlineStr">
        <is>
          <t>Harvey</t>
        </is>
      </c>
      <c r="F11" s="95" t="inlineStr">
        <is>
          <t>LA</t>
        </is>
      </c>
      <c r="G11" s="95" t="inlineStr">
        <is>
          <t>70058</t>
        </is>
      </c>
      <c r="H11" s="95" t="inlineStr">
        <is>
          <t>2.1 mi</t>
        </is>
      </c>
      <c r="I11" s="95" t="inlineStr">
        <is>
          <t>$2,808</t>
        </is>
      </c>
      <c r="J11" s="95" t="inlineStr">
        <is>
          <t>$3,370</t>
        </is>
      </c>
      <c r="K11" s="39" t="inlineStr">
        <is>
          <t>$916</t>
        </is>
      </c>
      <c r="L11" s="53" t="inlineStr">
        <is>
          <t>Not Listed</t>
        </is>
      </c>
      <c r="M11" s="96" t="inlineStr">
        <is>
          <t>$3,370</t>
        </is>
      </c>
      <c r="N11" s="96" t="inlineStr">
        <is>
          <t>$4,045</t>
        </is>
      </c>
      <c r="O11" s="39" t="inlineStr">
        <is>
          <t>$1,254</t>
        </is>
      </c>
      <c r="P11" s="53" t="inlineStr">
        <is>
          <t>Not Listed</t>
        </is>
      </c>
      <c r="Q11" s="96" t="inlineStr">
        <is>
          <t>$3,741</t>
        </is>
      </c>
      <c r="R11" s="96" t="inlineStr">
        <is>
          <t>$4,490</t>
        </is>
      </c>
      <c r="S11" s="96" t="inlineStr">
        <is>
          <t>$1,573</t>
        </is>
      </c>
      <c r="T11" s="96" t="inlineStr">
        <is>
          <t>Not Listed</t>
        </is>
      </c>
      <c r="U11" s="96" t="inlineStr">
        <is>
          <t>240</t>
        </is>
      </c>
      <c r="V11" s="96" t="inlineStr">
        <is>
          <t>1969</t>
        </is>
      </c>
      <c r="W11" s="96" t="inlineStr">
        <is>
          <t>1</t>
        </is>
      </c>
      <c r="X11" s="96" t="inlineStr">
        <is>
          <t>Yes</t>
        </is>
      </c>
      <c r="Y11" s="45" t="inlineStr">
        <is>
          <t>No</t>
        </is>
      </c>
      <c r="Z11" s="97" t="inlineStr">
        <is>
          <t>No</t>
        </is>
      </c>
      <c r="AA11" s="113" t="inlineStr">
        <is>
          <t>No</t>
        </is>
      </c>
      <c r="AB11" s="134" t="inlineStr">
        <is>
          <t>No</t>
        </is>
      </c>
      <c r="AC11" s="136" t="inlineStr">
        <is>
          <t>HIGH</t>
        </is>
      </c>
      <c r="AD11" s="136" t="inlineStr">
        <is>
          <t>Affordable Comp #4: Public Housing/HUD property, 1969 vintage (1 yr diff), 240 units, 2.1 mi from subject. Same income-eligible renter pool.</t>
        </is>
      </c>
      <c r="AE11" s="136" t="inlineStr">
        <is>
          <t>Jefferson Parish Housing Authority</t>
        </is>
      </c>
      <c r="AF11" s="136" t="n"/>
      <c r="AG11" s="136" t="n"/>
      <c r="AH11" s="136" t="n"/>
      <c r="AI11" s="136" t="n"/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37.5" customHeight="1" s="131">
      <c r="A12" s="114" t="n">
        <v>1</v>
      </c>
      <c r="B12" s="70" t="inlineStr">
        <is>
          <t>MARKET RATE</t>
        </is>
      </c>
      <c r="C12" s="67" t="inlineStr">
        <is>
          <t>Windsor at Manhattan</t>
        </is>
      </c>
      <c r="D12" s="98" t="inlineStr">
        <is>
          <t>1499 Central Park Blvd</t>
        </is>
      </c>
      <c r="E12" s="98" t="inlineStr">
        <is>
          <t>Harvey</t>
        </is>
      </c>
      <c r="F12" s="98" t="inlineStr">
        <is>
          <t>LA</t>
        </is>
      </c>
      <c r="G12" s="98" t="inlineStr">
        <is>
          <t>70058</t>
        </is>
      </c>
      <c r="H12" s="98" t="inlineStr">
        <is>
          <t>0.4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N/A (Market Rate)</t>
        </is>
      </c>
      <c r="L12" s="157" t="n">
        <v>1495</v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N/A (Market Rate)</t>
        </is>
      </c>
      <c r="P12" s="157" t="n">
        <v>1875</v>
      </c>
      <c r="Q12" s="99" t="inlineStr">
        <is>
          <t>N/A (Market Rate)</t>
        </is>
      </c>
      <c r="R12" s="99" t="inlineStr">
        <is>
          <t>N/A (Market Rate)</t>
        </is>
      </c>
      <c r="S12" s="99" t="inlineStr">
        <is>
          <t>N/A (Market Rate)</t>
        </is>
      </c>
      <c r="T12" s="158" t="n">
        <v>2100</v>
      </c>
      <c r="U12" s="99" t="inlineStr">
        <is>
          <t>N/A</t>
        </is>
      </c>
      <c r="V12" s="99" t="inlineStr">
        <is>
          <t>1968</t>
        </is>
      </c>
      <c r="W12" s="99" t="inlineStr">
        <is>
          <t>0</t>
        </is>
      </c>
      <c r="X12" s="99" t="inlineStr">
        <is>
          <t>Varies</t>
        </is>
      </c>
      <c r="Y12" s="46" t="inlineStr">
        <is>
          <t>Varies</t>
        </is>
      </c>
      <c r="Z12" s="100" t="inlineStr">
        <is>
          <t>Varies</t>
        </is>
      </c>
      <c r="AA12" s="115" t="inlineStr">
        <is>
          <t>Varies</t>
        </is>
      </c>
      <c r="AB12" s="134" t="inlineStr">
        <is>
          <t>Varies</t>
        </is>
      </c>
      <c r="AC12" s="136" t="inlineStr">
        <is>
          <t>HIGH</t>
        </is>
      </c>
      <c r="AD12" s="136" t="inlineStr">
        <is>
          <t>Market Rate Comp #1: No income restrictions, 1968 vintage (0 yr diff), N/A units, N/A from subject. Shows market-rate rents vs. affordable housing discount.</t>
        </is>
      </c>
      <c r="AE12" s="136" t="inlineStr">
        <is>
          <t>HUD FY2026 FMR - Jefferson Parish, LA (limited market rate listings for 1958-1978 vintage)</t>
        </is>
      </c>
      <c r="AF12" s="136" t="n"/>
      <c r="AG12" s="136" t="n"/>
      <c r="AH12" s="136" t="n"/>
      <c r="AI12" s="136" t="n"/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n">
        <v>2</v>
      </c>
      <c r="B13" s="71" t="inlineStr">
        <is>
          <t>MARKET RATE</t>
        </is>
      </c>
      <c r="C13" s="68" t="inlineStr">
        <is>
          <t>Emerald Pointe Apartment Homes</t>
        </is>
      </c>
      <c r="D13" s="101" t="inlineStr">
        <is>
          <t>2700 Whitney Ave</t>
        </is>
      </c>
      <c r="E13" s="101" t="inlineStr">
        <is>
          <t>Harvey</t>
        </is>
      </c>
      <c r="F13" s="101" t="inlineStr">
        <is>
          <t>LA</t>
        </is>
      </c>
      <c r="G13" s="101" t="inlineStr">
        <is>
          <t>70058</t>
        </is>
      </c>
      <c r="H13" s="101" t="inlineStr">
        <is>
          <t>1.5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N/A (Market Rate)</t>
        </is>
      </c>
      <c r="L13" s="157" t="n">
        <v>1190</v>
      </c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N/A (Market Rate)</t>
        </is>
      </c>
      <c r="P13" s="157" t="n">
        <v>1354</v>
      </c>
      <c r="Q13" s="102" t="inlineStr">
        <is>
          <t>N/A (Market Rate)</t>
        </is>
      </c>
      <c r="R13" s="102" t="inlineStr">
        <is>
          <t>N/A (Market Rate)</t>
        </is>
      </c>
      <c r="S13" s="102" t="inlineStr">
        <is>
          <t>$1,573</t>
        </is>
      </c>
      <c r="T13" s="102" t="inlineStr">
        <is>
          <t>$1,550</t>
        </is>
      </c>
      <c r="U13" s="102" t="inlineStr">
        <is>
          <t>N/A</t>
        </is>
      </c>
      <c r="V13" s="102" t="inlineStr">
        <is>
          <t>1970</t>
        </is>
      </c>
      <c r="W13" s="102" t="inlineStr">
        <is>
          <t>2</t>
        </is>
      </c>
      <c r="X13" s="102" t="inlineStr">
        <is>
          <t>Varies</t>
        </is>
      </c>
      <c r="Y13" s="47" t="inlineStr">
        <is>
          <t>Varies</t>
        </is>
      </c>
      <c r="Z13" s="103" t="inlineStr">
        <is>
          <t>Varies</t>
        </is>
      </c>
      <c r="AA13" s="117" t="inlineStr">
        <is>
          <t>Varies</t>
        </is>
      </c>
      <c r="AB13" s="134" t="inlineStr">
        <is>
          <t>Varies</t>
        </is>
      </c>
      <c r="AC13" s="136" t="inlineStr">
        <is>
          <t>HIGH</t>
        </is>
      </c>
      <c r="AD13" s="136" t="inlineStr">
        <is>
          <t>Market Rate Comp #2: No income restrictions, 1970 vintage (2 yr diff), N/A units, 3.0 mi from subject. Shows market-rate rents vs. affordable housing discount.</t>
        </is>
      </c>
      <c r="AE13" s="136" t="inlineStr">
        <is>
          <t>HUD FY2026 FMR - Jefferson Parish, LA</t>
        </is>
      </c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n">
        <v>3</v>
      </c>
      <c r="B14" s="69" t="inlineStr">
        <is>
          <t>MARKET RATE</t>
        </is>
      </c>
      <c r="C14" s="66" t="inlineStr">
        <is>
          <t>Summerfield Apartment Homes</t>
        </is>
      </c>
      <c r="D14" s="95" t="inlineStr">
        <is>
          <t>1500 Lorene Dr</t>
        </is>
      </c>
      <c r="E14" s="95" t="inlineStr">
        <is>
          <t>Harvey</t>
        </is>
      </c>
      <c r="F14" s="95" t="inlineStr">
        <is>
          <t>LA</t>
        </is>
      </c>
      <c r="G14" s="95" t="inlineStr">
        <is>
          <t>70058</t>
        </is>
      </c>
      <c r="H14" s="95" t="inlineStr">
        <is>
          <t>0.6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N/A (Market Rate)</t>
        </is>
      </c>
      <c r="L14" s="157" t="n">
        <v>1128</v>
      </c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N/A (Market Rate)</t>
        </is>
      </c>
      <c r="P14" s="157" t="n">
        <v>1388</v>
      </c>
      <c r="Q14" s="96" t="inlineStr">
        <is>
          <t>N/A (Market Rate)</t>
        </is>
      </c>
      <c r="R14" s="96" t="inlineStr">
        <is>
          <t>N/A (Market Rate)</t>
        </is>
      </c>
      <c r="S14" s="96" t="inlineStr">
        <is>
          <t>$1,573</t>
        </is>
      </c>
      <c r="T14" s="96" t="inlineStr">
        <is>
          <t>$1,550</t>
        </is>
      </c>
      <c r="U14" s="96" t="inlineStr">
        <is>
          <t>N/A</t>
        </is>
      </c>
      <c r="V14" s="96" t="inlineStr">
        <is>
          <t>1965</t>
        </is>
      </c>
      <c r="W14" s="96" t="inlineStr">
        <is>
          <t>3</t>
        </is>
      </c>
      <c r="X14" s="96" t="inlineStr">
        <is>
          <t>Varies</t>
        </is>
      </c>
      <c r="Y14" s="45" t="inlineStr">
        <is>
          <t>Varies</t>
        </is>
      </c>
      <c r="Z14" s="97" t="inlineStr">
        <is>
          <t>Varies</t>
        </is>
      </c>
      <c r="AA14" s="113" t="inlineStr">
        <is>
          <t>Varies</t>
        </is>
      </c>
      <c r="AB14" s="134" t="inlineStr">
        <is>
          <t>Varies</t>
        </is>
      </c>
      <c r="AC14" s="136" t="inlineStr">
        <is>
          <t>HIGH</t>
        </is>
      </c>
      <c r="AD14" s="136" t="inlineStr">
        <is>
          <t>Market Rate Comp #3: No income restrictions, 1965 vintage (3 yr diff), N/A units, 5.0 mi from subject. Shows market-rate rents vs. affordable housing discount.</t>
        </is>
      </c>
      <c r="AE14" s="136" t="inlineStr">
        <is>
          <t>HUD FY2026 FMR - Jefferson Parish, LA</t>
        </is>
      </c>
      <c r="AF14" s="136" t="n"/>
      <c r="AG14" s="136" t="n"/>
      <c r="AH14" s="136" t="n"/>
      <c r="AI14" s="136" t="n"/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n">
        <v>4</v>
      </c>
      <c r="B15" s="69" t="inlineStr">
        <is>
          <t>MARKET RATE</t>
        </is>
      </c>
      <c r="C15" s="66" t="inlineStr">
        <is>
          <t>Westchase Apartments</t>
        </is>
      </c>
      <c r="D15" s="95" t="inlineStr">
        <is>
          <t>1013 Manhattan Blvd</t>
        </is>
      </c>
      <c r="E15" s="95" t="inlineStr">
        <is>
          <t>Harvey</t>
        </is>
      </c>
      <c r="F15" s="95" t="inlineStr">
        <is>
          <t>LA</t>
        </is>
      </c>
      <c r="G15" s="95" t="inlineStr">
        <is>
          <t>70058</t>
        </is>
      </c>
      <c r="H15" s="95" t="inlineStr">
        <is>
          <t>0.1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N/A (Market Rate)</t>
        </is>
      </c>
      <c r="L15" s="157" t="n">
        <v>887</v>
      </c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N/A (Market Rate)</t>
        </is>
      </c>
      <c r="P15" s="157" t="n">
        <v>1083</v>
      </c>
      <c r="Q15" s="96" t="inlineStr">
        <is>
          <t>N/A (Market Rate)</t>
        </is>
      </c>
      <c r="R15" s="96" t="inlineStr">
        <is>
          <t>N/A (Market Rate)</t>
        </is>
      </c>
      <c r="S15" s="96" t="inlineStr">
        <is>
          <t>$1,573</t>
        </is>
      </c>
      <c r="T15" s="96" t="inlineStr">
        <is>
          <t>$1,550</t>
        </is>
      </c>
      <c r="U15" s="96" t="inlineStr">
        <is>
          <t>N/A</t>
        </is>
      </c>
      <c r="V15" s="96" t="inlineStr">
        <is>
          <t>1970</t>
        </is>
      </c>
      <c r="W15" s="96" t="inlineStr">
        <is>
          <t>2</t>
        </is>
      </c>
      <c r="X15" s="96" t="inlineStr">
        <is>
          <t>Varies</t>
        </is>
      </c>
      <c r="Y15" s="45" t="inlineStr">
        <is>
          <t>Varies</t>
        </is>
      </c>
      <c r="Z15" s="97" t="inlineStr">
        <is>
          <t>Varies</t>
        </is>
      </c>
      <c r="AA15" s="113" t="inlineStr">
        <is>
          <t>Varies</t>
        </is>
      </c>
      <c r="AB15" s="134" t="inlineStr">
        <is>
          <t>Varies</t>
        </is>
      </c>
      <c r="AC15" s="136" t="inlineStr">
        <is>
          <t>HIGH</t>
        </is>
      </c>
      <c r="AD15" s="136" t="inlineStr">
        <is>
          <t>Market Rate Comp #4: No income restrictions, 1970 vintage (2 yr diff), N/A units, 6.0 mi from subject. Shows market-rate rents vs. affordable housing discount.</t>
        </is>
      </c>
      <c r="AE15" s="136" t="inlineStr">
        <is>
          <t>HUD FY2026 FMR - Jefferson Parish, LA</t>
        </is>
      </c>
      <c r="AF15" s="136" t="n"/>
      <c r="AG15" s="136" t="n"/>
      <c r="AH15" s="136" t="n"/>
      <c r="AI15" s="136" t="n"/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n">
        <v>5</v>
      </c>
      <c r="B16" s="82" t="inlineStr">
        <is>
          <t>MARKET RATE</t>
        </is>
      </c>
      <c r="C16" s="119" t="inlineStr">
        <is>
          <t>Boulevard Apartment Homes</t>
        </is>
      </c>
      <c r="D16" s="120" t="inlineStr">
        <is>
          <t>901 Gretna Blvd</t>
        </is>
      </c>
      <c r="E16" s="120" t="inlineStr">
        <is>
          <t>Gretna</t>
        </is>
      </c>
      <c r="F16" s="120" t="inlineStr">
        <is>
          <t>LA</t>
        </is>
      </c>
      <c r="G16" s="120" t="inlineStr">
        <is>
          <t>70053</t>
        </is>
      </c>
      <c r="H16" s="120" t="inlineStr">
        <is>
          <t>2.0 mi</t>
        </is>
      </c>
      <c r="I16" s="120" t="inlineStr">
        <is>
          <t>N/A (Market Rate)</t>
        </is>
      </c>
      <c r="J16" s="120" t="inlineStr">
        <is>
          <t>N/A (Market Rate)</t>
        </is>
      </c>
      <c r="K16" s="121" t="inlineStr">
        <is>
          <t>N/A (Market Rate)</t>
        </is>
      </c>
      <c r="L16" s="159" t="n">
        <v>995</v>
      </c>
      <c r="M16" s="122" t="inlineStr">
        <is>
          <t>N/A (Market Rate)</t>
        </is>
      </c>
      <c r="N16" s="122" t="inlineStr">
        <is>
          <t>N/A (Market Rate)</t>
        </is>
      </c>
      <c r="O16" s="121" t="inlineStr">
        <is>
          <t>N/A (Market Rate)</t>
        </is>
      </c>
      <c r="P16" s="159" t="n">
        <v>1025</v>
      </c>
      <c r="Q16" s="122" t="inlineStr">
        <is>
          <t>$1,573</t>
        </is>
      </c>
      <c r="R16" s="122" t="inlineStr">
        <is>
          <t>$1,573</t>
        </is>
      </c>
      <c r="S16" s="122" t="inlineStr">
        <is>
          <t>$1,573</t>
        </is>
      </c>
      <c r="T16" s="122" t="inlineStr">
        <is>
          <t>N/A</t>
        </is>
      </c>
      <c r="U16" s="122" t="inlineStr">
        <is>
          <t>N/A</t>
        </is>
      </c>
      <c r="V16" s="122" t="inlineStr">
        <is>
          <t>N/A</t>
        </is>
      </c>
      <c r="W16" s="122" t="inlineStr">
        <is>
          <t>N/A</t>
        </is>
      </c>
      <c r="X16" s="122" t="inlineStr">
        <is>
          <t>N/A</t>
        </is>
      </c>
      <c r="Y16" s="84" t="inlineStr">
        <is>
          <t>N/A</t>
        </is>
      </c>
      <c r="Z16" s="123" t="inlineStr">
        <is>
          <t>N/A</t>
        </is>
      </c>
      <c r="AA16" s="124" t="inlineStr">
        <is>
          <t>N/A</t>
        </is>
      </c>
      <c r="AB16" s="134" t="inlineStr">
        <is>
          <t>N/A</t>
        </is>
      </c>
      <c r="AC16" s="136" t="inlineStr">
        <is>
          <t>BENCHMARK</t>
        </is>
      </c>
      <c r="AD16" s="136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136" t="inlineStr">
        <is>
          <t>HUD FMR Database (huduser.gov)</t>
        </is>
      </c>
      <c r="AF16" s="136" t="n"/>
      <c r="AG16" s="136" t="n"/>
      <c r="AH16" s="136" t="n"/>
      <c r="AI16" s="136" t="n"/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n">
        <v>6</v>
      </c>
      <c r="B17" s="88" t="inlineStr">
        <is>
          <t>MARKET RATE</t>
        </is>
      </c>
      <c r="C17" s="89" t="inlineStr">
        <is>
          <t>St. Germaine</t>
        </is>
      </c>
      <c r="D17" s="87" t="inlineStr">
        <is>
          <t>2201 Manhattan Blvd</t>
        </is>
      </c>
      <c r="E17" s="87" t="inlineStr">
        <is>
          <t>Harvey</t>
        </is>
      </c>
      <c r="F17" s="87" t="inlineStr">
        <is>
          <t>LA</t>
        </is>
      </c>
      <c r="G17" s="87" t="inlineStr">
        <is>
          <t>70058</t>
        </is>
      </c>
      <c r="H17" s="87" t="inlineStr">
        <is>
          <t>1.1 mi</t>
        </is>
      </c>
      <c r="I17" s="87" t="inlineStr">
        <is>
          <t>N/A (Market Rate)</t>
        </is>
      </c>
      <c r="J17" s="87" t="inlineStr">
        <is>
          <t>N/A (Market Rate)</t>
        </is>
      </c>
      <c r="K17" s="90" t="inlineStr">
        <is>
          <t>N/A (Market Rate)</t>
        </is>
      </c>
      <c r="L17" s="161" t="n">
        <v>815</v>
      </c>
      <c r="M17" s="92" t="inlineStr">
        <is>
          <t>N/A (Market Rate)</t>
        </is>
      </c>
      <c r="N17" s="92" t="inlineStr">
        <is>
          <t>N/A (Market Rate)</t>
        </is>
      </c>
      <c r="O17" s="90" t="inlineStr">
        <is>
          <t>N/A (Market Rate)</t>
        </is>
      </c>
      <c r="P17" s="161" t="n">
        <v>872</v>
      </c>
      <c r="Q17" s="92" t="inlineStr">
        <is>
          <t>$1,730</t>
        </is>
      </c>
      <c r="R17" s="92" t="inlineStr">
        <is>
          <t>$1,730</t>
        </is>
      </c>
      <c r="S17" s="92" t="inlineStr">
        <is>
          <t>$1,730</t>
        </is>
      </c>
      <c r="T17" s="92" t="inlineStr">
        <is>
          <t>N/A</t>
        </is>
      </c>
      <c r="U17" s="92" t="inlineStr">
        <is>
          <t>N/A</t>
        </is>
      </c>
      <c r="V17" s="92" t="inlineStr">
        <is>
          <t>N/A</t>
        </is>
      </c>
      <c r="W17" s="92" t="inlineStr">
        <is>
          <t>N/A</t>
        </is>
      </c>
      <c r="X17" s="92" t="inlineStr">
        <is>
          <t>N/A</t>
        </is>
      </c>
      <c r="Y17" s="93" t="inlineStr">
        <is>
          <t>N/A</t>
        </is>
      </c>
      <c r="Z17" s="94" t="inlineStr">
        <is>
          <t>N/A</t>
        </is>
      </c>
      <c r="AA17" s="92" t="inlineStr">
        <is>
          <t>N/A</t>
        </is>
      </c>
      <c r="AB17" s="136" t="inlineStr">
        <is>
          <t>N/A</t>
        </is>
      </c>
      <c r="AC17" s="136" t="inlineStr">
        <is>
          <t>BENCHMARK</t>
        </is>
      </c>
      <c r="AD17" s="136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136" t="inlineStr">
        <is>
          <t>HUD FMR + Market Estimate</t>
        </is>
      </c>
      <c r="AF17" s="136" t="n"/>
      <c r="AG17" s="136" t="n"/>
      <c r="AH17" s="136" t="n"/>
      <c r="AI17" s="136" t="n"/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F19" s="136" t="n"/>
      <c r="AG19" s="136" t="n"/>
      <c r="AH19" s="136" t="n"/>
      <c r="AI19" s="136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Format="1" customHeight="1" s="2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Format="1" customHeight="1" s="2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Height="1" s="131">
      <c r="A25" s="372" t="n"/>
      <c r="B25" s="201" t="inlineStr">
        <is>
          <t>1BD</t>
        </is>
      </c>
      <c r="C25" s="194" t="n"/>
      <c r="D25" s="200" t="n">
        <v>1085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Height="1" s="131">
      <c r="A26" s="372" t="n"/>
      <c r="B26" s="201" t="inlineStr">
        <is>
          <t>2BD</t>
        </is>
      </c>
      <c r="C26" s="194" t="n"/>
      <c r="D26" s="200" t="n">
        <v>1266</v>
      </c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24.75" customFormat="1" customHeight="1" s="2">
      <c r="A27" s="369" t="n"/>
      <c r="B27" s="201" t="inlineStr">
        <is>
          <t>3BD</t>
        </is>
      </c>
      <c r="C27" s="194" t="n"/>
      <c r="D27" s="200" t="n">
        <v>1688</v>
      </c>
      <c r="E27" s="195" t="n"/>
      <c r="F27" s="183" t="n"/>
      <c r="G27" s="183" t="n"/>
      <c r="H27" s="183" t="n"/>
      <c r="I27" s="183" t="n"/>
      <c r="J27" s="183" t="n"/>
      <c r="K27" s="302" t="n"/>
      <c r="L27" s="302" t="n"/>
      <c r="M27" s="302" t="n"/>
      <c r="N27" s="302" t="n"/>
      <c r="O27" s="343" t="n"/>
      <c r="P27" s="302" t="n"/>
      <c r="Q27" s="302" t="n"/>
      <c r="R27" s="302" t="n"/>
      <c r="S27" s="302" t="n"/>
      <c r="T27" s="302" t="n"/>
      <c r="U27" s="302" t="n"/>
      <c r="V27" s="302" t="n"/>
      <c r="W27" s="302" t="n"/>
      <c r="X27" s="302" t="n"/>
      <c r="Y27" s="302" t="n"/>
      <c r="Z27" s="302" t="n"/>
      <c r="AA27" s="353" t="n"/>
      <c r="AB27" s="302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8.1" customFormat="1" customHeight="1" s="2">
      <c r="A28" s="382" t="n"/>
      <c r="B28" s="404" t="n"/>
      <c r="C28" s="454" t="n"/>
      <c r="D28" s="404" t="n"/>
      <c r="E28" s="404" t="n"/>
      <c r="F28" s="382" t="n"/>
      <c r="G28" s="369" t="n"/>
      <c r="H28" s="369" t="n"/>
      <c r="I28" s="369" t="n"/>
      <c r="J28" s="369" t="n"/>
      <c r="K28" s="369" t="n"/>
      <c r="L28" s="134" t="n"/>
      <c r="M28" s="134" t="n"/>
      <c r="N28" s="134" t="n"/>
      <c r="O28" s="134" t="n"/>
      <c r="P28" s="134" t="n"/>
      <c r="Q28" s="134" t="n"/>
      <c r="R28" s="134" t="n"/>
      <c r="S28" s="134" t="n"/>
      <c r="T28" s="134" t="n"/>
      <c r="U28" s="134" t="n"/>
      <c r="V28" s="134" t="n"/>
      <c r="W28" s="134" t="n"/>
      <c r="X28" s="134" t="n"/>
      <c r="Y28" s="134" t="n"/>
      <c r="Z28" s="135" t="n"/>
      <c r="AA28" s="134" t="n"/>
      <c r="AB28" s="134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24.75" customFormat="1" customHeight="1" s="2">
      <c r="A29" s="302" t="n"/>
      <c r="B29" s="211" t="inlineStr">
        <is>
          <t>PMTS — Vouchers / FMR / UAP / NET</t>
        </is>
      </c>
      <c r="G29" s="365" t="n"/>
      <c r="H29" s="183" t="n"/>
      <c r="I29" s="183" t="n"/>
      <c r="J29" s="183" t="n"/>
      <c r="K29" s="302" t="n"/>
      <c r="L29" s="302" t="n"/>
      <c r="M29" s="302" t="n"/>
      <c r="N29" s="302" t="n"/>
      <c r="O29" s="302" t="n"/>
      <c r="P29" s="302" t="n"/>
      <c r="Q29" s="302" t="n"/>
      <c r="R29" s="302" t="n"/>
      <c r="S29" s="302" t="n"/>
      <c r="T29" s="302" t="n"/>
      <c r="U29" s="302" t="n"/>
      <c r="V29" s="302" t="n"/>
      <c r="W29" s="302" t="n"/>
      <c r="X29" s="302" t="n"/>
      <c r="Y29" s="302" t="n"/>
      <c r="Z29" s="302" t="n"/>
      <c r="AA29" s="353" t="n"/>
      <c r="AB29" s="302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15.95" customFormat="1" customHeight="1" s="2">
      <c r="A30" s="302" t="n"/>
      <c r="B30" s="226" t="n"/>
      <c r="C30" s="213" t="inlineStr">
        <is>
          <t>MKT</t>
        </is>
      </c>
      <c r="D30" s="213" t="inlineStr">
        <is>
          <t>VCH</t>
        </is>
      </c>
      <c r="E30" s="214" t="inlineStr">
        <is>
          <t>FMR</t>
        </is>
      </c>
      <c r="F30" s="215" t="inlineStr">
        <is>
          <t>UAP</t>
        </is>
      </c>
      <c r="G30" s="216" t="inlineStr">
        <is>
          <t>NET</t>
        </is>
      </c>
      <c r="H30" s="183" t="n"/>
      <c r="I30" s="183" t="n"/>
      <c r="J30" s="183" t="n"/>
      <c r="K30" s="302" t="n"/>
      <c r="L30" s="302" t="n"/>
      <c r="M30" s="302" t="n"/>
      <c r="N30" s="302" t="n"/>
      <c r="O30" s="302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24.75" customFormat="1" customHeight="1" s="2">
      <c r="A31" s="372" t="n"/>
      <c r="B31" s="217" t="inlineStr">
        <is>
          <t>1BD</t>
        </is>
      </c>
      <c r="C31" s="197" t="n">
        <v>1000</v>
      </c>
      <c r="D31" s="197" t="n">
        <v>1000</v>
      </c>
      <c r="E31" s="198" t="n">
        <v>1250</v>
      </c>
      <c r="F31" s="199" t="n">
        <v>0</v>
      </c>
      <c r="G31" s="218" t="n">
        <v>1250</v>
      </c>
      <c r="H31" s="183" t="n"/>
      <c r="I31" s="183" t="n"/>
      <c r="J31" s="183" t="n"/>
      <c r="K31" s="302" t="n"/>
      <c r="L31" s="302" t="n"/>
      <c r="M31" s="302" t="n"/>
      <c r="N31" s="302" t="n"/>
      <c r="O31" s="343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24.75" customHeight="1" s="131">
      <c r="A32" s="369" t="n"/>
      <c r="B32" s="217" t="inlineStr">
        <is>
          <t>2BD</t>
        </is>
      </c>
      <c r="C32" s="197" t="n">
        <v>1200</v>
      </c>
      <c r="D32" s="197" t="n">
        <v>1200</v>
      </c>
      <c r="E32" s="198" t="n">
        <v>1490</v>
      </c>
      <c r="F32" s="199" t="n">
        <v>0</v>
      </c>
      <c r="G32" s="218" t="n">
        <v>1490</v>
      </c>
      <c r="H32" s="183" t="n"/>
      <c r="I32" s="183" t="n"/>
      <c r="J32" s="183" t="n"/>
      <c r="K32" s="302" t="n"/>
      <c r="L32" s="302" t="n"/>
      <c r="M32" s="302" t="n"/>
      <c r="N32" s="302" t="n"/>
      <c r="O32" s="343" t="n"/>
      <c r="P32" s="302" t="n"/>
      <c r="Q32" s="302" t="n"/>
      <c r="R32" s="302" t="n"/>
      <c r="S32" s="302" t="n"/>
      <c r="T32" s="302" t="n"/>
      <c r="U32" s="302" t="n"/>
      <c r="V32" s="302" t="n"/>
      <c r="W32" s="302" t="n"/>
      <c r="X32" s="302" t="n"/>
      <c r="Y32" s="302" t="n"/>
      <c r="Z32" s="302" t="n"/>
      <c r="AA32" s="353" t="n"/>
      <c r="AB32" s="302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24.75" customHeight="1" s="131">
      <c r="A33" s="382" t="n"/>
      <c r="B33" s="217" t="inlineStr">
        <is>
          <t>3BD</t>
        </is>
      </c>
      <c r="C33" s="197" t="n">
        <v>1300</v>
      </c>
      <c r="D33" s="197" t="n">
        <v>1300</v>
      </c>
      <c r="E33" s="198" t="n">
        <v>1900</v>
      </c>
      <c r="F33" s="199" t="n">
        <v>0</v>
      </c>
      <c r="G33" s="218" t="n">
        <v>1900</v>
      </c>
      <c r="H33" s="183" t="n"/>
      <c r="I33" s="183" t="n"/>
      <c r="J33" s="183" t="n"/>
      <c r="K33" s="302" t="n"/>
      <c r="L33" s="302" t="n"/>
      <c r="M33" s="302" t="n"/>
      <c r="N33" s="302" t="n"/>
      <c r="O33" s="343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8.1" customFormat="1" customHeight="1" s="2">
      <c r="A34" s="372" t="n"/>
      <c r="B34" s="372" t="n"/>
      <c r="C34" s="372" t="n"/>
      <c r="D34" s="372" t="n"/>
      <c r="E34" s="372" t="n"/>
      <c r="F34" s="369" t="n"/>
      <c r="G34" s="369" t="n"/>
      <c r="H34" s="369" t="n"/>
      <c r="I34" s="369" t="n"/>
      <c r="J34" s="369" t="n"/>
      <c r="K34" s="369" t="n"/>
      <c r="L34" s="136" t="n"/>
      <c r="M34" s="136" t="n"/>
      <c r="N34" s="136" t="n"/>
      <c r="O34" s="136" t="n"/>
      <c r="P34" s="136" t="n"/>
      <c r="Q34" s="136" t="n"/>
      <c r="R34" s="136" t="n"/>
      <c r="S34" s="136" t="n"/>
      <c r="T34" s="136" t="n"/>
      <c r="U34" s="136" t="n"/>
      <c r="V34" s="136" t="n"/>
      <c r="W34" s="136" t="n"/>
      <c r="X34" s="136" t="n"/>
      <c r="Y34" s="136" t="n"/>
      <c r="Z34" s="136" t="n"/>
      <c r="AA34" s="136" t="n"/>
      <c r="AB34" s="136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24.75" customFormat="1" customHeight="1" s="2">
      <c r="A35" s="302" t="n"/>
      <c r="B35" s="366" t="inlineStr">
        <is>
          <t>LIHTC, UAP, NET</t>
        </is>
      </c>
      <c r="C35" s="358" t="n"/>
      <c r="D35" s="358" t="n"/>
      <c r="E35" s="358" t="n"/>
      <c r="F35" s="358" t="n"/>
      <c r="G35" s="359" t="n"/>
      <c r="H35" s="183" t="n"/>
      <c r="I35" s="183" t="n"/>
      <c r="J35" s="183" t="n"/>
      <c r="K35" s="302" t="n"/>
      <c r="L35" s="302" t="n"/>
      <c r="M35" s="302" t="n"/>
      <c r="N35" s="302" t="n"/>
      <c r="O35" s="302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16.5" customFormat="1" customHeight="1" s="2">
      <c r="A36" s="369" t="n"/>
      <c r="B36" s="226" t="inlineStr">
        <is>
          <t>No LIHTC data available</t>
        </is>
      </c>
      <c r="C36" s="228" t="n"/>
      <c r="D36" s="228" t="n"/>
      <c r="E36" s="215" t="n"/>
      <c r="F36" s="216" t="n"/>
      <c r="G36" s="183" t="n"/>
      <c r="H36" s="183" t="n"/>
      <c r="I36" s="183" t="n"/>
      <c r="J36" s="183" t="n"/>
      <c r="K36" s="302" t="n"/>
      <c r="L36" s="302" t="n"/>
      <c r="M36" s="302" t="n"/>
      <c r="N36" s="302" t="n"/>
      <c r="O36" s="343" t="n"/>
      <c r="P36" s="302" t="n"/>
      <c r="Q36" s="302" t="n"/>
      <c r="R36" s="302" t="n"/>
      <c r="S36" s="302" t="n"/>
      <c r="T36" s="302" t="n"/>
      <c r="U36" s="302" t="n"/>
      <c r="V36" s="302" t="n"/>
      <c r="W36" s="302" t="n"/>
      <c r="X36" s="302" t="n"/>
      <c r="Y36" s="302" t="n"/>
      <c r="Z36" s="302" t="n"/>
      <c r="AA36" s="353" t="n"/>
      <c r="AB36" s="302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18" customFormat="1" customHeight="1" s="2">
      <c r="A37" s="369" t="n"/>
      <c r="B37" s="399" t="n"/>
      <c r="C37" s="381" t="n"/>
      <c r="D37" s="369" t="n"/>
      <c r="E37" s="369" t="n"/>
      <c r="F37" s="369" t="n"/>
      <c r="G37" s="369" t="n"/>
      <c r="H37" s="369" t="n"/>
      <c r="I37" s="369" t="n"/>
      <c r="J37" s="369" t="n"/>
      <c r="K37" s="369" t="n"/>
      <c r="L37" s="134" t="n"/>
      <c r="M37" s="134" t="n"/>
      <c r="N37" s="134" t="n"/>
      <c r="O37" s="134" t="n"/>
      <c r="P37" s="134" t="n"/>
      <c r="Q37" s="134" t="n"/>
      <c r="R37" s="134" t="n"/>
      <c r="S37" s="134" t="n"/>
      <c r="T37" s="134" t="n"/>
      <c r="U37" s="134" t="n"/>
      <c r="V37" s="134" t="n"/>
      <c r="W37" s="134" t="n"/>
      <c r="X37" s="134" t="n"/>
      <c r="Y37" s="134" t="n"/>
      <c r="Z37" s="135" t="n"/>
      <c r="AA37" s="134" t="n"/>
      <c r="AB37" s="134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24.75" customFormat="1" customHeight="1" s="2">
      <c r="A38" s="302" t="n"/>
      <c r="B38" s="207" t="inlineStr">
        <is>
          <t>HAP, CoStar, NET</t>
        </is>
      </c>
      <c r="H38" s="183" t="n"/>
      <c r="I38" s="183" t="n"/>
      <c r="J38" s="183" t="n"/>
      <c r="K38" s="302" t="n"/>
      <c r="L38" s="302" t="n"/>
      <c r="M38" s="302" t="n"/>
      <c r="N38" s="302" t="n"/>
      <c r="O38" s="302" t="n"/>
      <c r="P38" s="302" t="n"/>
      <c r="Q38" s="302" t="n"/>
      <c r="R38" s="302" t="n"/>
      <c r="S38" s="302" t="n"/>
      <c r="T38" s="302" t="n"/>
      <c r="U38" s="302" t="n"/>
      <c r="V38" s="302" t="n"/>
      <c r="W38" s="302" t="n"/>
      <c r="X38" s="302" t="n"/>
      <c r="Y38" s="302" t="n"/>
      <c r="Z38" s="302" t="n"/>
      <c r="AA38" s="353" t="n"/>
      <c r="AB38" s="302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15.95" customHeight="1" s="131">
      <c r="A39" s="302" t="n"/>
      <c r="B39" s="227" t="n"/>
      <c r="C39" s="208" t="inlineStr">
        <is>
          <t>HAP</t>
        </is>
      </c>
      <c r="D39" s="209" t="inlineStr">
        <is>
          <t>CoStar</t>
        </is>
      </c>
      <c r="E39" s="302" t="n"/>
      <c r="F39" s="302" t="n"/>
      <c r="G39" s="302" t="n"/>
      <c r="H39" s="183" t="n"/>
      <c r="I39" s="183" t="n"/>
      <c r="J39" s="183" t="n"/>
      <c r="K39" s="302" t="n"/>
      <c r="L39" s="302" t="n"/>
      <c r="M39" s="302" t="n"/>
      <c r="N39" s="302" t="n"/>
      <c r="O39" s="302" t="n"/>
      <c r="P39" s="302" t="n"/>
      <c r="Q39" s="302" t="n"/>
      <c r="R39" s="302" t="n"/>
      <c r="S39" s="302" t="n"/>
      <c r="T39" s="302" t="n"/>
      <c r="U39" s="302" t="n"/>
      <c r="V39" s="302" t="n"/>
      <c r="W39" s="302" t="n"/>
      <c r="X39" s="302" t="n"/>
      <c r="Y39" s="302" t="n"/>
      <c r="Z39" s="302" t="n"/>
      <c r="AA39" s="353" t="n"/>
      <c r="AB39" s="302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ht="24.75" customHeight="1" s="131">
      <c r="A40" s="302" t="n"/>
      <c r="B40" s="196" t="inlineStr">
        <is>
          <t>1BD</t>
        </is>
      </c>
      <c r="C40" s="199" t="n">
        <v>0</v>
      </c>
      <c r="D40" s="198" t="n">
        <v>1095</v>
      </c>
      <c r="E40" s="183" t="n"/>
      <c r="F40" s="183" t="n"/>
      <c r="G40" s="183" t="n"/>
      <c r="H40" s="183" t="n"/>
      <c r="I40" s="183" t="n"/>
      <c r="J40" s="183" t="n"/>
      <c r="K40" s="302" t="n"/>
      <c r="L40" s="302" t="n"/>
      <c r="M40" s="302" t="n"/>
      <c r="N40" s="302" t="n"/>
      <c r="O40" s="302" t="n"/>
      <c r="P40" s="302" t="n"/>
      <c r="Q40" s="302" t="n"/>
      <c r="R40" s="302" t="n"/>
      <c r="S40" s="302" t="n"/>
      <c r="T40" s="302" t="n"/>
      <c r="U40" s="302" t="n"/>
      <c r="V40" s="302" t="n"/>
      <c r="W40" s="302" t="n"/>
      <c r="X40" s="302" t="n"/>
      <c r="Y40" s="302" t="n"/>
      <c r="Z40" s="302" t="n"/>
      <c r="AA40" s="353" t="n"/>
      <c r="AB40" s="302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ht="24.75" customHeight="1" s="131">
      <c r="A41" s="302" t="n"/>
      <c r="B41" s="196" t="inlineStr">
        <is>
          <t>2BD</t>
        </is>
      </c>
      <c r="C41" s="199" t="n">
        <v>0</v>
      </c>
      <c r="D41" s="198" t="n">
        <v>1415</v>
      </c>
      <c r="E41" s="183" t="n"/>
      <c r="F41" s="183" t="n"/>
      <c r="G41" s="183" t="n"/>
      <c r="H41" s="183" t="n"/>
      <c r="I41" s="183" t="n"/>
      <c r="J41" s="183" t="n"/>
      <c r="K41" s="302" t="n"/>
      <c r="L41" s="302" t="n"/>
      <c r="M41" s="302" t="n"/>
      <c r="N41" s="302" t="n"/>
      <c r="O41" s="302" t="n"/>
      <c r="P41" s="302" t="n"/>
      <c r="Q41" s="302" t="n"/>
      <c r="R41" s="302" t="n"/>
      <c r="S41" s="302" t="n"/>
      <c r="T41" s="302" t="n"/>
      <c r="U41" s="302" t="n"/>
      <c r="V41" s="302" t="n"/>
      <c r="W41" s="302" t="n"/>
      <c r="X41" s="302" t="n"/>
      <c r="Y41" s="302" t="n"/>
      <c r="Z41" s="302" t="n"/>
      <c r="AA41" s="353" t="n"/>
      <c r="AB41" s="302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ht="24.75" customHeight="1" s="131">
      <c r="A42" s="302" t="n"/>
      <c r="B42" s="196" t="inlineStr">
        <is>
          <t>3BD</t>
        </is>
      </c>
      <c r="C42" s="199" t="n">
        <v>0</v>
      </c>
      <c r="D42" s="198" t="n">
        <v>1655</v>
      </c>
      <c r="E42" s="183" t="n"/>
      <c r="F42" s="183" t="n"/>
      <c r="G42" s="183" t="n"/>
      <c r="H42" s="183" t="n"/>
      <c r="I42" s="183" t="n"/>
      <c r="J42" s="183" t="n"/>
      <c r="K42" s="302" t="n"/>
      <c r="L42" s="302" t="n"/>
      <c r="M42" s="302" t="n"/>
      <c r="N42" s="302" t="n"/>
      <c r="O42" s="302" t="n"/>
      <c r="P42" s="302" t="n"/>
      <c r="Q42" s="302" t="n"/>
      <c r="R42" s="302" t="n"/>
      <c r="S42" s="302" t="n"/>
      <c r="T42" s="302" t="n"/>
      <c r="U42" s="302" t="n"/>
      <c r="V42" s="302" t="n"/>
      <c r="W42" s="302" t="n"/>
      <c r="X42" s="302" t="n"/>
      <c r="Y42" s="302" t="n"/>
      <c r="Z42" s="302" t="n"/>
      <c r="AA42" s="353" t="n"/>
      <c r="AB42" s="302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s="131">
      <c r="A43" s="369" t="n"/>
      <c r="B43" s="369" t="n"/>
      <c r="C43" s="369" t="n"/>
      <c r="D43" s="369" t="n"/>
      <c r="E43" s="369" t="n"/>
      <c r="F43" s="369" t="n"/>
      <c r="G43" s="369" t="n"/>
      <c r="H43" s="369" t="n"/>
      <c r="I43" s="369" t="n"/>
      <c r="J43" s="369" t="n"/>
      <c r="K43" s="369" t="n"/>
      <c r="L43" s="136" t="n"/>
      <c r="M43" s="136" t="n"/>
      <c r="N43" s="136" t="n"/>
      <c r="O43" s="136" t="n"/>
      <c r="P43" s="136" t="n"/>
      <c r="Q43" s="136" t="n"/>
      <c r="R43" s="136" t="n"/>
      <c r="S43" s="136" t="n"/>
      <c r="T43" s="136" t="n"/>
      <c r="U43" s="136" t="n"/>
      <c r="V43" s="136" t="n"/>
      <c r="W43" s="136" t="n"/>
      <c r="X43" s="136" t="n"/>
      <c r="Y43" s="136" t="n"/>
      <c r="Z43" s="136" t="n"/>
      <c r="AA43" s="136" t="n"/>
      <c r="AB43" s="136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s="131">
      <c r="A44" s="369" t="n"/>
      <c r="B44" s="369" t="n"/>
      <c r="C44" s="369" t="n"/>
      <c r="D44" s="369" t="n"/>
      <c r="E44" s="369" t="n"/>
      <c r="F44" s="369" t="n"/>
      <c r="G44" s="369" t="n"/>
      <c r="H44" s="369" t="n"/>
      <c r="I44" s="369" t="n"/>
      <c r="J44" s="369" t="n"/>
      <c r="K44" s="369" t="n"/>
      <c r="L44" s="136" t="n"/>
      <c r="M44" s="136" t="n"/>
      <c r="N44" s="136" t="n"/>
      <c r="O44" s="136" t="n"/>
      <c r="P44" s="136" t="n"/>
      <c r="Q44" s="136" t="n"/>
      <c r="R44" s="136" t="n"/>
      <c r="S44" s="136" t="n"/>
      <c r="T44" s="136" t="n"/>
      <c r="U44" s="136" t="n"/>
      <c r="V44" s="136" t="n"/>
      <c r="W44" s="136" t="n"/>
      <c r="X44" s="136" t="n"/>
      <c r="Y44" s="136" t="n"/>
      <c r="Z44" s="136" t="n"/>
      <c r="AA44" s="136" t="n"/>
      <c r="AB44" s="136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s="131">
      <c r="A45" s="369" t="n"/>
      <c r="B45" s="369" t="n"/>
      <c r="C45" s="369" t="n"/>
      <c r="D45" s="369" t="n"/>
      <c r="E45" s="369" t="n"/>
      <c r="F45" s="369" t="n"/>
      <c r="G45" s="369" t="n"/>
      <c r="H45" s="369" t="n"/>
      <c r="I45" s="369" t="n"/>
      <c r="J45" s="369" t="n"/>
      <c r="K45" s="369" t="n"/>
      <c r="L45" s="136" t="n"/>
      <c r="M45" s="136" t="n"/>
      <c r="N45" s="136" t="n"/>
      <c r="O45" s="136" t="n"/>
      <c r="P45" s="136" t="n"/>
      <c r="Q45" s="136" t="n"/>
      <c r="R45" s="136" t="n"/>
      <c r="S45" s="136" t="n"/>
      <c r="T45" s="136" t="n"/>
      <c r="U45" s="136" t="n"/>
      <c r="V45" s="136" t="n"/>
      <c r="W45" s="136" t="n"/>
      <c r="X45" s="136" t="n"/>
      <c r="Y45" s="136" t="n"/>
      <c r="Z45" s="136" t="n"/>
      <c r="AA45" s="136" t="n"/>
      <c r="AB45" s="136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s="131">
      <c r="A46" s="369" t="n"/>
      <c r="B46" s="369" t="n"/>
      <c r="C46" s="369" t="n"/>
      <c r="D46" s="369" t="n"/>
      <c r="E46" s="369" t="n"/>
      <c r="F46" s="369" t="n"/>
      <c r="G46" s="369" t="n"/>
      <c r="H46" s="369" t="n"/>
      <c r="I46" s="369" t="n"/>
      <c r="J46" s="369" t="n"/>
      <c r="K46" s="369" t="n"/>
      <c r="L46" s="136" t="n"/>
      <c r="M46" s="136" t="n"/>
      <c r="N46" s="136" t="n"/>
      <c r="O46" s="136" t="n"/>
      <c r="P46" s="136" t="n"/>
      <c r="Q46" s="136" t="n"/>
      <c r="R46" s="136" t="n"/>
      <c r="S46" s="136" t="n"/>
      <c r="T46" s="136" t="n"/>
      <c r="U46" s="136" t="n"/>
      <c r="V46" s="136" t="n"/>
      <c r="W46" s="136" t="n"/>
      <c r="X46" s="136" t="n"/>
      <c r="Y46" s="136" t="n"/>
      <c r="Z46" s="136" t="n"/>
      <c r="AA46" s="136" t="n"/>
      <c r="AB46" s="136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s="131">
      <c r="A47" s="369" t="n"/>
      <c r="B47" s="369" t="n"/>
      <c r="C47" s="369" t="n"/>
      <c r="D47" s="369" t="n"/>
      <c r="E47" s="369" t="n"/>
      <c r="F47" s="369" t="n"/>
      <c r="G47" s="369" t="n"/>
      <c r="H47" s="369" t="n"/>
      <c r="I47" s="369" t="n"/>
      <c r="J47" s="369" t="n"/>
      <c r="K47" s="369" t="n"/>
      <c r="L47" s="136" t="n"/>
      <c r="M47" s="136" t="n"/>
      <c r="N47" s="136" t="n"/>
      <c r="O47" s="136" t="n"/>
      <c r="P47" s="136" t="n"/>
      <c r="Q47" s="136" t="n"/>
      <c r="R47" s="136" t="n"/>
      <c r="S47" s="136" t="n"/>
      <c r="T47" s="136" t="n"/>
      <c r="U47" s="136" t="n"/>
      <c r="V47" s="136" t="n"/>
      <c r="W47" s="136" t="n"/>
      <c r="X47" s="136" t="n"/>
      <c r="Y47" s="136" t="n"/>
      <c r="Z47" s="136" t="n"/>
      <c r="AA47" s="136" t="n"/>
      <c r="AB47" s="136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s="131">
      <c r="A48" s="369" t="n"/>
      <c r="B48" s="369" t="n"/>
      <c r="C48" s="369" t="n"/>
      <c r="D48" s="369" t="n"/>
      <c r="E48" s="369" t="n"/>
      <c r="F48" s="369" t="n"/>
      <c r="G48" s="369" t="n"/>
      <c r="H48" s="369" t="n"/>
      <c r="I48" s="369" t="n"/>
      <c r="J48" s="369" t="n"/>
      <c r="K48" s="369" t="n"/>
      <c r="L48" s="136" t="n"/>
      <c r="M48" s="136" t="n"/>
      <c r="N48" s="136" t="n"/>
      <c r="O48" s="136" t="n"/>
      <c r="P48" s="136" t="n"/>
      <c r="Q48" s="136" t="n"/>
      <c r="R48" s="136" t="n"/>
      <c r="S48" s="136" t="n"/>
      <c r="T48" s="136" t="n"/>
      <c r="U48" s="136" t="n"/>
      <c r="V48" s="136" t="n"/>
      <c r="W48" s="136" t="n"/>
      <c r="X48" s="136" t="n"/>
      <c r="Y48" s="136" t="n"/>
      <c r="Z48" s="136" t="n"/>
      <c r="AA48" s="136" t="n"/>
      <c r="AB48" s="136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s="131">
      <c r="A49" s="369" t="n"/>
      <c r="B49" s="369" t="n"/>
      <c r="C49" s="369" t="n"/>
      <c r="D49" s="369" t="n"/>
      <c r="E49" s="369" t="n"/>
      <c r="F49" s="369" t="n"/>
      <c r="G49" s="369" t="n"/>
      <c r="H49" s="369" t="n"/>
      <c r="I49" s="369" t="n"/>
      <c r="J49" s="369" t="n"/>
      <c r="K49" s="369" t="n"/>
      <c r="L49" s="136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6" t="n"/>
      <c r="Y49" s="136" t="n"/>
      <c r="Z49" s="136" t="n"/>
      <c r="AA49" s="136" t="n"/>
      <c r="AB49" s="136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s="131">
      <c r="A50" s="369" t="n"/>
      <c r="B50" s="369" t="n"/>
      <c r="C50" s="369" t="n"/>
      <c r="D50" s="369" t="n"/>
      <c r="E50" s="369" t="n"/>
      <c r="F50" s="369" t="n"/>
      <c r="G50" s="369" t="n"/>
      <c r="H50" s="369" t="n"/>
      <c r="I50" s="369" t="n"/>
      <c r="J50" s="369" t="n"/>
      <c r="K50" s="369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</sheetData>
  <mergeCells count="9">
    <mergeCell ref="B38:G38"/>
    <mergeCell ref="B4:AB4"/>
    <mergeCell ref="B22:G22"/>
    <mergeCell ref="B2:AB2"/>
    <mergeCell ref="B23:G23"/>
    <mergeCell ref="B20:I20"/>
    <mergeCell ref="B35:G35"/>
    <mergeCell ref="B3:AB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W50"/>
  <sheetViews>
    <sheetView workbookViewId="0">
      <pane ySplit="1" topLeftCell="A14" activePane="bottomLeft" state="frozen"/>
      <selection pane="bottomLeft" activeCell="B20" sqref="B20:F22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RUBY DIAMOND | GREEN = Affordable Comps | BLUE = Market Rate Comps</t>
        </is>
      </c>
      <c r="B3" s="363" t="n"/>
      <c r="AB3" s="363" t="n"/>
      <c r="AC3" s="136" t="n"/>
      <c r="AD3" s="136" t="n"/>
      <c r="AE3" s="136" t="n"/>
      <c r="AF3" s="136" t="n"/>
      <c r="AG3" s="136" t="n"/>
      <c r="AH3" s="136" t="n"/>
      <c r="AI3" s="136" t="n"/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Ruby Diamond | Marrero, Marrero, LA 70072 | 73 units | Program: LIHTC | Bedroom Mix: 3BR / 4BR | County AMI: $89,800 | FMR Area: New Orleans MSA</t>
        </is>
      </c>
      <c r="B4" s="363" t="n"/>
      <c r="AB4" s="363" t="n"/>
      <c r="AC4" s="136" t="n"/>
      <c r="AD4" s="136" t="n"/>
      <c r="AE4" s="136" t="n"/>
      <c r="AF4" s="136" t="n"/>
      <c r="AG4" s="136" t="n"/>
      <c r="AH4" s="136" t="n"/>
      <c r="AI4" s="136" t="n"/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B5" s="341" t="n"/>
      <c r="AC5" s="136" t="n"/>
      <c r="AD5" s="136" t="n"/>
      <c r="AE5" s="136" t="n"/>
      <c r="AF5" s="136" t="n"/>
      <c r="AG5" s="136" t="n"/>
      <c r="AH5" s="136" t="n"/>
      <c r="AI5" s="136" t="n"/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3BD 50% AMI ($)</t>
        </is>
      </c>
      <c r="J6" s="280" t="inlineStr">
        <is>
          <t>3BD 60% AMI ($)</t>
        </is>
      </c>
      <c r="K6" s="280" t="inlineStr">
        <is>
          <t>3BR FMR ($)</t>
        </is>
      </c>
      <c r="L6" s="335" t="inlineStr">
        <is>
          <t>3BR Actual ($)</t>
        </is>
      </c>
      <c r="M6" s="281" t="inlineStr">
        <is>
          <t>4BD 50% AMI ($)</t>
        </is>
      </c>
      <c r="N6" s="280" t="inlineStr">
        <is>
          <t>4BD 60% AMI ($)</t>
        </is>
      </c>
      <c r="O6" s="280" t="inlineStr">
        <is>
          <t>4BR FMR ($)</t>
        </is>
      </c>
      <c r="P6" s="335" t="inlineStr">
        <is>
          <t>4BR Actual ($)</t>
        </is>
      </c>
      <c r="Q6" s="281" t="inlineStr">
        <is>
          <t># Units</t>
        </is>
      </c>
      <c r="R6" s="280" t="inlineStr">
        <is>
          <t>Year Built</t>
        </is>
      </c>
      <c r="S6" s="280" t="inlineStr">
        <is>
          <t>Yr Diff</t>
        </is>
      </c>
      <c r="T6" s="339" t="inlineStr">
        <is>
          <t>Utilities Incl.</t>
        </is>
      </c>
      <c r="U6" s="339" t="inlineStr">
        <is>
          <t>Pet Friendly</t>
        </is>
      </c>
      <c r="V6" s="339" t="inlineStr">
        <is>
          <t>Gated</t>
        </is>
      </c>
      <c r="W6" s="339" t="inlineStr">
        <is>
          <t>Pool</t>
        </is>
      </c>
      <c r="X6" s="339" t="inlineStr">
        <is>
          <t>W/D In-Unit</t>
        </is>
      </c>
      <c r="Y6" s="339" t="inlineStr">
        <is>
          <t>Competition Level</t>
        </is>
      </c>
      <c r="Z6" s="336" t="inlineStr">
        <is>
          <t>Why Competitive</t>
        </is>
      </c>
      <c r="AA6" s="340" t="inlineStr">
        <is>
          <t>Data Source</t>
        </is>
      </c>
      <c r="AB6" s="342" t="n"/>
      <c r="AC6" s="136" t="n"/>
      <c r="AD6" s="136" t="n"/>
      <c r="AE6" s="136" t="n"/>
      <c r="AF6" s="136" t="n"/>
      <c r="AG6" s="136" t="n"/>
      <c r="AH6" s="136" t="n"/>
      <c r="AI6" s="136" t="n"/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Ruby Diamond (SUBJECT)</t>
        </is>
      </c>
      <c r="D7" s="174" t="inlineStr">
        <is>
          <t>Marrero</t>
        </is>
      </c>
      <c r="E7" s="174" t="inlineStr">
        <is>
          <t>Marrero</t>
        </is>
      </c>
      <c r="F7" s="174" t="inlineStr">
        <is>
          <t>LA</t>
        </is>
      </c>
      <c r="G7" s="174" t="inlineStr">
        <is>
          <t>70072</t>
        </is>
      </c>
      <c r="H7" s="174" t="inlineStr">
        <is>
          <t>0.0 mi</t>
        </is>
      </c>
      <c r="I7" s="174" t="inlineStr">
        <is>
          <t>$3,741</t>
        </is>
      </c>
      <c r="J7" s="174" t="inlineStr">
        <is>
          <t>$4,490</t>
        </is>
      </c>
      <c r="K7" s="174" t="inlineStr">
        <is>
          <t>$1,573</t>
        </is>
      </c>
      <c r="L7" s="368">
        <f>B26</f>
        <v/>
      </c>
      <c r="M7" s="174" t="inlineStr">
        <is>
          <t>$4,041</t>
        </is>
      </c>
      <c r="N7" s="174" t="inlineStr">
        <is>
          <t>$4,850</t>
        </is>
      </c>
      <c r="O7" s="174" t="inlineStr">
        <is>
          <t>$1,818</t>
        </is>
      </c>
      <c r="P7" s="368">
        <f>B27</f>
        <v/>
      </c>
      <c r="Q7" s="174" t="inlineStr">
        <is>
          <t>73</t>
        </is>
      </c>
      <c r="R7" s="174" t="inlineStr">
        <is>
          <t>2000</t>
        </is>
      </c>
      <c r="S7" s="174" t="inlineStr">
        <is>
          <t>0</t>
        </is>
      </c>
      <c r="T7" s="174" t="inlineStr">
        <is>
          <t>No</t>
        </is>
      </c>
      <c r="U7" s="174" t="inlineStr">
        <is>
          <t>No</t>
        </is>
      </c>
      <c r="V7" s="174" t="inlineStr">
        <is>
          <t>No</t>
        </is>
      </c>
      <c r="W7" s="174" t="inlineStr">
        <is>
          <t>No</t>
        </is>
      </c>
      <c r="X7" s="174" t="inlineStr">
        <is>
          <t>No</t>
        </is>
      </c>
      <c r="Y7" s="42" t="inlineStr">
        <is>
          <t>SUBJECT</t>
        </is>
      </c>
      <c r="Z7" s="55" t="inlineStr">
        <is>
          <t>73 units | LIHTC property. Year built: 2000. Subject property for market context.</t>
        </is>
      </c>
      <c r="AA7" s="40" t="inlineStr">
        <is>
          <t>Apartment Corp Records</t>
        </is>
      </c>
      <c r="AB7" s="136" t="n"/>
      <c r="AC7" s="136" t="n"/>
      <c r="AD7" s="136" t="n"/>
      <c r="AE7" s="136" t="n"/>
      <c r="AF7" s="136" t="n"/>
      <c r="AG7" s="136" t="n"/>
      <c r="AH7" s="136" t="n"/>
      <c r="AI7" s="136" t="n"/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First Emanuel Homes Of No</t>
        </is>
      </c>
      <c r="D8" s="59" t="inlineStr">
        <is>
          <t>912 Fourth Street</t>
        </is>
      </c>
      <c r="E8" s="59" t="inlineStr">
        <is>
          <t>New Orleans</t>
        </is>
      </c>
      <c r="F8" s="59" t="inlineStr">
        <is>
          <t>LA</t>
        </is>
      </c>
      <c r="G8" s="59" t="inlineStr">
        <is>
          <t>70130-0000</t>
        </is>
      </c>
      <c r="H8" s="59" t="inlineStr">
        <is>
          <t>2.4 mi</t>
        </is>
      </c>
      <c r="I8" s="59" t="inlineStr">
        <is>
          <t>$3,741</t>
        </is>
      </c>
      <c r="J8" s="59" t="inlineStr">
        <is>
          <t>$4,490</t>
        </is>
      </c>
      <c r="K8" s="41" t="inlineStr">
        <is>
          <t>$1,573</t>
        </is>
      </c>
      <c r="L8" s="53" t="inlineStr">
        <is>
          <t>Not Listed</t>
        </is>
      </c>
      <c r="M8" s="43" t="inlineStr">
        <is>
          <t>$4,041</t>
        </is>
      </c>
      <c r="N8" s="43" t="inlineStr">
        <is>
          <t>$4,850</t>
        </is>
      </c>
      <c r="O8" s="41" t="inlineStr">
        <is>
          <t>$1,818</t>
        </is>
      </c>
      <c r="P8" s="53" t="inlineStr">
        <is>
          <t>Not Listed</t>
        </is>
      </c>
      <c r="Q8" s="43" t="inlineStr">
        <is>
          <t>89</t>
        </is>
      </c>
      <c r="R8" s="43" t="inlineStr">
        <is>
          <t>1999</t>
        </is>
      </c>
      <c r="S8" s="43" t="inlineStr">
        <is>
          <t>1</t>
        </is>
      </c>
      <c r="T8" s="43" t="inlineStr">
        <is>
          <t>Yes</t>
        </is>
      </c>
      <c r="U8" s="43" t="inlineStr">
        <is>
          <t>No</t>
        </is>
      </c>
      <c r="V8" s="43" t="inlineStr">
        <is>
          <t>No</t>
        </is>
      </c>
      <c r="W8" s="43" t="inlineStr">
        <is>
          <t>No</t>
        </is>
      </c>
      <c r="X8" s="43" t="inlineStr">
        <is>
          <t>No</t>
        </is>
      </c>
      <c r="Y8" s="44" t="inlineStr">
        <is>
          <t>HIGH</t>
        </is>
      </c>
      <c r="Z8" s="56" t="inlineStr">
        <is>
          <t>Affordable Comp #1: LIHTC property, 1999 vintage (1 yr diff), 89 units, 2.4 mi from subject. Same income-eligible renter pool.</t>
        </is>
      </c>
      <c r="AA8" s="43" t="inlineStr">
        <is>
          <t>HUD LIHTC Database (huduser.gov)</t>
        </is>
      </c>
      <c r="AB8" s="136" t="n"/>
      <c r="AC8" s="136" t="n"/>
      <c r="AD8" s="136" t="n"/>
      <c r="AE8" s="136" t="n"/>
      <c r="AF8" s="136" t="n"/>
      <c r="AG8" s="136" t="n"/>
      <c r="AH8" s="136" t="n"/>
      <c r="AI8" s="136" t="n"/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Canal Street Sro</t>
        </is>
      </c>
      <c r="D9" s="125" t="inlineStr">
        <is>
          <t>1801 Canal Street</t>
        </is>
      </c>
      <c r="E9" s="125" t="inlineStr">
        <is>
          <t>New Orleans</t>
        </is>
      </c>
      <c r="F9" s="125" t="inlineStr">
        <is>
          <t>LA</t>
        </is>
      </c>
      <c r="G9" s="125" t="inlineStr">
        <is>
          <t>70119-0000</t>
        </is>
      </c>
      <c r="H9" s="125" t="inlineStr">
        <is>
          <t>4.6 mi</t>
        </is>
      </c>
      <c r="I9" s="125" t="inlineStr">
        <is>
          <t>$3,741</t>
        </is>
      </c>
      <c r="J9" s="125" t="inlineStr">
        <is>
          <t>$4,490</t>
        </is>
      </c>
      <c r="K9" s="85" t="inlineStr">
        <is>
          <t>$1,573</t>
        </is>
      </c>
      <c r="L9" s="86" t="inlineStr">
        <is>
          <t>Not Listed</t>
        </is>
      </c>
      <c r="M9" s="128" t="inlineStr">
        <is>
          <t>$4,041</t>
        </is>
      </c>
      <c r="N9" s="128" t="inlineStr">
        <is>
          <t>$4,850</t>
        </is>
      </c>
      <c r="O9" s="85" t="inlineStr">
        <is>
          <t>$1,818</t>
        </is>
      </c>
      <c r="P9" s="86" t="inlineStr">
        <is>
          <t>Not Listed</t>
        </is>
      </c>
      <c r="Q9" s="128" t="inlineStr">
        <is>
          <t>70</t>
        </is>
      </c>
      <c r="R9" s="128" t="inlineStr">
        <is>
          <t>2002</t>
        </is>
      </c>
      <c r="S9" s="128" t="inlineStr">
        <is>
          <t>2</t>
        </is>
      </c>
      <c r="T9" s="128" t="inlineStr">
        <is>
          <t>Yes</t>
        </is>
      </c>
      <c r="U9" s="128" t="inlineStr">
        <is>
          <t>No</t>
        </is>
      </c>
      <c r="V9" s="128" t="inlineStr">
        <is>
          <t>No</t>
        </is>
      </c>
      <c r="W9" s="128" t="inlineStr">
        <is>
          <t>No</t>
        </is>
      </c>
      <c r="X9" s="128" t="inlineStr">
        <is>
          <t>No</t>
        </is>
      </c>
      <c r="Y9" s="129" t="inlineStr">
        <is>
          <t>HIGH</t>
        </is>
      </c>
      <c r="Z9" s="130" t="inlineStr">
        <is>
          <t>Affordable Comp #2: LIHTC property, 2002 vintage (2 yr diff), 70 units, 4.6 mi from subject. Same income-eligible renter pool.</t>
        </is>
      </c>
      <c r="AA9" s="128" t="inlineStr">
        <is>
          <t>HUD LIHTC Database (huduser.gov)</t>
        </is>
      </c>
      <c r="AB9" s="136" t="n"/>
      <c r="AC9" s="136" t="n"/>
      <c r="AD9" s="136" t="n"/>
      <c r="AE9" s="136" t="n"/>
      <c r="AF9" s="136" t="n"/>
      <c r="AG9" s="136" t="n"/>
      <c r="AH9" s="136" t="n"/>
      <c r="AI9" s="136" t="n"/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Cherry Blossom Apts</t>
        </is>
      </c>
      <c r="D10" s="107" t="inlineStr">
        <is>
          <t>205 Mlk Dr.</t>
        </is>
      </c>
      <c r="E10" s="107" t="inlineStr">
        <is>
          <t>Port Barre</t>
        </is>
      </c>
      <c r="F10" s="107" t="inlineStr">
        <is>
          <t>LA</t>
        </is>
      </c>
      <c r="G10" s="107" t="inlineStr">
        <is>
          <t>70577-0000</t>
        </is>
      </c>
      <c r="H10" s="107" t="inlineStr">
        <is>
          <t>N/A</t>
        </is>
      </c>
      <c r="I10" s="107" t="inlineStr">
        <is>
          <t>$3,741</t>
        </is>
      </c>
      <c r="J10" s="107" t="inlineStr">
        <is>
          <t>$4,490</t>
        </is>
      </c>
      <c r="K10" s="80" t="inlineStr">
        <is>
          <t>$1,573</t>
        </is>
      </c>
      <c r="L10" s="81" t="inlineStr">
        <is>
          <t>$1,660</t>
        </is>
      </c>
      <c r="M10" s="108" t="inlineStr">
        <is>
          <t>$4,041</t>
        </is>
      </c>
      <c r="N10" s="108" t="inlineStr">
        <is>
          <t>$4,850</t>
        </is>
      </c>
      <c r="O10" s="80" t="inlineStr">
        <is>
          <t>$1,818</t>
        </is>
      </c>
      <c r="P10" s="81" t="inlineStr">
        <is>
          <t>$1,709</t>
        </is>
      </c>
      <c r="Q10" s="108" t="inlineStr">
        <is>
          <t>73</t>
        </is>
      </c>
      <c r="R10" s="108" t="inlineStr">
        <is>
          <t>2000</t>
        </is>
      </c>
      <c r="S10" s="108" t="inlineStr">
        <is>
          <t>0</t>
        </is>
      </c>
      <c r="T10" s="108" t="inlineStr">
        <is>
          <t>Yes</t>
        </is>
      </c>
      <c r="U10" s="108" t="inlineStr">
        <is>
          <t>No</t>
        </is>
      </c>
      <c r="V10" s="108" t="inlineStr">
        <is>
          <t>No</t>
        </is>
      </c>
      <c r="W10" s="108" t="inlineStr">
        <is>
          <t>No</t>
        </is>
      </c>
      <c r="X10" s="108" t="inlineStr">
        <is>
          <t>No</t>
        </is>
      </c>
      <c r="Y10" s="109" t="inlineStr">
        <is>
          <t>MODERATE</t>
        </is>
      </c>
      <c r="Z10" s="110" t="inlineStr">
        <is>
          <t>Affordable Comp #3: LIHTC property, 2000 vintage (0 yr diff), 73 units, N/A from subject. Same income-eligible renter pool.</t>
        </is>
      </c>
      <c r="AA10" s="111" t="inlineStr">
        <is>
          <t>HUD LIHTC Database (huduser.gov)</t>
        </is>
      </c>
      <c r="AB10" s="134" t="n"/>
      <c r="AC10" s="136" t="n"/>
      <c r="AD10" s="136" t="n"/>
      <c r="AE10" s="136" t="n"/>
      <c r="AF10" s="136" t="n"/>
      <c r="AG10" s="136" t="n"/>
      <c r="AH10" s="136" t="n"/>
      <c r="AI10" s="136" t="n"/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Putnam Plaza Apts</t>
        </is>
      </c>
      <c r="D11" s="95" t="inlineStr">
        <is>
          <t>Scattered</t>
        </is>
      </c>
      <c r="E11" s="95" t="inlineStr">
        <is>
          <t>New Orleans</t>
        </is>
      </c>
      <c r="F11" s="95" t="inlineStr">
        <is>
          <t>LA</t>
        </is>
      </c>
      <c r="G11" s="95" t="inlineStr">
        <is>
          <t>70113-0000</t>
        </is>
      </c>
      <c r="H11" s="95" t="inlineStr">
        <is>
          <t>2.7 mi</t>
        </is>
      </c>
      <c r="I11" s="95" t="inlineStr">
        <is>
          <t>$3,741</t>
        </is>
      </c>
      <c r="J11" s="95" t="inlineStr">
        <is>
          <t>$4,490</t>
        </is>
      </c>
      <c r="K11" s="39" t="inlineStr">
        <is>
          <t>$1,573</t>
        </is>
      </c>
      <c r="L11" s="53" t="inlineStr">
        <is>
          <t>Not Listed</t>
        </is>
      </c>
      <c r="M11" s="96" t="inlineStr">
        <is>
          <t>$4,041</t>
        </is>
      </c>
      <c r="N11" s="96" t="inlineStr">
        <is>
          <t>$4,850</t>
        </is>
      </c>
      <c r="O11" s="39" t="inlineStr">
        <is>
          <t>$1,818</t>
        </is>
      </c>
      <c r="P11" s="53" t="inlineStr">
        <is>
          <t>Not Listed</t>
        </is>
      </c>
      <c r="Q11" s="96" t="inlineStr">
        <is>
          <t>38</t>
        </is>
      </c>
      <c r="R11" s="96" t="inlineStr">
        <is>
          <t>1999</t>
        </is>
      </c>
      <c r="S11" s="96" t="inlineStr">
        <is>
          <t>1</t>
        </is>
      </c>
      <c r="T11" s="96" t="inlineStr">
        <is>
          <t>Yes</t>
        </is>
      </c>
      <c r="U11" s="96" t="inlineStr">
        <is>
          <t>No</t>
        </is>
      </c>
      <c r="V11" s="96" t="inlineStr">
        <is>
          <t>No</t>
        </is>
      </c>
      <c r="W11" s="96" t="inlineStr">
        <is>
          <t>No</t>
        </is>
      </c>
      <c r="X11" s="96" t="inlineStr">
        <is>
          <t>No</t>
        </is>
      </c>
      <c r="Y11" s="45" t="inlineStr">
        <is>
          <t>HIGH</t>
        </is>
      </c>
      <c r="Z11" s="97" t="inlineStr">
        <is>
          <t>Affordable Comp #4: LIHTC property, 1999 vintage (1 yr diff), 38 units, 2.7 mi from subject. Same income-eligible renter pool.</t>
        </is>
      </c>
      <c r="AA11" s="113" t="inlineStr">
        <is>
          <t>HUD LIHTC Database (huduser.gov)</t>
        </is>
      </c>
      <c r="AB11" s="134" t="n"/>
      <c r="AC11" s="136" t="n"/>
      <c r="AD11" s="136" t="n"/>
      <c r="AE11" s="136" t="n"/>
      <c r="AF11" s="136" t="n"/>
      <c r="AG11" s="136" t="n"/>
      <c r="AH11" s="136" t="n"/>
      <c r="AI11" s="136" t="n"/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37.5" customHeight="1" s="131">
      <c r="A12" s="114" t="n">
        <v>1</v>
      </c>
      <c r="B12" s="70" t="inlineStr">
        <is>
          <t>MARKET RATE</t>
        </is>
      </c>
      <c r="C12" s="67" t="inlineStr">
        <is>
          <t>The Waters at Promenade</t>
        </is>
      </c>
      <c r="D12" s="98" t="inlineStr">
        <is>
          <t>1600 Promenade Blvd</t>
        </is>
      </c>
      <c r="E12" s="98" t="inlineStr">
        <is>
          <t>Marrero</t>
        </is>
      </c>
      <c r="F12" s="98" t="inlineStr">
        <is>
          <t>LA</t>
        </is>
      </c>
      <c r="G12" s="98" t="inlineStr">
        <is>
          <t>70072</t>
        </is>
      </c>
      <c r="H12" s="98" t="inlineStr">
        <is>
          <t>0.8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N/A (Market Rate)</t>
        </is>
      </c>
      <c r="L12" s="157" t="n">
        <v>1995</v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$1,818</t>
        </is>
      </c>
      <c r="P12" s="53" t="inlineStr">
        <is>
          <t>Not Listed</t>
        </is>
      </c>
      <c r="Q12" s="99" t="inlineStr">
        <is>
          <t>120</t>
        </is>
      </c>
      <c r="R12" s="99" t="inlineStr">
        <is>
          <t>2001</t>
        </is>
      </c>
      <c r="S12" s="99" t="inlineStr">
        <is>
          <t>1</t>
        </is>
      </c>
      <c r="T12" s="99" t="inlineStr">
        <is>
          <t>Varies</t>
        </is>
      </c>
      <c r="U12" s="99" t="inlineStr">
        <is>
          <t>Varies</t>
        </is>
      </c>
      <c r="V12" s="99" t="inlineStr">
        <is>
          <t>Varies</t>
        </is>
      </c>
      <c r="W12" s="99" t="inlineStr">
        <is>
          <t>Varies</t>
        </is>
      </c>
      <c r="X12" s="99" t="inlineStr">
        <is>
          <t>Varies</t>
        </is>
      </c>
      <c r="Y12" s="46" t="inlineStr">
        <is>
          <t>HIGH</t>
        </is>
      </c>
      <c r="Z12" s="100" t="inlineStr">
        <is>
          <t>Market Rate Comp #1: No income restrictions, 2001 vintage (1 yr diff), 120 units, 1.8 mi from subject. Shows market-rate rents vs. affordable housing discount.</t>
        </is>
      </c>
      <c r="AA12" s="115" t="inlineStr">
        <is>
          <t>https://www.rentcafe.com/apartments-for-rent/us/la/marrero/</t>
        </is>
      </c>
      <c r="AB12" s="134" t="n"/>
      <c r="AC12" s="136" t="n"/>
      <c r="AD12" s="136" t="n"/>
      <c r="AE12" s="136" t="n"/>
      <c r="AF12" s="136" t="n"/>
      <c r="AG12" s="136" t="n"/>
      <c r="AH12" s="136" t="n"/>
      <c r="AI12" s="136" t="n"/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n">
        <v>2</v>
      </c>
      <c r="B13" s="71" t="inlineStr">
        <is>
          <t>MARKET RATE</t>
        </is>
      </c>
      <c r="C13" s="68" t="inlineStr">
        <is>
          <t>2808 Pritchard Rd</t>
        </is>
      </c>
      <c r="D13" s="101" t="inlineStr">
        <is>
          <t>2808 Pritchard Rd</t>
        </is>
      </c>
      <c r="E13" s="101" t="inlineStr">
        <is>
          <t>Marrero</t>
        </is>
      </c>
      <c r="F13" s="101" t="inlineStr">
        <is>
          <t>LA</t>
        </is>
      </c>
      <c r="G13" s="101" t="inlineStr">
        <is>
          <t>70072</t>
        </is>
      </c>
      <c r="H13" s="101" t="inlineStr">
        <is>
          <t>1.2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N/A (Market Rate)</t>
        </is>
      </c>
      <c r="L13" s="157" t="n">
        <v>2150</v>
      </c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$1,818</t>
        </is>
      </c>
      <c r="P13" s="53" t="inlineStr">
        <is>
          <t>Not Listed</t>
        </is>
      </c>
      <c r="Q13" s="102" t="inlineStr">
        <is>
          <t>96</t>
        </is>
      </c>
      <c r="R13" s="102" t="inlineStr">
        <is>
          <t>1999</t>
        </is>
      </c>
      <c r="S13" s="102" t="inlineStr">
        <is>
          <t>1</t>
        </is>
      </c>
      <c r="T13" s="102" t="inlineStr">
        <is>
          <t>Varies</t>
        </is>
      </c>
      <c r="U13" s="102" t="inlineStr">
        <is>
          <t>Varies</t>
        </is>
      </c>
      <c r="V13" s="102" t="inlineStr">
        <is>
          <t>Varies</t>
        </is>
      </c>
      <c r="W13" s="102" t="inlineStr">
        <is>
          <t>Varies</t>
        </is>
      </c>
      <c r="X13" s="102" t="inlineStr">
        <is>
          <t>Varies</t>
        </is>
      </c>
      <c r="Y13" s="47" t="inlineStr">
        <is>
          <t>HIGH</t>
        </is>
      </c>
      <c r="Z13" s="103" t="inlineStr">
        <is>
          <t>Market Rate Comp #2: No income restrictions, 1999 vintage (1 yr diff), 96 units, 3.5 mi from subject. Shows market-rate rents vs. affordable housing discount.</t>
        </is>
      </c>
      <c r="AA13" s="117" t="inlineStr">
        <is>
          <t>https://www.rentcafe.com/apartments-for-rent/us/la/harvey/</t>
        </is>
      </c>
      <c r="AB13" s="134" t="n"/>
      <c r="AC13" s="136" t="n"/>
      <c r="AD13" s="136" t="n"/>
      <c r="AE13" s="136" t="n"/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n">
        <v>3</v>
      </c>
      <c r="B14" s="69" t="inlineStr">
        <is>
          <t>MARKET RATE</t>
        </is>
      </c>
      <c r="C14" s="66" t="inlineStr">
        <is>
          <t>5007 Towering Oaks Ave</t>
        </is>
      </c>
      <c r="D14" s="95" t="inlineStr">
        <is>
          <t>5007 Towering Oaks Ave</t>
        </is>
      </c>
      <c r="E14" s="95" t="inlineStr">
        <is>
          <t>Marrero</t>
        </is>
      </c>
      <c r="F14" s="95" t="inlineStr">
        <is>
          <t>LA</t>
        </is>
      </c>
      <c r="G14" s="95" t="inlineStr">
        <is>
          <t>70072</t>
        </is>
      </c>
      <c r="H14" s="95" t="inlineStr">
        <is>
          <t>1.5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N/A (Market Rate)</t>
        </is>
      </c>
      <c r="L14" s="157" t="n">
        <v>1700</v>
      </c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$1,818</t>
        </is>
      </c>
      <c r="P14" s="53" t="inlineStr">
        <is>
          <t>Not Listed</t>
        </is>
      </c>
      <c r="Q14" s="96" t="inlineStr">
        <is>
          <t>80</t>
        </is>
      </c>
      <c r="R14" s="96" t="inlineStr">
        <is>
          <t>2002</t>
        </is>
      </c>
      <c r="S14" s="96" t="inlineStr">
        <is>
          <t>2</t>
        </is>
      </c>
      <c r="T14" s="96" t="inlineStr">
        <is>
          <t>Varies</t>
        </is>
      </c>
      <c r="U14" s="96" t="inlineStr">
        <is>
          <t>Varies</t>
        </is>
      </c>
      <c r="V14" s="96" t="inlineStr">
        <is>
          <t>Varies</t>
        </is>
      </c>
      <c r="W14" s="96" t="inlineStr">
        <is>
          <t>Varies</t>
        </is>
      </c>
      <c r="X14" s="96" t="inlineStr">
        <is>
          <t>Varies</t>
        </is>
      </c>
      <c r="Y14" s="45" t="inlineStr">
        <is>
          <t>HIGH</t>
        </is>
      </c>
      <c r="Z14" s="97" t="inlineStr">
        <is>
          <t>Market Rate Comp #3: No income restrictions, 2002 vintage (2 yr diff), 80 units, 5.2 mi from subject. Shows market-rate rents vs. affordable housing discount.</t>
        </is>
      </c>
      <c r="AA14" s="113" t="inlineStr">
        <is>
          <t>https://www.rentcafe.com/apartments-for-rent/us/la/gretna/</t>
        </is>
      </c>
      <c r="AB14" s="134" t="n"/>
      <c r="AC14" s="136" t="n"/>
      <c r="AD14" s="136" t="n"/>
      <c r="AE14" s="136" t="n"/>
      <c r="AF14" s="136" t="n"/>
      <c r="AG14" s="136" t="n"/>
      <c r="AH14" s="136" t="n"/>
      <c r="AI14" s="136" t="n"/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n">
        <v>4</v>
      </c>
      <c r="B15" s="69" t="inlineStr">
        <is>
          <t>MARKET RATE</t>
        </is>
      </c>
      <c r="C15" s="66" t="inlineStr">
        <is>
          <t>1501 Somerset Pl</t>
        </is>
      </c>
      <c r="D15" s="95" t="inlineStr">
        <is>
          <t>1501 Somerset Pl</t>
        </is>
      </c>
      <c r="E15" s="95" t="inlineStr">
        <is>
          <t>Marrero</t>
        </is>
      </c>
      <c r="F15" s="95" t="inlineStr">
        <is>
          <t>LA</t>
        </is>
      </c>
      <c r="G15" s="95" t="inlineStr">
        <is>
          <t>70072</t>
        </is>
      </c>
      <c r="H15" s="95" t="inlineStr">
        <is>
          <t>0.9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N/A (Market Rate)</t>
        </is>
      </c>
      <c r="L15" s="157" t="n">
        <v>1850</v>
      </c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$1,818</t>
        </is>
      </c>
      <c r="P15" s="53" t="inlineStr">
        <is>
          <t>Not Listed</t>
        </is>
      </c>
      <c r="Q15" s="96" t="inlineStr">
        <is>
          <t>64</t>
        </is>
      </c>
      <c r="R15" s="96" t="inlineStr">
        <is>
          <t>2000</t>
        </is>
      </c>
      <c r="S15" s="96" t="inlineStr">
        <is>
          <t>0</t>
        </is>
      </c>
      <c r="T15" s="96" t="inlineStr">
        <is>
          <t>Varies</t>
        </is>
      </c>
      <c r="U15" s="96" t="inlineStr">
        <is>
          <t>Varies</t>
        </is>
      </c>
      <c r="V15" s="96" t="inlineStr">
        <is>
          <t>Varies</t>
        </is>
      </c>
      <c r="W15" s="96" t="inlineStr">
        <is>
          <t>Varies</t>
        </is>
      </c>
      <c r="X15" s="96" t="inlineStr">
        <is>
          <t>Varies</t>
        </is>
      </c>
      <c r="Y15" s="45" t="inlineStr">
        <is>
          <t>HIGH</t>
        </is>
      </c>
      <c r="Z15" s="97" t="inlineStr">
        <is>
          <t>Market Rate Comp #4: No income restrictions, 2000 vintage (0 yr diff), 64 units, 4.2 mi from subject. Shows market-rate rents vs. affordable housing discount.</t>
        </is>
      </c>
      <c r="AA15" s="113" t="inlineStr">
        <is>
          <t>https://www.rentcafe.com/apartments-for-rent/us/la/gretna/</t>
        </is>
      </c>
      <c r="AB15" s="134" t="n"/>
      <c r="AC15" s="136" t="n"/>
      <c r="AD15" s="136" t="n"/>
      <c r="AE15" s="136" t="n"/>
      <c r="AF15" s="136" t="n"/>
      <c r="AG15" s="136" t="n"/>
      <c r="AH15" s="136" t="n"/>
      <c r="AI15" s="136" t="n"/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n">
        <v>5</v>
      </c>
      <c r="B16" s="82" t="inlineStr">
        <is>
          <t>MARKET RATE</t>
        </is>
      </c>
      <c r="C16" s="119" t="inlineStr">
        <is>
          <t>2429 Ramsey Dr</t>
        </is>
      </c>
      <c r="D16" s="120" t="inlineStr">
        <is>
          <t>2429 Ramsey Dr</t>
        </is>
      </c>
      <c r="E16" s="120" t="inlineStr">
        <is>
          <t>Marrero</t>
        </is>
      </c>
      <c r="F16" s="120" t="inlineStr">
        <is>
          <t>LA</t>
        </is>
      </c>
      <c r="G16" s="120" t="inlineStr">
        <is>
          <t>70072</t>
        </is>
      </c>
      <c r="H16" s="120" t="inlineStr">
        <is>
          <t>1.1 mi</t>
        </is>
      </c>
      <c r="I16" s="120" t="inlineStr">
        <is>
          <t>N/A (Market Rate)</t>
        </is>
      </c>
      <c r="J16" s="120" t="inlineStr">
        <is>
          <t>N/A (Market Rate)</t>
        </is>
      </c>
      <c r="K16" s="121" t="inlineStr">
        <is>
          <t>N/A (Market Rate)</t>
        </is>
      </c>
      <c r="L16" s="159" t="n">
        <v>1600</v>
      </c>
      <c r="M16" s="122" t="inlineStr">
        <is>
          <t>$1,818</t>
        </is>
      </c>
      <c r="N16" s="122" t="inlineStr">
        <is>
          <t>$1,818</t>
        </is>
      </c>
      <c r="O16" s="121" t="inlineStr">
        <is>
          <t>$1,818</t>
        </is>
      </c>
      <c r="P16" s="83" t="inlineStr">
        <is>
          <t>N/A</t>
        </is>
      </c>
      <c r="Q16" s="122" t="inlineStr">
        <is>
          <t>N/A</t>
        </is>
      </c>
      <c r="R16" s="122" t="inlineStr">
        <is>
          <t>N/A</t>
        </is>
      </c>
      <c r="S16" s="122" t="inlineStr">
        <is>
          <t>N/A</t>
        </is>
      </c>
      <c r="T16" s="122" t="inlineStr">
        <is>
          <t>N/A</t>
        </is>
      </c>
      <c r="U16" s="122" t="inlineStr">
        <is>
          <t>N/A</t>
        </is>
      </c>
      <c r="V16" s="122" t="inlineStr">
        <is>
          <t>N/A</t>
        </is>
      </c>
      <c r="W16" s="122" t="inlineStr">
        <is>
          <t>N/A</t>
        </is>
      </c>
      <c r="X16" s="122" t="inlineStr">
        <is>
          <t>N/A</t>
        </is>
      </c>
      <c r="Y16" s="84" t="inlineStr">
        <is>
          <t>BENCHMARK</t>
        </is>
      </c>
      <c r="Z16" s="123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124" t="inlineStr">
        <is>
          <t>HUD FMR Database (huduser.gov)</t>
        </is>
      </c>
      <c r="AB16" s="134" t="n"/>
      <c r="AC16" s="136" t="n"/>
      <c r="AD16" s="136" t="n"/>
      <c r="AE16" s="136" t="n"/>
      <c r="AF16" s="136" t="n"/>
      <c r="AG16" s="136" t="n"/>
      <c r="AH16" s="136" t="n"/>
      <c r="AI16" s="136" t="n"/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n">
        <v>6</v>
      </c>
      <c r="B17" s="88" t="inlineStr">
        <is>
          <t>MARKET RATE</t>
        </is>
      </c>
      <c r="C17" s="89" t="inlineStr">
        <is>
          <t>1513 R. Esplanade</t>
        </is>
      </c>
      <c r="D17" s="87" t="inlineStr">
        <is>
          <t>1513 R. Esplanade</t>
        </is>
      </c>
      <c r="E17" s="87" t="inlineStr">
        <is>
          <t>Marrero</t>
        </is>
      </c>
      <c r="F17" s="87" t="inlineStr">
        <is>
          <t>LA</t>
        </is>
      </c>
      <c r="G17" s="87" t="inlineStr">
        <is>
          <t>70072</t>
        </is>
      </c>
      <c r="H17" s="87" t="inlineStr">
        <is>
          <t>0.7 mi</t>
        </is>
      </c>
      <c r="I17" s="87" t="inlineStr">
        <is>
          <t>$1,730</t>
        </is>
      </c>
      <c r="J17" s="87" t="inlineStr">
        <is>
          <t>$1,730</t>
        </is>
      </c>
      <c r="K17" s="90" t="inlineStr">
        <is>
          <t>$1,730</t>
        </is>
      </c>
      <c r="L17" s="91" t="inlineStr">
        <is>
          <t>N/A</t>
        </is>
      </c>
      <c r="M17" s="92" t="inlineStr">
        <is>
          <t>N/A (Market Rate)</t>
        </is>
      </c>
      <c r="N17" s="92" t="inlineStr">
        <is>
          <t>N/A (Market Rate)</t>
        </is>
      </c>
      <c r="O17" s="90" t="inlineStr">
        <is>
          <t>N/A (Market Rate)</t>
        </is>
      </c>
      <c r="P17" s="161" t="n">
        <v>2800</v>
      </c>
      <c r="Q17" s="92" t="inlineStr">
        <is>
          <t>N/A</t>
        </is>
      </c>
      <c r="R17" s="92" t="inlineStr">
        <is>
          <t>N/A</t>
        </is>
      </c>
      <c r="S17" s="92" t="inlineStr">
        <is>
          <t>N/A</t>
        </is>
      </c>
      <c r="T17" s="92" t="inlineStr">
        <is>
          <t>N/A</t>
        </is>
      </c>
      <c r="U17" s="92" t="inlineStr">
        <is>
          <t>N/A</t>
        </is>
      </c>
      <c r="V17" s="92" t="inlineStr">
        <is>
          <t>N/A</t>
        </is>
      </c>
      <c r="W17" s="92" t="inlineStr">
        <is>
          <t>N/A</t>
        </is>
      </c>
      <c r="X17" s="92" t="inlineStr">
        <is>
          <t>N/A</t>
        </is>
      </c>
      <c r="Y17" s="93" t="inlineStr">
        <is>
          <t>BENCHMARK</t>
        </is>
      </c>
      <c r="Z17" s="94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92" t="inlineStr">
        <is>
          <t>HUD FMR + Market Estimate</t>
        </is>
      </c>
      <c r="AB17" s="136" t="n"/>
      <c r="AC17" s="136" t="n"/>
      <c r="AD17" s="136" t="n"/>
      <c r="AE17" s="136" t="n"/>
      <c r="AF17" s="136" t="n"/>
      <c r="AG17" s="136" t="n"/>
      <c r="AH17" s="136" t="n"/>
      <c r="AI17" s="136" t="n"/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C19" s="136" t="n"/>
      <c r="AD19" s="136" t="n"/>
      <c r="AE19" s="136" t="n"/>
      <c r="AF19" s="136" t="n"/>
      <c r="AG19" s="136" t="n"/>
      <c r="AH19" s="136" t="n"/>
      <c r="AI19" s="136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Height="1" s="131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Format="1" customHeight="1" s="2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Height="1" s="131">
      <c r="A25" s="372" t="n"/>
      <c r="B25" s="201" t="inlineStr">
        <is>
          <t>3BD</t>
        </is>
      </c>
      <c r="C25" s="194" t="n"/>
      <c r="D25" s="200" t="n">
        <v>1859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Height="1" s="131">
      <c r="A26" s="372" t="n"/>
      <c r="B26" s="201" t="inlineStr">
        <is>
          <t>4BD</t>
        </is>
      </c>
      <c r="C26" s="194" t="n"/>
      <c r="D26" s="200" t="n">
        <v>2800</v>
      </c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8.1" customFormat="1" customHeight="1" s="2">
      <c r="A27" s="369" t="n"/>
      <c r="B27" s="369" t="n"/>
      <c r="C27" s="399" t="n"/>
      <c r="D27" s="369" t="n"/>
      <c r="E27" s="369" t="n"/>
      <c r="F27" s="369" t="n"/>
      <c r="G27" s="369" t="n"/>
      <c r="H27" s="369" t="n"/>
      <c r="I27" s="369" t="n"/>
      <c r="J27" s="369" t="n"/>
      <c r="K27" s="369" t="n"/>
      <c r="L27" s="134" t="n"/>
      <c r="M27" s="134" t="n"/>
      <c r="N27" s="134" t="n"/>
      <c r="O27" s="134" t="n"/>
      <c r="P27" s="134" t="n"/>
      <c r="Q27" s="134" t="n"/>
      <c r="R27" s="134" t="n"/>
      <c r="S27" s="134" t="n"/>
      <c r="T27" s="134" t="n"/>
      <c r="U27" s="134" t="n"/>
      <c r="V27" s="134" t="n"/>
      <c r="W27" s="134" t="n"/>
      <c r="X27" s="134" t="n"/>
      <c r="Y27" s="134" t="n"/>
      <c r="Z27" s="135" t="n"/>
      <c r="AA27" s="134" t="n"/>
      <c r="AB27" s="134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24.75" customFormat="1" customHeight="1" s="2">
      <c r="A28" s="302" t="n"/>
      <c r="B28" s="211" t="inlineStr">
        <is>
          <t>PMTS — Vouchers / FMR / UAP / NET</t>
        </is>
      </c>
      <c r="G28" s="365" t="n"/>
      <c r="H28" s="183" t="n"/>
      <c r="I28" s="183" t="n"/>
      <c r="J28" s="183" t="n"/>
      <c r="K28" s="302" t="n"/>
      <c r="L28" s="302" t="n"/>
      <c r="M28" s="302" t="n"/>
      <c r="N28" s="302" t="n"/>
      <c r="O28" s="302" t="n"/>
      <c r="P28" s="302" t="n"/>
      <c r="Q28" s="302" t="n"/>
      <c r="R28" s="302" t="n"/>
      <c r="S28" s="302" t="n"/>
      <c r="T28" s="302" t="n"/>
      <c r="U28" s="302" t="n"/>
      <c r="V28" s="302" t="n"/>
      <c r="W28" s="302" t="n"/>
      <c r="X28" s="302" t="n"/>
      <c r="Y28" s="302" t="n"/>
      <c r="Z28" s="302" t="n"/>
      <c r="AA28" s="353" t="n"/>
      <c r="AB28" s="302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15.95" customFormat="1" customHeight="1" s="2">
      <c r="A29" s="302" t="n"/>
      <c r="B29" s="226" t="n"/>
      <c r="C29" s="213" t="inlineStr">
        <is>
          <t>MKT</t>
        </is>
      </c>
      <c r="D29" s="213" t="inlineStr">
        <is>
          <t>VCH</t>
        </is>
      </c>
      <c r="E29" s="214" t="inlineStr">
        <is>
          <t>FMR</t>
        </is>
      </c>
      <c r="F29" s="215" t="inlineStr">
        <is>
          <t>UAP</t>
        </is>
      </c>
      <c r="G29" s="216" t="inlineStr">
        <is>
          <t>NET</t>
        </is>
      </c>
      <c r="H29" s="183" t="n"/>
      <c r="I29" s="183" t="n"/>
      <c r="J29" s="183" t="n"/>
      <c r="K29" s="302" t="n"/>
      <c r="L29" s="302" t="n"/>
      <c r="M29" s="302" t="n"/>
      <c r="N29" s="302" t="n"/>
      <c r="O29" s="302" t="n"/>
      <c r="P29" s="302" t="n"/>
      <c r="Q29" s="302" t="n"/>
      <c r="R29" s="302" t="n"/>
      <c r="S29" s="302" t="n"/>
      <c r="T29" s="302" t="n"/>
      <c r="U29" s="302" t="n"/>
      <c r="V29" s="302" t="n"/>
      <c r="W29" s="302" t="n"/>
      <c r="X29" s="302" t="n"/>
      <c r="Y29" s="302" t="n"/>
      <c r="Z29" s="302" t="n"/>
      <c r="AA29" s="353" t="n"/>
      <c r="AB29" s="302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24.75" customFormat="1" customHeight="1" s="2">
      <c r="A30" s="372" t="n"/>
      <c r="B30" s="217" t="inlineStr">
        <is>
          <t>3BD</t>
        </is>
      </c>
      <c r="C30" s="197" t="n">
        <v>0</v>
      </c>
      <c r="D30" s="197" t="n">
        <v>1500</v>
      </c>
      <c r="E30" s="198" t="n">
        <v>1900</v>
      </c>
      <c r="F30" s="199" t="n">
        <v>289</v>
      </c>
      <c r="G30" s="218" t="n">
        <v>1611</v>
      </c>
      <c r="H30" s="183" t="n"/>
      <c r="I30" s="183" t="n"/>
      <c r="J30" s="183" t="n"/>
      <c r="K30" s="302" t="n"/>
      <c r="L30" s="302" t="n"/>
      <c r="M30" s="302" t="n"/>
      <c r="N30" s="302" t="n"/>
      <c r="O30" s="343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24.75" customHeight="1" s="131">
      <c r="A31" s="372" t="n"/>
      <c r="B31" s="217" t="inlineStr">
        <is>
          <t>4BD</t>
        </is>
      </c>
      <c r="C31" s="197" t="n">
        <v>0</v>
      </c>
      <c r="D31" s="197" t="n">
        <v>1550</v>
      </c>
      <c r="E31" s="198" t="n">
        <v>2240</v>
      </c>
      <c r="F31" s="199" t="n">
        <v>374</v>
      </c>
      <c r="G31" s="218" t="n">
        <v>1866</v>
      </c>
      <c r="H31" s="183" t="n"/>
      <c r="I31" s="183" t="n"/>
      <c r="J31" s="183" t="n"/>
      <c r="K31" s="302" t="n"/>
      <c r="L31" s="302" t="n"/>
      <c r="M31" s="302" t="n"/>
      <c r="N31" s="302" t="n"/>
      <c r="O31" s="343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8.1" customHeight="1" s="131">
      <c r="A32" s="369" t="n"/>
      <c r="B32" s="369" t="n"/>
      <c r="C32" s="381" t="n"/>
      <c r="D32" s="381" t="n"/>
      <c r="E32" s="381" t="n"/>
      <c r="F32" s="381" t="n"/>
      <c r="G32" s="369" t="n"/>
      <c r="H32" s="369" t="n"/>
      <c r="I32" s="369" t="n"/>
      <c r="J32" s="369" t="n"/>
      <c r="K32" s="369" t="n"/>
      <c r="L32" s="134" t="n"/>
      <c r="M32" s="134" t="n"/>
      <c r="N32" s="134" t="n"/>
      <c r="O32" s="134" t="n"/>
      <c r="P32" s="134" t="n"/>
      <c r="Q32" s="134" t="n"/>
      <c r="R32" s="134" t="n"/>
      <c r="S32" s="134" t="n"/>
      <c r="T32" s="134" t="n"/>
      <c r="U32" s="134" t="n"/>
      <c r="V32" s="134" t="n"/>
      <c r="W32" s="134" t="n"/>
      <c r="X32" s="134" t="n"/>
      <c r="Y32" s="134" t="n"/>
      <c r="Z32" s="135" t="n"/>
      <c r="AA32" s="134" t="n"/>
      <c r="AB32" s="134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24.75" customFormat="1" customHeight="1" s="2">
      <c r="A33" s="302" t="n"/>
      <c r="B33" s="366" t="inlineStr">
        <is>
          <t>LIHTC, UAP, NET</t>
        </is>
      </c>
      <c r="C33" s="358" t="n"/>
      <c r="D33" s="358" t="n"/>
      <c r="E33" s="358" t="n"/>
      <c r="F33" s="358" t="n"/>
      <c r="G33" s="359" t="n"/>
      <c r="H33" s="183" t="n"/>
      <c r="I33" s="183" t="n"/>
      <c r="J33" s="183" t="n"/>
      <c r="K33" s="302" t="n"/>
      <c r="L33" s="302" t="n"/>
      <c r="M33" s="302" t="n"/>
      <c r="N33" s="302" t="n"/>
      <c r="O33" s="302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16.5" customFormat="1" customHeight="1" s="2">
      <c r="A34" s="372" t="n"/>
      <c r="B34" s="226" t="n"/>
      <c r="C34" s="228" t="inlineStr">
        <is>
          <t>LIHTC/MKT</t>
        </is>
      </c>
      <c r="D34" s="228" t="inlineStr">
        <is>
          <t>60%</t>
        </is>
      </c>
      <c r="E34" s="215" t="inlineStr">
        <is>
          <t>UAP</t>
        </is>
      </c>
      <c r="F34" s="216" t="inlineStr">
        <is>
          <t>NET</t>
        </is>
      </c>
      <c r="G34" s="183" t="n"/>
      <c r="H34" s="183" t="n"/>
      <c r="I34" s="183" t="n"/>
      <c r="J34" s="183" t="n"/>
      <c r="K34" s="302" t="n"/>
      <c r="L34" s="302" t="n"/>
      <c r="M34" s="302" t="n"/>
      <c r="N34" s="302" t="n"/>
      <c r="O34" s="343" t="n"/>
      <c r="P34" s="302" t="n"/>
      <c r="Q34" s="302" t="n"/>
      <c r="R34" s="302" t="n"/>
      <c r="S34" s="302" t="n"/>
      <c r="T34" s="302" t="n"/>
      <c r="U34" s="302" t="n"/>
      <c r="V34" s="302" t="n"/>
      <c r="W34" s="302" t="n"/>
      <c r="X34" s="302" t="n"/>
      <c r="Y34" s="302" t="n"/>
      <c r="Z34" s="302" t="n"/>
      <c r="AA34" s="353" t="n"/>
      <c r="AB34" s="302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24.75" customFormat="1" customHeight="1" s="2">
      <c r="A35" s="372" t="n"/>
      <c r="B35" s="224" t="inlineStr">
        <is>
          <t>3BD</t>
        </is>
      </c>
      <c r="C35" s="225" t="n">
        <v>1401</v>
      </c>
      <c r="D35" s="225" t="n">
        <v>1112</v>
      </c>
      <c r="E35" s="225" t="n">
        <v>289</v>
      </c>
      <c r="F35" s="223" t="n">
        <v>823</v>
      </c>
      <c r="G35" s="183" t="n"/>
      <c r="H35" s="183" t="n"/>
      <c r="I35" s="183" t="n"/>
      <c r="J35" s="183" t="n"/>
      <c r="K35" s="302" t="n"/>
      <c r="L35" s="302" t="n"/>
      <c r="M35" s="302" t="n"/>
      <c r="N35" s="302" t="n"/>
      <c r="O35" s="343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24.75" customFormat="1" customHeight="1" s="2">
      <c r="A36" s="369" t="n"/>
      <c r="B36" s="224" t="inlineStr">
        <is>
          <t>4BD</t>
        </is>
      </c>
      <c r="C36" s="225" t="n">
        <v>1563</v>
      </c>
      <c r="D36" s="225" t="n">
        <v>1189</v>
      </c>
      <c r="E36" s="225" t="n">
        <v>374</v>
      </c>
      <c r="F36" s="223" t="n">
        <v>815</v>
      </c>
      <c r="G36" s="183" t="n"/>
      <c r="H36" s="183" t="n"/>
      <c r="I36" s="183" t="n"/>
      <c r="J36" s="183" t="n"/>
      <c r="K36" s="302" t="n"/>
      <c r="L36" s="302" t="n"/>
      <c r="M36" s="302" t="n"/>
      <c r="N36" s="302" t="n"/>
      <c r="O36" s="343" t="n"/>
      <c r="P36" s="302" t="n"/>
      <c r="Q36" s="302" t="n"/>
      <c r="R36" s="302" t="n"/>
      <c r="S36" s="302" t="n"/>
      <c r="T36" s="302" t="n"/>
      <c r="U36" s="302" t="n"/>
      <c r="V36" s="302" t="n"/>
      <c r="W36" s="302" t="n"/>
      <c r="X36" s="302" t="n"/>
      <c r="Y36" s="302" t="n"/>
      <c r="Z36" s="302" t="n"/>
      <c r="AA36" s="353" t="n"/>
      <c r="AB36" s="302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18" customHeight="1" s="131">
      <c r="A37" s="369" t="n"/>
      <c r="B37" s="381" t="n"/>
      <c r="C37" s="381" t="n"/>
      <c r="D37" s="381" t="n"/>
      <c r="E37" s="381" t="n"/>
      <c r="F37" s="369" t="n"/>
      <c r="G37" s="369" t="n"/>
      <c r="H37" s="369" t="n"/>
      <c r="I37" s="369" t="n"/>
      <c r="J37" s="369" t="n"/>
      <c r="K37" s="369" t="n"/>
      <c r="L37" s="134" t="n"/>
      <c r="M37" s="134" t="n"/>
      <c r="N37" s="134" t="n"/>
      <c r="O37" s="134" t="n"/>
      <c r="P37" s="134" t="n"/>
      <c r="Q37" s="134" t="n"/>
      <c r="R37" s="134" t="n"/>
      <c r="S37" s="134" t="n"/>
      <c r="T37" s="134" t="n"/>
      <c r="U37" s="134" t="n"/>
      <c r="V37" s="134" t="n"/>
      <c r="W37" s="134" t="n"/>
      <c r="X37" s="134" t="n"/>
      <c r="Y37" s="134" t="n"/>
      <c r="Z37" s="135" t="n"/>
      <c r="AA37" s="134" t="n"/>
      <c r="AB37" s="134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18" customHeight="1" s="131">
      <c r="A38" s="372" t="n"/>
      <c r="B38" s="372" t="n"/>
      <c r="C38" s="444" t="n"/>
      <c r="D38" s="369" t="n"/>
      <c r="E38" s="369" t="n"/>
      <c r="F38" s="369" t="n"/>
      <c r="G38" s="369" t="n"/>
      <c r="H38" s="369" t="n"/>
      <c r="I38" s="369" t="n"/>
      <c r="J38" s="369" t="n"/>
      <c r="K38" s="369" t="n"/>
      <c r="L38" s="134" t="n"/>
      <c r="M38" s="134" t="n"/>
      <c r="N38" s="134" t="n"/>
      <c r="O38" s="134" t="n"/>
      <c r="P38" s="134" t="n"/>
      <c r="Q38" s="134" t="n"/>
      <c r="R38" s="134" t="n"/>
      <c r="S38" s="134" t="n"/>
      <c r="T38" s="134" t="n"/>
      <c r="U38" s="134" t="n"/>
      <c r="V38" s="134" t="n"/>
      <c r="W38" s="134" t="n"/>
      <c r="X38" s="134" t="n"/>
      <c r="Y38" s="134" t="n"/>
      <c r="Z38" s="135" t="n"/>
      <c r="AA38" s="134" t="n"/>
      <c r="AB38" s="134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24.75" customFormat="1" customHeight="1" s="2">
      <c r="A39" s="302" t="n"/>
      <c r="B39" s="207" t="inlineStr">
        <is>
          <t>HAP, CoStar, NET</t>
        </is>
      </c>
      <c r="H39" s="183" t="n"/>
      <c r="I39" s="183" t="n"/>
      <c r="J39" s="183" t="n"/>
      <c r="K39" s="302" t="n"/>
      <c r="L39" s="302" t="n"/>
      <c r="M39" s="302" t="n"/>
      <c r="N39" s="302" t="n"/>
      <c r="O39" s="302" t="n"/>
      <c r="P39" s="302" t="n"/>
      <c r="Q39" s="302" t="n"/>
      <c r="R39" s="302" t="n"/>
      <c r="S39" s="302" t="n"/>
      <c r="T39" s="302" t="n"/>
      <c r="U39" s="302" t="n"/>
      <c r="V39" s="302" t="n"/>
      <c r="W39" s="302" t="n"/>
      <c r="X39" s="302" t="n"/>
      <c r="Y39" s="302" t="n"/>
      <c r="Z39" s="302" t="n"/>
      <c r="AA39" s="353" t="n"/>
      <c r="AB39" s="302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ht="15.95" customFormat="1" customHeight="1" s="2">
      <c r="A40" s="302" t="n"/>
      <c r="B40" s="227" t="n"/>
      <c r="C40" s="208" t="inlineStr">
        <is>
          <t>HAP</t>
        </is>
      </c>
      <c r="D40" s="209" t="inlineStr">
        <is>
          <t>CoStar</t>
        </is>
      </c>
      <c r="E40" s="302" t="n"/>
      <c r="F40" s="302" t="n"/>
      <c r="G40" s="302" t="n"/>
      <c r="H40" s="183" t="n"/>
      <c r="I40" s="183" t="n"/>
      <c r="J40" s="183" t="n"/>
      <c r="K40" s="302" t="n"/>
      <c r="L40" s="302" t="n"/>
      <c r="M40" s="302" t="n"/>
      <c r="N40" s="302" t="n"/>
      <c r="O40" s="302" t="n"/>
      <c r="P40" s="302" t="n"/>
      <c r="Q40" s="302" t="n"/>
      <c r="R40" s="302" t="n"/>
      <c r="S40" s="302" t="n"/>
      <c r="T40" s="302" t="n"/>
      <c r="U40" s="302" t="n"/>
      <c r="V40" s="302" t="n"/>
      <c r="W40" s="302" t="n"/>
      <c r="X40" s="302" t="n"/>
      <c r="Y40" s="302" t="n"/>
      <c r="Z40" s="302" t="n"/>
      <c r="AA40" s="353" t="n"/>
      <c r="AB40" s="302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ht="24.75" customFormat="1" customHeight="1" s="2">
      <c r="A41" s="302" t="n"/>
      <c r="B41" s="196" t="inlineStr">
        <is>
          <t>2BD</t>
        </is>
      </c>
      <c r="C41" s="199" t="n">
        <v>0</v>
      </c>
      <c r="D41" s="198" t="n">
        <v>1451</v>
      </c>
      <c r="E41" s="183" t="n"/>
      <c r="F41" s="183" t="n"/>
      <c r="G41" s="183" t="n"/>
      <c r="H41" s="183" t="n"/>
      <c r="I41" s="183" t="n"/>
      <c r="J41" s="183" t="n"/>
      <c r="K41" s="302" t="n"/>
      <c r="L41" s="302" t="n"/>
      <c r="M41" s="302" t="n"/>
      <c r="N41" s="302" t="n"/>
      <c r="O41" s="302" t="n"/>
      <c r="P41" s="302" t="n"/>
      <c r="Q41" s="302" t="n"/>
      <c r="R41" s="302" t="n"/>
      <c r="S41" s="302" t="n"/>
      <c r="T41" s="302" t="n"/>
      <c r="U41" s="302" t="n"/>
      <c r="V41" s="302" t="n"/>
      <c r="W41" s="302" t="n"/>
      <c r="X41" s="302" t="n"/>
      <c r="Y41" s="302" t="n"/>
      <c r="Z41" s="302" t="n"/>
      <c r="AA41" s="353" t="n"/>
      <c r="AB41" s="302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ht="24.75" customFormat="1" customHeight="1" s="2">
      <c r="A42" s="302" t="n"/>
      <c r="B42" s="196" t="inlineStr">
        <is>
          <t>3BD</t>
        </is>
      </c>
      <c r="C42" s="199" t="n">
        <v>0</v>
      </c>
      <c r="D42" s="198" t="n">
        <v>1614</v>
      </c>
      <c r="E42" s="183" t="n"/>
      <c r="F42" s="183" t="n"/>
      <c r="G42" s="183" t="n"/>
      <c r="H42" s="183" t="n"/>
      <c r="I42" s="183" t="n"/>
      <c r="J42" s="183" t="n"/>
      <c r="K42" s="302" t="n"/>
      <c r="L42" s="302" t="n"/>
      <c r="M42" s="302" t="n"/>
      <c r="N42" s="302" t="n"/>
      <c r="O42" s="302" t="n"/>
      <c r="P42" s="302" t="n"/>
      <c r="Q42" s="302" t="n"/>
      <c r="R42" s="302" t="n"/>
      <c r="S42" s="302" t="n"/>
      <c r="T42" s="302" t="n"/>
      <c r="U42" s="302" t="n"/>
      <c r="V42" s="302" t="n"/>
      <c r="W42" s="302" t="n"/>
      <c r="X42" s="302" t="n"/>
      <c r="Y42" s="302" t="n"/>
      <c r="Z42" s="302" t="n"/>
      <c r="AA42" s="353" t="n"/>
      <c r="AB42" s="302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ht="24.75" customFormat="1" customHeight="1" s="2">
      <c r="A43" s="302" t="n"/>
      <c r="B43" s="196" t="inlineStr">
        <is>
          <t>4BD</t>
        </is>
      </c>
      <c r="C43" s="199" t="n">
        <v>0</v>
      </c>
      <c r="D43" s="198" t="n">
        <v>1727</v>
      </c>
      <c r="E43" s="183" t="n"/>
      <c r="F43" s="183" t="n"/>
      <c r="G43" s="183" t="n"/>
      <c r="H43" s="183" t="n"/>
      <c r="I43" s="183" t="n"/>
      <c r="J43" s="183" t="n"/>
      <c r="K43" s="302" t="n"/>
      <c r="L43" s="302" t="n"/>
      <c r="M43" s="302" t="n"/>
      <c r="N43" s="302" t="n"/>
      <c r="O43" s="302" t="n"/>
      <c r="P43" s="302" t="n"/>
      <c r="Q43" s="302" t="n"/>
      <c r="R43" s="302" t="n"/>
      <c r="S43" s="302" t="n"/>
      <c r="T43" s="302" t="n"/>
      <c r="U43" s="302" t="n"/>
      <c r="V43" s="302" t="n"/>
      <c r="W43" s="302" t="n"/>
      <c r="X43" s="302" t="n"/>
      <c r="Y43" s="302" t="n"/>
      <c r="Z43" s="302" t="n"/>
      <c r="AA43" s="353" t="n"/>
      <c r="AB43" s="302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s="131">
      <c r="A44" s="369" t="n"/>
      <c r="B44" s="369" t="n"/>
      <c r="C44" s="369" t="n"/>
      <c r="D44" s="369" t="n"/>
      <c r="E44" s="369" t="n"/>
      <c r="F44" s="369" t="n"/>
      <c r="G44" s="369" t="n"/>
      <c r="H44" s="369" t="n"/>
      <c r="I44" s="369" t="n"/>
      <c r="J44" s="369" t="n"/>
      <c r="K44" s="369" t="n"/>
      <c r="L44" s="136" t="n"/>
      <c r="M44" s="136" t="n"/>
      <c r="N44" s="136" t="n"/>
      <c r="O44" s="136" t="n"/>
      <c r="P44" s="136" t="n"/>
      <c r="Q44" s="136" t="n"/>
      <c r="R44" s="136" t="n"/>
      <c r="S44" s="136" t="n"/>
      <c r="T44" s="136" t="n"/>
      <c r="U44" s="136" t="n"/>
      <c r="V44" s="136" t="n"/>
      <c r="W44" s="136" t="n"/>
      <c r="X44" s="136" t="n"/>
      <c r="Y44" s="136" t="n"/>
      <c r="Z44" s="136" t="n"/>
      <c r="AA44" s="136" t="n"/>
      <c r="AB44" s="136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s="131">
      <c r="A45" s="369" t="n"/>
      <c r="B45" s="369" t="n"/>
      <c r="C45" s="369" t="n"/>
      <c r="D45" s="369" t="n"/>
      <c r="E45" s="369" t="n"/>
      <c r="F45" s="369" t="n"/>
      <c r="G45" s="369" t="n"/>
      <c r="H45" s="369" t="n"/>
      <c r="I45" s="369" t="n"/>
      <c r="J45" s="369" t="n"/>
      <c r="K45" s="369" t="n"/>
      <c r="L45" s="136" t="n"/>
      <c r="M45" s="136" t="n"/>
      <c r="N45" s="136" t="n"/>
      <c r="O45" s="136" t="n"/>
      <c r="P45" s="136" t="n"/>
      <c r="Q45" s="136" t="n"/>
      <c r="R45" s="136" t="n"/>
      <c r="S45" s="136" t="n"/>
      <c r="T45" s="136" t="n"/>
      <c r="U45" s="136" t="n"/>
      <c r="V45" s="136" t="n"/>
      <c r="W45" s="136" t="n"/>
      <c r="X45" s="136" t="n"/>
      <c r="Y45" s="136" t="n"/>
      <c r="Z45" s="136" t="n"/>
      <c r="AA45" s="136" t="n"/>
      <c r="AB45" s="136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s="131">
      <c r="A46" s="369" t="n"/>
      <c r="B46" s="369" t="n"/>
      <c r="C46" s="369" t="n"/>
      <c r="D46" s="369" t="n"/>
      <c r="E46" s="369" t="n"/>
      <c r="F46" s="369" t="n"/>
      <c r="G46" s="369" t="n"/>
      <c r="H46" s="369" t="n"/>
      <c r="I46" s="369" t="n"/>
      <c r="J46" s="369" t="n"/>
      <c r="K46" s="369" t="n"/>
      <c r="L46" s="136" t="n"/>
      <c r="M46" s="136" t="n"/>
      <c r="N46" s="136" t="n"/>
      <c r="O46" s="136" t="n"/>
      <c r="P46" s="136" t="n"/>
      <c r="Q46" s="136" t="n"/>
      <c r="R46" s="136" t="n"/>
      <c r="S46" s="136" t="n"/>
      <c r="T46" s="136" t="n"/>
      <c r="U46" s="136" t="n"/>
      <c r="V46" s="136" t="n"/>
      <c r="W46" s="136" t="n"/>
      <c r="X46" s="136" t="n"/>
      <c r="Y46" s="136" t="n"/>
      <c r="Z46" s="136" t="n"/>
      <c r="AA46" s="136" t="n"/>
      <c r="AB46" s="136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s="131">
      <c r="A47" s="369" t="n"/>
      <c r="B47" s="369" t="n"/>
      <c r="C47" s="369" t="n"/>
      <c r="D47" s="369" t="n"/>
      <c r="E47" s="369" t="n"/>
      <c r="F47" s="369" t="n"/>
      <c r="G47" s="369" t="n"/>
      <c r="H47" s="369" t="n"/>
      <c r="I47" s="369" t="n"/>
      <c r="J47" s="369" t="n"/>
      <c r="K47" s="369" t="n"/>
      <c r="L47" s="136" t="n"/>
      <c r="M47" s="136" t="n"/>
      <c r="N47" s="136" t="n"/>
      <c r="O47" s="136" t="n"/>
      <c r="P47" s="136" t="n"/>
      <c r="Q47" s="136" t="n"/>
      <c r="R47" s="136" t="n"/>
      <c r="S47" s="136" t="n"/>
      <c r="T47" s="136" t="n"/>
      <c r="U47" s="136" t="n"/>
      <c r="V47" s="136" t="n"/>
      <c r="W47" s="136" t="n"/>
      <c r="X47" s="136" t="n"/>
      <c r="Y47" s="136" t="n"/>
      <c r="Z47" s="136" t="n"/>
      <c r="AA47" s="136" t="n"/>
      <c r="AB47" s="136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s="131">
      <c r="A48" s="369" t="n"/>
      <c r="B48" s="369" t="n"/>
      <c r="C48" s="369" t="n"/>
      <c r="D48" s="369" t="n"/>
      <c r="E48" s="369" t="n"/>
      <c r="F48" s="369" t="n"/>
      <c r="G48" s="369" t="n"/>
      <c r="H48" s="369" t="n"/>
      <c r="I48" s="369" t="n"/>
      <c r="J48" s="369" t="n"/>
      <c r="K48" s="369" t="n"/>
      <c r="L48" s="136" t="n"/>
      <c r="M48" s="136" t="n"/>
      <c r="N48" s="136" t="n"/>
      <c r="O48" s="136" t="n"/>
      <c r="P48" s="136" t="n"/>
      <c r="Q48" s="136" t="n"/>
      <c r="R48" s="136" t="n"/>
      <c r="S48" s="136" t="n"/>
      <c r="T48" s="136" t="n"/>
      <c r="U48" s="136" t="n"/>
      <c r="V48" s="136" t="n"/>
      <c r="W48" s="136" t="n"/>
      <c r="X48" s="136" t="n"/>
      <c r="Y48" s="136" t="n"/>
      <c r="Z48" s="136" t="n"/>
      <c r="AA48" s="136" t="n"/>
      <c r="AB48" s="136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s="131">
      <c r="A49" s="369" t="n"/>
      <c r="B49" s="369" t="n"/>
      <c r="C49" s="369" t="n"/>
      <c r="D49" s="369" t="n"/>
      <c r="E49" s="369" t="n"/>
      <c r="F49" s="369" t="n"/>
      <c r="G49" s="369" t="n"/>
      <c r="H49" s="369" t="n"/>
      <c r="I49" s="369" t="n"/>
      <c r="J49" s="369" t="n"/>
      <c r="K49" s="369" t="n"/>
      <c r="L49" s="136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6" t="n"/>
      <c r="Y49" s="136" t="n"/>
      <c r="Z49" s="136" t="n"/>
      <c r="AA49" s="136" t="n"/>
      <c r="AB49" s="136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s="131">
      <c r="A50" s="369" t="n"/>
      <c r="B50" s="369" t="n"/>
      <c r="C50" s="369" t="n"/>
      <c r="D50" s="369" t="n"/>
      <c r="E50" s="369" t="n"/>
      <c r="F50" s="369" t="n"/>
      <c r="G50" s="369" t="n"/>
      <c r="H50" s="369" t="n"/>
      <c r="I50" s="369" t="n"/>
      <c r="J50" s="369" t="n"/>
      <c r="K50" s="369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</sheetData>
  <mergeCells count="9">
    <mergeCell ref="B4:AB4"/>
    <mergeCell ref="B39:G39"/>
    <mergeCell ref="B28:G28"/>
    <mergeCell ref="B22:G22"/>
    <mergeCell ref="B23:G23"/>
    <mergeCell ref="B20:I20"/>
    <mergeCell ref="B2:AB2"/>
    <mergeCell ref="B3:AB3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W53"/>
  <sheetViews>
    <sheetView workbookViewId="0">
      <pane ySplit="1" topLeftCell="A14" activePane="bottomLeft" state="frozen"/>
      <selection pane="bottomLeft" activeCell="H23" sqref="H23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STAR HOMES | GREEN = Affordable Comps | BLUE = Market Rate Comps</t>
        </is>
      </c>
      <c r="AF3" s="136" t="n"/>
      <c r="AG3" s="136" t="n"/>
      <c r="AH3" s="136" t="n"/>
      <c r="AI3" s="136" t="n"/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Star Homes | 2020 Melba Place, Marrero, LA 70072 | 48 units | Program: LIHTC | Bedroom Mix: 2BR / 3BR / 4BR | County AMI: $89,800 | FMR Area: New Orleans MSA</t>
        </is>
      </c>
      <c r="AF4" s="136" t="n"/>
      <c r="AG4" s="136" t="n"/>
      <c r="AH4" s="136" t="n"/>
      <c r="AI4" s="136" t="n"/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F5" s="136" t="n"/>
      <c r="AG5" s="136" t="n"/>
      <c r="AH5" s="136" t="n"/>
      <c r="AI5" s="136" t="n"/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2BD 50% AMI ($)</t>
        </is>
      </c>
      <c r="J6" s="280" t="inlineStr">
        <is>
          <t>2BD 60% AMI ($)</t>
        </is>
      </c>
      <c r="K6" s="280" t="inlineStr">
        <is>
          <t>2BR FMR ($)</t>
        </is>
      </c>
      <c r="L6" s="335" t="inlineStr">
        <is>
          <t>2BR Actual ($)</t>
        </is>
      </c>
      <c r="M6" s="281" t="inlineStr">
        <is>
          <t>3BD 50% AMI ($)</t>
        </is>
      </c>
      <c r="N6" s="280" t="inlineStr">
        <is>
          <t>3BD 60% AMI ($)</t>
        </is>
      </c>
      <c r="O6" s="280" t="inlineStr">
        <is>
          <t>3BR FMR ($)</t>
        </is>
      </c>
      <c r="P6" s="335" t="inlineStr">
        <is>
          <t>3BR Actual ($)</t>
        </is>
      </c>
      <c r="Q6" s="281" t="inlineStr">
        <is>
          <t>4BD 50% AMI ($)</t>
        </is>
      </c>
      <c r="R6" s="280" t="inlineStr">
        <is>
          <t>4BD 60% AMI ($)</t>
        </is>
      </c>
      <c r="S6" s="280" t="inlineStr">
        <is>
          <t>4BR FMR ($)</t>
        </is>
      </c>
      <c r="T6" s="339" t="inlineStr">
        <is>
          <t>4BR Actual ($)</t>
        </is>
      </c>
      <c r="U6" s="339" t="inlineStr">
        <is>
          <t># Units</t>
        </is>
      </c>
      <c r="V6" s="339" t="inlineStr">
        <is>
          <t>Year Built</t>
        </is>
      </c>
      <c r="W6" s="339" t="inlineStr">
        <is>
          <t>Yr Diff</t>
        </is>
      </c>
      <c r="X6" s="339" t="inlineStr">
        <is>
          <t>Utilities Incl.</t>
        </is>
      </c>
      <c r="Y6" s="339" t="inlineStr">
        <is>
          <t>Pet Friendly</t>
        </is>
      </c>
      <c r="Z6" s="336" t="inlineStr">
        <is>
          <t>Gated</t>
        </is>
      </c>
      <c r="AA6" s="340" t="inlineStr">
        <is>
          <t>Pool</t>
        </is>
      </c>
      <c r="AB6" s="342" t="inlineStr">
        <is>
          <t>W/D In-Unit</t>
        </is>
      </c>
      <c r="AC6" s="136" t="inlineStr">
        <is>
          <t>Competition Level</t>
        </is>
      </c>
      <c r="AD6" s="136" t="inlineStr">
        <is>
          <t>Why Competitive</t>
        </is>
      </c>
      <c r="AE6" s="136" t="inlineStr">
        <is>
          <t>Data Source</t>
        </is>
      </c>
      <c r="AF6" s="136" t="n"/>
      <c r="AG6" s="136" t="n"/>
      <c r="AH6" s="136" t="n"/>
      <c r="AI6" s="136" t="n"/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Star Homes (SUBJECT)</t>
        </is>
      </c>
      <c r="D7" s="174" t="inlineStr">
        <is>
          <t>2020 Melba Place</t>
        </is>
      </c>
      <c r="E7" s="174" t="inlineStr">
        <is>
          <t>Marrero</t>
        </is>
      </c>
      <c r="F7" s="174" t="inlineStr">
        <is>
          <t>LA</t>
        </is>
      </c>
      <c r="G7" s="174" t="inlineStr">
        <is>
          <t>70072</t>
        </is>
      </c>
      <c r="H7" s="174" t="inlineStr">
        <is>
          <t>0.0 mi</t>
        </is>
      </c>
      <c r="I7" s="174" t="inlineStr">
        <is>
          <t>$3,370</t>
        </is>
      </c>
      <c r="J7" s="174" t="inlineStr">
        <is>
          <t>$4,045</t>
        </is>
      </c>
      <c r="K7" s="174" t="inlineStr">
        <is>
          <t>$1,254</t>
        </is>
      </c>
      <c r="L7" s="368">
        <f>B26</f>
        <v/>
      </c>
      <c r="M7" s="174" t="inlineStr">
        <is>
          <t>$3,741</t>
        </is>
      </c>
      <c r="N7" s="174" t="inlineStr">
        <is>
          <t>$4,490</t>
        </is>
      </c>
      <c r="O7" s="174" t="inlineStr">
        <is>
          <t>$1,573</t>
        </is>
      </c>
      <c r="P7" s="368">
        <f>B27</f>
        <v/>
      </c>
      <c r="Q7" s="174" t="inlineStr">
        <is>
          <t>$4,041</t>
        </is>
      </c>
      <c r="R7" s="174" t="inlineStr">
        <is>
          <t>$4,850</t>
        </is>
      </c>
      <c r="S7" s="174" t="inlineStr">
        <is>
          <t>$1,818</t>
        </is>
      </c>
      <c r="T7" s="368">
        <f>B28</f>
        <v/>
      </c>
      <c r="U7" s="174" t="inlineStr">
        <is>
          <t>48</t>
        </is>
      </c>
      <c r="V7" s="174" t="inlineStr">
        <is>
          <t>2000</t>
        </is>
      </c>
      <c r="W7" s="174" t="inlineStr">
        <is>
          <t>0</t>
        </is>
      </c>
      <c r="X7" s="174" t="inlineStr">
        <is>
          <t>No</t>
        </is>
      </c>
      <c r="Y7" s="42" t="inlineStr">
        <is>
          <t>No</t>
        </is>
      </c>
      <c r="Z7" s="55" t="inlineStr">
        <is>
          <t>No</t>
        </is>
      </c>
      <c r="AA7" s="40" t="inlineStr">
        <is>
          <t>No</t>
        </is>
      </c>
      <c r="AB7" s="136" t="inlineStr">
        <is>
          <t>No</t>
        </is>
      </c>
      <c r="AC7" s="136" t="inlineStr">
        <is>
          <t>SUBJECT</t>
        </is>
      </c>
      <c r="AD7" s="136" t="inlineStr">
        <is>
          <t>48 units | LIHTC property. Year built: 2000. Subject property for market context.</t>
        </is>
      </c>
      <c r="AE7" s="136" t="inlineStr">
        <is>
          <t>Apartment Corp Records</t>
        </is>
      </c>
      <c r="AF7" s="136" t="n"/>
      <c r="AG7" s="136" t="n"/>
      <c r="AH7" s="136" t="n"/>
      <c r="AI7" s="136" t="n"/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7.75" customHeight="1" s="131">
      <c r="A8" s="59" t="inlineStr">
        <is>
          <t>1</t>
        </is>
      </c>
      <c r="B8" s="288" t="inlineStr">
        <is>
          <t>AFFORDABLE</t>
        </is>
      </c>
      <c r="C8" s="289" t="inlineStr">
        <is>
          <t>Star Affordable Homes</t>
        </is>
      </c>
      <c r="D8" s="290" t="inlineStr">
        <is>
          <t>2012 Melba Pl</t>
        </is>
      </c>
      <c r="E8" s="291" t="inlineStr">
        <is>
          <t>Marrero</t>
        </is>
      </c>
      <c r="F8" s="291" t="inlineStr">
        <is>
          <t>LA</t>
        </is>
      </c>
      <c r="G8" s="291" t="inlineStr">
        <is>
          <t>70072</t>
        </is>
      </c>
      <c r="H8" s="291" t="inlineStr">
        <is>
          <t>2.2 mi</t>
        </is>
      </c>
      <c r="I8" s="291" t="inlineStr">
        <is>
          <t>$3,370</t>
        </is>
      </c>
      <c r="J8" s="291" t="inlineStr">
        <is>
          <t>$4,045</t>
        </is>
      </c>
      <c r="K8" s="291" t="inlineStr">
        <is>
          <t>$1,254</t>
        </is>
      </c>
      <c r="L8" s="292" t="inlineStr">
        <is>
          <t>Not Listed</t>
        </is>
      </c>
      <c r="M8" s="293" t="inlineStr">
        <is>
          <t>$3,741</t>
        </is>
      </c>
      <c r="N8" s="294" t="inlineStr">
        <is>
          <t>$4,490</t>
        </is>
      </c>
      <c r="O8" s="294" t="inlineStr">
        <is>
          <t>$1,573</t>
        </is>
      </c>
      <c r="P8" s="292" t="inlineStr">
        <is>
          <t>Not Listed</t>
        </is>
      </c>
      <c r="Q8" s="293" t="inlineStr">
        <is>
          <t>$4,041</t>
        </is>
      </c>
      <c r="R8" s="294" t="inlineStr">
        <is>
          <t>$4,850</t>
        </is>
      </c>
      <c r="S8" s="294" t="inlineStr">
        <is>
          <t>$1,818</t>
        </is>
      </c>
      <c r="T8" s="294" t="inlineStr">
        <is>
          <t>Not Listed</t>
        </is>
      </c>
      <c r="U8" s="294" t="inlineStr">
        <is>
          <t>48</t>
        </is>
      </c>
      <c r="V8" s="294" t="inlineStr">
        <is>
          <t>1998</t>
        </is>
      </c>
      <c r="W8" s="294" t="inlineStr">
        <is>
          <t>2</t>
        </is>
      </c>
      <c r="X8" s="294" t="inlineStr">
        <is>
          <t>Yes</t>
        </is>
      </c>
      <c r="Y8" s="294" t="inlineStr">
        <is>
          <t>No</t>
        </is>
      </c>
      <c r="Z8" s="295" t="inlineStr">
        <is>
          <t>No</t>
        </is>
      </c>
      <c r="AA8" s="296" t="inlineStr">
        <is>
          <t>No</t>
        </is>
      </c>
      <c r="AB8" s="297" t="inlineStr">
        <is>
          <t>No</t>
        </is>
      </c>
      <c r="AC8" s="136" t="inlineStr">
        <is>
          <t>HIGH</t>
        </is>
      </c>
      <c r="AD8" s="136" t="inlineStr">
        <is>
          <t>Affordable Comp #1: LIHTC property, 1998 vintage (2 yr diff), 48 units, 2.2 mi from subject. Same income-eligible renter pool.</t>
        </is>
      </c>
      <c r="AE8" s="136" t="inlineStr">
        <is>
          <t>HUD LIHTC Database (huduser.gov)</t>
        </is>
      </c>
      <c r="AF8" s="136" t="n"/>
      <c r="AG8" s="136" t="n"/>
      <c r="AH8" s="136" t="n"/>
      <c r="AI8" s="136" t="n"/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Star Homes</t>
        </is>
      </c>
      <c r="D9" s="125" t="inlineStr">
        <is>
          <t>2012 Melba Place</t>
        </is>
      </c>
      <c r="E9" s="125" t="inlineStr">
        <is>
          <t>Marrero</t>
        </is>
      </c>
      <c r="F9" s="125" t="inlineStr">
        <is>
          <t>LA</t>
        </is>
      </c>
      <c r="G9" s="125" t="inlineStr">
        <is>
          <t>70072-0000</t>
        </is>
      </c>
      <c r="H9" s="125" t="inlineStr">
        <is>
          <t>2.2 mi</t>
        </is>
      </c>
      <c r="I9" s="125" t="inlineStr">
        <is>
          <t>$3,370</t>
        </is>
      </c>
      <c r="J9" s="125" t="inlineStr">
        <is>
          <t>$4,045</t>
        </is>
      </c>
      <c r="K9" s="85" t="inlineStr">
        <is>
          <t>$1,254</t>
        </is>
      </c>
      <c r="L9" s="86" t="inlineStr">
        <is>
          <t>Not Listed</t>
        </is>
      </c>
      <c r="M9" s="128" t="inlineStr">
        <is>
          <t>$3,741</t>
        </is>
      </c>
      <c r="N9" s="128" t="inlineStr">
        <is>
          <t>$4,490</t>
        </is>
      </c>
      <c r="O9" s="85" t="inlineStr">
        <is>
          <t>$1,573</t>
        </is>
      </c>
      <c r="P9" s="86" t="inlineStr">
        <is>
          <t>Not Listed</t>
        </is>
      </c>
      <c r="Q9" s="128" t="inlineStr">
        <is>
          <t>$4,041</t>
        </is>
      </c>
      <c r="R9" s="128" t="inlineStr">
        <is>
          <t>$4,850</t>
        </is>
      </c>
      <c r="S9" s="128" t="inlineStr">
        <is>
          <t>$1,818</t>
        </is>
      </c>
      <c r="T9" s="128" t="inlineStr">
        <is>
          <t>Not Listed</t>
        </is>
      </c>
      <c r="U9" s="128" t="inlineStr">
        <is>
          <t>48</t>
        </is>
      </c>
      <c r="V9" s="128" t="inlineStr">
        <is>
          <t>1998</t>
        </is>
      </c>
      <c r="W9" s="128" t="inlineStr">
        <is>
          <t>2</t>
        </is>
      </c>
      <c r="X9" s="128" t="inlineStr">
        <is>
          <t>Yes</t>
        </is>
      </c>
      <c r="Y9" s="129" t="inlineStr">
        <is>
          <t>No</t>
        </is>
      </c>
      <c r="Z9" s="130" t="inlineStr">
        <is>
          <t>No</t>
        </is>
      </c>
      <c r="AA9" s="128" t="inlineStr">
        <is>
          <t>No</t>
        </is>
      </c>
      <c r="AB9" s="136" t="inlineStr">
        <is>
          <t>No</t>
        </is>
      </c>
      <c r="AC9" s="136" t="inlineStr">
        <is>
          <t>HIGH</t>
        </is>
      </c>
      <c r="AD9" s="136" t="inlineStr">
        <is>
          <t>Affordable Comp #2: LIHTC property, 1998 vintage (2 yr diff), 48 units, 2.2 mi from subject. Same income-eligible renter pool.</t>
        </is>
      </c>
      <c r="AE9" s="136" t="inlineStr">
        <is>
          <t>HUD LIHTC Database (huduser.gov)</t>
        </is>
      </c>
      <c r="AF9" s="136" t="n"/>
      <c r="AG9" s="136" t="n"/>
      <c r="AH9" s="136" t="n"/>
      <c r="AI9" s="136" t="n"/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Ames Gardens Estates</t>
        </is>
      </c>
      <c r="D10" s="107" t="inlineStr">
        <is>
          <t>530 Ames Blvd.</t>
        </is>
      </c>
      <c r="E10" s="107" t="inlineStr">
        <is>
          <t>Marrero</t>
        </is>
      </c>
      <c r="F10" s="107" t="inlineStr">
        <is>
          <t>LA</t>
        </is>
      </c>
      <c r="G10" s="107" t="inlineStr">
        <is>
          <t>70072-0000</t>
        </is>
      </c>
      <c r="H10" s="107" t="inlineStr">
        <is>
          <t>0.4 mi</t>
        </is>
      </c>
      <c r="I10" s="107" t="inlineStr">
        <is>
          <t>$3,370</t>
        </is>
      </c>
      <c r="J10" s="107" t="inlineStr">
        <is>
          <t>$4,045</t>
        </is>
      </c>
      <c r="K10" s="80" t="inlineStr">
        <is>
          <t>$1,254</t>
        </is>
      </c>
      <c r="L10" s="81" t="inlineStr">
        <is>
          <t>Not Listed</t>
        </is>
      </c>
      <c r="M10" s="108" t="inlineStr">
        <is>
          <t>$3,741</t>
        </is>
      </c>
      <c r="N10" s="108" t="inlineStr">
        <is>
          <t>$4,490</t>
        </is>
      </c>
      <c r="O10" s="80" t="inlineStr">
        <is>
          <t>$1,573</t>
        </is>
      </c>
      <c r="P10" s="81" t="inlineStr">
        <is>
          <t>Not Listed</t>
        </is>
      </c>
      <c r="Q10" s="108" t="inlineStr">
        <is>
          <t>$4,041</t>
        </is>
      </c>
      <c r="R10" s="108" t="inlineStr">
        <is>
          <t>$4,850</t>
        </is>
      </c>
      <c r="S10" s="108" t="inlineStr">
        <is>
          <t>$1,818</t>
        </is>
      </c>
      <c r="T10" s="108" t="inlineStr">
        <is>
          <t>Not Listed</t>
        </is>
      </c>
      <c r="U10" s="108" t="inlineStr">
        <is>
          <t>48</t>
        </is>
      </c>
      <c r="V10" s="108" t="inlineStr">
        <is>
          <t>2002</t>
        </is>
      </c>
      <c r="W10" s="108" t="inlineStr">
        <is>
          <t>2</t>
        </is>
      </c>
      <c r="X10" s="108" t="inlineStr">
        <is>
          <t>Yes</t>
        </is>
      </c>
      <c r="Y10" s="109" t="inlineStr">
        <is>
          <t>No</t>
        </is>
      </c>
      <c r="Z10" s="110" t="inlineStr">
        <is>
          <t>No</t>
        </is>
      </c>
      <c r="AA10" s="111" t="inlineStr">
        <is>
          <t>No</t>
        </is>
      </c>
      <c r="AB10" s="134" t="inlineStr">
        <is>
          <t>No</t>
        </is>
      </c>
      <c r="AC10" s="136" t="inlineStr">
        <is>
          <t>HIGH</t>
        </is>
      </c>
      <c r="AD10" s="136" t="inlineStr">
        <is>
          <t>Affordable Comp #3: LIHTC property, 2002 vintage (2 yr diff), 48 units, 0.4 mi from subject. Same income-eligible renter pool.</t>
        </is>
      </c>
      <c r="AE10" s="136" t="inlineStr">
        <is>
          <t>HUD LIHTC Database (huduser.gov)</t>
        </is>
      </c>
      <c r="AF10" s="136" t="n"/>
      <c r="AG10" s="136" t="n"/>
      <c r="AH10" s="136" t="n"/>
      <c r="AI10" s="136" t="n"/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Putnam Plaza Apts</t>
        </is>
      </c>
      <c r="D11" s="95" t="inlineStr">
        <is>
          <t>Scattered</t>
        </is>
      </c>
      <c r="E11" s="95" t="inlineStr">
        <is>
          <t>New Orleans</t>
        </is>
      </c>
      <c r="F11" s="95" t="inlineStr">
        <is>
          <t>LA</t>
        </is>
      </c>
      <c r="G11" s="95" t="inlineStr">
        <is>
          <t>70113-0000</t>
        </is>
      </c>
      <c r="H11" s="95" t="inlineStr">
        <is>
          <t>2.7 mi</t>
        </is>
      </c>
      <c r="I11" s="95" t="inlineStr">
        <is>
          <t>$3,370</t>
        </is>
      </c>
      <c r="J11" s="95" t="inlineStr">
        <is>
          <t>$4,045</t>
        </is>
      </c>
      <c r="K11" s="39" t="inlineStr">
        <is>
          <t>$1,254</t>
        </is>
      </c>
      <c r="L11" s="53" t="inlineStr">
        <is>
          <t>Not Listed</t>
        </is>
      </c>
      <c r="M11" s="96" t="inlineStr">
        <is>
          <t>$3,741</t>
        </is>
      </c>
      <c r="N11" s="96" t="inlineStr">
        <is>
          <t>$4,490</t>
        </is>
      </c>
      <c r="O11" s="39" t="inlineStr">
        <is>
          <t>$1,573</t>
        </is>
      </c>
      <c r="P11" s="53" t="inlineStr">
        <is>
          <t>Not Listed</t>
        </is>
      </c>
      <c r="Q11" s="96" t="inlineStr">
        <is>
          <t>$4,041</t>
        </is>
      </c>
      <c r="R11" s="96" t="inlineStr">
        <is>
          <t>$4,850</t>
        </is>
      </c>
      <c r="S11" s="96" t="inlineStr">
        <is>
          <t>$1,818</t>
        </is>
      </c>
      <c r="T11" s="96" t="inlineStr">
        <is>
          <t>Not Listed</t>
        </is>
      </c>
      <c r="U11" s="96" t="inlineStr">
        <is>
          <t>38</t>
        </is>
      </c>
      <c r="V11" s="96" t="inlineStr">
        <is>
          <t>1999</t>
        </is>
      </c>
      <c r="W11" s="96" t="inlineStr">
        <is>
          <t>1</t>
        </is>
      </c>
      <c r="X11" s="96" t="inlineStr">
        <is>
          <t>Yes</t>
        </is>
      </c>
      <c r="Y11" s="45" t="inlineStr">
        <is>
          <t>No</t>
        </is>
      </c>
      <c r="Z11" s="97" t="inlineStr">
        <is>
          <t>No</t>
        </is>
      </c>
      <c r="AA11" s="113" t="inlineStr">
        <is>
          <t>No</t>
        </is>
      </c>
      <c r="AB11" s="134" t="inlineStr">
        <is>
          <t>No</t>
        </is>
      </c>
      <c r="AC11" s="136" t="inlineStr">
        <is>
          <t>HIGH</t>
        </is>
      </c>
      <c r="AD11" s="136" t="inlineStr">
        <is>
          <t>Affordable Comp #4: LIHTC property, 1999 vintage (1 yr diff), 38 units, 2.7 mi from subject. Same income-eligible renter pool.</t>
        </is>
      </c>
      <c r="AE11" s="136" t="inlineStr">
        <is>
          <t>HUD LIHTC Database (huduser.gov)</t>
        </is>
      </c>
      <c r="AF11" s="136" t="n"/>
      <c r="AG11" s="136" t="n"/>
      <c r="AH11" s="136" t="n"/>
      <c r="AI11" s="136" t="n"/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37.5" customHeight="1" s="131">
      <c r="A12" s="114" t="n">
        <v>1</v>
      </c>
      <c r="B12" s="70" t="inlineStr">
        <is>
          <t>MARKET RATE</t>
        </is>
      </c>
      <c r="C12" s="67" t="inlineStr">
        <is>
          <t>The Waters at Promenade</t>
        </is>
      </c>
      <c r="D12" s="98" t="inlineStr">
        <is>
          <t>1600 Promenade Blvd</t>
        </is>
      </c>
      <c r="E12" s="98" t="inlineStr">
        <is>
          <t>Marrero</t>
        </is>
      </c>
      <c r="F12" s="98" t="inlineStr">
        <is>
          <t>LA</t>
        </is>
      </c>
      <c r="G12" s="98" t="inlineStr">
        <is>
          <t>70072</t>
        </is>
      </c>
      <c r="H12" s="98" t="inlineStr">
        <is>
          <t>0.8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N/A (Market Rate)</t>
        </is>
      </c>
      <c r="L12" s="157" t="n">
        <v>1673</v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N/A (Market Rate)</t>
        </is>
      </c>
      <c r="P12" s="157" t="n">
        <v>1995</v>
      </c>
      <c r="Q12" s="99" t="inlineStr">
        <is>
          <t>N/A (Market Rate)</t>
        </is>
      </c>
      <c r="R12" s="99" t="inlineStr">
        <is>
          <t>N/A (Market Rate)</t>
        </is>
      </c>
      <c r="S12" s="99" t="inlineStr">
        <is>
          <t>$1,818</t>
        </is>
      </c>
      <c r="T12" s="99" t="inlineStr">
        <is>
          <t>Not Listed</t>
        </is>
      </c>
      <c r="U12" s="99" t="inlineStr">
        <is>
          <t>120</t>
        </is>
      </c>
      <c r="V12" s="99" t="inlineStr">
        <is>
          <t>2001</t>
        </is>
      </c>
      <c r="W12" s="99" t="inlineStr">
        <is>
          <t>1</t>
        </is>
      </c>
      <c r="X12" s="99" t="inlineStr">
        <is>
          <t>Varies</t>
        </is>
      </c>
      <c r="Y12" s="46" t="inlineStr">
        <is>
          <t>Varies</t>
        </is>
      </c>
      <c r="Z12" s="100" t="inlineStr">
        <is>
          <t>Varies</t>
        </is>
      </c>
      <c r="AA12" s="115" t="inlineStr">
        <is>
          <t>Varies</t>
        </is>
      </c>
      <c r="AB12" s="134" t="inlineStr">
        <is>
          <t>Varies</t>
        </is>
      </c>
      <c r="AC12" s="136" t="inlineStr">
        <is>
          <t>HIGH</t>
        </is>
      </c>
      <c r="AD12" s="136" t="inlineStr">
        <is>
          <t>Market Rate Comp #1: No income restrictions, 2001 vintage (1 yr diff), 120 units, 1.2 mi from subject. Shows market-rate rents vs. affordable housing discount.</t>
        </is>
      </c>
      <c r="AE12" s="136" t="inlineStr">
        <is>
          <t>https://www.rentcafe.com/apartments-for-rent/us/la/marrero/</t>
        </is>
      </c>
      <c r="AF12" s="136" t="n"/>
      <c r="AG12" s="136" t="n"/>
      <c r="AH12" s="136" t="n"/>
      <c r="AI12" s="136" t="n"/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n">
        <v>2</v>
      </c>
      <c r="B13" s="71" t="inlineStr">
        <is>
          <t>MARKET RATE</t>
        </is>
      </c>
      <c r="C13" s="68" t="inlineStr">
        <is>
          <t>2808 Pritchard Rd</t>
        </is>
      </c>
      <c r="D13" s="101" t="inlineStr">
        <is>
          <t>2808 Pritchard Rd</t>
        </is>
      </c>
      <c r="E13" s="101" t="inlineStr">
        <is>
          <t>Marrero</t>
        </is>
      </c>
      <c r="F13" s="101" t="inlineStr">
        <is>
          <t>LA</t>
        </is>
      </c>
      <c r="G13" s="101" t="inlineStr">
        <is>
          <t>70072</t>
        </is>
      </c>
      <c r="H13" s="101" t="inlineStr">
        <is>
          <t>1.2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$1,254</t>
        </is>
      </c>
      <c r="L13" s="53" t="inlineStr">
        <is>
          <t>$1,250</t>
        </is>
      </c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N/A (Market Rate)</t>
        </is>
      </c>
      <c r="P13" s="157" t="n">
        <v>2150</v>
      </c>
      <c r="Q13" s="102" t="inlineStr">
        <is>
          <t>N/A (Market Rate)</t>
        </is>
      </c>
      <c r="R13" s="102" t="inlineStr">
        <is>
          <t>N/A (Market Rate)</t>
        </is>
      </c>
      <c r="S13" s="102" t="inlineStr">
        <is>
          <t>$1,818</t>
        </is>
      </c>
      <c r="T13" s="102" t="inlineStr">
        <is>
          <t>Not Listed</t>
        </is>
      </c>
      <c r="U13" s="102" t="inlineStr">
        <is>
          <t>96</t>
        </is>
      </c>
      <c r="V13" s="102" t="inlineStr">
        <is>
          <t>1999</t>
        </is>
      </c>
      <c r="W13" s="102" t="inlineStr">
        <is>
          <t>1</t>
        </is>
      </c>
      <c r="X13" s="102" t="inlineStr">
        <is>
          <t>Varies</t>
        </is>
      </c>
      <c r="Y13" s="47" t="inlineStr">
        <is>
          <t>Varies</t>
        </is>
      </c>
      <c r="Z13" s="103" t="inlineStr">
        <is>
          <t>Varies</t>
        </is>
      </c>
      <c r="AA13" s="117" t="inlineStr">
        <is>
          <t>Varies</t>
        </is>
      </c>
      <c r="AB13" s="134" t="inlineStr">
        <is>
          <t>Varies</t>
        </is>
      </c>
      <c r="AC13" s="136" t="inlineStr">
        <is>
          <t>HIGH</t>
        </is>
      </c>
      <c r="AD13" s="136" t="inlineStr">
        <is>
          <t>Market Rate Comp #2: No income restrictions, 1999 vintage (1 yr diff), 96 units, 4.0 mi from subject. Shows market-rate rents vs. affordable housing discount.</t>
        </is>
      </c>
      <c r="AE13" s="136" t="inlineStr">
        <is>
          <t>https://www.rentcafe.com/apartments-for-rent/us/la/harvey/</t>
        </is>
      </c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n">
        <v>3</v>
      </c>
      <c r="B14" s="69" t="inlineStr">
        <is>
          <t>MARKET RATE</t>
        </is>
      </c>
      <c r="C14" s="66" t="inlineStr">
        <is>
          <t>5007 Towering Oaks Ave</t>
        </is>
      </c>
      <c r="D14" s="95" t="inlineStr">
        <is>
          <t>5007 Towering Oaks Ave</t>
        </is>
      </c>
      <c r="E14" s="95" t="inlineStr">
        <is>
          <t>Marrero</t>
        </is>
      </c>
      <c r="F14" s="95" t="inlineStr">
        <is>
          <t>LA</t>
        </is>
      </c>
      <c r="G14" s="95" t="inlineStr">
        <is>
          <t>70072</t>
        </is>
      </c>
      <c r="H14" s="95" t="inlineStr">
        <is>
          <t>1.5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$1,254</t>
        </is>
      </c>
      <c r="L14" s="53" t="inlineStr">
        <is>
          <t>$1,300</t>
        </is>
      </c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N/A (Market Rate)</t>
        </is>
      </c>
      <c r="P14" s="157" t="n">
        <v>1700</v>
      </c>
      <c r="Q14" s="96" t="inlineStr">
        <is>
          <t>N/A (Market Rate)</t>
        </is>
      </c>
      <c r="R14" s="96" t="inlineStr">
        <is>
          <t>N/A (Market Rate)</t>
        </is>
      </c>
      <c r="S14" s="96" t="inlineStr">
        <is>
          <t>$1,818</t>
        </is>
      </c>
      <c r="T14" s="96" t="inlineStr">
        <is>
          <t>Not Listed</t>
        </is>
      </c>
      <c r="U14" s="96" t="inlineStr">
        <is>
          <t>80</t>
        </is>
      </c>
      <c r="V14" s="96" t="inlineStr">
        <is>
          <t>2002</t>
        </is>
      </c>
      <c r="W14" s="96" t="inlineStr">
        <is>
          <t>2</t>
        </is>
      </c>
      <c r="X14" s="96" t="inlineStr">
        <is>
          <t>Varies</t>
        </is>
      </c>
      <c r="Y14" s="45" t="inlineStr">
        <is>
          <t>Varies</t>
        </is>
      </c>
      <c r="Z14" s="97" t="inlineStr">
        <is>
          <t>Varies</t>
        </is>
      </c>
      <c r="AA14" s="113" t="inlineStr">
        <is>
          <t>Varies</t>
        </is>
      </c>
      <c r="AB14" s="134" t="inlineStr">
        <is>
          <t>Varies</t>
        </is>
      </c>
      <c r="AC14" s="136" t="inlineStr">
        <is>
          <t>HIGH</t>
        </is>
      </c>
      <c r="AD14" s="136" t="inlineStr">
        <is>
          <t>Market Rate Comp #3: No income restrictions, 2002 vintage (2 yr diff), 80 units, 6.0 mi from subject. Shows market-rate rents vs. affordable housing discount.</t>
        </is>
      </c>
      <c r="AE14" s="136" t="inlineStr">
        <is>
          <t>https://www.rentcafe.com/apartments-for-rent/us/la/gretna/</t>
        </is>
      </c>
      <c r="AF14" s="136" t="n"/>
      <c r="AG14" s="136" t="n"/>
      <c r="AH14" s="136" t="n"/>
      <c r="AI14" s="136" t="n"/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n">
        <v>4</v>
      </c>
      <c r="B15" s="69" t="inlineStr">
        <is>
          <t>MARKET RATE</t>
        </is>
      </c>
      <c r="C15" s="66" t="inlineStr">
        <is>
          <t>437 Robinson Ave</t>
        </is>
      </c>
      <c r="D15" s="95" t="inlineStr">
        <is>
          <t>437 Robinson Ave</t>
        </is>
      </c>
      <c r="E15" s="95" t="inlineStr">
        <is>
          <t>Marrero</t>
        </is>
      </c>
      <c r="F15" s="95" t="inlineStr">
        <is>
          <t>LA</t>
        </is>
      </c>
      <c r="G15" s="95" t="inlineStr">
        <is>
          <t>70072</t>
        </is>
      </c>
      <c r="H15" s="95" t="inlineStr">
        <is>
          <t>0.6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N/A (Market Rate)</t>
        </is>
      </c>
      <c r="L15" s="157" t="n">
        <v>1050</v>
      </c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$1,573</t>
        </is>
      </c>
      <c r="P15" s="53" t="inlineStr">
        <is>
          <t>$1,625</t>
        </is>
      </c>
      <c r="Q15" s="96" t="inlineStr">
        <is>
          <t>N/A (Market Rate)</t>
        </is>
      </c>
      <c r="R15" s="96" t="inlineStr">
        <is>
          <t>N/A (Market Rate)</t>
        </is>
      </c>
      <c r="S15" s="96" t="inlineStr">
        <is>
          <t>$1,818</t>
        </is>
      </c>
      <c r="T15" s="96" t="inlineStr">
        <is>
          <t>Not Listed</t>
        </is>
      </c>
      <c r="U15" s="96" t="inlineStr">
        <is>
          <t>64</t>
        </is>
      </c>
      <c r="V15" s="96" t="inlineStr">
        <is>
          <t>2000</t>
        </is>
      </c>
      <c r="W15" s="96" t="inlineStr">
        <is>
          <t>0</t>
        </is>
      </c>
      <c r="X15" s="96" t="inlineStr">
        <is>
          <t>Varies</t>
        </is>
      </c>
      <c r="Y15" s="45" t="inlineStr">
        <is>
          <t>Varies</t>
        </is>
      </c>
      <c r="Z15" s="97" t="inlineStr">
        <is>
          <t>Varies</t>
        </is>
      </c>
      <c r="AA15" s="113" t="inlineStr">
        <is>
          <t>Varies</t>
        </is>
      </c>
      <c r="AB15" s="134" t="inlineStr">
        <is>
          <t>Varies</t>
        </is>
      </c>
      <c r="AC15" s="136" t="inlineStr">
        <is>
          <t>HIGH</t>
        </is>
      </c>
      <c r="AD15" s="136" t="inlineStr">
        <is>
          <t>Market Rate Comp #4: No income restrictions, 2000 vintage (0 yr diff), 64 units, 5.5 mi from subject. Shows market-rate rents vs. affordable housing discount.</t>
        </is>
      </c>
      <c r="AE15" s="136" t="inlineStr">
        <is>
          <t>https://www.rentcafe.com/apartments-for-rent/us/la/gretna/</t>
        </is>
      </c>
      <c r="AF15" s="136" t="n"/>
      <c r="AG15" s="136" t="n"/>
      <c r="AH15" s="136" t="n"/>
      <c r="AI15" s="136" t="n"/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n">
        <v>5</v>
      </c>
      <c r="B16" s="82" t="inlineStr">
        <is>
          <t>MARKET RATE</t>
        </is>
      </c>
      <c r="C16" s="119" t="inlineStr">
        <is>
          <t>1501 Somerset Pl</t>
        </is>
      </c>
      <c r="D16" s="120" t="inlineStr">
        <is>
          <t>1501 Somerset Pl</t>
        </is>
      </c>
      <c r="E16" s="120" t="inlineStr">
        <is>
          <t>Marrero</t>
        </is>
      </c>
      <c r="F16" s="120" t="inlineStr">
        <is>
          <t>LA</t>
        </is>
      </c>
      <c r="G16" s="120" t="inlineStr">
        <is>
          <t>70072</t>
        </is>
      </c>
      <c r="H16" s="120" t="inlineStr">
        <is>
          <t>0.9 mi</t>
        </is>
      </c>
      <c r="I16" s="120" t="inlineStr">
        <is>
          <t>$1,254</t>
        </is>
      </c>
      <c r="J16" s="120" t="inlineStr">
        <is>
          <t>$1,254</t>
        </is>
      </c>
      <c r="K16" s="121" t="inlineStr">
        <is>
          <t>$1,254</t>
        </is>
      </c>
      <c r="L16" s="83" t="inlineStr">
        <is>
          <t>N/A</t>
        </is>
      </c>
      <c r="M16" s="122" t="inlineStr">
        <is>
          <t>N/A (Market Rate)</t>
        </is>
      </c>
      <c r="N16" s="122" t="inlineStr">
        <is>
          <t>N/A (Market Rate)</t>
        </is>
      </c>
      <c r="O16" s="121" t="inlineStr">
        <is>
          <t>N/A (Market Rate)</t>
        </is>
      </c>
      <c r="P16" s="159" t="n">
        <v>1850</v>
      </c>
      <c r="Q16" s="122" t="inlineStr">
        <is>
          <t>$1,818</t>
        </is>
      </c>
      <c r="R16" s="122" t="inlineStr">
        <is>
          <t>$1,818</t>
        </is>
      </c>
      <c r="S16" s="122" t="inlineStr">
        <is>
          <t>$1,818</t>
        </is>
      </c>
      <c r="T16" s="122" t="inlineStr">
        <is>
          <t>N/A</t>
        </is>
      </c>
      <c r="U16" s="122" t="inlineStr">
        <is>
          <t>N/A</t>
        </is>
      </c>
      <c r="V16" s="122" t="inlineStr">
        <is>
          <t>N/A</t>
        </is>
      </c>
      <c r="W16" s="122" t="inlineStr">
        <is>
          <t>N/A</t>
        </is>
      </c>
      <c r="X16" s="122" t="inlineStr">
        <is>
          <t>N/A</t>
        </is>
      </c>
      <c r="Y16" s="84" t="inlineStr">
        <is>
          <t>N/A</t>
        </is>
      </c>
      <c r="Z16" s="123" t="inlineStr">
        <is>
          <t>N/A</t>
        </is>
      </c>
      <c r="AA16" s="124" t="inlineStr">
        <is>
          <t>N/A</t>
        </is>
      </c>
      <c r="AB16" s="134" t="inlineStr">
        <is>
          <t>N/A</t>
        </is>
      </c>
      <c r="AC16" s="136" t="inlineStr">
        <is>
          <t>BENCHMARK</t>
        </is>
      </c>
      <c r="AD16" s="136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136" t="inlineStr">
        <is>
          <t>HUD FMR Database (huduser.gov)</t>
        </is>
      </c>
      <c r="AF16" s="136" t="n"/>
      <c r="AG16" s="136" t="n"/>
      <c r="AH16" s="136" t="n"/>
      <c r="AI16" s="136" t="n"/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n">
        <v>6</v>
      </c>
      <c r="B17" s="88" t="inlineStr">
        <is>
          <t>MARKET RATE</t>
        </is>
      </c>
      <c r="C17" s="89" t="inlineStr">
        <is>
          <t>1513 R. Esplanade</t>
        </is>
      </c>
      <c r="D17" s="87" t="inlineStr">
        <is>
          <t>1513 R. Esplanade</t>
        </is>
      </c>
      <c r="E17" s="87" t="inlineStr">
        <is>
          <t>Marrero</t>
        </is>
      </c>
      <c r="F17" s="87" t="inlineStr">
        <is>
          <t>LA</t>
        </is>
      </c>
      <c r="G17" s="87" t="inlineStr">
        <is>
          <t>70072</t>
        </is>
      </c>
      <c r="H17" s="87" t="inlineStr">
        <is>
          <t>0.7 mi</t>
        </is>
      </c>
      <c r="I17" s="87" t="inlineStr">
        <is>
          <t>$1,379</t>
        </is>
      </c>
      <c r="J17" s="87" t="inlineStr">
        <is>
          <t>$1,379</t>
        </is>
      </c>
      <c r="K17" s="90" t="inlineStr">
        <is>
          <t>$1,379</t>
        </is>
      </c>
      <c r="L17" s="91" t="inlineStr">
        <is>
          <t>N/A</t>
        </is>
      </c>
      <c r="M17" s="92" t="inlineStr">
        <is>
          <t>$1,730</t>
        </is>
      </c>
      <c r="N17" s="92" t="inlineStr">
        <is>
          <t>$1,730</t>
        </is>
      </c>
      <c r="O17" s="90" t="inlineStr">
        <is>
          <t>$1,730</t>
        </is>
      </c>
      <c r="P17" s="91" t="inlineStr">
        <is>
          <t>N/A</t>
        </is>
      </c>
      <c r="Q17" s="92" t="inlineStr">
        <is>
          <t>N/A (Market Rate)</t>
        </is>
      </c>
      <c r="R17" s="92" t="inlineStr">
        <is>
          <t>N/A (Market Rate)</t>
        </is>
      </c>
      <c r="S17" s="92" t="inlineStr">
        <is>
          <t>N/A (Market Rate)</t>
        </is>
      </c>
      <c r="T17" s="163" t="n">
        <v>2800</v>
      </c>
      <c r="U17" s="92" t="inlineStr">
        <is>
          <t>N/A</t>
        </is>
      </c>
      <c r="V17" s="92" t="inlineStr">
        <is>
          <t>N/A</t>
        </is>
      </c>
      <c r="W17" s="92" t="inlineStr">
        <is>
          <t>N/A</t>
        </is>
      </c>
      <c r="X17" s="92" t="inlineStr">
        <is>
          <t>N/A</t>
        </is>
      </c>
      <c r="Y17" s="93" t="inlineStr">
        <is>
          <t>N/A</t>
        </is>
      </c>
      <c r="Z17" s="94" t="inlineStr">
        <is>
          <t>N/A</t>
        </is>
      </c>
      <c r="AA17" s="92" t="inlineStr">
        <is>
          <t>N/A</t>
        </is>
      </c>
      <c r="AB17" s="136" t="inlineStr">
        <is>
          <t>N/A</t>
        </is>
      </c>
      <c r="AC17" s="136" t="inlineStr">
        <is>
          <t>BENCHMARK</t>
        </is>
      </c>
      <c r="AD17" s="136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136" t="inlineStr">
        <is>
          <t>HUD FMR + Market Estimate</t>
        </is>
      </c>
      <c r="AF17" s="136" t="n"/>
      <c r="AG17" s="136" t="n"/>
      <c r="AH17" s="136" t="n"/>
      <c r="AI17" s="136" t="n"/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F19" s="136" t="n"/>
      <c r="AG19" s="136" t="n"/>
      <c r="AH19" s="136" t="n"/>
      <c r="AI19" s="136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Height="1" s="131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Format="1" customHeight="1" s="2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Format="1" customHeight="1" s="2">
      <c r="A25" s="372" t="n"/>
      <c r="B25" s="201" t="inlineStr">
        <is>
          <t>2BD</t>
        </is>
      </c>
      <c r="C25" s="194" t="n"/>
      <c r="D25" s="200" t="n">
        <v>1318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Height="1" s="131">
      <c r="A26" s="372" t="n"/>
      <c r="B26" s="201" t="inlineStr">
        <is>
          <t>3BD</t>
        </is>
      </c>
      <c r="C26" s="194" t="n"/>
      <c r="D26" s="200" t="n">
        <v>1864</v>
      </c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24.75" customHeight="1" s="131">
      <c r="A27" s="369" t="n"/>
      <c r="B27" s="201" t="inlineStr">
        <is>
          <t>4BD</t>
        </is>
      </c>
      <c r="C27" s="194" t="n"/>
      <c r="D27" s="200" t="n">
        <v>2800</v>
      </c>
      <c r="E27" s="195" t="n"/>
      <c r="F27" s="183" t="n"/>
      <c r="G27" s="183" t="n"/>
      <c r="H27" s="183" t="n"/>
      <c r="I27" s="183" t="n"/>
      <c r="J27" s="183" t="n"/>
      <c r="K27" s="302" t="n"/>
      <c r="L27" s="302" t="n"/>
      <c r="M27" s="302" t="n"/>
      <c r="N27" s="302" t="n"/>
      <c r="O27" s="343" t="n"/>
      <c r="P27" s="302" t="n"/>
      <c r="Q27" s="302" t="n"/>
      <c r="R27" s="302" t="n"/>
      <c r="S27" s="302" t="n"/>
      <c r="T27" s="302" t="n"/>
      <c r="U27" s="302" t="n"/>
      <c r="V27" s="302" t="n"/>
      <c r="W27" s="302" t="n"/>
      <c r="X27" s="302" t="n"/>
      <c r="Y27" s="302" t="n"/>
      <c r="Z27" s="302" t="n"/>
      <c r="AA27" s="353" t="n"/>
      <c r="AB27" s="302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8.1" customFormat="1" customHeight="1" s="2">
      <c r="A28" s="382" t="n"/>
      <c r="B28" s="404" t="n"/>
      <c r="C28" s="454" t="n"/>
      <c r="D28" s="404" t="n"/>
      <c r="E28" s="404" t="n"/>
      <c r="F28" s="382" t="n"/>
      <c r="G28" s="369" t="n"/>
      <c r="H28" s="369" t="n"/>
      <c r="I28" s="369" t="n"/>
      <c r="J28" s="369" t="n"/>
      <c r="K28" s="369" t="n"/>
      <c r="L28" s="134" t="n"/>
      <c r="M28" s="134" t="n"/>
      <c r="N28" s="134" t="n"/>
      <c r="O28" s="134" t="n"/>
      <c r="P28" s="134" t="n"/>
      <c r="Q28" s="134" t="n"/>
      <c r="R28" s="134" t="n"/>
      <c r="S28" s="134" t="n"/>
      <c r="T28" s="134" t="n"/>
      <c r="U28" s="134" t="n"/>
      <c r="V28" s="134" t="n"/>
      <c r="W28" s="134" t="n"/>
      <c r="X28" s="134" t="n"/>
      <c r="Y28" s="134" t="n"/>
      <c r="Z28" s="135" t="n"/>
      <c r="AA28" s="134" t="n"/>
      <c r="AB28" s="134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24.75" customFormat="1" customHeight="1" s="2">
      <c r="A29" s="302" t="n"/>
      <c r="B29" s="211" t="inlineStr">
        <is>
          <t>PMTS — Vouchers / FMR / UAP / NET</t>
        </is>
      </c>
      <c r="G29" s="365" t="n"/>
      <c r="H29" s="183" t="n"/>
      <c r="I29" s="183" t="n"/>
      <c r="J29" s="183" t="n"/>
      <c r="K29" s="302" t="n"/>
      <c r="L29" s="302" t="n"/>
      <c r="M29" s="302" t="n"/>
      <c r="N29" s="302" t="n"/>
      <c r="O29" s="302" t="n"/>
      <c r="P29" s="302" t="n"/>
      <c r="Q29" s="302" t="n"/>
      <c r="R29" s="302" t="n"/>
      <c r="S29" s="302" t="n"/>
      <c r="T29" s="302" t="n"/>
      <c r="U29" s="302" t="n"/>
      <c r="V29" s="302" t="n"/>
      <c r="W29" s="302" t="n"/>
      <c r="X29" s="302" t="n"/>
      <c r="Y29" s="302" t="n"/>
      <c r="Z29" s="302" t="n"/>
      <c r="AA29" s="353" t="n"/>
      <c r="AB29" s="302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15.95" customFormat="1" customHeight="1" s="2">
      <c r="A30" s="302" t="n"/>
      <c r="B30" s="226" t="n"/>
      <c r="C30" s="213" t="inlineStr">
        <is>
          <t>MKT</t>
        </is>
      </c>
      <c r="D30" s="213" t="inlineStr">
        <is>
          <t>VCH</t>
        </is>
      </c>
      <c r="E30" s="214" t="inlineStr">
        <is>
          <t>FMR</t>
        </is>
      </c>
      <c r="F30" s="215" t="inlineStr">
        <is>
          <t>UAP</t>
        </is>
      </c>
      <c r="G30" s="216" t="inlineStr">
        <is>
          <t>NET</t>
        </is>
      </c>
      <c r="H30" s="183" t="n"/>
      <c r="I30" s="183" t="n"/>
      <c r="J30" s="183" t="n"/>
      <c r="K30" s="302" t="n"/>
      <c r="L30" s="302" t="n"/>
      <c r="M30" s="302" t="n"/>
      <c r="N30" s="302" t="n"/>
      <c r="O30" s="302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24.75" customFormat="1" customHeight="1" s="2">
      <c r="A31" s="372" t="n"/>
      <c r="B31" s="217" t="inlineStr">
        <is>
          <t>2BD</t>
        </is>
      </c>
      <c r="C31" s="197" t="n">
        <v>0</v>
      </c>
      <c r="D31" s="197" t="n">
        <v>1200</v>
      </c>
      <c r="E31" s="198" t="n">
        <v>1490</v>
      </c>
      <c r="F31" s="199" t="n">
        <v>204</v>
      </c>
      <c r="G31" s="218" t="n">
        <v>1286</v>
      </c>
      <c r="H31" s="183" t="n"/>
      <c r="I31" s="183" t="n"/>
      <c r="J31" s="183" t="n"/>
      <c r="K31" s="302" t="n"/>
      <c r="L31" s="302" t="n"/>
      <c r="M31" s="302" t="n"/>
      <c r="N31" s="302" t="n"/>
      <c r="O31" s="343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24.75" customFormat="1" customHeight="1" s="2">
      <c r="A32" s="369" t="n"/>
      <c r="B32" s="217" t="inlineStr">
        <is>
          <t>3BD</t>
        </is>
      </c>
      <c r="C32" s="197" t="n">
        <v>0</v>
      </c>
      <c r="D32" s="197" t="n">
        <v>1500</v>
      </c>
      <c r="E32" s="198" t="n">
        <v>1900</v>
      </c>
      <c r="F32" s="199" t="n">
        <v>289</v>
      </c>
      <c r="G32" s="218" t="n">
        <v>1611</v>
      </c>
      <c r="H32" s="183" t="n"/>
      <c r="I32" s="183" t="n"/>
      <c r="J32" s="183" t="n"/>
      <c r="K32" s="302" t="n"/>
      <c r="L32" s="302" t="n"/>
      <c r="M32" s="302" t="n"/>
      <c r="N32" s="302" t="n"/>
      <c r="O32" s="343" t="n"/>
      <c r="P32" s="302" t="n"/>
      <c r="Q32" s="302" t="n"/>
      <c r="R32" s="302" t="n"/>
      <c r="S32" s="302" t="n"/>
      <c r="T32" s="302" t="n"/>
      <c r="U32" s="302" t="n"/>
      <c r="V32" s="302" t="n"/>
      <c r="W32" s="302" t="n"/>
      <c r="X32" s="302" t="n"/>
      <c r="Y32" s="302" t="n"/>
      <c r="Z32" s="302" t="n"/>
      <c r="AA32" s="353" t="n"/>
      <c r="AB32" s="302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24.75" customHeight="1" s="131">
      <c r="A33" s="382" t="n"/>
      <c r="B33" s="217" t="inlineStr">
        <is>
          <t>4BD</t>
        </is>
      </c>
      <c r="C33" s="197" t="n">
        <v>0</v>
      </c>
      <c r="D33" s="197" t="n">
        <v>1550</v>
      </c>
      <c r="E33" s="198" t="n">
        <v>2240</v>
      </c>
      <c r="F33" s="199" t="n">
        <v>374</v>
      </c>
      <c r="G33" s="218" t="n">
        <v>1866</v>
      </c>
      <c r="H33" s="183" t="n"/>
      <c r="I33" s="183" t="n"/>
      <c r="J33" s="183" t="n"/>
      <c r="K33" s="302" t="n"/>
      <c r="L33" s="302" t="n"/>
      <c r="M33" s="302" t="n"/>
      <c r="N33" s="302" t="n"/>
      <c r="O33" s="343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8.1" customHeight="1" s="131">
      <c r="A34" s="372" t="n"/>
      <c r="B34" s="372" t="n"/>
      <c r="C34" s="372" t="n"/>
      <c r="D34" s="372" t="n"/>
      <c r="E34" s="372" t="n"/>
      <c r="F34" s="369" t="n"/>
      <c r="G34" s="369" t="n"/>
      <c r="H34" s="369" t="n"/>
      <c r="I34" s="369" t="n"/>
      <c r="J34" s="369" t="n"/>
      <c r="K34" s="369" t="n"/>
      <c r="L34" s="136" t="n"/>
      <c r="M34" s="136" t="n"/>
      <c r="N34" s="136" t="n"/>
      <c r="O34" s="136" t="n"/>
      <c r="P34" s="136" t="n"/>
      <c r="Q34" s="136" t="n"/>
      <c r="R34" s="136" t="n"/>
      <c r="S34" s="136" t="n"/>
      <c r="T34" s="136" t="n"/>
      <c r="U34" s="136" t="n"/>
      <c r="V34" s="136" t="n"/>
      <c r="W34" s="136" t="n"/>
      <c r="X34" s="136" t="n"/>
      <c r="Y34" s="136" t="n"/>
      <c r="Z34" s="136" t="n"/>
      <c r="AA34" s="136" t="n"/>
      <c r="AB34" s="136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24.75" customFormat="1" customHeight="1" s="2">
      <c r="A35" s="302" t="n"/>
      <c r="B35" s="366" t="inlineStr">
        <is>
          <t>LIHTC, UAP, NET</t>
        </is>
      </c>
      <c r="C35" s="358" t="n"/>
      <c r="D35" s="358" t="n"/>
      <c r="E35" s="358" t="n"/>
      <c r="F35" s="358" t="n"/>
      <c r="G35" s="359" t="n"/>
      <c r="H35" s="183" t="n"/>
      <c r="I35" s="183" t="n"/>
      <c r="J35" s="183" t="n"/>
      <c r="K35" s="302" t="n"/>
      <c r="L35" s="302" t="n"/>
      <c r="M35" s="302" t="n"/>
      <c r="N35" s="302" t="n"/>
      <c r="O35" s="302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16.5" customFormat="1" customHeight="1" s="2">
      <c r="A36" s="369" t="n"/>
      <c r="B36" s="226" t="n"/>
      <c r="C36" s="228" t="inlineStr">
        <is>
          <t>LIHTC/MKT</t>
        </is>
      </c>
      <c r="D36" s="228" t="inlineStr">
        <is>
          <t>60%</t>
        </is>
      </c>
      <c r="E36" s="215" t="inlineStr">
        <is>
          <t>UAP</t>
        </is>
      </c>
      <c r="F36" s="216" t="inlineStr">
        <is>
          <t>NET</t>
        </is>
      </c>
      <c r="G36" s="183" t="n"/>
      <c r="H36" s="183" t="n"/>
      <c r="I36" s="183" t="n"/>
      <c r="J36" s="183" t="n"/>
      <c r="K36" s="302" t="n"/>
      <c r="L36" s="302" t="n"/>
      <c r="M36" s="302" t="n"/>
      <c r="N36" s="302" t="n"/>
      <c r="O36" s="343" t="n"/>
      <c r="P36" s="302" t="n"/>
      <c r="Q36" s="302" t="n"/>
      <c r="R36" s="302" t="n"/>
      <c r="S36" s="302" t="n"/>
      <c r="T36" s="302" t="n"/>
      <c r="U36" s="302" t="n"/>
      <c r="V36" s="302" t="n"/>
      <c r="W36" s="302" t="n"/>
      <c r="X36" s="302" t="n"/>
      <c r="Y36" s="302" t="n"/>
      <c r="Z36" s="302" t="n"/>
      <c r="AA36" s="353" t="n"/>
      <c r="AB36" s="302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24.75" customFormat="1" customHeight="1" s="2">
      <c r="A37" s="369" t="n"/>
      <c r="B37" s="224" t="inlineStr">
        <is>
          <t>2BD</t>
        </is>
      </c>
      <c r="C37" s="225" t="n">
        <v>1213</v>
      </c>
      <c r="D37" s="225" t="n">
        <v>1009</v>
      </c>
      <c r="E37" s="225" t="n">
        <v>204</v>
      </c>
      <c r="F37" s="223" t="n">
        <v>805</v>
      </c>
      <c r="G37" s="183" t="n"/>
      <c r="H37" s="183" t="n"/>
      <c r="I37" s="183" t="n"/>
      <c r="J37" s="183" t="n"/>
      <c r="K37" s="302" t="n"/>
      <c r="L37" s="302" t="n"/>
      <c r="M37" s="302" t="n"/>
      <c r="N37" s="302" t="n"/>
      <c r="O37" s="343" t="n"/>
      <c r="P37" s="302" t="n"/>
      <c r="Q37" s="302" t="n"/>
      <c r="R37" s="302" t="n"/>
      <c r="S37" s="302" t="n"/>
      <c r="T37" s="302" t="n"/>
      <c r="U37" s="302" t="n"/>
      <c r="V37" s="302" t="n"/>
      <c r="W37" s="302" t="n"/>
      <c r="X37" s="302" t="n"/>
      <c r="Y37" s="302" t="n"/>
      <c r="Z37" s="302" t="n"/>
      <c r="AA37" s="353" t="n"/>
      <c r="AB37" s="302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24.75" customFormat="1" customHeight="1" s="2">
      <c r="A38" s="372" t="n"/>
      <c r="B38" s="224" t="inlineStr">
        <is>
          <t>3BD</t>
        </is>
      </c>
      <c r="C38" s="225" t="n">
        <v>1401</v>
      </c>
      <c r="D38" s="225" t="n">
        <v>1112</v>
      </c>
      <c r="E38" s="225" t="n">
        <v>289</v>
      </c>
      <c r="F38" s="223" t="n">
        <v>823</v>
      </c>
      <c r="G38" s="183" t="n"/>
      <c r="H38" s="183" t="n"/>
      <c r="I38" s="183" t="n"/>
      <c r="J38" s="183" t="n"/>
      <c r="K38" s="302" t="n"/>
      <c r="L38" s="302" t="n"/>
      <c r="M38" s="302" t="n"/>
      <c r="N38" s="302" t="n"/>
      <c r="O38" s="343" t="n"/>
      <c r="P38" s="302" t="n"/>
      <c r="Q38" s="302" t="n"/>
      <c r="R38" s="302" t="n"/>
      <c r="S38" s="302" t="n"/>
      <c r="T38" s="302" t="n"/>
      <c r="U38" s="302" t="n"/>
      <c r="V38" s="302" t="n"/>
      <c r="W38" s="302" t="n"/>
      <c r="X38" s="302" t="n"/>
      <c r="Y38" s="302" t="n"/>
      <c r="Z38" s="302" t="n"/>
      <c r="AA38" s="353" t="n"/>
      <c r="AB38" s="302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24.75" customFormat="1" customHeight="1" s="2">
      <c r="A39" s="372" t="n"/>
      <c r="B39" s="224" t="inlineStr">
        <is>
          <t>4BD</t>
        </is>
      </c>
      <c r="C39" s="225" t="n">
        <v>1563</v>
      </c>
      <c r="D39" s="225" t="n">
        <v>1189</v>
      </c>
      <c r="E39" s="225" t="n">
        <v>374</v>
      </c>
      <c r="F39" s="223" t="n">
        <v>815</v>
      </c>
      <c r="G39" s="183" t="n"/>
      <c r="H39" s="183" t="n"/>
      <c r="I39" s="183" t="n"/>
      <c r="J39" s="183" t="n"/>
      <c r="K39" s="302" t="n"/>
      <c r="L39" s="302" t="n"/>
      <c r="M39" s="302" t="n"/>
      <c r="N39" s="302" t="n"/>
      <c r="O39" s="343" t="n"/>
      <c r="P39" s="302" t="n"/>
      <c r="Q39" s="302" t="n"/>
      <c r="R39" s="302" t="n"/>
      <c r="S39" s="302" t="n"/>
      <c r="T39" s="302" t="n"/>
      <c r="U39" s="302" t="n"/>
      <c r="V39" s="302" t="n"/>
      <c r="W39" s="302" t="n"/>
      <c r="X39" s="302" t="n"/>
      <c r="Y39" s="302" t="n"/>
      <c r="Z39" s="302" t="n"/>
      <c r="AA39" s="353" t="n"/>
      <c r="AB39" s="302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ht="18" customHeight="1" s="131">
      <c r="A40" s="372" t="n"/>
      <c r="B40" s="392" t="n"/>
      <c r="C40" s="392" t="n"/>
      <c r="D40" s="369" t="n"/>
      <c r="E40" s="369" t="n"/>
      <c r="F40" s="369" t="n"/>
      <c r="G40" s="369" t="n"/>
      <c r="H40" s="369" t="n"/>
      <c r="I40" s="369" t="n"/>
      <c r="J40" s="369" t="n"/>
      <c r="K40" s="369" t="n"/>
      <c r="L40" s="136" t="n"/>
      <c r="M40" s="136" t="n"/>
      <c r="N40" s="136" t="n"/>
      <c r="O40" s="136" t="n"/>
      <c r="P40" s="136" t="n"/>
      <c r="Q40" s="136" t="n"/>
      <c r="R40" s="136" t="n"/>
      <c r="S40" s="136" t="n"/>
      <c r="T40" s="136" t="n"/>
      <c r="U40" s="136" t="n"/>
      <c r="V40" s="136" t="n"/>
      <c r="W40" s="136" t="n"/>
      <c r="X40" s="136" t="n"/>
      <c r="Y40" s="136" t="n"/>
      <c r="Z40" s="136" t="n"/>
      <c r="AA40" s="136" t="n"/>
      <c r="AB40" s="136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ht="18" customHeight="1" s="131">
      <c r="A41" s="369" t="n"/>
      <c r="B41" s="371" t="n"/>
      <c r="C41" s="371" t="n"/>
      <c r="D41" s="371" t="n"/>
      <c r="E41" s="371" t="n"/>
      <c r="F41" s="371" t="n"/>
      <c r="G41" s="369" t="n"/>
      <c r="H41" s="369" t="n"/>
      <c r="I41" s="369" t="n"/>
      <c r="J41" s="369" t="n"/>
      <c r="K41" s="369" t="n"/>
      <c r="L41" s="136" t="n"/>
      <c r="M41" s="136" t="n"/>
      <c r="N41" s="136" t="n"/>
      <c r="O41" s="136" t="n"/>
      <c r="P41" s="136" t="n"/>
      <c r="Q41" s="136" t="n"/>
      <c r="R41" s="136" t="n"/>
      <c r="S41" s="136" t="n"/>
      <c r="T41" s="136" t="n"/>
      <c r="U41" s="136" t="n"/>
      <c r="V41" s="136" t="n"/>
      <c r="W41" s="136" t="n"/>
      <c r="X41" s="136" t="n"/>
      <c r="Y41" s="136" t="n"/>
      <c r="Z41" s="136" t="n"/>
      <c r="AA41" s="136" t="n"/>
      <c r="AB41" s="136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ht="24.75" customFormat="1" customHeight="1" s="2">
      <c r="A42" s="302" t="n"/>
      <c r="B42" s="207" t="inlineStr">
        <is>
          <t>HAP, CoStar, NET</t>
        </is>
      </c>
      <c r="H42" s="183" t="n"/>
      <c r="I42" s="183" t="n"/>
      <c r="J42" s="183" t="n"/>
      <c r="K42" s="302" t="n"/>
      <c r="L42" s="302" t="n"/>
      <c r="M42" s="302" t="n"/>
      <c r="N42" s="302" t="n"/>
      <c r="O42" s="302" t="n"/>
      <c r="P42" s="302" t="n"/>
      <c r="Q42" s="302" t="n"/>
      <c r="R42" s="302" t="n"/>
      <c r="S42" s="302" t="n"/>
      <c r="T42" s="302" t="n"/>
      <c r="U42" s="302" t="n"/>
      <c r="V42" s="302" t="n"/>
      <c r="W42" s="302" t="n"/>
      <c r="X42" s="302" t="n"/>
      <c r="Y42" s="302" t="n"/>
      <c r="Z42" s="302" t="n"/>
      <c r="AA42" s="353" t="n"/>
      <c r="AB42" s="302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ht="15.95" customFormat="1" customHeight="1" s="2">
      <c r="A43" s="302" t="n"/>
      <c r="B43" s="227" t="n"/>
      <c r="C43" s="208" t="inlineStr">
        <is>
          <t>HAP</t>
        </is>
      </c>
      <c r="D43" s="209" t="inlineStr">
        <is>
          <t>CoStar</t>
        </is>
      </c>
      <c r="E43" s="302" t="n"/>
      <c r="F43" s="302" t="n"/>
      <c r="G43" s="302" t="n"/>
      <c r="H43" s="183" t="n"/>
      <c r="I43" s="183" t="n"/>
      <c r="J43" s="183" t="n"/>
      <c r="K43" s="302" t="n"/>
      <c r="L43" s="302" t="n"/>
      <c r="M43" s="302" t="n"/>
      <c r="N43" s="302" t="n"/>
      <c r="O43" s="302" t="n"/>
      <c r="P43" s="302" t="n"/>
      <c r="Q43" s="302" t="n"/>
      <c r="R43" s="302" t="n"/>
      <c r="S43" s="302" t="n"/>
      <c r="T43" s="302" t="n"/>
      <c r="U43" s="302" t="n"/>
      <c r="V43" s="302" t="n"/>
      <c r="W43" s="302" t="n"/>
      <c r="X43" s="302" t="n"/>
      <c r="Y43" s="302" t="n"/>
      <c r="Z43" s="302" t="n"/>
      <c r="AA43" s="353" t="n"/>
      <c r="AB43" s="302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ht="24.75" customFormat="1" customHeight="1" s="2">
      <c r="A44" s="302" t="n"/>
      <c r="B44" s="196" t="inlineStr">
        <is>
          <t>2BD</t>
        </is>
      </c>
      <c r="C44" s="199" t="n">
        <v>0</v>
      </c>
      <c r="D44" s="198" t="n">
        <v>1451</v>
      </c>
      <c r="E44" s="183" t="n"/>
      <c r="F44" s="183" t="n"/>
      <c r="G44" s="183" t="n"/>
      <c r="H44" s="183" t="n"/>
      <c r="I44" s="183" t="n"/>
      <c r="J44" s="183" t="n"/>
      <c r="K44" s="302" t="n"/>
      <c r="L44" s="302" t="n"/>
      <c r="M44" s="302" t="n"/>
      <c r="N44" s="302" t="n"/>
      <c r="O44" s="302" t="n"/>
      <c r="P44" s="302" t="n"/>
      <c r="Q44" s="302" t="n"/>
      <c r="R44" s="302" t="n"/>
      <c r="S44" s="302" t="n"/>
      <c r="T44" s="302" t="n"/>
      <c r="U44" s="302" t="n"/>
      <c r="V44" s="302" t="n"/>
      <c r="W44" s="302" t="n"/>
      <c r="X44" s="302" t="n"/>
      <c r="Y44" s="302" t="n"/>
      <c r="Z44" s="302" t="n"/>
      <c r="AA44" s="353" t="n"/>
      <c r="AB44" s="302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ht="24.75" customFormat="1" customHeight="1" s="2">
      <c r="A45" s="302" t="n"/>
      <c r="B45" s="196" t="inlineStr">
        <is>
          <t>3BD</t>
        </is>
      </c>
      <c r="C45" s="199" t="n">
        <v>0</v>
      </c>
      <c r="D45" s="198" t="n">
        <v>1614</v>
      </c>
      <c r="E45" s="183" t="n"/>
      <c r="F45" s="183" t="n"/>
      <c r="G45" s="183" t="n"/>
      <c r="H45" s="183" t="n"/>
      <c r="I45" s="183" t="n"/>
      <c r="J45" s="183" t="n"/>
      <c r="K45" s="302" t="n"/>
      <c r="L45" s="302" t="n"/>
      <c r="M45" s="302" t="n"/>
      <c r="N45" s="302" t="n"/>
      <c r="O45" s="302" t="n"/>
      <c r="P45" s="302" t="n"/>
      <c r="Q45" s="302" t="n"/>
      <c r="R45" s="302" t="n"/>
      <c r="S45" s="302" t="n"/>
      <c r="T45" s="302" t="n"/>
      <c r="U45" s="302" t="n"/>
      <c r="V45" s="302" t="n"/>
      <c r="W45" s="302" t="n"/>
      <c r="X45" s="302" t="n"/>
      <c r="Y45" s="302" t="n"/>
      <c r="Z45" s="302" t="n"/>
      <c r="AA45" s="353" t="n"/>
      <c r="AB45" s="302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ht="24.75" customFormat="1" customHeight="1" s="2">
      <c r="A46" s="302" t="n"/>
      <c r="B46" s="196" t="inlineStr">
        <is>
          <t>4BD</t>
        </is>
      </c>
      <c r="C46" s="199" t="n">
        <v>0</v>
      </c>
      <c r="D46" s="198" t="n">
        <v>1727</v>
      </c>
      <c r="E46" s="183" t="n"/>
      <c r="F46" s="183" t="n"/>
      <c r="G46" s="183" t="n"/>
      <c r="H46" s="183" t="n"/>
      <c r="I46" s="183" t="n"/>
      <c r="J46" s="183" t="n"/>
      <c r="K46" s="302" t="n"/>
      <c r="L46" s="302" t="n"/>
      <c r="M46" s="302" t="n"/>
      <c r="N46" s="302" t="n"/>
      <c r="O46" s="302" t="n"/>
      <c r="P46" s="302" t="n"/>
      <c r="Q46" s="302" t="n"/>
      <c r="R46" s="302" t="n"/>
      <c r="S46" s="302" t="n"/>
      <c r="T46" s="302" t="n"/>
      <c r="U46" s="302" t="n"/>
      <c r="V46" s="302" t="n"/>
      <c r="W46" s="302" t="n"/>
      <c r="X46" s="302" t="n"/>
      <c r="Y46" s="302" t="n"/>
      <c r="Z46" s="302" t="n"/>
      <c r="AA46" s="353" t="n"/>
      <c r="AB46" s="302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s="131">
      <c r="A47" s="369" t="n"/>
      <c r="B47" s="369" t="n"/>
      <c r="C47" s="369" t="n"/>
      <c r="D47" s="369" t="n"/>
      <c r="E47" s="369" t="n"/>
      <c r="F47" s="369" t="n"/>
      <c r="G47" s="369" t="n"/>
      <c r="H47" s="369" t="n"/>
      <c r="I47" s="369" t="n"/>
      <c r="J47" s="369" t="n"/>
      <c r="K47" s="369" t="n"/>
      <c r="L47" s="136" t="n"/>
      <c r="M47" s="136" t="n"/>
      <c r="N47" s="136" t="n"/>
      <c r="O47" s="136" t="n"/>
      <c r="P47" s="136" t="n"/>
      <c r="Q47" s="136" t="n"/>
      <c r="R47" s="136" t="n"/>
      <c r="S47" s="136" t="n"/>
      <c r="T47" s="136" t="n"/>
      <c r="U47" s="136" t="n"/>
      <c r="V47" s="136" t="n"/>
      <c r="W47" s="136" t="n"/>
      <c r="X47" s="136" t="n"/>
      <c r="Y47" s="136" t="n"/>
      <c r="Z47" s="136" t="n"/>
      <c r="AA47" s="136" t="n"/>
      <c r="AB47" s="136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s="131">
      <c r="A48" s="369" t="n"/>
      <c r="B48" s="369" t="n"/>
      <c r="C48" s="369" t="n"/>
      <c r="D48" s="369" t="n"/>
      <c r="E48" s="369" t="n"/>
      <c r="F48" s="369" t="n"/>
      <c r="G48" s="369" t="n"/>
      <c r="H48" s="369" t="n"/>
      <c r="I48" s="369" t="n"/>
      <c r="J48" s="369" t="n"/>
      <c r="K48" s="369" t="n"/>
      <c r="L48" s="136" t="n"/>
      <c r="M48" s="136" t="n"/>
      <c r="N48" s="136" t="n"/>
      <c r="O48" s="136" t="n"/>
      <c r="P48" s="136" t="n"/>
      <c r="Q48" s="136" t="n"/>
      <c r="R48" s="136" t="n"/>
      <c r="S48" s="136" t="n"/>
      <c r="T48" s="136" t="n"/>
      <c r="U48" s="136" t="n"/>
      <c r="V48" s="136" t="n"/>
      <c r="W48" s="136" t="n"/>
      <c r="X48" s="136" t="n"/>
      <c r="Y48" s="136" t="n"/>
      <c r="Z48" s="136" t="n"/>
      <c r="AA48" s="136" t="n"/>
      <c r="AB48" s="136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s="131">
      <c r="A49" s="369" t="n"/>
      <c r="B49" s="369" t="n"/>
      <c r="C49" s="369" t="n"/>
      <c r="D49" s="369" t="n"/>
      <c r="E49" s="369" t="n"/>
      <c r="F49" s="369" t="n"/>
      <c r="G49" s="369" t="n"/>
      <c r="H49" s="369" t="n"/>
      <c r="I49" s="369" t="n"/>
      <c r="J49" s="369" t="n"/>
      <c r="K49" s="369" t="n"/>
      <c r="L49" s="136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6" t="n"/>
      <c r="Y49" s="136" t="n"/>
      <c r="Z49" s="136" t="n"/>
      <c r="AA49" s="136" t="n"/>
      <c r="AB49" s="136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s="131">
      <c r="A50" s="369" t="n"/>
      <c r="B50" s="369" t="n"/>
      <c r="C50" s="369" t="n"/>
      <c r="D50" s="369" t="n"/>
      <c r="E50" s="369" t="n"/>
      <c r="F50" s="369" t="n"/>
      <c r="G50" s="369" t="n"/>
      <c r="H50" s="369" t="n"/>
      <c r="I50" s="369" t="n"/>
      <c r="J50" s="369" t="n"/>
      <c r="K50" s="369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  <row r="51"/>
    <row r="52"/>
    <row r="53"/>
  </sheetData>
  <mergeCells count="9">
    <mergeCell ref="B4:AB4"/>
    <mergeCell ref="B42:G42"/>
    <mergeCell ref="B22:G22"/>
    <mergeCell ref="B2:AB2"/>
    <mergeCell ref="B23:G23"/>
    <mergeCell ref="B20:I20"/>
    <mergeCell ref="B35:G35"/>
    <mergeCell ref="B3:AB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COLONIAL ESTATES | GREEN = Affordable Comps | BLUE = Market Rate Comps</t>
        </is>
      </c>
      <c r="AF3" s="136" t="n"/>
      <c r="AG3" s="136" t="n"/>
      <c r="AH3" s="136" t="n"/>
      <c r="AI3" s="136" t="n"/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Colonial Estates | 1300 Ridgefield Ave, Thibodaux, LA 70301 | 107 units | Program: Section 8/HUD | Bedroom Mix: 1BR / 2BR / 3BR | County AMI: $75,700 | FMR Area: Lafourche Parish, LA</t>
        </is>
      </c>
      <c r="AF4" s="136" t="n"/>
      <c r="AG4" s="136" t="n"/>
      <c r="AH4" s="136" t="n"/>
      <c r="AI4" s="136" t="n"/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F5" s="136" t="n"/>
      <c r="AG5" s="136" t="n"/>
      <c r="AH5" s="136" t="n"/>
      <c r="AI5" s="136" t="n"/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1BD 50% AMI ($)</t>
        </is>
      </c>
      <c r="J6" s="280" t="inlineStr">
        <is>
          <t>1BD 60% AMI ($)</t>
        </is>
      </c>
      <c r="K6" s="280" t="inlineStr">
        <is>
          <t>1BR FMR ($)</t>
        </is>
      </c>
      <c r="L6" s="335" t="inlineStr">
        <is>
          <t>1BR Actual ($)</t>
        </is>
      </c>
      <c r="M6" s="281" t="inlineStr">
        <is>
          <t>2BD 50% AMI ($)</t>
        </is>
      </c>
      <c r="N6" s="280" t="inlineStr">
        <is>
          <t>2BD 60% AMI ($)</t>
        </is>
      </c>
      <c r="O6" s="280" t="inlineStr">
        <is>
          <t>2BR FMR ($)</t>
        </is>
      </c>
      <c r="P6" s="335" t="inlineStr">
        <is>
          <t>2BR Actual ($)</t>
        </is>
      </c>
      <c r="Q6" s="281" t="inlineStr">
        <is>
          <t>3BD 50% AMI ($)</t>
        </is>
      </c>
      <c r="R6" s="280" t="inlineStr">
        <is>
          <t>3BD 60% AMI ($)</t>
        </is>
      </c>
      <c r="S6" s="280" t="inlineStr">
        <is>
          <t>3BR FMR ($)</t>
        </is>
      </c>
      <c r="T6" s="339" t="inlineStr">
        <is>
          <t>3BR Actual ($)</t>
        </is>
      </c>
      <c r="U6" s="339" t="inlineStr">
        <is>
          <t># Units</t>
        </is>
      </c>
      <c r="V6" s="339" t="inlineStr">
        <is>
          <t>Year Built</t>
        </is>
      </c>
      <c r="W6" s="339" t="inlineStr">
        <is>
          <t>Yr Diff</t>
        </is>
      </c>
      <c r="X6" s="339" t="inlineStr">
        <is>
          <t>Utilities Incl.</t>
        </is>
      </c>
      <c r="Y6" s="339" t="inlineStr">
        <is>
          <t>Pet Friendly</t>
        </is>
      </c>
      <c r="Z6" s="336" t="inlineStr">
        <is>
          <t>Gated</t>
        </is>
      </c>
      <c r="AA6" s="340" t="inlineStr">
        <is>
          <t>Pool</t>
        </is>
      </c>
      <c r="AB6" s="342" t="inlineStr">
        <is>
          <t>W/D In-Unit</t>
        </is>
      </c>
      <c r="AC6" s="136" t="inlineStr">
        <is>
          <t>Competition Level</t>
        </is>
      </c>
      <c r="AD6" s="136" t="inlineStr">
        <is>
          <t>Why Competitive</t>
        </is>
      </c>
      <c r="AE6" s="136" t="inlineStr">
        <is>
          <t>Data Source</t>
        </is>
      </c>
      <c r="AF6" s="136" t="n"/>
      <c r="AG6" s="136" t="n"/>
      <c r="AH6" s="136" t="n"/>
      <c r="AI6" s="136" t="n"/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Colonial Estates (SUBJECT)</t>
        </is>
      </c>
      <c r="D7" s="174" t="inlineStr">
        <is>
          <t>1300 Ridgefield Ave</t>
        </is>
      </c>
      <c r="E7" s="174" t="inlineStr">
        <is>
          <t>Thibodaux</t>
        </is>
      </c>
      <c r="F7" s="174" t="inlineStr">
        <is>
          <t>LA</t>
        </is>
      </c>
      <c r="G7" s="174" t="inlineStr">
        <is>
          <t>70301</t>
        </is>
      </c>
      <c r="H7" s="174" t="inlineStr">
        <is>
          <t>0.0 mi</t>
        </is>
      </c>
      <c r="I7" s="174" t="inlineStr">
        <is>
          <t>$2,368</t>
        </is>
      </c>
      <c r="J7" s="174" t="inlineStr">
        <is>
          <t>$2,842</t>
        </is>
      </c>
      <c r="K7" s="174" t="inlineStr">
        <is>
          <t>$739</t>
        </is>
      </c>
      <c r="L7" s="368">
        <f>B26</f>
        <v/>
      </c>
      <c r="M7" s="174" t="inlineStr">
        <is>
          <t>$2,841</t>
        </is>
      </c>
      <c r="N7" s="174" t="inlineStr">
        <is>
          <t>$3,410</t>
        </is>
      </c>
      <c r="O7" s="174" t="inlineStr">
        <is>
          <t>$1,012</t>
        </is>
      </c>
      <c r="P7" s="368">
        <f>B27</f>
        <v/>
      </c>
      <c r="Q7" s="174" t="inlineStr">
        <is>
          <t>$3,154</t>
        </is>
      </c>
      <c r="R7" s="174" t="inlineStr">
        <is>
          <t>$3,785</t>
        </is>
      </c>
      <c r="S7" s="174" t="inlineStr">
        <is>
          <t>$1,264</t>
        </is>
      </c>
      <c r="T7" s="368">
        <f>B28</f>
        <v/>
      </c>
      <c r="U7" s="174" t="inlineStr">
        <is>
          <t>107</t>
        </is>
      </c>
      <c r="V7" s="174" t="inlineStr">
        <is>
          <t>1975</t>
        </is>
      </c>
      <c r="W7" s="174" t="inlineStr">
        <is>
          <t>0</t>
        </is>
      </c>
      <c r="X7" s="174" t="inlineStr">
        <is>
          <t>Yes</t>
        </is>
      </c>
      <c r="Y7" s="42" t="inlineStr">
        <is>
          <t>No</t>
        </is>
      </c>
      <c r="Z7" s="55" t="inlineStr">
        <is>
          <t>No</t>
        </is>
      </c>
      <c r="AA7" s="40" t="inlineStr">
        <is>
          <t>No</t>
        </is>
      </c>
      <c r="AB7" s="136" t="inlineStr">
        <is>
          <t>No</t>
        </is>
      </c>
      <c r="AC7" s="136" t="inlineStr">
        <is>
          <t>SUBJECT</t>
        </is>
      </c>
      <c r="AD7" s="136" t="inlineStr">
        <is>
          <t>107 units | Section 8/HUD property. Year built: 1975. Subject property for market context.</t>
        </is>
      </c>
      <c r="AE7" s="136" t="inlineStr">
        <is>
          <t>Apartment Corp Records</t>
        </is>
      </c>
      <c r="AF7" s="136" t="n"/>
      <c r="AG7" s="136" t="n"/>
      <c r="AH7" s="136" t="n"/>
      <c r="AI7" s="136" t="n"/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Bayou Terrace Apartments</t>
        </is>
      </c>
      <c r="D8" s="59" t="inlineStr">
        <is>
          <t>600 Canal Blvd</t>
        </is>
      </c>
      <c r="E8" s="59" t="inlineStr">
        <is>
          <t>Thibodaux</t>
        </is>
      </c>
      <c r="F8" s="59" t="inlineStr">
        <is>
          <t>LA</t>
        </is>
      </c>
      <c r="G8" s="59" t="inlineStr">
        <is>
          <t>70301</t>
        </is>
      </c>
      <c r="H8" s="59" t="inlineStr">
        <is>
          <t>1.5 mi</t>
        </is>
      </c>
      <c r="I8" s="59" t="inlineStr">
        <is>
          <t>$2,368</t>
        </is>
      </c>
      <c r="J8" s="59" t="inlineStr">
        <is>
          <t>$2,842</t>
        </is>
      </c>
      <c r="K8" s="41" t="inlineStr">
        <is>
          <t>$739</t>
        </is>
      </c>
      <c r="L8" s="53" t="inlineStr">
        <is>
          <t>Not Listed</t>
        </is>
      </c>
      <c r="M8" s="43" t="inlineStr">
        <is>
          <t>$2,841</t>
        </is>
      </c>
      <c r="N8" s="43" t="inlineStr">
        <is>
          <t>$3,410</t>
        </is>
      </c>
      <c r="O8" s="41" t="inlineStr">
        <is>
          <t>$1,012</t>
        </is>
      </c>
      <c r="P8" s="53" t="inlineStr">
        <is>
          <t>Not Listed</t>
        </is>
      </c>
      <c r="Q8" s="43" t="inlineStr">
        <is>
          <t>$3,154</t>
        </is>
      </c>
      <c r="R8" s="43" t="inlineStr">
        <is>
          <t>$3,785</t>
        </is>
      </c>
      <c r="S8" s="43" t="inlineStr">
        <is>
          <t>$1,264</t>
        </is>
      </c>
      <c r="T8" s="43" t="inlineStr">
        <is>
          <t>Not Listed</t>
        </is>
      </c>
      <c r="U8" s="43" t="inlineStr">
        <is>
          <t>100</t>
        </is>
      </c>
      <c r="V8" s="43" t="inlineStr">
        <is>
          <t>1976</t>
        </is>
      </c>
      <c r="W8" s="43" t="inlineStr">
        <is>
          <t>1</t>
        </is>
      </c>
      <c r="X8" s="43" t="inlineStr">
        <is>
          <t>Yes</t>
        </is>
      </c>
      <c r="Y8" s="44" t="inlineStr">
        <is>
          <t>No</t>
        </is>
      </c>
      <c r="Z8" s="56" t="inlineStr">
        <is>
          <t>No</t>
        </is>
      </c>
      <c r="AA8" s="43" t="inlineStr">
        <is>
          <t>No</t>
        </is>
      </c>
      <c r="AB8" s="136" t="inlineStr">
        <is>
          <t>No</t>
        </is>
      </c>
      <c r="AC8" s="136" t="inlineStr">
        <is>
          <t>HIGH</t>
        </is>
      </c>
      <c r="AD8" s="136" t="inlineStr">
        <is>
          <t>Affordable Comp #1: Section 8/HUD property, 1976 vintage (1 yr diff), 100 units, 1.5 mi from subject. Same income-eligible renter pool.</t>
        </is>
      </c>
      <c r="AE8" s="136" t="inlineStr">
        <is>
          <t>HUD Multifamily Assisted Housing</t>
        </is>
      </c>
      <c r="AF8" s="136" t="n"/>
      <c r="AG8" s="136" t="n"/>
      <c r="AH8" s="136" t="n"/>
      <c r="AI8" s="136" t="n"/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Houma Gardens</t>
        </is>
      </c>
      <c r="D9" s="125" t="inlineStr">
        <is>
          <t>1200 Grand Caillou Rd</t>
        </is>
      </c>
      <c r="E9" s="125" t="inlineStr">
        <is>
          <t>Houma</t>
        </is>
      </c>
      <c r="F9" s="125" t="inlineStr">
        <is>
          <t>LA</t>
        </is>
      </c>
      <c r="G9" s="125" t="inlineStr">
        <is>
          <t>70363</t>
        </is>
      </c>
      <c r="H9" s="125" t="inlineStr">
        <is>
          <t>18.0 mi</t>
        </is>
      </c>
      <c r="I9" s="125" t="inlineStr">
        <is>
          <t>$2,368</t>
        </is>
      </c>
      <c r="J9" s="125" t="inlineStr">
        <is>
          <t>$2,842</t>
        </is>
      </c>
      <c r="K9" s="85" t="inlineStr">
        <is>
          <t>$739</t>
        </is>
      </c>
      <c r="L9" s="86" t="inlineStr">
        <is>
          <t>Not Listed</t>
        </is>
      </c>
      <c r="M9" s="128" t="inlineStr">
        <is>
          <t>$2,841</t>
        </is>
      </c>
      <c r="N9" s="128" t="inlineStr">
        <is>
          <t>$3,410</t>
        </is>
      </c>
      <c r="O9" s="85" t="inlineStr">
        <is>
          <t>$1,012</t>
        </is>
      </c>
      <c r="P9" s="86" t="inlineStr">
        <is>
          <t>Not Listed</t>
        </is>
      </c>
      <c r="Q9" s="128" t="inlineStr">
        <is>
          <t>$3,154</t>
        </is>
      </c>
      <c r="R9" s="128" t="inlineStr">
        <is>
          <t>$3,785</t>
        </is>
      </c>
      <c r="S9" s="128" t="inlineStr">
        <is>
          <t>$1,264</t>
        </is>
      </c>
      <c r="T9" s="128" t="inlineStr">
        <is>
          <t>Not Listed</t>
        </is>
      </c>
      <c r="U9" s="128" t="inlineStr">
        <is>
          <t>120</t>
        </is>
      </c>
      <c r="V9" s="128" t="inlineStr">
        <is>
          <t>1975</t>
        </is>
      </c>
      <c r="W9" s="128" t="inlineStr">
        <is>
          <t>0</t>
        </is>
      </c>
      <c r="X9" s="128" t="inlineStr">
        <is>
          <t>Yes</t>
        </is>
      </c>
      <c r="Y9" s="129" t="inlineStr">
        <is>
          <t>No</t>
        </is>
      </c>
      <c r="Z9" s="130" t="inlineStr">
        <is>
          <t>No</t>
        </is>
      </c>
      <c r="AA9" s="128" t="inlineStr">
        <is>
          <t>No</t>
        </is>
      </c>
      <c r="AB9" s="136" t="inlineStr">
        <is>
          <t>No</t>
        </is>
      </c>
      <c r="AC9" s="136" t="inlineStr">
        <is>
          <t>MODERATE-HIGH</t>
        </is>
      </c>
      <c r="AD9" s="136" t="inlineStr">
        <is>
          <t>Affordable Comp #2: Section 8/HUD property, 1975 vintage (0 yr diff), 120 units, 18.0 mi from subject. Same income-eligible renter pool.</t>
        </is>
      </c>
      <c r="AE9" s="136" t="inlineStr">
        <is>
          <t>HUD Multifamily Assisted Housing</t>
        </is>
      </c>
      <c r="AF9" s="136" t="n"/>
      <c r="AG9" s="136" t="n"/>
      <c r="AH9" s="136" t="n"/>
      <c r="AI9" s="136" t="n"/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Morgan City Manor</t>
        </is>
      </c>
      <c r="D10" s="107" t="inlineStr">
        <is>
          <t>700 Brashear Ave</t>
        </is>
      </c>
      <c r="E10" s="107" t="inlineStr">
        <is>
          <t>Morgan City</t>
        </is>
      </c>
      <c r="F10" s="107" t="inlineStr">
        <is>
          <t>LA</t>
        </is>
      </c>
      <c r="G10" s="107" t="inlineStr">
        <is>
          <t>70380</t>
        </is>
      </c>
      <c r="H10" s="107" t="inlineStr">
        <is>
          <t>42.0 mi</t>
        </is>
      </c>
      <c r="I10" s="107" t="inlineStr">
        <is>
          <t>$2,368</t>
        </is>
      </c>
      <c r="J10" s="107" t="inlineStr">
        <is>
          <t>$2,842</t>
        </is>
      </c>
      <c r="K10" s="80" t="inlineStr">
        <is>
          <t>$739</t>
        </is>
      </c>
      <c r="L10" s="81" t="inlineStr">
        <is>
          <t>$670</t>
        </is>
      </c>
      <c r="M10" s="108" t="inlineStr">
        <is>
          <t>$2,841</t>
        </is>
      </c>
      <c r="N10" s="108" t="inlineStr">
        <is>
          <t>$3,410</t>
        </is>
      </c>
      <c r="O10" s="80" t="inlineStr">
        <is>
          <t>$1,012</t>
        </is>
      </c>
      <c r="P10" s="81" t="inlineStr">
        <is>
          <t>$924</t>
        </is>
      </c>
      <c r="Q10" s="108" t="inlineStr">
        <is>
          <t>$3,154</t>
        </is>
      </c>
      <c r="R10" s="108" t="inlineStr">
        <is>
          <t>$3,785</t>
        </is>
      </c>
      <c r="S10" s="108" t="inlineStr">
        <is>
          <t>$1,264</t>
        </is>
      </c>
      <c r="T10" s="108" t="inlineStr">
        <is>
          <t>Not Listed</t>
        </is>
      </c>
      <c r="U10" s="108" t="inlineStr">
        <is>
          <t>96</t>
        </is>
      </c>
      <c r="V10" s="108" t="inlineStr">
        <is>
          <t>1977</t>
        </is>
      </c>
      <c r="W10" s="108" t="inlineStr">
        <is>
          <t>2</t>
        </is>
      </c>
      <c r="X10" s="108" t="inlineStr">
        <is>
          <t>Yes</t>
        </is>
      </c>
      <c r="Y10" s="109" t="inlineStr">
        <is>
          <t>No</t>
        </is>
      </c>
      <c r="Z10" s="110" t="inlineStr">
        <is>
          <t>No</t>
        </is>
      </c>
      <c r="AA10" s="111" t="inlineStr">
        <is>
          <t>No</t>
        </is>
      </c>
      <c r="AB10" s="134" t="inlineStr">
        <is>
          <t>No</t>
        </is>
      </c>
      <c r="AC10" s="136" t="inlineStr">
        <is>
          <t>MODERATE</t>
        </is>
      </c>
      <c r="AD10" s="136" t="inlineStr">
        <is>
          <t>Affordable Comp #3: Section 8/HUD property, 1977 vintage (2 yr diff), 96 units, 42.0 mi from subject. Same income-eligible renter pool.</t>
        </is>
      </c>
      <c r="AE10" s="136" t="inlineStr">
        <is>
          <t>HUD Multifamily Assisted Housing</t>
        </is>
      </c>
      <c r="AF10" s="136" t="n"/>
      <c r="AG10" s="136" t="n"/>
      <c r="AH10" s="136" t="n"/>
      <c r="AI10" s="136" t="n"/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Lafourche Parish Housing Authority - Lockport Homes</t>
        </is>
      </c>
      <c r="D11" s="95" t="inlineStr">
        <is>
          <t>200 Main St</t>
        </is>
      </c>
      <c r="E11" s="95" t="inlineStr">
        <is>
          <t>Lockport</t>
        </is>
      </c>
      <c r="F11" s="95" t="inlineStr">
        <is>
          <t>LA</t>
        </is>
      </c>
      <c r="G11" s="95" t="inlineStr">
        <is>
          <t>70374</t>
        </is>
      </c>
      <c r="H11" s="95" t="inlineStr">
        <is>
          <t>12.0 mi</t>
        </is>
      </c>
      <c r="I11" s="95" t="inlineStr">
        <is>
          <t>$2,368</t>
        </is>
      </c>
      <c r="J11" s="95" t="inlineStr">
        <is>
          <t>$2,842</t>
        </is>
      </c>
      <c r="K11" s="39" t="inlineStr">
        <is>
          <t>$739</t>
        </is>
      </c>
      <c r="L11" s="53" t="inlineStr">
        <is>
          <t>Not Listed</t>
        </is>
      </c>
      <c r="M11" s="96" t="inlineStr">
        <is>
          <t>$2,841</t>
        </is>
      </c>
      <c r="N11" s="96" t="inlineStr">
        <is>
          <t>$3,410</t>
        </is>
      </c>
      <c r="O11" s="39" t="inlineStr">
        <is>
          <t>$1,012</t>
        </is>
      </c>
      <c r="P11" s="53" t="inlineStr">
        <is>
          <t>Not Listed</t>
        </is>
      </c>
      <c r="Q11" s="96" t="inlineStr">
        <is>
          <t>$3,154</t>
        </is>
      </c>
      <c r="R11" s="96" t="inlineStr">
        <is>
          <t>$3,785</t>
        </is>
      </c>
      <c r="S11" s="96" t="inlineStr">
        <is>
          <t>$1,264</t>
        </is>
      </c>
      <c r="T11" s="96" t="inlineStr">
        <is>
          <t>Not Listed</t>
        </is>
      </c>
      <c r="U11" s="96" t="inlineStr">
        <is>
          <t>88</t>
        </is>
      </c>
      <c r="V11" s="96" t="inlineStr">
        <is>
          <t>1976</t>
        </is>
      </c>
      <c r="W11" s="96" t="inlineStr">
        <is>
          <t>1</t>
        </is>
      </c>
      <c r="X11" s="96" t="inlineStr">
        <is>
          <t>Yes</t>
        </is>
      </c>
      <c r="Y11" s="45" t="inlineStr">
        <is>
          <t>No</t>
        </is>
      </c>
      <c r="Z11" s="97" t="inlineStr">
        <is>
          <t>No</t>
        </is>
      </c>
      <c r="AA11" s="113" t="inlineStr">
        <is>
          <t>No</t>
        </is>
      </c>
      <c r="AB11" s="134" t="inlineStr">
        <is>
          <t>No</t>
        </is>
      </c>
      <c r="AC11" s="136" t="inlineStr">
        <is>
          <t>HIGH</t>
        </is>
      </c>
      <c r="AD11" s="136" t="inlineStr">
        <is>
          <t>Affordable Comp #4: Public Housing/HUD property, 1976 vintage (1 yr diff), 88 units, 12.0 mi from subject. Same income-eligible renter pool.</t>
        </is>
      </c>
      <c r="AE11" s="136" t="inlineStr">
        <is>
          <t>Lafourche Parish Housing Authority</t>
        </is>
      </c>
      <c r="AF11" s="136" t="n"/>
      <c r="AG11" s="136" t="n"/>
      <c r="AH11" s="136" t="n"/>
      <c r="AI11" s="136" t="n"/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37.5" customHeight="1" s="131">
      <c r="A12" s="114" t="n">
        <v>1</v>
      </c>
      <c r="B12" s="70" t="inlineStr">
        <is>
          <t>MARKET RATE</t>
        </is>
      </c>
      <c r="C12" s="67" t="inlineStr">
        <is>
          <t>Chateau Audubon Apartments</t>
        </is>
      </c>
      <c r="D12" s="98" t="inlineStr">
        <is>
          <t>106 Beham Ct</t>
        </is>
      </c>
      <c r="E12" s="98" t="inlineStr">
        <is>
          <t>Thibodaux</t>
        </is>
      </c>
      <c r="F12" s="98" t="inlineStr">
        <is>
          <t>LA</t>
        </is>
      </c>
      <c r="G12" s="98" t="inlineStr">
        <is>
          <t>70301</t>
        </is>
      </c>
      <c r="H12" s="98" t="inlineStr">
        <is>
          <t>0.5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$739</t>
        </is>
      </c>
      <c r="L12" s="53" t="inlineStr">
        <is>
          <t>$850</t>
        </is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$1,012</t>
        </is>
      </c>
      <c r="P12" s="53" t="inlineStr">
        <is>
          <t>$1,050</t>
        </is>
      </c>
      <c r="Q12" s="99" t="inlineStr">
        <is>
          <t>N/A (Market Rate)</t>
        </is>
      </c>
      <c r="R12" s="99" t="inlineStr">
        <is>
          <t>N/A (Market Rate)</t>
        </is>
      </c>
      <c r="S12" s="99" t="inlineStr">
        <is>
          <t>N/A (Market Rate)</t>
        </is>
      </c>
      <c r="T12" s="158" t="n">
        <v>1295</v>
      </c>
      <c r="U12" s="99" t="inlineStr">
        <is>
          <t>N/A</t>
        </is>
      </c>
      <c r="V12" s="99" t="inlineStr">
        <is>
          <t>1975</t>
        </is>
      </c>
      <c r="W12" s="99" t="inlineStr">
        <is>
          <t>0</t>
        </is>
      </c>
      <c r="X12" s="99" t="inlineStr">
        <is>
          <t>Varies</t>
        </is>
      </c>
      <c r="Y12" s="46" t="inlineStr">
        <is>
          <t>Varies</t>
        </is>
      </c>
      <c r="Z12" s="100" t="inlineStr">
        <is>
          <t>Varies</t>
        </is>
      </c>
      <c r="AA12" s="115" t="inlineStr">
        <is>
          <t>Varies</t>
        </is>
      </c>
      <c r="AB12" s="134" t="inlineStr">
        <is>
          <t>Varies</t>
        </is>
      </c>
      <c r="AC12" s="136" t="inlineStr">
        <is>
          <t>HIGH</t>
        </is>
      </c>
      <c r="AD12" s="136" t="inlineStr">
        <is>
          <t>Market Rate Comp #1: No income restrictions, 1975 vintage (0 yr diff), N/A units, N/A from subject. Shows market-rate rents vs. affordable housing discount.</t>
        </is>
      </c>
      <c r="AE12" s="136" t="inlineStr">
        <is>
          <t>HUD FY2026 FMR - Lafourche Parish, LA (limited market rate listings for 1965-1985 vintage)</t>
        </is>
      </c>
      <c r="AF12" s="136" t="n"/>
      <c r="AG12" s="136" t="n"/>
      <c r="AH12" s="136" t="n"/>
      <c r="AI12" s="136" t="n"/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n">
        <v>2</v>
      </c>
      <c r="B13" s="71" t="inlineStr">
        <is>
          <t>MARKET RATE</t>
        </is>
      </c>
      <c r="C13" s="68" t="inlineStr">
        <is>
          <t>Bayou Reserve</t>
        </is>
      </c>
      <c r="D13" s="101" t="inlineStr">
        <is>
          <t>2464 Talbot Ave</t>
        </is>
      </c>
      <c r="E13" s="101" t="inlineStr">
        <is>
          <t>Thibodaux</t>
        </is>
      </c>
      <c r="F13" s="101" t="inlineStr">
        <is>
          <t>LA</t>
        </is>
      </c>
      <c r="G13" s="101" t="inlineStr">
        <is>
          <t>70301</t>
        </is>
      </c>
      <c r="H13" s="101" t="inlineStr">
        <is>
          <t>1.2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N/A (Market Rate)</t>
        </is>
      </c>
      <c r="L13" s="157" t="n">
        <v>939</v>
      </c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N/A (Market Rate)</t>
        </is>
      </c>
      <c r="P13" s="157" t="n">
        <v>1089</v>
      </c>
      <c r="Q13" s="102" t="inlineStr">
        <is>
          <t>N/A (Market Rate)</t>
        </is>
      </c>
      <c r="R13" s="102" t="inlineStr">
        <is>
          <t>N/A (Market Rate)</t>
        </is>
      </c>
      <c r="S13" s="102" t="inlineStr">
        <is>
          <t>$1,264</t>
        </is>
      </c>
      <c r="T13" s="102" t="inlineStr">
        <is>
          <t>$1,325</t>
        </is>
      </c>
      <c r="U13" s="102" t="inlineStr">
        <is>
          <t>N/A</t>
        </is>
      </c>
      <c r="V13" s="102" t="inlineStr">
        <is>
          <t>1978</t>
        </is>
      </c>
      <c r="W13" s="102" t="inlineStr">
        <is>
          <t>3</t>
        </is>
      </c>
      <c r="X13" s="102" t="inlineStr">
        <is>
          <t>Varies</t>
        </is>
      </c>
      <c r="Y13" s="47" t="inlineStr">
        <is>
          <t>Varies</t>
        </is>
      </c>
      <c r="Z13" s="103" t="inlineStr">
        <is>
          <t>Varies</t>
        </is>
      </c>
      <c r="AA13" s="117" t="inlineStr">
        <is>
          <t>Varies</t>
        </is>
      </c>
      <c r="AB13" s="134" t="inlineStr">
        <is>
          <t>Varies</t>
        </is>
      </c>
      <c r="AC13" s="136" t="inlineStr">
        <is>
          <t>MODERATE-HIGH</t>
        </is>
      </c>
      <c r="AD13" s="136" t="inlineStr">
        <is>
          <t>Market Rate Comp #2: No income restrictions, 1978 vintage (3 yr diff), N/A units, 20.0 mi from subject. Shows market-rate rents vs. affordable housing discount.</t>
        </is>
      </c>
      <c r="AE13" s="136" t="inlineStr">
        <is>
          <t>HUD FY2026 FMR - Terrebonne Parish, LA</t>
        </is>
      </c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n">
        <v>3</v>
      </c>
      <c r="B14" s="69" t="inlineStr">
        <is>
          <t>MARKET RATE</t>
        </is>
      </c>
      <c r="C14" s="66" t="inlineStr">
        <is>
          <t>Colonial Estates</t>
        </is>
      </c>
      <c r="D14" s="95" t="inlineStr">
        <is>
          <t>1300 Ridgefield Ave</t>
        </is>
      </c>
      <c r="E14" s="95" t="inlineStr">
        <is>
          <t>Thibodaux</t>
        </is>
      </c>
      <c r="F14" s="95" t="inlineStr">
        <is>
          <t>LA</t>
        </is>
      </c>
      <c r="G14" s="95" t="inlineStr">
        <is>
          <t>70301</t>
        </is>
      </c>
      <c r="H14" s="95" t="inlineStr">
        <is>
          <t>0.8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N/A (Market Rate)</t>
        </is>
      </c>
      <c r="L14" s="157" t="n">
        <v>800</v>
      </c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N/A (Market Rate)</t>
        </is>
      </c>
      <c r="P14" s="157" t="n">
        <v>900</v>
      </c>
      <c r="Q14" s="96" t="inlineStr">
        <is>
          <t>N/A (Market Rate)</t>
        </is>
      </c>
      <c r="R14" s="96" t="inlineStr">
        <is>
          <t>N/A (Market Rate)</t>
        </is>
      </c>
      <c r="S14" s="96" t="inlineStr">
        <is>
          <t>N/A (Market Rate)</t>
        </is>
      </c>
      <c r="T14" s="164" t="n">
        <v>1000</v>
      </c>
      <c r="U14" s="96" t="inlineStr">
        <is>
          <t>N/A</t>
        </is>
      </c>
      <c r="V14" s="96" t="inlineStr">
        <is>
          <t>1972</t>
        </is>
      </c>
      <c r="W14" s="96" t="inlineStr">
        <is>
          <t>3</t>
        </is>
      </c>
      <c r="X14" s="96" t="inlineStr">
        <is>
          <t>Varies</t>
        </is>
      </c>
      <c r="Y14" s="45" t="inlineStr">
        <is>
          <t>Varies</t>
        </is>
      </c>
      <c r="Z14" s="97" t="inlineStr">
        <is>
          <t>Varies</t>
        </is>
      </c>
      <c r="AA14" s="113" t="inlineStr">
        <is>
          <t>Varies</t>
        </is>
      </c>
      <c r="AB14" s="134" t="inlineStr">
        <is>
          <t>Varies</t>
        </is>
      </c>
      <c r="AC14" s="136" t="inlineStr">
        <is>
          <t>MODERATE-HIGH</t>
        </is>
      </c>
      <c r="AD14" s="136" t="inlineStr">
        <is>
          <t>Market Rate Comp #3: No income restrictions, 1972 vintage (3 yr diff), N/A units, 22.0 mi from subject. Shows market-rate rents vs. affordable housing discount.</t>
        </is>
      </c>
      <c r="AE14" s="136" t="inlineStr">
        <is>
          <t>HUD FY2026 FMR - Terrebonne Parish, LA</t>
        </is>
      </c>
      <c r="AF14" s="136" t="n"/>
      <c r="AG14" s="136" t="n"/>
      <c r="AH14" s="136" t="n"/>
      <c r="AI14" s="136" t="n"/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n">
        <v>4</v>
      </c>
      <c r="B15" s="69" t="inlineStr">
        <is>
          <t>MARKET RATE</t>
        </is>
      </c>
      <c r="C15" s="66" t="inlineStr">
        <is>
          <t>Turnberry Townhomes</t>
        </is>
      </c>
      <c r="D15" s="95" t="inlineStr">
        <is>
          <t>130 Leighton Dr</t>
        </is>
      </c>
      <c r="E15" s="95" t="inlineStr">
        <is>
          <t>Thibodaux</t>
        </is>
      </c>
      <c r="F15" s="95" t="inlineStr">
        <is>
          <t>LA</t>
        </is>
      </c>
      <c r="G15" s="95" t="inlineStr">
        <is>
          <t>70301</t>
        </is>
      </c>
      <c r="H15" s="95" t="inlineStr">
        <is>
          <t>1.5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$739</t>
        </is>
      </c>
      <c r="L15" s="53" t="inlineStr">
        <is>
          <t>$850</t>
        </is>
      </c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N/A (Market Rate)</t>
        </is>
      </c>
      <c r="P15" s="157" t="n">
        <v>1275</v>
      </c>
      <c r="Q15" s="96" t="inlineStr">
        <is>
          <t>N/A (Market Rate)</t>
        </is>
      </c>
      <c r="R15" s="96" t="inlineStr">
        <is>
          <t>N/A (Market Rate)</t>
        </is>
      </c>
      <c r="S15" s="96" t="inlineStr">
        <is>
          <t>$1,264</t>
        </is>
      </c>
      <c r="T15" s="96" t="inlineStr">
        <is>
          <t>$1,300</t>
        </is>
      </c>
      <c r="U15" s="96" t="inlineStr">
        <is>
          <t>N/A</t>
        </is>
      </c>
      <c r="V15" s="96" t="inlineStr">
        <is>
          <t>1978</t>
        </is>
      </c>
      <c r="W15" s="96" t="inlineStr">
        <is>
          <t>3</t>
        </is>
      </c>
      <c r="X15" s="96" t="inlineStr">
        <is>
          <t>Varies</t>
        </is>
      </c>
      <c r="Y15" s="45" t="inlineStr">
        <is>
          <t>Varies</t>
        </is>
      </c>
      <c r="Z15" s="97" t="inlineStr">
        <is>
          <t>Varies</t>
        </is>
      </c>
      <c r="AA15" s="113" t="inlineStr">
        <is>
          <t>Varies</t>
        </is>
      </c>
      <c r="AB15" s="134" t="inlineStr">
        <is>
          <t>Varies</t>
        </is>
      </c>
      <c r="AC15" s="136" t="inlineStr">
        <is>
          <t>HIGH</t>
        </is>
      </c>
      <c r="AD15" s="136" t="inlineStr">
        <is>
          <t>Market Rate Comp #4: No income restrictions, 1978 vintage (3 yr diff), N/A units, N/A from subject. Shows market-rate rents vs. affordable housing discount.</t>
        </is>
      </c>
      <c r="AE15" s="136" t="inlineStr">
        <is>
          <t>HUD FY2026 FMR - Lafourche Parish, LA</t>
        </is>
      </c>
      <c r="AF15" s="136" t="n"/>
      <c r="AG15" s="136" t="n"/>
      <c r="AH15" s="136" t="n"/>
      <c r="AI15" s="136" t="n"/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n">
        <v>5</v>
      </c>
      <c r="B16" s="82" t="inlineStr">
        <is>
          <t>MARKET RATE</t>
        </is>
      </c>
      <c r="C16" s="119" t="inlineStr">
        <is>
          <t>Acadia Villas Apartment Homes</t>
        </is>
      </c>
      <c r="D16" s="120" t="inlineStr">
        <is>
          <t>624 Percy Rd</t>
        </is>
      </c>
      <c r="E16" s="120" t="inlineStr">
        <is>
          <t>Thibodaux</t>
        </is>
      </c>
      <c r="F16" s="120" t="inlineStr">
        <is>
          <t>LA</t>
        </is>
      </c>
      <c r="G16" s="120" t="inlineStr">
        <is>
          <t>70301</t>
        </is>
      </c>
      <c r="H16" s="120" t="inlineStr">
        <is>
          <t>1.1 mi</t>
        </is>
      </c>
      <c r="I16" s="120" t="inlineStr">
        <is>
          <t>N/A (Market Rate)</t>
        </is>
      </c>
      <c r="J16" s="120" t="inlineStr">
        <is>
          <t>N/A (Market Rate)</t>
        </is>
      </c>
      <c r="K16" s="121" t="inlineStr">
        <is>
          <t>N/A (Market Rate)</t>
        </is>
      </c>
      <c r="L16" s="159" t="n">
        <v>1325</v>
      </c>
      <c r="M16" s="122" t="inlineStr">
        <is>
          <t>N/A (Market Rate)</t>
        </is>
      </c>
      <c r="N16" s="122" t="inlineStr">
        <is>
          <t>N/A (Market Rate)</t>
        </is>
      </c>
      <c r="O16" s="121" t="inlineStr">
        <is>
          <t>N/A (Market Rate)</t>
        </is>
      </c>
      <c r="P16" s="159" t="n">
        <v>1575</v>
      </c>
      <c r="Q16" s="122" t="inlineStr">
        <is>
          <t>N/A (Market Rate)</t>
        </is>
      </c>
      <c r="R16" s="122" t="inlineStr">
        <is>
          <t>N/A (Market Rate)</t>
        </is>
      </c>
      <c r="S16" s="122" t="inlineStr">
        <is>
          <t>N/A (Market Rate)</t>
        </is>
      </c>
      <c r="T16" s="160" t="n">
        <v>1735</v>
      </c>
      <c r="U16" s="122" t="inlineStr">
        <is>
          <t>N/A</t>
        </is>
      </c>
      <c r="V16" s="122" t="inlineStr">
        <is>
          <t>N/A</t>
        </is>
      </c>
      <c r="W16" s="122" t="inlineStr">
        <is>
          <t>N/A</t>
        </is>
      </c>
      <c r="X16" s="122" t="inlineStr">
        <is>
          <t>N/A</t>
        </is>
      </c>
      <c r="Y16" s="84" t="inlineStr">
        <is>
          <t>N/A</t>
        </is>
      </c>
      <c r="Z16" s="123" t="inlineStr">
        <is>
          <t>N/A</t>
        </is>
      </c>
      <c r="AA16" s="124" t="inlineStr">
        <is>
          <t>N/A</t>
        </is>
      </c>
      <c r="AB16" s="134" t="inlineStr">
        <is>
          <t>N/A</t>
        </is>
      </c>
      <c r="AC16" s="136" t="inlineStr">
        <is>
          <t>BENCHMARK</t>
        </is>
      </c>
      <c r="AD16" s="136" t="inlineStr">
        <is>
      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136" t="inlineStr">
        <is>
          <t>HUD FMR Database (huduser.gov)</t>
        </is>
      </c>
      <c r="AF16" s="136" t="n"/>
      <c r="AG16" s="136" t="n"/>
      <c r="AH16" s="136" t="n"/>
      <c r="AI16" s="136" t="n"/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n">
        <v>6</v>
      </c>
      <c r="B17" s="88" t="inlineStr">
        <is>
          <t>MARKET RATE</t>
        </is>
      </c>
      <c r="C17" s="89" t="inlineStr">
        <is>
          <t>1359 LA-20</t>
        </is>
      </c>
      <c r="D17" s="87" t="inlineStr">
        <is>
          <t>1359 LA-20</t>
        </is>
      </c>
      <c r="E17" s="87" t="inlineStr">
        <is>
          <t>Thibodaux</t>
        </is>
      </c>
      <c r="F17" s="87" t="inlineStr">
        <is>
          <t>LA</t>
        </is>
      </c>
      <c r="G17" s="87" t="inlineStr">
        <is>
          <t>70301</t>
        </is>
      </c>
      <c r="H17" s="87" t="inlineStr">
        <is>
          <t>2.0 mi</t>
        </is>
      </c>
      <c r="I17" s="87" t="inlineStr">
        <is>
          <t>$812</t>
        </is>
      </c>
      <c r="J17" s="87" t="inlineStr">
        <is>
          <t>$812</t>
        </is>
      </c>
      <c r="K17" s="90" t="inlineStr">
        <is>
          <t>$812</t>
        </is>
      </c>
      <c r="L17" s="91" t="inlineStr">
        <is>
          <t>N/A</t>
        </is>
      </c>
      <c r="M17" s="92" t="inlineStr">
        <is>
          <t>N/A (Market Rate)</t>
        </is>
      </c>
      <c r="N17" s="92" t="inlineStr">
        <is>
          <t>N/A (Market Rate)</t>
        </is>
      </c>
      <c r="O17" s="90" t="inlineStr">
        <is>
          <t>N/A (Market Rate)</t>
        </is>
      </c>
      <c r="P17" s="161" t="n">
        <v>1250</v>
      </c>
      <c r="Q17" s="92" t="inlineStr">
        <is>
          <t>$1,390</t>
        </is>
      </c>
      <c r="R17" s="92" t="inlineStr">
        <is>
          <t>$1,390</t>
        </is>
      </c>
      <c r="S17" s="92" t="inlineStr">
        <is>
          <t>$1,390</t>
        </is>
      </c>
      <c r="T17" s="92" t="inlineStr">
        <is>
          <t>N/A</t>
        </is>
      </c>
      <c r="U17" s="92" t="inlineStr">
        <is>
          <t>N/A</t>
        </is>
      </c>
      <c r="V17" s="92" t="inlineStr">
        <is>
          <t>N/A</t>
        </is>
      </c>
      <c r="W17" s="92" t="inlineStr">
        <is>
          <t>N/A</t>
        </is>
      </c>
      <c r="X17" s="92" t="inlineStr">
        <is>
          <t>N/A</t>
        </is>
      </c>
      <c r="Y17" s="93" t="inlineStr">
        <is>
          <t>N/A</t>
        </is>
      </c>
      <c r="Z17" s="94" t="inlineStr">
        <is>
          <t>N/A</t>
        </is>
      </c>
      <c r="AA17" s="92" t="inlineStr">
        <is>
          <t>N/A</t>
        </is>
      </c>
      <c r="AB17" s="136" t="inlineStr">
        <is>
          <t>N/A</t>
        </is>
      </c>
      <c r="AC17" s="136" t="inlineStr">
        <is>
          <t>BENCHMARK</t>
        </is>
      </c>
      <c r="AD17" s="136" t="inlineStr">
        <is>
      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136" t="inlineStr">
        <is>
          <t>HUD FMR + Market Estimate</t>
        </is>
      </c>
      <c r="AF17" s="136" t="n"/>
      <c r="AG17" s="136" t="n"/>
      <c r="AH17" s="136" t="n"/>
      <c r="AI17" s="136" t="n"/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F19" s="136" t="n"/>
      <c r="AG19" s="136" t="n"/>
      <c r="AH19" s="136" t="n"/>
      <c r="AI19" s="136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Height="1" s="131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Format="1" customHeight="1" s="2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Format="1" customHeight="1" s="2">
      <c r="A25" s="372" t="n"/>
      <c r="B25" s="201" t="inlineStr">
        <is>
          <t>1BD</t>
        </is>
      </c>
      <c r="C25" s="194" t="n"/>
      <c r="D25" s="200" t="n">
        <v>953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Format="1" customHeight="1" s="2">
      <c r="A26" s="372" t="n"/>
      <c r="B26" s="201" t="inlineStr">
        <is>
          <t>2BD</t>
        </is>
      </c>
      <c r="C26" s="194" t="n"/>
      <c r="D26" s="200" t="n">
        <v>1190</v>
      </c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24.75" customHeight="1" s="131">
      <c r="A27" s="369" t="n"/>
      <c r="B27" s="201" t="inlineStr">
        <is>
          <t>3BD</t>
        </is>
      </c>
      <c r="C27" s="194" t="n"/>
      <c r="D27" s="200" t="n">
        <v>1331</v>
      </c>
      <c r="E27" s="195" t="n"/>
      <c r="F27" s="183" t="n"/>
      <c r="G27" s="183" t="n"/>
      <c r="H27" s="183" t="n"/>
      <c r="I27" s="183" t="n"/>
      <c r="J27" s="183" t="n"/>
      <c r="K27" s="302" t="n"/>
      <c r="L27" s="302" t="n"/>
      <c r="M27" s="302" t="n"/>
      <c r="N27" s="302" t="n"/>
      <c r="O27" s="343" t="n"/>
      <c r="P27" s="302" t="n"/>
      <c r="Q27" s="302" t="n"/>
      <c r="R27" s="302" t="n"/>
      <c r="S27" s="302" t="n"/>
      <c r="T27" s="302" t="n"/>
      <c r="U27" s="302" t="n"/>
      <c r="V27" s="302" t="n"/>
      <c r="W27" s="302" t="n"/>
      <c r="X27" s="302" t="n"/>
      <c r="Y27" s="302" t="n"/>
      <c r="Z27" s="302" t="n"/>
      <c r="AA27" s="353" t="n"/>
      <c r="AB27" s="302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8.1" customHeight="1" s="131">
      <c r="A28" s="382" t="n"/>
      <c r="B28" s="404" t="n"/>
      <c r="C28" s="454" t="n"/>
      <c r="D28" s="404" t="n"/>
      <c r="E28" s="404" t="n"/>
      <c r="F28" s="382" t="n"/>
      <c r="G28" s="369" t="n"/>
      <c r="H28" s="369" t="n"/>
      <c r="I28" s="369" t="n"/>
      <c r="J28" s="369" t="n"/>
      <c r="K28" s="369" t="n"/>
      <c r="L28" s="134" t="n"/>
      <c r="M28" s="134" t="n"/>
      <c r="N28" s="134" t="n"/>
      <c r="O28" s="134" t="n"/>
      <c r="P28" s="134" t="n"/>
      <c r="Q28" s="134" t="n"/>
      <c r="R28" s="134" t="n"/>
      <c r="S28" s="134" t="n"/>
      <c r="T28" s="134" t="n"/>
      <c r="U28" s="134" t="n"/>
      <c r="V28" s="134" t="n"/>
      <c r="W28" s="134" t="n"/>
      <c r="X28" s="134" t="n"/>
      <c r="Y28" s="134" t="n"/>
      <c r="Z28" s="135" t="n"/>
      <c r="AA28" s="134" t="n"/>
      <c r="AB28" s="134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24.75" customFormat="1" customHeight="1" s="2">
      <c r="A29" s="302" t="n"/>
      <c r="B29" s="211" t="inlineStr">
        <is>
          <t>PMTS — Vouchers / FMR / UAP / NET</t>
        </is>
      </c>
      <c r="G29" s="365" t="n"/>
      <c r="H29" s="183" t="n"/>
      <c r="I29" s="183" t="n"/>
      <c r="J29" s="183" t="n"/>
      <c r="K29" s="302" t="n"/>
      <c r="L29" s="302" t="n"/>
      <c r="M29" s="302" t="n"/>
      <c r="N29" s="302" t="n"/>
      <c r="O29" s="302" t="n"/>
      <c r="P29" s="302" t="n"/>
      <c r="Q29" s="302" t="n"/>
      <c r="R29" s="302" t="n"/>
      <c r="S29" s="302" t="n"/>
      <c r="T29" s="302" t="n"/>
      <c r="U29" s="302" t="n"/>
      <c r="V29" s="302" t="n"/>
      <c r="W29" s="302" t="n"/>
      <c r="X29" s="302" t="n"/>
      <c r="Y29" s="302" t="n"/>
      <c r="Z29" s="302" t="n"/>
      <c r="AA29" s="353" t="n"/>
      <c r="AB29" s="302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15.95" customFormat="1" customHeight="1" s="2">
      <c r="A30" s="302" t="n"/>
      <c r="B30" s="226" t="n"/>
      <c r="C30" s="213" t="inlineStr">
        <is>
          <t>MKT</t>
        </is>
      </c>
      <c r="D30" s="213" t="inlineStr">
        <is>
          <t>VCH</t>
        </is>
      </c>
      <c r="E30" s="214" t="inlineStr">
        <is>
          <t>FMR</t>
        </is>
      </c>
      <c r="F30" s="215" t="inlineStr">
        <is>
          <t>UAP</t>
        </is>
      </c>
      <c r="G30" s="216" t="inlineStr">
        <is>
          <t>NET</t>
        </is>
      </c>
      <c r="H30" s="183" t="n"/>
      <c r="I30" s="183" t="n"/>
      <c r="J30" s="183" t="n"/>
      <c r="K30" s="302" t="n"/>
      <c r="L30" s="302" t="n"/>
      <c r="M30" s="302" t="n"/>
      <c r="N30" s="302" t="n"/>
      <c r="O30" s="302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24.75" customFormat="1" customHeight="1" s="2">
      <c r="A31" s="372" t="n"/>
      <c r="B31" s="217" t="inlineStr">
        <is>
          <t>1BD</t>
        </is>
      </c>
      <c r="C31" s="197" t="n">
        <v>800</v>
      </c>
      <c r="D31" s="197" t="n">
        <v>800</v>
      </c>
      <c r="E31" s="198" t="n">
        <v>930</v>
      </c>
      <c r="F31" s="199" t="n">
        <v>0</v>
      </c>
      <c r="G31" s="218" t="n">
        <v>930</v>
      </c>
      <c r="H31" s="183" t="n"/>
      <c r="I31" s="183" t="n"/>
      <c r="J31" s="183" t="n"/>
      <c r="K31" s="302" t="n"/>
      <c r="L31" s="302" t="n"/>
      <c r="M31" s="302" t="n"/>
      <c r="N31" s="302" t="n"/>
      <c r="O31" s="343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24.75" customFormat="1" customHeight="1" s="2">
      <c r="A32" s="369" t="n"/>
      <c r="B32" s="217" t="inlineStr">
        <is>
          <t>2BD</t>
        </is>
      </c>
      <c r="C32" s="197" t="n">
        <v>900</v>
      </c>
      <c r="D32" s="197" t="n">
        <v>900</v>
      </c>
      <c r="E32" s="198" t="n">
        <v>1140</v>
      </c>
      <c r="F32" s="199" t="n">
        <v>0</v>
      </c>
      <c r="G32" s="218" t="n">
        <v>1140</v>
      </c>
      <c r="H32" s="183" t="n"/>
      <c r="I32" s="183" t="n"/>
      <c r="J32" s="183" t="n"/>
      <c r="K32" s="302" t="n"/>
      <c r="L32" s="302" t="n"/>
      <c r="M32" s="302" t="n"/>
      <c r="N32" s="302" t="n"/>
      <c r="O32" s="343" t="n"/>
      <c r="P32" s="302" t="n"/>
      <c r="Q32" s="302" t="n"/>
      <c r="R32" s="302" t="n"/>
      <c r="S32" s="302" t="n"/>
      <c r="T32" s="302" t="n"/>
      <c r="U32" s="302" t="n"/>
      <c r="V32" s="302" t="n"/>
      <c r="W32" s="302" t="n"/>
      <c r="X32" s="302" t="n"/>
      <c r="Y32" s="302" t="n"/>
      <c r="Z32" s="302" t="n"/>
      <c r="AA32" s="353" t="n"/>
      <c r="AB32" s="302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24.75" customFormat="1" customHeight="1" s="2">
      <c r="A33" s="382" t="n"/>
      <c r="B33" s="217" t="inlineStr">
        <is>
          <t>3BD</t>
        </is>
      </c>
      <c r="C33" s="197" t="n">
        <v>1000</v>
      </c>
      <c r="D33" s="197" t="n">
        <v>1000</v>
      </c>
      <c r="E33" s="198" t="n">
        <v>1380</v>
      </c>
      <c r="F33" s="199" t="n">
        <v>0</v>
      </c>
      <c r="G33" s="218" t="n">
        <v>1380</v>
      </c>
      <c r="H33" s="183" t="n"/>
      <c r="I33" s="183" t="n"/>
      <c r="J33" s="183" t="n"/>
      <c r="K33" s="302" t="n"/>
      <c r="L33" s="302" t="n"/>
      <c r="M33" s="302" t="n"/>
      <c r="N33" s="302" t="n"/>
      <c r="O33" s="343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8.1" customHeight="1" s="131">
      <c r="A34" s="372" t="n"/>
      <c r="B34" s="372" t="n"/>
      <c r="C34" s="372" t="n"/>
      <c r="D34" s="372" t="n"/>
      <c r="E34" s="372" t="n"/>
      <c r="F34" s="369" t="n"/>
      <c r="G34" s="369" t="n"/>
      <c r="H34" s="369" t="n"/>
      <c r="I34" s="369" t="n"/>
      <c r="J34" s="369" t="n"/>
      <c r="K34" s="369" t="n"/>
      <c r="L34" s="136" t="n"/>
      <c r="M34" s="136" t="n"/>
      <c r="N34" s="136" t="n"/>
      <c r="O34" s="136" t="n"/>
      <c r="P34" s="136" t="n"/>
      <c r="Q34" s="136" t="n"/>
      <c r="R34" s="136" t="n"/>
      <c r="S34" s="136" t="n"/>
      <c r="T34" s="136" t="n"/>
      <c r="U34" s="136" t="n"/>
      <c r="V34" s="136" t="n"/>
      <c r="W34" s="136" t="n"/>
      <c r="X34" s="136" t="n"/>
      <c r="Y34" s="136" t="n"/>
      <c r="Z34" s="136" t="n"/>
      <c r="AA34" s="136" t="n"/>
      <c r="AB34" s="136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24.75" customHeight="1" s="131">
      <c r="A35" s="302" t="n"/>
      <c r="B35" s="366" t="inlineStr">
        <is>
          <t>LIHTC, UAP, NET</t>
        </is>
      </c>
      <c r="C35" s="358" t="n"/>
      <c r="D35" s="358" t="n"/>
      <c r="E35" s="358" t="n"/>
      <c r="F35" s="358" t="n"/>
      <c r="G35" s="359" t="n"/>
      <c r="H35" s="183" t="n"/>
      <c r="I35" s="183" t="n"/>
      <c r="J35" s="183" t="n"/>
      <c r="K35" s="302" t="n"/>
      <c r="L35" s="302" t="n"/>
      <c r="M35" s="302" t="n"/>
      <c r="N35" s="302" t="n"/>
      <c r="O35" s="302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16.5" customHeight="1" s="131">
      <c r="A36" s="369" t="n"/>
      <c r="B36" s="226" t="inlineStr">
        <is>
          <t>No LIHTC data available</t>
        </is>
      </c>
      <c r="C36" s="228" t="n"/>
      <c r="D36" s="228" t="n"/>
      <c r="E36" s="215" t="n"/>
      <c r="F36" s="216" t="n"/>
      <c r="G36" s="183" t="n"/>
      <c r="H36" s="183" t="n"/>
      <c r="I36" s="183" t="n"/>
      <c r="J36" s="183" t="n"/>
      <c r="K36" s="302" t="n"/>
      <c r="L36" s="302" t="n"/>
      <c r="M36" s="302" t="n"/>
      <c r="N36" s="302" t="n"/>
      <c r="O36" s="343" t="n"/>
      <c r="P36" s="302" t="n"/>
      <c r="Q36" s="302" t="n"/>
      <c r="R36" s="302" t="n"/>
      <c r="S36" s="302" t="n"/>
      <c r="T36" s="302" t="n"/>
      <c r="U36" s="302" t="n"/>
      <c r="V36" s="302" t="n"/>
      <c r="W36" s="302" t="n"/>
      <c r="X36" s="302" t="n"/>
      <c r="Y36" s="302" t="n"/>
      <c r="Z36" s="302" t="n"/>
      <c r="AA36" s="353" t="n"/>
      <c r="AB36" s="302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18" customHeight="1" s="131">
      <c r="A37" s="369" t="n"/>
      <c r="B37" s="369" t="n"/>
      <c r="C37" s="381" t="n"/>
      <c r="D37" s="369" t="n"/>
      <c r="E37" s="369" t="n"/>
      <c r="F37" s="369" t="n"/>
      <c r="G37" s="369" t="n"/>
      <c r="H37" s="369" t="n"/>
      <c r="I37" s="369" t="n"/>
      <c r="J37" s="369" t="n"/>
      <c r="K37" s="369" t="n"/>
      <c r="L37" s="134" t="n"/>
      <c r="M37" s="134" t="n"/>
      <c r="N37" s="134" t="n"/>
      <c r="O37" s="134" t="n"/>
      <c r="P37" s="134" t="n"/>
      <c r="Q37" s="134" t="n"/>
      <c r="R37" s="134" t="n"/>
      <c r="S37" s="134" t="n"/>
      <c r="T37" s="134" t="n"/>
      <c r="U37" s="134" t="n"/>
      <c r="V37" s="134" t="n"/>
      <c r="W37" s="134" t="n"/>
      <c r="X37" s="134" t="n"/>
      <c r="Y37" s="134" t="n"/>
      <c r="Z37" s="135" t="n"/>
      <c r="AA37" s="134" t="n"/>
      <c r="AB37" s="134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24.75" customHeight="1" s="131">
      <c r="A38" s="302" t="n"/>
      <c r="B38" s="207" t="inlineStr">
        <is>
          <t>HAP, CoStar, NET</t>
        </is>
      </c>
      <c r="H38" s="183" t="n"/>
      <c r="I38" s="183" t="n"/>
      <c r="J38" s="183" t="n"/>
      <c r="K38" s="302" t="n"/>
      <c r="L38" s="302" t="n"/>
      <c r="M38" s="302" t="n"/>
      <c r="N38" s="302" t="n"/>
      <c r="O38" s="302" t="n"/>
      <c r="P38" s="302" t="n"/>
      <c r="Q38" s="302" t="n"/>
      <c r="R38" s="302" t="n"/>
      <c r="S38" s="302" t="n"/>
      <c r="T38" s="302" t="n"/>
      <c r="U38" s="302" t="n"/>
      <c r="V38" s="302" t="n"/>
      <c r="W38" s="302" t="n"/>
      <c r="X38" s="302" t="n"/>
      <c r="Y38" s="302" t="n"/>
      <c r="Z38" s="302" t="n"/>
      <c r="AA38" s="353" t="n"/>
      <c r="AB38" s="302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15.95" customHeight="1" s="131">
      <c r="A39" s="302" t="n"/>
      <c r="B39" s="227" t="n"/>
      <c r="C39" s="208" t="inlineStr">
        <is>
          <t>HAP</t>
        </is>
      </c>
      <c r="D39" s="209" t="inlineStr">
        <is>
          <t>CoStar</t>
        </is>
      </c>
      <c r="E39" s="302" t="n"/>
      <c r="F39" s="302" t="n"/>
      <c r="G39" s="302" t="n"/>
      <c r="H39" s="183" t="n"/>
      <c r="I39" s="183" t="n"/>
      <c r="J39" s="183" t="n"/>
      <c r="K39" s="302" t="n"/>
      <c r="L39" s="302" t="n"/>
      <c r="M39" s="302" t="n"/>
      <c r="N39" s="302" t="n"/>
      <c r="O39" s="302" t="n"/>
      <c r="P39" s="302" t="n"/>
      <c r="Q39" s="302" t="n"/>
      <c r="R39" s="302" t="n"/>
      <c r="S39" s="302" t="n"/>
      <c r="T39" s="302" t="n"/>
      <c r="U39" s="302" t="n"/>
      <c r="V39" s="302" t="n"/>
      <c r="W39" s="302" t="n"/>
      <c r="X39" s="302" t="n"/>
      <c r="Y39" s="302" t="n"/>
      <c r="Z39" s="302" t="n"/>
      <c r="AA39" s="353" t="n"/>
      <c r="AB39" s="302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ht="24.75" customHeight="1" s="131">
      <c r="A40" s="302" t="n"/>
      <c r="B40" s="196" t="inlineStr">
        <is>
          <t>1BD</t>
        </is>
      </c>
      <c r="C40" s="199" t="n">
        <v>0</v>
      </c>
      <c r="D40" s="198" t="n">
        <v>926</v>
      </c>
      <c r="E40" s="183" t="n"/>
      <c r="F40" s="183" t="n"/>
      <c r="G40" s="183" t="n"/>
      <c r="H40" s="183" t="n"/>
      <c r="I40" s="183" t="n"/>
      <c r="J40" s="183" t="n"/>
      <c r="K40" s="302" t="n"/>
      <c r="L40" s="302" t="n"/>
      <c r="M40" s="302" t="n"/>
      <c r="N40" s="302" t="n"/>
      <c r="O40" s="302" t="n"/>
      <c r="P40" s="302" t="n"/>
      <c r="Q40" s="302" t="n"/>
      <c r="R40" s="302" t="n"/>
      <c r="S40" s="302" t="n"/>
      <c r="T40" s="302" t="n"/>
      <c r="U40" s="302" t="n"/>
      <c r="V40" s="302" t="n"/>
      <c r="W40" s="302" t="n"/>
      <c r="X40" s="302" t="n"/>
      <c r="Y40" s="302" t="n"/>
      <c r="Z40" s="302" t="n"/>
      <c r="AA40" s="353" t="n"/>
      <c r="AB40" s="302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ht="24.75" customHeight="1" s="131">
      <c r="A41" s="302" t="n"/>
      <c r="B41" s="196" t="inlineStr">
        <is>
          <t>2BD</t>
        </is>
      </c>
      <c r="C41" s="199" t="n">
        <v>0</v>
      </c>
      <c r="D41" s="198" t="n">
        <v>1116</v>
      </c>
      <c r="E41" s="183" t="n"/>
      <c r="F41" s="183" t="n"/>
      <c r="G41" s="183" t="n"/>
      <c r="H41" s="183" t="n"/>
      <c r="I41" s="183" t="n"/>
      <c r="J41" s="183" t="n"/>
      <c r="K41" s="302" t="n"/>
      <c r="L41" s="302" t="n"/>
      <c r="M41" s="302" t="n"/>
      <c r="N41" s="302" t="n"/>
      <c r="O41" s="302" t="n"/>
      <c r="P41" s="302" t="n"/>
      <c r="Q41" s="302" t="n"/>
      <c r="R41" s="302" t="n"/>
      <c r="S41" s="302" t="n"/>
      <c r="T41" s="302" t="n"/>
      <c r="U41" s="302" t="n"/>
      <c r="V41" s="302" t="n"/>
      <c r="W41" s="302" t="n"/>
      <c r="X41" s="302" t="n"/>
      <c r="Y41" s="302" t="n"/>
      <c r="Z41" s="302" t="n"/>
      <c r="AA41" s="353" t="n"/>
      <c r="AB41" s="302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ht="24.75" customHeight="1" s="131">
      <c r="A42" s="302" t="n"/>
      <c r="B42" s="196" t="inlineStr">
        <is>
          <t>3BD</t>
        </is>
      </c>
      <c r="C42" s="199" t="n">
        <v>0</v>
      </c>
      <c r="D42" s="198" t="n">
        <v>1224</v>
      </c>
      <c r="E42" s="183" t="n"/>
      <c r="F42" s="183" t="n"/>
      <c r="G42" s="183" t="n"/>
      <c r="H42" s="183" t="n"/>
      <c r="I42" s="183" t="n"/>
      <c r="J42" s="183" t="n"/>
      <c r="K42" s="302" t="n"/>
      <c r="L42" s="302" t="n"/>
      <c r="M42" s="302" t="n"/>
      <c r="N42" s="302" t="n"/>
      <c r="O42" s="302" t="n"/>
      <c r="P42" s="302" t="n"/>
      <c r="Q42" s="302" t="n"/>
      <c r="R42" s="302" t="n"/>
      <c r="S42" s="302" t="n"/>
      <c r="T42" s="302" t="n"/>
      <c r="U42" s="302" t="n"/>
      <c r="V42" s="302" t="n"/>
      <c r="W42" s="302" t="n"/>
      <c r="X42" s="302" t="n"/>
      <c r="Y42" s="302" t="n"/>
      <c r="Z42" s="302" t="n"/>
      <c r="AA42" s="353" t="n"/>
      <c r="AB42" s="302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s="131">
      <c r="A43" s="369" t="n"/>
      <c r="B43" s="369" t="n"/>
      <c r="C43" s="369" t="n"/>
      <c r="D43" s="369" t="n"/>
      <c r="E43" s="369" t="n"/>
      <c r="F43" s="369" t="n"/>
      <c r="G43" s="369" t="n"/>
      <c r="H43" s="369" t="n"/>
      <c r="I43" s="369" t="n"/>
      <c r="J43" s="369" t="n"/>
      <c r="K43" s="369" t="n"/>
      <c r="L43" s="136" t="n"/>
      <c r="M43" s="136" t="n"/>
      <c r="N43" s="136" t="n"/>
      <c r="O43" s="136" t="n"/>
      <c r="P43" s="136" t="n"/>
      <c r="Q43" s="136" t="n"/>
      <c r="R43" s="136" t="n"/>
      <c r="S43" s="136" t="n"/>
      <c r="T43" s="136" t="n"/>
      <c r="U43" s="136" t="n"/>
      <c r="V43" s="136" t="n"/>
      <c r="W43" s="136" t="n"/>
      <c r="X43" s="136" t="n"/>
      <c r="Y43" s="136" t="n"/>
      <c r="Z43" s="136" t="n"/>
      <c r="AA43" s="136" t="n"/>
      <c r="AB43" s="136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s="131">
      <c r="A44" s="369" t="n"/>
      <c r="B44" s="369" t="n"/>
      <c r="C44" s="369" t="n"/>
      <c r="D44" s="369" t="n"/>
      <c r="E44" s="369" t="n"/>
      <c r="F44" s="369" t="n"/>
      <c r="G44" s="369" t="n"/>
      <c r="H44" s="369" t="n"/>
      <c r="I44" s="369" t="n"/>
      <c r="J44" s="369" t="n"/>
      <c r="K44" s="369" t="n"/>
      <c r="L44" s="136" t="n"/>
      <c r="M44" s="136" t="n"/>
      <c r="N44" s="136" t="n"/>
      <c r="O44" s="136" t="n"/>
      <c r="P44" s="136" t="n"/>
      <c r="Q44" s="136" t="n"/>
      <c r="R44" s="136" t="n"/>
      <c r="S44" s="136" t="n"/>
      <c r="T44" s="136" t="n"/>
      <c r="U44" s="136" t="n"/>
      <c r="V44" s="136" t="n"/>
      <c r="W44" s="136" t="n"/>
      <c r="X44" s="136" t="n"/>
      <c r="Y44" s="136" t="n"/>
      <c r="Z44" s="136" t="n"/>
      <c r="AA44" s="136" t="n"/>
      <c r="AB44" s="136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s="131">
      <c r="A45" s="369" t="n"/>
      <c r="B45" s="369" t="n"/>
      <c r="C45" s="369" t="n"/>
      <c r="D45" s="369" t="n"/>
      <c r="E45" s="369" t="n"/>
      <c r="F45" s="369" t="n"/>
      <c r="G45" s="369" t="n"/>
      <c r="H45" s="369" t="n"/>
      <c r="I45" s="369" t="n"/>
      <c r="J45" s="369" t="n"/>
      <c r="K45" s="369" t="n"/>
      <c r="L45" s="136" t="n"/>
      <c r="M45" s="136" t="n"/>
      <c r="N45" s="136" t="n"/>
      <c r="O45" s="136" t="n"/>
      <c r="P45" s="136" t="n"/>
      <c r="Q45" s="136" t="n"/>
      <c r="R45" s="136" t="n"/>
      <c r="S45" s="136" t="n"/>
      <c r="T45" s="136" t="n"/>
      <c r="U45" s="136" t="n"/>
      <c r="V45" s="136" t="n"/>
      <c r="W45" s="136" t="n"/>
      <c r="X45" s="136" t="n"/>
      <c r="Y45" s="136" t="n"/>
      <c r="Z45" s="136" t="n"/>
      <c r="AA45" s="136" t="n"/>
      <c r="AB45" s="136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s="131">
      <c r="A46" s="369" t="n"/>
      <c r="B46" s="369" t="n"/>
      <c r="C46" s="369" t="n"/>
      <c r="D46" s="369" t="n"/>
      <c r="E46" s="369" t="n"/>
      <c r="F46" s="369" t="n"/>
      <c r="G46" s="369" t="n"/>
      <c r="H46" s="369" t="n"/>
      <c r="I46" s="369" t="n"/>
      <c r="J46" s="369" t="n"/>
      <c r="K46" s="369" t="n"/>
      <c r="L46" s="136" t="n"/>
      <c r="M46" s="136" t="n"/>
      <c r="N46" s="136" t="n"/>
      <c r="O46" s="136" t="n"/>
      <c r="P46" s="136" t="n"/>
      <c r="Q46" s="136" t="n"/>
      <c r="R46" s="136" t="n"/>
      <c r="S46" s="136" t="n"/>
      <c r="T46" s="136" t="n"/>
      <c r="U46" s="136" t="n"/>
      <c r="V46" s="136" t="n"/>
      <c r="W46" s="136" t="n"/>
      <c r="X46" s="136" t="n"/>
      <c r="Y46" s="136" t="n"/>
      <c r="Z46" s="136" t="n"/>
      <c r="AA46" s="136" t="n"/>
      <c r="AB46" s="136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s="131">
      <c r="A47" s="369" t="n"/>
      <c r="B47" s="369" t="n"/>
      <c r="C47" s="369" t="n"/>
      <c r="D47" s="369" t="n"/>
      <c r="E47" s="369" t="n"/>
      <c r="F47" s="369" t="n"/>
      <c r="G47" s="369" t="n"/>
      <c r="H47" s="369" t="n"/>
      <c r="I47" s="369" t="n"/>
      <c r="J47" s="369" t="n"/>
      <c r="K47" s="369" t="n"/>
      <c r="L47" s="136" t="n"/>
      <c r="M47" s="136" t="n"/>
      <c r="N47" s="136" t="n"/>
      <c r="O47" s="136" t="n"/>
      <c r="P47" s="136" t="n"/>
      <c r="Q47" s="136" t="n"/>
      <c r="R47" s="136" t="n"/>
      <c r="S47" s="136" t="n"/>
      <c r="T47" s="136" t="n"/>
      <c r="U47" s="136" t="n"/>
      <c r="V47" s="136" t="n"/>
      <c r="W47" s="136" t="n"/>
      <c r="X47" s="136" t="n"/>
      <c r="Y47" s="136" t="n"/>
      <c r="Z47" s="136" t="n"/>
      <c r="AA47" s="136" t="n"/>
      <c r="AB47" s="136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s="131">
      <c r="A48" s="369" t="n"/>
      <c r="B48" s="369" t="n"/>
      <c r="C48" s="369" t="n"/>
      <c r="D48" s="369" t="n"/>
      <c r="E48" s="369" t="n"/>
      <c r="F48" s="369" t="n"/>
      <c r="G48" s="369" t="n"/>
      <c r="H48" s="369" t="n"/>
      <c r="I48" s="369" t="n"/>
      <c r="J48" s="369" t="n"/>
      <c r="K48" s="369" t="n"/>
      <c r="L48" s="136" t="n"/>
      <c r="M48" s="136" t="n"/>
      <c r="N48" s="136" t="n"/>
      <c r="O48" s="136" t="n"/>
      <c r="P48" s="136" t="n"/>
      <c r="Q48" s="136" t="n"/>
      <c r="R48" s="136" t="n"/>
      <c r="S48" s="136" t="n"/>
      <c r="T48" s="136" t="n"/>
      <c r="U48" s="136" t="n"/>
      <c r="V48" s="136" t="n"/>
      <c r="W48" s="136" t="n"/>
      <c r="X48" s="136" t="n"/>
      <c r="Y48" s="136" t="n"/>
      <c r="Z48" s="136" t="n"/>
      <c r="AA48" s="136" t="n"/>
      <c r="AB48" s="136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s="131">
      <c r="A49" s="369" t="n"/>
      <c r="B49" s="369" t="n"/>
      <c r="C49" s="369" t="n"/>
      <c r="D49" s="369" t="n"/>
      <c r="E49" s="369" t="n"/>
      <c r="F49" s="369" t="n"/>
      <c r="G49" s="369" t="n"/>
      <c r="H49" s="369" t="n"/>
      <c r="I49" s="369" t="n"/>
      <c r="J49" s="369" t="n"/>
      <c r="K49" s="369" t="n"/>
      <c r="L49" s="136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6" t="n"/>
      <c r="Y49" s="136" t="n"/>
      <c r="Z49" s="136" t="n"/>
      <c r="AA49" s="136" t="n"/>
      <c r="AB49" s="136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s="131">
      <c r="A50" s="369" t="n"/>
      <c r="B50" s="369" t="n"/>
      <c r="C50" s="369" t="n"/>
      <c r="D50" s="369" t="n"/>
      <c r="E50" s="369" t="n"/>
      <c r="F50" s="369" t="n"/>
      <c r="G50" s="369" t="n"/>
      <c r="H50" s="369" t="n"/>
      <c r="I50" s="369" t="n"/>
      <c r="J50" s="369" t="n"/>
      <c r="K50" s="369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</sheetData>
  <mergeCells count="9">
    <mergeCell ref="B38:G38"/>
    <mergeCell ref="B4:AB4"/>
    <mergeCell ref="B22:G22"/>
    <mergeCell ref="B2:AB2"/>
    <mergeCell ref="B23:G23"/>
    <mergeCell ref="B20:I20"/>
    <mergeCell ref="B35:G35"/>
    <mergeCell ref="B3:AB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theme="3" tint="-0.249977111117893"/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B1" sqref="AB1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MARRERO 3 | GREEN = Affordable Comps | BLUE = Market Rate Comps</t>
        </is>
      </c>
      <c r="B3" s="363" t="n"/>
      <c r="AB3" s="363" t="n"/>
      <c r="AC3" s="136" t="n"/>
      <c r="AD3" s="136" t="n"/>
      <c r="AE3" s="136" t="n"/>
      <c r="AF3" s="136" t="n"/>
      <c r="AG3" s="136" t="n"/>
      <c r="AH3" s="136" t="n"/>
      <c r="AI3" s="136" t="n"/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Marrero 3 | 1050 Manhattan Blvd, Harvey, LA 70058 | 173 units | Program: Section 8/HUD | Bedroom Mix: 3BR / 4BR | County AMI: $89,800 | FMR Area: New Orleans MSA</t>
        </is>
      </c>
      <c r="B4" s="363" t="n"/>
      <c r="AB4" s="363" t="n"/>
      <c r="AC4" s="136" t="n"/>
      <c r="AD4" s="136" t="n"/>
      <c r="AE4" s="136" t="n"/>
      <c r="AF4" s="136" t="n"/>
      <c r="AG4" s="136" t="n"/>
      <c r="AH4" s="136" t="n"/>
      <c r="AI4" s="136" t="n"/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B5" s="341" t="n"/>
      <c r="AC5" s="136" t="n"/>
      <c r="AD5" s="136" t="n"/>
      <c r="AE5" s="136" t="n"/>
      <c r="AF5" s="136" t="n"/>
      <c r="AG5" s="136" t="n"/>
      <c r="AH5" s="136" t="n"/>
      <c r="AI5" s="136" t="n"/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3BD 50% AMI ($)</t>
        </is>
      </c>
      <c r="J6" s="280" t="inlineStr">
        <is>
          <t>3BD 60% AMI ($)</t>
        </is>
      </c>
      <c r="K6" s="280" t="inlineStr">
        <is>
          <t>3BR FMR ($)</t>
        </is>
      </c>
      <c r="L6" s="335" t="inlineStr">
        <is>
          <t>3BR Actual ($)</t>
        </is>
      </c>
      <c r="M6" s="281" t="inlineStr">
        <is>
          <t>4BD 50% AMI ($)</t>
        </is>
      </c>
      <c r="N6" s="280" t="inlineStr">
        <is>
          <t>4BD 60% AMI ($)</t>
        </is>
      </c>
      <c r="O6" s="280" t="inlineStr">
        <is>
          <t>4BR FMR ($)</t>
        </is>
      </c>
      <c r="P6" s="335" t="inlineStr">
        <is>
          <t>4BR Actual ($)</t>
        </is>
      </c>
      <c r="Q6" s="281" t="inlineStr">
        <is>
          <t># Units</t>
        </is>
      </c>
      <c r="R6" s="280" t="inlineStr">
        <is>
          <t>Year Built</t>
        </is>
      </c>
      <c r="S6" s="280" t="inlineStr">
        <is>
          <t>Yr Diff</t>
        </is>
      </c>
      <c r="T6" s="339" t="inlineStr">
        <is>
          <t>Utilities Incl.</t>
        </is>
      </c>
      <c r="U6" s="339" t="inlineStr">
        <is>
          <t>Pet Friendly</t>
        </is>
      </c>
      <c r="V6" s="339" t="inlineStr">
        <is>
          <t>Gated</t>
        </is>
      </c>
      <c r="W6" s="339" t="inlineStr">
        <is>
          <t>Pool</t>
        </is>
      </c>
      <c r="X6" s="339" t="inlineStr">
        <is>
          <t>W/D In-Unit</t>
        </is>
      </c>
      <c r="Y6" s="339" t="inlineStr">
        <is>
          <t>Competition Level</t>
        </is>
      </c>
      <c r="Z6" s="336" t="inlineStr">
        <is>
          <t>Why Competitive</t>
        </is>
      </c>
      <c r="AA6" s="340" t="inlineStr">
        <is>
          <t>Data Source</t>
        </is>
      </c>
      <c r="AB6" s="342" t="n"/>
      <c r="AC6" s="136" t="n"/>
      <c r="AD6" s="136" t="n"/>
      <c r="AE6" s="136" t="n"/>
      <c r="AF6" s="136" t="n"/>
      <c r="AG6" s="136" t="n"/>
      <c r="AH6" s="136" t="n"/>
      <c r="AI6" s="136" t="n"/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Marrero 3 (SUBJECT)</t>
        </is>
      </c>
      <c r="D7" s="174" t="inlineStr">
        <is>
          <t>1050 Manhattan Blvd</t>
        </is>
      </c>
      <c r="E7" s="174" t="inlineStr">
        <is>
          <t>Harvey</t>
        </is>
      </c>
      <c r="F7" s="174" t="inlineStr">
        <is>
          <t>LA</t>
        </is>
      </c>
      <c r="G7" s="174" t="inlineStr">
        <is>
          <t>70058</t>
        </is>
      </c>
      <c r="H7" s="174" t="inlineStr">
        <is>
          <t>0.0 mi</t>
        </is>
      </c>
      <c r="I7" s="174" t="inlineStr">
        <is>
          <t>$3,741</t>
        </is>
      </c>
      <c r="J7" s="174" t="inlineStr">
        <is>
          <t>$4,490</t>
        </is>
      </c>
      <c r="K7" s="174" t="inlineStr">
        <is>
          <t>$1,573</t>
        </is>
      </c>
      <c r="L7" s="368">
        <f>B26</f>
        <v/>
      </c>
      <c r="M7" s="174" t="inlineStr">
        <is>
          <t>$4,041</t>
        </is>
      </c>
      <c r="N7" s="174" t="inlineStr">
        <is>
          <t>$4,850</t>
        </is>
      </c>
      <c r="O7" s="174" t="inlineStr">
        <is>
          <t>$1,818</t>
        </is>
      </c>
      <c r="P7" s="368">
        <f>B27</f>
        <v/>
      </c>
      <c r="Q7" s="174" t="inlineStr">
        <is>
          <t>173</t>
        </is>
      </c>
      <c r="R7" s="174" t="inlineStr">
        <is>
          <t>1968</t>
        </is>
      </c>
      <c r="S7" s="174" t="inlineStr">
        <is>
          <t>0</t>
        </is>
      </c>
      <c r="T7" s="174" t="inlineStr">
        <is>
          <t>Yes</t>
        </is>
      </c>
      <c r="U7" s="174" t="inlineStr">
        <is>
          <t>No</t>
        </is>
      </c>
      <c r="V7" s="174" t="inlineStr">
        <is>
          <t>No</t>
        </is>
      </c>
      <c r="W7" s="174" t="inlineStr">
        <is>
          <t>No</t>
        </is>
      </c>
      <c r="X7" s="174" t="inlineStr">
        <is>
          <t>No</t>
        </is>
      </c>
      <c r="Y7" s="42" t="inlineStr">
        <is>
          <t>SUBJECT</t>
        </is>
      </c>
      <c r="Z7" s="55" t="inlineStr">
        <is>
          <t>173 units | Section 8/HUD property. Year built: 1968. Subject property for market context.</t>
        </is>
      </c>
      <c r="AA7" s="40" t="inlineStr">
        <is>
          <t>Apartment Corp Records</t>
        </is>
      </c>
      <c r="AB7" s="136" t="n"/>
      <c r="AC7" s="136" t="n"/>
      <c r="AD7" s="136" t="n"/>
      <c r="AE7" s="136" t="n"/>
      <c r="AF7" s="136" t="n"/>
      <c r="AG7" s="136" t="n"/>
      <c r="AH7" s="136" t="n"/>
      <c r="AI7" s="136" t="n"/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Westchase Apartments</t>
        </is>
      </c>
      <c r="D8" s="59" t="inlineStr">
        <is>
          <t>1013 Manhattan Blvd</t>
        </is>
      </c>
      <c r="E8" s="59" t="inlineStr">
        <is>
          <t>Harvey</t>
        </is>
      </c>
      <c r="F8" s="59" t="inlineStr">
        <is>
          <t>LA</t>
        </is>
      </c>
      <c r="G8" s="59" t="inlineStr">
        <is>
          <t>70058</t>
        </is>
      </c>
      <c r="H8" s="59" t="inlineStr">
        <is>
          <t>0.3 mi</t>
        </is>
      </c>
      <c r="I8" s="59" t="inlineStr">
        <is>
          <t>$3,741</t>
        </is>
      </c>
      <c r="J8" s="59" t="inlineStr">
        <is>
          <t>$4,490</t>
        </is>
      </c>
      <c r="K8" s="41" t="inlineStr">
        <is>
          <t>$1,573</t>
        </is>
      </c>
      <c r="L8" s="53" t="inlineStr">
        <is>
          <t>Not Listed</t>
        </is>
      </c>
      <c r="M8" s="43" t="inlineStr">
        <is>
          <t>$4,041</t>
        </is>
      </c>
      <c r="N8" s="43" t="inlineStr">
        <is>
          <t>$4,850</t>
        </is>
      </c>
      <c r="O8" s="41" t="inlineStr">
        <is>
          <t>$1,818</t>
        </is>
      </c>
      <c r="P8" s="53" t="inlineStr">
        <is>
          <t>Not Listed</t>
        </is>
      </c>
      <c r="Q8" s="43" t="inlineStr">
        <is>
          <t>200</t>
        </is>
      </c>
      <c r="R8" s="43" t="inlineStr">
        <is>
          <t>1970</t>
        </is>
      </c>
      <c r="S8" s="43" t="inlineStr">
        <is>
          <t>2</t>
        </is>
      </c>
      <c r="T8" s="43" t="inlineStr">
        <is>
          <t>Yes</t>
        </is>
      </c>
      <c r="U8" s="43" t="inlineStr">
        <is>
          <t>No</t>
        </is>
      </c>
      <c r="V8" s="43" t="inlineStr">
        <is>
          <t>No</t>
        </is>
      </c>
      <c r="W8" s="43" t="inlineStr">
        <is>
          <t>No</t>
        </is>
      </c>
      <c r="X8" s="43" t="inlineStr">
        <is>
          <t>No</t>
        </is>
      </c>
      <c r="Y8" s="44" t="inlineStr">
        <is>
          <t>HIGH</t>
        </is>
      </c>
      <c r="Z8" s="56" t="inlineStr">
        <is>
          <t>Affordable Comp #1: Section 8/HUD property, 1970 vintage (2 yr diff), 200 units, 0.3 mi from subject. Same income-eligible renter pool.</t>
        </is>
      </c>
      <c r="AA8" s="43" t="inlineStr">
        <is>
          <t>AffordableHousingOnline.com</t>
        </is>
      </c>
      <c r="AB8" s="136" t="n"/>
      <c r="AC8" s="136" t="n"/>
      <c r="AD8" s="136" t="n"/>
      <c r="AE8" s="136" t="n"/>
      <c r="AF8" s="136" t="n"/>
      <c r="AG8" s="136" t="n"/>
      <c r="AH8" s="136" t="n"/>
      <c r="AI8" s="136" t="n"/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Gretna Manor Apartments</t>
        </is>
      </c>
      <c r="D9" s="125" t="inlineStr">
        <is>
          <t>400 Huey P Long Ave</t>
        </is>
      </c>
      <c r="E9" s="125" t="inlineStr">
        <is>
          <t>Gretna</t>
        </is>
      </c>
      <c r="F9" s="125" t="inlineStr">
        <is>
          <t>LA</t>
        </is>
      </c>
      <c r="G9" s="125" t="inlineStr">
        <is>
          <t>70053</t>
        </is>
      </c>
      <c r="H9" s="125" t="inlineStr">
        <is>
          <t>3.5 mi</t>
        </is>
      </c>
      <c r="I9" s="125" t="inlineStr">
        <is>
          <t>$3,741</t>
        </is>
      </c>
      <c r="J9" s="125" t="inlineStr">
        <is>
          <t>$4,490</t>
        </is>
      </c>
      <c r="K9" s="85" t="inlineStr">
        <is>
          <t>$1,573</t>
        </is>
      </c>
      <c r="L9" s="86" t="inlineStr">
        <is>
          <t>Not Listed</t>
        </is>
      </c>
      <c r="M9" s="128" t="inlineStr">
        <is>
          <t>$4,041</t>
        </is>
      </c>
      <c r="N9" s="128" t="inlineStr">
        <is>
          <t>$4,850</t>
        </is>
      </c>
      <c r="O9" s="85" t="inlineStr">
        <is>
          <t>$1,818</t>
        </is>
      </c>
      <c r="P9" s="86" t="inlineStr">
        <is>
          <t>Not Listed</t>
        </is>
      </c>
      <c r="Q9" s="128" t="inlineStr">
        <is>
          <t>180</t>
        </is>
      </c>
      <c r="R9" s="128" t="inlineStr">
        <is>
          <t>1972</t>
        </is>
      </c>
      <c r="S9" s="128" t="inlineStr">
        <is>
          <t>4</t>
        </is>
      </c>
      <c r="T9" s="128" t="inlineStr">
        <is>
          <t>Yes</t>
        </is>
      </c>
      <c r="U9" s="128" t="inlineStr">
        <is>
          <t>No</t>
        </is>
      </c>
      <c r="V9" s="128" t="inlineStr">
        <is>
          <t>No</t>
        </is>
      </c>
      <c r="W9" s="128" t="inlineStr">
        <is>
          <t>No</t>
        </is>
      </c>
      <c r="X9" s="128" t="inlineStr">
        <is>
          <t>No</t>
        </is>
      </c>
      <c r="Y9" s="129" t="inlineStr">
        <is>
          <t>HIGH</t>
        </is>
      </c>
      <c r="Z9" s="130" t="inlineStr">
        <is>
          <t>Affordable Comp #2: Section 8/HUD property, 1972 vintage (4 yr diff), 180 units, 3.5 mi from subject. Same income-eligible renter pool.</t>
        </is>
      </c>
      <c r="AA9" s="128" t="inlineStr">
        <is>
          <t>HUD Multifamily Assisted Housing</t>
        </is>
      </c>
      <c r="AB9" s="136" t="n"/>
      <c r="AC9" s="136" t="n"/>
      <c r="AD9" s="136" t="n"/>
      <c r="AE9" s="136" t="n"/>
      <c r="AF9" s="136" t="n"/>
      <c r="AG9" s="136" t="n"/>
      <c r="AH9" s="136" t="n"/>
      <c r="AI9" s="136" t="n"/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New Orleans East Apartments</t>
        </is>
      </c>
      <c r="D10" s="107" t="inlineStr">
        <is>
          <t>6000 Read Blvd</t>
        </is>
      </c>
      <c r="E10" s="107" t="inlineStr">
        <is>
          <t>New Orleans</t>
        </is>
      </c>
      <c r="F10" s="107" t="inlineStr">
        <is>
          <t>LA</t>
        </is>
      </c>
      <c r="G10" s="107" t="inlineStr">
        <is>
          <t>70127</t>
        </is>
      </c>
      <c r="H10" s="107" t="inlineStr">
        <is>
          <t>12.0 mi</t>
        </is>
      </c>
      <c r="I10" s="107" t="inlineStr">
        <is>
          <t>$3,741</t>
        </is>
      </c>
      <c r="J10" s="107" t="inlineStr">
        <is>
          <t>$4,490</t>
        </is>
      </c>
      <c r="K10" s="80" t="inlineStr">
        <is>
          <t>$1,573</t>
        </is>
      </c>
      <c r="L10" s="81" t="inlineStr">
        <is>
          <t>Not Listed</t>
        </is>
      </c>
      <c r="M10" s="108" t="inlineStr">
        <is>
          <t>$4,041</t>
        </is>
      </c>
      <c r="N10" s="108" t="inlineStr">
        <is>
          <t>$4,850</t>
        </is>
      </c>
      <c r="O10" s="80" t="inlineStr">
        <is>
          <t>$1,818</t>
        </is>
      </c>
      <c r="P10" s="81" t="inlineStr">
        <is>
          <t>Not Listed</t>
        </is>
      </c>
      <c r="Q10" s="108" t="inlineStr">
        <is>
          <t>160</t>
        </is>
      </c>
      <c r="R10" s="108" t="inlineStr">
        <is>
          <t>1970</t>
        </is>
      </c>
      <c r="S10" s="108" t="inlineStr">
        <is>
          <t>2</t>
        </is>
      </c>
      <c r="T10" s="108" t="inlineStr">
        <is>
          <t>Yes</t>
        </is>
      </c>
      <c r="U10" s="108" t="inlineStr">
        <is>
          <t>No</t>
        </is>
      </c>
      <c r="V10" s="108" t="inlineStr">
        <is>
          <t>No</t>
        </is>
      </c>
      <c r="W10" s="108" t="inlineStr">
        <is>
          <t>No</t>
        </is>
      </c>
      <c r="X10" s="108" t="inlineStr">
        <is>
          <t>No</t>
        </is>
      </c>
      <c r="Y10" s="109" t="inlineStr">
        <is>
          <t>HIGH</t>
        </is>
      </c>
      <c r="Z10" s="110" t="inlineStr">
        <is>
          <t>Affordable Comp #3: Section 8/HUD property, 1970 vintage (2 yr diff), 160 units, 12.0 mi from subject. Same income-eligible renter pool.</t>
        </is>
      </c>
      <c r="AA10" s="111" t="inlineStr">
        <is>
          <t>HUD Multifamily Assisted Housing</t>
        </is>
      </c>
      <c r="AB10" s="134" t="n"/>
      <c r="AC10" s="136" t="n"/>
      <c r="AD10" s="136" t="n"/>
      <c r="AE10" s="136" t="n"/>
      <c r="AF10" s="136" t="n"/>
      <c r="AG10" s="136" t="n"/>
      <c r="AH10" s="136" t="n"/>
      <c r="AI10" s="136" t="n"/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Jefferson Parish Housing Authority - Woodmere Homes</t>
        </is>
      </c>
      <c r="D11" s="95" t="inlineStr">
        <is>
          <t>1200 Woodmere Blvd</t>
        </is>
      </c>
      <c r="E11" s="95" t="inlineStr">
        <is>
          <t>Harvey</t>
        </is>
      </c>
      <c r="F11" s="95" t="inlineStr">
        <is>
          <t>LA</t>
        </is>
      </c>
      <c r="G11" s="95" t="inlineStr">
        <is>
          <t>70058</t>
        </is>
      </c>
      <c r="H11" s="95" t="inlineStr">
        <is>
          <t>2.1 mi</t>
        </is>
      </c>
      <c r="I11" s="95" t="inlineStr">
        <is>
          <t>$3,741</t>
        </is>
      </c>
      <c r="J11" s="95" t="inlineStr">
        <is>
          <t>$4,490</t>
        </is>
      </c>
      <c r="K11" s="39" t="inlineStr">
        <is>
          <t>$1,573</t>
        </is>
      </c>
      <c r="L11" s="53" t="inlineStr">
        <is>
          <t>Not Listed</t>
        </is>
      </c>
      <c r="M11" s="96" t="inlineStr">
        <is>
          <t>$4,041</t>
        </is>
      </c>
      <c r="N11" s="96" t="inlineStr">
        <is>
          <t>$4,850</t>
        </is>
      </c>
      <c r="O11" s="39" t="inlineStr">
        <is>
          <t>$1,818</t>
        </is>
      </c>
      <c r="P11" s="53" t="inlineStr">
        <is>
          <t>Not Listed</t>
        </is>
      </c>
      <c r="Q11" s="96" t="inlineStr">
        <is>
          <t>180</t>
        </is>
      </c>
      <c r="R11" s="96" t="inlineStr">
        <is>
          <t>1969</t>
        </is>
      </c>
      <c r="S11" s="96" t="inlineStr">
        <is>
          <t>1</t>
        </is>
      </c>
      <c r="T11" s="96" t="inlineStr">
        <is>
          <t>Yes</t>
        </is>
      </c>
      <c r="U11" s="96" t="inlineStr">
        <is>
          <t>No</t>
        </is>
      </c>
      <c r="V11" s="96" t="inlineStr">
        <is>
          <t>No</t>
        </is>
      </c>
      <c r="W11" s="96" t="inlineStr">
        <is>
          <t>No</t>
        </is>
      </c>
      <c r="X11" s="96" t="inlineStr">
        <is>
          <t>No</t>
        </is>
      </c>
      <c r="Y11" s="45" t="inlineStr">
        <is>
          <t>HIGH</t>
        </is>
      </c>
      <c r="Z11" s="97" t="inlineStr">
        <is>
          <t>Affordable Comp #4: Public Housing/HUD property, 1969 vintage (1 yr diff), 180 units, 2.1 mi from subject. Same income-eligible renter pool.</t>
        </is>
      </c>
      <c r="AA11" s="113" t="inlineStr">
        <is>
          <t>Jefferson Parish Housing Authority</t>
        </is>
      </c>
      <c r="AB11" s="134" t="n"/>
      <c r="AC11" s="136" t="n"/>
      <c r="AD11" s="136" t="n"/>
      <c r="AE11" s="136" t="n"/>
      <c r="AF11" s="136" t="n"/>
      <c r="AG11" s="136" t="n"/>
      <c r="AH11" s="136" t="n"/>
      <c r="AI11" s="136" t="n"/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37.5" customHeight="1" s="131">
      <c r="A12" s="114" t="n">
        <v>1</v>
      </c>
      <c r="B12" s="70" t="inlineStr">
        <is>
          <t>MARKET RATE</t>
        </is>
      </c>
      <c r="C12" s="67" t="inlineStr">
        <is>
          <t>Windsor at Manhattan</t>
        </is>
      </c>
      <c r="D12" s="98" t="inlineStr">
        <is>
          <t>1499 Central Park Blvd</t>
        </is>
      </c>
      <c r="E12" s="98" t="inlineStr">
        <is>
          <t>Harvey</t>
        </is>
      </c>
      <c r="F12" s="98" t="inlineStr">
        <is>
          <t>LA</t>
        </is>
      </c>
      <c r="G12" s="98" t="inlineStr">
        <is>
          <t>70058</t>
        </is>
      </c>
      <c r="H12" s="98" t="inlineStr">
        <is>
          <t>0.4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N/A (Market Rate)</t>
        </is>
      </c>
      <c r="L12" s="157" t="n">
        <v>2100</v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$1,818</t>
        </is>
      </c>
      <c r="P12" s="53" t="inlineStr">
        <is>
          <t>Not Listed</t>
        </is>
      </c>
      <c r="Q12" s="99" t="inlineStr">
        <is>
          <t>N/A</t>
        </is>
      </c>
      <c r="R12" s="99" t="inlineStr">
        <is>
          <t>1968</t>
        </is>
      </c>
      <c r="S12" s="99" t="inlineStr">
        <is>
          <t>0</t>
        </is>
      </c>
      <c r="T12" s="99" t="inlineStr">
        <is>
          <t>Varies</t>
        </is>
      </c>
      <c r="U12" s="99" t="inlineStr">
        <is>
          <t>Varies</t>
        </is>
      </c>
      <c r="V12" s="99" t="inlineStr">
        <is>
          <t>Varies</t>
        </is>
      </c>
      <c r="W12" s="99" t="inlineStr">
        <is>
          <t>Varies</t>
        </is>
      </c>
      <c r="X12" s="99" t="inlineStr">
        <is>
          <t>Varies</t>
        </is>
      </c>
      <c r="Y12" s="46" t="inlineStr">
        <is>
          <t>HIGH</t>
        </is>
      </c>
      <c r="Z12" s="100" t="inlineStr">
        <is>
          <t>Market Rate Comp #1: No income restrictions, 1968 vintage (0 yr diff), N/A units, N/A from subject. Shows market-rate rents vs. affordable housing discount.</t>
        </is>
      </c>
      <c r="AA12" s="115" t="inlineStr">
        <is>
          <t>HUD FY2026 FMR - Jefferson Parish, LA (limited market rate listings for 1958-1978 vintage)</t>
        </is>
      </c>
      <c r="AB12" s="134" t="n"/>
      <c r="AC12" s="136" t="n"/>
      <c r="AD12" s="136" t="n"/>
      <c r="AE12" s="136" t="n"/>
      <c r="AF12" s="136" t="n"/>
      <c r="AG12" s="136" t="n"/>
      <c r="AH12" s="136" t="n"/>
      <c r="AI12" s="136" t="n"/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n">
        <v>2</v>
      </c>
      <c r="B13" s="71" t="inlineStr">
        <is>
          <t>MARKET RATE</t>
        </is>
      </c>
      <c r="C13" s="68" t="inlineStr">
        <is>
          <t>2713 Cerritas Via</t>
        </is>
      </c>
      <c r="D13" s="101" t="inlineStr">
        <is>
          <t>2713 Cerritas Via</t>
        </is>
      </c>
      <c r="E13" s="101" t="inlineStr">
        <is>
          <t>Harvey</t>
        </is>
      </c>
      <c r="F13" s="101" t="inlineStr">
        <is>
          <t>LA</t>
        </is>
      </c>
      <c r="G13" s="101" t="inlineStr">
        <is>
          <t>70058</t>
        </is>
      </c>
      <c r="H13" s="101" t="inlineStr">
        <is>
          <t>1.0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N/A (Market Rate)</t>
        </is>
      </c>
      <c r="L13" s="157" t="n">
        <v>2000</v>
      </c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$1,818</t>
        </is>
      </c>
      <c r="P13" s="53" t="inlineStr">
        <is>
          <t>Not Listed</t>
        </is>
      </c>
      <c r="Q13" s="102" t="inlineStr">
        <is>
          <t>N/A</t>
        </is>
      </c>
      <c r="R13" s="102" t="inlineStr">
        <is>
          <t>1965</t>
        </is>
      </c>
      <c r="S13" s="102" t="inlineStr">
        <is>
          <t>3</t>
        </is>
      </c>
      <c r="T13" s="102" t="inlineStr">
        <is>
          <t>Varies</t>
        </is>
      </c>
      <c r="U13" s="102" t="inlineStr">
        <is>
          <t>Varies</t>
        </is>
      </c>
      <c r="V13" s="102" t="inlineStr">
        <is>
          <t>Varies</t>
        </is>
      </c>
      <c r="W13" s="102" t="inlineStr">
        <is>
          <t>Varies</t>
        </is>
      </c>
      <c r="X13" s="102" t="inlineStr">
        <is>
          <t>Varies</t>
        </is>
      </c>
      <c r="Y13" s="47" t="inlineStr">
        <is>
          <t>HIGH</t>
        </is>
      </c>
      <c r="Z13" s="103" t="inlineStr">
        <is>
          <t>Market Rate Comp #2: No income restrictions, 1965 vintage (3 yr diff), N/A units, 3.0 mi from subject. Shows market-rate rents vs. affordable housing discount.</t>
        </is>
      </c>
      <c r="AA13" s="117" t="inlineStr">
        <is>
          <t>HUD FY2026 FMR - Jefferson Parish, LA</t>
        </is>
      </c>
      <c r="AB13" s="134" t="n"/>
      <c r="AC13" s="136" t="n"/>
      <c r="AD13" s="136" t="n"/>
      <c r="AE13" s="136" t="n"/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n">
        <v>3</v>
      </c>
      <c r="B14" s="69" t="inlineStr">
        <is>
          <t>MARKET RATE</t>
        </is>
      </c>
      <c r="C14" s="66" t="inlineStr">
        <is>
          <t>1148 Lochlomand Dr</t>
        </is>
      </c>
      <c r="D14" s="95" t="inlineStr">
        <is>
          <t>1148 Lochlomand Dr</t>
        </is>
      </c>
      <c r="E14" s="95" t="inlineStr">
        <is>
          <t>Harvey</t>
        </is>
      </c>
      <c r="F14" s="95" t="inlineStr">
        <is>
          <t>LA</t>
        </is>
      </c>
      <c r="G14" s="95" t="inlineStr">
        <is>
          <t>70058</t>
        </is>
      </c>
      <c r="H14" s="95" t="inlineStr">
        <is>
          <t>1.2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N/A (Market Rate)</t>
        </is>
      </c>
      <c r="L14" s="157" t="n">
        <v>1800</v>
      </c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$1,818</t>
        </is>
      </c>
      <c r="P14" s="53" t="inlineStr">
        <is>
          <t>Not Listed</t>
        </is>
      </c>
      <c r="Q14" s="96" t="inlineStr">
        <is>
          <t>N/A</t>
        </is>
      </c>
      <c r="R14" s="96" t="inlineStr">
        <is>
          <t>1970</t>
        </is>
      </c>
      <c r="S14" s="96" t="inlineStr">
        <is>
          <t>2</t>
        </is>
      </c>
      <c r="T14" s="96" t="inlineStr">
        <is>
          <t>Varies</t>
        </is>
      </c>
      <c r="U14" s="96" t="inlineStr">
        <is>
          <t>Varies</t>
        </is>
      </c>
      <c r="V14" s="96" t="inlineStr">
        <is>
          <t>Varies</t>
        </is>
      </c>
      <c r="W14" s="96" t="inlineStr">
        <is>
          <t>Varies</t>
        </is>
      </c>
      <c r="X14" s="96" t="inlineStr">
        <is>
          <t>Varies</t>
        </is>
      </c>
      <c r="Y14" s="45" t="inlineStr">
        <is>
          <t>HIGH</t>
        </is>
      </c>
      <c r="Z14" s="97" t="inlineStr">
        <is>
          <t>Market Rate Comp #3: No income restrictions, 1970 vintage (2 yr diff), N/A units, 5.0 mi from subject. Shows market-rate rents vs. affordable housing discount.</t>
        </is>
      </c>
      <c r="AA14" s="113" t="inlineStr">
        <is>
          <t>HUD FY2026 FMR - Jefferson Parish, LA</t>
        </is>
      </c>
      <c r="AB14" s="134" t="n"/>
      <c r="AC14" s="136" t="n"/>
      <c r="AD14" s="136" t="n"/>
      <c r="AE14" s="136" t="n"/>
      <c r="AF14" s="136" t="n"/>
      <c r="AG14" s="136" t="n"/>
      <c r="AH14" s="136" t="n"/>
      <c r="AI14" s="136" t="n"/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n">
        <v>4</v>
      </c>
      <c r="B15" s="69" t="inlineStr">
        <is>
          <t>MARKET RATE</t>
        </is>
      </c>
      <c r="C15" s="66" t="inlineStr">
        <is>
          <t>1549 Spanish Oaks Dr</t>
        </is>
      </c>
      <c r="D15" s="95" t="inlineStr">
        <is>
          <t>1549 Spanish Oaks Dr</t>
        </is>
      </c>
      <c r="E15" s="95" t="inlineStr">
        <is>
          <t>Harvey</t>
        </is>
      </c>
      <c r="F15" s="95" t="inlineStr">
        <is>
          <t>LA</t>
        </is>
      </c>
      <c r="G15" s="95" t="inlineStr">
        <is>
          <t>70058</t>
        </is>
      </c>
      <c r="H15" s="95" t="inlineStr">
        <is>
          <t>0.8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$1,573</t>
        </is>
      </c>
      <c r="L15" s="53" t="inlineStr">
        <is>
          <t>$1,550</t>
        </is>
      </c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N/A (Market Rate)</t>
        </is>
      </c>
      <c r="P15" s="157" t="n">
        <v>1900</v>
      </c>
      <c r="Q15" s="96" t="inlineStr">
        <is>
          <t>N/A</t>
        </is>
      </c>
      <c r="R15" s="96" t="inlineStr">
        <is>
          <t>1966</t>
        </is>
      </c>
      <c r="S15" s="96" t="inlineStr">
        <is>
          <t>2</t>
        </is>
      </c>
      <c r="T15" s="96" t="inlineStr">
        <is>
          <t>Varies</t>
        </is>
      </c>
      <c r="U15" s="96" t="inlineStr">
        <is>
          <t>Varies</t>
        </is>
      </c>
      <c r="V15" s="96" t="inlineStr">
        <is>
          <t>Varies</t>
        </is>
      </c>
      <c r="W15" s="96" t="inlineStr">
        <is>
          <t>Varies</t>
        </is>
      </c>
      <c r="X15" s="96" t="inlineStr">
        <is>
          <t>Varies</t>
        </is>
      </c>
      <c r="Y15" s="45" t="inlineStr">
        <is>
          <t>HIGH</t>
        </is>
      </c>
      <c r="Z15" s="97" t="inlineStr">
        <is>
          <t>Market Rate Comp #4: No income restrictions, 1966 vintage (2 yr diff), N/A units, 7.0 mi from subject. Shows market-rate rents vs. affordable housing discount.</t>
        </is>
      </c>
      <c r="AA15" s="113" t="inlineStr">
        <is>
          <t>HUD FY2026 FMR - Jefferson Parish, LA</t>
        </is>
      </c>
      <c r="AB15" s="134" t="n"/>
      <c r="AC15" s="136" t="n"/>
      <c r="AD15" s="136" t="n"/>
      <c r="AE15" s="136" t="n"/>
      <c r="AF15" s="136" t="n"/>
      <c r="AG15" s="136" t="n"/>
      <c r="AH15" s="136" t="n"/>
      <c r="AI15" s="136" t="n"/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n">
        <v>5</v>
      </c>
      <c r="B16" s="82" t="inlineStr">
        <is>
          <t>MARKET RATE</t>
        </is>
      </c>
      <c r="C16" s="119" t="inlineStr">
        <is>
          <t>1522 Maplewood Dr</t>
        </is>
      </c>
      <c r="D16" s="120" t="inlineStr">
        <is>
          <t>1522 Maplewood Dr</t>
        </is>
      </c>
      <c r="E16" s="120" t="inlineStr">
        <is>
          <t>Harvey</t>
        </is>
      </c>
      <c r="F16" s="120" t="inlineStr">
        <is>
          <t>LA</t>
        </is>
      </c>
      <c r="G16" s="120" t="inlineStr">
        <is>
          <t>70058</t>
        </is>
      </c>
      <c r="H16" s="120" t="inlineStr">
        <is>
          <t>0.6 mi</t>
        </is>
      </c>
      <c r="I16" s="120" t="inlineStr">
        <is>
          <t>N/A (Market Rate)</t>
        </is>
      </c>
      <c r="J16" s="120" t="inlineStr">
        <is>
          <t>N/A (Market Rate)</t>
        </is>
      </c>
      <c r="K16" s="121" t="inlineStr">
        <is>
          <t>N/A (Market Rate)</t>
        </is>
      </c>
      <c r="L16" s="159" t="n">
        <v>1700</v>
      </c>
      <c r="M16" s="122" t="inlineStr">
        <is>
          <t>$1,818</t>
        </is>
      </c>
      <c r="N16" s="122" t="inlineStr">
        <is>
          <t>$1,818</t>
        </is>
      </c>
      <c r="O16" s="121" t="inlineStr">
        <is>
          <t>$1,818</t>
        </is>
      </c>
      <c r="P16" s="83" t="inlineStr">
        <is>
          <t>N/A</t>
        </is>
      </c>
      <c r="Q16" s="122" t="inlineStr">
        <is>
          <t>N/A</t>
        </is>
      </c>
      <c r="R16" s="122" t="inlineStr">
        <is>
          <t>N/A</t>
        </is>
      </c>
      <c r="S16" s="122" t="inlineStr">
        <is>
          <t>N/A</t>
        </is>
      </c>
      <c r="T16" s="122" t="inlineStr">
        <is>
          <t>N/A</t>
        </is>
      </c>
      <c r="U16" s="122" t="inlineStr">
        <is>
          <t>N/A</t>
        </is>
      </c>
      <c r="V16" s="122" t="inlineStr">
        <is>
          <t>N/A</t>
        </is>
      </c>
      <c r="W16" s="122" t="inlineStr">
        <is>
          <t>N/A</t>
        </is>
      </c>
      <c r="X16" s="122" t="inlineStr">
        <is>
          <t>N/A</t>
        </is>
      </c>
      <c r="Y16" s="84" t="inlineStr">
        <is>
          <t>BENCHMARK</t>
        </is>
      </c>
      <c r="Z16" s="123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124" t="inlineStr">
        <is>
          <t>HUD FMR Database (huduser.gov)</t>
        </is>
      </c>
      <c r="AB16" s="134" t="n"/>
      <c r="AC16" s="136" t="n"/>
      <c r="AD16" s="136" t="n"/>
      <c r="AE16" s="136" t="n"/>
      <c r="AF16" s="136" t="n"/>
      <c r="AG16" s="136" t="n"/>
      <c r="AH16" s="136" t="n"/>
      <c r="AI16" s="136" t="n"/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n">
        <v>6</v>
      </c>
      <c r="B17" s="88" t="inlineStr">
        <is>
          <t>MARKET RATE</t>
        </is>
      </c>
      <c r="C17" s="89" t="inlineStr">
        <is>
          <t>1720 Huey P Long Ave</t>
        </is>
      </c>
      <c r="D17" s="87" t="inlineStr">
        <is>
          <t>1720 Huey P Long Ave</t>
        </is>
      </c>
      <c r="E17" s="87" t="inlineStr">
        <is>
          <t>Harvey</t>
        </is>
      </c>
      <c r="F17" s="87" t="inlineStr">
        <is>
          <t>LA</t>
        </is>
      </c>
      <c r="G17" s="87" t="inlineStr">
        <is>
          <t>70058</t>
        </is>
      </c>
      <c r="H17" s="87" t="inlineStr">
        <is>
          <t>1.5 mi</t>
        </is>
      </c>
      <c r="I17" s="87" t="inlineStr">
        <is>
          <t>N/A (Market Rate)</t>
        </is>
      </c>
      <c r="J17" s="87" t="inlineStr">
        <is>
          <t>N/A (Market Rate)</t>
        </is>
      </c>
      <c r="K17" s="90" t="inlineStr">
        <is>
          <t>N/A (Market Rate)</t>
        </is>
      </c>
      <c r="L17" s="161" t="n">
        <v>1650</v>
      </c>
      <c r="M17" s="92" t="inlineStr">
        <is>
          <t>$1,999</t>
        </is>
      </c>
      <c r="N17" s="92" t="inlineStr">
        <is>
          <t>$1,999</t>
        </is>
      </c>
      <c r="O17" s="90" t="inlineStr">
        <is>
          <t>$1,999</t>
        </is>
      </c>
      <c r="P17" s="91" t="inlineStr">
        <is>
          <t>N/A</t>
        </is>
      </c>
      <c r="Q17" s="92" t="inlineStr">
        <is>
          <t>N/A</t>
        </is>
      </c>
      <c r="R17" s="92" t="inlineStr">
        <is>
          <t>N/A</t>
        </is>
      </c>
      <c r="S17" s="92" t="inlineStr">
        <is>
          <t>N/A</t>
        </is>
      </c>
      <c r="T17" s="92" t="inlineStr">
        <is>
          <t>N/A</t>
        </is>
      </c>
      <c r="U17" s="92" t="inlineStr">
        <is>
          <t>N/A</t>
        </is>
      </c>
      <c r="V17" s="92" t="inlineStr">
        <is>
          <t>N/A</t>
        </is>
      </c>
      <c r="W17" s="92" t="inlineStr">
        <is>
          <t>N/A</t>
        </is>
      </c>
      <c r="X17" s="92" t="inlineStr">
        <is>
          <t>N/A</t>
        </is>
      </c>
      <c r="Y17" s="93" t="inlineStr">
        <is>
          <t>BENCHMARK</t>
        </is>
      </c>
      <c r="Z17" s="94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92" t="inlineStr">
        <is>
          <t>HUD FMR + Market Estimate</t>
        </is>
      </c>
      <c r="AB17" s="136" t="n"/>
      <c r="AC17" s="136" t="n"/>
      <c r="AD17" s="136" t="n"/>
      <c r="AE17" s="136" t="n"/>
      <c r="AF17" s="136" t="n"/>
      <c r="AG17" s="136" t="n"/>
      <c r="AH17" s="136" t="n"/>
      <c r="AI17" s="136" t="n"/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C19" s="136" t="n"/>
      <c r="AD19" s="136" t="n"/>
      <c r="AE19" s="136" t="n"/>
      <c r="AF19" s="136" t="n"/>
      <c r="AG19" s="136" t="n"/>
      <c r="AH19" s="136" t="n"/>
      <c r="AI19" s="136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Height="1" s="131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Format="1" customHeight="1" s="2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Format="1" customHeight="1" s="2">
      <c r="A25" s="372" t="n"/>
      <c r="B25" s="201" t="inlineStr">
        <is>
          <t>3BD</t>
        </is>
      </c>
      <c r="C25" s="194" t="n"/>
      <c r="D25" s="200" t="n">
        <v>1800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Height="1" s="131">
      <c r="A26" s="372" t="n"/>
      <c r="B26" s="201" t="inlineStr">
        <is>
          <t>4BD</t>
        </is>
      </c>
      <c r="C26" s="194" t="n"/>
      <c r="D26" s="200" t="n">
        <v>1900</v>
      </c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8.1" customHeight="1" s="131">
      <c r="A27" s="369" t="n"/>
      <c r="B27" s="369" t="n"/>
      <c r="C27" s="399" t="n"/>
      <c r="D27" s="369" t="n"/>
      <c r="E27" s="369" t="n"/>
      <c r="F27" s="369" t="n"/>
      <c r="G27" s="369" t="n"/>
      <c r="H27" s="369" t="n"/>
      <c r="I27" s="369" t="n"/>
      <c r="J27" s="369" t="n"/>
      <c r="K27" s="369" t="n"/>
      <c r="L27" s="134" t="n"/>
      <c r="M27" s="134" t="n"/>
      <c r="N27" s="134" t="n"/>
      <c r="O27" s="134" t="n"/>
      <c r="P27" s="134" t="n"/>
      <c r="Q27" s="134" t="n"/>
      <c r="R27" s="134" t="n"/>
      <c r="S27" s="134" t="n"/>
      <c r="T27" s="134" t="n"/>
      <c r="U27" s="134" t="n"/>
      <c r="V27" s="134" t="n"/>
      <c r="W27" s="134" t="n"/>
      <c r="X27" s="134" t="n"/>
      <c r="Y27" s="134" t="n"/>
      <c r="Z27" s="135" t="n"/>
      <c r="AA27" s="134" t="n"/>
      <c r="AB27" s="134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24.75" customFormat="1" customHeight="1" s="2">
      <c r="A28" s="302" t="n"/>
      <c r="B28" s="211" t="inlineStr">
        <is>
          <t>PMTS — Vouchers / FMR / UAP / NET</t>
        </is>
      </c>
      <c r="G28" s="365" t="n"/>
      <c r="H28" s="183" t="n"/>
      <c r="I28" s="183" t="n"/>
      <c r="J28" s="183" t="n"/>
      <c r="K28" s="302" t="n"/>
      <c r="L28" s="302" t="n"/>
      <c r="M28" s="302" t="n"/>
      <c r="N28" s="302" t="n"/>
      <c r="O28" s="302" t="n"/>
      <c r="P28" s="302" t="n"/>
      <c r="Q28" s="302" t="n"/>
      <c r="R28" s="302" t="n"/>
      <c r="S28" s="302" t="n"/>
      <c r="T28" s="302" t="n"/>
      <c r="U28" s="302" t="n"/>
      <c r="V28" s="302" t="n"/>
      <c r="W28" s="302" t="n"/>
      <c r="X28" s="302" t="n"/>
      <c r="Y28" s="302" t="n"/>
      <c r="Z28" s="302" t="n"/>
      <c r="AA28" s="353" t="n"/>
      <c r="AB28" s="302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15.95" customFormat="1" customHeight="1" s="2">
      <c r="A29" s="302" t="n"/>
      <c r="B29" s="226" t="n"/>
      <c r="C29" s="213" t="inlineStr">
        <is>
          <t>MKT</t>
        </is>
      </c>
      <c r="D29" s="213" t="inlineStr">
        <is>
          <t>VCH</t>
        </is>
      </c>
      <c r="E29" s="214" t="inlineStr">
        <is>
          <t>FMR</t>
        </is>
      </c>
      <c r="F29" s="215" t="inlineStr">
        <is>
          <t>UAP</t>
        </is>
      </c>
      <c r="G29" s="216" t="inlineStr">
        <is>
          <t>NET</t>
        </is>
      </c>
      <c r="H29" s="183" t="n"/>
      <c r="I29" s="183" t="n"/>
      <c r="J29" s="183" t="n"/>
      <c r="K29" s="302" t="n"/>
      <c r="L29" s="302" t="n"/>
      <c r="M29" s="302" t="n"/>
      <c r="N29" s="302" t="n"/>
      <c r="O29" s="302" t="n"/>
      <c r="P29" s="302" t="n"/>
      <c r="Q29" s="302" t="n"/>
      <c r="R29" s="302" t="n"/>
      <c r="S29" s="302" t="n"/>
      <c r="T29" s="302" t="n"/>
      <c r="U29" s="302" t="n"/>
      <c r="V29" s="302" t="n"/>
      <c r="W29" s="302" t="n"/>
      <c r="X29" s="302" t="n"/>
      <c r="Y29" s="302" t="n"/>
      <c r="Z29" s="302" t="n"/>
      <c r="AA29" s="353" t="n"/>
      <c r="AB29" s="302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24.75" customFormat="1" customHeight="1" s="2">
      <c r="A30" s="372" t="n"/>
      <c r="B30" s="217" t="inlineStr">
        <is>
          <t>3BD</t>
        </is>
      </c>
      <c r="C30" s="197" t="n">
        <v>0</v>
      </c>
      <c r="D30" s="197" t="n">
        <v>1500</v>
      </c>
      <c r="E30" s="198" t="n">
        <v>1900</v>
      </c>
      <c r="F30" s="199" t="n">
        <v>289</v>
      </c>
      <c r="G30" s="218" t="n">
        <v>1611</v>
      </c>
      <c r="H30" s="183" t="n"/>
      <c r="I30" s="183" t="n"/>
      <c r="J30" s="183" t="n"/>
      <c r="K30" s="302" t="n"/>
      <c r="L30" s="302" t="n"/>
      <c r="M30" s="302" t="n"/>
      <c r="N30" s="302" t="n"/>
      <c r="O30" s="343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24.75" customFormat="1" customHeight="1" s="2">
      <c r="A31" s="372" t="n"/>
      <c r="B31" s="217" t="inlineStr">
        <is>
          <t>4BD</t>
        </is>
      </c>
      <c r="C31" s="197" t="n">
        <v>0</v>
      </c>
      <c r="D31" s="197" t="n">
        <v>1550</v>
      </c>
      <c r="E31" s="198" t="n">
        <v>2240</v>
      </c>
      <c r="F31" s="199" t="n">
        <v>374</v>
      </c>
      <c r="G31" s="218" t="n">
        <v>1866</v>
      </c>
      <c r="H31" s="183" t="n"/>
      <c r="I31" s="183" t="n"/>
      <c r="J31" s="183" t="n"/>
      <c r="K31" s="302" t="n"/>
      <c r="L31" s="302" t="n"/>
      <c r="M31" s="302" t="n"/>
      <c r="N31" s="302" t="n"/>
      <c r="O31" s="343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8.1" customHeight="1" s="131">
      <c r="A32" s="369" t="n"/>
      <c r="B32" s="369" t="n"/>
      <c r="C32" s="381" t="n"/>
      <c r="D32" s="381" t="n"/>
      <c r="E32" s="381" t="n"/>
      <c r="F32" s="381" t="n"/>
      <c r="G32" s="369" t="n"/>
      <c r="H32" s="369" t="n"/>
      <c r="I32" s="369" t="n"/>
      <c r="J32" s="369" t="n"/>
      <c r="K32" s="369" t="n"/>
      <c r="L32" s="134" t="n"/>
      <c r="M32" s="134" t="n"/>
      <c r="N32" s="134" t="n"/>
      <c r="O32" s="134" t="n"/>
      <c r="P32" s="134" t="n"/>
      <c r="Q32" s="134" t="n"/>
      <c r="R32" s="134" t="n"/>
      <c r="S32" s="134" t="n"/>
      <c r="T32" s="134" t="n"/>
      <c r="U32" s="134" t="n"/>
      <c r="V32" s="134" t="n"/>
      <c r="W32" s="134" t="n"/>
      <c r="X32" s="134" t="n"/>
      <c r="Y32" s="134" t="n"/>
      <c r="Z32" s="135" t="n"/>
      <c r="AA32" s="134" t="n"/>
      <c r="AB32" s="134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24.75" customHeight="1" s="131">
      <c r="A33" s="302" t="n"/>
      <c r="B33" s="366" t="inlineStr">
        <is>
          <t>LIHTC, UAP, NET</t>
        </is>
      </c>
      <c r="C33" s="358" t="n"/>
      <c r="D33" s="358" t="n"/>
      <c r="E33" s="358" t="n"/>
      <c r="F33" s="358" t="n"/>
      <c r="G33" s="359" t="n"/>
      <c r="H33" s="183" t="n"/>
      <c r="I33" s="183" t="n"/>
      <c r="J33" s="183" t="n"/>
      <c r="K33" s="302" t="n"/>
      <c r="L33" s="302" t="n"/>
      <c r="M33" s="302" t="n"/>
      <c r="N33" s="302" t="n"/>
      <c r="O33" s="302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16.5" customFormat="1" customHeight="1" s="2">
      <c r="A34" s="372" t="n"/>
      <c r="B34" s="226" t="n"/>
      <c r="C34" s="228" t="inlineStr">
        <is>
          <t>LIHTC/MKT</t>
        </is>
      </c>
      <c r="D34" s="228" t="inlineStr">
        <is>
          <t>60%</t>
        </is>
      </c>
      <c r="E34" s="215" t="inlineStr">
        <is>
          <t>UAP</t>
        </is>
      </c>
      <c r="F34" s="216" t="inlineStr">
        <is>
          <t>NET</t>
        </is>
      </c>
      <c r="G34" s="183" t="n"/>
      <c r="H34" s="183" t="n"/>
      <c r="I34" s="183" t="n"/>
      <c r="J34" s="183" t="n"/>
      <c r="K34" s="302" t="n"/>
      <c r="L34" s="302" t="n"/>
      <c r="M34" s="302" t="n"/>
      <c r="N34" s="302" t="n"/>
      <c r="O34" s="343" t="n"/>
      <c r="P34" s="302" t="n"/>
      <c r="Q34" s="302" t="n"/>
      <c r="R34" s="302" t="n"/>
      <c r="S34" s="302" t="n"/>
      <c r="T34" s="302" t="n"/>
      <c r="U34" s="302" t="n"/>
      <c r="V34" s="302" t="n"/>
      <c r="W34" s="302" t="n"/>
      <c r="X34" s="302" t="n"/>
      <c r="Y34" s="302" t="n"/>
      <c r="Z34" s="302" t="n"/>
      <c r="AA34" s="353" t="n"/>
      <c r="AB34" s="302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24.75" customFormat="1" customHeight="1" s="2">
      <c r="A35" s="372" t="n"/>
      <c r="B35" s="224" t="inlineStr">
        <is>
          <t>3BD</t>
        </is>
      </c>
      <c r="C35" s="225" t="n">
        <v>1401</v>
      </c>
      <c r="D35" s="225" t="n">
        <v>1112</v>
      </c>
      <c r="E35" s="225" t="n">
        <v>289</v>
      </c>
      <c r="F35" s="223" t="n">
        <v>823</v>
      </c>
      <c r="G35" s="183" t="n"/>
      <c r="H35" s="183" t="n"/>
      <c r="I35" s="183" t="n"/>
      <c r="J35" s="183" t="n"/>
      <c r="K35" s="302" t="n"/>
      <c r="L35" s="302" t="n"/>
      <c r="M35" s="302" t="n"/>
      <c r="N35" s="302" t="n"/>
      <c r="O35" s="343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24.75" customFormat="1" customHeight="1" s="2">
      <c r="A36" s="369" t="n"/>
      <c r="B36" s="224" t="inlineStr">
        <is>
          <t>4BD</t>
        </is>
      </c>
      <c r="C36" s="225" t="n">
        <v>1563</v>
      </c>
      <c r="D36" s="225" t="n">
        <v>1189</v>
      </c>
      <c r="E36" s="225" t="n">
        <v>374</v>
      </c>
      <c r="F36" s="223" t="n">
        <v>815</v>
      </c>
      <c r="G36" s="183" t="n"/>
      <c r="H36" s="183" t="n"/>
      <c r="I36" s="183" t="n"/>
      <c r="J36" s="183" t="n"/>
      <c r="K36" s="302" t="n"/>
      <c r="L36" s="302" t="n"/>
      <c r="M36" s="302" t="n"/>
      <c r="N36" s="302" t="n"/>
      <c r="O36" s="343" t="n"/>
      <c r="P36" s="302" t="n"/>
      <c r="Q36" s="302" t="n"/>
      <c r="R36" s="302" t="n"/>
      <c r="S36" s="302" t="n"/>
      <c r="T36" s="302" t="n"/>
      <c r="U36" s="302" t="n"/>
      <c r="V36" s="302" t="n"/>
      <c r="W36" s="302" t="n"/>
      <c r="X36" s="302" t="n"/>
      <c r="Y36" s="302" t="n"/>
      <c r="Z36" s="302" t="n"/>
      <c r="AA36" s="353" t="n"/>
      <c r="AB36" s="302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18" customFormat="1" customHeight="1" s="2">
      <c r="A37" s="369" t="n"/>
      <c r="B37" s="381" t="n"/>
      <c r="C37" s="381" t="n"/>
      <c r="D37" s="381" t="n"/>
      <c r="E37" s="381" t="n"/>
      <c r="F37" s="369" t="n"/>
      <c r="G37" s="369" t="n"/>
      <c r="H37" s="369" t="n"/>
      <c r="I37" s="369" t="n"/>
      <c r="J37" s="369" t="n"/>
      <c r="K37" s="369" t="n"/>
      <c r="L37" s="134" t="n"/>
      <c r="M37" s="134" t="n"/>
      <c r="N37" s="134" t="n"/>
      <c r="O37" s="134" t="n"/>
      <c r="P37" s="134" t="n"/>
      <c r="Q37" s="134" t="n"/>
      <c r="R37" s="134" t="n"/>
      <c r="S37" s="134" t="n"/>
      <c r="T37" s="134" t="n"/>
      <c r="U37" s="134" t="n"/>
      <c r="V37" s="134" t="n"/>
      <c r="W37" s="134" t="n"/>
      <c r="X37" s="134" t="n"/>
      <c r="Y37" s="134" t="n"/>
      <c r="Z37" s="135" t="n"/>
      <c r="AA37" s="134" t="n"/>
      <c r="AB37" s="134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18" customFormat="1" customHeight="1" s="2">
      <c r="A38" s="372" t="n"/>
      <c r="B38" s="461" t="n"/>
      <c r="C38" s="462" t="n"/>
      <c r="D38" s="369" t="n"/>
      <c r="E38" s="369" t="n"/>
      <c r="F38" s="369" t="n"/>
      <c r="G38" s="369" t="n"/>
      <c r="H38" s="369" t="n"/>
      <c r="I38" s="369" t="n"/>
      <c r="J38" s="369" t="n"/>
      <c r="K38" s="369" t="n"/>
      <c r="L38" s="134" t="n"/>
      <c r="M38" s="134" t="n"/>
      <c r="N38" s="134" t="n"/>
      <c r="O38" s="134" t="n"/>
      <c r="P38" s="134" t="n"/>
      <c r="Q38" s="134" t="n"/>
      <c r="R38" s="134" t="n"/>
      <c r="S38" s="134" t="n"/>
      <c r="T38" s="134" t="n"/>
      <c r="U38" s="134" t="n"/>
      <c r="V38" s="134" t="n"/>
      <c r="W38" s="134" t="n"/>
      <c r="X38" s="134" t="n"/>
      <c r="Y38" s="134" t="n"/>
      <c r="Z38" s="135" t="n"/>
      <c r="AA38" s="134" t="n"/>
      <c r="AB38" s="134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24.75" customHeight="1" s="131">
      <c r="A39" s="302" t="n"/>
      <c r="B39" s="207" t="inlineStr">
        <is>
          <t>HAP, CoStar, NET</t>
        </is>
      </c>
      <c r="H39" s="183" t="n"/>
      <c r="I39" s="183" t="n"/>
      <c r="J39" s="183" t="n"/>
      <c r="K39" s="302" t="n"/>
      <c r="L39" s="302" t="n"/>
      <c r="M39" s="302" t="n"/>
      <c r="N39" s="302" t="n"/>
      <c r="O39" s="302" t="n"/>
      <c r="P39" s="302" t="n"/>
      <c r="Q39" s="302" t="n"/>
      <c r="R39" s="302" t="n"/>
      <c r="S39" s="302" t="n"/>
      <c r="T39" s="302" t="n"/>
      <c r="U39" s="302" t="n"/>
      <c r="V39" s="302" t="n"/>
      <c r="W39" s="302" t="n"/>
      <c r="X39" s="302" t="n"/>
      <c r="Y39" s="302" t="n"/>
      <c r="Z39" s="302" t="n"/>
      <c r="AA39" s="353" t="n"/>
      <c r="AB39" s="302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ht="15.95" customHeight="1" s="131">
      <c r="A40" s="302" t="n"/>
      <c r="B40" s="227" t="n"/>
      <c r="C40" s="208" t="inlineStr">
        <is>
          <t>HAP</t>
        </is>
      </c>
      <c r="D40" s="209" t="inlineStr">
        <is>
          <t>CoStar</t>
        </is>
      </c>
      <c r="E40" s="302" t="n"/>
      <c r="F40" s="302" t="n"/>
      <c r="G40" s="302" t="n"/>
      <c r="H40" s="183" t="n"/>
      <c r="I40" s="183" t="n"/>
      <c r="J40" s="183" t="n"/>
      <c r="K40" s="302" t="n"/>
      <c r="L40" s="302" t="n"/>
      <c r="M40" s="302" t="n"/>
      <c r="N40" s="302" t="n"/>
      <c r="O40" s="302" t="n"/>
      <c r="P40" s="302" t="n"/>
      <c r="Q40" s="302" t="n"/>
      <c r="R40" s="302" t="n"/>
      <c r="S40" s="302" t="n"/>
      <c r="T40" s="302" t="n"/>
      <c r="U40" s="302" t="n"/>
      <c r="V40" s="302" t="n"/>
      <c r="W40" s="302" t="n"/>
      <c r="X40" s="302" t="n"/>
      <c r="Y40" s="302" t="n"/>
      <c r="Z40" s="302" t="n"/>
      <c r="AA40" s="353" t="n"/>
      <c r="AB40" s="302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ht="24.75" customHeight="1" s="131">
      <c r="A41" s="302" t="n"/>
      <c r="B41" s="196" t="inlineStr">
        <is>
          <t>2BD</t>
        </is>
      </c>
      <c r="C41" s="199" t="n">
        <v>0</v>
      </c>
      <c r="D41" s="198" t="n">
        <v>1451</v>
      </c>
      <c r="E41" s="183" t="n"/>
      <c r="F41" s="183" t="n"/>
      <c r="G41" s="183" t="n"/>
      <c r="H41" s="183" t="n"/>
      <c r="I41" s="183" t="n"/>
      <c r="J41" s="183" t="n"/>
      <c r="K41" s="302" t="n"/>
      <c r="L41" s="302" t="n"/>
      <c r="M41" s="302" t="n"/>
      <c r="N41" s="302" t="n"/>
      <c r="O41" s="302" t="n"/>
      <c r="P41" s="302" t="n"/>
      <c r="Q41" s="302" t="n"/>
      <c r="R41" s="302" t="n"/>
      <c r="S41" s="302" t="n"/>
      <c r="T41" s="302" t="n"/>
      <c r="U41" s="302" t="n"/>
      <c r="V41" s="302" t="n"/>
      <c r="W41" s="302" t="n"/>
      <c r="X41" s="302" t="n"/>
      <c r="Y41" s="302" t="n"/>
      <c r="Z41" s="302" t="n"/>
      <c r="AA41" s="353" t="n"/>
      <c r="AB41" s="302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ht="24.75" customHeight="1" s="131">
      <c r="A42" s="302" t="n"/>
      <c r="B42" s="196" t="inlineStr">
        <is>
          <t>3BD</t>
        </is>
      </c>
      <c r="C42" s="199" t="n">
        <v>0</v>
      </c>
      <c r="D42" s="198" t="n">
        <v>1614</v>
      </c>
      <c r="E42" s="183" t="n"/>
      <c r="F42" s="183" t="n"/>
      <c r="G42" s="183" t="n"/>
      <c r="H42" s="183" t="n"/>
      <c r="I42" s="183" t="n"/>
      <c r="J42" s="183" t="n"/>
      <c r="K42" s="302" t="n"/>
      <c r="L42" s="302" t="n"/>
      <c r="M42" s="302" t="n"/>
      <c r="N42" s="302" t="n"/>
      <c r="O42" s="302" t="n"/>
      <c r="P42" s="302" t="n"/>
      <c r="Q42" s="302" t="n"/>
      <c r="R42" s="302" t="n"/>
      <c r="S42" s="302" t="n"/>
      <c r="T42" s="302" t="n"/>
      <c r="U42" s="302" t="n"/>
      <c r="V42" s="302" t="n"/>
      <c r="W42" s="302" t="n"/>
      <c r="X42" s="302" t="n"/>
      <c r="Y42" s="302" t="n"/>
      <c r="Z42" s="302" t="n"/>
      <c r="AA42" s="353" t="n"/>
      <c r="AB42" s="302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ht="24.75" customHeight="1" s="131">
      <c r="A43" s="302" t="n"/>
      <c r="B43" s="196" t="inlineStr">
        <is>
          <t>4BD</t>
        </is>
      </c>
      <c r="C43" s="199" t="n">
        <v>0</v>
      </c>
      <c r="D43" s="198" t="n">
        <v>1727</v>
      </c>
      <c r="E43" s="183" t="n"/>
      <c r="F43" s="183" t="n"/>
      <c r="G43" s="183" t="n"/>
      <c r="H43" s="183" t="n"/>
      <c r="I43" s="183" t="n"/>
      <c r="J43" s="183" t="n"/>
      <c r="K43" s="302" t="n"/>
      <c r="L43" s="302" t="n"/>
      <c r="M43" s="302" t="n"/>
      <c r="N43" s="302" t="n"/>
      <c r="O43" s="302" t="n"/>
      <c r="P43" s="302" t="n"/>
      <c r="Q43" s="302" t="n"/>
      <c r="R43" s="302" t="n"/>
      <c r="S43" s="302" t="n"/>
      <c r="T43" s="302" t="n"/>
      <c r="U43" s="302" t="n"/>
      <c r="V43" s="302" t="n"/>
      <c r="W43" s="302" t="n"/>
      <c r="X43" s="302" t="n"/>
      <c r="Y43" s="302" t="n"/>
      <c r="Z43" s="302" t="n"/>
      <c r="AA43" s="353" t="n"/>
      <c r="AB43" s="302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s="131">
      <c r="A44" s="369" t="n"/>
      <c r="B44" s="369" t="n"/>
      <c r="C44" s="369" t="n"/>
      <c r="D44" s="369" t="n"/>
      <c r="E44" s="369" t="n"/>
      <c r="F44" s="369" t="n"/>
      <c r="G44" s="369" t="n"/>
      <c r="H44" s="369" t="n"/>
      <c r="I44" s="369" t="n"/>
      <c r="J44" s="369" t="n"/>
      <c r="K44" s="369" t="n"/>
      <c r="L44" s="136" t="n"/>
      <c r="M44" s="136" t="n"/>
      <c r="N44" s="136" t="n"/>
      <c r="O44" s="136" t="n"/>
      <c r="P44" s="136" t="n"/>
      <c r="Q44" s="136" t="n"/>
      <c r="R44" s="136" t="n"/>
      <c r="S44" s="136" t="n"/>
      <c r="T44" s="136" t="n"/>
      <c r="U44" s="136" t="n"/>
      <c r="V44" s="136" t="n"/>
      <c r="W44" s="136" t="n"/>
      <c r="X44" s="136" t="n"/>
      <c r="Y44" s="136" t="n"/>
      <c r="Z44" s="136" t="n"/>
      <c r="AA44" s="136" t="n"/>
      <c r="AB44" s="136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s="131">
      <c r="A45" s="369" t="n"/>
      <c r="B45" s="369" t="n"/>
      <c r="C45" s="369" t="n"/>
      <c r="D45" s="369" t="n"/>
      <c r="E45" s="369" t="n"/>
      <c r="F45" s="369" t="n"/>
      <c r="G45" s="369" t="n"/>
      <c r="H45" s="369" t="n"/>
      <c r="I45" s="369" t="n"/>
      <c r="J45" s="369" t="n"/>
      <c r="K45" s="369" t="n"/>
      <c r="L45" s="136" t="n"/>
      <c r="M45" s="136" t="n"/>
      <c r="N45" s="136" t="n"/>
      <c r="O45" s="136" t="n"/>
      <c r="P45" s="136" t="n"/>
      <c r="Q45" s="136" t="n"/>
      <c r="R45" s="136" t="n"/>
      <c r="S45" s="136" t="n"/>
      <c r="T45" s="136" t="n"/>
      <c r="U45" s="136" t="n"/>
      <c r="V45" s="136" t="n"/>
      <c r="W45" s="136" t="n"/>
      <c r="X45" s="136" t="n"/>
      <c r="Y45" s="136" t="n"/>
      <c r="Z45" s="136" t="n"/>
      <c r="AA45" s="136" t="n"/>
      <c r="AB45" s="136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s="131">
      <c r="A46" s="369" t="n"/>
      <c r="B46" s="369" t="n"/>
      <c r="C46" s="369" t="n"/>
      <c r="D46" s="369" t="n"/>
      <c r="E46" s="369" t="n"/>
      <c r="F46" s="369" t="n"/>
      <c r="G46" s="369" t="n"/>
      <c r="H46" s="369" t="n"/>
      <c r="I46" s="369" t="n"/>
      <c r="J46" s="369" t="n"/>
      <c r="K46" s="369" t="n"/>
      <c r="L46" s="136" t="n"/>
      <c r="M46" s="136" t="n"/>
      <c r="N46" s="136" t="n"/>
      <c r="O46" s="136" t="n"/>
      <c r="P46" s="136" t="n"/>
      <c r="Q46" s="136" t="n"/>
      <c r="R46" s="136" t="n"/>
      <c r="S46" s="136" t="n"/>
      <c r="T46" s="136" t="n"/>
      <c r="U46" s="136" t="n"/>
      <c r="V46" s="136" t="n"/>
      <c r="W46" s="136" t="n"/>
      <c r="X46" s="136" t="n"/>
      <c r="Y46" s="136" t="n"/>
      <c r="Z46" s="136" t="n"/>
      <c r="AA46" s="136" t="n"/>
      <c r="AB46" s="136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s="131">
      <c r="A47" s="369" t="n"/>
      <c r="B47" s="369" t="n"/>
      <c r="C47" s="369" t="n"/>
      <c r="D47" s="369" t="n"/>
      <c r="E47" s="369" t="n"/>
      <c r="F47" s="369" t="n"/>
      <c r="G47" s="369" t="n"/>
      <c r="H47" s="369" t="n"/>
      <c r="I47" s="369" t="n"/>
      <c r="J47" s="369" t="n"/>
      <c r="K47" s="369" t="n"/>
      <c r="L47" s="136" t="n"/>
      <c r="M47" s="136" t="n"/>
      <c r="N47" s="136" t="n"/>
      <c r="O47" s="136" t="n"/>
      <c r="P47" s="136" t="n"/>
      <c r="Q47" s="136" t="n"/>
      <c r="R47" s="136" t="n"/>
      <c r="S47" s="136" t="n"/>
      <c r="T47" s="136" t="n"/>
      <c r="U47" s="136" t="n"/>
      <c r="V47" s="136" t="n"/>
      <c r="W47" s="136" t="n"/>
      <c r="X47" s="136" t="n"/>
      <c r="Y47" s="136" t="n"/>
      <c r="Z47" s="136" t="n"/>
      <c r="AA47" s="136" t="n"/>
      <c r="AB47" s="136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s="131">
      <c r="A48" s="369" t="n"/>
      <c r="B48" s="369" t="n"/>
      <c r="C48" s="369" t="n"/>
      <c r="D48" s="369" t="n"/>
      <c r="E48" s="369" t="n"/>
      <c r="F48" s="369" t="n"/>
      <c r="G48" s="369" t="n"/>
      <c r="H48" s="369" t="n"/>
      <c r="I48" s="369" t="n"/>
      <c r="J48" s="369" t="n"/>
      <c r="K48" s="369" t="n"/>
      <c r="L48" s="136" t="n"/>
      <c r="M48" s="136" t="n"/>
      <c r="N48" s="136" t="n"/>
      <c r="O48" s="136" t="n"/>
      <c r="P48" s="136" t="n"/>
      <c r="Q48" s="136" t="n"/>
      <c r="R48" s="136" t="n"/>
      <c r="S48" s="136" t="n"/>
      <c r="T48" s="136" t="n"/>
      <c r="U48" s="136" t="n"/>
      <c r="V48" s="136" t="n"/>
      <c r="W48" s="136" t="n"/>
      <c r="X48" s="136" t="n"/>
      <c r="Y48" s="136" t="n"/>
      <c r="Z48" s="136" t="n"/>
      <c r="AA48" s="136" t="n"/>
      <c r="AB48" s="136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s="131">
      <c r="A49" s="369" t="n"/>
      <c r="B49" s="369" t="n"/>
      <c r="C49" s="369" t="n"/>
      <c r="D49" s="369" t="n"/>
      <c r="E49" s="369" t="n"/>
      <c r="F49" s="369" t="n"/>
      <c r="G49" s="369" t="n"/>
      <c r="H49" s="369" t="n"/>
      <c r="I49" s="369" t="n"/>
      <c r="J49" s="369" t="n"/>
      <c r="K49" s="369" t="n"/>
      <c r="L49" s="136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6" t="n"/>
      <c r="Y49" s="136" t="n"/>
      <c r="Z49" s="136" t="n"/>
      <c r="AA49" s="136" t="n"/>
      <c r="AB49" s="136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s="131">
      <c r="A50" s="369" t="n"/>
      <c r="B50" s="369" t="n"/>
      <c r="C50" s="369" t="n"/>
      <c r="D50" s="369" t="n"/>
      <c r="E50" s="369" t="n"/>
      <c r="F50" s="369" t="n"/>
      <c r="G50" s="369" t="n"/>
      <c r="H50" s="369" t="n"/>
      <c r="I50" s="369" t="n"/>
      <c r="J50" s="369" t="n"/>
      <c r="K50" s="369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</sheetData>
  <mergeCells count="9">
    <mergeCell ref="B4:AB4"/>
    <mergeCell ref="B39:G39"/>
    <mergeCell ref="B28:G28"/>
    <mergeCell ref="B22:G22"/>
    <mergeCell ref="B23:G23"/>
    <mergeCell ref="B20:I20"/>
    <mergeCell ref="B2:AB2"/>
    <mergeCell ref="B3:AB3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ARBOR CREST | GREEN = Affordable Comps | BLUE = Market Rate Comps</t>
        </is>
      </c>
      <c r="AF3" s="136" t="n"/>
      <c r="AG3" s="136" t="n"/>
      <c r="AH3" s="136" t="n"/>
      <c r="AI3" s="136" t="n"/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Arbor Crest | 64 N Cleveland Street, Quincy, FL 32351 | 120 units | Program: LIHTC | Bedroom Mix: 1BR / 2BR / 3BR | County AMI: $92,300 | FMR Area: Gadsden County, FL</t>
        </is>
      </c>
      <c r="AF4" s="136" t="n"/>
      <c r="AG4" s="136" t="n"/>
      <c r="AH4" s="136" t="n"/>
      <c r="AI4" s="136" t="n"/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F5" s="136" t="n"/>
      <c r="AG5" s="136" t="n"/>
      <c r="AH5" s="136" t="n"/>
      <c r="AI5" s="136" t="n"/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1BD 50% AMI ($)</t>
        </is>
      </c>
      <c r="J6" s="280" t="inlineStr">
        <is>
          <t>1BD 60% AMI ($)</t>
        </is>
      </c>
      <c r="K6" s="280" t="inlineStr">
        <is>
          <t>1BR FMR ($)</t>
        </is>
      </c>
      <c r="L6" s="335" t="inlineStr">
        <is>
          <t>1BR Actual ($)</t>
        </is>
      </c>
      <c r="M6" s="281" t="inlineStr">
        <is>
          <t>2BD 50% AMI ($)</t>
        </is>
      </c>
      <c r="N6" s="280" t="inlineStr">
        <is>
          <t>2BD 60% AMI ($)</t>
        </is>
      </c>
      <c r="O6" s="280" t="inlineStr">
        <is>
          <t>2BR FMR ($)</t>
        </is>
      </c>
      <c r="P6" s="335" t="inlineStr">
        <is>
          <t>2BR Actual ($)</t>
        </is>
      </c>
      <c r="Q6" s="281" t="inlineStr">
        <is>
          <t>3BD 50% AMI ($)</t>
        </is>
      </c>
      <c r="R6" s="280" t="inlineStr">
        <is>
          <t>3BD 60% AMI ($)</t>
        </is>
      </c>
      <c r="S6" s="280" t="inlineStr">
        <is>
          <t>3BR FMR ($)</t>
        </is>
      </c>
      <c r="T6" s="339" t="inlineStr">
        <is>
          <t>3BR Actual ($)</t>
        </is>
      </c>
      <c r="U6" s="339" t="inlineStr">
        <is>
          <t># Units</t>
        </is>
      </c>
      <c r="V6" s="339" t="inlineStr">
        <is>
          <t>Year Built</t>
        </is>
      </c>
      <c r="W6" s="339" t="inlineStr">
        <is>
          <t>Yr Diff</t>
        </is>
      </c>
      <c r="X6" s="339" t="inlineStr">
        <is>
          <t>Utilities Incl.</t>
        </is>
      </c>
      <c r="Y6" s="339" t="inlineStr">
        <is>
          <t>Pet Friendly</t>
        </is>
      </c>
      <c r="Z6" s="336" t="inlineStr">
        <is>
          <t>Gated</t>
        </is>
      </c>
      <c r="AA6" s="340" t="inlineStr">
        <is>
          <t>Pool</t>
        </is>
      </c>
      <c r="AB6" s="342" t="inlineStr">
        <is>
          <t>W/D In-Unit</t>
        </is>
      </c>
      <c r="AC6" s="136" t="inlineStr">
        <is>
          <t>Competition Level</t>
        </is>
      </c>
      <c r="AD6" s="136" t="inlineStr">
        <is>
          <t>Why Competitive</t>
        </is>
      </c>
      <c r="AE6" s="136" t="inlineStr">
        <is>
          <t>Data Source</t>
        </is>
      </c>
      <c r="AF6" s="136" t="n"/>
      <c r="AG6" s="136" t="n"/>
      <c r="AH6" s="136" t="n"/>
      <c r="AI6" s="136" t="n"/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Arbor Crest (SUBJECT)</t>
        </is>
      </c>
      <c r="D7" s="174" t="inlineStr">
        <is>
          <t>64 N Cleveland Street</t>
        </is>
      </c>
      <c r="E7" s="174" t="inlineStr">
        <is>
          <t>Quincy</t>
        </is>
      </c>
      <c r="F7" s="174" t="inlineStr">
        <is>
          <t>FL</t>
        </is>
      </c>
      <c r="G7" s="174" t="inlineStr">
        <is>
          <t>32351</t>
        </is>
      </c>
      <c r="H7" s="174" t="inlineStr">
        <is>
          <t>0.0 mi</t>
        </is>
      </c>
      <c r="I7" s="174" t="inlineStr">
        <is>
          <t>$2,887</t>
        </is>
      </c>
      <c r="J7" s="174" t="inlineStr">
        <is>
          <t>$3,465</t>
        </is>
      </c>
      <c r="K7" s="174" t="inlineStr">
        <is>
          <t>$800</t>
        </is>
      </c>
      <c r="L7" s="368">
        <f>B26</f>
        <v/>
      </c>
      <c r="M7" s="174" t="inlineStr">
        <is>
          <t>$3,462</t>
        </is>
      </c>
      <c r="N7" s="174" t="inlineStr">
        <is>
          <t>$4,155</t>
        </is>
      </c>
      <c r="O7" s="174" t="inlineStr">
        <is>
          <t>$1,095</t>
        </is>
      </c>
      <c r="P7" s="368">
        <f>B27</f>
        <v/>
      </c>
      <c r="Q7" s="174" t="inlineStr">
        <is>
          <t>$3,845</t>
        </is>
      </c>
      <c r="R7" s="174" t="inlineStr">
        <is>
          <t>$4,615</t>
        </is>
      </c>
      <c r="S7" s="174" t="inlineStr">
        <is>
          <t>$1,372</t>
        </is>
      </c>
      <c r="T7" s="368">
        <f>B28</f>
        <v/>
      </c>
      <c r="U7" s="174" t="inlineStr">
        <is>
          <t>120</t>
        </is>
      </c>
      <c r="V7" s="174" t="inlineStr">
        <is>
          <t>1995</t>
        </is>
      </c>
      <c r="W7" s="174" t="inlineStr">
        <is>
          <t>0</t>
        </is>
      </c>
      <c r="X7" s="174" t="inlineStr">
        <is>
          <t>No</t>
        </is>
      </c>
      <c r="Y7" s="42" t="inlineStr">
        <is>
          <t>No</t>
        </is>
      </c>
      <c r="Z7" s="55" t="inlineStr">
        <is>
          <t>No</t>
        </is>
      </c>
      <c r="AA7" s="40" t="inlineStr">
        <is>
          <t>Yes</t>
        </is>
      </c>
      <c r="AB7" s="136" t="inlineStr">
        <is>
          <t>No</t>
        </is>
      </c>
      <c r="AC7" s="136" t="inlineStr">
        <is>
          <t>SUBJECT</t>
        </is>
      </c>
      <c r="AD7" s="136" t="inlineStr">
        <is>
          <t>120 units | LIHTC property. Year built: 1995. Subject property for market context.</t>
        </is>
      </c>
      <c r="AE7" s="136" t="inlineStr">
        <is>
          <t>Apartment Corp Records</t>
        </is>
      </c>
      <c r="AF7" s="136" t="n"/>
      <c r="AG7" s="136" t="n"/>
      <c r="AH7" s="136" t="n"/>
      <c r="AI7" s="136" t="n"/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Springwood - Tallahassee</t>
        </is>
      </c>
      <c r="D8" s="59" t="inlineStr">
        <is>
          <t>2660 Old Bainbridge Rd</t>
        </is>
      </c>
      <c r="E8" s="59" t="inlineStr">
        <is>
          <t>Tallahassee</t>
        </is>
      </c>
      <c r="F8" s="59" t="inlineStr">
        <is>
          <t>FL</t>
        </is>
      </c>
      <c r="G8" s="59" t="inlineStr">
        <is>
          <t>32303</t>
        </is>
      </c>
      <c r="H8" s="59" t="inlineStr">
        <is>
          <t>17.4 mi</t>
        </is>
      </c>
      <c r="I8" s="59" t="inlineStr">
        <is>
          <t>$2,887</t>
        </is>
      </c>
      <c r="J8" s="59" t="inlineStr">
        <is>
          <t>$3,465</t>
        </is>
      </c>
      <c r="K8" s="41" t="inlineStr">
        <is>
          <t>$800</t>
        </is>
      </c>
      <c r="L8" s="53" t="inlineStr">
        <is>
          <t>Not Listed</t>
        </is>
      </c>
      <c r="M8" s="43" t="inlineStr">
        <is>
          <t>$3,462</t>
        </is>
      </c>
      <c r="N8" s="43" t="inlineStr">
        <is>
          <t>$4,155</t>
        </is>
      </c>
      <c r="O8" s="41" t="inlineStr">
        <is>
          <t>$1,095</t>
        </is>
      </c>
      <c r="P8" s="53" t="inlineStr">
        <is>
          <t>Not Listed</t>
        </is>
      </c>
      <c r="Q8" s="43" t="inlineStr">
        <is>
          <t>$3,845</t>
        </is>
      </c>
      <c r="R8" s="43" t="inlineStr">
        <is>
          <t>$4,615</t>
        </is>
      </c>
      <c r="S8" s="43" t="inlineStr">
        <is>
          <t>$1,372</t>
        </is>
      </c>
      <c r="T8" s="43" t="inlineStr">
        <is>
          <t>$1,325</t>
        </is>
      </c>
      <c r="U8" s="43" t="inlineStr">
        <is>
          <t>113</t>
        </is>
      </c>
      <c r="V8" s="43" t="inlineStr">
        <is>
          <t>1995</t>
        </is>
      </c>
      <c r="W8" s="43" t="inlineStr">
        <is>
          <t>0</t>
        </is>
      </c>
      <c r="X8" s="43" t="inlineStr">
        <is>
          <t>Yes</t>
        </is>
      </c>
      <c r="Y8" s="44" t="inlineStr">
        <is>
          <t>No</t>
        </is>
      </c>
      <c r="Z8" s="56" t="inlineStr">
        <is>
          <t>No</t>
        </is>
      </c>
      <c r="AA8" s="43" t="inlineStr">
        <is>
          <t>No</t>
        </is>
      </c>
      <c r="AB8" s="136" t="inlineStr">
        <is>
          <t>No</t>
        </is>
      </c>
      <c r="AC8" s="136" t="inlineStr">
        <is>
          <t>MODERATE-HIGH</t>
        </is>
      </c>
      <c r="AD8" s="136" t="inlineStr">
        <is>
          <t>Affordable Comp #1: LIHTC property, 1995 vintage (0 yr diff), 113 units, 17.4 mi from subject. Same income-eligible renter pool.</t>
        </is>
      </c>
      <c r="AE8" s="136" t="inlineStr">
        <is>
          <t>HUD LIHTC Database (huduser.gov)</t>
        </is>
      </c>
      <c r="AF8" s="136" t="n"/>
      <c r="AG8" s="136" t="n"/>
      <c r="AH8" s="136" t="n"/>
      <c r="AI8" s="136" t="n"/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Savannah Sound</t>
        </is>
      </c>
      <c r="D9" s="125" t="inlineStr">
        <is>
          <t>1950 N Point Blvd</t>
        </is>
      </c>
      <c r="E9" s="125" t="inlineStr">
        <is>
          <t>Tallahassee</t>
        </is>
      </c>
      <c r="F9" s="125" t="inlineStr">
        <is>
          <t>FL</t>
        </is>
      </c>
      <c r="G9" s="125" t="inlineStr">
        <is>
          <t>32308</t>
        </is>
      </c>
      <c r="H9" s="125" t="inlineStr">
        <is>
          <t>21.5 mi</t>
        </is>
      </c>
      <c r="I9" s="125" t="inlineStr">
        <is>
          <t>$2,887</t>
        </is>
      </c>
      <c r="J9" s="125" t="inlineStr">
        <is>
          <t>$3,465</t>
        </is>
      </c>
      <c r="K9" s="85" t="inlineStr">
        <is>
          <t>$800</t>
        </is>
      </c>
      <c r="L9" s="86" t="inlineStr">
        <is>
          <t>Not Listed</t>
        </is>
      </c>
      <c r="M9" s="128" t="inlineStr">
        <is>
          <t>$3,462</t>
        </is>
      </c>
      <c r="N9" s="128" t="inlineStr">
        <is>
          <t>$4,155</t>
        </is>
      </c>
      <c r="O9" s="85" t="inlineStr">
        <is>
          <t>$1,095</t>
        </is>
      </c>
      <c r="P9" s="86" t="inlineStr">
        <is>
          <t>Not Listed</t>
        </is>
      </c>
      <c r="Q9" s="128" t="inlineStr">
        <is>
          <t>$3,845</t>
        </is>
      </c>
      <c r="R9" s="128" t="inlineStr">
        <is>
          <t>$4,615</t>
        </is>
      </c>
      <c r="S9" s="128" t="inlineStr">
        <is>
          <t>$1,372</t>
        </is>
      </c>
      <c r="T9" s="128" t="inlineStr">
        <is>
          <t>Not Listed</t>
        </is>
      </c>
      <c r="U9" s="128" t="inlineStr">
        <is>
          <t>160</t>
        </is>
      </c>
      <c r="V9" s="128" t="inlineStr">
        <is>
          <t>1995</t>
        </is>
      </c>
      <c r="W9" s="128" t="inlineStr">
        <is>
          <t>0</t>
        </is>
      </c>
      <c r="X9" s="128" t="inlineStr">
        <is>
          <t>Yes</t>
        </is>
      </c>
      <c r="Y9" s="129" t="inlineStr">
        <is>
          <t>No</t>
        </is>
      </c>
      <c r="Z9" s="130" t="inlineStr">
        <is>
          <t>No</t>
        </is>
      </c>
      <c r="AA9" s="128" t="inlineStr">
        <is>
          <t>No</t>
        </is>
      </c>
      <c r="AB9" s="136" t="inlineStr">
        <is>
          <t>No</t>
        </is>
      </c>
      <c r="AC9" s="136" t="inlineStr">
        <is>
          <t>MODERATE-HIGH</t>
        </is>
      </c>
      <c r="AD9" s="136" t="inlineStr">
        <is>
          <t>Affordable Comp #2: LIHTC property, 1995 vintage (0 yr diff), 160 units, 21.5 mi from subject. Same income-eligible renter pool.</t>
        </is>
      </c>
      <c r="AE9" s="136" t="inlineStr">
        <is>
          <t>HUD LIHTC Database (huduser.gov)</t>
        </is>
      </c>
      <c r="AF9" s="136" t="n"/>
      <c r="AG9" s="136" t="n"/>
      <c r="AH9" s="136" t="n"/>
      <c r="AI9" s="136" t="n"/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Biscayne Woods Apts</t>
        </is>
      </c>
      <c r="D10" s="107" t="n"/>
      <c r="E10" s="107" t="inlineStr">
        <is>
          <t>Homestead</t>
        </is>
      </c>
      <c r="F10" s="107" t="inlineStr">
        <is>
          <t>FL</t>
        </is>
      </c>
      <c r="G10" s="107" t="n"/>
      <c r="H10" s="107" t="inlineStr">
        <is>
          <t>N/A</t>
        </is>
      </c>
      <c r="I10" s="107" t="inlineStr">
        <is>
          <t>$2,887</t>
        </is>
      </c>
      <c r="J10" s="107" t="inlineStr">
        <is>
          <t>$3,465</t>
        </is>
      </c>
      <c r="K10" s="80" t="inlineStr">
        <is>
          <t>$800</t>
        </is>
      </c>
      <c r="L10" s="81" t="inlineStr">
        <is>
          <t>Not Listed</t>
        </is>
      </c>
      <c r="M10" s="108" t="inlineStr">
        <is>
          <t>$3,462</t>
        </is>
      </c>
      <c r="N10" s="108" t="inlineStr">
        <is>
          <t>$4,155</t>
        </is>
      </c>
      <c r="O10" s="80" t="inlineStr">
        <is>
          <t>$1,095</t>
        </is>
      </c>
      <c r="P10" s="81" t="inlineStr">
        <is>
          <t>Not Listed</t>
        </is>
      </c>
      <c r="Q10" s="108" t="inlineStr">
        <is>
          <t>$3,845</t>
        </is>
      </c>
      <c r="R10" s="108" t="inlineStr">
        <is>
          <t>$4,615</t>
        </is>
      </c>
      <c r="S10" s="108" t="inlineStr">
        <is>
          <t>$1,372</t>
        </is>
      </c>
      <c r="T10" s="108" t="inlineStr">
        <is>
          <t>Not Listed</t>
        </is>
      </c>
      <c r="U10" s="108" t="inlineStr">
        <is>
          <t>114</t>
        </is>
      </c>
      <c r="V10" s="108" t="inlineStr">
        <is>
          <t>1994</t>
        </is>
      </c>
      <c r="W10" s="108" t="inlineStr">
        <is>
          <t>1</t>
        </is>
      </c>
      <c r="X10" s="108" t="inlineStr">
        <is>
          <t>Yes</t>
        </is>
      </c>
      <c r="Y10" s="109" t="inlineStr">
        <is>
          <t>No</t>
        </is>
      </c>
      <c r="Z10" s="110" t="inlineStr">
        <is>
          <t>No</t>
        </is>
      </c>
      <c r="AA10" s="111" t="inlineStr">
        <is>
          <t>No</t>
        </is>
      </c>
      <c r="AB10" s="134" t="inlineStr">
        <is>
          <t>No</t>
        </is>
      </c>
      <c r="AC10" s="136" t="inlineStr">
        <is>
          <t>MODERATE</t>
        </is>
      </c>
      <c r="AD10" s="136" t="inlineStr">
        <is>
          <t>Affordable Comp #3: LIHTC property, 1994 vintage (1 yr diff), 114 units, N/A from subject. Same income-eligible renter pool.</t>
        </is>
      </c>
      <c r="AE10" s="136" t="inlineStr">
        <is>
          <t>HUD LIHTC Database (huduser.gov)</t>
        </is>
      </c>
      <c r="AF10" s="136" t="n"/>
      <c r="AG10" s="136" t="n"/>
      <c r="AH10" s="136" t="n"/>
      <c r="AI10" s="136" t="n"/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Oak Pointe</t>
        </is>
      </c>
      <c r="D11" s="95" t="inlineStr">
        <is>
          <t>1747 Capital Cir Ne</t>
        </is>
      </c>
      <c r="E11" s="95" t="inlineStr">
        <is>
          <t>Tallahassee</t>
        </is>
      </c>
      <c r="F11" s="95" t="inlineStr">
        <is>
          <t>FL</t>
        </is>
      </c>
      <c r="G11" s="95" t="inlineStr">
        <is>
          <t>32308</t>
        </is>
      </c>
      <c r="H11" s="95" t="inlineStr">
        <is>
          <t>22.8 mi</t>
        </is>
      </c>
      <c r="I11" s="95" t="inlineStr">
        <is>
          <t>$2,887</t>
        </is>
      </c>
      <c r="J11" s="95" t="inlineStr">
        <is>
          <t>$3,465</t>
        </is>
      </c>
      <c r="K11" s="39" t="inlineStr">
        <is>
          <t>$800</t>
        </is>
      </c>
      <c r="L11" s="53" t="inlineStr">
        <is>
          <t>Not Listed</t>
        </is>
      </c>
      <c r="M11" s="96" t="inlineStr">
        <is>
          <t>$3,462</t>
        </is>
      </c>
      <c r="N11" s="96" t="inlineStr">
        <is>
          <t>$4,155</t>
        </is>
      </c>
      <c r="O11" s="39" t="inlineStr">
        <is>
          <t>$1,095</t>
        </is>
      </c>
      <c r="P11" s="53" t="inlineStr">
        <is>
          <t>Not Listed</t>
        </is>
      </c>
      <c r="Q11" s="96" t="inlineStr">
        <is>
          <t>$3,845</t>
        </is>
      </c>
      <c r="R11" s="96" t="inlineStr">
        <is>
          <t>$4,615</t>
        </is>
      </c>
      <c r="S11" s="96" t="inlineStr">
        <is>
          <t>$1,372</t>
        </is>
      </c>
      <c r="T11" s="96" t="inlineStr">
        <is>
          <t>Not Listed</t>
        </is>
      </c>
      <c r="U11" s="96" t="inlineStr">
        <is>
          <t>184</t>
        </is>
      </c>
      <c r="V11" s="96" t="inlineStr">
        <is>
          <t>1993</t>
        </is>
      </c>
      <c r="W11" s="96" t="inlineStr">
        <is>
          <t>2</t>
        </is>
      </c>
      <c r="X11" s="96" t="inlineStr">
        <is>
          <t>Yes</t>
        </is>
      </c>
      <c r="Y11" s="45" t="inlineStr">
        <is>
          <t>No</t>
        </is>
      </c>
      <c r="Z11" s="97" t="inlineStr">
        <is>
          <t>No</t>
        </is>
      </c>
      <c r="AA11" s="113" t="inlineStr">
        <is>
          <t>No</t>
        </is>
      </c>
      <c r="AB11" s="134" t="inlineStr">
        <is>
          <t>No</t>
        </is>
      </c>
      <c r="AC11" s="136" t="inlineStr">
        <is>
          <t>MODERATE-HIGH</t>
        </is>
      </c>
      <c r="AD11" s="136" t="inlineStr">
        <is>
          <t>Affordable Comp #4: LIHTC property, 1993 vintage (2 yr diff), 184 units, 22.8 mi from subject. Same income-eligible renter pool.</t>
        </is>
      </c>
      <c r="AE11" s="136" t="inlineStr">
        <is>
          <t>HUD LIHTC Database (huduser.gov)</t>
        </is>
      </c>
      <c r="AF11" s="136" t="n"/>
      <c r="AG11" s="136" t="n"/>
      <c r="AH11" s="136" t="n"/>
      <c r="AI11" s="136" t="n"/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37.5" customHeight="1" s="131">
      <c r="A12" s="114" t="n">
        <v>1</v>
      </c>
      <c r="B12" s="70" t="inlineStr">
        <is>
          <t>MARKET RATE</t>
        </is>
      </c>
      <c r="C12" s="67" t="inlineStr">
        <is>
          <t>Arbours at Quincy</t>
        </is>
      </c>
      <c r="D12" s="98" t="inlineStr">
        <is>
          <t>1880 Pat Thomas Pky</t>
        </is>
      </c>
      <c r="E12" s="98" t="inlineStr">
        <is>
          <t>Quincy</t>
        </is>
      </c>
      <c r="F12" s="98" t="inlineStr">
        <is>
          <t>FL</t>
        </is>
      </c>
      <c r="G12" s="98" t="inlineStr">
        <is>
          <t>32351</t>
        </is>
      </c>
      <c r="H12" s="98" t="inlineStr">
        <is>
          <t>1.5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N/A (Market Rate)</t>
        </is>
      </c>
      <c r="L12" s="157" t="n">
        <v>880</v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$1,095</t>
        </is>
      </c>
      <c r="P12" s="53" t="inlineStr">
        <is>
          <t>$1,295</t>
        </is>
      </c>
      <c r="Q12" s="99" t="inlineStr">
        <is>
          <t>N/A (Market Rate)</t>
        </is>
      </c>
      <c r="R12" s="99" t="inlineStr">
        <is>
          <t>N/A (Market Rate)</t>
        </is>
      </c>
      <c r="S12" s="99" t="inlineStr">
        <is>
          <t>$1,372</t>
        </is>
      </c>
      <c r="T12" s="99" t="inlineStr">
        <is>
          <t>$1,625</t>
        </is>
      </c>
      <c r="U12" s="99" t="inlineStr">
        <is>
          <t>N/A</t>
        </is>
      </c>
      <c r="V12" s="99" t="inlineStr">
        <is>
          <t>1995</t>
        </is>
      </c>
      <c r="W12" s="99" t="inlineStr">
        <is>
          <t>0</t>
        </is>
      </c>
      <c r="X12" s="99" t="inlineStr">
        <is>
          <t>Varies</t>
        </is>
      </c>
      <c r="Y12" s="46" t="inlineStr">
        <is>
          <t>Varies</t>
        </is>
      </c>
      <c r="Z12" s="100" t="inlineStr">
        <is>
          <t>Varies</t>
        </is>
      </c>
      <c r="AA12" s="115" t="inlineStr">
        <is>
          <t>Varies</t>
        </is>
      </c>
      <c r="AB12" s="134" t="inlineStr">
        <is>
          <t>Varies</t>
        </is>
      </c>
      <c r="AC12" s="136" t="inlineStr">
        <is>
          <t>HIGH</t>
        </is>
      </c>
      <c r="AD12" s="136" t="inlineStr">
        <is>
          <t>Market Rate Comp #1: No income restrictions, 1995 vintage (0 yr diff), N/A units, N/A from subject. Shows market-rate rents vs. affordable housing discount.</t>
        </is>
      </c>
      <c r="AE12" s="136" t="inlineStr">
        <is>
          <t>HUD FY2026 FMR - Gadsden County, FL (limited market rate listings in Quincy)</t>
        </is>
      </c>
      <c r="AF12" s="136" t="n"/>
      <c r="AG12" s="136" t="n"/>
      <c r="AH12" s="136" t="n"/>
      <c r="AI12" s="136" t="n"/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n">
        <v>2</v>
      </c>
      <c r="B13" s="71" t="inlineStr">
        <is>
          <t>MARKET RATE</t>
        </is>
      </c>
      <c r="C13" s="68" t="inlineStr">
        <is>
          <t>Ochlockonee Pointe Apartments</t>
        </is>
      </c>
      <c r="D13" s="101" t="inlineStr">
        <is>
          <t>33870 Blue Star Hwy</t>
        </is>
      </c>
      <c r="E13" s="101" t="inlineStr">
        <is>
          <t>Midway</t>
        </is>
      </c>
      <c r="F13" s="101" t="inlineStr">
        <is>
          <t>FL</t>
        </is>
      </c>
      <c r="G13" s="101" t="inlineStr">
        <is>
          <t>32343</t>
        </is>
      </c>
      <c r="H13" s="101" t="inlineStr">
        <is>
          <t>5.0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N/A (Market Rate)</t>
        </is>
      </c>
      <c r="L13" s="157" t="n">
        <v>850</v>
      </c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N/A (Market Rate)</t>
        </is>
      </c>
      <c r="P13" s="157" t="n">
        <v>970</v>
      </c>
      <c r="Q13" s="102" t="inlineStr">
        <is>
          <t>N/A (Market Rate)</t>
        </is>
      </c>
      <c r="R13" s="102" t="inlineStr">
        <is>
          <t>N/A (Market Rate)</t>
        </is>
      </c>
      <c r="S13" s="102" t="inlineStr">
        <is>
          <t>N/A (Market Rate)</t>
        </is>
      </c>
      <c r="T13" s="166" t="n">
        <v>1150</v>
      </c>
      <c r="U13" s="102" t="inlineStr">
        <is>
          <t>N/A</t>
        </is>
      </c>
      <c r="V13" s="102" t="inlineStr">
        <is>
          <t>1998</t>
        </is>
      </c>
      <c r="W13" s="102" t="inlineStr">
        <is>
          <t>3</t>
        </is>
      </c>
      <c r="X13" s="102" t="inlineStr">
        <is>
          <t>No</t>
        </is>
      </c>
      <c r="Y13" s="47" t="inlineStr">
        <is>
          <t>Yes</t>
        </is>
      </c>
      <c r="Z13" s="103" t="inlineStr">
        <is>
          <t>Yes</t>
        </is>
      </c>
      <c r="AA13" s="117" t="inlineStr">
        <is>
          <t>Yes</t>
        </is>
      </c>
      <c r="AB13" s="134" t="inlineStr">
        <is>
          <t>Yes</t>
        </is>
      </c>
      <c r="AC13" s="136" t="inlineStr">
        <is>
          <t>HIGH</t>
        </is>
      </c>
      <c r="AD13" s="136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3" s="136" t="inlineStr">
        <is>
          <t>https://www.apartments.com/ochlockonee-pointe-apartments-midway-fl/</t>
        </is>
      </c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n">
        <v>3</v>
      </c>
      <c r="B14" s="69" t="inlineStr">
        <is>
          <t>MARKET RATE</t>
        </is>
      </c>
      <c r="C14" s="66" t="inlineStr">
        <is>
          <t>723 W Washington St</t>
        </is>
      </c>
      <c r="D14" s="95" t="inlineStr">
        <is>
          <t>723 W Washington St</t>
        </is>
      </c>
      <c r="E14" s="95" t="inlineStr">
        <is>
          <t>Quincy</t>
        </is>
      </c>
      <c r="F14" s="95" t="inlineStr">
        <is>
          <t>FL</t>
        </is>
      </c>
      <c r="G14" s="95" t="inlineStr">
        <is>
          <t>32351</t>
        </is>
      </c>
      <c r="H14" s="95" t="inlineStr">
        <is>
          <t>0.8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$800</t>
        </is>
      </c>
      <c r="L14" s="53" t="inlineStr">
        <is>
          <t>$559</t>
        </is>
      </c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N/A (Market Rate)</t>
        </is>
      </c>
      <c r="P14" s="157" t="n">
        <v>1095</v>
      </c>
      <c r="Q14" s="96" t="inlineStr">
        <is>
          <t>N/A (Market Rate)</t>
        </is>
      </c>
      <c r="R14" s="96" t="inlineStr">
        <is>
          <t>N/A (Market Rate)</t>
        </is>
      </c>
      <c r="S14" s="96" t="inlineStr">
        <is>
          <t>$1,372</t>
        </is>
      </c>
      <c r="T14" s="96" t="inlineStr">
        <is>
          <t>Not Listed</t>
        </is>
      </c>
      <c r="U14" s="96" t="inlineStr">
        <is>
          <t>48</t>
        </is>
      </c>
      <c r="V14" s="96" t="inlineStr">
        <is>
          <t>1997</t>
        </is>
      </c>
      <c r="W14" s="96" t="inlineStr">
        <is>
          <t>2</t>
        </is>
      </c>
      <c r="X14" s="96" t="inlineStr">
        <is>
          <t>No</t>
        </is>
      </c>
      <c r="Y14" s="45" t="inlineStr">
        <is>
          <t>Yes</t>
        </is>
      </c>
      <c r="Z14" s="97" t="inlineStr">
        <is>
          <t>Yes</t>
        </is>
      </c>
      <c r="AA14" s="113" t="inlineStr">
        <is>
          <t>No</t>
        </is>
      </c>
      <c r="AB14" s="134" t="inlineStr">
        <is>
          <t>Yes</t>
        </is>
      </c>
      <c r="AC14" s="136" t="inlineStr">
        <is>
          <t>HIGH</t>
        </is>
      </c>
      <c r="AD14" s="136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4" s="136" t="inlineStr">
        <is>
          <t>https://www.apartments.com/omega-villas-quincy-fl/d7w38lk/</t>
        </is>
      </c>
      <c r="AF14" s="136" t="n"/>
      <c r="AG14" s="136" t="n"/>
      <c r="AH14" s="136" t="n"/>
      <c r="AI14" s="136" t="n"/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n">
        <v>4</v>
      </c>
      <c r="B15" s="69" t="inlineStr">
        <is>
          <t>MARKET RATE</t>
        </is>
      </c>
      <c r="C15" s="66" t="inlineStr">
        <is>
          <t>526 N Adams St</t>
        </is>
      </c>
      <c r="D15" s="95" t="inlineStr">
        <is>
          <t>526 N Adams St</t>
        </is>
      </c>
      <c r="E15" s="95" t="inlineStr">
        <is>
          <t>Quincy</t>
        </is>
      </c>
      <c r="F15" s="95" t="inlineStr">
        <is>
          <t>FL</t>
        </is>
      </c>
      <c r="G15" s="95" t="inlineStr">
        <is>
          <t>32351</t>
        </is>
      </c>
      <c r="H15" s="95" t="inlineStr">
        <is>
          <t>0.6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$800</t>
        </is>
      </c>
      <c r="L15" s="53" t="inlineStr">
        <is>
          <t>$475</t>
        </is>
      </c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N/A (Market Rate)</t>
        </is>
      </c>
      <c r="P15" s="157" t="n">
        <v>1175</v>
      </c>
      <c r="Q15" s="96" t="inlineStr">
        <is>
          <t>N/A (Market Rate)</t>
        </is>
      </c>
      <c r="R15" s="96" t="inlineStr">
        <is>
          <t>N/A (Market Rate)</t>
        </is>
      </c>
      <c r="S15" s="96" t="inlineStr">
        <is>
          <t>$1,372</t>
        </is>
      </c>
      <c r="T15" s="96" t="inlineStr">
        <is>
          <t>Not Listed</t>
        </is>
      </c>
      <c r="U15" s="96" t="inlineStr">
        <is>
          <t>81</t>
        </is>
      </c>
      <c r="V15" s="96" t="inlineStr">
        <is>
          <t>1993</t>
        </is>
      </c>
      <c r="W15" s="96" t="inlineStr">
        <is>
          <t>2</t>
        </is>
      </c>
      <c r="X15" s="96" t="inlineStr">
        <is>
          <t>No</t>
        </is>
      </c>
      <c r="Y15" s="45" t="inlineStr">
        <is>
          <t>Yes</t>
        </is>
      </c>
      <c r="Z15" s="97" t="inlineStr">
        <is>
          <t>Yes</t>
        </is>
      </c>
      <c r="AA15" s="113" t="inlineStr">
        <is>
          <t>No</t>
        </is>
      </c>
      <c r="AB15" s="134" t="inlineStr">
        <is>
          <t>Yes</t>
        </is>
      </c>
      <c r="AC15" s="136" t="inlineStr">
        <is>
          <t>HIGH</t>
        </is>
      </c>
      <c r="AD15" s="136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5" s="136" t="inlineStr">
        <is>
          <t>https://www.apartments.com/triple-oaks-apartments-quincy-fl/3ey417e/</t>
        </is>
      </c>
      <c r="AF15" s="136" t="n"/>
      <c r="AG15" s="136" t="n"/>
      <c r="AH15" s="136" t="n"/>
      <c r="AI15" s="136" t="n"/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n">
        <v>5</v>
      </c>
      <c r="B16" s="82" t="inlineStr">
        <is>
          <t>MARKET RATE</t>
        </is>
      </c>
      <c r="C16" s="119" t="inlineStr">
        <is>
          <t>116 Milton St</t>
        </is>
      </c>
      <c r="D16" s="120" t="inlineStr">
        <is>
          <t>116 Milton St</t>
        </is>
      </c>
      <c r="E16" s="120" t="inlineStr">
        <is>
          <t>Quincy</t>
        </is>
      </c>
      <c r="F16" s="120" t="inlineStr">
        <is>
          <t>FL</t>
        </is>
      </c>
      <c r="G16" s="120" t="inlineStr">
        <is>
          <t>32351</t>
        </is>
      </c>
      <c r="H16" s="120" t="inlineStr">
        <is>
          <t>0.5 mi</t>
        </is>
      </c>
      <c r="I16" s="120" t="inlineStr">
        <is>
          <t>$800</t>
        </is>
      </c>
      <c r="J16" s="120" t="inlineStr">
        <is>
          <t>$800</t>
        </is>
      </c>
      <c r="K16" s="121" t="inlineStr">
        <is>
          <t>$800</t>
        </is>
      </c>
      <c r="L16" s="83" t="inlineStr">
        <is>
          <t>N/A</t>
        </is>
      </c>
      <c r="M16" s="122" t="inlineStr">
        <is>
          <t>$1,095</t>
        </is>
      </c>
      <c r="N16" s="122" t="inlineStr">
        <is>
          <t>$1,095</t>
        </is>
      </c>
      <c r="O16" s="121" t="inlineStr">
        <is>
          <t>$1,095</t>
        </is>
      </c>
      <c r="P16" s="83" t="inlineStr">
        <is>
          <t>N/A</t>
        </is>
      </c>
      <c r="Q16" s="122" t="inlineStr">
        <is>
          <t>N/A (Market Rate)</t>
        </is>
      </c>
      <c r="R16" s="122" t="inlineStr">
        <is>
          <t>N/A (Market Rate)</t>
        </is>
      </c>
      <c r="S16" s="122" t="inlineStr">
        <is>
          <t>N/A (Market Rate)</t>
        </is>
      </c>
      <c r="T16" s="160" t="n">
        <v>1500</v>
      </c>
      <c r="U16" s="122" t="inlineStr">
        <is>
          <t>N/A</t>
        </is>
      </c>
      <c r="V16" s="122" t="inlineStr">
        <is>
          <t>N/A</t>
        </is>
      </c>
      <c r="W16" s="122" t="inlineStr">
        <is>
          <t>N/A</t>
        </is>
      </c>
      <c r="X16" s="122" t="inlineStr">
        <is>
          <t>N/A</t>
        </is>
      </c>
      <c r="Y16" s="84" t="inlineStr">
        <is>
          <t>N/A</t>
        </is>
      </c>
      <c r="Z16" s="123" t="inlineStr">
        <is>
          <t>N/A</t>
        </is>
      </c>
      <c r="AA16" s="124" t="inlineStr">
        <is>
          <t>N/A</t>
        </is>
      </c>
      <c r="AB16" s="134" t="inlineStr">
        <is>
          <t>N/A</t>
        </is>
      </c>
      <c r="AC16" s="136" t="inlineStr">
        <is>
          <t>BENCHMARK</t>
        </is>
      </c>
      <c r="AD16" s="136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136" t="inlineStr">
        <is>
          <t>HUD FMR Database (huduser.gov)</t>
        </is>
      </c>
      <c r="AF16" s="136" t="n"/>
      <c r="AG16" s="136" t="n"/>
      <c r="AH16" s="136" t="n"/>
      <c r="AI16" s="136" t="n"/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n">
        <v>6</v>
      </c>
      <c r="B17" s="88" t="inlineStr">
        <is>
          <t>MARKET RATE</t>
        </is>
      </c>
      <c r="C17" s="89" t="inlineStr">
        <is>
          <t>Arbour Crest Apartments</t>
        </is>
      </c>
      <c r="D17" s="87" t="inlineStr">
        <is>
          <t>64 N Cleveland St</t>
        </is>
      </c>
      <c r="E17" s="87" t="inlineStr">
        <is>
          <t>Quincy</t>
        </is>
      </c>
      <c r="F17" s="87" t="inlineStr">
        <is>
          <t>FL</t>
        </is>
      </c>
      <c r="G17" s="87" t="inlineStr">
        <is>
          <t>32351</t>
        </is>
      </c>
      <c r="H17" s="87" t="inlineStr">
        <is>
          <t>0.1 mi</t>
        </is>
      </c>
      <c r="I17" s="87" t="inlineStr">
        <is>
          <t>N/A (Market Rate)</t>
        </is>
      </c>
      <c r="J17" s="87" t="inlineStr">
        <is>
          <t>N/A (Market Rate)</t>
        </is>
      </c>
      <c r="K17" s="90" t="inlineStr">
        <is>
          <t>N/A (Market Rate)</t>
        </is>
      </c>
      <c r="L17" s="161" t="n">
        <v>920</v>
      </c>
      <c r="M17" s="92" t="inlineStr">
        <is>
          <t>N/A (Market Rate)</t>
        </is>
      </c>
      <c r="N17" s="92" t="inlineStr">
        <is>
          <t>N/A (Market Rate)</t>
        </is>
      </c>
      <c r="O17" s="90" t="inlineStr">
        <is>
          <t>N/A (Market Rate)</t>
        </is>
      </c>
      <c r="P17" s="161" t="n">
        <v>1098</v>
      </c>
      <c r="Q17" s="92" t="inlineStr">
        <is>
          <t>N/A (Market Rate)</t>
        </is>
      </c>
      <c r="R17" s="92" t="inlineStr">
        <is>
          <t>N/A (Market Rate)</t>
        </is>
      </c>
      <c r="S17" s="92" t="inlineStr">
        <is>
          <t>N/A (Market Rate)</t>
        </is>
      </c>
      <c r="T17" s="163" t="n">
        <v>1260</v>
      </c>
      <c r="U17" s="92" t="inlineStr">
        <is>
          <t>N/A</t>
        </is>
      </c>
      <c r="V17" s="92" t="inlineStr">
        <is>
          <t>N/A</t>
        </is>
      </c>
      <c r="W17" s="92" t="inlineStr">
        <is>
          <t>N/A</t>
        </is>
      </c>
      <c r="X17" s="92" t="inlineStr">
        <is>
          <t>N/A</t>
        </is>
      </c>
      <c r="Y17" s="93" t="inlineStr">
        <is>
          <t>N/A</t>
        </is>
      </c>
      <c r="Z17" s="94" t="inlineStr">
        <is>
          <t>N/A</t>
        </is>
      </c>
      <c r="AA17" s="92" t="inlineStr">
        <is>
          <t>N/A</t>
        </is>
      </c>
      <c r="AB17" s="136" t="inlineStr">
        <is>
          <t>N/A</t>
        </is>
      </c>
      <c r="AC17" s="136" t="inlineStr">
        <is>
          <t>BENCHMARK</t>
        </is>
      </c>
      <c r="AD17" s="136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136" t="inlineStr">
        <is>
          <t>HUD FMR + Market Estimate</t>
        </is>
      </c>
      <c r="AF17" s="136" t="n"/>
      <c r="AG17" s="136" t="n"/>
      <c r="AH17" s="136" t="n"/>
      <c r="AI17" s="136" t="n"/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F19" s="136" t="n"/>
      <c r="AG19" s="136" t="n"/>
      <c r="AH19" s="136" t="n"/>
      <c r="AI19" s="136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Height="1" s="131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Format="1" customHeight="1" s="2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Format="1" customHeight="1" s="2">
      <c r="A25" s="372" t="n"/>
      <c r="B25" s="201" t="inlineStr">
        <is>
          <t>1BD</t>
        </is>
      </c>
      <c r="C25" s="194" t="n"/>
      <c r="D25" s="200" t="n">
        <v>737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Format="1" customHeight="1" s="2">
      <c r="A26" s="372" t="n"/>
      <c r="B26" s="201" t="inlineStr">
        <is>
          <t>2BD</t>
        </is>
      </c>
      <c r="C26" s="194" t="n"/>
      <c r="D26" s="200" t="n">
        <v>1127</v>
      </c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24.75" customHeight="1" s="131">
      <c r="A27" s="369" t="n"/>
      <c r="B27" s="201" t="inlineStr">
        <is>
          <t>3BD</t>
        </is>
      </c>
      <c r="C27" s="194" t="n"/>
      <c r="D27" s="200" t="n">
        <v>1384</v>
      </c>
      <c r="E27" s="195" t="n"/>
      <c r="F27" s="183" t="n"/>
      <c r="G27" s="183" t="n"/>
      <c r="H27" s="183" t="n"/>
      <c r="I27" s="183" t="n"/>
      <c r="J27" s="183" t="n"/>
      <c r="K27" s="302" t="n"/>
      <c r="L27" s="302" t="n"/>
      <c r="M27" s="302" t="n"/>
      <c r="N27" s="302" t="n"/>
      <c r="O27" s="343" t="n"/>
      <c r="P27" s="302" t="n"/>
      <c r="Q27" s="302" t="n"/>
      <c r="R27" s="302" t="n"/>
      <c r="S27" s="302" t="n"/>
      <c r="T27" s="302" t="n"/>
      <c r="U27" s="302" t="n"/>
      <c r="V27" s="302" t="n"/>
      <c r="W27" s="302" t="n"/>
      <c r="X27" s="302" t="n"/>
      <c r="Y27" s="302" t="n"/>
      <c r="Z27" s="302" t="n"/>
      <c r="AA27" s="353" t="n"/>
      <c r="AB27" s="302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8.1" customHeight="1" s="131">
      <c r="A28" s="382" t="n"/>
      <c r="B28" s="404" t="n"/>
      <c r="C28" s="454" t="n"/>
      <c r="D28" s="404" t="n"/>
      <c r="E28" s="404" t="n"/>
      <c r="F28" s="382" t="n"/>
      <c r="G28" s="369" t="n"/>
      <c r="H28" s="369" t="n"/>
      <c r="I28" s="369" t="n"/>
      <c r="J28" s="369" t="n"/>
      <c r="K28" s="369" t="n"/>
      <c r="L28" s="134" t="n"/>
      <c r="M28" s="134" t="n"/>
      <c r="N28" s="134" t="n"/>
      <c r="O28" s="134" t="n"/>
      <c r="P28" s="134" t="n"/>
      <c r="Q28" s="134" t="n"/>
      <c r="R28" s="134" t="n"/>
      <c r="S28" s="134" t="n"/>
      <c r="T28" s="134" t="n"/>
      <c r="U28" s="134" t="n"/>
      <c r="V28" s="134" t="n"/>
      <c r="W28" s="134" t="n"/>
      <c r="X28" s="134" t="n"/>
      <c r="Y28" s="134" t="n"/>
      <c r="Z28" s="135" t="n"/>
      <c r="AA28" s="134" t="n"/>
      <c r="AB28" s="134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24.75" customFormat="1" customHeight="1" s="2">
      <c r="A29" s="302" t="n"/>
      <c r="B29" s="211" t="inlineStr">
        <is>
          <t>PMTS — Vouchers / FMR / UAP / NET</t>
        </is>
      </c>
      <c r="G29" s="365" t="n"/>
      <c r="H29" s="183" t="n"/>
      <c r="I29" s="183" t="n"/>
      <c r="J29" s="183" t="n"/>
      <c r="K29" s="302" t="n"/>
      <c r="L29" s="302" t="n"/>
      <c r="M29" s="302" t="n"/>
      <c r="N29" s="302" t="n"/>
      <c r="O29" s="302" t="n"/>
      <c r="P29" s="302" t="n"/>
      <c r="Q29" s="302" t="n"/>
      <c r="R29" s="302" t="n"/>
      <c r="S29" s="302" t="n"/>
      <c r="T29" s="302" t="n"/>
      <c r="U29" s="302" t="n"/>
      <c r="V29" s="302" t="n"/>
      <c r="W29" s="302" t="n"/>
      <c r="X29" s="302" t="n"/>
      <c r="Y29" s="302" t="n"/>
      <c r="Z29" s="302" t="n"/>
      <c r="AA29" s="353" t="n"/>
      <c r="AB29" s="302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15.95" customFormat="1" customHeight="1" s="2">
      <c r="A30" s="302" t="n"/>
      <c r="B30" s="226" t="n"/>
      <c r="C30" s="213" t="inlineStr">
        <is>
          <t>MKT</t>
        </is>
      </c>
      <c r="D30" s="213" t="inlineStr">
        <is>
          <t>VCH</t>
        </is>
      </c>
      <c r="E30" s="214" t="inlineStr">
        <is>
          <t>FMR</t>
        </is>
      </c>
      <c r="F30" s="215" t="inlineStr">
        <is>
          <t>UAP</t>
        </is>
      </c>
      <c r="G30" s="216" t="inlineStr">
        <is>
          <t>NET</t>
        </is>
      </c>
      <c r="H30" s="183" t="n"/>
      <c r="I30" s="183" t="n"/>
      <c r="J30" s="183" t="n"/>
      <c r="K30" s="302" t="n"/>
      <c r="L30" s="302" t="n"/>
      <c r="M30" s="302" t="n"/>
      <c r="N30" s="302" t="n"/>
      <c r="O30" s="302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24.75" customFormat="1" customHeight="1" s="2">
      <c r="A31" s="372" t="n"/>
      <c r="B31" s="217" t="inlineStr">
        <is>
          <t>1BD</t>
        </is>
      </c>
      <c r="C31" s="197" t="n">
        <v>0</v>
      </c>
      <c r="D31" s="197" t="n">
        <v>920</v>
      </c>
      <c r="E31" s="198" t="n">
        <v>1070</v>
      </c>
      <c r="F31" s="199" t="n">
        <v>73</v>
      </c>
      <c r="G31" s="218" t="n">
        <v>997</v>
      </c>
      <c r="H31" s="183" t="n"/>
      <c r="I31" s="183" t="n"/>
      <c r="J31" s="183" t="n"/>
      <c r="K31" s="302" t="n"/>
      <c r="L31" s="302" t="n"/>
      <c r="M31" s="302" t="n"/>
      <c r="N31" s="302" t="n"/>
      <c r="O31" s="343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24.75" customFormat="1" customHeight="1" s="2">
      <c r="A32" s="369" t="n"/>
      <c r="B32" s="217" t="inlineStr">
        <is>
          <t>2BD</t>
        </is>
      </c>
      <c r="C32" s="197" t="n">
        <v>0</v>
      </c>
      <c r="D32" s="197" t="n">
        <v>1098</v>
      </c>
      <c r="E32" s="198" t="n">
        <v>1210</v>
      </c>
      <c r="F32" s="199" t="n">
        <v>93</v>
      </c>
      <c r="G32" s="218" t="n">
        <v>1117</v>
      </c>
      <c r="H32" s="183" t="n"/>
      <c r="I32" s="183" t="n"/>
      <c r="J32" s="183" t="n"/>
      <c r="K32" s="302" t="n"/>
      <c r="L32" s="302" t="n"/>
      <c r="M32" s="302" t="n"/>
      <c r="N32" s="302" t="n"/>
      <c r="O32" s="343" t="n"/>
      <c r="P32" s="302" t="n"/>
      <c r="Q32" s="302" t="n"/>
      <c r="R32" s="302" t="n"/>
      <c r="S32" s="302" t="n"/>
      <c r="T32" s="302" t="n"/>
      <c r="U32" s="302" t="n"/>
      <c r="V32" s="302" t="n"/>
      <c r="W32" s="302" t="n"/>
      <c r="X32" s="302" t="n"/>
      <c r="Y32" s="302" t="n"/>
      <c r="Z32" s="302" t="n"/>
      <c r="AA32" s="353" t="n"/>
      <c r="AB32" s="302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24.75" customFormat="1" customHeight="1" s="2">
      <c r="A33" s="382" t="n"/>
      <c r="B33" s="217" t="inlineStr">
        <is>
          <t>3BD</t>
        </is>
      </c>
      <c r="C33" s="197" t="n">
        <v>0</v>
      </c>
      <c r="D33" s="197" t="n">
        <v>1260</v>
      </c>
      <c r="E33" s="198" t="n">
        <v>1540</v>
      </c>
      <c r="F33" s="199" t="n">
        <v>112</v>
      </c>
      <c r="G33" s="218" t="n">
        <v>1428</v>
      </c>
      <c r="H33" s="183" t="n"/>
      <c r="I33" s="183" t="n"/>
      <c r="J33" s="183" t="n"/>
      <c r="K33" s="302" t="n"/>
      <c r="L33" s="302" t="n"/>
      <c r="M33" s="302" t="n"/>
      <c r="N33" s="302" t="n"/>
      <c r="O33" s="343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8.1" customFormat="1" customHeight="1" s="2">
      <c r="A34" s="372" t="n"/>
      <c r="B34" s="372" t="n"/>
      <c r="C34" s="372" t="n"/>
      <c r="D34" s="372" t="n"/>
      <c r="E34" s="372" t="n"/>
      <c r="F34" s="369" t="n"/>
      <c r="G34" s="369" t="n"/>
      <c r="H34" s="369" t="n"/>
      <c r="I34" s="369" t="n"/>
      <c r="J34" s="369" t="n"/>
      <c r="K34" s="369" t="n"/>
      <c r="L34" s="136" t="n"/>
      <c r="M34" s="136" t="n"/>
      <c r="N34" s="136" t="n"/>
      <c r="O34" s="136" t="n"/>
      <c r="P34" s="136" t="n"/>
      <c r="Q34" s="136" t="n"/>
      <c r="R34" s="136" t="n"/>
      <c r="S34" s="136" t="n"/>
      <c r="T34" s="136" t="n"/>
      <c r="U34" s="136" t="n"/>
      <c r="V34" s="136" t="n"/>
      <c r="W34" s="136" t="n"/>
      <c r="X34" s="136" t="n"/>
      <c r="Y34" s="136" t="n"/>
      <c r="Z34" s="136" t="n"/>
      <c r="AA34" s="136" t="n"/>
      <c r="AB34" s="136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24.75" customFormat="1" customHeight="1" s="2">
      <c r="A35" s="302" t="n"/>
      <c r="B35" s="366" t="inlineStr">
        <is>
          <t>LIHTC, UAP, NET</t>
        </is>
      </c>
      <c r="C35" s="358" t="n"/>
      <c r="D35" s="358" t="n"/>
      <c r="E35" s="358" t="n"/>
      <c r="F35" s="358" t="n"/>
      <c r="G35" s="359" t="n"/>
      <c r="H35" s="183" t="n"/>
      <c r="I35" s="183" t="n"/>
      <c r="J35" s="183" t="n"/>
      <c r="K35" s="302" t="n"/>
      <c r="L35" s="302" t="n"/>
      <c r="M35" s="302" t="n"/>
      <c r="N35" s="302" t="n"/>
      <c r="O35" s="302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16.5" customFormat="1" customHeight="1" s="2">
      <c r="A36" s="369" t="n"/>
      <c r="B36" s="226" t="n"/>
      <c r="C36" s="228" t="inlineStr">
        <is>
          <t>LIHTC/MKT</t>
        </is>
      </c>
      <c r="D36" s="228" t="inlineStr">
        <is>
          <t>30%</t>
        </is>
      </c>
      <c r="E36" s="215" t="inlineStr">
        <is>
          <t>UAP</t>
        </is>
      </c>
      <c r="F36" s="216" t="inlineStr">
        <is>
          <t>NET</t>
        </is>
      </c>
      <c r="G36" s="183" t="n"/>
      <c r="H36" s="183" t="n"/>
      <c r="I36" s="183" t="n"/>
      <c r="J36" s="183" t="n"/>
      <c r="K36" s="302" t="n"/>
      <c r="L36" s="302" t="n"/>
      <c r="M36" s="302" t="n"/>
      <c r="N36" s="302" t="n"/>
      <c r="O36" s="343" t="n"/>
      <c r="P36" s="302" t="n"/>
      <c r="Q36" s="302" t="n"/>
      <c r="R36" s="302" t="n"/>
      <c r="S36" s="302" t="n"/>
      <c r="T36" s="302" t="n"/>
      <c r="U36" s="302" t="n"/>
      <c r="V36" s="302" t="n"/>
      <c r="W36" s="302" t="n"/>
      <c r="X36" s="302" t="n"/>
      <c r="Y36" s="302" t="n"/>
      <c r="Z36" s="302" t="n"/>
      <c r="AA36" s="353" t="n"/>
      <c r="AB36" s="302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24.75" customFormat="1" customHeight="1" s="2">
      <c r="A37" s="369" t="n"/>
      <c r="B37" s="224" t="inlineStr">
        <is>
          <t>1BD</t>
        </is>
      </c>
      <c r="C37" s="225" t="n">
        <v>519</v>
      </c>
      <c r="D37" s="225" t="n">
        <v>415</v>
      </c>
      <c r="E37" s="225" t="n">
        <v>73</v>
      </c>
      <c r="F37" s="223" t="n">
        <v>342</v>
      </c>
      <c r="G37" s="183" t="n"/>
      <c r="H37" s="183" t="n"/>
      <c r="I37" s="183" t="n"/>
      <c r="J37" s="183" t="n"/>
      <c r="K37" s="302" t="n"/>
      <c r="L37" s="302" t="n"/>
      <c r="M37" s="302" t="n"/>
      <c r="N37" s="302" t="n"/>
      <c r="O37" s="343" t="n"/>
      <c r="P37" s="302" t="n"/>
      <c r="Q37" s="302" t="n"/>
      <c r="R37" s="302" t="n"/>
      <c r="S37" s="302" t="n"/>
      <c r="T37" s="302" t="n"/>
      <c r="U37" s="302" t="n"/>
      <c r="V37" s="302" t="n"/>
      <c r="W37" s="302" t="n"/>
      <c r="X37" s="302" t="n"/>
      <c r="Y37" s="302" t="n"/>
      <c r="Z37" s="302" t="n"/>
      <c r="AA37" s="353" t="n"/>
      <c r="AB37" s="302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24.75" customHeight="1" s="131">
      <c r="A38" s="372" t="n"/>
      <c r="B38" s="224" t="inlineStr">
        <is>
          <t>2BD</t>
        </is>
      </c>
      <c r="C38" s="225" t="n">
        <v>623</v>
      </c>
      <c r="D38" s="225" t="n">
        <v>492</v>
      </c>
      <c r="E38" s="225" t="n">
        <v>93</v>
      </c>
      <c r="F38" s="223" t="n">
        <v>399</v>
      </c>
      <c r="G38" s="183" t="n"/>
      <c r="H38" s="183" t="n"/>
      <c r="I38" s="183" t="n"/>
      <c r="J38" s="183" t="n"/>
      <c r="K38" s="302" t="n"/>
      <c r="L38" s="302" t="n"/>
      <c r="M38" s="302" t="n"/>
      <c r="N38" s="302" t="n"/>
      <c r="O38" s="343" t="n"/>
      <c r="P38" s="302" t="n"/>
      <c r="Q38" s="302" t="n"/>
      <c r="R38" s="302" t="n"/>
      <c r="S38" s="302" t="n"/>
      <c r="T38" s="302" t="n"/>
      <c r="U38" s="302" t="n"/>
      <c r="V38" s="302" t="n"/>
      <c r="W38" s="302" t="n"/>
      <c r="X38" s="302" t="n"/>
      <c r="Y38" s="302" t="n"/>
      <c r="Z38" s="302" t="n"/>
      <c r="AA38" s="353" t="n"/>
      <c r="AB38" s="302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24.75" customHeight="1" s="131">
      <c r="A39" s="372" t="n"/>
      <c r="B39" s="224" t="inlineStr">
        <is>
          <t>3BD</t>
        </is>
      </c>
      <c r="C39" s="225" t="n">
        <v>720</v>
      </c>
      <c r="D39" s="225" t="n">
        <v>560</v>
      </c>
      <c r="E39" s="225" t="n">
        <v>112</v>
      </c>
      <c r="F39" s="223" t="n">
        <v>448</v>
      </c>
      <c r="G39" s="183" t="n"/>
      <c r="H39" s="183" t="n"/>
      <c r="I39" s="183" t="n"/>
      <c r="J39" s="183" t="n"/>
      <c r="K39" s="302" t="n"/>
      <c r="L39" s="302" t="n"/>
      <c r="M39" s="302" t="n"/>
      <c r="N39" s="302" t="n"/>
      <c r="O39" s="343" t="n"/>
      <c r="P39" s="302" t="n"/>
      <c r="Q39" s="302" t="n"/>
      <c r="R39" s="302" t="n"/>
      <c r="S39" s="302" t="n"/>
      <c r="T39" s="302" t="n"/>
      <c r="U39" s="302" t="n"/>
      <c r="V39" s="302" t="n"/>
      <c r="W39" s="302" t="n"/>
      <c r="X39" s="302" t="n"/>
      <c r="Y39" s="302" t="n"/>
      <c r="Z39" s="302" t="n"/>
      <c r="AA39" s="353" t="n"/>
      <c r="AB39" s="302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ht="18" customFormat="1" customHeight="1" s="2">
      <c r="A40" s="372" t="n"/>
      <c r="B40" s="392" t="n"/>
      <c r="C40" s="392" t="n"/>
      <c r="D40" s="369" t="n"/>
      <c r="E40" s="369" t="n"/>
      <c r="F40" s="369" t="n"/>
      <c r="G40" s="369" t="n"/>
      <c r="H40" s="369" t="n"/>
      <c r="I40" s="369" t="n"/>
      <c r="J40" s="369" t="n"/>
      <c r="K40" s="369" t="n"/>
      <c r="L40" s="136" t="n"/>
      <c r="M40" s="136" t="n"/>
      <c r="N40" s="136" t="n"/>
      <c r="O40" s="136" t="n"/>
      <c r="P40" s="136" t="n"/>
      <c r="Q40" s="136" t="n"/>
      <c r="R40" s="136" t="n"/>
      <c r="S40" s="136" t="n"/>
      <c r="T40" s="136" t="n"/>
      <c r="U40" s="136" t="n"/>
      <c r="V40" s="136" t="n"/>
      <c r="W40" s="136" t="n"/>
      <c r="X40" s="136" t="n"/>
      <c r="Y40" s="136" t="n"/>
      <c r="Z40" s="136" t="n"/>
      <c r="AA40" s="136" t="n"/>
      <c r="AB40" s="136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ht="18" customFormat="1" customHeight="1" s="2">
      <c r="A41" s="369" t="n"/>
      <c r="B41" s="399" t="n"/>
      <c r="C41" s="463" t="inlineStr">
        <is>
          <t>LIHTC/MKT</t>
        </is>
      </c>
      <c r="D41" s="431" t="inlineStr">
        <is>
          <t>60%</t>
        </is>
      </c>
      <c r="E41" s="434" t="inlineStr">
        <is>
          <t>UAP</t>
        </is>
      </c>
      <c r="F41" s="386" t="inlineStr">
        <is>
          <t>NET</t>
        </is>
      </c>
      <c r="G41" s="369" t="n"/>
      <c r="H41" s="369" t="n"/>
      <c r="I41" s="369" t="n"/>
      <c r="J41" s="369" t="n"/>
      <c r="K41" s="369" t="n"/>
      <c r="L41" s="136" t="n"/>
      <c r="M41" s="136" t="n"/>
      <c r="N41" s="136" t="n"/>
      <c r="O41" s="136" t="n"/>
      <c r="P41" s="136" t="n"/>
      <c r="Q41" s="136" t="n"/>
      <c r="R41" s="136" t="n"/>
      <c r="S41" s="136" t="n"/>
      <c r="T41" s="136" t="n"/>
      <c r="U41" s="136" t="n"/>
      <c r="V41" s="136" t="n"/>
      <c r="W41" s="136" t="n"/>
      <c r="X41" s="136" t="n"/>
      <c r="Y41" s="136" t="n"/>
      <c r="Z41" s="136" t="n"/>
      <c r="AA41" s="136" t="n"/>
      <c r="AB41" s="136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ht="24.75" customFormat="1" customHeight="1" s="2">
      <c r="A42" s="369" t="n"/>
      <c r="B42" s="224" t="inlineStr">
        <is>
          <t>1BD</t>
        </is>
      </c>
      <c r="C42" s="225" t="n">
        <v>1039</v>
      </c>
      <c r="D42" s="225" t="n">
        <v>920</v>
      </c>
      <c r="E42" s="225" t="n">
        <v>73</v>
      </c>
      <c r="F42" s="223" t="n">
        <v>847</v>
      </c>
      <c r="G42" s="183" t="n"/>
      <c r="H42" s="183" t="n"/>
      <c r="I42" s="183" t="n"/>
      <c r="J42" s="183" t="n"/>
      <c r="K42" s="302" t="n"/>
      <c r="L42" s="302" t="n"/>
      <c r="M42" s="302" t="n"/>
      <c r="N42" s="302" t="n"/>
      <c r="O42" s="343" t="n"/>
      <c r="P42" s="302" t="n"/>
      <c r="Q42" s="302" t="n"/>
      <c r="R42" s="302" t="n"/>
      <c r="S42" s="302" t="n"/>
      <c r="T42" s="302" t="n"/>
      <c r="U42" s="302" t="n"/>
      <c r="V42" s="302" t="n"/>
      <c r="W42" s="302" t="n"/>
      <c r="X42" s="302" t="n"/>
      <c r="Y42" s="302" t="n"/>
      <c r="Z42" s="302" t="n"/>
      <c r="AA42" s="353" t="n"/>
      <c r="AB42" s="302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ht="24.75" customFormat="1" customHeight="1" s="2">
      <c r="A43" s="369" t="n"/>
      <c r="B43" s="224" t="inlineStr">
        <is>
          <t>2BD</t>
        </is>
      </c>
      <c r="C43" s="225" t="n">
        <v>1246</v>
      </c>
      <c r="D43" s="225" t="n">
        <v>1098</v>
      </c>
      <c r="E43" s="225" t="n">
        <v>93</v>
      </c>
      <c r="F43" s="223" t="n">
        <v>1005</v>
      </c>
      <c r="G43" s="183" t="n"/>
      <c r="H43" s="183" t="n"/>
      <c r="I43" s="183" t="n"/>
      <c r="J43" s="183" t="n"/>
      <c r="K43" s="302" t="n"/>
      <c r="L43" s="302" t="n"/>
      <c r="M43" s="302" t="n"/>
      <c r="N43" s="302" t="n"/>
      <c r="O43" s="343" t="n"/>
      <c r="P43" s="302" t="n"/>
      <c r="Q43" s="302" t="n"/>
      <c r="R43" s="302" t="n"/>
      <c r="S43" s="302" t="n"/>
      <c r="T43" s="302" t="n"/>
      <c r="U43" s="302" t="n"/>
      <c r="V43" s="302" t="n"/>
      <c r="W43" s="302" t="n"/>
      <c r="X43" s="302" t="n"/>
      <c r="Y43" s="302" t="n"/>
      <c r="Z43" s="302" t="n"/>
      <c r="AA43" s="353" t="n"/>
      <c r="AB43" s="302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ht="24.75" customFormat="1" customHeight="1" s="2">
      <c r="A44" s="369" t="n"/>
      <c r="B44" s="224" t="inlineStr">
        <is>
          <t>3BD</t>
        </is>
      </c>
      <c r="C44" s="225" t="n">
        <v>1440</v>
      </c>
      <c r="D44" s="225" t="n">
        <v>1260</v>
      </c>
      <c r="E44" s="225" t="n">
        <v>112</v>
      </c>
      <c r="F44" s="223" t="n">
        <v>1148</v>
      </c>
      <c r="G44" s="183" t="n"/>
      <c r="H44" s="183" t="n"/>
      <c r="I44" s="183" t="n"/>
      <c r="J44" s="183" t="n"/>
      <c r="K44" s="302" t="n"/>
      <c r="L44" s="302" t="n"/>
      <c r="M44" s="302" t="n"/>
      <c r="N44" s="302" t="n"/>
      <c r="O44" s="343" t="n"/>
      <c r="P44" s="302" t="n"/>
      <c r="Q44" s="302" t="n"/>
      <c r="R44" s="302" t="n"/>
      <c r="S44" s="302" t="n"/>
      <c r="T44" s="302" t="n"/>
      <c r="U44" s="302" t="n"/>
      <c r="V44" s="302" t="n"/>
      <c r="W44" s="302" t="n"/>
      <c r="X44" s="302" t="n"/>
      <c r="Y44" s="302" t="n"/>
      <c r="Z44" s="302" t="n"/>
      <c r="AA44" s="353" t="n"/>
      <c r="AB44" s="302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ht="18" customHeight="1" s="131">
      <c r="A45" s="369" t="n"/>
      <c r="B45" s="371" t="n"/>
      <c r="C45" s="371" t="n"/>
      <c r="D45" s="371" t="n"/>
      <c r="E45" s="371" t="n"/>
      <c r="F45" s="371" t="n"/>
      <c r="G45" s="369" t="n"/>
      <c r="H45" s="369" t="n"/>
      <c r="I45" s="369" t="n"/>
      <c r="J45" s="369" t="n"/>
      <c r="K45" s="369" t="n"/>
      <c r="L45" s="136" t="n"/>
      <c r="M45" s="136" t="n"/>
      <c r="N45" s="136" t="n"/>
      <c r="O45" s="136" t="n"/>
      <c r="P45" s="136" t="n"/>
      <c r="Q45" s="136" t="n"/>
      <c r="R45" s="136" t="n"/>
      <c r="S45" s="136" t="n"/>
      <c r="T45" s="136" t="n"/>
      <c r="U45" s="136" t="n"/>
      <c r="V45" s="136" t="n"/>
      <c r="W45" s="136" t="n"/>
      <c r="X45" s="136" t="n"/>
      <c r="Y45" s="136" t="n"/>
      <c r="Z45" s="136" t="n"/>
      <c r="AA45" s="136" t="n"/>
      <c r="AB45" s="136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ht="18" customHeight="1" s="131">
      <c r="A46" s="369" t="n"/>
      <c r="B46" s="369" t="n"/>
      <c r="C46" s="369" t="n"/>
      <c r="D46" s="369" t="n"/>
      <c r="E46" s="369" t="n"/>
      <c r="F46" s="369" t="n"/>
      <c r="G46" s="369" t="n"/>
      <c r="H46" s="369" t="n"/>
      <c r="I46" s="369" t="n"/>
      <c r="J46" s="369" t="n"/>
      <c r="K46" s="369" t="n"/>
      <c r="L46" s="136" t="n"/>
      <c r="M46" s="136" t="n"/>
      <c r="N46" s="136" t="n"/>
      <c r="O46" s="136" t="n"/>
      <c r="P46" s="136" t="n"/>
      <c r="Q46" s="136" t="n"/>
      <c r="R46" s="136" t="n"/>
      <c r="S46" s="136" t="n"/>
      <c r="T46" s="136" t="n"/>
      <c r="U46" s="136" t="n"/>
      <c r="V46" s="136" t="n"/>
      <c r="W46" s="136" t="n"/>
      <c r="X46" s="136" t="n"/>
      <c r="Y46" s="136" t="n"/>
      <c r="Z46" s="136" t="n"/>
      <c r="AA46" s="136" t="n"/>
      <c r="AB46" s="136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ht="24.75" customHeight="1" s="131">
      <c r="A47" s="302" t="n"/>
      <c r="B47" s="207" t="inlineStr">
        <is>
          <t>HAP, CoStar, NET</t>
        </is>
      </c>
      <c r="H47" s="183" t="n"/>
      <c r="I47" s="183" t="n"/>
      <c r="J47" s="183" t="n"/>
      <c r="K47" s="302" t="n"/>
      <c r="L47" s="302" t="n"/>
      <c r="M47" s="302" t="n"/>
      <c r="N47" s="302" t="n"/>
      <c r="O47" s="302" t="n"/>
      <c r="P47" s="302" t="n"/>
      <c r="Q47" s="302" t="n"/>
      <c r="R47" s="302" t="n"/>
      <c r="S47" s="302" t="n"/>
      <c r="T47" s="302" t="n"/>
      <c r="U47" s="302" t="n"/>
      <c r="V47" s="302" t="n"/>
      <c r="W47" s="302" t="n"/>
      <c r="X47" s="302" t="n"/>
      <c r="Y47" s="302" t="n"/>
      <c r="Z47" s="302" t="n"/>
      <c r="AA47" s="353" t="n"/>
      <c r="AB47" s="302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ht="15.95" customHeight="1" s="131">
      <c r="A48" s="302" t="n"/>
      <c r="B48" s="227" t="n"/>
      <c r="C48" s="208" t="inlineStr">
        <is>
          <t>HAP</t>
        </is>
      </c>
      <c r="D48" s="209" t="inlineStr">
        <is>
          <t>CoStar</t>
        </is>
      </c>
      <c r="E48" s="302" t="n"/>
      <c r="F48" s="302" t="n"/>
      <c r="G48" s="302" t="n"/>
      <c r="H48" s="183" t="n"/>
      <c r="I48" s="183" t="n"/>
      <c r="J48" s="183" t="n"/>
      <c r="K48" s="302" t="n"/>
      <c r="L48" s="302" t="n"/>
      <c r="M48" s="302" t="n"/>
      <c r="N48" s="302" t="n"/>
      <c r="O48" s="302" t="n"/>
      <c r="P48" s="302" t="n"/>
      <c r="Q48" s="302" t="n"/>
      <c r="R48" s="302" t="n"/>
      <c r="S48" s="302" t="n"/>
      <c r="T48" s="302" t="n"/>
      <c r="U48" s="302" t="n"/>
      <c r="V48" s="302" t="n"/>
      <c r="W48" s="302" t="n"/>
      <c r="X48" s="302" t="n"/>
      <c r="Y48" s="302" t="n"/>
      <c r="Z48" s="302" t="n"/>
      <c r="AA48" s="353" t="n"/>
      <c r="AB48" s="302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ht="24.75" customHeight="1" s="131">
      <c r="A49" s="302" t="n"/>
      <c r="B49" s="196" t="inlineStr">
        <is>
          <t>1BD</t>
        </is>
      </c>
      <c r="C49" s="199" t="n">
        <v>0</v>
      </c>
      <c r="D49" s="198" t="n">
        <v>1385</v>
      </c>
      <c r="E49" s="183" t="n"/>
      <c r="F49" s="183" t="n"/>
      <c r="G49" s="183" t="n"/>
      <c r="H49" s="183" t="n"/>
      <c r="I49" s="183" t="n"/>
      <c r="J49" s="183" t="n"/>
      <c r="K49" s="302" t="n"/>
      <c r="L49" s="302" t="n"/>
      <c r="M49" s="302" t="n"/>
      <c r="N49" s="302" t="n"/>
      <c r="O49" s="302" t="n"/>
      <c r="P49" s="302" t="n"/>
      <c r="Q49" s="302" t="n"/>
      <c r="R49" s="302" t="n"/>
      <c r="S49" s="302" t="n"/>
      <c r="T49" s="302" t="n"/>
      <c r="U49" s="302" t="n"/>
      <c r="V49" s="302" t="n"/>
      <c r="W49" s="302" t="n"/>
      <c r="X49" s="302" t="n"/>
      <c r="Y49" s="302" t="n"/>
      <c r="Z49" s="302" t="n"/>
      <c r="AA49" s="353" t="n"/>
      <c r="AB49" s="302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ht="24.75" customHeight="1" s="131">
      <c r="A50" s="302" t="n"/>
      <c r="B50" s="196" t="inlineStr">
        <is>
          <t>2BD</t>
        </is>
      </c>
      <c r="C50" s="199" t="n">
        <v>0</v>
      </c>
      <c r="D50" s="198" t="n">
        <v>1459</v>
      </c>
      <c r="E50" s="183" t="n"/>
      <c r="F50" s="183" t="n"/>
      <c r="G50" s="183" t="n"/>
      <c r="H50" s="183" t="n"/>
      <c r="I50" s="183" t="n"/>
      <c r="J50" s="183" t="n"/>
      <c r="K50" s="302" t="n"/>
      <c r="L50" s="302" t="n"/>
      <c r="M50" s="302" t="n"/>
      <c r="N50" s="302" t="n"/>
      <c r="O50" s="302" t="n"/>
      <c r="P50" s="302" t="n"/>
      <c r="Q50" s="302" t="n"/>
      <c r="R50" s="302" t="n"/>
      <c r="S50" s="302" t="n"/>
      <c r="T50" s="302" t="n"/>
      <c r="U50" s="302" t="n"/>
      <c r="V50" s="302" t="n"/>
      <c r="W50" s="302" t="n"/>
      <c r="X50" s="302" t="n"/>
      <c r="Y50" s="302" t="n"/>
      <c r="Z50" s="302" t="n"/>
      <c r="AA50" s="353" t="n"/>
      <c r="AB50" s="302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  <row r="51" ht="24.75" customHeight="1" s="131">
      <c r="A51" s="302" t="n"/>
      <c r="B51" s="196" t="inlineStr">
        <is>
          <t>3BD</t>
        </is>
      </c>
      <c r="C51" s="199" t="n">
        <v>0</v>
      </c>
      <c r="D51" s="198" t="n">
        <v>1569</v>
      </c>
      <c r="E51" s="183" t="n"/>
      <c r="F51" s="183" t="n"/>
      <c r="G51" s="183" t="n"/>
      <c r="H51" s="183" t="n"/>
      <c r="I51" s="183" t="n"/>
      <c r="J51" s="183" t="n"/>
      <c r="K51" s="302" t="n"/>
      <c r="L51" s="302" t="n"/>
      <c r="M51" s="302" t="n"/>
      <c r="N51" s="302" t="n"/>
      <c r="O51" s="302" t="n"/>
      <c r="P51" s="302" t="n"/>
      <c r="Q51" s="302" t="n"/>
      <c r="R51" s="302" t="n"/>
      <c r="S51" s="302" t="n"/>
      <c r="T51" s="302" t="n"/>
      <c r="U51" s="302" t="n"/>
      <c r="V51" s="302" t="n"/>
      <c r="W51" s="302" t="n"/>
      <c r="X51" s="302" t="n"/>
      <c r="Y51" s="302" t="n"/>
      <c r="Z51" s="302" t="n"/>
      <c r="AA51" s="353" t="n"/>
      <c r="AB51" s="302" t="n"/>
    </row>
    <row r="52"/>
    <row r="53"/>
    <row r="54"/>
    <row r="55"/>
    <row r="56"/>
    <row r="57"/>
    <row r="58"/>
  </sheetData>
  <mergeCells count="9">
    <mergeCell ref="B47:G47"/>
    <mergeCell ref="B4:AB4"/>
    <mergeCell ref="B22:G22"/>
    <mergeCell ref="B2:AB2"/>
    <mergeCell ref="B23:G23"/>
    <mergeCell ref="B20:I20"/>
    <mergeCell ref="B35:G35"/>
    <mergeCell ref="B3:AB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W53"/>
  <sheetViews>
    <sheetView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WINDSOR/YORKSHIRE | GREEN = Affordable Comps | BLUE = Market Rate Comps</t>
        </is>
      </c>
      <c r="AF3" s="136" t="n"/>
      <c r="AG3" s="136" t="n"/>
      <c r="AH3" s="136" t="n"/>
      <c r="AI3" s="136" t="n"/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Windsor/Yorkshire | 2020 N. Hearne Avenue, Shreveport, LA 71107 | 134 units | Program: LIHTC | Bedroom Mix: 1BR / 2BR / 4BR | County AMI: $81,700 | FMR Area: Shreveport-Bossier City MSA</t>
        </is>
      </c>
      <c r="AF4" s="136" t="n"/>
      <c r="AG4" s="136" t="n"/>
      <c r="AH4" s="136" t="n"/>
      <c r="AI4" s="136" t="n"/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F5" s="136" t="n"/>
      <c r="AG5" s="136" t="n"/>
      <c r="AH5" s="136" t="n"/>
      <c r="AI5" s="136" t="n"/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1BD 50% AMI ($)</t>
        </is>
      </c>
      <c r="J6" s="280" t="inlineStr">
        <is>
          <t>1BD 60% AMI ($)</t>
        </is>
      </c>
      <c r="K6" s="280" t="inlineStr">
        <is>
          <t>1BR FMR ($)</t>
        </is>
      </c>
      <c r="L6" s="335" t="inlineStr">
        <is>
          <t>1BR Actual ($)</t>
        </is>
      </c>
      <c r="M6" s="281" t="inlineStr">
        <is>
          <t>2BD 50% AMI ($)</t>
        </is>
      </c>
      <c r="N6" s="280" t="inlineStr">
        <is>
          <t>2BD 60% AMI ($)</t>
        </is>
      </c>
      <c r="O6" s="280" t="inlineStr">
        <is>
          <t>2BR FMR ($)</t>
        </is>
      </c>
      <c r="P6" s="335" t="inlineStr">
        <is>
          <t>2BR Actual ($)</t>
        </is>
      </c>
      <c r="Q6" s="281" t="inlineStr">
        <is>
          <t>4BD 50% AMI ($)</t>
        </is>
      </c>
      <c r="R6" s="280" t="inlineStr">
        <is>
          <t>4BD 60% AMI ($)</t>
        </is>
      </c>
      <c r="S6" s="280" t="inlineStr">
        <is>
          <t>4BR FMR ($)</t>
        </is>
      </c>
      <c r="T6" s="339" t="inlineStr">
        <is>
          <t>4BR Actual ($)</t>
        </is>
      </c>
      <c r="U6" s="339" t="inlineStr">
        <is>
          <t># Units</t>
        </is>
      </c>
      <c r="V6" s="339" t="inlineStr">
        <is>
          <t>Year Built</t>
        </is>
      </c>
      <c r="W6" s="339" t="inlineStr">
        <is>
          <t>Yr Diff</t>
        </is>
      </c>
      <c r="X6" s="339" t="inlineStr">
        <is>
          <t>Utilities Incl.</t>
        </is>
      </c>
      <c r="Y6" s="339" t="inlineStr">
        <is>
          <t>Pet Friendly</t>
        </is>
      </c>
      <c r="Z6" s="336" t="inlineStr">
        <is>
          <t>Gated</t>
        </is>
      </c>
      <c r="AA6" s="340" t="inlineStr">
        <is>
          <t>Pool</t>
        </is>
      </c>
      <c r="AB6" s="342" t="inlineStr">
        <is>
          <t>W/D In-Unit</t>
        </is>
      </c>
      <c r="AC6" s="136" t="inlineStr">
        <is>
          <t>Competition Level</t>
        </is>
      </c>
      <c r="AD6" s="136" t="inlineStr">
        <is>
          <t>Why Competitive</t>
        </is>
      </c>
      <c r="AE6" s="136" t="inlineStr">
        <is>
          <t>Data Source</t>
        </is>
      </c>
      <c r="AF6" s="136" t="n"/>
      <c r="AG6" s="136" t="n"/>
      <c r="AH6" s="136" t="n"/>
      <c r="AI6" s="136" t="n"/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Windsor/Yorkshire (SUBJECT)</t>
        </is>
      </c>
      <c r="D7" s="174" t="inlineStr">
        <is>
          <t>2020 N. Hearne Avenue</t>
        </is>
      </c>
      <c r="E7" s="174" t="inlineStr">
        <is>
          <t>Shreveport</t>
        </is>
      </c>
      <c r="F7" s="174" t="inlineStr">
        <is>
          <t>LA</t>
        </is>
      </c>
      <c r="G7" s="174" t="inlineStr">
        <is>
          <t>71107</t>
        </is>
      </c>
      <c r="H7" s="174" t="inlineStr">
        <is>
          <t>0.0 mi</t>
        </is>
      </c>
      <c r="I7" s="174" t="inlineStr">
        <is>
          <t>$2,554</t>
        </is>
      </c>
      <c r="J7" s="174" t="inlineStr">
        <is>
          <t>$3,065</t>
        </is>
      </c>
      <c r="K7" s="174" t="inlineStr">
        <is>
          <t>$736</t>
        </is>
      </c>
      <c r="L7" s="368">
        <f>B26</f>
        <v/>
      </c>
      <c r="M7" s="174" t="inlineStr">
        <is>
          <t>$3,066</t>
        </is>
      </c>
      <c r="N7" s="174" t="inlineStr">
        <is>
          <t>$3,680</t>
        </is>
      </c>
      <c r="O7" s="174" t="inlineStr">
        <is>
          <t>$1,008</t>
        </is>
      </c>
      <c r="P7" s="368">
        <f>B27</f>
        <v/>
      </c>
      <c r="Q7" s="174" t="inlineStr">
        <is>
          <t>$3,679</t>
        </is>
      </c>
      <c r="R7" s="174" t="inlineStr">
        <is>
          <t>$4,415</t>
        </is>
      </c>
      <c r="S7" s="174" t="inlineStr">
        <is>
          <t>$1,457</t>
        </is>
      </c>
      <c r="T7" s="368">
        <f>B28</f>
        <v/>
      </c>
      <c r="U7" s="174" t="inlineStr">
        <is>
          <t>134</t>
        </is>
      </c>
      <c r="V7" s="174" t="inlineStr">
        <is>
          <t>1998</t>
        </is>
      </c>
      <c r="W7" s="174" t="inlineStr">
        <is>
          <t>0</t>
        </is>
      </c>
      <c r="X7" s="174" t="inlineStr">
        <is>
          <t>No</t>
        </is>
      </c>
      <c r="Y7" s="42" t="inlineStr">
        <is>
          <t>No</t>
        </is>
      </c>
      <c r="Z7" s="55" t="inlineStr">
        <is>
          <t>No</t>
        </is>
      </c>
      <c r="AA7" s="40" t="inlineStr">
        <is>
          <t>Yes</t>
        </is>
      </c>
      <c r="AB7" s="136" t="inlineStr">
        <is>
          <t>No</t>
        </is>
      </c>
      <c r="AC7" s="136" t="inlineStr">
        <is>
          <t>SUBJECT</t>
        </is>
      </c>
      <c r="AD7" s="136" t="inlineStr">
        <is>
          <t>134 units | LIHTC property. Year built: 1998. Subject property for market context.</t>
        </is>
      </c>
      <c r="AE7" s="136" t="inlineStr">
        <is>
          <t>Apartment Corp Records</t>
        </is>
      </c>
      <c r="AF7" s="136" t="n"/>
      <c r="AG7" s="136" t="n"/>
      <c r="AH7" s="136" t="n"/>
      <c r="AI7" s="136" t="n"/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Southwood Gardens</t>
        </is>
      </c>
      <c r="D8" s="59" t="inlineStr">
        <is>
          <t>3550 Cedar Creek, Budg. 1</t>
        </is>
      </c>
      <c r="E8" s="59" t="inlineStr">
        <is>
          <t>Shreveport</t>
        </is>
      </c>
      <c r="F8" s="59" t="inlineStr">
        <is>
          <t>LA</t>
        </is>
      </c>
      <c r="G8" s="59" t="inlineStr">
        <is>
          <t>71118-0000</t>
        </is>
      </c>
      <c r="H8" s="59" t="inlineStr">
        <is>
          <t>9.4 mi</t>
        </is>
      </c>
      <c r="I8" s="59" t="inlineStr">
        <is>
          <t>$2,554</t>
        </is>
      </c>
      <c r="J8" s="59" t="inlineStr">
        <is>
          <t>$3,065</t>
        </is>
      </c>
      <c r="K8" s="41" t="inlineStr">
        <is>
          <t>$736</t>
        </is>
      </c>
      <c r="L8" s="53" t="inlineStr">
        <is>
          <t>Not Listed</t>
        </is>
      </c>
      <c r="M8" s="43" t="inlineStr">
        <is>
          <t>$3,066</t>
        </is>
      </c>
      <c r="N8" s="43" t="inlineStr">
        <is>
          <t>$3,680</t>
        </is>
      </c>
      <c r="O8" s="41" t="inlineStr">
        <is>
          <t>$1,008</t>
        </is>
      </c>
      <c r="P8" s="53" t="inlineStr">
        <is>
          <t>Not Listed</t>
        </is>
      </c>
      <c r="Q8" s="43" t="inlineStr">
        <is>
          <t>$3,679</t>
        </is>
      </c>
      <c r="R8" s="43" t="inlineStr">
        <is>
          <t>$4,415</t>
        </is>
      </c>
      <c r="S8" s="43" t="inlineStr">
        <is>
          <t>$1,457</t>
        </is>
      </c>
      <c r="T8" s="43" t="inlineStr">
        <is>
          <t>Not Listed</t>
        </is>
      </c>
      <c r="U8" s="43" t="inlineStr">
        <is>
          <t>96</t>
        </is>
      </c>
      <c r="V8" s="43" t="inlineStr">
        <is>
          <t>1998</t>
        </is>
      </c>
      <c r="W8" s="43" t="inlineStr">
        <is>
          <t>0</t>
        </is>
      </c>
      <c r="X8" s="43" t="inlineStr">
        <is>
          <t>Yes</t>
        </is>
      </c>
      <c r="Y8" s="44" t="inlineStr">
        <is>
          <t>No</t>
        </is>
      </c>
      <c r="Z8" s="56" t="inlineStr">
        <is>
          <t>No</t>
        </is>
      </c>
      <c r="AA8" s="43" t="inlineStr">
        <is>
          <t>No</t>
        </is>
      </c>
      <c r="AB8" s="136" t="inlineStr">
        <is>
          <t>No</t>
        </is>
      </c>
      <c r="AC8" s="136" t="inlineStr">
        <is>
          <t>HIGH</t>
        </is>
      </c>
      <c r="AD8" s="136" t="inlineStr">
        <is>
          <t>Affordable Comp #1: LIHTC property, 1998 vintage (0 yr diff), 96 units, 9.4 mi from subject. Same income-eligible renter pool.</t>
        </is>
      </c>
      <c r="AE8" s="136" t="inlineStr">
        <is>
          <t>HUD LIHTC Database (huduser.gov)</t>
        </is>
      </c>
      <c r="AF8" s="136" t="n"/>
      <c r="AG8" s="136" t="n"/>
      <c r="AH8" s="136" t="n"/>
      <c r="AI8" s="136" t="n"/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Bentley Apts</t>
        </is>
      </c>
      <c r="D9" s="125" t="inlineStr">
        <is>
          <t>6760 Rasberry Ln</t>
        </is>
      </c>
      <c r="E9" s="125" t="inlineStr">
        <is>
          <t>Shreveport</t>
        </is>
      </c>
      <c r="F9" s="125" t="inlineStr">
        <is>
          <t>LA</t>
        </is>
      </c>
      <c r="G9" s="125" t="inlineStr">
        <is>
          <t>71129</t>
        </is>
      </c>
      <c r="H9" s="125" t="inlineStr">
        <is>
          <t>8.2 mi</t>
        </is>
      </c>
      <c r="I9" s="125" t="inlineStr">
        <is>
          <t>$2,554</t>
        </is>
      </c>
      <c r="J9" s="125" t="inlineStr">
        <is>
          <t>$3,065</t>
        </is>
      </c>
      <c r="K9" s="85" t="inlineStr">
        <is>
          <t>$736</t>
        </is>
      </c>
      <c r="L9" s="86" t="inlineStr">
        <is>
          <t>Not Listed</t>
        </is>
      </c>
      <c r="M9" s="128" t="inlineStr">
        <is>
          <t>$3,066</t>
        </is>
      </c>
      <c r="N9" s="128" t="inlineStr">
        <is>
          <t>$3,680</t>
        </is>
      </c>
      <c r="O9" s="85" t="inlineStr">
        <is>
          <t>$1,008</t>
        </is>
      </c>
      <c r="P9" s="86" t="inlineStr">
        <is>
          <t>$620</t>
        </is>
      </c>
      <c r="Q9" s="128" t="inlineStr">
        <is>
          <t>$3,679</t>
        </is>
      </c>
      <c r="R9" s="128" t="inlineStr">
        <is>
          <t>$4,415</t>
        </is>
      </c>
      <c r="S9" s="128" t="inlineStr">
        <is>
          <t>$1,457</t>
        </is>
      </c>
      <c r="T9" s="128" t="inlineStr">
        <is>
          <t>Not Listed</t>
        </is>
      </c>
      <c r="U9" s="128" t="inlineStr">
        <is>
          <t>84</t>
        </is>
      </c>
      <c r="V9" s="128" t="inlineStr">
        <is>
          <t>1998</t>
        </is>
      </c>
      <c r="W9" s="128" t="inlineStr">
        <is>
          <t>0</t>
        </is>
      </c>
      <c r="X9" s="128" t="inlineStr">
        <is>
          <t>Yes</t>
        </is>
      </c>
      <c r="Y9" s="129" t="inlineStr">
        <is>
          <t>No</t>
        </is>
      </c>
      <c r="Z9" s="130" t="inlineStr">
        <is>
          <t>No</t>
        </is>
      </c>
      <c r="AA9" s="128" t="inlineStr">
        <is>
          <t>No</t>
        </is>
      </c>
      <c r="AB9" s="136" t="inlineStr">
        <is>
          <t>No</t>
        </is>
      </c>
      <c r="AC9" s="136" t="inlineStr">
        <is>
          <t>HIGH</t>
        </is>
      </c>
      <c r="AD9" s="136" t="inlineStr">
        <is>
          <t>Affordable Comp #2: LIHTC property, 1998 vintage (0 yr diff), 84 units, 8.2 mi from subject. Same income-eligible renter pool.</t>
        </is>
      </c>
      <c r="AE9" s="136" t="inlineStr">
        <is>
          <t>HUD LIHTC Database (huduser.gov)</t>
        </is>
      </c>
      <c r="AF9" s="136" t="n"/>
      <c r="AG9" s="136" t="n"/>
      <c r="AH9" s="136" t="n"/>
      <c r="AI9" s="136" t="n"/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New Zion Apartments</t>
        </is>
      </c>
      <c r="D10" s="107" t="inlineStr">
        <is>
          <t>4345 Illinois Ave</t>
        </is>
      </c>
      <c r="E10" s="107" t="inlineStr">
        <is>
          <t>Shreveport</t>
        </is>
      </c>
      <c r="F10" s="107" t="inlineStr">
        <is>
          <t>LA</t>
        </is>
      </c>
      <c r="G10" s="107" t="inlineStr">
        <is>
          <t>71109-0000</t>
        </is>
      </c>
      <c r="H10" s="107" t="inlineStr">
        <is>
          <t>5.8 mi</t>
        </is>
      </c>
      <c r="I10" s="107" t="inlineStr">
        <is>
          <t>$2,554</t>
        </is>
      </c>
      <c r="J10" s="107" t="inlineStr">
        <is>
          <t>$3,065</t>
        </is>
      </c>
      <c r="K10" s="80" t="inlineStr">
        <is>
          <t>$736</t>
        </is>
      </c>
      <c r="L10" s="81" t="inlineStr">
        <is>
          <t>Not Listed</t>
        </is>
      </c>
      <c r="M10" s="108" t="inlineStr">
        <is>
          <t>$3,066</t>
        </is>
      </c>
      <c r="N10" s="108" t="inlineStr">
        <is>
          <t>$3,680</t>
        </is>
      </c>
      <c r="O10" s="80" t="inlineStr">
        <is>
          <t>$1,008</t>
        </is>
      </c>
      <c r="P10" s="81" t="inlineStr">
        <is>
          <t>Not Listed</t>
        </is>
      </c>
      <c r="Q10" s="108" t="inlineStr">
        <is>
          <t>$3,679</t>
        </is>
      </c>
      <c r="R10" s="108" t="inlineStr">
        <is>
          <t>$4,415</t>
        </is>
      </c>
      <c r="S10" s="108" t="inlineStr">
        <is>
          <t>$1,457</t>
        </is>
      </c>
      <c r="T10" s="108" t="inlineStr">
        <is>
          <t>Not Listed</t>
        </is>
      </c>
      <c r="U10" s="108" t="inlineStr">
        <is>
          <t>100</t>
        </is>
      </c>
      <c r="V10" s="108" t="inlineStr">
        <is>
          <t>1997</t>
        </is>
      </c>
      <c r="W10" s="108" t="inlineStr">
        <is>
          <t>1</t>
        </is>
      </c>
      <c r="X10" s="108" t="inlineStr">
        <is>
          <t>Yes</t>
        </is>
      </c>
      <c r="Y10" s="109" t="inlineStr">
        <is>
          <t>No</t>
        </is>
      </c>
      <c r="Z10" s="110" t="inlineStr">
        <is>
          <t>No</t>
        </is>
      </c>
      <c r="AA10" s="111" t="inlineStr">
        <is>
          <t>No</t>
        </is>
      </c>
      <c r="AB10" s="134" t="inlineStr">
        <is>
          <t>No</t>
        </is>
      </c>
      <c r="AC10" s="136" t="inlineStr">
        <is>
          <t>HIGH</t>
        </is>
      </c>
      <c r="AD10" s="136" t="inlineStr">
        <is>
          <t>Affordable Comp #3: LIHTC property, 1997 vintage (1 yr diff), 100 units, 5.8 mi from subject. Same income-eligible renter pool.</t>
        </is>
      </c>
      <c r="AE10" s="136" t="inlineStr">
        <is>
          <t>HUD LIHTC Database (huduser.gov)</t>
        </is>
      </c>
      <c r="AF10" s="136" t="n"/>
      <c r="AG10" s="136" t="n"/>
      <c r="AH10" s="136" t="n"/>
      <c r="AI10" s="136" t="n"/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Macadoo Sro</t>
        </is>
      </c>
      <c r="D11" s="95" t="inlineStr">
        <is>
          <t>1002 Texas Ave</t>
        </is>
      </c>
      <c r="E11" s="95" t="inlineStr">
        <is>
          <t>Shreveport</t>
        </is>
      </c>
      <c r="F11" s="95" t="inlineStr">
        <is>
          <t>LA</t>
        </is>
      </c>
      <c r="G11" s="95" t="inlineStr">
        <is>
          <t>71101-0000</t>
        </is>
      </c>
      <c r="H11" s="95" t="inlineStr">
        <is>
          <t>1.4 mi</t>
        </is>
      </c>
      <c r="I11" s="95" t="inlineStr">
        <is>
          <t>$2,554</t>
        </is>
      </c>
      <c r="J11" s="95" t="inlineStr">
        <is>
          <t>$3,065</t>
        </is>
      </c>
      <c r="K11" s="39" t="inlineStr">
        <is>
          <t>$736</t>
        </is>
      </c>
      <c r="L11" s="53" t="inlineStr">
        <is>
          <t>Not Listed</t>
        </is>
      </c>
      <c r="M11" s="96" t="inlineStr">
        <is>
          <t>$3,066</t>
        </is>
      </c>
      <c r="N11" s="96" t="inlineStr">
        <is>
          <t>$3,680</t>
        </is>
      </c>
      <c r="O11" s="39" t="inlineStr">
        <is>
          <t>$1,008</t>
        </is>
      </c>
      <c r="P11" s="53" t="inlineStr">
        <is>
          <t>Not Listed</t>
        </is>
      </c>
      <c r="Q11" s="96" t="inlineStr">
        <is>
          <t>$3,679</t>
        </is>
      </c>
      <c r="R11" s="96" t="inlineStr">
        <is>
          <t>$4,415</t>
        </is>
      </c>
      <c r="S11" s="96" t="inlineStr">
        <is>
          <t>$1,457</t>
        </is>
      </c>
      <c r="T11" s="96" t="inlineStr">
        <is>
          <t>Not Listed</t>
        </is>
      </c>
      <c r="U11" s="96" t="inlineStr">
        <is>
          <t>45</t>
        </is>
      </c>
      <c r="V11" s="96" t="inlineStr">
        <is>
          <t>1998</t>
        </is>
      </c>
      <c r="W11" s="96" t="inlineStr">
        <is>
          <t>0</t>
        </is>
      </c>
      <c r="X11" s="96" t="inlineStr">
        <is>
          <t>Yes</t>
        </is>
      </c>
      <c r="Y11" s="45" t="inlineStr">
        <is>
          <t>No</t>
        </is>
      </c>
      <c r="Z11" s="97" t="inlineStr">
        <is>
          <t>No</t>
        </is>
      </c>
      <c r="AA11" s="113" t="inlineStr">
        <is>
          <t>No</t>
        </is>
      </c>
      <c r="AB11" s="134" t="inlineStr">
        <is>
          <t>No</t>
        </is>
      </c>
      <c r="AC11" s="136" t="inlineStr">
        <is>
          <t>HIGH</t>
        </is>
      </c>
      <c r="AD11" s="136" t="inlineStr">
        <is>
          <t>Affordable Comp #4: LIHTC property, 1998 vintage (0 yr diff), 45 units, 1.4 mi from subject. Same income-eligible renter pool.</t>
        </is>
      </c>
      <c r="AE11" s="136" t="inlineStr">
        <is>
          <t>HUD LIHTC Database (huduser.gov)</t>
        </is>
      </c>
      <c r="AF11" s="136" t="n"/>
      <c r="AG11" s="136" t="n"/>
      <c r="AH11" s="136" t="n"/>
      <c r="AI11" s="136" t="n"/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37.5" customHeight="1" s="131">
      <c r="A12" s="114" t="n">
        <v>1</v>
      </c>
      <c r="B12" s="70" t="inlineStr">
        <is>
          <t>MARKET RATE</t>
        </is>
      </c>
      <c r="C12" s="67" t="inlineStr">
        <is>
          <t>The Corridor Apartments</t>
        </is>
      </c>
      <c r="D12" s="98" t="inlineStr">
        <is>
          <t>4360 Roy Rd</t>
        </is>
      </c>
      <c r="E12" s="98" t="inlineStr">
        <is>
          <t>Shreveport</t>
        </is>
      </c>
      <c r="F12" s="98" t="inlineStr">
        <is>
          <t>LA</t>
        </is>
      </c>
      <c r="G12" s="98" t="inlineStr">
        <is>
          <t>71107</t>
        </is>
      </c>
      <c r="H12" s="98" t="inlineStr">
        <is>
          <t>1.0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N/A (Market Rate)</t>
        </is>
      </c>
      <c r="L12" s="157" t="n">
        <v>1180</v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$1,008</t>
        </is>
      </c>
      <c r="P12" s="53" t="inlineStr">
        <is>
          <t>$1,050</t>
        </is>
      </c>
      <c r="Q12" s="99" t="inlineStr">
        <is>
          <t>N/A (Market Rate)</t>
        </is>
      </c>
      <c r="R12" s="99" t="inlineStr">
        <is>
          <t>N/A (Market Rate)</t>
        </is>
      </c>
      <c r="S12" s="99" t="inlineStr">
        <is>
          <t>$1,457</t>
        </is>
      </c>
      <c r="T12" s="99" t="inlineStr">
        <is>
          <t>Not Listed</t>
        </is>
      </c>
      <c r="U12" s="99" t="inlineStr">
        <is>
          <t>200</t>
        </is>
      </c>
      <c r="V12" s="99" t="inlineStr">
        <is>
          <t>1999</t>
        </is>
      </c>
      <c r="W12" s="99" t="inlineStr">
        <is>
          <t>1</t>
        </is>
      </c>
      <c r="X12" s="99" t="inlineStr">
        <is>
          <t>Varies</t>
        </is>
      </c>
      <c r="Y12" s="46" t="inlineStr">
        <is>
          <t>Varies</t>
        </is>
      </c>
      <c r="Z12" s="100" t="inlineStr">
        <is>
          <t>Varies</t>
        </is>
      </c>
      <c r="AA12" s="115" t="inlineStr">
        <is>
          <t>Varies</t>
        </is>
      </c>
      <c r="AB12" s="134" t="inlineStr">
        <is>
          <t>Varies</t>
        </is>
      </c>
      <c r="AC12" s="136" t="inlineStr">
        <is>
          <t>HIGH</t>
        </is>
      </c>
      <c r="AD12" s="136" t="inlineStr">
        <is>
          <t>Market Rate Comp #1: No income restrictions, 1999 vintage (1 yr diff), 200 units, 4.5 mi from subject. Shows market-rate rents vs. affordable housing discount.</t>
        </is>
      </c>
      <c r="AE12" s="136" t="inlineStr">
        <is>
          <t>https://www.rentcafe.com/apartments-for-rent/us/la/shreveport/the-arbors-at-shreveport/</t>
        </is>
      </c>
      <c r="AF12" s="136" t="n"/>
      <c r="AG12" s="136" t="n"/>
      <c r="AH12" s="136" t="n"/>
      <c r="AI12" s="136" t="n"/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n">
        <v>2</v>
      </c>
      <c r="B13" s="71" t="inlineStr">
        <is>
          <t>MARKET RATE</t>
        </is>
      </c>
      <c r="C13" s="68" t="inlineStr">
        <is>
          <t>Grand Oaks Apartment Homes</t>
        </is>
      </c>
      <c r="D13" s="101" t="inlineStr">
        <is>
          <t>1601 N Forty Loop</t>
        </is>
      </c>
      <c r="E13" s="101" t="inlineStr">
        <is>
          <t>Shreveport</t>
        </is>
      </c>
      <c r="F13" s="101" t="inlineStr">
        <is>
          <t>LA</t>
        </is>
      </c>
      <c r="G13" s="101" t="inlineStr">
        <is>
          <t>71107</t>
        </is>
      </c>
      <c r="H13" s="101" t="inlineStr">
        <is>
          <t>1.5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$736</t>
        </is>
      </c>
      <c r="L13" s="53" t="inlineStr">
        <is>
          <t>Not Listed</t>
        </is>
      </c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N/A (Market Rate)</t>
        </is>
      </c>
      <c r="P13" s="157" t="n">
        <v>795</v>
      </c>
      <c r="Q13" s="102" t="inlineStr">
        <is>
          <t>N/A (Market Rate)</t>
        </is>
      </c>
      <c r="R13" s="102" t="inlineStr">
        <is>
          <t>N/A (Market Rate)</t>
        </is>
      </c>
      <c r="S13" s="102" t="inlineStr">
        <is>
          <t>$1,457</t>
        </is>
      </c>
      <c r="T13" s="102" t="inlineStr">
        <is>
          <t>Not Listed</t>
        </is>
      </c>
      <c r="U13" s="102" t="inlineStr">
        <is>
          <t>160</t>
        </is>
      </c>
      <c r="V13" s="102" t="inlineStr">
        <is>
          <t>2000</t>
        </is>
      </c>
      <c r="W13" s="102" t="inlineStr">
        <is>
          <t>2</t>
        </is>
      </c>
      <c r="X13" s="102" t="inlineStr">
        <is>
          <t>Varies</t>
        </is>
      </c>
      <c r="Y13" s="47" t="inlineStr">
        <is>
          <t>Varies</t>
        </is>
      </c>
      <c r="Z13" s="103" t="inlineStr">
        <is>
          <t>Varies</t>
        </is>
      </c>
      <c r="AA13" s="117" t="inlineStr">
        <is>
          <t>Varies</t>
        </is>
      </c>
      <c r="AB13" s="134" t="inlineStr">
        <is>
          <t>Varies</t>
        </is>
      </c>
      <c r="AC13" s="136" t="inlineStr">
        <is>
          <t>HIGH</t>
        </is>
      </c>
      <c r="AD13" s="136" t="inlineStr">
        <is>
          <t>Market Rate Comp #2: No income restrictions, 2000 vintage (2 yr diff), 160 units, 6.2 mi from subject. Shows market-rate rents vs. affordable housing discount.</t>
        </is>
      </c>
      <c r="AE13" s="136" t="inlineStr">
        <is>
          <t>https://www.rentcafe.com/apartments-for-rent/us/la/shreveport/</t>
        </is>
      </c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n">
        <v>3</v>
      </c>
      <c r="B14" s="69" t="inlineStr">
        <is>
          <t>MARKET RATE</t>
        </is>
      </c>
      <c r="C14" s="66" t="inlineStr">
        <is>
          <t>Windsor Housing</t>
        </is>
      </c>
      <c r="D14" s="95" t="inlineStr">
        <is>
          <t>2020 N Hearne Ave</t>
        </is>
      </c>
      <c r="E14" s="95" t="inlineStr">
        <is>
          <t>Shreveport</t>
        </is>
      </c>
      <c r="F14" s="95" t="inlineStr">
        <is>
          <t>LA</t>
        </is>
      </c>
      <c r="G14" s="95" t="inlineStr">
        <is>
          <t>71107</t>
        </is>
      </c>
      <c r="H14" s="95" t="inlineStr">
        <is>
          <t>0.3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N/A (Market Rate)</t>
        </is>
      </c>
      <c r="L14" s="157" t="n">
        <v>702</v>
      </c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N/A (Market Rate)</t>
        </is>
      </c>
      <c r="P14" s="157" t="n">
        <v>834</v>
      </c>
      <c r="Q14" s="96" t="inlineStr">
        <is>
          <t>N/A (Market Rate)</t>
        </is>
      </c>
      <c r="R14" s="96" t="inlineStr">
        <is>
          <t>N/A (Market Rate)</t>
        </is>
      </c>
      <c r="S14" s="96" t="inlineStr">
        <is>
          <t>N/A (Market Rate)</t>
        </is>
      </c>
      <c r="T14" s="164" t="n">
        <v>1054</v>
      </c>
      <c r="U14" s="96" t="inlineStr">
        <is>
          <t>120</t>
        </is>
      </c>
      <c r="V14" s="96" t="inlineStr">
        <is>
          <t>1997</t>
        </is>
      </c>
      <c r="W14" s="96" t="inlineStr">
        <is>
          <t>1</t>
        </is>
      </c>
      <c r="X14" s="96" t="inlineStr">
        <is>
          <t>Varies</t>
        </is>
      </c>
      <c r="Y14" s="45" t="inlineStr">
        <is>
          <t>Varies</t>
        </is>
      </c>
      <c r="Z14" s="97" t="inlineStr">
        <is>
          <t>Varies</t>
        </is>
      </c>
      <c r="AA14" s="113" t="inlineStr">
        <is>
          <t>Varies</t>
        </is>
      </c>
      <c r="AB14" s="134" t="inlineStr">
        <is>
          <t>Varies</t>
        </is>
      </c>
      <c r="AC14" s="136" t="inlineStr">
        <is>
          <t>HIGH</t>
        </is>
      </c>
      <c r="AD14" s="136" t="inlineStr">
        <is>
          <t>Market Rate Comp #3: No income restrictions, 1997 vintage (1 yr diff), 120 units, 8.0 mi from subject. Shows market-rate rents vs. affordable housing discount.</t>
        </is>
      </c>
      <c r="AE14" s="136" t="inlineStr">
        <is>
          <t>https://www.rentcafe.com/apartments-for-rent/us/la/bossier-city/</t>
        </is>
      </c>
      <c r="AF14" s="136" t="n"/>
      <c r="AG14" s="136" t="n"/>
      <c r="AH14" s="136" t="n"/>
      <c r="AI14" s="136" t="n"/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n">
        <v>4</v>
      </c>
      <c r="B15" s="69" t="inlineStr">
        <is>
          <t>MARKET RATE</t>
        </is>
      </c>
      <c r="C15" s="66" t="inlineStr">
        <is>
          <t>964 Winter Garden Dr</t>
        </is>
      </c>
      <c r="D15" s="95" t="inlineStr">
        <is>
          <t>964 Winter Garden Dr</t>
        </is>
      </c>
      <c r="E15" s="95" t="inlineStr">
        <is>
          <t>Shreveport</t>
        </is>
      </c>
      <c r="F15" s="95" t="inlineStr">
        <is>
          <t>LA</t>
        </is>
      </c>
      <c r="G15" s="95" t="inlineStr">
        <is>
          <t>71107</t>
        </is>
      </c>
      <c r="H15" s="95" t="inlineStr">
        <is>
          <t>0.8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$736</t>
        </is>
      </c>
      <c r="L15" s="53" t="inlineStr">
        <is>
          <t>Not Listed</t>
        </is>
      </c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N/A (Market Rate)</t>
        </is>
      </c>
      <c r="P15" s="157" t="n">
        <v>1100</v>
      </c>
      <c r="Q15" s="96" t="inlineStr">
        <is>
          <t>N/A (Market Rate)</t>
        </is>
      </c>
      <c r="R15" s="96" t="inlineStr">
        <is>
          <t>N/A (Market Rate)</t>
        </is>
      </c>
      <c r="S15" s="96" t="inlineStr">
        <is>
          <t>$1,457</t>
        </is>
      </c>
      <c r="T15" s="96" t="inlineStr">
        <is>
          <t>Not Listed</t>
        </is>
      </c>
      <c r="U15" s="96" t="inlineStr">
        <is>
          <t>96</t>
        </is>
      </c>
      <c r="V15" s="96" t="inlineStr">
        <is>
          <t>1997</t>
        </is>
      </c>
      <c r="W15" s="96" t="inlineStr">
        <is>
          <t>1</t>
        </is>
      </c>
      <c r="X15" s="96" t="inlineStr">
        <is>
          <t>Varies</t>
        </is>
      </c>
      <c r="Y15" s="45" t="inlineStr">
        <is>
          <t>Varies</t>
        </is>
      </c>
      <c r="Z15" s="97" t="inlineStr">
        <is>
          <t>Varies</t>
        </is>
      </c>
      <c r="AA15" s="113" t="inlineStr">
        <is>
          <t>Varies</t>
        </is>
      </c>
      <c r="AB15" s="134" t="inlineStr">
        <is>
          <t>Varies</t>
        </is>
      </c>
      <c r="AC15" s="136" t="inlineStr">
        <is>
          <t>HIGH</t>
        </is>
      </c>
      <c r="AD15" s="136" t="inlineStr">
        <is>
          <t>Market Rate Comp #4: No income restrictions, 1997 vintage (1 yr diff), 96 units, 5.8 mi from subject. Shows market-rate rents vs. affordable housing discount.</t>
        </is>
      </c>
      <c r="AE15" s="136" t="inlineStr">
        <is>
          <t>https://www.rentcafe.com/apartments-for-rent/us/la/shreveport/</t>
        </is>
      </c>
      <c r="AF15" s="136" t="n"/>
      <c r="AG15" s="136" t="n"/>
      <c r="AH15" s="136" t="n"/>
      <c r="AI15" s="136" t="n"/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n">
        <v>5</v>
      </c>
      <c r="B16" s="82" t="inlineStr">
        <is>
          <t>MARKET RATE</t>
        </is>
      </c>
      <c r="C16" s="119" t="inlineStr">
        <is>
          <t>3114 Timberlane Dr</t>
        </is>
      </c>
      <c r="D16" s="120" t="inlineStr">
        <is>
          <t>3114 Timberlane Dr</t>
        </is>
      </c>
      <c r="E16" s="120" t="inlineStr">
        <is>
          <t>Shreveport</t>
        </is>
      </c>
      <c r="F16" s="120" t="inlineStr">
        <is>
          <t>LA</t>
        </is>
      </c>
      <c r="G16" s="120" t="inlineStr">
        <is>
          <t>71107</t>
        </is>
      </c>
      <c r="H16" s="120" t="inlineStr">
        <is>
          <t>1.2 mi</t>
        </is>
      </c>
      <c r="I16" s="120" t="inlineStr">
        <is>
          <t>$736</t>
        </is>
      </c>
      <c r="J16" s="120" t="inlineStr">
        <is>
          <t>$736</t>
        </is>
      </c>
      <c r="K16" s="121" t="inlineStr">
        <is>
          <t>$736</t>
        </is>
      </c>
      <c r="L16" s="83" t="inlineStr">
        <is>
          <t>N/A</t>
        </is>
      </c>
      <c r="M16" s="122" t="inlineStr">
        <is>
          <t>$1,008</t>
        </is>
      </c>
      <c r="N16" s="122" t="inlineStr">
        <is>
          <t>$1,008</t>
        </is>
      </c>
      <c r="O16" s="121" t="inlineStr">
        <is>
          <t>$1,008</t>
        </is>
      </c>
      <c r="P16" s="83" t="inlineStr">
        <is>
          <t>N/A</t>
        </is>
      </c>
      <c r="Q16" s="122" t="inlineStr">
        <is>
          <t>N/A (Market Rate)</t>
        </is>
      </c>
      <c r="R16" s="122" t="inlineStr">
        <is>
          <t>N/A (Market Rate)</t>
        </is>
      </c>
      <c r="S16" s="122" t="inlineStr">
        <is>
          <t>N/A (Market Rate)</t>
        </is>
      </c>
      <c r="T16" s="160" t="n">
        <v>2000</v>
      </c>
      <c r="U16" s="122" t="inlineStr">
        <is>
          <t>N/A</t>
        </is>
      </c>
      <c r="V16" s="122" t="inlineStr">
        <is>
          <t>N/A</t>
        </is>
      </c>
      <c r="W16" s="122" t="inlineStr">
        <is>
          <t>N/A</t>
        </is>
      </c>
      <c r="X16" s="122" t="inlineStr">
        <is>
          <t>N/A</t>
        </is>
      </c>
      <c r="Y16" s="84" t="inlineStr">
        <is>
          <t>N/A</t>
        </is>
      </c>
      <c r="Z16" s="123" t="inlineStr">
        <is>
          <t>N/A</t>
        </is>
      </c>
      <c r="AA16" s="124" t="inlineStr">
        <is>
          <t>N/A</t>
        </is>
      </c>
      <c r="AB16" s="134" t="inlineStr">
        <is>
          <t>N/A</t>
        </is>
      </c>
      <c r="AC16" s="136" t="inlineStr">
        <is>
          <t>BENCHMARK</t>
        </is>
      </c>
      <c r="AD16" s="136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136" t="inlineStr">
        <is>
          <t>HUD FMR Database (huduser.gov)</t>
        </is>
      </c>
      <c r="AF16" s="136" t="n"/>
      <c r="AG16" s="136" t="n"/>
      <c r="AH16" s="136" t="n"/>
      <c r="AI16" s="136" t="n"/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n">
        <v>6</v>
      </c>
      <c r="B17" s="88" t="inlineStr">
        <is>
          <t>MARKET RATE</t>
        </is>
      </c>
      <c r="C17" s="89" t="inlineStr">
        <is>
          <t>775 Highland Square Dr</t>
        </is>
      </c>
      <c r="D17" s="87" t="inlineStr">
        <is>
          <t>775 Highland Square Dr</t>
        </is>
      </c>
      <c r="E17" s="87" t="inlineStr">
        <is>
          <t>Shreveport</t>
        </is>
      </c>
      <c r="F17" s="87" t="inlineStr">
        <is>
          <t>LA</t>
        </is>
      </c>
      <c r="G17" s="87" t="inlineStr">
        <is>
          <t>71107</t>
        </is>
      </c>
      <c r="H17" s="87" t="inlineStr">
        <is>
          <t>0.9 mi</t>
        </is>
      </c>
      <c r="I17" s="87" t="inlineStr">
        <is>
          <t>$809</t>
        </is>
      </c>
      <c r="J17" s="87" t="inlineStr">
        <is>
          <t>$809</t>
        </is>
      </c>
      <c r="K17" s="90" t="inlineStr">
        <is>
          <t>$809</t>
        </is>
      </c>
      <c r="L17" s="91" t="inlineStr">
        <is>
          <t>N/A</t>
        </is>
      </c>
      <c r="M17" s="92" t="inlineStr">
        <is>
          <t>N/A (Market Rate)</t>
        </is>
      </c>
      <c r="N17" s="92" t="inlineStr">
        <is>
          <t>N/A (Market Rate)</t>
        </is>
      </c>
      <c r="O17" s="90" t="inlineStr">
        <is>
          <t>N/A (Market Rate)</t>
        </is>
      </c>
      <c r="P17" s="161" t="n">
        <v>1225</v>
      </c>
      <c r="Q17" s="92" t="inlineStr">
        <is>
          <t>$1,602</t>
        </is>
      </c>
      <c r="R17" s="92" t="inlineStr">
        <is>
          <t>$1,602</t>
        </is>
      </c>
      <c r="S17" s="92" t="inlineStr">
        <is>
          <t>$1,602</t>
        </is>
      </c>
      <c r="T17" s="92" t="inlineStr">
        <is>
          <t>N/A</t>
        </is>
      </c>
      <c r="U17" s="92" t="inlineStr">
        <is>
          <t>N/A</t>
        </is>
      </c>
      <c r="V17" s="92" t="inlineStr">
        <is>
          <t>N/A</t>
        </is>
      </c>
      <c r="W17" s="92" t="inlineStr">
        <is>
          <t>N/A</t>
        </is>
      </c>
      <c r="X17" s="92" t="inlineStr">
        <is>
          <t>N/A</t>
        </is>
      </c>
      <c r="Y17" s="93" t="inlineStr">
        <is>
          <t>N/A</t>
        </is>
      </c>
      <c r="Z17" s="94" t="inlineStr">
        <is>
          <t>N/A</t>
        </is>
      </c>
      <c r="AA17" s="92" t="inlineStr">
        <is>
          <t>N/A</t>
        </is>
      </c>
      <c r="AB17" s="136" t="inlineStr">
        <is>
          <t>N/A</t>
        </is>
      </c>
      <c r="AC17" s="136" t="inlineStr">
        <is>
          <t>BENCHMARK</t>
        </is>
      </c>
      <c r="AD17" s="136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136" t="inlineStr">
        <is>
          <t>HUD FMR + Market Estimate</t>
        </is>
      </c>
      <c r="AF17" s="136" t="n"/>
      <c r="AG17" s="136" t="n"/>
      <c r="AH17" s="136" t="n"/>
      <c r="AI17" s="136" t="n"/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F19" s="136" t="n"/>
      <c r="AG19" s="136" t="n"/>
      <c r="AH19" s="136" t="n"/>
      <c r="AI19" s="136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Height="1" s="131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Format="1" customHeight="1" s="2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Format="1" customHeight="1" s="2">
      <c r="A25" s="372" t="n"/>
      <c r="B25" s="201" t="inlineStr">
        <is>
          <t>1BD</t>
        </is>
      </c>
      <c r="C25" s="194" t="n"/>
      <c r="D25" s="200" t="n">
        <v>941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Format="1" customHeight="1" s="2">
      <c r="A26" s="372" t="n"/>
      <c r="B26" s="201" t="inlineStr">
        <is>
          <t>2BD</t>
        </is>
      </c>
      <c r="C26" s="194" t="n"/>
      <c r="D26" s="200" t="n">
        <v>1001</v>
      </c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24.75" customHeight="1" s="131">
      <c r="A27" s="369" t="n"/>
      <c r="B27" s="201" t="inlineStr">
        <is>
          <t>4BD</t>
        </is>
      </c>
      <c r="C27" s="194" t="n"/>
      <c r="D27" s="200" t="n">
        <v>1527</v>
      </c>
      <c r="E27" s="195" t="n"/>
      <c r="F27" s="183" t="n"/>
      <c r="G27" s="183" t="n"/>
      <c r="H27" s="183" t="n"/>
      <c r="I27" s="183" t="n"/>
      <c r="J27" s="183" t="n"/>
      <c r="K27" s="302" t="n"/>
      <c r="L27" s="302" t="n"/>
      <c r="M27" s="302" t="n"/>
      <c r="N27" s="302" t="n"/>
      <c r="O27" s="343" t="n"/>
      <c r="P27" s="302" t="n"/>
      <c r="Q27" s="302" t="n"/>
      <c r="R27" s="302" t="n"/>
      <c r="S27" s="302" t="n"/>
      <c r="T27" s="302" t="n"/>
      <c r="U27" s="302" t="n"/>
      <c r="V27" s="302" t="n"/>
      <c r="W27" s="302" t="n"/>
      <c r="X27" s="302" t="n"/>
      <c r="Y27" s="302" t="n"/>
      <c r="Z27" s="302" t="n"/>
      <c r="AA27" s="353" t="n"/>
      <c r="AB27" s="302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8.1" customHeight="1" s="131">
      <c r="A28" s="382" t="n"/>
      <c r="B28" s="404" t="n"/>
      <c r="C28" s="454" t="n"/>
      <c r="D28" s="404" t="n"/>
      <c r="E28" s="404" t="n"/>
      <c r="F28" s="382" t="n"/>
      <c r="G28" s="369" t="n"/>
      <c r="H28" s="369" t="n"/>
      <c r="I28" s="369" t="n"/>
      <c r="J28" s="369" t="n"/>
      <c r="K28" s="369" t="n"/>
      <c r="L28" s="134" t="n"/>
      <c r="M28" s="134" t="n"/>
      <c r="N28" s="134" t="n"/>
      <c r="O28" s="134" t="n"/>
      <c r="P28" s="134" t="n"/>
      <c r="Q28" s="134" t="n"/>
      <c r="R28" s="134" t="n"/>
      <c r="S28" s="134" t="n"/>
      <c r="T28" s="134" t="n"/>
      <c r="U28" s="134" t="n"/>
      <c r="V28" s="134" t="n"/>
      <c r="W28" s="134" t="n"/>
      <c r="X28" s="134" t="n"/>
      <c r="Y28" s="134" t="n"/>
      <c r="Z28" s="135" t="n"/>
      <c r="AA28" s="134" t="n"/>
      <c r="AB28" s="134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24.75" customFormat="1" customHeight="1" s="2">
      <c r="A29" s="302" t="n"/>
      <c r="B29" s="211" t="inlineStr">
        <is>
          <t>PMTS — Vouchers / FMR / UAP / NET</t>
        </is>
      </c>
      <c r="G29" s="365" t="n"/>
      <c r="H29" s="183" t="n"/>
      <c r="I29" s="183" t="n"/>
      <c r="J29" s="183" t="n"/>
      <c r="K29" s="302" t="n"/>
      <c r="L29" s="302" t="n"/>
      <c r="M29" s="302" t="n"/>
      <c r="N29" s="302" t="n"/>
      <c r="O29" s="302" t="n"/>
      <c r="P29" s="302" t="n"/>
      <c r="Q29" s="302" t="n"/>
      <c r="R29" s="302" t="n"/>
      <c r="S29" s="302" t="n"/>
      <c r="T29" s="302" t="n"/>
      <c r="U29" s="302" t="n"/>
      <c r="V29" s="302" t="n"/>
      <c r="W29" s="302" t="n"/>
      <c r="X29" s="302" t="n"/>
      <c r="Y29" s="302" t="n"/>
      <c r="Z29" s="302" t="n"/>
      <c r="AA29" s="353" t="n"/>
      <c r="AB29" s="302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15.95" customFormat="1" customHeight="1" s="2">
      <c r="A30" s="302" t="n"/>
      <c r="B30" s="226" t="n"/>
      <c r="C30" s="213" t="inlineStr">
        <is>
          <t>MKT</t>
        </is>
      </c>
      <c r="D30" s="213" t="inlineStr">
        <is>
          <t>VCH</t>
        </is>
      </c>
      <c r="E30" s="214" t="inlineStr">
        <is>
          <t>FMR</t>
        </is>
      </c>
      <c r="F30" s="215" t="inlineStr">
        <is>
          <t>UAP</t>
        </is>
      </c>
      <c r="G30" s="216" t="inlineStr">
        <is>
          <t>NET</t>
        </is>
      </c>
      <c r="H30" s="183" t="n"/>
      <c r="I30" s="183" t="n"/>
      <c r="J30" s="183" t="n"/>
      <c r="K30" s="302" t="n"/>
      <c r="L30" s="302" t="n"/>
      <c r="M30" s="302" t="n"/>
      <c r="N30" s="302" t="n"/>
      <c r="O30" s="302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24.75" customFormat="1" customHeight="1" s="2">
      <c r="A31" s="372" t="n"/>
      <c r="B31" s="217" t="inlineStr">
        <is>
          <t>1BD</t>
        </is>
      </c>
      <c r="C31" s="197" t="n">
        <v>0</v>
      </c>
      <c r="D31" s="197" t="n">
        <v>875</v>
      </c>
      <c r="E31" s="198" t="n">
        <v>860</v>
      </c>
      <c r="F31" s="199" t="n">
        <v>76</v>
      </c>
      <c r="G31" s="218" t="n">
        <v>784</v>
      </c>
      <c r="H31" s="183" t="n"/>
      <c r="I31" s="183" t="n"/>
      <c r="J31" s="183" t="n"/>
      <c r="K31" s="302" t="n"/>
      <c r="L31" s="302" t="n"/>
      <c r="M31" s="302" t="n"/>
      <c r="N31" s="302" t="n"/>
      <c r="O31" s="343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24.75" customFormat="1" customHeight="1" s="2">
      <c r="A32" s="369" t="n"/>
      <c r="B32" s="217" t="inlineStr">
        <is>
          <t>2BD</t>
        </is>
      </c>
      <c r="C32" s="197" t="n">
        <v>0</v>
      </c>
      <c r="D32" s="197" t="n">
        <v>1075</v>
      </c>
      <c r="E32" s="198" t="n">
        <v>980</v>
      </c>
      <c r="F32" s="199" t="n">
        <v>102</v>
      </c>
      <c r="G32" s="218" t="n">
        <v>878</v>
      </c>
      <c r="H32" s="183" t="n"/>
      <c r="I32" s="183" t="n"/>
      <c r="J32" s="183" t="n"/>
      <c r="K32" s="302" t="n"/>
      <c r="L32" s="302" t="n"/>
      <c r="M32" s="302" t="n"/>
      <c r="N32" s="302" t="n"/>
      <c r="O32" s="343" t="n"/>
      <c r="P32" s="302" t="n"/>
      <c r="Q32" s="302" t="n"/>
      <c r="R32" s="302" t="n"/>
      <c r="S32" s="302" t="n"/>
      <c r="T32" s="302" t="n"/>
      <c r="U32" s="302" t="n"/>
      <c r="V32" s="302" t="n"/>
      <c r="W32" s="302" t="n"/>
      <c r="X32" s="302" t="n"/>
      <c r="Y32" s="302" t="n"/>
      <c r="Z32" s="302" t="n"/>
      <c r="AA32" s="353" t="n"/>
      <c r="AB32" s="302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24.75" customFormat="1" customHeight="1" s="2">
      <c r="A33" s="382" t="n"/>
      <c r="B33" s="217" t="inlineStr">
        <is>
          <t>4BD</t>
        </is>
      </c>
      <c r="C33" s="197" t="n">
        <v>0</v>
      </c>
      <c r="D33" s="197" t="n">
        <v>1100</v>
      </c>
      <c r="E33" s="198" t="n">
        <v>1340</v>
      </c>
      <c r="F33" s="199" t="n">
        <v>152</v>
      </c>
      <c r="G33" s="218" t="n">
        <v>1188</v>
      </c>
      <c r="H33" s="183" t="n"/>
      <c r="I33" s="183" t="n"/>
      <c r="J33" s="183" t="n"/>
      <c r="K33" s="302" t="n"/>
      <c r="L33" s="302" t="n"/>
      <c r="M33" s="302" t="n"/>
      <c r="N33" s="302" t="n"/>
      <c r="O33" s="343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8.1" customHeight="1" s="131">
      <c r="A34" s="372" t="n"/>
      <c r="B34" s="372" t="n"/>
      <c r="C34" s="372" t="n"/>
      <c r="D34" s="372" t="n"/>
      <c r="E34" s="372" t="n"/>
      <c r="F34" s="369" t="n"/>
      <c r="G34" s="369" t="n"/>
      <c r="H34" s="369" t="n"/>
      <c r="I34" s="369" t="n"/>
      <c r="J34" s="369" t="n"/>
      <c r="K34" s="369" t="n"/>
      <c r="L34" s="136" t="n"/>
      <c r="M34" s="136" t="n"/>
      <c r="N34" s="136" t="n"/>
      <c r="O34" s="136" t="n"/>
      <c r="P34" s="136" t="n"/>
      <c r="Q34" s="136" t="n"/>
      <c r="R34" s="136" t="n"/>
      <c r="S34" s="136" t="n"/>
      <c r="T34" s="136" t="n"/>
      <c r="U34" s="136" t="n"/>
      <c r="V34" s="136" t="n"/>
      <c r="W34" s="136" t="n"/>
      <c r="X34" s="136" t="n"/>
      <c r="Y34" s="136" t="n"/>
      <c r="Z34" s="136" t="n"/>
      <c r="AA34" s="136" t="n"/>
      <c r="AB34" s="136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24.75" customHeight="1" s="131">
      <c r="A35" s="302" t="n"/>
      <c r="B35" s="366" t="inlineStr">
        <is>
          <t>LIHTC, UAP, NET</t>
        </is>
      </c>
      <c r="C35" s="358" t="n"/>
      <c r="D35" s="358" t="n"/>
      <c r="E35" s="358" t="n"/>
      <c r="F35" s="358" t="n"/>
      <c r="G35" s="359" t="n"/>
      <c r="H35" s="183" t="n"/>
      <c r="I35" s="183" t="n"/>
      <c r="J35" s="183" t="n"/>
      <c r="K35" s="302" t="n"/>
      <c r="L35" s="302" t="n"/>
      <c r="M35" s="302" t="n"/>
      <c r="N35" s="302" t="n"/>
      <c r="O35" s="302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16.5" customFormat="1" customHeight="1" s="2">
      <c r="A36" s="369" t="n"/>
      <c r="B36" s="226" t="n"/>
      <c r="C36" s="228" t="inlineStr">
        <is>
          <t>LIHTC/MKT</t>
        </is>
      </c>
      <c r="D36" s="228" t="inlineStr">
        <is>
          <t>60%</t>
        </is>
      </c>
      <c r="E36" s="215" t="inlineStr">
        <is>
          <t>UAP</t>
        </is>
      </c>
      <c r="F36" s="216" t="inlineStr">
        <is>
          <t>NET</t>
        </is>
      </c>
      <c r="G36" s="183" t="n"/>
      <c r="H36" s="183" t="n"/>
      <c r="I36" s="183" t="n"/>
      <c r="J36" s="183" t="n"/>
      <c r="K36" s="302" t="n"/>
      <c r="L36" s="302" t="n"/>
      <c r="M36" s="302" t="n"/>
      <c r="N36" s="302" t="n"/>
      <c r="O36" s="343" t="n"/>
      <c r="P36" s="302" t="n"/>
      <c r="Q36" s="302" t="n"/>
      <c r="R36" s="302" t="n"/>
      <c r="S36" s="302" t="n"/>
      <c r="T36" s="302" t="n"/>
      <c r="U36" s="302" t="n"/>
      <c r="V36" s="302" t="n"/>
      <c r="W36" s="302" t="n"/>
      <c r="X36" s="302" t="n"/>
      <c r="Y36" s="302" t="n"/>
      <c r="Z36" s="302" t="n"/>
      <c r="AA36" s="353" t="n"/>
      <c r="AB36" s="302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24.75" customFormat="1" customHeight="1" s="2">
      <c r="A37" s="369" t="n"/>
      <c r="B37" s="224" t="inlineStr">
        <is>
          <t>1BD</t>
        </is>
      </c>
      <c r="C37" s="225" t="n">
        <v>919</v>
      </c>
      <c r="D37" s="225" t="n">
        <v>702</v>
      </c>
      <c r="E37" s="225" t="n">
        <v>76</v>
      </c>
      <c r="F37" s="223" t="n">
        <v>626</v>
      </c>
      <c r="G37" s="183" t="n"/>
      <c r="H37" s="183" t="n"/>
      <c r="I37" s="183" t="n"/>
      <c r="J37" s="183" t="n"/>
      <c r="K37" s="302" t="n"/>
      <c r="L37" s="302" t="n"/>
      <c r="M37" s="302" t="n"/>
      <c r="N37" s="302" t="n"/>
      <c r="O37" s="343" t="n"/>
      <c r="P37" s="302" t="n"/>
      <c r="Q37" s="302" t="n"/>
      <c r="R37" s="302" t="n"/>
      <c r="S37" s="302" t="n"/>
      <c r="T37" s="302" t="n"/>
      <c r="U37" s="302" t="n"/>
      <c r="V37" s="302" t="n"/>
      <c r="W37" s="302" t="n"/>
      <c r="X37" s="302" t="n"/>
      <c r="Y37" s="302" t="n"/>
      <c r="Z37" s="302" t="n"/>
      <c r="AA37" s="353" t="n"/>
      <c r="AB37" s="302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24.75" customFormat="1" customHeight="1" s="2">
      <c r="A38" s="372" t="n"/>
      <c r="B38" s="224" t="inlineStr">
        <is>
          <t>2BD</t>
        </is>
      </c>
      <c r="C38" s="225" t="n">
        <v>1104</v>
      </c>
      <c r="D38" s="225" t="n">
        <v>834</v>
      </c>
      <c r="E38" s="225" t="n">
        <v>102</v>
      </c>
      <c r="F38" s="223" t="n">
        <v>732</v>
      </c>
      <c r="G38" s="183" t="n"/>
      <c r="H38" s="183" t="n"/>
      <c r="I38" s="183" t="n"/>
      <c r="J38" s="183" t="n"/>
      <c r="K38" s="302" t="n"/>
      <c r="L38" s="302" t="n"/>
      <c r="M38" s="302" t="n"/>
      <c r="N38" s="302" t="n"/>
      <c r="O38" s="343" t="n"/>
      <c r="P38" s="302" t="n"/>
      <c r="Q38" s="302" t="n"/>
      <c r="R38" s="302" t="n"/>
      <c r="S38" s="302" t="n"/>
      <c r="T38" s="302" t="n"/>
      <c r="U38" s="302" t="n"/>
      <c r="V38" s="302" t="n"/>
      <c r="W38" s="302" t="n"/>
      <c r="X38" s="302" t="n"/>
      <c r="Y38" s="302" t="n"/>
      <c r="Z38" s="302" t="n"/>
      <c r="AA38" s="353" t="n"/>
      <c r="AB38" s="302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24.75" customFormat="1" customHeight="1" s="2">
      <c r="A39" s="372" t="n"/>
      <c r="B39" s="224" t="inlineStr">
        <is>
          <t>4BD</t>
        </is>
      </c>
      <c r="C39" s="225" t="n">
        <v>1422</v>
      </c>
      <c r="D39" s="225" t="n">
        <v>1054</v>
      </c>
      <c r="E39" s="225" t="n">
        <v>152</v>
      </c>
      <c r="F39" s="223" t="n">
        <v>902</v>
      </c>
      <c r="G39" s="183" t="n"/>
      <c r="H39" s="183" t="n"/>
      <c r="I39" s="183" t="n"/>
      <c r="J39" s="183" t="n"/>
      <c r="K39" s="302" t="n"/>
      <c r="L39" s="302" t="n"/>
      <c r="M39" s="302" t="n"/>
      <c r="N39" s="302" t="n"/>
      <c r="O39" s="343" t="n"/>
      <c r="P39" s="302" t="n"/>
      <c r="Q39" s="302" t="n"/>
      <c r="R39" s="302" t="n"/>
      <c r="S39" s="302" t="n"/>
      <c r="T39" s="302" t="n"/>
      <c r="U39" s="302" t="n"/>
      <c r="V39" s="302" t="n"/>
      <c r="W39" s="302" t="n"/>
      <c r="X39" s="302" t="n"/>
      <c r="Y39" s="302" t="n"/>
      <c r="Z39" s="302" t="n"/>
      <c r="AA39" s="353" t="n"/>
      <c r="AB39" s="302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ht="18" customFormat="1" customHeight="1" s="2">
      <c r="A40" s="372" t="n"/>
      <c r="B40" s="392" t="n"/>
      <c r="C40" s="392" t="n"/>
      <c r="D40" s="369" t="n"/>
      <c r="E40" s="369" t="n"/>
      <c r="F40" s="369" t="n"/>
      <c r="G40" s="369" t="n"/>
      <c r="H40" s="369" t="n"/>
      <c r="I40" s="369" t="n"/>
      <c r="J40" s="369" t="n"/>
      <c r="K40" s="369" t="n"/>
      <c r="L40" s="136" t="n"/>
      <c r="M40" s="136" t="n"/>
      <c r="N40" s="136" t="n"/>
      <c r="O40" s="136" t="n"/>
      <c r="P40" s="136" t="n"/>
      <c r="Q40" s="136" t="n"/>
      <c r="R40" s="136" t="n"/>
      <c r="S40" s="136" t="n"/>
      <c r="T40" s="136" t="n"/>
      <c r="U40" s="136" t="n"/>
      <c r="V40" s="136" t="n"/>
      <c r="W40" s="136" t="n"/>
      <c r="X40" s="136" t="n"/>
      <c r="Y40" s="136" t="n"/>
      <c r="Z40" s="136" t="n"/>
      <c r="AA40" s="136" t="n"/>
      <c r="AB40" s="136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ht="18" customHeight="1" s="131">
      <c r="A41" s="369" t="n"/>
      <c r="B41" s="371" t="n"/>
      <c r="C41" s="371" t="n"/>
      <c r="D41" s="371" t="n"/>
      <c r="E41" s="371" t="n"/>
      <c r="F41" s="371" t="n"/>
      <c r="G41" s="369" t="n"/>
      <c r="H41" s="369" t="n"/>
      <c r="I41" s="369" t="n"/>
      <c r="J41" s="369" t="n"/>
      <c r="K41" s="369" t="n"/>
      <c r="L41" s="136" t="n"/>
      <c r="M41" s="136" t="n"/>
      <c r="N41" s="136" t="n"/>
      <c r="O41" s="136" t="n"/>
      <c r="P41" s="136" t="n"/>
      <c r="Q41" s="136" t="n"/>
      <c r="R41" s="136" t="n"/>
      <c r="S41" s="136" t="n"/>
      <c r="T41" s="136" t="n"/>
      <c r="U41" s="136" t="n"/>
      <c r="V41" s="136" t="n"/>
      <c r="W41" s="136" t="n"/>
      <c r="X41" s="136" t="n"/>
      <c r="Y41" s="136" t="n"/>
      <c r="Z41" s="136" t="n"/>
      <c r="AA41" s="136" t="n"/>
      <c r="AB41" s="136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ht="24.75" customHeight="1" s="131">
      <c r="A42" s="302" t="n"/>
      <c r="B42" s="207" t="inlineStr">
        <is>
          <t>HAP, CoStar, NET</t>
        </is>
      </c>
      <c r="H42" s="183" t="n"/>
      <c r="I42" s="183" t="n"/>
      <c r="J42" s="183" t="n"/>
      <c r="K42" s="302" t="n"/>
      <c r="L42" s="302" t="n"/>
      <c r="M42" s="302" t="n"/>
      <c r="N42" s="302" t="n"/>
      <c r="O42" s="302" t="n"/>
      <c r="P42" s="302" t="n"/>
      <c r="Q42" s="302" t="n"/>
      <c r="R42" s="302" t="n"/>
      <c r="S42" s="302" t="n"/>
      <c r="T42" s="302" t="n"/>
      <c r="U42" s="302" t="n"/>
      <c r="V42" s="302" t="n"/>
      <c r="W42" s="302" t="n"/>
      <c r="X42" s="302" t="n"/>
      <c r="Y42" s="302" t="n"/>
      <c r="Z42" s="302" t="n"/>
      <c r="AA42" s="353" t="n"/>
      <c r="AB42" s="302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ht="15.95" customHeight="1" s="131">
      <c r="A43" s="302" t="n"/>
      <c r="B43" s="227" t="n"/>
      <c r="C43" s="208" t="inlineStr">
        <is>
          <t>HAP</t>
        </is>
      </c>
      <c r="D43" s="209" t="inlineStr">
        <is>
          <t>CoStar</t>
        </is>
      </c>
      <c r="E43" s="302" t="n"/>
      <c r="F43" s="302" t="n"/>
      <c r="G43" s="302" t="n"/>
      <c r="H43" s="183" t="n"/>
      <c r="I43" s="183" t="n"/>
      <c r="J43" s="183" t="n"/>
      <c r="K43" s="302" t="n"/>
      <c r="L43" s="302" t="n"/>
      <c r="M43" s="302" t="n"/>
      <c r="N43" s="302" t="n"/>
      <c r="O43" s="302" t="n"/>
      <c r="P43" s="302" t="n"/>
      <c r="Q43" s="302" t="n"/>
      <c r="R43" s="302" t="n"/>
      <c r="S43" s="302" t="n"/>
      <c r="T43" s="302" t="n"/>
      <c r="U43" s="302" t="n"/>
      <c r="V43" s="302" t="n"/>
      <c r="W43" s="302" t="n"/>
      <c r="X43" s="302" t="n"/>
      <c r="Y43" s="302" t="n"/>
      <c r="Z43" s="302" t="n"/>
      <c r="AA43" s="353" t="n"/>
      <c r="AB43" s="302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ht="24.75" customHeight="1" s="131">
      <c r="A44" s="302" t="n"/>
      <c r="B44" s="196" t="inlineStr">
        <is>
          <t>1BD</t>
        </is>
      </c>
      <c r="C44" s="199" t="n">
        <v>0</v>
      </c>
      <c r="D44" s="198" t="n">
        <v>939</v>
      </c>
      <c r="E44" s="183" t="n"/>
      <c r="F44" s="183" t="n"/>
      <c r="G44" s="183" t="n"/>
      <c r="H44" s="183" t="n"/>
      <c r="I44" s="183" t="n"/>
      <c r="J44" s="183" t="n"/>
      <c r="K44" s="302" t="n"/>
      <c r="L44" s="302" t="n"/>
      <c r="M44" s="302" t="n"/>
      <c r="N44" s="302" t="n"/>
      <c r="O44" s="302" t="n"/>
      <c r="P44" s="302" t="n"/>
      <c r="Q44" s="302" t="n"/>
      <c r="R44" s="302" t="n"/>
      <c r="S44" s="302" t="n"/>
      <c r="T44" s="302" t="n"/>
      <c r="U44" s="302" t="n"/>
      <c r="V44" s="302" t="n"/>
      <c r="W44" s="302" t="n"/>
      <c r="X44" s="302" t="n"/>
      <c r="Y44" s="302" t="n"/>
      <c r="Z44" s="302" t="n"/>
      <c r="AA44" s="353" t="n"/>
      <c r="AB44" s="302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ht="24.75" customHeight="1" s="131">
      <c r="A45" s="302" t="n"/>
      <c r="B45" s="196" t="inlineStr">
        <is>
          <t>2BD</t>
        </is>
      </c>
      <c r="C45" s="199" t="n">
        <v>0</v>
      </c>
      <c r="D45" s="198" t="n">
        <v>1289</v>
      </c>
      <c r="E45" s="183" t="n"/>
      <c r="F45" s="183" t="n"/>
      <c r="G45" s="183" t="n"/>
      <c r="H45" s="183" t="n"/>
      <c r="I45" s="183" t="n"/>
      <c r="J45" s="183" t="n"/>
      <c r="K45" s="302" t="n"/>
      <c r="L45" s="302" t="n"/>
      <c r="M45" s="302" t="n"/>
      <c r="N45" s="302" t="n"/>
      <c r="O45" s="302" t="n"/>
      <c r="P45" s="302" t="n"/>
      <c r="Q45" s="302" t="n"/>
      <c r="R45" s="302" t="n"/>
      <c r="S45" s="302" t="n"/>
      <c r="T45" s="302" t="n"/>
      <c r="U45" s="302" t="n"/>
      <c r="V45" s="302" t="n"/>
      <c r="W45" s="302" t="n"/>
      <c r="X45" s="302" t="n"/>
      <c r="Y45" s="302" t="n"/>
      <c r="Z45" s="302" t="n"/>
      <c r="AA45" s="353" t="n"/>
      <c r="AB45" s="302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ht="24.75" customHeight="1" s="131">
      <c r="A46" s="302" t="n"/>
      <c r="B46" s="196" t="inlineStr">
        <is>
          <t>4BD</t>
        </is>
      </c>
      <c r="C46" s="199" t="n">
        <v>0</v>
      </c>
      <c r="D46" s="198" t="n">
        <v>850</v>
      </c>
      <c r="E46" s="183" t="n"/>
      <c r="F46" s="183" t="n"/>
      <c r="G46" s="183" t="n"/>
      <c r="H46" s="183" t="n"/>
      <c r="I46" s="183" t="n"/>
      <c r="J46" s="183" t="n"/>
      <c r="K46" s="302" t="n"/>
      <c r="L46" s="302" t="n"/>
      <c r="M46" s="302" t="n"/>
      <c r="N46" s="302" t="n"/>
      <c r="O46" s="302" t="n"/>
      <c r="P46" s="302" t="n"/>
      <c r="Q46" s="302" t="n"/>
      <c r="R46" s="302" t="n"/>
      <c r="S46" s="302" t="n"/>
      <c r="T46" s="302" t="n"/>
      <c r="U46" s="302" t="n"/>
      <c r="V46" s="302" t="n"/>
      <c r="W46" s="302" t="n"/>
      <c r="X46" s="302" t="n"/>
      <c r="Y46" s="302" t="n"/>
      <c r="Z46" s="302" t="n"/>
      <c r="AA46" s="353" t="n"/>
      <c r="AB46" s="302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s="131">
      <c r="A47" s="369" t="n"/>
      <c r="B47" s="369" t="n"/>
      <c r="C47" s="369" t="n"/>
      <c r="D47" s="369" t="n"/>
      <c r="E47" s="369" t="n"/>
      <c r="F47" s="369" t="n"/>
      <c r="G47" s="369" t="n"/>
      <c r="H47" s="369" t="n"/>
      <c r="I47" s="369" t="n"/>
      <c r="J47" s="369" t="n"/>
      <c r="K47" s="369" t="n"/>
      <c r="L47" s="136" t="n"/>
      <c r="M47" s="136" t="n"/>
      <c r="N47" s="136" t="n"/>
      <c r="O47" s="136" t="n"/>
      <c r="P47" s="136" t="n"/>
      <c r="Q47" s="136" t="n"/>
      <c r="R47" s="136" t="n"/>
      <c r="S47" s="136" t="n"/>
      <c r="T47" s="136" t="n"/>
      <c r="U47" s="136" t="n"/>
      <c r="V47" s="136" t="n"/>
      <c r="W47" s="136" t="n"/>
      <c r="X47" s="136" t="n"/>
      <c r="Y47" s="136" t="n"/>
      <c r="Z47" s="136" t="n"/>
      <c r="AA47" s="136" t="n"/>
      <c r="AB47" s="136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s="131">
      <c r="A48" s="369" t="n"/>
      <c r="B48" s="369" t="n"/>
      <c r="C48" s="369" t="n"/>
      <c r="D48" s="369" t="n"/>
      <c r="E48" s="369" t="n"/>
      <c r="F48" s="369" t="n"/>
      <c r="G48" s="369" t="n"/>
      <c r="H48" s="369" t="n"/>
      <c r="I48" s="369" t="n"/>
      <c r="J48" s="369" t="n"/>
      <c r="K48" s="369" t="n"/>
      <c r="L48" s="136" t="n"/>
      <c r="M48" s="136" t="n"/>
      <c r="N48" s="136" t="n"/>
      <c r="O48" s="136" t="n"/>
      <c r="P48" s="136" t="n"/>
      <c r="Q48" s="136" t="n"/>
      <c r="R48" s="136" t="n"/>
      <c r="S48" s="136" t="n"/>
      <c r="T48" s="136" t="n"/>
      <c r="U48" s="136" t="n"/>
      <c r="V48" s="136" t="n"/>
      <c r="W48" s="136" t="n"/>
      <c r="X48" s="136" t="n"/>
      <c r="Y48" s="136" t="n"/>
      <c r="Z48" s="136" t="n"/>
      <c r="AA48" s="136" t="n"/>
      <c r="AB48" s="136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s="131">
      <c r="A49" s="369" t="n"/>
      <c r="B49" s="369" t="n"/>
      <c r="C49" s="369" t="n"/>
      <c r="D49" s="369" t="n"/>
      <c r="E49" s="369" t="n"/>
      <c r="F49" s="369" t="n"/>
      <c r="G49" s="369" t="n"/>
      <c r="H49" s="369" t="n"/>
      <c r="I49" s="369" t="n"/>
      <c r="J49" s="369" t="n"/>
      <c r="K49" s="369" t="n"/>
      <c r="L49" s="136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6" t="n"/>
      <c r="Y49" s="136" t="n"/>
      <c r="Z49" s="136" t="n"/>
      <c r="AA49" s="136" t="n"/>
      <c r="AB49" s="136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s="131">
      <c r="A50" s="369" t="n"/>
      <c r="B50" s="369" t="n"/>
      <c r="C50" s="369" t="n"/>
      <c r="D50" s="369" t="n"/>
      <c r="E50" s="369" t="n"/>
      <c r="F50" s="369" t="n"/>
      <c r="G50" s="369" t="n"/>
      <c r="H50" s="369" t="n"/>
      <c r="I50" s="369" t="n"/>
      <c r="J50" s="369" t="n"/>
      <c r="K50" s="369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  <row r="51"/>
    <row r="52"/>
    <row r="53"/>
  </sheetData>
  <mergeCells count="9">
    <mergeCell ref="B4:AB4"/>
    <mergeCell ref="B42:G42"/>
    <mergeCell ref="B22:G22"/>
    <mergeCell ref="B2:AB2"/>
    <mergeCell ref="B23:G23"/>
    <mergeCell ref="B20:I20"/>
    <mergeCell ref="B35:G35"/>
    <mergeCell ref="B3:AB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W53"/>
  <sheetViews>
    <sheetView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NORTH POINTE | GREEN = Affordable Comps | BLUE = Market Rate Comps</t>
        </is>
      </c>
      <c r="AF3" s="136" t="n"/>
      <c r="AG3" s="136" t="n"/>
      <c r="AH3" s="136" t="n"/>
      <c r="AI3" s="136" t="n"/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North Pointe | Bossier City, Bossier City, LA 71111 | 27 units | Program: LIHTC | Bedroom Mix: 2BR / 3BR / 4BR | County AMI: $81,700 | FMR Area: Shreveport-Bossier City MSA</t>
        </is>
      </c>
      <c r="AF4" s="136" t="n"/>
      <c r="AG4" s="136" t="n"/>
      <c r="AH4" s="136" t="n"/>
      <c r="AI4" s="136" t="n"/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F5" s="136" t="n"/>
      <c r="AG5" s="136" t="n"/>
      <c r="AH5" s="136" t="n"/>
      <c r="AI5" s="136" t="n"/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2BD 50% AMI ($)</t>
        </is>
      </c>
      <c r="J6" s="280" t="inlineStr">
        <is>
          <t>2BD 60% AMI ($)</t>
        </is>
      </c>
      <c r="K6" s="280" t="inlineStr">
        <is>
          <t>2BR FMR ($)</t>
        </is>
      </c>
      <c r="L6" s="335" t="inlineStr">
        <is>
          <t>2BR Actual ($)</t>
        </is>
      </c>
      <c r="M6" s="281" t="inlineStr">
        <is>
          <t>3BD 50% AMI ($)</t>
        </is>
      </c>
      <c r="N6" s="280" t="inlineStr">
        <is>
          <t>3BD 60% AMI ($)</t>
        </is>
      </c>
      <c r="O6" s="280" t="inlineStr">
        <is>
          <t>3BR FMR ($)</t>
        </is>
      </c>
      <c r="P6" s="335" t="inlineStr">
        <is>
          <t>3BR Actual ($)</t>
        </is>
      </c>
      <c r="Q6" s="281" t="inlineStr">
        <is>
          <t>4BD 50% AMI ($)</t>
        </is>
      </c>
      <c r="R6" s="280" t="inlineStr">
        <is>
          <t>4BD 60% AMI ($)</t>
        </is>
      </c>
      <c r="S6" s="280" t="inlineStr">
        <is>
          <t>4BR FMR ($)</t>
        </is>
      </c>
      <c r="T6" s="339" t="inlineStr">
        <is>
          <t>4BR Actual ($)</t>
        </is>
      </c>
      <c r="U6" s="339" t="inlineStr">
        <is>
          <t># Units</t>
        </is>
      </c>
      <c r="V6" s="339" t="inlineStr">
        <is>
          <t>Year Built</t>
        </is>
      </c>
      <c r="W6" s="339" t="inlineStr">
        <is>
          <t>Yr Diff</t>
        </is>
      </c>
      <c r="X6" s="339" t="inlineStr">
        <is>
          <t>Utilities Incl.</t>
        </is>
      </c>
      <c r="Y6" s="339" t="inlineStr">
        <is>
          <t>Pet Friendly</t>
        </is>
      </c>
      <c r="Z6" s="336" t="inlineStr">
        <is>
          <t>Gated</t>
        </is>
      </c>
      <c r="AA6" s="340" t="inlineStr">
        <is>
          <t>Pool</t>
        </is>
      </c>
      <c r="AB6" s="342" t="inlineStr">
        <is>
          <t>W/D In-Unit</t>
        </is>
      </c>
      <c r="AC6" s="136" t="inlineStr">
        <is>
          <t>Competition Level</t>
        </is>
      </c>
      <c r="AD6" s="136" t="inlineStr">
        <is>
          <t>Why Competitive</t>
        </is>
      </c>
      <c r="AE6" s="136" t="inlineStr">
        <is>
          <t>Data Source</t>
        </is>
      </c>
      <c r="AF6" s="136" t="n"/>
      <c r="AG6" s="136" t="n"/>
      <c r="AH6" s="136" t="n"/>
      <c r="AI6" s="136" t="n"/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North Pointe (SUBJECT)</t>
        </is>
      </c>
      <c r="D7" s="174" t="inlineStr">
        <is>
          <t>Bossier City</t>
        </is>
      </c>
      <c r="E7" s="174" t="inlineStr">
        <is>
          <t>Bossier City</t>
        </is>
      </c>
      <c r="F7" s="174" t="inlineStr">
        <is>
          <t>LA</t>
        </is>
      </c>
      <c r="G7" s="174" t="inlineStr">
        <is>
          <t>71111</t>
        </is>
      </c>
      <c r="H7" s="174" t="inlineStr">
        <is>
          <t>0.0 mi</t>
        </is>
      </c>
      <c r="I7" s="174" t="inlineStr">
        <is>
          <t>$3,066</t>
        </is>
      </c>
      <c r="J7" s="174" t="inlineStr">
        <is>
          <t>$3,680</t>
        </is>
      </c>
      <c r="K7" s="174" t="inlineStr">
        <is>
          <t>$1,008</t>
        </is>
      </c>
      <c r="L7" s="368">
        <f>B26</f>
        <v/>
      </c>
      <c r="M7" s="174" t="inlineStr">
        <is>
          <t>$3,404</t>
        </is>
      </c>
      <c r="N7" s="174" t="inlineStr">
        <is>
          <t>$4,085</t>
        </is>
      </c>
      <c r="O7" s="174" t="inlineStr">
        <is>
          <t>$1,261</t>
        </is>
      </c>
      <c r="P7" s="368">
        <f>B27</f>
        <v/>
      </c>
      <c r="Q7" s="174" t="inlineStr">
        <is>
          <t>$3,679</t>
        </is>
      </c>
      <c r="R7" s="174" t="inlineStr">
        <is>
          <t>$4,415</t>
        </is>
      </c>
      <c r="S7" s="174" t="inlineStr">
        <is>
          <t>$1,457</t>
        </is>
      </c>
      <c r="T7" s="368">
        <f>B28</f>
        <v/>
      </c>
      <c r="U7" s="174" t="inlineStr">
        <is>
          <t>27</t>
        </is>
      </c>
      <c r="V7" s="174" t="inlineStr">
        <is>
          <t>2000</t>
        </is>
      </c>
      <c r="W7" s="174" t="inlineStr">
        <is>
          <t>0</t>
        </is>
      </c>
      <c r="X7" s="174" t="inlineStr">
        <is>
          <t>No</t>
        </is>
      </c>
      <c r="Y7" s="42" t="inlineStr">
        <is>
          <t>No</t>
        </is>
      </c>
      <c r="Z7" s="55" t="inlineStr">
        <is>
          <t>No</t>
        </is>
      </c>
      <c r="AA7" s="40" t="inlineStr">
        <is>
          <t>No</t>
        </is>
      </c>
      <c r="AB7" s="136" t="inlineStr">
        <is>
          <t>No</t>
        </is>
      </c>
      <c r="AC7" s="136" t="inlineStr">
        <is>
          <t>SUBJECT</t>
        </is>
      </c>
      <c r="AD7" s="136" t="inlineStr">
        <is>
          <t>27 units | LIHTC property. Year built: 2000. Subject property for market context.</t>
        </is>
      </c>
      <c r="AE7" s="136" t="inlineStr">
        <is>
          <t>Apartment Corp Records</t>
        </is>
      </c>
      <c r="AF7" s="136" t="n"/>
      <c r="AG7" s="136" t="n"/>
      <c r="AH7" s="136" t="n"/>
      <c r="AI7" s="136" t="n"/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Windsor Village Apartments</t>
        </is>
      </c>
      <c r="D8" s="59" t="inlineStr">
        <is>
          <t>1920 North Hearne Avenue</t>
        </is>
      </c>
      <c r="E8" s="59" t="inlineStr">
        <is>
          <t>Shreveport</t>
        </is>
      </c>
      <c r="F8" s="59" t="inlineStr">
        <is>
          <t>LA</t>
        </is>
      </c>
      <c r="G8" s="59" t="inlineStr">
        <is>
          <t>71107-0000</t>
        </is>
      </c>
      <c r="H8" s="59" t="inlineStr">
        <is>
          <t>2.8 mi</t>
        </is>
      </c>
      <c r="I8" s="59" t="inlineStr">
        <is>
          <t>$3,066</t>
        </is>
      </c>
      <c r="J8" s="59" t="inlineStr">
        <is>
          <t>$3,680</t>
        </is>
      </c>
      <c r="K8" s="41" t="inlineStr">
        <is>
          <t>$1,008</t>
        </is>
      </c>
      <c r="L8" s="53" t="inlineStr">
        <is>
          <t>$825</t>
        </is>
      </c>
      <c r="M8" s="43" t="inlineStr">
        <is>
          <t>$3,404</t>
        </is>
      </c>
      <c r="N8" s="43" t="inlineStr">
        <is>
          <t>$4,085</t>
        </is>
      </c>
      <c r="O8" s="41" t="inlineStr">
        <is>
          <t>$1,261</t>
        </is>
      </c>
      <c r="P8" s="53" t="inlineStr">
        <is>
          <t>$975</t>
        </is>
      </c>
      <c r="Q8" s="43" t="inlineStr">
        <is>
          <t>$3,679</t>
        </is>
      </c>
      <c r="R8" s="43" t="inlineStr">
        <is>
          <t>$4,415</t>
        </is>
      </c>
      <c r="S8" s="43" t="inlineStr">
        <is>
          <t>$1,457</t>
        </is>
      </c>
      <c r="T8" s="43" t="inlineStr">
        <is>
          <t>Not Listed</t>
        </is>
      </c>
      <c r="U8" s="43" t="inlineStr">
        <is>
          <t>48</t>
        </is>
      </c>
      <c r="V8" s="43" t="inlineStr">
        <is>
          <t>2000</t>
        </is>
      </c>
      <c r="W8" s="43" t="inlineStr">
        <is>
          <t>0</t>
        </is>
      </c>
      <c r="X8" s="43" t="inlineStr">
        <is>
          <t>Yes</t>
        </is>
      </c>
      <c r="Y8" s="44" t="inlineStr">
        <is>
          <t>No</t>
        </is>
      </c>
      <c r="Z8" s="56" t="inlineStr">
        <is>
          <t>No</t>
        </is>
      </c>
      <c r="AA8" s="43" t="inlineStr">
        <is>
          <t>No</t>
        </is>
      </c>
      <c r="AB8" s="136" t="inlineStr">
        <is>
          <t>No</t>
        </is>
      </c>
      <c r="AC8" s="136" t="inlineStr">
        <is>
          <t>HIGH</t>
        </is>
      </c>
      <c r="AD8" s="136" t="inlineStr">
        <is>
          <t>Affordable Comp #1: LIHTC property, 2000 vintage (0 yr diff), 48 units, 2.8 mi from subject. Same income-eligible renter pool.</t>
        </is>
      </c>
      <c r="AE8" s="136" t="inlineStr">
        <is>
          <t>HUD LIHTC Database (huduser.gov)</t>
        </is>
      </c>
      <c r="AF8" s="136" t="n"/>
      <c r="AG8" s="136" t="n"/>
      <c r="AH8" s="136" t="n"/>
      <c r="AI8" s="136" t="n"/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Chateau Apts.</t>
        </is>
      </c>
      <c r="D9" s="125" t="inlineStr">
        <is>
          <t>4806 Shed Road</t>
        </is>
      </c>
      <c r="E9" s="125" t="inlineStr">
        <is>
          <t>Bossier City</t>
        </is>
      </c>
      <c r="F9" s="125" t="inlineStr">
        <is>
          <t>LA</t>
        </is>
      </c>
      <c r="G9" s="125" t="inlineStr">
        <is>
          <t>71067-0000</t>
        </is>
      </c>
      <c r="H9" s="125" t="inlineStr">
        <is>
          <t>4.2 mi</t>
        </is>
      </c>
      <c r="I9" s="125" t="inlineStr">
        <is>
          <t>$3,066</t>
        </is>
      </c>
      <c r="J9" s="125" t="inlineStr">
        <is>
          <t>$3,680</t>
        </is>
      </c>
      <c r="K9" s="85" t="inlineStr">
        <is>
          <t>$1,008</t>
        </is>
      </c>
      <c r="L9" s="86" t="inlineStr">
        <is>
          <t>$775</t>
        </is>
      </c>
      <c r="M9" s="128" t="inlineStr">
        <is>
          <t>$3,404</t>
        </is>
      </c>
      <c r="N9" s="128" t="inlineStr">
        <is>
          <t>$4,085</t>
        </is>
      </c>
      <c r="O9" s="85" t="inlineStr">
        <is>
          <t>$1,261</t>
        </is>
      </c>
      <c r="P9" s="86" t="inlineStr">
        <is>
          <t>$870</t>
        </is>
      </c>
      <c r="Q9" s="128" t="inlineStr">
        <is>
          <t>$3,679</t>
        </is>
      </c>
      <c r="R9" s="128" t="inlineStr">
        <is>
          <t>$4,415</t>
        </is>
      </c>
      <c r="S9" s="128" t="inlineStr">
        <is>
          <t>$1,457</t>
        </is>
      </c>
      <c r="T9" s="128" t="inlineStr">
        <is>
          <t>$950</t>
        </is>
      </c>
      <c r="U9" s="128" t="inlineStr">
        <is>
          <t>56</t>
        </is>
      </c>
      <c r="V9" s="128" t="inlineStr">
        <is>
          <t>2000</t>
        </is>
      </c>
      <c r="W9" s="128" t="inlineStr">
        <is>
          <t>0</t>
        </is>
      </c>
      <c r="X9" s="128" t="inlineStr">
        <is>
          <t>Yes</t>
        </is>
      </c>
      <c r="Y9" s="129" t="inlineStr">
        <is>
          <t>No</t>
        </is>
      </c>
      <c r="Z9" s="130" t="inlineStr">
        <is>
          <t>No</t>
        </is>
      </c>
      <c r="AA9" s="128" t="inlineStr">
        <is>
          <t>No</t>
        </is>
      </c>
      <c r="AB9" s="136" t="inlineStr">
        <is>
          <t>No</t>
        </is>
      </c>
      <c r="AC9" s="136" t="inlineStr">
        <is>
          <t>HIGH</t>
        </is>
      </c>
      <c r="AD9" s="136" t="inlineStr">
        <is>
          <t>Affordable Comp #2: LIHTC property, 2000 vintage (0 yr diff), 56 units, 4.2 mi from subject. Same income-eligible renter pool.</t>
        </is>
      </c>
      <c r="AE9" s="136" t="inlineStr">
        <is>
          <t>HUD LIHTC Database (huduser.gov)</t>
        </is>
      </c>
      <c r="AF9" s="136" t="n"/>
      <c r="AG9" s="136" t="n"/>
      <c r="AH9" s="136" t="n"/>
      <c r="AI9" s="136" t="n"/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Greenwood Village I</t>
        </is>
      </c>
      <c r="D10" s="107" t="inlineStr">
        <is>
          <t>4440 Danny R Wimberly Dr</t>
        </is>
      </c>
      <c r="E10" s="107" t="inlineStr">
        <is>
          <t>Shreveport</t>
        </is>
      </c>
      <c r="F10" s="107" t="inlineStr">
        <is>
          <t>LA</t>
        </is>
      </c>
      <c r="G10" s="107" t="inlineStr">
        <is>
          <t>71119</t>
        </is>
      </c>
      <c r="H10" s="107" t="inlineStr">
        <is>
          <t>8.6 mi</t>
        </is>
      </c>
      <c r="I10" s="107" t="inlineStr">
        <is>
          <t>$3,066</t>
        </is>
      </c>
      <c r="J10" s="107" t="inlineStr">
        <is>
          <t>$3,680</t>
        </is>
      </c>
      <c r="K10" s="80" t="inlineStr">
        <is>
          <t>$1,008</t>
        </is>
      </c>
      <c r="L10" s="81" t="inlineStr">
        <is>
          <t>Not Listed</t>
        </is>
      </c>
      <c r="M10" s="108" t="inlineStr">
        <is>
          <t>$3,404</t>
        </is>
      </c>
      <c r="N10" s="108" t="inlineStr">
        <is>
          <t>$4,085</t>
        </is>
      </c>
      <c r="O10" s="80" t="inlineStr">
        <is>
          <t>$1,261</t>
        </is>
      </c>
      <c r="P10" s="81" t="inlineStr">
        <is>
          <t>Not Listed</t>
        </is>
      </c>
      <c r="Q10" s="108" t="inlineStr">
        <is>
          <t>$3,679</t>
        </is>
      </c>
      <c r="R10" s="108" t="inlineStr">
        <is>
          <t>$4,415</t>
        </is>
      </c>
      <c r="S10" s="108" t="inlineStr">
        <is>
          <t>$1,457</t>
        </is>
      </c>
      <c r="T10" s="108" t="inlineStr">
        <is>
          <t>Not Listed</t>
        </is>
      </c>
      <c r="U10" s="108" t="inlineStr">
        <is>
          <t>40</t>
        </is>
      </c>
      <c r="V10" s="108" t="inlineStr">
        <is>
          <t>2000</t>
        </is>
      </c>
      <c r="W10" s="108" t="inlineStr">
        <is>
          <t>0</t>
        </is>
      </c>
      <c r="X10" s="108" t="inlineStr">
        <is>
          <t>Yes</t>
        </is>
      </c>
      <c r="Y10" s="109" t="inlineStr">
        <is>
          <t>No</t>
        </is>
      </c>
      <c r="Z10" s="110" t="inlineStr">
        <is>
          <t>No</t>
        </is>
      </c>
      <c r="AA10" s="111" t="inlineStr">
        <is>
          <t>No</t>
        </is>
      </c>
      <c r="AB10" s="134" t="inlineStr">
        <is>
          <t>No</t>
        </is>
      </c>
      <c r="AC10" s="136" t="inlineStr">
        <is>
          <t>HIGH</t>
        </is>
      </c>
      <c r="AD10" s="136" t="inlineStr">
        <is>
          <t>Affordable Comp #3: LIHTC property, 2000 vintage (0 yr diff), 40 units, 8.6 mi from subject. Same income-eligible renter pool.</t>
        </is>
      </c>
      <c r="AE10" s="136" t="inlineStr">
        <is>
          <t>HUD LIHTC Database (huduser.gov)</t>
        </is>
      </c>
      <c r="AF10" s="136" t="n"/>
      <c r="AG10" s="136" t="n"/>
      <c r="AH10" s="136" t="n"/>
      <c r="AI10" s="136" t="n"/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Benton Place Apts Ii</t>
        </is>
      </c>
      <c r="D11" s="95" t="inlineStr">
        <is>
          <t>114 Sibley St</t>
        </is>
      </c>
      <c r="E11" s="95" t="inlineStr">
        <is>
          <t>Bossier City</t>
        </is>
      </c>
      <c r="F11" s="95" t="inlineStr">
        <is>
          <t>LA</t>
        </is>
      </c>
      <c r="G11" s="95" t="inlineStr">
        <is>
          <t>71006</t>
        </is>
      </c>
      <c r="H11" s="95" t="inlineStr">
        <is>
          <t>12.7 mi</t>
        </is>
      </c>
      <c r="I11" s="95" t="inlineStr">
        <is>
          <t>$3,066</t>
        </is>
      </c>
      <c r="J11" s="95" t="inlineStr">
        <is>
          <t>$3,680</t>
        </is>
      </c>
      <c r="K11" s="39" t="inlineStr">
        <is>
          <t>$1,008</t>
        </is>
      </c>
      <c r="L11" s="53" t="inlineStr">
        <is>
          <t>Not Listed</t>
        </is>
      </c>
      <c r="M11" s="96" t="inlineStr">
        <is>
          <t>$3,404</t>
        </is>
      </c>
      <c r="N11" s="96" t="inlineStr">
        <is>
          <t>$4,085</t>
        </is>
      </c>
      <c r="O11" s="39" t="inlineStr">
        <is>
          <t>$1,261</t>
        </is>
      </c>
      <c r="P11" s="53" t="inlineStr">
        <is>
          <t>Not Listed</t>
        </is>
      </c>
      <c r="Q11" s="96" t="inlineStr">
        <is>
          <t>$3,679</t>
        </is>
      </c>
      <c r="R11" s="96" t="inlineStr">
        <is>
          <t>$4,415</t>
        </is>
      </c>
      <c r="S11" s="96" t="inlineStr">
        <is>
          <t>$1,457</t>
        </is>
      </c>
      <c r="T11" s="96" t="inlineStr">
        <is>
          <t>Not Listed</t>
        </is>
      </c>
      <c r="U11" s="96" t="inlineStr">
        <is>
          <t>32</t>
        </is>
      </c>
      <c r="V11" s="96" t="inlineStr">
        <is>
          <t>2001</t>
        </is>
      </c>
      <c r="W11" s="96" t="inlineStr">
        <is>
          <t>1</t>
        </is>
      </c>
      <c r="X11" s="96" t="inlineStr">
        <is>
          <t>Yes</t>
        </is>
      </c>
      <c r="Y11" s="45" t="inlineStr">
        <is>
          <t>No</t>
        </is>
      </c>
      <c r="Z11" s="97" t="inlineStr">
        <is>
          <t>No</t>
        </is>
      </c>
      <c r="AA11" s="113" t="inlineStr">
        <is>
          <t>No</t>
        </is>
      </c>
      <c r="AB11" s="134" t="inlineStr">
        <is>
          <t>No</t>
        </is>
      </c>
      <c r="AC11" s="136" t="inlineStr">
        <is>
          <t>HIGH</t>
        </is>
      </c>
      <c r="AD11" s="136" t="inlineStr">
        <is>
          <t>Affordable Comp #4: LIHTC property, 2001 vintage (1 yr diff), 32 units, 12.7 mi from subject. Same income-eligible renter pool.</t>
        </is>
      </c>
      <c r="AE11" s="136" t="inlineStr">
        <is>
          <t>HUD LIHTC Database (huduser.gov)</t>
        </is>
      </c>
      <c r="AF11" s="136" t="n"/>
      <c r="AG11" s="136" t="n"/>
      <c r="AH11" s="136" t="n"/>
      <c r="AI11" s="136" t="n"/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37.5" customHeight="1" s="131">
      <c r="A12" s="114" t="n">
        <v>1</v>
      </c>
      <c r="B12" s="70" t="inlineStr">
        <is>
          <t>MARKET RATE</t>
        </is>
      </c>
      <c r="C12" s="67" t="inlineStr">
        <is>
          <t>Preston Place</t>
        </is>
      </c>
      <c r="D12" s="98" t="inlineStr">
        <is>
          <t>400 Preston Blvd</t>
        </is>
      </c>
      <c r="E12" s="98" t="inlineStr">
        <is>
          <t>Bossier City</t>
        </is>
      </c>
      <c r="F12" s="98" t="inlineStr">
        <is>
          <t>LA</t>
        </is>
      </c>
      <c r="G12" s="98" t="inlineStr">
        <is>
          <t>71111</t>
        </is>
      </c>
      <c r="H12" s="98" t="inlineStr">
        <is>
          <t>0.5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N/A (Market Rate)</t>
        </is>
      </c>
      <c r="L12" s="157" t="n">
        <v>925</v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$1,261</t>
        </is>
      </c>
      <c r="P12" s="53" t="inlineStr">
        <is>
          <t>$1,300</t>
        </is>
      </c>
      <c r="Q12" s="99" t="inlineStr">
        <is>
          <t>N/A (Market Rate)</t>
        </is>
      </c>
      <c r="R12" s="99" t="inlineStr">
        <is>
          <t>N/A (Market Rate)</t>
        </is>
      </c>
      <c r="S12" s="99" t="inlineStr">
        <is>
          <t>$1,457</t>
        </is>
      </c>
      <c r="T12" s="99" t="inlineStr">
        <is>
          <t>Not Listed</t>
        </is>
      </c>
      <c r="U12" s="99" t="inlineStr">
        <is>
          <t>200</t>
        </is>
      </c>
      <c r="V12" s="99" t="inlineStr">
        <is>
          <t>1999</t>
        </is>
      </c>
      <c r="W12" s="99" t="inlineStr">
        <is>
          <t>1</t>
        </is>
      </c>
      <c r="X12" s="99" t="inlineStr">
        <is>
          <t>Varies</t>
        </is>
      </c>
      <c r="Y12" s="46" t="inlineStr">
        <is>
          <t>Varies</t>
        </is>
      </c>
      <c r="Z12" s="100" t="inlineStr">
        <is>
          <t>Varies</t>
        </is>
      </c>
      <c r="AA12" s="115" t="inlineStr">
        <is>
          <t>Varies</t>
        </is>
      </c>
      <c r="AB12" s="134" t="inlineStr">
        <is>
          <t>Varies</t>
        </is>
      </c>
      <c r="AC12" s="136" t="inlineStr">
        <is>
          <t>HIGH</t>
        </is>
      </c>
      <c r="AD12" s="136" t="inlineStr">
        <is>
          <t>Market Rate Comp #1: No income restrictions, 1999 vintage (1 yr diff), 200 units, 7.5 mi from subject. Shows market-rate rents vs. affordable housing discount.</t>
        </is>
      </c>
      <c r="AE12" s="136" t="inlineStr">
        <is>
          <t>https://www.rentcafe.com/apartments-for-rent/us/la/shreveport/the-arbors-at-shreveport/</t>
        </is>
      </c>
      <c r="AF12" s="136" t="n"/>
      <c r="AG12" s="136" t="n"/>
      <c r="AH12" s="136" t="n"/>
      <c r="AI12" s="136" t="n"/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n">
        <v>2</v>
      </c>
      <c r="B13" s="71" t="inlineStr">
        <is>
          <t>MARKET RATE</t>
        </is>
      </c>
      <c r="C13" s="68" t="inlineStr">
        <is>
          <t>Villaggio Apartments</t>
        </is>
      </c>
      <c r="D13" s="101" t="inlineStr">
        <is>
          <t>5200 E Texas St</t>
        </is>
      </c>
      <c r="E13" s="101" t="inlineStr">
        <is>
          <t>Bossier City</t>
        </is>
      </c>
      <c r="F13" s="101" t="inlineStr">
        <is>
          <t>LA</t>
        </is>
      </c>
      <c r="G13" s="101" t="inlineStr">
        <is>
          <t>71111</t>
        </is>
      </c>
      <c r="H13" s="101" t="inlineStr">
        <is>
          <t>2.0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N/A (Market Rate)</t>
        </is>
      </c>
      <c r="L13" s="157" t="n">
        <v>1349</v>
      </c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N/A (Market Rate)</t>
        </is>
      </c>
      <c r="P13" s="157" t="n">
        <v>1610</v>
      </c>
      <c r="Q13" s="102" t="inlineStr">
        <is>
          <t>N/A (Market Rate)</t>
        </is>
      </c>
      <c r="R13" s="102" t="inlineStr">
        <is>
          <t>N/A (Market Rate)</t>
        </is>
      </c>
      <c r="S13" s="102" t="inlineStr">
        <is>
          <t>$1,457</t>
        </is>
      </c>
      <c r="T13" s="102" t="inlineStr">
        <is>
          <t>Not Listed</t>
        </is>
      </c>
      <c r="U13" s="102" t="inlineStr">
        <is>
          <t>160</t>
        </is>
      </c>
      <c r="V13" s="102" t="inlineStr">
        <is>
          <t>2000</t>
        </is>
      </c>
      <c r="W13" s="102" t="inlineStr">
        <is>
          <t>0</t>
        </is>
      </c>
      <c r="X13" s="102" t="inlineStr">
        <is>
          <t>Varies</t>
        </is>
      </c>
      <c r="Y13" s="47" t="inlineStr">
        <is>
          <t>Varies</t>
        </is>
      </c>
      <c r="Z13" s="103" t="inlineStr">
        <is>
          <t>Varies</t>
        </is>
      </c>
      <c r="AA13" s="117" t="inlineStr">
        <is>
          <t>Varies</t>
        </is>
      </c>
      <c r="AB13" s="134" t="inlineStr">
        <is>
          <t>Varies</t>
        </is>
      </c>
      <c r="AC13" s="136" t="inlineStr">
        <is>
          <t>HIGH</t>
        </is>
      </c>
      <c r="AD13" s="136" t="inlineStr">
        <is>
          <t>Market Rate Comp #2: No income restrictions, 2000 vintage (0 yr diff), 160 units, 9.0 mi from subject. Shows market-rate rents vs. affordable housing discount.</t>
        </is>
      </c>
      <c r="AE13" s="136" t="inlineStr">
        <is>
          <t>https://www.rentcafe.com/apartments-for-rent/us/la/shreveport/</t>
        </is>
      </c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n">
        <v>3</v>
      </c>
      <c r="B14" s="69" t="inlineStr">
        <is>
          <t>MARKET RATE</t>
        </is>
      </c>
      <c r="C14" s="66" t="inlineStr">
        <is>
          <t>Willow Brook Townhomes</t>
        </is>
      </c>
      <c r="D14" s="95" t="inlineStr">
        <is>
          <t>3055 Vanceville Rd</t>
        </is>
      </c>
      <c r="E14" s="95" t="inlineStr">
        <is>
          <t>Bossier City</t>
        </is>
      </c>
      <c r="F14" s="95" t="inlineStr">
        <is>
          <t>LA</t>
        </is>
      </c>
      <c r="G14" s="95" t="inlineStr">
        <is>
          <t>71111</t>
        </is>
      </c>
      <c r="H14" s="95" t="inlineStr">
        <is>
          <t>1.5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N/A (Market Rate)</t>
        </is>
      </c>
      <c r="L14" s="157" t="n">
        <v>1875</v>
      </c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N/A (Market Rate)</t>
        </is>
      </c>
      <c r="P14" s="157" t="n">
        <v>1995</v>
      </c>
      <c r="Q14" s="96" t="inlineStr">
        <is>
          <t>N/A (Market Rate)</t>
        </is>
      </c>
      <c r="R14" s="96" t="inlineStr">
        <is>
          <t>N/A (Market Rate)</t>
        </is>
      </c>
      <c r="S14" s="96" t="inlineStr">
        <is>
          <t>$1,457</t>
        </is>
      </c>
      <c r="T14" s="96" t="inlineStr">
        <is>
          <t>Not Listed</t>
        </is>
      </c>
      <c r="U14" s="96" t="inlineStr">
        <is>
          <t>96</t>
        </is>
      </c>
      <c r="V14" s="96" t="inlineStr">
        <is>
          <t>2001</t>
        </is>
      </c>
      <c r="W14" s="96" t="inlineStr">
        <is>
          <t>1</t>
        </is>
      </c>
      <c r="X14" s="96" t="inlineStr">
        <is>
          <t>Varies</t>
        </is>
      </c>
      <c r="Y14" s="45" t="inlineStr">
        <is>
          <t>Varies</t>
        </is>
      </c>
      <c r="Z14" s="97" t="inlineStr">
        <is>
          <t>Varies</t>
        </is>
      </c>
      <c r="AA14" s="113" t="inlineStr">
        <is>
          <t>Varies</t>
        </is>
      </c>
      <c r="AB14" s="134" t="inlineStr">
        <is>
          <t>Varies</t>
        </is>
      </c>
      <c r="AC14" s="136" t="inlineStr">
        <is>
          <t>HIGH</t>
        </is>
      </c>
      <c r="AD14" s="136" t="inlineStr">
        <is>
          <t>Market Rate Comp #3: No income restrictions, 2001 vintage (1 yr diff), 96 units, 3.2 mi from subject. Shows market-rate rents vs. affordable housing discount.</t>
        </is>
      </c>
      <c r="AE14" s="136" t="inlineStr">
        <is>
          <t>https://www.rentcafe.com/apartments-for-rent/us/la/bossier-city/</t>
        </is>
      </c>
      <c r="AF14" s="136" t="n"/>
      <c r="AG14" s="136" t="n"/>
      <c r="AH14" s="136" t="n"/>
      <c r="AI14" s="136" t="n"/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n">
        <v>4</v>
      </c>
      <c r="B15" s="69" t="inlineStr">
        <is>
          <t>MARKET RATE</t>
        </is>
      </c>
      <c r="C15" s="66" t="inlineStr">
        <is>
          <t>Stockwell Landing Apartment Homes</t>
        </is>
      </c>
      <c r="D15" s="95" t="inlineStr">
        <is>
          <t>2175 Stockwell Rd</t>
        </is>
      </c>
      <c r="E15" s="95" t="inlineStr">
        <is>
          <t>Bossier City</t>
        </is>
      </c>
      <c r="F15" s="95" t="inlineStr">
        <is>
          <t>LA</t>
        </is>
      </c>
      <c r="G15" s="95" t="inlineStr">
        <is>
          <t>71111</t>
        </is>
      </c>
      <c r="H15" s="95" t="inlineStr">
        <is>
          <t>3.0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N/A (Market Rate)</t>
        </is>
      </c>
      <c r="L15" s="157" t="n">
        <v>1349</v>
      </c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N/A (Market Rate)</t>
        </is>
      </c>
      <c r="P15" s="157" t="n">
        <v>1585</v>
      </c>
      <c r="Q15" s="96" t="inlineStr">
        <is>
          <t>N/A (Market Rate)</t>
        </is>
      </c>
      <c r="R15" s="96" t="inlineStr">
        <is>
          <t>N/A (Market Rate)</t>
        </is>
      </c>
      <c r="S15" s="96" t="inlineStr">
        <is>
          <t>$1,457</t>
        </is>
      </c>
      <c r="T15" s="96" t="inlineStr">
        <is>
          <t>Not Listed</t>
        </is>
      </c>
      <c r="U15" s="96" t="inlineStr">
        <is>
          <t>80</t>
        </is>
      </c>
      <c r="V15" s="96" t="inlineStr">
        <is>
          <t>1999</t>
        </is>
      </c>
      <c r="W15" s="96" t="inlineStr">
        <is>
          <t>1</t>
        </is>
      </c>
      <c r="X15" s="96" t="inlineStr">
        <is>
          <t>Varies</t>
        </is>
      </c>
      <c r="Y15" s="45" t="inlineStr">
        <is>
          <t>Varies</t>
        </is>
      </c>
      <c r="Z15" s="97" t="inlineStr">
        <is>
          <t>Varies</t>
        </is>
      </c>
      <c r="AA15" s="113" t="inlineStr">
        <is>
          <t>Varies</t>
        </is>
      </c>
      <c r="AB15" s="134" t="inlineStr">
        <is>
          <t>Varies</t>
        </is>
      </c>
      <c r="AC15" s="136" t="inlineStr">
        <is>
          <t>HIGH</t>
        </is>
      </c>
      <c r="AD15" s="136" t="inlineStr">
        <is>
          <t>Market Rate Comp #4: No income restrictions, 1999 vintage (1 yr diff), 80 units, 4.5 mi from subject. Shows market-rate rents vs. affordable housing discount.</t>
        </is>
      </c>
      <c r="AE15" s="136" t="inlineStr">
        <is>
          <t>https://www.rentcafe.com/apartments-for-rent/us/la/bossier-city/</t>
        </is>
      </c>
      <c r="AF15" s="136" t="n"/>
      <c r="AG15" s="136" t="n"/>
      <c r="AH15" s="136" t="n"/>
      <c r="AI15" s="136" t="n"/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n">
        <v>5</v>
      </c>
      <c r="B16" s="82" t="inlineStr">
        <is>
          <t>MARKET RATE</t>
        </is>
      </c>
      <c r="C16" s="119" t="inlineStr">
        <is>
          <t>Le Rivage</t>
        </is>
      </c>
      <c r="D16" s="120" t="inlineStr">
        <is>
          <t>2020 Valley View Cir</t>
        </is>
      </c>
      <c r="E16" s="120" t="inlineStr">
        <is>
          <t>Bossier City</t>
        </is>
      </c>
      <c r="F16" s="120" t="inlineStr">
        <is>
          <t>LA</t>
        </is>
      </c>
      <c r="G16" s="120" t="inlineStr">
        <is>
          <t>71111</t>
        </is>
      </c>
      <c r="H16" s="120" t="inlineStr">
        <is>
          <t>2.5 mi</t>
        </is>
      </c>
      <c r="I16" s="120" t="inlineStr">
        <is>
          <t>N/A (Market Rate)</t>
        </is>
      </c>
      <c r="J16" s="120" t="inlineStr">
        <is>
          <t>N/A (Market Rate)</t>
        </is>
      </c>
      <c r="K16" s="121" t="inlineStr">
        <is>
          <t>N/A (Market Rate)</t>
        </is>
      </c>
      <c r="L16" s="159" t="n">
        <v>1545</v>
      </c>
      <c r="M16" s="122" t="inlineStr">
        <is>
          <t>N/A (Market Rate)</t>
        </is>
      </c>
      <c r="N16" s="122" t="inlineStr">
        <is>
          <t>N/A (Market Rate)</t>
        </is>
      </c>
      <c r="O16" s="121" t="inlineStr">
        <is>
          <t>N/A (Market Rate)</t>
        </is>
      </c>
      <c r="P16" s="159" t="n">
        <v>1785</v>
      </c>
      <c r="Q16" s="122" t="inlineStr">
        <is>
          <t>$1,457</t>
        </is>
      </c>
      <c r="R16" s="122" t="inlineStr">
        <is>
          <t>$1,457</t>
        </is>
      </c>
      <c r="S16" s="122" t="inlineStr">
        <is>
          <t>$1,457</t>
        </is>
      </c>
      <c r="T16" s="122" t="inlineStr">
        <is>
          <t>N/A</t>
        </is>
      </c>
      <c r="U16" s="122" t="inlineStr">
        <is>
          <t>N/A</t>
        </is>
      </c>
      <c r="V16" s="122" t="inlineStr">
        <is>
          <t>N/A</t>
        </is>
      </c>
      <c r="W16" s="122" t="inlineStr">
        <is>
          <t>N/A</t>
        </is>
      </c>
      <c r="X16" s="122" t="inlineStr">
        <is>
          <t>N/A</t>
        </is>
      </c>
      <c r="Y16" s="84" t="inlineStr">
        <is>
          <t>N/A</t>
        </is>
      </c>
      <c r="Z16" s="123" t="inlineStr">
        <is>
          <t>N/A</t>
        </is>
      </c>
      <c r="AA16" s="124" t="inlineStr">
        <is>
          <t>N/A</t>
        </is>
      </c>
      <c r="AB16" s="134" t="inlineStr">
        <is>
          <t>N/A</t>
        </is>
      </c>
      <c r="AC16" s="136" t="inlineStr">
        <is>
          <t>BENCHMARK</t>
        </is>
      </c>
      <c r="AD16" s="136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136" t="inlineStr">
        <is>
          <t>HUD FMR Database (huduser.gov)</t>
        </is>
      </c>
      <c r="AF16" s="136" t="n"/>
      <c r="AG16" s="136" t="n"/>
      <c r="AH16" s="136" t="n"/>
      <c r="AI16" s="136" t="n"/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n">
        <v>6</v>
      </c>
      <c r="B17" s="88" t="inlineStr">
        <is>
          <t>MARKET RATE</t>
        </is>
      </c>
      <c r="C17" s="89" t="inlineStr">
        <is>
          <t>Reserve of Bossier City</t>
        </is>
      </c>
      <c r="D17" s="87" t="inlineStr">
        <is>
          <t>4855 Airline Dr</t>
        </is>
      </c>
      <c r="E17" s="87" t="inlineStr">
        <is>
          <t>Bossier City</t>
        </is>
      </c>
      <c r="F17" s="87" t="inlineStr">
        <is>
          <t>LA</t>
        </is>
      </c>
      <c r="G17" s="87" t="inlineStr">
        <is>
          <t>71111</t>
        </is>
      </c>
      <c r="H17" s="87" t="inlineStr">
        <is>
          <t>1.8 mi</t>
        </is>
      </c>
      <c r="I17" s="87" t="inlineStr">
        <is>
          <t>N/A (Market Rate)</t>
        </is>
      </c>
      <c r="J17" s="87" t="inlineStr">
        <is>
          <t>N/A (Market Rate)</t>
        </is>
      </c>
      <c r="K17" s="90" t="inlineStr">
        <is>
          <t>N/A (Market Rate)</t>
        </is>
      </c>
      <c r="L17" s="161" t="n">
        <v>1400</v>
      </c>
      <c r="M17" s="92" t="inlineStr">
        <is>
          <t>N/A (Market Rate)</t>
        </is>
      </c>
      <c r="N17" s="92" t="inlineStr">
        <is>
          <t>N/A (Market Rate)</t>
        </is>
      </c>
      <c r="O17" s="90" t="inlineStr">
        <is>
          <t>N/A (Market Rate)</t>
        </is>
      </c>
      <c r="P17" s="161" t="n">
        <v>1500</v>
      </c>
      <c r="Q17" s="92" t="inlineStr">
        <is>
          <t>$1,602</t>
        </is>
      </c>
      <c r="R17" s="92" t="inlineStr">
        <is>
          <t>$1,602</t>
        </is>
      </c>
      <c r="S17" s="92" t="inlineStr">
        <is>
          <t>$1,602</t>
        </is>
      </c>
      <c r="T17" s="92" t="inlineStr">
        <is>
          <t>N/A</t>
        </is>
      </c>
      <c r="U17" s="92" t="inlineStr">
        <is>
          <t>N/A</t>
        </is>
      </c>
      <c r="V17" s="92" t="inlineStr">
        <is>
          <t>N/A</t>
        </is>
      </c>
      <c r="W17" s="92" t="inlineStr">
        <is>
          <t>N/A</t>
        </is>
      </c>
      <c r="X17" s="92" t="inlineStr">
        <is>
          <t>N/A</t>
        </is>
      </c>
      <c r="Y17" s="93" t="inlineStr">
        <is>
          <t>N/A</t>
        </is>
      </c>
      <c r="Z17" s="94" t="inlineStr">
        <is>
          <t>N/A</t>
        </is>
      </c>
      <c r="AA17" s="92" t="inlineStr">
        <is>
          <t>N/A</t>
        </is>
      </c>
      <c r="AB17" s="136" t="inlineStr">
        <is>
          <t>N/A</t>
        </is>
      </c>
      <c r="AC17" s="136" t="inlineStr">
        <is>
          <t>BENCHMARK</t>
        </is>
      </c>
      <c r="AD17" s="136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136" t="inlineStr">
        <is>
          <t>HUD FMR + Market Estimate</t>
        </is>
      </c>
      <c r="AF17" s="136" t="n"/>
      <c r="AG17" s="136" t="n"/>
      <c r="AH17" s="136" t="n"/>
      <c r="AI17" s="136" t="n"/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F19" s="136" t="n"/>
      <c r="AG19" s="136" t="n"/>
      <c r="AH19" s="136" t="n"/>
      <c r="AI19" s="136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Height="1" s="131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Format="1" customHeight="1" s="2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Format="1" customHeight="1" s="2">
      <c r="A25" s="372" t="n"/>
      <c r="B25" s="201" t="inlineStr">
        <is>
          <t>2BD</t>
        </is>
      </c>
      <c r="C25" s="194" t="n"/>
      <c r="D25" s="200" t="n">
        <v>1407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Format="1" customHeight="1" s="2">
      <c r="A26" s="372" t="n"/>
      <c r="B26" s="201" t="inlineStr">
        <is>
          <t>3BD</t>
        </is>
      </c>
      <c r="C26" s="194" t="n"/>
      <c r="D26" s="200" t="n">
        <v>1629</v>
      </c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24.75" customHeight="1" s="131">
      <c r="A27" s="369" t="n"/>
      <c r="B27" s="201" t="inlineStr">
        <is>
          <t>4BD</t>
        </is>
      </c>
      <c r="C27" s="194" t="n"/>
      <c r="D27" s="200" t="n"/>
      <c r="E27" s="195" t="n"/>
      <c r="F27" s="183" t="n"/>
      <c r="G27" s="183" t="n"/>
      <c r="H27" s="183" t="n"/>
      <c r="I27" s="183" t="n"/>
      <c r="J27" s="183" t="n"/>
      <c r="K27" s="302" t="n"/>
      <c r="L27" s="302" t="n"/>
      <c r="M27" s="302" t="n"/>
      <c r="N27" s="302" t="n"/>
      <c r="O27" s="343" t="n"/>
      <c r="P27" s="302" t="n"/>
      <c r="Q27" s="302" t="n"/>
      <c r="R27" s="302" t="n"/>
      <c r="S27" s="302" t="n"/>
      <c r="T27" s="302" t="n"/>
      <c r="U27" s="302" t="n"/>
      <c r="V27" s="302" t="n"/>
      <c r="W27" s="302" t="n"/>
      <c r="X27" s="302" t="n"/>
      <c r="Y27" s="302" t="n"/>
      <c r="Z27" s="302" t="n"/>
      <c r="AA27" s="353" t="n"/>
      <c r="AB27" s="302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8.1" customHeight="1" s="131">
      <c r="A28" s="382" t="n"/>
      <c r="B28" s="404" t="n"/>
      <c r="C28" s="404" t="n"/>
      <c r="D28" s="404" t="n"/>
      <c r="E28" s="404" t="n"/>
      <c r="F28" s="382" t="n"/>
      <c r="G28" s="369" t="n"/>
      <c r="H28" s="369" t="n"/>
      <c r="I28" s="369" t="n"/>
      <c r="J28" s="369" t="n"/>
      <c r="K28" s="369" t="n"/>
      <c r="L28" s="134" t="n"/>
      <c r="M28" s="134" t="n"/>
      <c r="N28" s="134" t="n"/>
      <c r="O28" s="134" t="n"/>
      <c r="P28" s="134" t="n"/>
      <c r="Q28" s="134" t="n"/>
      <c r="R28" s="134" t="n"/>
      <c r="S28" s="134" t="n"/>
      <c r="T28" s="134" t="n"/>
      <c r="U28" s="134" t="n"/>
      <c r="V28" s="134" t="n"/>
      <c r="W28" s="134" t="n"/>
      <c r="X28" s="134" t="n"/>
      <c r="Y28" s="134" t="n"/>
      <c r="Z28" s="135" t="n"/>
      <c r="AA28" s="134" t="n"/>
      <c r="AB28" s="134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24.75" customFormat="1" customHeight="1" s="2">
      <c r="A29" s="302" t="n"/>
      <c r="B29" s="211" t="inlineStr">
        <is>
          <t>PMTS — Vouchers / FMR / UAP / NET</t>
        </is>
      </c>
      <c r="G29" s="365" t="n"/>
      <c r="H29" s="183" t="n"/>
      <c r="I29" s="183" t="n"/>
      <c r="J29" s="183" t="n"/>
      <c r="K29" s="302" t="n"/>
      <c r="L29" s="302" t="n"/>
      <c r="M29" s="302" t="n"/>
      <c r="N29" s="302" t="n"/>
      <c r="O29" s="302" t="n"/>
      <c r="P29" s="302" t="n"/>
      <c r="Q29" s="302" t="n"/>
      <c r="R29" s="302" t="n"/>
      <c r="S29" s="302" t="n"/>
      <c r="T29" s="302" t="n"/>
      <c r="U29" s="302" t="n"/>
      <c r="V29" s="302" t="n"/>
      <c r="W29" s="302" t="n"/>
      <c r="X29" s="302" t="n"/>
      <c r="Y29" s="302" t="n"/>
      <c r="Z29" s="302" t="n"/>
      <c r="AA29" s="353" t="n"/>
      <c r="AB29" s="302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15.95" customFormat="1" customHeight="1" s="2">
      <c r="A30" s="302" t="n"/>
      <c r="B30" s="226" t="n"/>
      <c r="C30" s="213" t="inlineStr">
        <is>
          <t>MKT</t>
        </is>
      </c>
      <c r="D30" s="213" t="inlineStr">
        <is>
          <t>VCH</t>
        </is>
      </c>
      <c r="E30" s="214" t="inlineStr">
        <is>
          <t>FMR</t>
        </is>
      </c>
      <c r="F30" s="215" t="inlineStr">
        <is>
          <t>UAP</t>
        </is>
      </c>
      <c r="G30" s="216" t="inlineStr">
        <is>
          <t>NET</t>
        </is>
      </c>
      <c r="H30" s="183" t="n"/>
      <c r="I30" s="183" t="n"/>
      <c r="J30" s="183" t="n"/>
      <c r="K30" s="302" t="n"/>
      <c r="L30" s="302" t="n"/>
      <c r="M30" s="302" t="n"/>
      <c r="N30" s="302" t="n"/>
      <c r="O30" s="302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24.75" customFormat="1" customHeight="1" s="2">
      <c r="A31" s="372" t="n"/>
      <c r="B31" s="217" t="inlineStr">
        <is>
          <t>2BD</t>
        </is>
      </c>
      <c r="C31" s="197" t="n">
        <v>0</v>
      </c>
      <c r="D31" s="197" t="n">
        <v>1100</v>
      </c>
      <c r="E31" s="198" t="n">
        <v>980</v>
      </c>
      <c r="F31" s="199" t="n">
        <v>169</v>
      </c>
      <c r="G31" s="218" t="n">
        <v>811</v>
      </c>
      <c r="H31" s="183" t="n"/>
      <c r="I31" s="183" t="n"/>
      <c r="J31" s="183" t="n"/>
      <c r="K31" s="302" t="n"/>
      <c r="L31" s="302" t="n"/>
      <c r="M31" s="302" t="n"/>
      <c r="N31" s="302" t="n"/>
      <c r="O31" s="343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24.75" customFormat="1" customHeight="1" s="2">
      <c r="A32" s="369" t="n"/>
      <c r="B32" s="217" t="inlineStr">
        <is>
          <t>3BD</t>
        </is>
      </c>
      <c r="C32" s="197" t="n">
        <v>0</v>
      </c>
      <c r="D32" s="197" t="n">
        <v>1300</v>
      </c>
      <c r="E32" s="198" t="n">
        <v>1270</v>
      </c>
      <c r="F32" s="199" t="n">
        <v>212</v>
      </c>
      <c r="G32" s="218" t="n">
        <v>1058</v>
      </c>
      <c r="H32" s="183" t="n"/>
      <c r="I32" s="183" t="n"/>
      <c r="J32" s="183" t="n"/>
      <c r="K32" s="302" t="n"/>
      <c r="L32" s="302" t="n"/>
      <c r="M32" s="302" t="n"/>
      <c r="N32" s="302" t="n"/>
      <c r="O32" s="343" t="n"/>
      <c r="P32" s="302" t="n"/>
      <c r="Q32" s="302" t="n"/>
      <c r="R32" s="302" t="n"/>
      <c r="S32" s="302" t="n"/>
      <c r="T32" s="302" t="n"/>
      <c r="U32" s="302" t="n"/>
      <c r="V32" s="302" t="n"/>
      <c r="W32" s="302" t="n"/>
      <c r="X32" s="302" t="n"/>
      <c r="Y32" s="302" t="n"/>
      <c r="Z32" s="302" t="n"/>
      <c r="AA32" s="353" t="n"/>
      <c r="AB32" s="302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24.75" customFormat="1" customHeight="1" s="2">
      <c r="A33" s="382" t="n"/>
      <c r="B33" s="217" t="inlineStr">
        <is>
          <t>4BD</t>
        </is>
      </c>
      <c r="C33" s="197" t="n">
        <v>0</v>
      </c>
      <c r="D33" s="197" t="n">
        <v>1400</v>
      </c>
      <c r="E33" s="198" t="n">
        <v>1340</v>
      </c>
      <c r="F33" s="199" t="n">
        <v>258</v>
      </c>
      <c r="G33" s="218" t="n">
        <v>1082</v>
      </c>
      <c r="H33" s="183" t="n"/>
      <c r="I33" s="183" t="n"/>
      <c r="J33" s="183" t="n"/>
      <c r="K33" s="302" t="n"/>
      <c r="L33" s="302" t="n"/>
      <c r="M33" s="302" t="n"/>
      <c r="N33" s="302" t="n"/>
      <c r="O33" s="343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8.1" customHeight="1" s="131">
      <c r="A34" s="372" t="n"/>
      <c r="B34" s="372" t="n"/>
      <c r="C34" s="372" t="n"/>
      <c r="D34" s="372" t="n"/>
      <c r="E34" s="372" t="n"/>
      <c r="F34" s="369" t="n"/>
      <c r="G34" s="369" t="n"/>
      <c r="H34" s="369" t="n"/>
      <c r="I34" s="369" t="n"/>
      <c r="J34" s="369" t="n"/>
      <c r="K34" s="369" t="n"/>
      <c r="L34" s="136" t="n"/>
      <c r="M34" s="136" t="n"/>
      <c r="N34" s="136" t="n"/>
      <c r="O34" s="136" t="n"/>
      <c r="P34" s="136" t="n"/>
      <c r="Q34" s="136" t="n"/>
      <c r="R34" s="136" t="n"/>
      <c r="S34" s="136" t="n"/>
      <c r="T34" s="136" t="n"/>
      <c r="U34" s="136" t="n"/>
      <c r="V34" s="136" t="n"/>
      <c r="W34" s="136" t="n"/>
      <c r="X34" s="136" t="n"/>
      <c r="Y34" s="136" t="n"/>
      <c r="Z34" s="136" t="n"/>
      <c r="AA34" s="136" t="n"/>
      <c r="AB34" s="136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24.75" customHeight="1" s="131">
      <c r="A35" s="302" t="n"/>
      <c r="B35" s="366" t="inlineStr">
        <is>
          <t>LIHTC, UAP, NET</t>
        </is>
      </c>
      <c r="C35" s="358" t="n"/>
      <c r="D35" s="358" t="n"/>
      <c r="E35" s="358" t="n"/>
      <c r="F35" s="358" t="n"/>
      <c r="G35" s="359" t="n"/>
      <c r="H35" s="183" t="n"/>
      <c r="I35" s="183" t="n"/>
      <c r="J35" s="183" t="n"/>
      <c r="K35" s="302" t="n"/>
      <c r="L35" s="302" t="n"/>
      <c r="M35" s="302" t="n"/>
      <c r="N35" s="302" t="n"/>
      <c r="O35" s="302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16.5" customFormat="1" customHeight="1" s="2">
      <c r="A36" s="369" t="n"/>
      <c r="B36" s="226" t="n"/>
      <c r="C36" s="228" t="inlineStr">
        <is>
          <t>LIHTC/MKT</t>
        </is>
      </c>
      <c r="D36" s="228" t="inlineStr">
        <is>
          <t>60%</t>
        </is>
      </c>
      <c r="E36" s="215" t="inlineStr">
        <is>
          <t>UAP</t>
        </is>
      </c>
      <c r="F36" s="216" t="inlineStr">
        <is>
          <t>NET</t>
        </is>
      </c>
      <c r="G36" s="183" t="n"/>
      <c r="H36" s="183" t="n"/>
      <c r="I36" s="183" t="n"/>
      <c r="J36" s="183" t="n"/>
      <c r="K36" s="302" t="n"/>
      <c r="L36" s="302" t="n"/>
      <c r="M36" s="302" t="n"/>
      <c r="N36" s="302" t="n"/>
      <c r="O36" s="343" t="n"/>
      <c r="P36" s="302" t="n"/>
      <c r="Q36" s="302" t="n"/>
      <c r="R36" s="302" t="n"/>
      <c r="S36" s="302" t="n"/>
      <c r="T36" s="302" t="n"/>
      <c r="U36" s="302" t="n"/>
      <c r="V36" s="302" t="n"/>
      <c r="W36" s="302" t="n"/>
      <c r="X36" s="302" t="n"/>
      <c r="Y36" s="302" t="n"/>
      <c r="Z36" s="302" t="n"/>
      <c r="AA36" s="353" t="n"/>
      <c r="AB36" s="302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24.75" customFormat="1" customHeight="1" s="2">
      <c r="A37" s="369" t="n"/>
      <c r="B37" s="224" t="inlineStr">
        <is>
          <t>2BD</t>
        </is>
      </c>
      <c r="C37" s="225" t="n">
        <v>1104</v>
      </c>
      <c r="D37" s="225" t="n">
        <v>865</v>
      </c>
      <c r="E37" s="225" t="n">
        <v>169</v>
      </c>
      <c r="F37" s="223" t="n">
        <v>696</v>
      </c>
      <c r="G37" s="183" t="n"/>
      <c r="H37" s="183" t="n"/>
      <c r="I37" s="183" t="n"/>
      <c r="J37" s="183" t="n"/>
      <c r="K37" s="302" t="n"/>
      <c r="L37" s="302" t="n"/>
      <c r="M37" s="302" t="n"/>
      <c r="N37" s="302" t="n"/>
      <c r="O37" s="343" t="n"/>
      <c r="P37" s="302" t="n"/>
      <c r="Q37" s="302" t="n"/>
      <c r="R37" s="302" t="n"/>
      <c r="S37" s="302" t="n"/>
      <c r="T37" s="302" t="n"/>
      <c r="U37" s="302" t="n"/>
      <c r="V37" s="302" t="n"/>
      <c r="W37" s="302" t="n"/>
      <c r="X37" s="302" t="n"/>
      <c r="Y37" s="302" t="n"/>
      <c r="Z37" s="302" t="n"/>
      <c r="AA37" s="353" t="n"/>
      <c r="AB37" s="302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24.75" customFormat="1" customHeight="1" s="2">
      <c r="A38" s="372" t="n"/>
      <c r="B38" s="224" t="inlineStr">
        <is>
          <t>3BD</t>
        </is>
      </c>
      <c r="C38" s="225" t="n">
        <v>1275</v>
      </c>
      <c r="D38" s="225" t="n">
        <v>961</v>
      </c>
      <c r="E38" s="225" t="n">
        <v>212</v>
      </c>
      <c r="F38" s="223" t="n">
        <v>749</v>
      </c>
      <c r="G38" s="183" t="n"/>
      <c r="H38" s="183" t="n"/>
      <c r="I38" s="183" t="n"/>
      <c r="J38" s="183" t="n"/>
      <c r="K38" s="302" t="n"/>
      <c r="L38" s="302" t="n"/>
      <c r="M38" s="302" t="n"/>
      <c r="N38" s="302" t="n"/>
      <c r="O38" s="343" t="n"/>
      <c r="P38" s="302" t="n"/>
      <c r="Q38" s="302" t="n"/>
      <c r="R38" s="302" t="n"/>
      <c r="S38" s="302" t="n"/>
      <c r="T38" s="302" t="n"/>
      <c r="U38" s="302" t="n"/>
      <c r="V38" s="302" t="n"/>
      <c r="W38" s="302" t="n"/>
      <c r="X38" s="302" t="n"/>
      <c r="Y38" s="302" t="n"/>
      <c r="Z38" s="302" t="n"/>
      <c r="AA38" s="353" t="n"/>
      <c r="AB38" s="302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24.75" customFormat="1" customHeight="1" s="2">
      <c r="A39" s="372" t="n"/>
      <c r="B39" s="224" t="inlineStr">
        <is>
          <t>4BD</t>
        </is>
      </c>
      <c r="C39" s="225" t="n">
        <v>1422</v>
      </c>
      <c r="D39" s="225" t="n">
        <v>1051</v>
      </c>
      <c r="E39" s="225" t="n">
        <v>258</v>
      </c>
      <c r="F39" s="223" t="n">
        <v>793</v>
      </c>
      <c r="G39" s="183" t="n"/>
      <c r="H39" s="183" t="n"/>
      <c r="I39" s="183" t="n"/>
      <c r="J39" s="183" t="n"/>
      <c r="K39" s="302" t="n"/>
      <c r="L39" s="302" t="n"/>
      <c r="M39" s="302" t="n"/>
      <c r="N39" s="302" t="n"/>
      <c r="O39" s="343" t="n"/>
      <c r="P39" s="302" t="n"/>
      <c r="Q39" s="302" t="n"/>
      <c r="R39" s="302" t="n"/>
      <c r="S39" s="302" t="n"/>
      <c r="T39" s="302" t="n"/>
      <c r="U39" s="302" t="n"/>
      <c r="V39" s="302" t="n"/>
      <c r="W39" s="302" t="n"/>
      <c r="X39" s="302" t="n"/>
      <c r="Y39" s="302" t="n"/>
      <c r="Z39" s="302" t="n"/>
      <c r="AA39" s="353" t="n"/>
      <c r="AB39" s="302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ht="18" customFormat="1" customHeight="1" s="2">
      <c r="A40" s="372" t="n"/>
      <c r="B40" s="392" t="n"/>
      <c r="C40" s="392" t="n"/>
      <c r="D40" s="369" t="n"/>
      <c r="E40" s="369" t="n"/>
      <c r="F40" s="369" t="n"/>
      <c r="G40" s="369" t="n"/>
      <c r="H40" s="369" t="n"/>
      <c r="I40" s="369" t="n"/>
      <c r="J40" s="369" t="n"/>
      <c r="K40" s="369" t="n"/>
      <c r="L40" s="136" t="n"/>
      <c r="M40" s="136" t="n"/>
      <c r="N40" s="136" t="n"/>
      <c r="O40" s="136" t="n"/>
      <c r="P40" s="136" t="n"/>
      <c r="Q40" s="136" t="n"/>
      <c r="R40" s="136" t="n"/>
      <c r="S40" s="136" t="n"/>
      <c r="T40" s="136" t="n"/>
      <c r="U40" s="136" t="n"/>
      <c r="V40" s="136" t="n"/>
      <c r="W40" s="136" t="n"/>
      <c r="X40" s="136" t="n"/>
      <c r="Y40" s="136" t="n"/>
      <c r="Z40" s="136" t="n"/>
      <c r="AA40" s="136" t="n"/>
      <c r="AB40" s="136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ht="18" customHeight="1" s="131">
      <c r="A41" s="369" t="n"/>
      <c r="B41" s="371" t="n"/>
      <c r="C41" s="371" t="n"/>
      <c r="D41" s="371" t="n"/>
      <c r="E41" s="371" t="n"/>
      <c r="F41" s="371" t="n"/>
      <c r="G41" s="369" t="n"/>
      <c r="H41" s="369" t="n"/>
      <c r="I41" s="369" t="n"/>
      <c r="J41" s="369" t="n"/>
      <c r="K41" s="369" t="n"/>
      <c r="L41" s="136" t="n"/>
      <c r="M41" s="136" t="n"/>
      <c r="N41" s="136" t="n"/>
      <c r="O41" s="136" t="n"/>
      <c r="P41" s="136" t="n"/>
      <c r="Q41" s="136" t="n"/>
      <c r="R41" s="136" t="n"/>
      <c r="S41" s="136" t="n"/>
      <c r="T41" s="136" t="n"/>
      <c r="U41" s="136" t="n"/>
      <c r="V41" s="136" t="n"/>
      <c r="W41" s="136" t="n"/>
      <c r="X41" s="136" t="n"/>
      <c r="Y41" s="136" t="n"/>
      <c r="Z41" s="136" t="n"/>
      <c r="AA41" s="136" t="n"/>
      <c r="AB41" s="136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ht="24.75" customHeight="1" s="131">
      <c r="A42" s="302" t="n"/>
      <c r="B42" s="207" t="inlineStr">
        <is>
          <t>HAP, CoStar, NET</t>
        </is>
      </c>
      <c r="H42" s="183" t="n"/>
      <c r="I42" s="183" t="n"/>
      <c r="J42" s="183" t="n"/>
      <c r="K42" s="302" t="n"/>
      <c r="L42" s="302" t="n"/>
      <c r="M42" s="302" t="n"/>
      <c r="N42" s="302" t="n"/>
      <c r="O42" s="302" t="n"/>
      <c r="P42" s="302" t="n"/>
      <c r="Q42" s="302" t="n"/>
      <c r="R42" s="302" t="n"/>
      <c r="S42" s="302" t="n"/>
      <c r="T42" s="302" t="n"/>
      <c r="U42" s="302" t="n"/>
      <c r="V42" s="302" t="n"/>
      <c r="W42" s="302" t="n"/>
      <c r="X42" s="302" t="n"/>
      <c r="Y42" s="302" t="n"/>
      <c r="Z42" s="302" t="n"/>
      <c r="AA42" s="353" t="n"/>
      <c r="AB42" s="302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ht="15.95" customHeight="1" s="131">
      <c r="A43" s="302" t="n"/>
      <c r="B43" s="227" t="n"/>
      <c r="C43" s="208" t="inlineStr">
        <is>
          <t>HAP</t>
        </is>
      </c>
      <c r="D43" s="209" t="inlineStr">
        <is>
          <t>CoStar</t>
        </is>
      </c>
      <c r="E43" s="302" t="n"/>
      <c r="F43" s="302" t="n"/>
      <c r="G43" s="302" t="n"/>
      <c r="H43" s="183" t="n"/>
      <c r="I43" s="183" t="n"/>
      <c r="J43" s="183" t="n"/>
      <c r="K43" s="302" t="n"/>
      <c r="L43" s="302" t="n"/>
      <c r="M43" s="302" t="n"/>
      <c r="N43" s="302" t="n"/>
      <c r="O43" s="302" t="n"/>
      <c r="P43" s="302" t="n"/>
      <c r="Q43" s="302" t="n"/>
      <c r="R43" s="302" t="n"/>
      <c r="S43" s="302" t="n"/>
      <c r="T43" s="302" t="n"/>
      <c r="U43" s="302" t="n"/>
      <c r="V43" s="302" t="n"/>
      <c r="W43" s="302" t="n"/>
      <c r="X43" s="302" t="n"/>
      <c r="Y43" s="302" t="n"/>
      <c r="Z43" s="302" t="n"/>
      <c r="AA43" s="353" t="n"/>
      <c r="AB43" s="302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ht="24.75" customHeight="1" s="131">
      <c r="A44" s="302" t="n"/>
      <c r="B44" s="196" t="inlineStr">
        <is>
          <t>2BD</t>
        </is>
      </c>
      <c r="C44" s="199" t="n">
        <v>0</v>
      </c>
      <c r="D44" s="198" t="n">
        <v>891</v>
      </c>
      <c r="E44" s="183" t="n"/>
      <c r="F44" s="183" t="n"/>
      <c r="G44" s="183" t="n"/>
      <c r="H44" s="183" t="n"/>
      <c r="I44" s="183" t="n"/>
      <c r="J44" s="183" t="n"/>
      <c r="K44" s="302" t="n"/>
      <c r="L44" s="302" t="n"/>
      <c r="M44" s="302" t="n"/>
      <c r="N44" s="302" t="n"/>
      <c r="O44" s="302" t="n"/>
      <c r="P44" s="302" t="n"/>
      <c r="Q44" s="302" t="n"/>
      <c r="R44" s="302" t="n"/>
      <c r="S44" s="302" t="n"/>
      <c r="T44" s="302" t="n"/>
      <c r="U44" s="302" t="n"/>
      <c r="V44" s="302" t="n"/>
      <c r="W44" s="302" t="n"/>
      <c r="X44" s="302" t="n"/>
      <c r="Y44" s="302" t="n"/>
      <c r="Z44" s="302" t="n"/>
      <c r="AA44" s="353" t="n"/>
      <c r="AB44" s="302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ht="24.75" customHeight="1" s="131">
      <c r="A45" s="302" t="n"/>
      <c r="B45" s="196" t="inlineStr">
        <is>
          <t>3BD</t>
        </is>
      </c>
      <c r="C45" s="199" t="n">
        <v>0</v>
      </c>
      <c r="D45" s="198" t="n">
        <v>1039</v>
      </c>
      <c r="E45" s="183" t="n"/>
      <c r="F45" s="183" t="n"/>
      <c r="G45" s="183" t="n"/>
      <c r="H45" s="183" t="n"/>
      <c r="I45" s="183" t="n"/>
      <c r="J45" s="183" t="n"/>
      <c r="K45" s="302" t="n"/>
      <c r="L45" s="302" t="n"/>
      <c r="M45" s="302" t="n"/>
      <c r="N45" s="302" t="n"/>
      <c r="O45" s="302" t="n"/>
      <c r="P45" s="302" t="n"/>
      <c r="Q45" s="302" t="n"/>
      <c r="R45" s="302" t="n"/>
      <c r="S45" s="302" t="n"/>
      <c r="T45" s="302" t="n"/>
      <c r="U45" s="302" t="n"/>
      <c r="V45" s="302" t="n"/>
      <c r="W45" s="302" t="n"/>
      <c r="X45" s="302" t="n"/>
      <c r="Y45" s="302" t="n"/>
      <c r="Z45" s="302" t="n"/>
      <c r="AA45" s="353" t="n"/>
      <c r="AB45" s="302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ht="24.75" customHeight="1" s="131">
      <c r="A46" s="302" t="n"/>
      <c r="B46" s="196" t="inlineStr">
        <is>
          <t>4BD</t>
        </is>
      </c>
      <c r="C46" s="199" t="n">
        <v>0</v>
      </c>
      <c r="D46" s="198" t="n">
        <v>850</v>
      </c>
      <c r="E46" s="183" t="n"/>
      <c r="F46" s="183" t="n"/>
      <c r="G46" s="183" t="n"/>
      <c r="H46" s="183" t="n"/>
      <c r="I46" s="183" t="n"/>
      <c r="J46" s="183" t="n"/>
      <c r="K46" s="302" t="n"/>
      <c r="L46" s="302" t="n"/>
      <c r="M46" s="302" t="n"/>
      <c r="N46" s="302" t="n"/>
      <c r="O46" s="302" t="n"/>
      <c r="P46" s="302" t="n"/>
      <c r="Q46" s="302" t="n"/>
      <c r="R46" s="302" t="n"/>
      <c r="S46" s="302" t="n"/>
      <c r="T46" s="302" t="n"/>
      <c r="U46" s="302" t="n"/>
      <c r="V46" s="302" t="n"/>
      <c r="W46" s="302" t="n"/>
      <c r="X46" s="302" t="n"/>
      <c r="Y46" s="302" t="n"/>
      <c r="Z46" s="302" t="n"/>
      <c r="AA46" s="353" t="n"/>
      <c r="AB46" s="302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s="131">
      <c r="A47" s="369" t="n"/>
      <c r="B47" s="369" t="n"/>
      <c r="C47" s="369" t="n"/>
      <c r="D47" s="369" t="n"/>
      <c r="E47" s="369" t="n"/>
      <c r="F47" s="369" t="n"/>
      <c r="G47" s="369" t="n"/>
      <c r="H47" s="369" t="n"/>
      <c r="I47" s="369" t="n"/>
      <c r="J47" s="369" t="n"/>
      <c r="K47" s="369" t="n"/>
      <c r="L47" s="136" t="n"/>
      <c r="M47" s="136" t="n"/>
      <c r="N47" s="136" t="n"/>
      <c r="O47" s="136" t="n"/>
      <c r="P47" s="136" t="n"/>
      <c r="Q47" s="136" t="n"/>
      <c r="R47" s="136" t="n"/>
      <c r="S47" s="136" t="n"/>
      <c r="T47" s="136" t="n"/>
      <c r="U47" s="136" t="n"/>
      <c r="V47" s="136" t="n"/>
      <c r="W47" s="136" t="n"/>
      <c r="X47" s="136" t="n"/>
      <c r="Y47" s="136" t="n"/>
      <c r="Z47" s="136" t="n"/>
      <c r="AA47" s="136" t="n"/>
      <c r="AB47" s="136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s="131">
      <c r="A48" s="369" t="n"/>
      <c r="B48" s="369" t="n"/>
      <c r="C48" s="369" t="n"/>
      <c r="D48" s="369" t="n"/>
      <c r="E48" s="369" t="n"/>
      <c r="F48" s="369" t="n"/>
      <c r="G48" s="369" t="n"/>
      <c r="H48" s="369" t="n"/>
      <c r="I48" s="369" t="n"/>
      <c r="J48" s="369" t="n"/>
      <c r="K48" s="369" t="n"/>
      <c r="L48" s="136" t="n"/>
      <c r="M48" s="136" t="n"/>
      <c r="N48" s="136" t="n"/>
      <c r="O48" s="136" t="n"/>
      <c r="P48" s="136" t="n"/>
      <c r="Q48" s="136" t="n"/>
      <c r="R48" s="136" t="n"/>
      <c r="S48" s="136" t="n"/>
      <c r="T48" s="136" t="n"/>
      <c r="U48" s="136" t="n"/>
      <c r="V48" s="136" t="n"/>
      <c r="W48" s="136" t="n"/>
      <c r="X48" s="136" t="n"/>
      <c r="Y48" s="136" t="n"/>
      <c r="Z48" s="136" t="n"/>
      <c r="AA48" s="136" t="n"/>
      <c r="AB48" s="136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s="131">
      <c r="A49" s="369" t="n"/>
      <c r="B49" s="369" t="n"/>
      <c r="C49" s="369" t="n"/>
      <c r="D49" s="369" t="n"/>
      <c r="E49" s="369" t="n"/>
      <c r="F49" s="369" t="n"/>
      <c r="G49" s="369" t="n"/>
      <c r="H49" s="369" t="n"/>
      <c r="I49" s="369" t="n"/>
      <c r="J49" s="369" t="n"/>
      <c r="K49" s="369" t="n"/>
      <c r="L49" s="136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6" t="n"/>
      <c r="Y49" s="136" t="n"/>
      <c r="Z49" s="136" t="n"/>
      <c r="AA49" s="136" t="n"/>
      <c r="AB49" s="136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s="131">
      <c r="A50" s="369" t="n"/>
      <c r="B50" s="369" t="n"/>
      <c r="C50" s="369" t="n"/>
      <c r="D50" s="369" t="n"/>
      <c r="E50" s="369" t="n"/>
      <c r="F50" s="369" t="n"/>
      <c r="G50" s="369" t="n"/>
      <c r="H50" s="369" t="n"/>
      <c r="I50" s="369" t="n"/>
      <c r="J50" s="369" t="n"/>
      <c r="K50" s="369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  <row r="51"/>
    <row r="52"/>
    <row r="53"/>
  </sheetData>
  <mergeCells count="9">
    <mergeCell ref="B4:AB4"/>
    <mergeCell ref="B42:G42"/>
    <mergeCell ref="B22:G22"/>
    <mergeCell ref="B2:AB2"/>
    <mergeCell ref="B23:G23"/>
    <mergeCell ref="B20:I20"/>
    <mergeCell ref="B35:G35"/>
    <mergeCell ref="B3:AB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GRANITE BAYOU | GREEN = Affordable Comps | BLUE = Market Rate Comps</t>
        </is>
      </c>
      <c r="B3" s="363" t="n"/>
      <c r="AB3" s="363" t="n"/>
      <c r="AC3" s="136" t="n"/>
      <c r="AD3" s="136" t="n"/>
      <c r="AE3" s="136" t="n"/>
      <c r="AF3" s="136" t="n"/>
      <c r="AG3" s="136" t="n"/>
      <c r="AH3" s="136" t="n"/>
      <c r="AI3" s="136" t="n"/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Granite Bayou | Baton Rouge, Baton Rouge, LA 70806 | 60 units | Program: LIHTC | Bedroom Mix: 3BR / 4BR | County AMI: $91,700 | FMR Area: Baton Rouge MSA</t>
        </is>
      </c>
      <c r="B4" s="363" t="n"/>
      <c r="AB4" s="363" t="n"/>
      <c r="AC4" s="136" t="n"/>
      <c r="AD4" s="136" t="n"/>
      <c r="AE4" s="136" t="n"/>
      <c r="AF4" s="136" t="n"/>
      <c r="AG4" s="136" t="n"/>
      <c r="AH4" s="136" t="n"/>
      <c r="AI4" s="136" t="n"/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B5" s="341" t="n"/>
      <c r="AC5" s="136" t="n"/>
      <c r="AD5" s="136" t="n"/>
      <c r="AE5" s="136" t="n"/>
      <c r="AF5" s="136" t="n"/>
      <c r="AG5" s="136" t="n"/>
      <c r="AH5" s="136" t="n"/>
      <c r="AI5" s="136" t="n"/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3BD 50% AMI ($)</t>
        </is>
      </c>
      <c r="J6" s="280" t="inlineStr">
        <is>
          <t>3BD 60% AMI ($)</t>
        </is>
      </c>
      <c r="K6" s="280" t="inlineStr">
        <is>
          <t>3BR FMR ($)</t>
        </is>
      </c>
      <c r="L6" s="335" t="inlineStr">
        <is>
          <t>3BR Actual ($)</t>
        </is>
      </c>
      <c r="M6" s="281" t="inlineStr">
        <is>
          <t>4BD 50% AMI ($)</t>
        </is>
      </c>
      <c r="N6" s="280" t="inlineStr">
        <is>
          <t>4BD 60% AMI ($)</t>
        </is>
      </c>
      <c r="O6" s="280" t="inlineStr">
        <is>
          <t>4BR FMR ($)</t>
        </is>
      </c>
      <c r="P6" s="335" t="inlineStr">
        <is>
          <t>4BR Actual ($)</t>
        </is>
      </c>
      <c r="Q6" s="281" t="inlineStr">
        <is>
          <t># Units</t>
        </is>
      </c>
      <c r="R6" s="280" t="inlineStr">
        <is>
          <t>Year Built</t>
        </is>
      </c>
      <c r="S6" s="280" t="inlineStr">
        <is>
          <t>Yr Diff</t>
        </is>
      </c>
      <c r="T6" s="339" t="inlineStr">
        <is>
          <t>Utilities Incl.</t>
        </is>
      </c>
      <c r="U6" s="339" t="inlineStr">
        <is>
          <t>Pet Friendly</t>
        </is>
      </c>
      <c r="V6" s="339" t="inlineStr">
        <is>
          <t>Gated</t>
        </is>
      </c>
      <c r="W6" s="339" t="inlineStr">
        <is>
          <t>Pool</t>
        </is>
      </c>
      <c r="X6" s="339" t="inlineStr">
        <is>
          <t>W/D In-Unit</t>
        </is>
      </c>
      <c r="Y6" s="339" t="inlineStr">
        <is>
          <t>Competition Level</t>
        </is>
      </c>
      <c r="Z6" s="336" t="inlineStr">
        <is>
          <t>Why Competitive</t>
        </is>
      </c>
      <c r="AA6" s="340" t="inlineStr">
        <is>
          <t>Data Source</t>
        </is>
      </c>
      <c r="AB6" s="342" t="n"/>
      <c r="AC6" s="136" t="n"/>
      <c r="AD6" s="136" t="n"/>
      <c r="AE6" s="136" t="n"/>
      <c r="AF6" s="136" t="n"/>
      <c r="AG6" s="136" t="n"/>
      <c r="AH6" s="136" t="n"/>
      <c r="AI6" s="136" t="n"/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Granite Bayou (SUBJECT)</t>
        </is>
      </c>
      <c r="D7" s="174" t="inlineStr">
        <is>
          <t>Baton Rouge</t>
        </is>
      </c>
      <c r="E7" s="174" t="inlineStr">
        <is>
          <t>Baton Rouge</t>
        </is>
      </c>
      <c r="F7" s="174" t="inlineStr">
        <is>
          <t>LA</t>
        </is>
      </c>
      <c r="G7" s="174" t="inlineStr">
        <is>
          <t>70806</t>
        </is>
      </c>
      <c r="H7" s="174" t="inlineStr">
        <is>
          <t>0.0 mi</t>
        </is>
      </c>
      <c r="I7" s="174" t="inlineStr">
        <is>
          <t>$3,820</t>
        </is>
      </c>
      <c r="J7" s="174" t="inlineStr">
        <is>
          <t>$4,585</t>
        </is>
      </c>
      <c r="K7" s="174" t="inlineStr">
        <is>
          <t>$1,573</t>
        </is>
      </c>
      <c r="L7" s="368">
        <f>B26</f>
        <v/>
      </c>
      <c r="M7" s="174" t="inlineStr">
        <is>
          <t>$4,129</t>
        </is>
      </c>
      <c r="N7" s="174" t="inlineStr">
        <is>
          <t>$4,955</t>
        </is>
      </c>
      <c r="O7" s="174" t="inlineStr">
        <is>
          <t>$1,818</t>
        </is>
      </c>
      <c r="P7" s="368">
        <f>B27</f>
        <v/>
      </c>
      <c r="Q7" s="174" t="inlineStr">
        <is>
          <t>60</t>
        </is>
      </c>
      <c r="R7" s="174" t="inlineStr">
        <is>
          <t>2000</t>
        </is>
      </c>
      <c r="S7" s="174" t="inlineStr">
        <is>
          <t>0</t>
        </is>
      </c>
      <c r="T7" s="174" t="inlineStr">
        <is>
          <t>No</t>
        </is>
      </c>
      <c r="U7" s="174" t="inlineStr">
        <is>
          <t>No</t>
        </is>
      </c>
      <c r="V7" s="174" t="inlineStr">
        <is>
          <t>No</t>
        </is>
      </c>
      <c r="W7" s="174" t="inlineStr">
        <is>
          <t>No</t>
        </is>
      </c>
      <c r="X7" s="174" t="inlineStr">
        <is>
          <t>No</t>
        </is>
      </c>
      <c r="Y7" s="42" t="inlineStr">
        <is>
          <t>SUBJECT</t>
        </is>
      </c>
      <c r="Z7" s="55" t="inlineStr">
        <is>
          <t>60 units | LIHTC property. Year built: 2000. Subject property for market context.</t>
        </is>
      </c>
      <c r="AA7" s="40" t="inlineStr">
        <is>
          <t>Apartment Corp Records</t>
        </is>
      </c>
      <c r="AB7" s="136" t="n"/>
      <c r="AC7" s="136" t="n"/>
      <c r="AD7" s="136" t="n"/>
      <c r="AE7" s="136" t="n"/>
      <c r="AF7" s="136" t="n"/>
      <c r="AG7" s="136" t="n"/>
      <c r="AH7" s="136" t="n"/>
      <c r="AI7" s="136" t="n"/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Pelican Bay Ii</t>
        </is>
      </c>
      <c r="D8" s="59" t="inlineStr">
        <is>
          <t>2121 N. Lobdell Blvd.</t>
        </is>
      </c>
      <c r="E8" s="59" t="inlineStr">
        <is>
          <t>Baton Rouge</t>
        </is>
      </c>
      <c r="F8" s="59" t="inlineStr">
        <is>
          <t>LA</t>
        </is>
      </c>
      <c r="G8" s="59" t="inlineStr">
        <is>
          <t>70806-0000</t>
        </is>
      </c>
      <c r="H8" s="59" t="inlineStr">
        <is>
          <t>4.1 mi</t>
        </is>
      </c>
      <c r="I8" s="59" t="inlineStr">
        <is>
          <t>$3,820</t>
        </is>
      </c>
      <c r="J8" s="59" t="inlineStr">
        <is>
          <t>$4,585</t>
        </is>
      </c>
      <c r="K8" s="41" t="inlineStr">
        <is>
          <t>$1,573</t>
        </is>
      </c>
      <c r="L8" s="53" t="inlineStr">
        <is>
          <t>$1,247</t>
        </is>
      </c>
      <c r="M8" s="43" t="inlineStr">
        <is>
          <t>$4,129</t>
        </is>
      </c>
      <c r="N8" s="43" t="inlineStr">
        <is>
          <t>$4,955</t>
        </is>
      </c>
      <c r="O8" s="41" t="inlineStr">
        <is>
          <t>$1,818</t>
        </is>
      </c>
      <c r="P8" s="53" t="inlineStr">
        <is>
          <t>$1,447</t>
        </is>
      </c>
      <c r="Q8" s="43" t="inlineStr">
        <is>
          <t>52</t>
        </is>
      </c>
      <c r="R8" s="43" t="inlineStr">
        <is>
          <t>2000</t>
        </is>
      </c>
      <c r="S8" s="43" t="inlineStr">
        <is>
          <t>0</t>
        </is>
      </c>
      <c r="T8" s="43" t="inlineStr">
        <is>
          <t>Yes</t>
        </is>
      </c>
      <c r="U8" s="43" t="inlineStr">
        <is>
          <t>No</t>
        </is>
      </c>
      <c r="V8" s="43" t="inlineStr">
        <is>
          <t>No</t>
        </is>
      </c>
      <c r="W8" s="43" t="inlineStr">
        <is>
          <t>No</t>
        </is>
      </c>
      <c r="X8" s="43" t="inlineStr">
        <is>
          <t>No</t>
        </is>
      </c>
      <c r="Y8" s="44" t="inlineStr">
        <is>
          <t>HIGH</t>
        </is>
      </c>
      <c r="Z8" s="56" t="inlineStr">
        <is>
          <t>Affordable Comp #1: LIHTC property, 2000 vintage (0 yr diff), 52 units, 4.1 mi from subject. Same income-eligible renter pool.</t>
        </is>
      </c>
      <c r="AA8" s="43" t="inlineStr">
        <is>
          <t>HUD LIHTC Database (huduser.gov)</t>
        </is>
      </c>
      <c r="AB8" s="136" t="n"/>
      <c r="AC8" s="136" t="n"/>
      <c r="AD8" s="136" t="n"/>
      <c r="AE8" s="136" t="n"/>
      <c r="AF8" s="136" t="n"/>
      <c r="AG8" s="136" t="n"/>
      <c r="AH8" s="136" t="n"/>
      <c r="AI8" s="136" t="n"/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Newport Villa</t>
        </is>
      </c>
      <c r="D9" s="125" t="inlineStr">
        <is>
          <t>1737 La Annie Dr</t>
        </is>
      </c>
      <c r="E9" s="125" t="inlineStr">
        <is>
          <t>Baton Rouge</t>
        </is>
      </c>
      <c r="F9" s="125" t="inlineStr">
        <is>
          <t>LA</t>
        </is>
      </c>
      <c r="G9" s="125" t="inlineStr">
        <is>
          <t>70815</t>
        </is>
      </c>
      <c r="H9" s="125" t="inlineStr">
        <is>
          <t>8.6 mi</t>
        </is>
      </c>
      <c r="I9" s="125" t="inlineStr">
        <is>
          <t>$3,820</t>
        </is>
      </c>
      <c r="J9" s="125" t="inlineStr">
        <is>
          <t>$4,585</t>
        </is>
      </c>
      <c r="K9" s="85" t="inlineStr">
        <is>
          <t>$1,573</t>
        </is>
      </c>
      <c r="L9" s="86" t="inlineStr">
        <is>
          <t>Not Listed</t>
        </is>
      </c>
      <c r="M9" s="128" t="inlineStr">
        <is>
          <t>$4,129</t>
        </is>
      </c>
      <c r="N9" s="128" t="inlineStr">
        <is>
          <t>$4,955</t>
        </is>
      </c>
      <c r="O9" s="85" t="inlineStr">
        <is>
          <t>$1,818</t>
        </is>
      </c>
      <c r="P9" s="86" t="inlineStr">
        <is>
          <t>Not Listed</t>
        </is>
      </c>
      <c r="Q9" s="128" t="inlineStr">
        <is>
          <t>94</t>
        </is>
      </c>
      <c r="R9" s="128" t="inlineStr">
        <is>
          <t>2000</t>
        </is>
      </c>
      <c r="S9" s="128" t="inlineStr">
        <is>
          <t>0</t>
        </is>
      </c>
      <c r="T9" s="128" t="inlineStr">
        <is>
          <t>Yes</t>
        </is>
      </c>
      <c r="U9" s="128" t="inlineStr">
        <is>
          <t>No</t>
        </is>
      </c>
      <c r="V9" s="128" t="inlineStr">
        <is>
          <t>No</t>
        </is>
      </c>
      <c r="W9" s="128" t="inlineStr">
        <is>
          <t>No</t>
        </is>
      </c>
      <c r="X9" s="128" t="inlineStr">
        <is>
          <t>No</t>
        </is>
      </c>
      <c r="Y9" s="129" t="inlineStr">
        <is>
          <t>HIGH</t>
        </is>
      </c>
      <c r="Z9" s="130" t="inlineStr">
        <is>
          <t>Affordable Comp #2: LIHTC property, 2000 vintage (0 yr diff), 94 units, 8.6 mi from subject. Same income-eligible renter pool.</t>
        </is>
      </c>
      <c r="AA9" s="128" t="inlineStr">
        <is>
          <t>HUD LIHTC Database (huduser.gov)</t>
        </is>
      </c>
      <c r="AB9" s="136" t="n"/>
      <c r="AC9" s="136" t="n"/>
      <c r="AD9" s="136" t="n"/>
      <c r="AE9" s="136" t="n"/>
      <c r="AF9" s="136" t="n"/>
      <c r="AG9" s="136" t="n"/>
      <c r="AH9" s="136" t="n"/>
      <c r="AI9" s="136" t="n"/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Bougainvilla Apts</t>
        </is>
      </c>
      <c r="D10" s="107" t="inlineStr">
        <is>
          <t>1293 North River Road</t>
        </is>
      </c>
      <c r="E10" s="107" t="inlineStr">
        <is>
          <t>Denham Springs</t>
        </is>
      </c>
      <c r="F10" s="107" t="inlineStr">
        <is>
          <t>LA</t>
        </is>
      </c>
      <c r="G10" s="107" t="inlineStr">
        <is>
          <t>70726-0000</t>
        </is>
      </c>
      <c r="H10" s="107" t="inlineStr">
        <is>
          <t>14.0 mi</t>
        </is>
      </c>
      <c r="I10" s="107" t="inlineStr">
        <is>
          <t>$3,820</t>
        </is>
      </c>
      <c r="J10" s="107" t="inlineStr">
        <is>
          <t>$4,585</t>
        </is>
      </c>
      <c r="K10" s="80" t="inlineStr">
        <is>
          <t>$1,573</t>
        </is>
      </c>
      <c r="L10" s="81" t="inlineStr">
        <is>
          <t>Not Listed</t>
        </is>
      </c>
      <c r="M10" s="108" t="inlineStr">
        <is>
          <t>$4,129</t>
        </is>
      </c>
      <c r="N10" s="108" t="inlineStr">
        <is>
          <t>$4,955</t>
        </is>
      </c>
      <c r="O10" s="80" t="inlineStr">
        <is>
          <t>$1,818</t>
        </is>
      </c>
      <c r="P10" s="81" t="inlineStr">
        <is>
          <t>Not Listed</t>
        </is>
      </c>
      <c r="Q10" s="108" t="inlineStr">
        <is>
          <t>48</t>
        </is>
      </c>
      <c r="R10" s="108" t="inlineStr">
        <is>
          <t>1999</t>
        </is>
      </c>
      <c r="S10" s="108" t="inlineStr">
        <is>
          <t>1</t>
        </is>
      </c>
      <c r="T10" s="108" t="inlineStr">
        <is>
          <t>Yes</t>
        </is>
      </c>
      <c r="U10" s="108" t="inlineStr">
        <is>
          <t>No</t>
        </is>
      </c>
      <c r="V10" s="108" t="inlineStr">
        <is>
          <t>No</t>
        </is>
      </c>
      <c r="W10" s="108" t="inlineStr">
        <is>
          <t>No</t>
        </is>
      </c>
      <c r="X10" s="108" t="inlineStr">
        <is>
          <t>No</t>
        </is>
      </c>
      <c r="Y10" s="109" t="inlineStr">
        <is>
          <t>HIGH</t>
        </is>
      </c>
      <c r="Z10" s="110" t="inlineStr">
        <is>
          <t>Affordable Comp #3: LIHTC property, 1999 vintage (1 yr diff), 48 units, 14.0 mi from subject. Same income-eligible renter pool.</t>
        </is>
      </c>
      <c r="AA10" s="111" t="inlineStr">
        <is>
          <t>HUD LIHTC Database (huduser.gov)</t>
        </is>
      </c>
      <c r="AB10" s="134" t="n"/>
      <c r="AC10" s="136" t="n"/>
      <c r="AD10" s="136" t="n"/>
      <c r="AE10" s="136" t="n"/>
      <c r="AF10" s="136" t="n"/>
      <c r="AG10" s="136" t="n"/>
      <c r="AH10" s="136" t="n"/>
      <c r="AI10" s="136" t="n"/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High Point Apartments</t>
        </is>
      </c>
      <c r="D11" s="95" t="inlineStr">
        <is>
          <t>13823 Achord Lane</t>
        </is>
      </c>
      <c r="E11" s="95" t="inlineStr">
        <is>
          <t>Walker</t>
        </is>
      </c>
      <c r="F11" s="95" t="inlineStr">
        <is>
          <t>LA</t>
        </is>
      </c>
      <c r="G11" s="95" t="inlineStr">
        <is>
          <t>70785-0000</t>
        </is>
      </c>
      <c r="H11" s="95" t="inlineStr">
        <is>
          <t>19.8 mi</t>
        </is>
      </c>
      <c r="I11" s="95" t="inlineStr">
        <is>
          <t>$3,820</t>
        </is>
      </c>
      <c r="J11" s="95" t="inlineStr">
        <is>
          <t>$4,585</t>
        </is>
      </c>
      <c r="K11" s="39" t="inlineStr">
        <is>
          <t>$1,573</t>
        </is>
      </c>
      <c r="L11" s="53" t="inlineStr">
        <is>
          <t>Not Listed</t>
        </is>
      </c>
      <c r="M11" s="96" t="inlineStr">
        <is>
          <t>$4,129</t>
        </is>
      </c>
      <c r="N11" s="96" t="inlineStr">
        <is>
          <t>$4,955</t>
        </is>
      </c>
      <c r="O11" s="39" t="inlineStr">
        <is>
          <t>$1,818</t>
        </is>
      </c>
      <c r="P11" s="53" t="inlineStr">
        <is>
          <t>Not Listed</t>
        </is>
      </c>
      <c r="Q11" s="96" t="inlineStr">
        <is>
          <t>48</t>
        </is>
      </c>
      <c r="R11" s="96" t="inlineStr">
        <is>
          <t>2000</t>
        </is>
      </c>
      <c r="S11" s="96" t="inlineStr">
        <is>
          <t>0</t>
        </is>
      </c>
      <c r="T11" s="96" t="inlineStr">
        <is>
          <t>Yes</t>
        </is>
      </c>
      <c r="U11" s="96" t="inlineStr">
        <is>
          <t>No</t>
        </is>
      </c>
      <c r="V11" s="96" t="inlineStr">
        <is>
          <t>No</t>
        </is>
      </c>
      <c r="W11" s="96" t="inlineStr">
        <is>
          <t>No</t>
        </is>
      </c>
      <c r="X11" s="96" t="inlineStr">
        <is>
          <t>No</t>
        </is>
      </c>
      <c r="Y11" s="45" t="inlineStr">
        <is>
          <t>MODERATE-HIGH</t>
        </is>
      </c>
      <c r="Z11" s="97" t="inlineStr">
        <is>
          <t>Affordable Comp #4: LIHTC property, 2000 vintage (0 yr diff), 48 units, 19.8 mi from subject. Same income-eligible renter pool.</t>
        </is>
      </c>
      <c r="AA11" s="113" t="inlineStr">
        <is>
          <t>HUD LIHTC Database (huduser.gov)</t>
        </is>
      </c>
      <c r="AB11" s="134" t="n"/>
      <c r="AC11" s="136" t="n"/>
      <c r="AD11" s="136" t="n"/>
      <c r="AE11" s="136" t="n"/>
      <c r="AF11" s="136" t="n"/>
      <c r="AG11" s="136" t="n"/>
      <c r="AH11" s="136" t="n"/>
      <c r="AI11" s="136" t="n"/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37.5" customHeight="1" s="131">
      <c r="A12" s="114" t="inlineStr">
        <is>
          <t>1</t>
        </is>
      </c>
      <c r="B12" s="70" t="inlineStr">
        <is>
          <t>MARKET RATE</t>
        </is>
      </c>
      <c r="C12" s="67" t="inlineStr">
        <is>
          <t>Sienna Lake Apartments</t>
        </is>
      </c>
      <c r="D12" s="98" t="inlineStr">
        <is>
          <t>5555 Sienna Lakes Dr, Baton Rouge, LA 70820</t>
        </is>
      </c>
      <c r="E12" s="98" t="inlineStr">
        <is>
          <t>Baton Rouge</t>
        </is>
      </c>
      <c r="F12" s="98" t="inlineStr">
        <is>
          <t>LA</t>
        </is>
      </c>
      <c r="G12" s="98" t="n"/>
      <c r="H12" s="98" t="inlineStr">
        <is>
          <t>4.2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$1,573</t>
        </is>
      </c>
      <c r="L12" s="53" t="n">
        <v>1450</v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$1,818</t>
        </is>
      </c>
      <c r="P12" s="53" t="n"/>
      <c r="Q12" s="99" t="inlineStr">
        <is>
          <t>240</t>
        </is>
      </c>
      <c r="R12" s="99" t="inlineStr">
        <is>
          <t>2001</t>
        </is>
      </c>
      <c r="S12" s="99" t="inlineStr">
        <is>
          <t>1</t>
        </is>
      </c>
      <c r="T12" s="99" t="n"/>
      <c r="U12" s="99" t="inlineStr">
        <is>
          <t>Varies</t>
        </is>
      </c>
      <c r="V12" s="99" t="inlineStr">
        <is>
          <t>Varies</t>
        </is>
      </c>
      <c r="W12" s="99" t="inlineStr">
        <is>
          <t>Varies</t>
        </is>
      </c>
      <c r="X12" s="99" t="inlineStr">
        <is>
          <t>Varies</t>
        </is>
      </c>
      <c r="Y12" s="46" t="inlineStr">
        <is>
          <t>HIGH</t>
        </is>
      </c>
      <c r="Z12" s="100" t="inlineStr">
        <is>
          <t>Market Rate Comp #1: No income restrictions, 2001 vintage (1 yr diff), 240 units, 4.2 mi from subject. Shows market-rate rents vs. affordable housing discount.</t>
        </is>
      </c>
      <c r="AA12" s="115" t="inlineStr">
        <is>
          <t>https://www.rentcafe.com/apartments-for-rent/us/la/baton-rouge/sienna-lake/</t>
        </is>
      </c>
      <c r="AB12" s="134" t="n"/>
      <c r="AC12" s="136" t="n"/>
      <c r="AD12" s="136" t="n"/>
      <c r="AE12" s="136" t="n"/>
      <c r="AF12" s="136" t="n"/>
      <c r="AG12" s="136" t="n"/>
      <c r="AH12" s="136" t="n"/>
      <c r="AI12" s="136" t="n"/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inlineStr">
        <is>
          <t>2</t>
        </is>
      </c>
      <c r="B13" s="71" t="inlineStr">
        <is>
          <t>MARKET RATE</t>
        </is>
      </c>
      <c r="C13" s="68" t="inlineStr">
        <is>
          <t>Willow Creek Apartments</t>
        </is>
      </c>
      <c r="D13" s="101" t="inlineStr">
        <is>
          <t>9800 Airline Hwy, Baton Rouge, LA 70816</t>
        </is>
      </c>
      <c r="E13" s="101" t="inlineStr">
        <is>
          <t>Baton Rouge</t>
        </is>
      </c>
      <c r="F13" s="101" t="inlineStr">
        <is>
          <t>LA</t>
        </is>
      </c>
      <c r="G13" s="101" t="n"/>
      <c r="H13" s="101" t="inlineStr">
        <is>
          <t>6.8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$1,573</t>
        </is>
      </c>
      <c r="L13" s="53" t="n">
        <v>1400</v>
      </c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$1,818</t>
        </is>
      </c>
      <c r="P13" s="53" t="n"/>
      <c r="Q13" s="102" t="inlineStr">
        <is>
          <t>180</t>
        </is>
      </c>
      <c r="R13" s="102" t="inlineStr">
        <is>
          <t>1999</t>
        </is>
      </c>
      <c r="S13" s="102" t="inlineStr">
        <is>
          <t>1</t>
        </is>
      </c>
      <c r="T13" s="102" t="n"/>
      <c r="U13" s="102" t="inlineStr">
        <is>
          <t>Varies</t>
        </is>
      </c>
      <c r="V13" s="102" t="inlineStr">
        <is>
          <t>Varies</t>
        </is>
      </c>
      <c r="W13" s="102" t="inlineStr">
        <is>
          <t>Varies</t>
        </is>
      </c>
      <c r="X13" s="102" t="inlineStr">
        <is>
          <t>Varies</t>
        </is>
      </c>
      <c r="Y13" s="47" t="inlineStr">
        <is>
          <t>HIGH</t>
        </is>
      </c>
      <c r="Z13" s="103" t="inlineStr">
        <is>
          <t>Market Rate Comp #2: No income restrictions, 1999 vintage (1 yr diff), 180 units, 6.8 mi from subject. Shows market-rate rents vs. affordable housing discount.</t>
        </is>
      </c>
      <c r="AA13" s="117" t="inlineStr">
        <is>
          <t>https://www.rentcafe.com/apartments-for-rent/us/la/baton-rouge/</t>
        </is>
      </c>
      <c r="AB13" s="134" t="n"/>
      <c r="AC13" s="136" t="n"/>
      <c r="AD13" s="136" t="n"/>
      <c r="AE13" s="136" t="n"/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inlineStr">
        <is>
          <t>3</t>
        </is>
      </c>
      <c r="B14" s="69" t="inlineStr">
        <is>
          <t>MARKET RATE</t>
        </is>
      </c>
      <c r="C14" s="66" t="inlineStr">
        <is>
          <t>The Preserve At Harveston</t>
        </is>
      </c>
      <c r="D14" s="95" t="inlineStr">
        <is>
          <t>18000 Harveston Dr, Baton Rouge, LA 70816</t>
        </is>
      </c>
      <c r="E14" s="95" t="inlineStr">
        <is>
          <t>Baton Rouge</t>
        </is>
      </c>
      <c r="F14" s="95" t="inlineStr">
        <is>
          <t>LA</t>
        </is>
      </c>
      <c r="G14" s="95" t="n"/>
      <c r="H14" s="95" t="inlineStr">
        <is>
          <t>8.5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$1,573</t>
        </is>
      </c>
      <c r="L14" s="53" t="n">
        <v>1475</v>
      </c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$1,818</t>
        </is>
      </c>
      <c r="P14" s="53" t="n"/>
      <c r="Q14" s="96" t="inlineStr">
        <is>
          <t>200</t>
        </is>
      </c>
      <c r="R14" s="96" t="inlineStr">
        <is>
          <t>2002</t>
        </is>
      </c>
      <c r="S14" s="96" t="inlineStr">
        <is>
          <t>2</t>
        </is>
      </c>
      <c r="T14" s="96" t="n"/>
      <c r="U14" s="96" t="inlineStr">
        <is>
          <t>Varies</t>
        </is>
      </c>
      <c r="V14" s="96" t="inlineStr">
        <is>
          <t>Varies</t>
        </is>
      </c>
      <c r="W14" s="96" t="inlineStr">
        <is>
          <t>Varies</t>
        </is>
      </c>
      <c r="X14" s="96" t="inlineStr">
        <is>
          <t>Varies</t>
        </is>
      </c>
      <c r="Y14" s="45" t="inlineStr">
        <is>
          <t>HIGH</t>
        </is>
      </c>
      <c r="Z14" s="97" t="inlineStr">
        <is>
          <t>Market Rate Comp #3: No income restrictions, 2002 vintage (2 yr diff), 200 units, 8.5 mi from subject. Shows market-rate rents vs. affordable housing discount.</t>
        </is>
      </c>
      <c r="AA14" s="113" t="inlineStr">
        <is>
          <t>https://www.rentcafe.com/apartments-for-rent/us/la/baton-rouge/the-preserve-at-harveston/</t>
        </is>
      </c>
      <c r="AB14" s="134" t="n"/>
      <c r="AC14" s="136" t="n"/>
      <c r="AD14" s="136" t="n"/>
      <c r="AE14" s="136" t="n"/>
      <c r="AF14" s="136" t="n"/>
      <c r="AG14" s="136" t="n"/>
      <c r="AH14" s="136" t="n"/>
      <c r="AI14" s="136" t="n"/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inlineStr">
        <is>
          <t>4</t>
        </is>
      </c>
      <c r="B15" s="69" t="inlineStr">
        <is>
          <t>MARKET RATE</t>
        </is>
      </c>
      <c r="C15" s="66" t="inlineStr">
        <is>
          <t>Copper Mill Apartments</t>
        </is>
      </c>
      <c r="D15" s="95" t="inlineStr">
        <is>
          <t>10000 Copper Mill Dr, Baton Rouge, LA 70818</t>
        </is>
      </c>
      <c r="E15" s="95" t="inlineStr">
        <is>
          <t>Baton Rouge</t>
        </is>
      </c>
      <c r="F15" s="95" t="inlineStr">
        <is>
          <t>LA</t>
        </is>
      </c>
      <c r="G15" s="95" t="n"/>
      <c r="H15" s="95" t="inlineStr">
        <is>
          <t>9.2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$1,573</t>
        </is>
      </c>
      <c r="L15" s="53" t="n">
        <v>1425</v>
      </c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$1,818</t>
        </is>
      </c>
      <c r="P15" s="53" t="n"/>
      <c r="Q15" s="96" t="inlineStr">
        <is>
          <t>160</t>
        </is>
      </c>
      <c r="R15" s="96" t="inlineStr">
        <is>
          <t>2000</t>
        </is>
      </c>
      <c r="S15" s="96" t="inlineStr">
        <is>
          <t>0</t>
        </is>
      </c>
      <c r="T15" s="96" t="n"/>
      <c r="U15" s="96" t="inlineStr">
        <is>
          <t>Varies</t>
        </is>
      </c>
      <c r="V15" s="96" t="inlineStr">
        <is>
          <t>Varies</t>
        </is>
      </c>
      <c r="W15" s="96" t="inlineStr">
        <is>
          <t>Varies</t>
        </is>
      </c>
      <c r="X15" s="96" t="inlineStr">
        <is>
          <t>Varies</t>
        </is>
      </c>
      <c r="Y15" s="45" t="inlineStr">
        <is>
          <t>HIGH</t>
        </is>
      </c>
      <c r="Z15" s="97" t="inlineStr">
        <is>
          <t>Market Rate Comp #4: No income restrictions, 2000 vintage (0 yr diff), 160 units, 9.2 mi from subject. Shows market-rate rents vs. affordable housing discount.</t>
        </is>
      </c>
      <c r="AA15" s="113" t="inlineStr">
        <is>
          <t>https://www.rentcafe.com/apartments-for-rent/us/la/baton-rouge/copper-mill/</t>
        </is>
      </c>
      <c r="AB15" s="134" t="n"/>
      <c r="AC15" s="136" t="n"/>
      <c r="AD15" s="136" t="n"/>
      <c r="AE15" s="136" t="n"/>
      <c r="AF15" s="136" t="n"/>
      <c r="AG15" s="136" t="n"/>
      <c r="AH15" s="136" t="n"/>
      <c r="AI15" s="136" t="n"/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inlineStr">
        <is>
          <t>—</t>
        </is>
      </c>
      <c r="B16" s="82" t="inlineStr">
        <is>
          <t>BENCHMARK</t>
        </is>
      </c>
      <c r="C16" s="119" t="inlineStr">
        <is>
          <t>FY2026 FMR — Baton Rouge MSA</t>
        </is>
      </c>
      <c r="D16" s="120" t="inlineStr">
        <is>
          <t>N/A</t>
        </is>
      </c>
      <c r="E16" s="120" t="inlineStr">
        <is>
          <t>Baton Rouge</t>
        </is>
      </c>
      <c r="F16" s="120" t="inlineStr">
        <is>
          <t>LA</t>
        </is>
      </c>
      <c r="G16" s="120" t="inlineStr">
        <is>
          <t>N/A</t>
        </is>
      </c>
      <c r="H16" s="120" t="inlineStr">
        <is>
          <t>N/A</t>
        </is>
      </c>
      <c r="I16" s="120" t="inlineStr">
        <is>
          <t>$1,573</t>
        </is>
      </c>
      <c r="J16" s="120" t="inlineStr">
        <is>
          <t>$1,573</t>
        </is>
      </c>
      <c r="K16" s="121" t="inlineStr">
        <is>
          <t>$1,573</t>
        </is>
      </c>
      <c r="L16" s="83" t="inlineStr">
        <is>
          <t>N/A</t>
        </is>
      </c>
      <c r="M16" s="122" t="inlineStr">
        <is>
          <t>$1,818</t>
        </is>
      </c>
      <c r="N16" s="122" t="inlineStr">
        <is>
          <t>$1,818</t>
        </is>
      </c>
      <c r="O16" s="121" t="inlineStr">
        <is>
          <t>$1,818</t>
        </is>
      </c>
      <c r="P16" s="83" t="inlineStr">
        <is>
          <t>N/A</t>
        </is>
      </c>
      <c r="Q16" s="122" t="inlineStr">
        <is>
          <t>N/A</t>
        </is>
      </c>
      <c r="R16" s="122" t="inlineStr">
        <is>
          <t>N/A</t>
        </is>
      </c>
      <c r="S16" s="122" t="inlineStr">
        <is>
          <t>N/A</t>
        </is>
      </c>
      <c r="T16" s="122" t="inlineStr">
        <is>
          <t>N/A</t>
        </is>
      </c>
      <c r="U16" s="122" t="inlineStr">
        <is>
          <t>N/A</t>
        </is>
      </c>
      <c r="V16" s="122" t="inlineStr">
        <is>
          <t>N/A</t>
        </is>
      </c>
      <c r="W16" s="122" t="inlineStr">
        <is>
          <t>N/A</t>
        </is>
      </c>
      <c r="X16" s="122" t="inlineStr">
        <is>
          <t>N/A</t>
        </is>
      </c>
      <c r="Y16" s="84" t="inlineStr">
        <is>
          <t>BENCHMARK</t>
        </is>
      </c>
      <c r="Z16" s="123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124" t="inlineStr">
        <is>
          <t>HUD FMR Database (huduser.gov)</t>
        </is>
      </c>
      <c r="AB16" s="134" t="n"/>
      <c r="AC16" s="136" t="n"/>
      <c r="AD16" s="136" t="n"/>
      <c r="AE16" s="136" t="n"/>
      <c r="AF16" s="136" t="n"/>
      <c r="AG16" s="136" t="n"/>
      <c r="AH16" s="136" t="n"/>
      <c r="AI16" s="136" t="n"/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inlineStr">
        <is>
          <t>—</t>
        </is>
      </c>
      <c r="B17" s="88" t="inlineStr">
        <is>
          <t>BENCHMARK</t>
        </is>
      </c>
      <c r="C17" s="89" t="inlineStr">
        <is>
          <t>Metro Market Avg — Baton Rouge</t>
        </is>
      </c>
      <c r="D17" s="87" t="inlineStr">
        <is>
          <t>N/A</t>
        </is>
      </c>
      <c r="E17" s="87" t="inlineStr">
        <is>
          <t>Baton Rouge</t>
        </is>
      </c>
      <c r="F17" s="87" t="inlineStr">
        <is>
          <t>LA</t>
        </is>
      </c>
      <c r="G17" s="87" t="inlineStr">
        <is>
          <t>N/A</t>
        </is>
      </c>
      <c r="H17" s="87" t="inlineStr">
        <is>
          <t>N/A</t>
        </is>
      </c>
      <c r="I17" s="87" t="inlineStr">
        <is>
          <t>$1,730</t>
        </is>
      </c>
      <c r="J17" s="87" t="inlineStr">
        <is>
          <t>$1,730</t>
        </is>
      </c>
      <c r="K17" s="90" t="inlineStr">
        <is>
          <t>$1,730</t>
        </is>
      </c>
      <c r="L17" s="91" t="inlineStr">
        <is>
          <t>N/A</t>
        </is>
      </c>
      <c r="M17" s="92" t="inlineStr">
        <is>
          <t>$1,999</t>
        </is>
      </c>
      <c r="N17" s="92" t="inlineStr">
        <is>
          <t>$1,999</t>
        </is>
      </c>
      <c r="O17" s="90" t="inlineStr">
        <is>
          <t>$1,999</t>
        </is>
      </c>
      <c r="P17" s="91" t="inlineStr">
        <is>
          <t>N/A</t>
        </is>
      </c>
      <c r="Q17" s="92" t="inlineStr">
        <is>
          <t>N/A</t>
        </is>
      </c>
      <c r="R17" s="92" t="inlineStr">
        <is>
          <t>N/A</t>
        </is>
      </c>
      <c r="S17" s="92" t="inlineStr">
        <is>
          <t>N/A</t>
        </is>
      </c>
      <c r="T17" s="92" t="inlineStr">
        <is>
          <t>N/A</t>
        </is>
      </c>
      <c r="U17" s="92" t="inlineStr">
        <is>
          <t>N/A</t>
        </is>
      </c>
      <c r="V17" s="92" t="inlineStr">
        <is>
          <t>N/A</t>
        </is>
      </c>
      <c r="W17" s="92" t="inlineStr">
        <is>
          <t>N/A</t>
        </is>
      </c>
      <c r="X17" s="92" t="inlineStr">
        <is>
          <t>N/A</t>
        </is>
      </c>
      <c r="Y17" s="93" t="inlineStr">
        <is>
          <t>BENCHMARK</t>
        </is>
      </c>
      <c r="Z17" s="94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92" t="inlineStr">
        <is>
          <t>HUD FMR + Market Estimate</t>
        </is>
      </c>
      <c r="AB17" s="136" t="n"/>
      <c r="AC17" s="136" t="n"/>
      <c r="AD17" s="136" t="n"/>
      <c r="AE17" s="136" t="n"/>
      <c r="AF17" s="136" t="n"/>
      <c r="AG17" s="136" t="n"/>
      <c r="AH17" s="136" t="n"/>
      <c r="AI17" s="136" t="n"/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C19" s="136" t="n"/>
      <c r="AD19" s="136" t="n"/>
      <c r="AE19" s="136" t="n"/>
      <c r="AF19" s="136" t="n"/>
      <c r="AG19" s="136" t="n"/>
      <c r="AH19" s="136" t="n"/>
      <c r="AI19" s="136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Height="1" s="131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Format="1" customHeight="1" s="2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Format="1" customHeight="1" s="2">
      <c r="A25" s="372" t="n"/>
      <c r="B25" s="201" t="inlineStr">
        <is>
          <t>3BD</t>
        </is>
      </c>
      <c r="C25" s="194" t="n"/>
      <c r="D25" s="200" t="n">
        <v>1438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Height="1" s="131">
      <c r="A26" s="372" t="n"/>
      <c r="B26" s="201" t="inlineStr">
        <is>
          <t>4BD</t>
        </is>
      </c>
      <c r="C26" s="194" t="n"/>
      <c r="D26" s="200" t="n"/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8.1" customHeight="1" s="131">
      <c r="A27" s="369" t="n"/>
      <c r="B27" s="369" t="n"/>
      <c r="C27" s="369" t="n"/>
      <c r="D27" s="369" t="n"/>
      <c r="E27" s="369" t="n"/>
      <c r="F27" s="369" t="n"/>
      <c r="G27" s="369" t="n"/>
      <c r="H27" s="369" t="n"/>
      <c r="I27" s="369" t="n"/>
      <c r="J27" s="369" t="n"/>
      <c r="K27" s="369" t="n"/>
      <c r="L27" s="134" t="n"/>
      <c r="M27" s="134" t="n"/>
      <c r="N27" s="134" t="n"/>
      <c r="O27" s="134" t="n"/>
      <c r="P27" s="134" t="n"/>
      <c r="Q27" s="134" t="n"/>
      <c r="R27" s="134" t="n"/>
      <c r="S27" s="134" t="n"/>
      <c r="T27" s="134" t="n"/>
      <c r="U27" s="134" t="n"/>
      <c r="V27" s="134" t="n"/>
      <c r="W27" s="134" t="n"/>
      <c r="X27" s="134" t="n"/>
      <c r="Y27" s="134" t="n"/>
      <c r="Z27" s="135" t="n"/>
      <c r="AA27" s="134" t="n"/>
      <c r="AB27" s="134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24.75" customFormat="1" customHeight="1" s="2">
      <c r="A28" s="302" t="n"/>
      <c r="B28" s="211" t="inlineStr">
        <is>
          <t>PMTS — Vouchers / FMR / UAP / NET</t>
        </is>
      </c>
      <c r="G28" s="365" t="n"/>
      <c r="H28" s="183" t="n"/>
      <c r="I28" s="183" t="n"/>
      <c r="J28" s="183" t="n"/>
      <c r="K28" s="302" t="n"/>
      <c r="L28" s="302" t="n"/>
      <c r="M28" s="302" t="n"/>
      <c r="N28" s="302" t="n"/>
      <c r="O28" s="302" t="n"/>
      <c r="P28" s="302" t="n"/>
      <c r="Q28" s="302" t="n"/>
      <c r="R28" s="302" t="n"/>
      <c r="S28" s="302" t="n"/>
      <c r="T28" s="302" t="n"/>
      <c r="U28" s="302" t="n"/>
      <c r="V28" s="302" t="n"/>
      <c r="W28" s="302" t="n"/>
      <c r="X28" s="302" t="n"/>
      <c r="Y28" s="302" t="n"/>
      <c r="Z28" s="302" t="n"/>
      <c r="AA28" s="353" t="n"/>
      <c r="AB28" s="302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15.95" customFormat="1" customHeight="1" s="2">
      <c r="A29" s="302" t="n"/>
      <c r="B29" s="226" t="n"/>
      <c r="C29" s="213" t="inlineStr">
        <is>
          <t>MKT</t>
        </is>
      </c>
      <c r="D29" s="213" t="inlineStr">
        <is>
          <t>VCH</t>
        </is>
      </c>
      <c r="E29" s="214" t="inlineStr">
        <is>
          <t>FMR</t>
        </is>
      </c>
      <c r="F29" s="215" t="inlineStr">
        <is>
          <t>UAP</t>
        </is>
      </c>
      <c r="G29" s="216" t="inlineStr">
        <is>
          <t>NET</t>
        </is>
      </c>
      <c r="H29" s="183" t="n"/>
      <c r="I29" s="183" t="n"/>
      <c r="J29" s="183" t="n"/>
      <c r="K29" s="302" t="n"/>
      <c r="L29" s="302" t="n"/>
      <c r="M29" s="302" t="n"/>
      <c r="N29" s="302" t="n"/>
      <c r="O29" s="302" t="n"/>
      <c r="P29" s="302" t="n"/>
      <c r="Q29" s="302" t="n"/>
      <c r="R29" s="302" t="n"/>
      <c r="S29" s="302" t="n"/>
      <c r="T29" s="302" t="n"/>
      <c r="U29" s="302" t="n"/>
      <c r="V29" s="302" t="n"/>
      <c r="W29" s="302" t="n"/>
      <c r="X29" s="302" t="n"/>
      <c r="Y29" s="302" t="n"/>
      <c r="Z29" s="302" t="n"/>
      <c r="AA29" s="353" t="n"/>
      <c r="AB29" s="302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24.75" customFormat="1" customHeight="1" s="2">
      <c r="A30" s="372" t="n"/>
      <c r="B30" s="217" t="inlineStr">
        <is>
          <t>3BD</t>
        </is>
      </c>
      <c r="C30" s="197" t="n">
        <v>0</v>
      </c>
      <c r="D30" s="197" t="n">
        <v>1300</v>
      </c>
      <c r="E30" s="198" t="n">
        <v>1230</v>
      </c>
      <c r="F30" s="199" t="n">
        <v>212</v>
      </c>
      <c r="G30" s="218" t="n">
        <v>1018</v>
      </c>
      <c r="H30" s="183" t="n"/>
      <c r="I30" s="183" t="n"/>
      <c r="J30" s="183" t="n"/>
      <c r="K30" s="302" t="n"/>
      <c r="L30" s="302" t="n"/>
      <c r="M30" s="302" t="n"/>
      <c r="N30" s="302" t="n"/>
      <c r="O30" s="343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24.75" customFormat="1" customHeight="1" s="2">
      <c r="A31" s="372" t="n"/>
      <c r="B31" s="217" t="inlineStr">
        <is>
          <t>4BD</t>
        </is>
      </c>
      <c r="C31" s="197" t="n">
        <v>0</v>
      </c>
      <c r="D31" s="197" t="n">
        <v>1400</v>
      </c>
      <c r="E31" s="198" t="n">
        <v>1340</v>
      </c>
      <c r="F31" s="199" t="n">
        <v>258</v>
      </c>
      <c r="G31" s="218" t="n">
        <v>1082</v>
      </c>
      <c r="H31" s="183" t="n"/>
      <c r="I31" s="183" t="n"/>
      <c r="J31" s="183" t="n"/>
      <c r="K31" s="302" t="n"/>
      <c r="L31" s="302" t="n"/>
      <c r="M31" s="302" t="n"/>
      <c r="N31" s="302" t="n"/>
      <c r="O31" s="343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8.1" customHeight="1" s="131">
      <c r="A32" s="369" t="n"/>
      <c r="B32" s="369" t="n"/>
      <c r="C32" s="381" t="n"/>
      <c r="D32" s="381" t="n"/>
      <c r="E32" s="381" t="n"/>
      <c r="F32" s="381" t="n"/>
      <c r="G32" s="369" t="n"/>
      <c r="H32" s="369" t="n"/>
      <c r="I32" s="369" t="n"/>
      <c r="J32" s="369" t="n"/>
      <c r="K32" s="369" t="n"/>
      <c r="L32" s="134" t="n"/>
      <c r="M32" s="134" t="n"/>
      <c r="N32" s="134" t="n"/>
      <c r="O32" s="134" t="n"/>
      <c r="P32" s="134" t="n"/>
      <c r="Q32" s="134" t="n"/>
      <c r="R32" s="134" t="n"/>
      <c r="S32" s="134" t="n"/>
      <c r="T32" s="134" t="n"/>
      <c r="U32" s="134" t="n"/>
      <c r="V32" s="134" t="n"/>
      <c r="W32" s="134" t="n"/>
      <c r="X32" s="134" t="n"/>
      <c r="Y32" s="134" t="n"/>
      <c r="Z32" s="135" t="n"/>
      <c r="AA32" s="134" t="n"/>
      <c r="AB32" s="134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24.75" customHeight="1" s="131">
      <c r="A33" s="302" t="n"/>
      <c r="B33" s="366" t="inlineStr">
        <is>
          <t>LIHTC, UAP, NET</t>
        </is>
      </c>
      <c r="C33" s="358" t="n"/>
      <c r="D33" s="358" t="n"/>
      <c r="E33" s="358" t="n"/>
      <c r="F33" s="358" t="n"/>
      <c r="G33" s="359" t="n"/>
      <c r="H33" s="183" t="n"/>
      <c r="I33" s="183" t="n"/>
      <c r="J33" s="183" t="n"/>
      <c r="K33" s="302" t="n"/>
      <c r="L33" s="302" t="n"/>
      <c r="M33" s="302" t="n"/>
      <c r="N33" s="302" t="n"/>
      <c r="O33" s="302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16.5" customFormat="1" customHeight="1" s="2">
      <c r="A34" s="372" t="n"/>
      <c r="B34" s="226" t="n"/>
      <c r="C34" s="228" t="inlineStr">
        <is>
          <t>LIHTC/MKT</t>
        </is>
      </c>
      <c r="D34" s="228" t="inlineStr">
        <is>
          <t>60%</t>
        </is>
      </c>
      <c r="E34" s="215" t="inlineStr">
        <is>
          <t>UAP</t>
        </is>
      </c>
      <c r="F34" s="216" t="inlineStr">
        <is>
          <t>NET</t>
        </is>
      </c>
      <c r="G34" s="183" t="n"/>
      <c r="H34" s="183" t="n"/>
      <c r="I34" s="183" t="n"/>
      <c r="J34" s="183" t="n"/>
      <c r="K34" s="302" t="n"/>
      <c r="L34" s="302" t="n"/>
      <c r="M34" s="302" t="n"/>
      <c r="N34" s="302" t="n"/>
      <c r="O34" s="343" t="n"/>
      <c r="P34" s="302" t="n"/>
      <c r="Q34" s="302" t="n"/>
      <c r="R34" s="302" t="n"/>
      <c r="S34" s="302" t="n"/>
      <c r="T34" s="302" t="n"/>
      <c r="U34" s="302" t="n"/>
      <c r="V34" s="302" t="n"/>
      <c r="W34" s="302" t="n"/>
      <c r="X34" s="302" t="n"/>
      <c r="Y34" s="302" t="n"/>
      <c r="Z34" s="302" t="n"/>
      <c r="AA34" s="353" t="n"/>
      <c r="AB34" s="302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24.75" customFormat="1" customHeight="1" s="2">
      <c r="A35" s="372" t="n"/>
      <c r="B35" s="224" t="inlineStr">
        <is>
          <t>3BD</t>
        </is>
      </c>
      <c r="C35" s="225" t="n">
        <v>1275</v>
      </c>
      <c r="D35" s="225" t="n">
        <v>961</v>
      </c>
      <c r="E35" s="225" t="n">
        <v>212</v>
      </c>
      <c r="F35" s="223" t="n">
        <v>749</v>
      </c>
      <c r="G35" s="183" t="n"/>
      <c r="H35" s="183" t="n"/>
      <c r="I35" s="183" t="n"/>
      <c r="J35" s="183" t="n"/>
      <c r="K35" s="302" t="n"/>
      <c r="L35" s="302" t="n"/>
      <c r="M35" s="302" t="n"/>
      <c r="N35" s="302" t="n"/>
      <c r="O35" s="343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24.75" customFormat="1" customHeight="1" s="2">
      <c r="A36" s="369" t="n"/>
      <c r="B36" s="224" t="inlineStr">
        <is>
          <t>4BD</t>
        </is>
      </c>
      <c r="C36" s="225" t="n">
        <v>1422</v>
      </c>
      <c r="D36" s="225" t="n">
        <v>1051</v>
      </c>
      <c r="E36" s="225" t="n">
        <v>258</v>
      </c>
      <c r="F36" s="223" t="n">
        <v>793</v>
      </c>
      <c r="G36" s="183" t="n"/>
      <c r="H36" s="183" t="n"/>
      <c r="I36" s="183" t="n"/>
      <c r="J36" s="183" t="n"/>
      <c r="K36" s="302" t="n"/>
      <c r="L36" s="302" t="n"/>
      <c r="M36" s="302" t="n"/>
      <c r="N36" s="302" t="n"/>
      <c r="O36" s="343" t="n"/>
      <c r="P36" s="302" t="n"/>
      <c r="Q36" s="302" t="n"/>
      <c r="R36" s="302" t="n"/>
      <c r="S36" s="302" t="n"/>
      <c r="T36" s="302" t="n"/>
      <c r="U36" s="302" t="n"/>
      <c r="V36" s="302" t="n"/>
      <c r="W36" s="302" t="n"/>
      <c r="X36" s="302" t="n"/>
      <c r="Y36" s="302" t="n"/>
      <c r="Z36" s="302" t="n"/>
      <c r="AA36" s="353" t="n"/>
      <c r="AB36" s="302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18" customFormat="1" customHeight="1" s="2">
      <c r="A37" s="369" t="n"/>
      <c r="B37" s="381" t="n"/>
      <c r="C37" s="381" t="n"/>
      <c r="D37" s="381" t="n"/>
      <c r="E37" s="381" t="n"/>
      <c r="F37" s="369" t="n"/>
      <c r="G37" s="369" t="n"/>
      <c r="H37" s="369" t="n"/>
      <c r="I37" s="369" t="n"/>
      <c r="J37" s="369" t="n"/>
      <c r="K37" s="369" t="n"/>
      <c r="L37" s="134" t="n"/>
      <c r="M37" s="134" t="n"/>
      <c r="N37" s="134" t="n"/>
      <c r="O37" s="134" t="n"/>
      <c r="P37" s="134" t="n"/>
      <c r="Q37" s="134" t="n"/>
      <c r="R37" s="134" t="n"/>
      <c r="S37" s="134" t="n"/>
      <c r="T37" s="134" t="n"/>
      <c r="U37" s="134" t="n"/>
      <c r="V37" s="134" t="n"/>
      <c r="W37" s="134" t="n"/>
      <c r="X37" s="134" t="n"/>
      <c r="Y37" s="134" t="n"/>
      <c r="Z37" s="135" t="n"/>
      <c r="AA37" s="134" t="n"/>
      <c r="AB37" s="134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18" customHeight="1" s="131">
      <c r="A38" s="372" t="n"/>
      <c r="B38" s="372" t="n"/>
      <c r="C38" s="444" t="n"/>
      <c r="D38" s="369" t="n"/>
      <c r="E38" s="369" t="n"/>
      <c r="F38" s="369" t="n"/>
      <c r="G38" s="369" t="n"/>
      <c r="H38" s="369" t="n"/>
      <c r="I38" s="369" t="n"/>
      <c r="J38" s="369" t="n"/>
      <c r="K38" s="369" t="n"/>
      <c r="L38" s="134" t="n"/>
      <c r="M38" s="134" t="n"/>
      <c r="N38" s="134" t="n"/>
      <c r="O38" s="134" t="n"/>
      <c r="P38" s="134" t="n"/>
      <c r="Q38" s="134" t="n"/>
      <c r="R38" s="134" t="n"/>
      <c r="S38" s="134" t="n"/>
      <c r="T38" s="134" t="n"/>
      <c r="U38" s="134" t="n"/>
      <c r="V38" s="134" t="n"/>
      <c r="W38" s="134" t="n"/>
      <c r="X38" s="134" t="n"/>
      <c r="Y38" s="134" t="n"/>
      <c r="Z38" s="135" t="n"/>
      <c r="AA38" s="134" t="n"/>
      <c r="AB38" s="134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24.75" customHeight="1" s="131">
      <c r="A39" s="302" t="n"/>
      <c r="B39" s="207" t="inlineStr">
        <is>
          <t>HAP, CoStar, NET</t>
        </is>
      </c>
      <c r="H39" s="183" t="n"/>
      <c r="I39" s="183" t="n"/>
      <c r="J39" s="183" t="n"/>
      <c r="K39" s="302" t="n"/>
      <c r="L39" s="302" t="n"/>
      <c r="M39" s="302" t="n"/>
      <c r="N39" s="302" t="n"/>
      <c r="O39" s="302" t="n"/>
      <c r="P39" s="302" t="n"/>
      <c r="Q39" s="302" t="n"/>
      <c r="R39" s="302" t="n"/>
      <c r="S39" s="302" t="n"/>
      <c r="T39" s="302" t="n"/>
      <c r="U39" s="302" t="n"/>
      <c r="V39" s="302" t="n"/>
      <c r="W39" s="302" t="n"/>
      <c r="X39" s="302" t="n"/>
      <c r="Y39" s="302" t="n"/>
      <c r="Z39" s="302" t="n"/>
      <c r="AA39" s="353" t="n"/>
      <c r="AB39" s="302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ht="15.95" customHeight="1" s="131">
      <c r="A40" s="302" t="n"/>
      <c r="B40" s="227" t="n"/>
      <c r="C40" s="208" t="inlineStr">
        <is>
          <t>HAP</t>
        </is>
      </c>
      <c r="D40" s="209" t="inlineStr">
        <is>
          <t>CoStar</t>
        </is>
      </c>
      <c r="E40" s="302" t="n"/>
      <c r="F40" s="302" t="n"/>
      <c r="G40" s="302" t="n"/>
      <c r="H40" s="183" t="n"/>
      <c r="I40" s="183" t="n"/>
      <c r="J40" s="183" t="n"/>
      <c r="K40" s="302" t="n"/>
      <c r="L40" s="302" t="n"/>
      <c r="M40" s="302" t="n"/>
      <c r="N40" s="302" t="n"/>
      <c r="O40" s="302" t="n"/>
      <c r="P40" s="302" t="n"/>
      <c r="Q40" s="302" t="n"/>
      <c r="R40" s="302" t="n"/>
      <c r="S40" s="302" t="n"/>
      <c r="T40" s="302" t="n"/>
      <c r="U40" s="302" t="n"/>
      <c r="V40" s="302" t="n"/>
      <c r="W40" s="302" t="n"/>
      <c r="X40" s="302" t="n"/>
      <c r="Y40" s="302" t="n"/>
      <c r="Z40" s="302" t="n"/>
      <c r="AA40" s="353" t="n"/>
      <c r="AB40" s="302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ht="24.75" customHeight="1" s="131">
      <c r="A41" s="302" t="n"/>
      <c r="B41" s="196" t="inlineStr">
        <is>
          <t>3BD</t>
        </is>
      </c>
      <c r="C41" s="199" t="n">
        <v>0</v>
      </c>
      <c r="D41" s="198" t="n">
        <v>1267</v>
      </c>
      <c r="E41" s="183" t="n"/>
      <c r="F41" s="183" t="n"/>
      <c r="G41" s="183" t="n"/>
      <c r="H41" s="183" t="n"/>
      <c r="I41" s="183" t="n"/>
      <c r="J41" s="183" t="n"/>
      <c r="K41" s="302" t="n"/>
      <c r="L41" s="302" t="n"/>
      <c r="M41" s="302" t="n"/>
      <c r="N41" s="302" t="n"/>
      <c r="O41" s="302" t="n"/>
      <c r="P41" s="302" t="n"/>
      <c r="Q41" s="302" t="n"/>
      <c r="R41" s="302" t="n"/>
      <c r="S41" s="302" t="n"/>
      <c r="T41" s="302" t="n"/>
      <c r="U41" s="302" t="n"/>
      <c r="V41" s="302" t="n"/>
      <c r="W41" s="302" t="n"/>
      <c r="X41" s="302" t="n"/>
      <c r="Y41" s="302" t="n"/>
      <c r="Z41" s="302" t="n"/>
      <c r="AA41" s="353" t="n"/>
      <c r="AB41" s="302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ht="24.75" customHeight="1" s="131">
      <c r="A42" s="302" t="n"/>
      <c r="B42" s="196" t="inlineStr">
        <is>
          <t>4BD</t>
        </is>
      </c>
      <c r="C42" s="199" t="n">
        <v>0</v>
      </c>
      <c r="D42" s="198" t="n">
        <v>850</v>
      </c>
      <c r="E42" s="183" t="n"/>
      <c r="F42" s="183" t="n"/>
      <c r="G42" s="183" t="n"/>
      <c r="H42" s="183" t="n"/>
      <c r="I42" s="183" t="n"/>
      <c r="J42" s="183" t="n"/>
      <c r="K42" s="302" t="n"/>
      <c r="L42" s="302" t="n"/>
      <c r="M42" s="302" t="n"/>
      <c r="N42" s="302" t="n"/>
      <c r="O42" s="302" t="n"/>
      <c r="P42" s="302" t="n"/>
      <c r="Q42" s="302" t="n"/>
      <c r="R42" s="302" t="n"/>
      <c r="S42" s="302" t="n"/>
      <c r="T42" s="302" t="n"/>
      <c r="U42" s="302" t="n"/>
      <c r="V42" s="302" t="n"/>
      <c r="W42" s="302" t="n"/>
      <c r="X42" s="302" t="n"/>
      <c r="Y42" s="302" t="n"/>
      <c r="Z42" s="302" t="n"/>
      <c r="AA42" s="353" t="n"/>
      <c r="AB42" s="302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s="131">
      <c r="A43" s="369" t="n"/>
      <c r="B43" s="369" t="n"/>
      <c r="C43" s="369" t="n"/>
      <c r="D43" s="369" t="n"/>
      <c r="E43" s="369" t="n"/>
      <c r="F43" s="369" t="n"/>
      <c r="G43" s="369" t="n"/>
      <c r="H43" s="369" t="n"/>
      <c r="I43" s="369" t="n"/>
      <c r="J43" s="369" t="n"/>
      <c r="K43" s="369" t="n"/>
      <c r="L43" s="136" t="n"/>
      <c r="M43" s="136" t="n"/>
      <c r="N43" s="136" t="n"/>
      <c r="O43" s="136" t="n"/>
      <c r="P43" s="136" t="n"/>
      <c r="Q43" s="136" t="n"/>
      <c r="R43" s="136" t="n"/>
      <c r="S43" s="136" t="n"/>
      <c r="T43" s="136" t="n"/>
      <c r="U43" s="136" t="n"/>
      <c r="V43" s="136" t="n"/>
      <c r="W43" s="136" t="n"/>
      <c r="X43" s="136" t="n"/>
      <c r="Y43" s="136" t="n"/>
      <c r="Z43" s="136" t="n"/>
      <c r="AA43" s="136" t="n"/>
      <c r="AB43" s="136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s="131">
      <c r="A44" s="369" t="n"/>
      <c r="B44" s="369" t="n"/>
      <c r="C44" s="369" t="n"/>
      <c r="D44" s="369" t="n"/>
      <c r="E44" s="369" t="n"/>
      <c r="F44" s="369" t="n"/>
      <c r="G44" s="369" t="n"/>
      <c r="H44" s="369" t="n"/>
      <c r="I44" s="369" t="n"/>
      <c r="J44" s="369" t="n"/>
      <c r="K44" s="369" t="n"/>
      <c r="L44" s="136" t="n"/>
      <c r="M44" s="136" t="n"/>
      <c r="N44" s="136" t="n"/>
      <c r="O44" s="136" t="n"/>
      <c r="P44" s="136" t="n"/>
      <c r="Q44" s="136" t="n"/>
      <c r="R44" s="136" t="n"/>
      <c r="S44" s="136" t="n"/>
      <c r="T44" s="136" t="n"/>
      <c r="U44" s="136" t="n"/>
      <c r="V44" s="136" t="n"/>
      <c r="W44" s="136" t="n"/>
      <c r="X44" s="136" t="n"/>
      <c r="Y44" s="136" t="n"/>
      <c r="Z44" s="136" t="n"/>
      <c r="AA44" s="136" t="n"/>
      <c r="AB44" s="136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s="131">
      <c r="A45" s="369" t="n"/>
      <c r="B45" s="369" t="n"/>
      <c r="C45" s="369" t="n"/>
      <c r="D45" s="369" t="n"/>
      <c r="E45" s="369" t="n"/>
      <c r="F45" s="369" t="n"/>
      <c r="G45" s="369" t="n"/>
      <c r="H45" s="369" t="n"/>
      <c r="I45" s="369" t="n"/>
      <c r="J45" s="369" t="n"/>
      <c r="K45" s="369" t="n"/>
      <c r="L45" s="136" t="n"/>
      <c r="M45" s="136" t="n"/>
      <c r="N45" s="136" t="n"/>
      <c r="O45" s="136" t="n"/>
      <c r="P45" s="136" t="n"/>
      <c r="Q45" s="136" t="n"/>
      <c r="R45" s="136" t="n"/>
      <c r="S45" s="136" t="n"/>
      <c r="T45" s="136" t="n"/>
      <c r="U45" s="136" t="n"/>
      <c r="V45" s="136" t="n"/>
      <c r="W45" s="136" t="n"/>
      <c r="X45" s="136" t="n"/>
      <c r="Y45" s="136" t="n"/>
      <c r="Z45" s="136" t="n"/>
      <c r="AA45" s="136" t="n"/>
      <c r="AB45" s="136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s="131">
      <c r="A46" s="369" t="n"/>
      <c r="B46" s="369" t="n"/>
      <c r="C46" s="369" t="n"/>
      <c r="D46" s="369" t="n"/>
      <c r="E46" s="369" t="n"/>
      <c r="F46" s="369" t="n"/>
      <c r="G46" s="369" t="n"/>
      <c r="H46" s="369" t="n"/>
      <c r="I46" s="369" t="n"/>
      <c r="J46" s="369" t="n"/>
      <c r="K46" s="369" t="n"/>
      <c r="L46" s="136" t="n"/>
      <c r="M46" s="136" t="n"/>
      <c r="N46" s="136" t="n"/>
      <c r="O46" s="136" t="n"/>
      <c r="P46" s="136" t="n"/>
      <c r="Q46" s="136" t="n"/>
      <c r="R46" s="136" t="n"/>
      <c r="S46" s="136" t="n"/>
      <c r="T46" s="136" t="n"/>
      <c r="U46" s="136" t="n"/>
      <c r="V46" s="136" t="n"/>
      <c r="W46" s="136" t="n"/>
      <c r="X46" s="136" t="n"/>
      <c r="Y46" s="136" t="n"/>
      <c r="Z46" s="136" t="n"/>
      <c r="AA46" s="136" t="n"/>
      <c r="AB46" s="136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s="131">
      <c r="A47" s="369" t="n"/>
      <c r="B47" s="369" t="n"/>
      <c r="C47" s="369" t="n"/>
      <c r="D47" s="369" t="n"/>
      <c r="E47" s="369" t="n"/>
      <c r="F47" s="369" t="n"/>
      <c r="G47" s="369" t="n"/>
      <c r="H47" s="369" t="n"/>
      <c r="I47" s="369" t="n"/>
      <c r="J47" s="369" t="n"/>
      <c r="K47" s="369" t="n"/>
      <c r="L47" s="136" t="n"/>
      <c r="M47" s="136" t="n"/>
      <c r="N47" s="136" t="n"/>
      <c r="O47" s="136" t="n"/>
      <c r="P47" s="136" t="n"/>
      <c r="Q47" s="136" t="n"/>
      <c r="R47" s="136" t="n"/>
      <c r="S47" s="136" t="n"/>
      <c r="T47" s="136" t="n"/>
      <c r="U47" s="136" t="n"/>
      <c r="V47" s="136" t="n"/>
      <c r="W47" s="136" t="n"/>
      <c r="X47" s="136" t="n"/>
      <c r="Y47" s="136" t="n"/>
      <c r="Z47" s="136" t="n"/>
      <c r="AA47" s="136" t="n"/>
      <c r="AB47" s="136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s="131">
      <c r="A48" s="369" t="n"/>
      <c r="B48" s="369" t="n"/>
      <c r="C48" s="369" t="n"/>
      <c r="D48" s="369" t="n"/>
      <c r="E48" s="369" t="n"/>
      <c r="F48" s="369" t="n"/>
      <c r="G48" s="369" t="n"/>
      <c r="H48" s="369" t="n"/>
      <c r="I48" s="369" t="n"/>
      <c r="J48" s="369" t="n"/>
      <c r="K48" s="369" t="n"/>
      <c r="L48" s="136" t="n"/>
      <c r="M48" s="136" t="n"/>
      <c r="N48" s="136" t="n"/>
      <c r="O48" s="136" t="n"/>
      <c r="P48" s="136" t="n"/>
      <c r="Q48" s="136" t="n"/>
      <c r="R48" s="136" t="n"/>
      <c r="S48" s="136" t="n"/>
      <c r="T48" s="136" t="n"/>
      <c r="U48" s="136" t="n"/>
      <c r="V48" s="136" t="n"/>
      <c r="W48" s="136" t="n"/>
      <c r="X48" s="136" t="n"/>
      <c r="Y48" s="136" t="n"/>
      <c r="Z48" s="136" t="n"/>
      <c r="AA48" s="136" t="n"/>
      <c r="AB48" s="136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s="131">
      <c r="A49" s="369" t="n"/>
      <c r="B49" s="369" t="n"/>
      <c r="C49" s="369" t="n"/>
      <c r="D49" s="369" t="n"/>
      <c r="E49" s="369" t="n"/>
      <c r="F49" s="369" t="n"/>
      <c r="G49" s="369" t="n"/>
      <c r="H49" s="369" t="n"/>
      <c r="I49" s="369" t="n"/>
      <c r="J49" s="369" t="n"/>
      <c r="K49" s="369" t="n"/>
      <c r="L49" s="136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6" t="n"/>
      <c r="Y49" s="136" t="n"/>
      <c r="Z49" s="136" t="n"/>
      <c r="AA49" s="136" t="n"/>
      <c r="AB49" s="136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s="131">
      <c r="A50" s="369" t="n"/>
      <c r="B50" s="369" t="n"/>
      <c r="C50" s="369" t="n"/>
      <c r="D50" s="369" t="n"/>
      <c r="E50" s="369" t="n"/>
      <c r="F50" s="369" t="n"/>
      <c r="G50" s="369" t="n"/>
      <c r="H50" s="369" t="n"/>
      <c r="I50" s="369" t="n"/>
      <c r="J50" s="369" t="n"/>
      <c r="K50" s="369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</sheetData>
  <mergeCells count="9">
    <mergeCell ref="B4:AB4"/>
    <mergeCell ref="B39:G39"/>
    <mergeCell ref="B28:G28"/>
    <mergeCell ref="B22:G22"/>
    <mergeCell ref="B23:G23"/>
    <mergeCell ref="B20:I20"/>
    <mergeCell ref="B2:AB2"/>
    <mergeCell ref="B3:AB3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X50"/>
  <sheetViews>
    <sheetView topLeftCell="E1" zoomScale="70" workbookViewId="0">
      <pane ySplit="1" topLeftCell="A5" activePane="bottomLeft" state="frozen"/>
      <selection pane="bottomLeft" activeCell="R7" sqref="R7"/>
    </sheetView>
  </sheetViews>
  <sheetFormatPr baseColWidth="8" defaultColWidth="9.140625" defaultRowHeight="21.7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  <c r="AX1" s="302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  <c r="AX2" s="343" t="n"/>
    </row>
    <row r="3" ht="20.25" customHeight="1" s="131">
      <c r="A3" s="177" t="inlineStr">
        <is>
          <t>COMPETITIVE RENT ANALYSIS — ST. CHARLES PLACE | GREEN = Affordable Comps | BLUE = Market Rate Comps</t>
        </is>
      </c>
      <c r="B3" s="363" t="n"/>
      <c r="AB3" s="363" t="n"/>
      <c r="AC3" s="136" t="n"/>
      <c r="AD3" s="136" t="n"/>
      <c r="AE3" s="136" t="n"/>
      <c r="AF3" s="136" t="n"/>
      <c r="AG3" s="136" t="n"/>
      <c r="AH3" s="136" t="n"/>
      <c r="AI3" s="136" t="n"/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  <c r="AX3" s="343" t="n"/>
    </row>
    <row r="4" ht="69" customHeight="1" s="131">
      <c r="A4" s="176" t="inlineStr">
        <is>
          <t>SUBJECT: St. Charles Place | 1011 18th Street, Lake Charles, LA 70601 | 121 units | Program: Layered HUD/LIHTC | Bedroom Mix: 2BR / 3BR | County AMI: $91,100 | FMR Area: Lake Charles MSA</t>
        </is>
      </c>
      <c r="B4" s="363" t="n"/>
      <c r="AB4" s="363" t="n"/>
      <c r="AC4" s="136" t="n"/>
      <c r="AD4" s="136" t="n"/>
      <c r="AE4" s="136" t="n"/>
      <c r="AF4" s="136" t="n"/>
      <c r="AG4" s="136" t="n"/>
      <c r="AH4" s="136" t="n"/>
      <c r="AI4" s="136" t="n"/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  <c r="AX4" s="343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B5" s="341" t="n"/>
      <c r="AC5" s="136" t="n"/>
      <c r="AD5" s="136" t="n"/>
      <c r="AE5" s="136" t="n"/>
      <c r="AF5" s="136" t="n"/>
      <c r="AG5" s="136" t="n"/>
      <c r="AH5" s="136" t="n"/>
      <c r="AI5" s="136" t="n"/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  <c r="AX5" s="343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2BD 50% AMI ($)</t>
        </is>
      </c>
      <c r="J6" s="280" t="inlineStr">
        <is>
          <t>2BD 60% AMI ($)</t>
        </is>
      </c>
      <c r="K6" s="280" t="inlineStr">
        <is>
          <t>2BR FMR ($)</t>
        </is>
      </c>
      <c r="L6" s="335" t="inlineStr">
        <is>
          <t>2BR Actual ($)</t>
        </is>
      </c>
      <c r="M6" s="281" t="inlineStr">
        <is>
          <t>3BD 50% AMI ($)</t>
        </is>
      </c>
      <c r="N6" s="280" t="inlineStr">
        <is>
          <t>3BD 60% AMI ($)</t>
        </is>
      </c>
      <c r="O6" s="280" t="inlineStr">
        <is>
          <t>3BR FMR ($)</t>
        </is>
      </c>
      <c r="P6" s="335" t="inlineStr">
        <is>
          <t>3BR Actual ($)</t>
        </is>
      </c>
      <c r="Q6" s="281" t="inlineStr">
        <is>
          <t># Units</t>
        </is>
      </c>
      <c r="R6" s="280" t="inlineStr">
        <is>
          <t>Year Built</t>
        </is>
      </c>
      <c r="S6" s="280" t="inlineStr">
        <is>
          <t>Yr Diff</t>
        </is>
      </c>
      <c r="T6" s="339" t="inlineStr">
        <is>
          <t>Utilities Incl.</t>
        </is>
      </c>
      <c r="U6" s="339" t="inlineStr">
        <is>
          <t>Pet Friendly</t>
        </is>
      </c>
      <c r="V6" s="339" t="inlineStr">
        <is>
          <t>Gated</t>
        </is>
      </c>
      <c r="W6" s="339" t="inlineStr">
        <is>
          <t>Pool</t>
        </is>
      </c>
      <c r="X6" s="339" t="inlineStr">
        <is>
          <t>W/D In-Unit</t>
        </is>
      </c>
      <c r="Y6" s="339" t="inlineStr">
        <is>
          <t>Competition Level</t>
        </is>
      </c>
      <c r="Z6" s="336" t="inlineStr">
        <is>
          <t>Why Competitive</t>
        </is>
      </c>
      <c r="AA6" s="340" t="inlineStr">
        <is>
          <t>Data Source</t>
        </is>
      </c>
      <c r="AB6" s="342" t="n"/>
      <c r="AC6" s="136" t="n"/>
      <c r="AD6" s="136" t="n"/>
      <c r="AE6" s="136" t="n"/>
      <c r="AF6" s="136" t="n"/>
      <c r="AG6" s="136" t="n"/>
      <c r="AH6" s="136" t="n"/>
      <c r="AI6" s="136" t="n"/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  <c r="AX6" s="343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St. Charles Place (SUBJECT)</t>
        </is>
      </c>
      <c r="D7" s="174" t="inlineStr">
        <is>
          <t>1011 18th Street</t>
        </is>
      </c>
      <c r="E7" s="174" t="inlineStr">
        <is>
          <t>Lake Charles</t>
        </is>
      </c>
      <c r="F7" s="174" t="inlineStr">
        <is>
          <t>LA</t>
        </is>
      </c>
      <c r="G7" s="174" t="inlineStr">
        <is>
          <t>70601</t>
        </is>
      </c>
      <c r="H7" s="174" t="inlineStr">
        <is>
          <t>0.0 mi</t>
        </is>
      </c>
      <c r="I7" s="174" t="inlineStr">
        <is>
          <t>$3,233</t>
        </is>
      </c>
      <c r="J7" s="174" t="inlineStr">
        <is>
          <t>$3,880</t>
        </is>
      </c>
      <c r="K7" s="174" t="inlineStr">
        <is>
          <t>$1,012</t>
        </is>
      </c>
      <c r="L7" s="368">
        <f>B26</f>
        <v/>
      </c>
      <c r="M7" s="174" t="inlineStr">
        <is>
          <t>$3,591</t>
        </is>
      </c>
      <c r="N7" s="174" t="inlineStr">
        <is>
          <t>$4,310</t>
        </is>
      </c>
      <c r="O7" s="174" t="inlineStr">
        <is>
          <t>$1,264</t>
        </is>
      </c>
      <c r="P7" s="368">
        <f>B27</f>
        <v/>
      </c>
      <c r="Q7" s="174" t="inlineStr">
        <is>
          <t>121</t>
        </is>
      </c>
      <c r="R7" s="174" t="n">
        <v>2023</v>
      </c>
      <c r="S7" s="174" t="inlineStr">
        <is>
          <t>0</t>
        </is>
      </c>
      <c r="T7" s="174" t="inlineStr">
        <is>
          <t>Partial</t>
        </is>
      </c>
      <c r="U7" s="174" t="inlineStr">
        <is>
          <t>No</t>
        </is>
      </c>
      <c r="V7" s="174" t="inlineStr">
        <is>
          <t>No</t>
        </is>
      </c>
      <c r="W7" s="174" t="inlineStr">
        <is>
          <t>No</t>
        </is>
      </c>
      <c r="X7" s="174" t="inlineStr">
        <is>
          <t>No</t>
        </is>
      </c>
      <c r="Y7" s="42" t="inlineStr">
        <is>
          <t>SUBJECT</t>
        </is>
      </c>
      <c r="Z7" s="55" t="inlineStr">
        <is>
          <t>121 units | Layered HUD/LIHTC property. Year built: 1995. Subject property for market context.</t>
        </is>
      </c>
      <c r="AA7" s="40" t="inlineStr">
        <is>
          <t>Apartment Corp Records</t>
        </is>
      </c>
      <c r="AB7" s="136" t="n"/>
      <c r="AC7" s="136" t="n"/>
      <c r="AD7" s="136" t="n"/>
      <c r="AE7" s="136" t="n"/>
      <c r="AF7" s="136" t="n"/>
      <c r="AG7" s="136" t="n"/>
      <c r="AH7" s="136" t="n"/>
      <c r="AI7" s="136" t="n"/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  <c r="AX7" s="343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Valleyview Apts.</t>
        </is>
      </c>
      <c r="D8" s="59" t="inlineStr">
        <is>
          <t>4401 5Th Avenue South, 101</t>
        </is>
      </c>
      <c r="E8" s="59" t="inlineStr">
        <is>
          <t>Lake Charles</t>
        </is>
      </c>
      <c r="F8" s="59" t="inlineStr">
        <is>
          <t>LA</t>
        </is>
      </c>
      <c r="G8" s="59" t="inlineStr">
        <is>
          <t>70629-0000</t>
        </is>
      </c>
      <c r="H8" s="59" t="inlineStr">
        <is>
          <t>3.8 mi</t>
        </is>
      </c>
      <c r="I8" s="59" t="inlineStr">
        <is>
          <t>$3,233</t>
        </is>
      </c>
      <c r="J8" s="59" t="inlineStr">
        <is>
          <t>$3,880</t>
        </is>
      </c>
      <c r="K8" s="41" t="inlineStr">
        <is>
          <t>$1,012</t>
        </is>
      </c>
      <c r="L8" s="53" t="inlineStr">
        <is>
          <t>$875</t>
        </is>
      </c>
      <c r="M8" s="43" t="inlineStr">
        <is>
          <t>$3,591</t>
        </is>
      </c>
      <c r="N8" s="43" t="inlineStr">
        <is>
          <t>$4,310</t>
        </is>
      </c>
      <c r="O8" s="41" t="inlineStr">
        <is>
          <t>$1,264</t>
        </is>
      </c>
      <c r="P8" s="53" t="inlineStr">
        <is>
          <t>$995</t>
        </is>
      </c>
      <c r="Q8" s="43" t="inlineStr">
        <is>
          <t>100</t>
        </is>
      </c>
      <c r="R8" s="43" t="inlineStr">
        <is>
          <t>1998</t>
        </is>
      </c>
      <c r="S8" s="43" t="inlineStr">
        <is>
          <t>3</t>
        </is>
      </c>
      <c r="T8" s="43" t="inlineStr">
        <is>
          <t>Yes</t>
        </is>
      </c>
      <c r="U8" s="43" t="inlineStr">
        <is>
          <t>No</t>
        </is>
      </c>
      <c r="V8" s="43" t="inlineStr">
        <is>
          <t>No</t>
        </is>
      </c>
      <c r="W8" s="43" t="inlineStr">
        <is>
          <t>No</t>
        </is>
      </c>
      <c r="X8" s="43" t="inlineStr">
        <is>
          <t>No</t>
        </is>
      </c>
      <c r="Y8" s="44" t="inlineStr">
        <is>
          <t>HIGH</t>
        </is>
      </c>
      <c r="Z8" s="56" t="inlineStr">
        <is>
          <t>Affordable Comp #1: LIHTC property, 1998 vintage (3 yr diff), 100 units, 3.8 mi from subject. Same income-eligible renter pool.</t>
        </is>
      </c>
      <c r="AA8" s="43" t="inlineStr">
        <is>
          <t>HUD LIHTC Database (huduser.gov)</t>
        </is>
      </c>
      <c r="AB8" s="136" t="n"/>
      <c r="AC8" s="136" t="n"/>
      <c r="AD8" s="136" t="n"/>
      <c r="AE8" s="136" t="n"/>
      <c r="AF8" s="136" t="n"/>
      <c r="AG8" s="136" t="n"/>
      <c r="AH8" s="136" t="n"/>
      <c r="AI8" s="136" t="n"/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  <c r="AX8" s="343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St Charles Place</t>
        </is>
      </c>
      <c r="D9" s="125" t="inlineStr">
        <is>
          <t>1011 West 18Th Street</t>
        </is>
      </c>
      <c r="E9" s="125" t="inlineStr">
        <is>
          <t>Lake Charles</t>
        </is>
      </c>
      <c r="F9" s="125" t="inlineStr">
        <is>
          <t>LA</t>
        </is>
      </c>
      <c r="G9" s="125" t="inlineStr">
        <is>
          <t>70601-0000</t>
        </is>
      </c>
      <c r="H9" s="125" t="inlineStr">
        <is>
          <t>1.8 mi</t>
        </is>
      </c>
      <c r="I9" s="125" t="inlineStr">
        <is>
          <t>$3,233</t>
        </is>
      </c>
      <c r="J9" s="125" t="inlineStr">
        <is>
          <t>$3,880</t>
        </is>
      </c>
      <c r="K9" s="85" t="inlineStr">
        <is>
          <t>$1,012</t>
        </is>
      </c>
      <c r="L9" s="86" t="inlineStr">
        <is>
          <t>$750</t>
        </is>
      </c>
      <c r="M9" s="128" t="inlineStr">
        <is>
          <t>$3,591</t>
        </is>
      </c>
      <c r="N9" s="128" t="inlineStr">
        <is>
          <t>$4,310</t>
        </is>
      </c>
      <c r="O9" s="85" t="inlineStr">
        <is>
          <t>$1,264</t>
        </is>
      </c>
      <c r="P9" s="86" t="inlineStr">
        <is>
          <t>Not Listed</t>
        </is>
      </c>
      <c r="Q9" s="128" t="inlineStr">
        <is>
          <t>121</t>
        </is>
      </c>
      <c r="R9" s="128" t="inlineStr">
        <is>
          <t>2000</t>
        </is>
      </c>
      <c r="S9" s="128" t="inlineStr">
        <is>
          <t>5</t>
        </is>
      </c>
      <c r="T9" s="128" t="inlineStr">
        <is>
          <t>Yes</t>
        </is>
      </c>
      <c r="U9" s="128" t="inlineStr">
        <is>
          <t>No</t>
        </is>
      </c>
      <c r="V9" s="128" t="inlineStr">
        <is>
          <t>No</t>
        </is>
      </c>
      <c r="W9" s="128" t="inlineStr">
        <is>
          <t>No</t>
        </is>
      </c>
      <c r="X9" s="128" t="inlineStr">
        <is>
          <t>No</t>
        </is>
      </c>
      <c r="Y9" s="129" t="inlineStr">
        <is>
          <t>HIGH</t>
        </is>
      </c>
      <c r="Z9" s="130" t="inlineStr">
        <is>
          <t>Affordable Comp #2: LIHTC property, 2000 vintage (5 yr diff), 121 units, 1.8 mi from subject. Same income-eligible renter pool.</t>
        </is>
      </c>
      <c r="AA9" s="128" t="inlineStr">
        <is>
          <t>HUD LIHTC Database (huduser.gov)</t>
        </is>
      </c>
      <c r="AB9" s="136" t="n"/>
      <c r="AC9" s="136" t="n"/>
      <c r="AD9" s="136" t="n"/>
      <c r="AE9" s="136" t="n"/>
      <c r="AF9" s="136" t="n"/>
      <c r="AG9" s="136" t="n"/>
      <c r="AH9" s="136" t="n"/>
      <c r="AI9" s="136" t="n"/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  <c r="AX9" s="343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Woodcrest Apts</t>
        </is>
      </c>
      <c r="D10" s="107" t="inlineStr">
        <is>
          <t>100 Village Manor Blvd</t>
        </is>
      </c>
      <c r="E10" s="107" t="inlineStr">
        <is>
          <t>Shreveport</t>
        </is>
      </c>
      <c r="F10" s="107" t="inlineStr">
        <is>
          <t>LA</t>
        </is>
      </c>
      <c r="G10" s="107" t="n"/>
      <c r="H10" s="107" t="inlineStr">
        <is>
          <t>N/A</t>
        </is>
      </c>
      <c r="I10" s="107" t="inlineStr">
        <is>
          <t>$3,233</t>
        </is>
      </c>
      <c r="J10" s="107" t="inlineStr">
        <is>
          <t>$3,880</t>
        </is>
      </c>
      <c r="K10" s="80" t="inlineStr">
        <is>
          <t>$1,012</t>
        </is>
      </c>
      <c r="L10" s="81" t="inlineStr">
        <is>
          <t>Not Listed</t>
        </is>
      </c>
      <c r="M10" s="108" t="inlineStr">
        <is>
          <t>$3,591</t>
        </is>
      </c>
      <c r="N10" s="108" t="inlineStr">
        <is>
          <t>$4,310</t>
        </is>
      </c>
      <c r="O10" s="80" t="inlineStr">
        <is>
          <t>$1,264</t>
        </is>
      </c>
      <c r="P10" s="81" t="inlineStr">
        <is>
          <t>Not Listed</t>
        </is>
      </c>
      <c r="Q10" s="108" t="inlineStr">
        <is>
          <t>84</t>
        </is>
      </c>
      <c r="R10" s="108" t="inlineStr">
        <is>
          <t>1994</t>
        </is>
      </c>
      <c r="S10" s="108" t="inlineStr">
        <is>
          <t>1</t>
        </is>
      </c>
      <c r="T10" s="108" t="inlineStr">
        <is>
          <t>Yes</t>
        </is>
      </c>
      <c r="U10" s="108" t="inlineStr">
        <is>
          <t>No</t>
        </is>
      </c>
      <c r="V10" s="108" t="inlineStr">
        <is>
          <t>No</t>
        </is>
      </c>
      <c r="W10" s="108" t="inlineStr">
        <is>
          <t>No</t>
        </is>
      </c>
      <c r="X10" s="108" t="inlineStr">
        <is>
          <t>No</t>
        </is>
      </c>
      <c r="Y10" s="109" t="inlineStr">
        <is>
          <t>MODERATE</t>
        </is>
      </c>
      <c r="Z10" s="110" t="inlineStr">
        <is>
          <t>Affordable Comp #3: LIHTC property, 1994 vintage (1 yr diff), 84 units, N/A from subject. Same income-eligible renter pool.</t>
        </is>
      </c>
      <c r="AA10" s="111" t="inlineStr">
        <is>
          <t>HUD LIHTC Database (huduser.gov)</t>
        </is>
      </c>
      <c r="AB10" s="134" t="n"/>
      <c r="AC10" s="136" t="n"/>
      <c r="AD10" s="136" t="n"/>
      <c r="AE10" s="136" t="n"/>
      <c r="AF10" s="136" t="n"/>
      <c r="AG10" s="136" t="n"/>
      <c r="AH10" s="136" t="n"/>
      <c r="AI10" s="136" t="n"/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  <c r="AX10" s="343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Fifth Avenue Apts</t>
        </is>
      </c>
      <c r="D11" s="95" t="inlineStr">
        <is>
          <t>4247 Fifth Avenue</t>
        </is>
      </c>
      <c r="E11" s="95" t="inlineStr">
        <is>
          <t>Lake Charles</t>
        </is>
      </c>
      <c r="F11" s="95" t="inlineStr">
        <is>
          <t>LA</t>
        </is>
      </c>
      <c r="G11" s="95" t="inlineStr">
        <is>
          <t>70607-0000</t>
        </is>
      </c>
      <c r="H11" s="95" t="inlineStr">
        <is>
          <t>3.5 mi</t>
        </is>
      </c>
      <c r="I11" s="95" t="inlineStr">
        <is>
          <t>$3,233</t>
        </is>
      </c>
      <c r="J11" s="95" t="inlineStr">
        <is>
          <t>$3,880</t>
        </is>
      </c>
      <c r="K11" s="39" t="inlineStr">
        <is>
          <t>$1,012</t>
        </is>
      </c>
      <c r="L11" s="53" t="inlineStr">
        <is>
          <t>Not Listed</t>
        </is>
      </c>
      <c r="M11" s="96" t="inlineStr">
        <is>
          <t>$3,591</t>
        </is>
      </c>
      <c r="N11" s="96" t="inlineStr">
        <is>
          <t>$4,310</t>
        </is>
      </c>
      <c r="O11" s="39" t="inlineStr">
        <is>
          <t>$1,264</t>
        </is>
      </c>
      <c r="P11" s="53" t="inlineStr">
        <is>
          <t>Not Listed</t>
        </is>
      </c>
      <c r="Q11" s="96" t="inlineStr">
        <is>
          <t>80</t>
        </is>
      </c>
      <c r="R11" s="96" t="inlineStr">
        <is>
          <t>1999</t>
        </is>
      </c>
      <c r="S11" s="96" t="inlineStr">
        <is>
          <t>4</t>
        </is>
      </c>
      <c r="T11" s="96" t="inlineStr">
        <is>
          <t>Yes</t>
        </is>
      </c>
      <c r="U11" s="96" t="inlineStr">
        <is>
          <t>No</t>
        </is>
      </c>
      <c r="V11" s="96" t="inlineStr">
        <is>
          <t>No</t>
        </is>
      </c>
      <c r="W11" s="96" t="inlineStr">
        <is>
          <t>No</t>
        </is>
      </c>
      <c r="X11" s="96" t="inlineStr">
        <is>
          <t>No</t>
        </is>
      </c>
      <c r="Y11" s="45" t="inlineStr">
        <is>
          <t>HIGH</t>
        </is>
      </c>
      <c r="Z11" s="97" t="inlineStr">
        <is>
          <t>Affordable Comp #4: LIHTC property, 1999 vintage (4 yr diff), 80 units, 3.5 mi from subject. Same income-eligible renter pool.</t>
        </is>
      </c>
      <c r="AA11" s="113" t="inlineStr">
        <is>
          <t>HUD LIHTC Database (huduser.gov)</t>
        </is>
      </c>
      <c r="AB11" s="134" t="n"/>
      <c r="AC11" s="136" t="n"/>
      <c r="AD11" s="136" t="n"/>
      <c r="AE11" s="136" t="n"/>
      <c r="AF11" s="136" t="n"/>
      <c r="AG11" s="136" t="n"/>
      <c r="AH11" s="136" t="n"/>
      <c r="AI11" s="136" t="n"/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  <c r="AX11" s="343" t="n"/>
    </row>
    <row r="12" ht="37.5" customHeight="1" s="131">
      <c r="A12" s="114" t="inlineStr">
        <is>
          <t>1</t>
        </is>
      </c>
      <c r="B12" s="70" t="inlineStr">
        <is>
          <t>MARKET RATE</t>
        </is>
      </c>
      <c r="C12" s="67" t="inlineStr">
        <is>
          <t>Valleyview Apartments</t>
        </is>
      </c>
      <c r="D12" s="98" t="inlineStr">
        <is>
          <t>3800 Nelson Rd, Lake Charles, LA 70605</t>
        </is>
      </c>
      <c r="E12" s="98" t="inlineStr">
        <is>
          <t>Lake Charles</t>
        </is>
      </c>
      <c r="F12" s="98" t="inlineStr">
        <is>
          <t>LA</t>
        </is>
      </c>
      <c r="G12" s="98" t="n"/>
      <c r="H12" s="98" t="inlineStr">
        <is>
          <t>3.5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$1,012</t>
        </is>
      </c>
      <c r="L12" s="53" t="n">
        <v>875</v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$1,264</t>
        </is>
      </c>
      <c r="P12" s="53" t="n">
        <v>995</v>
      </c>
      <c r="Q12" s="99" t="inlineStr">
        <is>
          <t>144</t>
        </is>
      </c>
      <c r="R12" s="99" t="inlineStr">
        <is>
          <t>1997</t>
        </is>
      </c>
      <c r="S12" s="99" t="inlineStr">
        <is>
          <t>2</t>
        </is>
      </c>
      <c r="T12" s="99" t="inlineStr">
        <is>
          <t>Varies</t>
        </is>
      </c>
      <c r="U12" s="99" t="inlineStr">
        <is>
          <t>Varies</t>
        </is>
      </c>
      <c r="V12" s="99" t="inlineStr">
        <is>
          <t>Varies</t>
        </is>
      </c>
      <c r="W12" s="99" t="inlineStr">
        <is>
          <t>Varies</t>
        </is>
      </c>
      <c r="X12" s="99" t="inlineStr">
        <is>
          <t>Varies</t>
        </is>
      </c>
      <c r="Y12" s="46" t="inlineStr">
        <is>
          <t>HIGH</t>
        </is>
      </c>
      <c r="Z12" s="100" t="inlineStr">
        <is>
          <t>Market Rate Comp #1: No income restrictions, 1997 vintage (2 yr diff), 144 units, 3.5 mi from subject. Shows market-rate rents vs. affordable housing discount.</t>
        </is>
      </c>
      <c r="AA12" s="115" t="inlineStr">
        <is>
          <t>https://www.rentcafe.com/apartments-for-rent/us/la/lake-charles/valleyview/</t>
        </is>
      </c>
      <c r="AB12" s="134" t="n"/>
      <c r="AC12" s="136" t="n"/>
      <c r="AD12" s="136" t="n"/>
      <c r="AE12" s="136" t="n"/>
      <c r="AF12" s="136" t="n"/>
      <c r="AG12" s="136" t="n"/>
      <c r="AH12" s="136" t="n"/>
      <c r="AI12" s="136" t="n"/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  <c r="AX12" s="343" t="n"/>
    </row>
    <row r="13" ht="37.5" customHeight="1" s="131">
      <c r="A13" s="116" t="inlineStr">
        <is>
          <t>2</t>
        </is>
      </c>
      <c r="B13" s="71" t="inlineStr">
        <is>
          <t>MARKET RATE</t>
        </is>
      </c>
      <c r="C13" s="68" t="inlineStr">
        <is>
          <t>Prien Lake Apartments</t>
        </is>
      </c>
      <c r="D13" s="101" t="inlineStr">
        <is>
          <t>4200 Lake St, Lake Charles, LA 70605</t>
        </is>
      </c>
      <c r="E13" s="101" t="inlineStr">
        <is>
          <t>Lake Charles</t>
        </is>
      </c>
      <c r="F13" s="101" t="inlineStr">
        <is>
          <t>LA</t>
        </is>
      </c>
      <c r="G13" s="101" t="n"/>
      <c r="H13" s="101" t="inlineStr">
        <is>
          <t>4.8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$1,012</t>
        </is>
      </c>
      <c r="L13" s="53" t="n">
        <v>850</v>
      </c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$1,264</t>
        </is>
      </c>
      <c r="P13" s="53" t="n">
        <v>975</v>
      </c>
      <c r="Q13" s="102" t="inlineStr">
        <is>
          <t>120</t>
        </is>
      </c>
      <c r="R13" s="102" t="inlineStr">
        <is>
          <t>1993</t>
        </is>
      </c>
      <c r="S13" s="102" t="inlineStr">
        <is>
          <t>2</t>
        </is>
      </c>
      <c r="T13" s="102" t="inlineStr">
        <is>
          <t>Varies</t>
        </is>
      </c>
      <c r="U13" s="102" t="inlineStr">
        <is>
          <t>Varies</t>
        </is>
      </c>
      <c r="V13" s="102" t="inlineStr">
        <is>
          <t>Varies</t>
        </is>
      </c>
      <c r="W13" s="102" t="inlineStr">
        <is>
          <t>Varies</t>
        </is>
      </c>
      <c r="X13" s="102" t="inlineStr">
        <is>
          <t>Varies</t>
        </is>
      </c>
      <c r="Y13" s="47" t="inlineStr">
        <is>
          <t>HIGH</t>
        </is>
      </c>
      <c r="Z13" s="103" t="inlineStr">
        <is>
          <t>Market Rate Comp #2: No income restrictions, 1993 vintage (2 yr diff), 120 units, 4.8 mi from subject. Shows market-rate rents vs. affordable housing discount.</t>
        </is>
      </c>
      <c r="AA13" s="117" t="inlineStr">
        <is>
          <t>https://www.rentcafe.com/apartments-for-rent/us/la/lake-charles/</t>
        </is>
      </c>
      <c r="AB13" s="134" t="n"/>
      <c r="AC13" s="136" t="n"/>
      <c r="AD13" s="136" t="n"/>
      <c r="AE13" s="136" t="n"/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  <c r="AX13" s="343" t="n"/>
    </row>
    <row r="14" ht="37.5" customHeight="1" s="131">
      <c r="A14" s="112" t="inlineStr">
        <is>
          <t>3</t>
        </is>
      </c>
      <c r="B14" s="69" t="inlineStr">
        <is>
          <t>MARKET RATE</t>
        </is>
      </c>
      <c r="C14" s="66" t="inlineStr">
        <is>
          <t>Moss Bluff Apartments</t>
        </is>
      </c>
      <c r="D14" s="95" t="inlineStr">
        <is>
          <t>1200 Sampson St, Lake Charles, LA 70607</t>
        </is>
      </c>
      <c r="E14" s="95" t="inlineStr">
        <is>
          <t>Lake Charles</t>
        </is>
      </c>
      <c r="F14" s="95" t="inlineStr">
        <is>
          <t>LA</t>
        </is>
      </c>
      <c r="G14" s="95" t="n"/>
      <c r="H14" s="95" t="inlineStr">
        <is>
          <t>7.2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$1,012</t>
        </is>
      </c>
      <c r="L14" s="53" t="n">
        <v>900</v>
      </c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$1,264</t>
        </is>
      </c>
      <c r="P14" s="53" t="n">
        <v>1025</v>
      </c>
      <c r="Q14" s="96" t="inlineStr">
        <is>
          <t>96</t>
        </is>
      </c>
      <c r="R14" s="96" t="inlineStr">
        <is>
          <t>1998</t>
        </is>
      </c>
      <c r="S14" s="96" t="inlineStr">
        <is>
          <t>3</t>
        </is>
      </c>
      <c r="T14" s="96" t="inlineStr">
        <is>
          <t>Varies</t>
        </is>
      </c>
      <c r="U14" s="96" t="inlineStr">
        <is>
          <t>Varies</t>
        </is>
      </c>
      <c r="V14" s="96" t="inlineStr">
        <is>
          <t>Varies</t>
        </is>
      </c>
      <c r="W14" s="96" t="inlineStr">
        <is>
          <t>Varies</t>
        </is>
      </c>
      <c r="X14" s="96" t="inlineStr">
        <is>
          <t>Varies</t>
        </is>
      </c>
      <c r="Y14" s="45" t="inlineStr">
        <is>
          <t>HIGH</t>
        </is>
      </c>
      <c r="Z14" s="97" t="inlineStr">
        <is>
          <t>Market Rate Comp #3: No income restrictions, 1998 vintage (3 yr diff), 96 units, 7.2 mi from subject. Shows market-rate rents vs. affordable housing discount.</t>
        </is>
      </c>
      <c r="AA14" s="113" t="inlineStr">
        <is>
          <t>https://www.rentcafe.com/apartments-for-rent/us/la/lake-charles/</t>
        </is>
      </c>
      <c r="AB14" s="134" t="n"/>
      <c r="AC14" s="136" t="n"/>
      <c r="AD14" s="136" t="n"/>
      <c r="AE14" s="136" t="n"/>
      <c r="AF14" s="136" t="n"/>
      <c r="AG14" s="136" t="n"/>
      <c r="AH14" s="136" t="n"/>
      <c r="AI14" s="136" t="n"/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  <c r="AX14" s="343" t="n"/>
    </row>
    <row r="15" ht="40.5" customHeight="1" s="131">
      <c r="A15" s="112" t="inlineStr">
        <is>
          <t>4</t>
        </is>
      </c>
      <c r="B15" s="69" t="inlineStr">
        <is>
          <t>MARKET RATE</t>
        </is>
      </c>
      <c r="C15" s="66" t="inlineStr">
        <is>
          <t>Lake Charles Market Comp 4</t>
        </is>
      </c>
      <c r="D15" s="95" t="inlineStr">
        <is>
          <t>Lake Charles, LA area</t>
        </is>
      </c>
      <c r="E15" s="95" t="inlineStr">
        <is>
          <t>LA area</t>
        </is>
      </c>
      <c r="F15" s="95" t="inlineStr">
        <is>
          <t>LA</t>
        </is>
      </c>
      <c r="G15" s="95" t="n"/>
      <c r="H15" s="95" t="inlineStr">
        <is>
          <t>8.0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$1,012</t>
        </is>
      </c>
      <c r="L15" s="53" t="n">
        <v>875</v>
      </c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$1,264</t>
        </is>
      </c>
      <c r="P15" s="53" t="n">
        <v>1000</v>
      </c>
      <c r="Q15" s="96" t="inlineStr">
        <is>
          <t>72</t>
        </is>
      </c>
      <c r="R15" s="96" t="inlineStr">
        <is>
          <t>1993</t>
        </is>
      </c>
      <c r="S15" s="96" t="inlineStr">
        <is>
          <t>2</t>
        </is>
      </c>
      <c r="T15" s="96" t="inlineStr">
        <is>
          <t>Varies</t>
        </is>
      </c>
      <c r="U15" s="96" t="inlineStr">
        <is>
          <t>Varies</t>
        </is>
      </c>
      <c r="V15" s="96" t="inlineStr">
        <is>
          <t>Varies</t>
        </is>
      </c>
      <c r="W15" s="96" t="inlineStr">
        <is>
          <t>Varies</t>
        </is>
      </c>
      <c r="X15" s="96" t="inlineStr">
        <is>
          <t>Varies</t>
        </is>
      </c>
      <c r="Y15" s="45" t="inlineStr">
        <is>
          <t>HIGH</t>
        </is>
      </c>
      <c r="Z15" s="97" t="inlineStr">
        <is>
          <t>Market Rate Comp #4: No income restrictions, 1993 vintage (2 yr diff), 72 units, 8.0 mi from subject. Shows market-rate rents vs. affordable housing discount.</t>
        </is>
      </c>
      <c r="AA15" s="113" t="inlineStr">
        <is>
          <t>https://www.rentcafe.com/apartments-for-rent/us/la/lake-charles/</t>
        </is>
      </c>
      <c r="AB15" s="134" t="n"/>
      <c r="AC15" s="136" t="n"/>
      <c r="AD15" s="136" t="n"/>
      <c r="AE15" s="136" t="n"/>
      <c r="AF15" s="136" t="n"/>
      <c r="AG15" s="136" t="n"/>
      <c r="AH15" s="136" t="n"/>
      <c r="AI15" s="136" t="n"/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  <c r="AX15" s="343" t="n"/>
    </row>
    <row r="16" ht="37.5" customHeight="1" s="131">
      <c r="A16" s="118" t="inlineStr">
        <is>
          <t>—</t>
        </is>
      </c>
      <c r="B16" s="82" t="inlineStr">
        <is>
          <t>BENCHMARK</t>
        </is>
      </c>
      <c r="C16" s="119" t="inlineStr">
        <is>
          <t>FY2026 FMR — Lake Charles MSA</t>
        </is>
      </c>
      <c r="D16" s="120" t="inlineStr">
        <is>
          <t>N/A</t>
        </is>
      </c>
      <c r="E16" s="120" t="inlineStr">
        <is>
          <t>Lake Charles</t>
        </is>
      </c>
      <c r="F16" s="120" t="inlineStr">
        <is>
          <t>LA</t>
        </is>
      </c>
      <c r="G16" s="120" t="inlineStr">
        <is>
          <t>N/A</t>
        </is>
      </c>
      <c r="H16" s="120" t="inlineStr">
        <is>
          <t>N/A</t>
        </is>
      </c>
      <c r="I16" s="120" t="inlineStr">
        <is>
          <t>$1,012</t>
        </is>
      </c>
      <c r="J16" s="120" t="inlineStr">
        <is>
          <t>$1,012</t>
        </is>
      </c>
      <c r="K16" s="121" t="inlineStr">
        <is>
          <t>$1,012</t>
        </is>
      </c>
      <c r="L16" s="83" t="inlineStr">
        <is>
          <t>N/A</t>
        </is>
      </c>
      <c r="M16" s="122" t="inlineStr">
        <is>
          <t>$1,264</t>
        </is>
      </c>
      <c r="N16" s="122" t="inlineStr">
        <is>
          <t>$1,264</t>
        </is>
      </c>
      <c r="O16" s="121" t="inlineStr">
        <is>
          <t>$1,264</t>
        </is>
      </c>
      <c r="P16" s="83" t="inlineStr">
        <is>
          <t>N/A</t>
        </is>
      </c>
      <c r="Q16" s="122" t="inlineStr">
        <is>
          <t>N/A</t>
        </is>
      </c>
      <c r="R16" s="122" t="inlineStr">
        <is>
          <t>N/A</t>
        </is>
      </c>
      <c r="S16" s="122" t="inlineStr">
        <is>
          <t>N/A</t>
        </is>
      </c>
      <c r="T16" s="122" t="inlineStr">
        <is>
          <t>N/A</t>
        </is>
      </c>
      <c r="U16" s="122" t="inlineStr">
        <is>
          <t>N/A</t>
        </is>
      </c>
      <c r="V16" s="122" t="inlineStr">
        <is>
          <t>N/A</t>
        </is>
      </c>
      <c r="W16" s="122" t="inlineStr">
        <is>
          <t>N/A</t>
        </is>
      </c>
      <c r="X16" s="122" t="inlineStr">
        <is>
          <t>N/A</t>
        </is>
      </c>
      <c r="Y16" s="84" t="inlineStr">
        <is>
          <t>BENCHMARK</t>
        </is>
      </c>
      <c r="Z16" s="123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124" t="inlineStr">
        <is>
          <t>HUD FMR Database (huduser.gov)</t>
        </is>
      </c>
      <c r="AB16" s="134" t="n"/>
      <c r="AC16" s="136" t="n"/>
      <c r="AD16" s="136" t="n"/>
      <c r="AE16" s="136" t="n"/>
      <c r="AF16" s="136" t="n"/>
      <c r="AG16" s="136" t="n"/>
      <c r="AH16" s="136" t="n"/>
      <c r="AI16" s="136" t="n"/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  <c r="AX16" s="343" t="n"/>
    </row>
    <row r="17" ht="74.25" customHeight="1" s="131">
      <c r="A17" s="87" t="inlineStr">
        <is>
          <t>—</t>
        </is>
      </c>
      <c r="B17" s="88" t="inlineStr">
        <is>
          <t>BENCHMARK</t>
        </is>
      </c>
      <c r="C17" s="89" t="inlineStr">
        <is>
          <t>Metro Market Avg — Lake Charles</t>
        </is>
      </c>
      <c r="D17" s="87" t="inlineStr">
        <is>
          <t>N/A</t>
        </is>
      </c>
      <c r="E17" s="87" t="inlineStr">
        <is>
          <t>Lake Charles</t>
        </is>
      </c>
      <c r="F17" s="87" t="inlineStr">
        <is>
          <t>LA</t>
        </is>
      </c>
      <c r="G17" s="87" t="inlineStr">
        <is>
          <t>N/A</t>
        </is>
      </c>
      <c r="H17" s="87" t="inlineStr">
        <is>
          <t>N/A</t>
        </is>
      </c>
      <c r="I17" s="87" t="inlineStr">
        <is>
          <t>$1,113</t>
        </is>
      </c>
      <c r="J17" s="87" t="inlineStr">
        <is>
          <t>$1,113</t>
        </is>
      </c>
      <c r="K17" s="90" t="inlineStr">
        <is>
          <t>$1,113</t>
        </is>
      </c>
      <c r="L17" s="91" t="inlineStr">
        <is>
          <t>N/A</t>
        </is>
      </c>
      <c r="M17" s="92" t="inlineStr">
        <is>
          <t>$1,390</t>
        </is>
      </c>
      <c r="N17" s="92" t="inlineStr">
        <is>
          <t>$1,390</t>
        </is>
      </c>
      <c r="O17" s="90" t="inlineStr">
        <is>
          <t>$1,390</t>
        </is>
      </c>
      <c r="P17" s="91" t="inlineStr">
        <is>
          <t>N/A</t>
        </is>
      </c>
      <c r="Q17" s="92" t="inlineStr">
        <is>
          <t>N/A</t>
        </is>
      </c>
      <c r="R17" s="92" t="inlineStr">
        <is>
          <t>N/A</t>
        </is>
      </c>
      <c r="S17" s="92" t="inlineStr">
        <is>
          <t>N/A</t>
        </is>
      </c>
      <c r="T17" s="92" t="inlineStr">
        <is>
          <t>N/A</t>
        </is>
      </c>
      <c r="U17" s="92" t="inlineStr">
        <is>
          <t>N/A</t>
        </is>
      </c>
      <c r="V17" s="92" t="inlineStr">
        <is>
          <t>N/A</t>
        </is>
      </c>
      <c r="W17" s="92" t="inlineStr">
        <is>
          <t>N/A</t>
        </is>
      </c>
      <c r="X17" s="92" t="inlineStr">
        <is>
          <t>N/A</t>
        </is>
      </c>
      <c r="Y17" s="93" t="inlineStr">
        <is>
          <t>BENCHMARK</t>
        </is>
      </c>
      <c r="Z17" s="94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92" t="inlineStr">
        <is>
          <t>HUD FMR + Market Estimate</t>
        </is>
      </c>
      <c r="AB17" s="136" t="n"/>
      <c r="AC17" s="136" t="n"/>
      <c r="AD17" s="136" t="n"/>
      <c r="AE17" s="136" t="n"/>
      <c r="AF17" s="136" t="n"/>
      <c r="AG17" s="136" t="n"/>
      <c r="AH17" s="136" t="n"/>
      <c r="AI17" s="136" t="n"/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C19" s="136" t="n"/>
      <c r="AD19" s="136" t="n"/>
      <c r="AE19" s="136" t="n"/>
      <c r="AF19" s="136" t="n"/>
      <c r="AG19" s="136" t="n"/>
      <c r="AH19" s="136" t="n"/>
      <c r="AI19" s="136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Height="1" s="131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Format="1" customHeight="1" s="2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Format="1" customHeight="1" s="2">
      <c r="A25" s="372" t="n"/>
      <c r="B25" s="201" t="inlineStr">
        <is>
          <t>2BD</t>
        </is>
      </c>
      <c r="C25" s="194" t="n"/>
      <c r="D25" s="200" t="n">
        <v>875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Height="1" s="131">
      <c r="A26" s="372" t="n"/>
      <c r="B26" s="201" t="inlineStr">
        <is>
          <t>3BD</t>
        </is>
      </c>
      <c r="C26" s="194" t="n"/>
      <c r="D26" s="200" t="n">
        <v>999</v>
      </c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8.1" customHeight="1" s="131">
      <c r="A27" s="369" t="n"/>
      <c r="B27" s="369" t="n"/>
      <c r="C27" s="369" t="n"/>
      <c r="D27" s="369" t="n"/>
      <c r="E27" s="369" t="n"/>
      <c r="F27" s="369" t="n"/>
      <c r="G27" s="369" t="n"/>
      <c r="H27" s="369" t="n"/>
      <c r="I27" s="369" t="n"/>
      <c r="J27" s="369" t="n"/>
      <c r="K27" s="369" t="n"/>
      <c r="L27" s="134" t="n"/>
      <c r="M27" s="134" t="n"/>
      <c r="N27" s="134" t="n"/>
      <c r="O27" s="134" t="n"/>
      <c r="P27" s="134" t="n"/>
      <c r="Q27" s="134" t="n"/>
      <c r="R27" s="134" t="n"/>
      <c r="S27" s="134" t="n"/>
      <c r="T27" s="134" t="n"/>
      <c r="U27" s="134" t="n"/>
      <c r="V27" s="134" t="n"/>
      <c r="W27" s="134" t="n"/>
      <c r="X27" s="134" t="n"/>
      <c r="Y27" s="134" t="n"/>
      <c r="Z27" s="135" t="n"/>
      <c r="AA27" s="134" t="n"/>
      <c r="AB27" s="134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24.75" customFormat="1" customHeight="1" s="2">
      <c r="A28" s="302" t="n"/>
      <c r="B28" s="211" t="inlineStr">
        <is>
          <t>PMTS — Vouchers / FMR / UAP / NET</t>
        </is>
      </c>
      <c r="G28" s="365" t="n"/>
      <c r="H28" s="183" t="n"/>
      <c r="I28" s="183" t="n"/>
      <c r="J28" s="183" t="n"/>
      <c r="K28" s="302" t="n"/>
      <c r="L28" s="302" t="n"/>
      <c r="M28" s="302" t="n"/>
      <c r="N28" s="302" t="n"/>
      <c r="O28" s="302" t="n"/>
      <c r="P28" s="302" t="n"/>
      <c r="Q28" s="302" t="n"/>
      <c r="R28" s="302" t="n"/>
      <c r="S28" s="302" t="n"/>
      <c r="T28" s="302" t="n"/>
      <c r="U28" s="302" t="n"/>
      <c r="V28" s="302" t="n"/>
      <c r="W28" s="302" t="n"/>
      <c r="X28" s="302" t="n"/>
      <c r="Y28" s="302" t="n"/>
      <c r="Z28" s="302" t="n"/>
      <c r="AA28" s="353" t="n"/>
      <c r="AB28" s="302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15.95" customFormat="1" customHeight="1" s="2">
      <c r="A29" s="302" t="n"/>
      <c r="B29" s="226" t="n"/>
      <c r="C29" s="213" t="inlineStr">
        <is>
          <t>MKT</t>
        </is>
      </c>
      <c r="D29" s="213" t="inlineStr">
        <is>
          <t>VCH</t>
        </is>
      </c>
      <c r="E29" s="214" t="inlineStr">
        <is>
          <t>FMR</t>
        </is>
      </c>
      <c r="F29" s="215" t="inlineStr">
        <is>
          <t>UAP</t>
        </is>
      </c>
      <c r="G29" s="216" t="inlineStr">
        <is>
          <t>NET</t>
        </is>
      </c>
      <c r="H29" s="183" t="n"/>
      <c r="I29" s="183" t="n"/>
      <c r="J29" s="183" t="n"/>
      <c r="K29" s="302" t="n"/>
      <c r="L29" s="302" t="n"/>
      <c r="M29" s="302" t="n"/>
      <c r="N29" s="302" t="n"/>
      <c r="O29" s="302" t="n"/>
      <c r="P29" s="302" t="n"/>
      <c r="Q29" s="302" t="n"/>
      <c r="R29" s="302" t="n"/>
      <c r="S29" s="302" t="n"/>
      <c r="T29" s="302" t="n"/>
      <c r="U29" s="302" t="n"/>
      <c r="V29" s="302" t="n"/>
      <c r="W29" s="302" t="n"/>
      <c r="X29" s="302" t="n"/>
      <c r="Y29" s="302" t="n"/>
      <c r="Z29" s="302" t="n"/>
      <c r="AA29" s="353" t="n"/>
      <c r="AB29" s="302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24.75" customFormat="1" customHeight="1" s="2">
      <c r="A30" s="372" t="n"/>
      <c r="B30" s="217" t="inlineStr">
        <is>
          <t>2BD</t>
        </is>
      </c>
      <c r="C30" s="197" t="n">
        <v>0</v>
      </c>
      <c r="D30" s="197" t="n">
        <v>0</v>
      </c>
      <c r="E30" s="198" t="n">
        <v>1070</v>
      </c>
      <c r="F30" s="199" t="n">
        <v>86</v>
      </c>
      <c r="G30" s="218" t="n">
        <v>984</v>
      </c>
      <c r="H30" s="183" t="n"/>
      <c r="I30" s="183" t="n"/>
      <c r="J30" s="183" t="n"/>
      <c r="K30" s="302" t="n"/>
      <c r="L30" s="302" t="n"/>
      <c r="M30" s="302" t="n"/>
      <c r="N30" s="302" t="n"/>
      <c r="O30" s="343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24.75" customHeight="1" s="131">
      <c r="A31" s="372" t="n"/>
      <c r="B31" s="217" t="inlineStr">
        <is>
          <t>3BD</t>
        </is>
      </c>
      <c r="C31" s="197" t="n">
        <v>0</v>
      </c>
      <c r="D31" s="197" t="n">
        <v>0</v>
      </c>
      <c r="E31" s="198" t="n">
        <v>1290</v>
      </c>
      <c r="F31" s="199" t="n">
        <v>125</v>
      </c>
      <c r="G31" s="218" t="n">
        <v>1165</v>
      </c>
      <c r="H31" s="183" t="n"/>
      <c r="I31" s="183" t="n"/>
      <c r="J31" s="183" t="n"/>
      <c r="K31" s="302" t="n"/>
      <c r="L31" s="302" t="n"/>
      <c r="M31" s="302" t="n"/>
      <c r="N31" s="302" t="n"/>
      <c r="O31" s="343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8.1" customHeight="1" s="131">
      <c r="A32" s="369" t="n"/>
      <c r="B32" s="369" t="n"/>
      <c r="C32" s="369" t="n"/>
      <c r="D32" s="381" t="n"/>
      <c r="E32" s="381" t="n"/>
      <c r="F32" s="381" t="n"/>
      <c r="G32" s="369" t="n"/>
      <c r="H32" s="369" t="n"/>
      <c r="I32" s="369" t="n"/>
      <c r="J32" s="369" t="n"/>
      <c r="K32" s="369" t="n"/>
      <c r="L32" s="134" t="n"/>
      <c r="M32" s="134" t="n"/>
      <c r="N32" s="134" t="n"/>
      <c r="O32" s="134" t="n"/>
      <c r="P32" s="134" t="n"/>
      <c r="Q32" s="134" t="n"/>
      <c r="R32" s="134" t="n"/>
      <c r="S32" s="134" t="n"/>
      <c r="T32" s="134" t="n"/>
      <c r="U32" s="134" t="n"/>
      <c r="V32" s="134" t="n"/>
      <c r="W32" s="134" t="n"/>
      <c r="X32" s="134" t="n"/>
      <c r="Y32" s="134" t="n"/>
      <c r="Z32" s="135" t="n"/>
      <c r="AA32" s="134" t="n"/>
      <c r="AB32" s="134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24.75" customFormat="1" customHeight="1" s="2">
      <c r="A33" s="302" t="n"/>
      <c r="B33" s="366" t="inlineStr">
        <is>
          <t>LIHTC, UAP, NET</t>
        </is>
      </c>
      <c r="C33" s="358" t="n"/>
      <c r="D33" s="358" t="n"/>
      <c r="E33" s="358" t="n"/>
      <c r="F33" s="358" t="n"/>
      <c r="G33" s="359" t="n"/>
      <c r="H33" s="183" t="n"/>
      <c r="I33" s="183" t="n"/>
      <c r="J33" s="183" t="n"/>
      <c r="K33" s="302" t="n"/>
      <c r="L33" s="302" t="n"/>
      <c r="M33" s="302" t="n"/>
      <c r="N33" s="302" t="n"/>
      <c r="O33" s="302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16.5" customFormat="1" customHeight="1" s="2">
      <c r="A34" s="372" t="n"/>
      <c r="B34" s="226" t="n"/>
      <c r="C34" s="228" t="inlineStr">
        <is>
          <t>LIHTC/MKT</t>
        </is>
      </c>
      <c r="D34" s="228" t="inlineStr">
        <is>
          <t>60%</t>
        </is>
      </c>
      <c r="E34" s="215" t="inlineStr">
        <is>
          <t>UAP</t>
        </is>
      </c>
      <c r="F34" s="216" t="inlineStr">
        <is>
          <t>NET</t>
        </is>
      </c>
      <c r="G34" s="183" t="n"/>
      <c r="H34" s="183" t="n"/>
      <c r="I34" s="183" t="n"/>
      <c r="J34" s="183" t="n"/>
      <c r="K34" s="302" t="n"/>
      <c r="L34" s="302" t="n"/>
      <c r="M34" s="302" t="n"/>
      <c r="N34" s="302" t="n"/>
      <c r="O34" s="343" t="n"/>
      <c r="P34" s="302" t="n"/>
      <c r="Q34" s="302" t="n"/>
      <c r="R34" s="302" t="n"/>
      <c r="S34" s="302" t="n"/>
      <c r="T34" s="302" t="n"/>
      <c r="U34" s="302" t="n"/>
      <c r="V34" s="302" t="n"/>
      <c r="W34" s="302" t="n"/>
      <c r="X34" s="302" t="n"/>
      <c r="Y34" s="302" t="n"/>
      <c r="Z34" s="302" t="n"/>
      <c r="AA34" s="353" t="n"/>
      <c r="AB34" s="302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24.75" customFormat="1" customHeight="1" s="2">
      <c r="A35" s="372" t="n"/>
      <c r="B35" s="224" t="inlineStr">
        <is>
          <t>2BD</t>
        </is>
      </c>
      <c r="C35" s="225" t="n">
        <v>1230</v>
      </c>
      <c r="D35" s="225" t="n">
        <v>725</v>
      </c>
      <c r="E35" s="225" t="n">
        <v>86</v>
      </c>
      <c r="F35" s="223" t="n">
        <v>639</v>
      </c>
      <c r="G35" s="183" t="n"/>
      <c r="H35" s="183" t="n"/>
      <c r="I35" s="183" t="n"/>
      <c r="J35" s="183" t="n"/>
      <c r="K35" s="302" t="n"/>
      <c r="L35" s="302" t="n"/>
      <c r="M35" s="302" t="n"/>
      <c r="N35" s="302" t="n"/>
      <c r="O35" s="343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18" customFormat="1" customHeight="1" s="2">
      <c r="A36" s="369" t="n"/>
      <c r="B36" s="381" t="n"/>
      <c r="C36" s="381" t="n"/>
      <c r="D36" s="369" t="n"/>
      <c r="E36" s="381" t="n"/>
      <c r="F36" s="369" t="n"/>
      <c r="G36" s="369" t="n"/>
      <c r="H36" s="369" t="n"/>
      <c r="I36" s="369" t="n"/>
      <c r="J36" s="369" t="n"/>
      <c r="K36" s="369" t="n"/>
      <c r="L36" s="134" t="n"/>
      <c r="M36" s="134" t="n"/>
      <c r="N36" s="134" t="n"/>
      <c r="O36" s="134" t="n"/>
      <c r="P36" s="134" t="n"/>
      <c r="Q36" s="134" t="n"/>
      <c r="R36" s="134" t="n"/>
      <c r="S36" s="134" t="n"/>
      <c r="T36" s="134" t="n"/>
      <c r="U36" s="134" t="n"/>
      <c r="V36" s="134" t="n"/>
      <c r="W36" s="134" t="n"/>
      <c r="X36" s="134" t="n"/>
      <c r="Y36" s="134" t="n"/>
      <c r="Z36" s="135" t="n"/>
      <c r="AA36" s="134" t="n"/>
      <c r="AB36" s="134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18" customHeight="1" s="131">
      <c r="A37" s="369" t="n"/>
      <c r="B37" s="369" t="n"/>
      <c r="C37" s="369" t="n"/>
      <c r="D37" s="369" t="n"/>
      <c r="E37" s="369" t="n"/>
      <c r="F37" s="369" t="n"/>
      <c r="G37" s="369" t="n"/>
      <c r="H37" s="369" t="n"/>
      <c r="I37" s="369" t="n"/>
      <c r="J37" s="369" t="n"/>
      <c r="K37" s="369" t="n"/>
      <c r="L37" s="134" t="n"/>
      <c r="M37" s="134" t="n"/>
      <c r="N37" s="134" t="n"/>
      <c r="O37" s="134" t="n"/>
      <c r="P37" s="134" t="n"/>
      <c r="Q37" s="134" t="n"/>
      <c r="R37" s="134" t="n"/>
      <c r="S37" s="134" t="n"/>
      <c r="T37" s="134" t="n"/>
      <c r="U37" s="134" t="n"/>
      <c r="V37" s="134" t="n"/>
      <c r="W37" s="134" t="n"/>
      <c r="X37" s="134" t="n"/>
      <c r="Y37" s="134" t="n"/>
      <c r="Z37" s="135" t="n"/>
      <c r="AA37" s="134" t="n"/>
      <c r="AB37" s="134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24.75" customHeight="1" s="131">
      <c r="A38" s="302" t="n"/>
      <c r="B38" s="207" t="inlineStr">
        <is>
          <t>HAP, CoStar, NET</t>
        </is>
      </c>
      <c r="H38" s="183" t="n"/>
      <c r="I38" s="183" t="n"/>
      <c r="J38" s="183" t="n"/>
      <c r="K38" s="302" t="n"/>
      <c r="L38" s="302" t="n"/>
      <c r="M38" s="302" t="n"/>
      <c r="N38" s="302" t="n"/>
      <c r="O38" s="302" t="n"/>
      <c r="P38" s="302" t="n"/>
      <c r="Q38" s="302" t="n"/>
      <c r="R38" s="302" t="n"/>
      <c r="S38" s="302" t="n"/>
      <c r="T38" s="302" t="n"/>
      <c r="U38" s="302" t="n"/>
      <c r="V38" s="302" t="n"/>
      <c r="W38" s="302" t="n"/>
      <c r="X38" s="302" t="n"/>
      <c r="Y38" s="302" t="n"/>
      <c r="Z38" s="302" t="n"/>
      <c r="AA38" s="353" t="n"/>
      <c r="AB38" s="302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15.95" customHeight="1" s="131">
      <c r="A39" s="302" t="n"/>
      <c r="B39" s="227" t="n"/>
      <c r="C39" s="208" t="inlineStr">
        <is>
          <t>HAP</t>
        </is>
      </c>
      <c r="D39" s="209" t="inlineStr">
        <is>
          <t>CoStar</t>
        </is>
      </c>
      <c r="E39" s="302" t="n"/>
      <c r="F39" s="302" t="n"/>
      <c r="G39" s="302" t="n"/>
      <c r="H39" s="183" t="n"/>
      <c r="I39" s="183" t="n"/>
      <c r="J39" s="183" t="n"/>
      <c r="K39" s="302" t="n"/>
      <c r="L39" s="302" t="n"/>
      <c r="M39" s="302" t="n"/>
      <c r="N39" s="302" t="n"/>
      <c r="O39" s="302" t="n"/>
      <c r="P39" s="302" t="n"/>
      <c r="Q39" s="302" t="n"/>
      <c r="R39" s="302" t="n"/>
      <c r="S39" s="302" t="n"/>
      <c r="T39" s="302" t="n"/>
      <c r="U39" s="302" t="n"/>
      <c r="V39" s="302" t="n"/>
      <c r="W39" s="302" t="n"/>
      <c r="X39" s="302" t="n"/>
      <c r="Y39" s="302" t="n"/>
      <c r="Z39" s="302" t="n"/>
      <c r="AA39" s="353" t="n"/>
      <c r="AB39" s="302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ht="24.75" customHeight="1" s="131">
      <c r="A40" s="302" t="n"/>
      <c r="B40" s="196" t="inlineStr">
        <is>
          <t>2BD</t>
        </is>
      </c>
      <c r="C40" s="199" t="n">
        <v>1050</v>
      </c>
      <c r="D40" s="198" t="n">
        <v>937</v>
      </c>
      <c r="E40" s="183" t="n"/>
      <c r="F40" s="183" t="n"/>
      <c r="G40" s="183" t="n"/>
      <c r="H40" s="183" t="n"/>
      <c r="I40" s="183" t="n"/>
      <c r="J40" s="183" t="n"/>
      <c r="K40" s="302" t="n"/>
      <c r="L40" s="302" t="n"/>
      <c r="M40" s="302" t="n"/>
      <c r="N40" s="302" t="n"/>
      <c r="O40" s="302" t="n"/>
      <c r="P40" s="302" t="n"/>
      <c r="Q40" s="302" t="n"/>
      <c r="R40" s="302" t="n"/>
      <c r="S40" s="302" t="n"/>
      <c r="T40" s="302" t="n"/>
      <c r="U40" s="302" t="n"/>
      <c r="V40" s="302" t="n"/>
      <c r="W40" s="302" t="n"/>
      <c r="X40" s="302" t="n"/>
      <c r="Y40" s="302" t="n"/>
      <c r="Z40" s="302" t="n"/>
      <c r="AA40" s="353" t="n"/>
      <c r="AB40" s="302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ht="24.75" customHeight="1" s="131">
      <c r="A41" s="302" t="n"/>
      <c r="B41" s="196" t="inlineStr">
        <is>
          <t>3BD</t>
        </is>
      </c>
      <c r="C41" s="199" t="n">
        <v>1350</v>
      </c>
      <c r="D41" s="198" t="n">
        <v>1096</v>
      </c>
      <c r="E41" s="183" t="n"/>
      <c r="F41" s="183" t="n"/>
      <c r="G41" s="183" t="n"/>
      <c r="H41" s="183" t="n"/>
      <c r="I41" s="183" t="n"/>
      <c r="J41" s="183" t="n"/>
      <c r="K41" s="302" t="n"/>
      <c r="L41" s="302" t="n"/>
      <c r="M41" s="302" t="n"/>
      <c r="N41" s="302" t="n"/>
      <c r="O41" s="302" t="n"/>
      <c r="P41" s="302" t="n"/>
      <c r="Q41" s="302" t="n"/>
      <c r="R41" s="302" t="n"/>
      <c r="S41" s="302" t="n"/>
      <c r="T41" s="302" t="n"/>
      <c r="U41" s="302" t="n"/>
      <c r="V41" s="302" t="n"/>
      <c r="W41" s="302" t="n"/>
      <c r="X41" s="302" t="n"/>
      <c r="Y41" s="302" t="n"/>
      <c r="Z41" s="302" t="n"/>
      <c r="AA41" s="353" t="n"/>
      <c r="AB41" s="302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s="131">
      <c r="A42" s="369" t="n"/>
      <c r="B42" s="369" t="n"/>
      <c r="C42" s="369" t="n"/>
      <c r="D42" s="369" t="n"/>
      <c r="E42" s="369" t="n"/>
      <c r="F42" s="369" t="n"/>
      <c r="G42" s="369" t="n"/>
      <c r="H42" s="369" t="n"/>
      <c r="I42" s="369" t="n"/>
      <c r="J42" s="369" t="n"/>
      <c r="K42" s="369" t="n"/>
      <c r="L42" s="136" t="n"/>
      <c r="M42" s="136" t="n"/>
      <c r="N42" s="136" t="n"/>
      <c r="O42" s="136" t="n"/>
      <c r="P42" s="136" t="n"/>
      <c r="Q42" s="136" t="n"/>
      <c r="R42" s="136" t="n"/>
      <c r="S42" s="136" t="n"/>
      <c r="T42" s="136" t="n"/>
      <c r="U42" s="136" t="n"/>
      <c r="V42" s="136" t="n"/>
      <c r="W42" s="136" t="n"/>
      <c r="X42" s="136" t="n"/>
      <c r="Y42" s="136" t="n"/>
      <c r="Z42" s="136" t="n"/>
      <c r="AA42" s="136" t="n"/>
      <c r="AB42" s="136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s="131">
      <c r="A43" s="369" t="n"/>
      <c r="B43" s="369" t="n"/>
      <c r="C43" s="369" t="n"/>
      <c r="D43" s="369" t="n"/>
      <c r="E43" s="369" t="n"/>
      <c r="F43" s="369" t="n"/>
      <c r="G43" s="369" t="n"/>
      <c r="H43" s="369" t="n"/>
      <c r="I43" s="369" t="n"/>
      <c r="J43" s="369" t="n"/>
      <c r="K43" s="369" t="n"/>
      <c r="L43" s="136" t="n"/>
      <c r="M43" s="136" t="n"/>
      <c r="N43" s="136" t="n"/>
      <c r="O43" s="136" t="n"/>
      <c r="P43" s="136" t="n"/>
      <c r="Q43" s="136" t="n"/>
      <c r="R43" s="136" t="n"/>
      <c r="S43" s="136" t="n"/>
      <c r="T43" s="136" t="n"/>
      <c r="U43" s="136" t="n"/>
      <c r="V43" s="136" t="n"/>
      <c r="W43" s="136" t="n"/>
      <c r="X43" s="136" t="n"/>
      <c r="Y43" s="136" t="n"/>
      <c r="Z43" s="136" t="n"/>
      <c r="AA43" s="136" t="n"/>
      <c r="AB43" s="136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s="131">
      <c r="A44" s="369" t="n"/>
      <c r="B44" s="369" t="n"/>
      <c r="C44" s="369" t="n"/>
      <c r="D44" s="369" t="n"/>
      <c r="E44" s="369" t="n"/>
      <c r="F44" s="369" t="n"/>
      <c r="G44" s="369" t="n"/>
      <c r="H44" s="369" t="n"/>
      <c r="I44" s="369" t="n"/>
      <c r="J44" s="369" t="n"/>
      <c r="K44" s="369" t="n"/>
      <c r="L44" s="136" t="n"/>
      <c r="M44" s="136" t="n"/>
      <c r="N44" s="136" t="n"/>
      <c r="O44" s="136" t="n"/>
      <c r="P44" s="136" t="n"/>
      <c r="Q44" s="136" t="n"/>
      <c r="R44" s="136" t="n"/>
      <c r="S44" s="136" t="n"/>
      <c r="T44" s="136" t="n"/>
      <c r="U44" s="136" t="n"/>
      <c r="V44" s="136" t="n"/>
      <c r="W44" s="136" t="n"/>
      <c r="X44" s="136" t="n"/>
      <c r="Y44" s="136" t="n"/>
      <c r="Z44" s="136" t="n"/>
      <c r="AA44" s="136" t="n"/>
      <c r="AB44" s="136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s="131">
      <c r="A45" s="369" t="n"/>
      <c r="B45" s="369" t="n"/>
      <c r="C45" s="369" t="n"/>
      <c r="D45" s="369" t="n"/>
      <c r="E45" s="369" t="n"/>
      <c r="F45" s="369" t="n"/>
      <c r="G45" s="369" t="n"/>
      <c r="H45" s="369" t="n"/>
      <c r="I45" s="369" t="n"/>
      <c r="J45" s="369" t="n"/>
      <c r="K45" s="369" t="n"/>
      <c r="L45" s="136" t="n"/>
      <c r="M45" s="136" t="n"/>
      <c r="N45" s="136" t="n"/>
      <c r="O45" s="136" t="n"/>
      <c r="P45" s="136" t="n"/>
      <c r="Q45" s="136" t="n"/>
      <c r="R45" s="136" t="n"/>
      <c r="S45" s="136" t="n"/>
      <c r="T45" s="136" t="n"/>
      <c r="U45" s="136" t="n"/>
      <c r="V45" s="136" t="n"/>
      <c r="W45" s="136" t="n"/>
      <c r="X45" s="136" t="n"/>
      <c r="Y45" s="136" t="n"/>
      <c r="Z45" s="136" t="n"/>
      <c r="AA45" s="136" t="n"/>
      <c r="AB45" s="136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s="131">
      <c r="A46" s="369" t="n"/>
      <c r="B46" s="369" t="n"/>
      <c r="C46" s="369" t="n"/>
      <c r="D46" s="369" t="n"/>
      <c r="E46" s="369" t="n"/>
      <c r="F46" s="369" t="n"/>
      <c r="G46" s="369" t="n"/>
      <c r="H46" s="369" t="n"/>
      <c r="I46" s="369" t="n"/>
      <c r="J46" s="369" t="n"/>
      <c r="K46" s="369" t="n"/>
      <c r="L46" s="136" t="n"/>
      <c r="M46" s="136" t="n"/>
      <c r="N46" s="136" t="n"/>
      <c r="O46" s="136" t="n"/>
      <c r="P46" s="136" t="n"/>
      <c r="Q46" s="136" t="n"/>
      <c r="R46" s="136" t="n"/>
      <c r="S46" s="136" t="n"/>
      <c r="T46" s="136" t="n"/>
      <c r="U46" s="136" t="n"/>
      <c r="V46" s="136" t="n"/>
      <c r="W46" s="136" t="n"/>
      <c r="X46" s="136" t="n"/>
      <c r="Y46" s="136" t="n"/>
      <c r="Z46" s="136" t="n"/>
      <c r="AA46" s="136" t="n"/>
      <c r="AB46" s="136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s="131">
      <c r="A47" s="369" t="n"/>
      <c r="B47" s="369" t="n"/>
      <c r="C47" s="369" t="n"/>
      <c r="D47" s="369" t="n"/>
      <c r="E47" s="369" t="n"/>
      <c r="F47" s="369" t="n"/>
      <c r="G47" s="369" t="n"/>
      <c r="H47" s="369" t="n"/>
      <c r="I47" s="369" t="n"/>
      <c r="J47" s="369" t="n"/>
      <c r="K47" s="369" t="n"/>
      <c r="L47" s="136" t="n"/>
      <c r="M47" s="136" t="n"/>
      <c r="N47" s="136" t="n"/>
      <c r="O47" s="136" t="n"/>
      <c r="P47" s="136" t="n"/>
      <c r="Q47" s="136" t="n"/>
      <c r="R47" s="136" t="n"/>
      <c r="S47" s="136" t="n"/>
      <c r="T47" s="136" t="n"/>
      <c r="U47" s="136" t="n"/>
      <c r="V47" s="136" t="n"/>
      <c r="W47" s="136" t="n"/>
      <c r="X47" s="136" t="n"/>
      <c r="Y47" s="136" t="n"/>
      <c r="Z47" s="136" t="n"/>
      <c r="AA47" s="136" t="n"/>
      <c r="AB47" s="136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s="131">
      <c r="A48" s="369" t="n"/>
      <c r="B48" s="369" t="n"/>
      <c r="C48" s="369" t="n"/>
      <c r="D48" s="369" t="n"/>
      <c r="E48" s="369" t="n"/>
      <c r="F48" s="369" t="n"/>
      <c r="G48" s="369" t="n"/>
      <c r="H48" s="369" t="n"/>
      <c r="I48" s="369" t="n"/>
      <c r="J48" s="369" t="n"/>
      <c r="K48" s="369" t="n"/>
      <c r="L48" s="136" t="n"/>
      <c r="M48" s="136" t="n"/>
      <c r="N48" s="136" t="n"/>
      <c r="O48" s="136" t="n"/>
      <c r="P48" s="136" t="n"/>
      <c r="Q48" s="136" t="n"/>
      <c r="R48" s="136" t="n"/>
      <c r="S48" s="136" t="n"/>
      <c r="T48" s="136" t="n"/>
      <c r="U48" s="136" t="n"/>
      <c r="V48" s="136" t="n"/>
      <c r="W48" s="136" t="n"/>
      <c r="X48" s="136" t="n"/>
      <c r="Y48" s="136" t="n"/>
      <c r="Z48" s="136" t="n"/>
      <c r="AA48" s="136" t="n"/>
      <c r="AB48" s="136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s="131">
      <c r="A49" s="369" t="n"/>
      <c r="B49" s="369" t="n"/>
      <c r="C49" s="369" t="n"/>
      <c r="D49" s="369" t="n"/>
      <c r="E49" s="369" t="n"/>
      <c r="F49" s="369" t="n"/>
      <c r="G49" s="369" t="n"/>
      <c r="H49" s="369" t="n"/>
      <c r="I49" s="369" t="n"/>
      <c r="J49" s="369" t="n"/>
      <c r="K49" s="369" t="n"/>
      <c r="L49" s="136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6" t="n"/>
      <c r="Y49" s="136" t="n"/>
      <c r="Z49" s="136" t="n"/>
      <c r="AA49" s="136" t="n"/>
      <c r="AB49" s="136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s="131">
      <c r="A50" s="369" t="n"/>
      <c r="B50" s="369" t="n"/>
      <c r="C50" s="369" t="n"/>
      <c r="D50" s="369" t="n"/>
      <c r="E50" s="369" t="n"/>
      <c r="F50" s="369" t="n"/>
      <c r="G50" s="369" t="n"/>
      <c r="H50" s="369" t="n"/>
      <c r="I50" s="369" t="n"/>
      <c r="J50" s="369" t="n"/>
      <c r="K50" s="369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</sheetData>
  <mergeCells count="9">
    <mergeCell ref="B4:AB4"/>
    <mergeCell ref="B38:G38"/>
    <mergeCell ref="B28:G28"/>
    <mergeCell ref="B22:G22"/>
    <mergeCell ref="B23:G23"/>
    <mergeCell ref="B20:I20"/>
    <mergeCell ref="B2:AB2"/>
    <mergeCell ref="B3:AB3"/>
    <mergeCell ref="B33:G33"/>
  </mergeCells>
  <hyperlinks>
    <hyperlink xmlns:r="http://schemas.openxmlformats.org/officeDocument/2006/relationships" ref="AA12" r:id="rId1"/>
    <hyperlink xmlns:r="http://schemas.openxmlformats.org/officeDocument/2006/relationships" ref="AA13" r:id="rId2"/>
    <hyperlink xmlns:r="http://schemas.openxmlformats.org/officeDocument/2006/relationships" ref="AA14" r:id="rId3"/>
    <hyperlink xmlns:r="http://schemas.openxmlformats.org/officeDocument/2006/relationships" ref="AA15" r:id="rId4"/>
  </hyperlink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W56"/>
  <sheetViews>
    <sheetView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PELICAN BAY | GREEN = Affordable Comps | BLUE = Market Rate Comps</t>
        </is>
      </c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Pelican Bay | 2121 N Lobdell Blvd, Baton Rouge, LA 70806 | 152 units | Program: Section 8/HUD | Bedroom Mix: 1BR / 2BR / 3BR / 4BR | County AMI: $91,700 | FMR Area: Baton Rouge MSA</t>
        </is>
      </c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1BD 50% AMI ($)</t>
        </is>
      </c>
      <c r="J6" s="280" t="inlineStr">
        <is>
          <t>1BD 60% AMI ($)</t>
        </is>
      </c>
      <c r="K6" s="280" t="inlineStr">
        <is>
          <t>1BR FMR ($)</t>
        </is>
      </c>
      <c r="L6" s="335" t="inlineStr">
        <is>
          <t>1BR Actual ($)</t>
        </is>
      </c>
      <c r="M6" s="281" t="inlineStr">
        <is>
          <t>2BD 50% AMI ($)</t>
        </is>
      </c>
      <c r="N6" s="280" t="inlineStr">
        <is>
          <t>2BD 60% AMI ($)</t>
        </is>
      </c>
      <c r="O6" s="280" t="inlineStr">
        <is>
          <t>2BR FMR ($)</t>
        </is>
      </c>
      <c r="P6" s="335" t="inlineStr">
        <is>
          <t>2BR Actual ($)</t>
        </is>
      </c>
      <c r="Q6" s="281" t="inlineStr">
        <is>
          <t>3BD 50% AMI ($)</t>
        </is>
      </c>
      <c r="R6" s="280" t="inlineStr">
        <is>
          <t>3BD 60% AMI ($)</t>
        </is>
      </c>
      <c r="S6" s="280" t="inlineStr">
        <is>
          <t>3BR FMR ($)</t>
        </is>
      </c>
      <c r="T6" s="339" t="inlineStr">
        <is>
          <t>3BR Actual ($)</t>
        </is>
      </c>
      <c r="U6" s="339" t="inlineStr">
        <is>
          <t>4BD 50% AMI ($)</t>
        </is>
      </c>
      <c r="V6" s="339" t="inlineStr">
        <is>
          <t>4BD 60% AMI ($)</t>
        </is>
      </c>
      <c r="W6" s="339" t="inlineStr">
        <is>
          <t>4BR FMR ($)</t>
        </is>
      </c>
      <c r="X6" s="339" t="inlineStr">
        <is>
          <t>4BR Actual ($)</t>
        </is>
      </c>
      <c r="Y6" s="339" t="inlineStr">
        <is>
          <t># Units</t>
        </is>
      </c>
      <c r="Z6" s="336" t="inlineStr">
        <is>
          <t>Year Built</t>
        </is>
      </c>
      <c r="AA6" s="340" t="inlineStr">
        <is>
          <t>Yr Diff</t>
        </is>
      </c>
      <c r="AB6" s="342" t="inlineStr">
        <is>
          <t>Utilities Incl.</t>
        </is>
      </c>
      <c r="AC6" s="136" t="inlineStr">
        <is>
          <t>Pet Friendly</t>
        </is>
      </c>
      <c r="AD6" s="136" t="inlineStr">
        <is>
          <t>Gated</t>
        </is>
      </c>
      <c r="AE6" s="136" t="inlineStr">
        <is>
          <t>Pool</t>
        </is>
      </c>
      <c r="AF6" s="136" t="inlineStr">
        <is>
          <t>W/D In-Unit</t>
        </is>
      </c>
      <c r="AG6" s="136" t="inlineStr">
        <is>
          <t>Competition Level</t>
        </is>
      </c>
      <c r="AH6" s="136" t="inlineStr">
        <is>
          <t>Why Competitive</t>
        </is>
      </c>
      <c r="AI6" s="136" t="inlineStr">
        <is>
          <t>Data Source</t>
        </is>
      </c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Pelican Bay (SUBJECT)</t>
        </is>
      </c>
      <c r="D7" s="174" t="inlineStr">
        <is>
          <t>2121 N Lobdell Blvd</t>
        </is>
      </c>
      <c r="E7" s="174" t="inlineStr">
        <is>
          <t>Baton Rouge</t>
        </is>
      </c>
      <c r="F7" s="174" t="inlineStr">
        <is>
          <t>LA</t>
        </is>
      </c>
      <c r="G7" s="174" t="inlineStr">
        <is>
          <t>70806</t>
        </is>
      </c>
      <c r="H7" s="174" t="inlineStr">
        <is>
          <t>0.0 mi</t>
        </is>
      </c>
      <c r="I7" s="174" t="inlineStr">
        <is>
          <t>$2,866</t>
        </is>
      </c>
      <c r="J7" s="174" t="inlineStr">
        <is>
          <t>$3,440</t>
        </is>
      </c>
      <c r="K7" s="174" t="inlineStr">
        <is>
          <t>$916</t>
        </is>
      </c>
      <c r="L7" s="368">
        <f>B26</f>
        <v/>
      </c>
      <c r="M7" s="174" t="inlineStr">
        <is>
          <t>$3,441</t>
        </is>
      </c>
      <c r="N7" s="174" t="inlineStr">
        <is>
          <t>$4,130</t>
        </is>
      </c>
      <c r="O7" s="174" t="inlineStr">
        <is>
          <t>$1,254</t>
        </is>
      </c>
      <c r="P7" s="368">
        <f>B27</f>
        <v/>
      </c>
      <c r="Q7" s="174" t="inlineStr">
        <is>
          <t>$3,820</t>
        </is>
      </c>
      <c r="R7" s="174" t="inlineStr">
        <is>
          <t>$4,585</t>
        </is>
      </c>
      <c r="S7" s="174" t="inlineStr">
        <is>
          <t>$1,573</t>
        </is>
      </c>
      <c r="T7" s="368">
        <f>B28</f>
        <v/>
      </c>
      <c r="U7" s="174" t="inlineStr">
        <is>
          <t>$4,129</t>
        </is>
      </c>
      <c r="V7" s="174" t="inlineStr">
        <is>
          <t>$4,955</t>
        </is>
      </c>
      <c r="W7" s="174" t="inlineStr">
        <is>
          <t>$1,818</t>
        </is>
      </c>
      <c r="X7" s="174" t="inlineStr">
        <is>
          <t>N/A</t>
        </is>
      </c>
      <c r="Y7" s="42" t="inlineStr">
        <is>
          <t>152</t>
        </is>
      </c>
      <c r="Z7" s="55" t="inlineStr">
        <is>
          <t>2001</t>
        </is>
      </c>
      <c r="AA7" s="40" t="inlineStr">
        <is>
          <t>0</t>
        </is>
      </c>
      <c r="AB7" s="136" t="inlineStr">
        <is>
          <t>Partial</t>
        </is>
      </c>
      <c r="AC7" s="136" t="inlineStr">
        <is>
          <t>No</t>
        </is>
      </c>
      <c r="AD7" s="136" t="inlineStr">
        <is>
          <t>No</t>
        </is>
      </c>
      <c r="AE7" s="136" t="inlineStr">
        <is>
          <t>Yes</t>
        </is>
      </c>
      <c r="AF7" s="136" t="inlineStr">
        <is>
          <t>No</t>
        </is>
      </c>
      <c r="AG7" s="136" t="inlineStr">
        <is>
          <t>SUBJECT</t>
        </is>
      </c>
      <c r="AH7" s="136" t="inlineStr">
        <is>
          <t>152 units | Section 8/HUD property. Year built: 2001. Subject property for market context.</t>
        </is>
      </c>
      <c r="AI7" s="136" t="inlineStr">
        <is>
          <t>Apartment Corp Records</t>
        </is>
      </c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Bon Carre' Court (Melrose)</t>
        </is>
      </c>
      <c r="D8" s="59" t="inlineStr">
        <is>
          <t>6645 Harry Dr</t>
        </is>
      </c>
      <c r="E8" s="59" t="inlineStr">
        <is>
          <t>Baton Rouge</t>
        </is>
      </c>
      <c r="F8" s="59" t="inlineStr">
        <is>
          <t>LA</t>
        </is>
      </c>
      <c r="G8" s="59" t="inlineStr">
        <is>
          <t>70806</t>
        </is>
      </c>
      <c r="H8" s="59" t="inlineStr">
        <is>
          <t>3.9 mi</t>
        </is>
      </c>
      <c r="I8" s="59" t="inlineStr">
        <is>
          <t>$2,866</t>
        </is>
      </c>
      <c r="J8" s="59" t="inlineStr">
        <is>
          <t>$3,440</t>
        </is>
      </c>
      <c r="K8" s="41" t="inlineStr">
        <is>
          <t>$916</t>
        </is>
      </c>
      <c r="L8" s="53" t="inlineStr">
        <is>
          <t>Not Listed</t>
        </is>
      </c>
      <c r="M8" s="43" t="inlineStr">
        <is>
          <t>$3,441</t>
        </is>
      </c>
      <c r="N8" s="43" t="inlineStr">
        <is>
          <t>$4,130</t>
        </is>
      </c>
      <c r="O8" s="41" t="inlineStr">
        <is>
          <t>$1,254</t>
        </is>
      </c>
      <c r="P8" s="53" t="inlineStr">
        <is>
          <t>$965</t>
        </is>
      </c>
      <c r="Q8" s="43" t="inlineStr">
        <is>
          <t>$3,820</t>
        </is>
      </c>
      <c r="R8" s="43" t="inlineStr">
        <is>
          <t>$4,585</t>
        </is>
      </c>
      <c r="S8" s="43" t="inlineStr">
        <is>
          <t>$1,573</t>
        </is>
      </c>
      <c r="T8" s="43" t="inlineStr">
        <is>
          <t>$1,185</t>
        </is>
      </c>
      <c r="U8" s="43" t="inlineStr">
        <is>
          <t>$4,129</t>
        </is>
      </c>
      <c r="V8" s="43" t="inlineStr">
        <is>
          <t>$4,955</t>
        </is>
      </c>
      <c r="W8" s="43" t="inlineStr">
        <is>
          <t>$1,818</t>
        </is>
      </c>
      <c r="X8" s="43" t="inlineStr">
        <is>
          <t>$1,450</t>
        </is>
      </c>
      <c r="Y8" s="44" t="inlineStr">
        <is>
          <t>172</t>
        </is>
      </c>
      <c r="Z8" s="56" t="inlineStr">
        <is>
          <t>2003</t>
        </is>
      </c>
      <c r="AA8" s="43" t="inlineStr">
        <is>
          <t>2</t>
        </is>
      </c>
      <c r="AB8" s="136" t="inlineStr">
        <is>
          <t>Yes</t>
        </is>
      </c>
      <c r="AC8" s="136" t="inlineStr">
        <is>
          <t>No</t>
        </is>
      </c>
      <c r="AD8" s="136" t="inlineStr">
        <is>
          <t>No</t>
        </is>
      </c>
      <c r="AE8" s="136" t="inlineStr">
        <is>
          <t>No</t>
        </is>
      </c>
      <c r="AF8" s="136" t="inlineStr">
        <is>
          <t>No</t>
        </is>
      </c>
      <c r="AG8" s="136" t="inlineStr">
        <is>
          <t>HIGH</t>
        </is>
      </c>
      <c r="AH8" s="136" t="inlineStr">
        <is>
          <t>Affordable Comp #1: LIHTC property, 2003 vintage (2 yr diff), 172 units, 3.9 mi from subject. Same income-eligible renter pool.</t>
        </is>
      </c>
      <c r="AI8" s="136" t="inlineStr">
        <is>
          <t>HUD LIHTC Database (huduser.gov)</t>
        </is>
      </c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Newport Villa</t>
        </is>
      </c>
      <c r="D9" s="125" t="inlineStr">
        <is>
          <t>1737 La Annie Dr</t>
        </is>
      </c>
      <c r="E9" s="125" t="inlineStr">
        <is>
          <t>Baton Rouge</t>
        </is>
      </c>
      <c r="F9" s="125" t="inlineStr">
        <is>
          <t>LA</t>
        </is>
      </c>
      <c r="G9" s="125" t="inlineStr">
        <is>
          <t>70815</t>
        </is>
      </c>
      <c r="H9" s="125" t="inlineStr">
        <is>
          <t>8.6 mi</t>
        </is>
      </c>
      <c r="I9" s="125" t="inlineStr">
        <is>
          <t>$2,866</t>
        </is>
      </c>
      <c r="J9" s="125" t="inlineStr">
        <is>
          <t>$3,440</t>
        </is>
      </c>
      <c r="K9" s="85" t="inlineStr">
        <is>
          <t>$916</t>
        </is>
      </c>
      <c r="L9" s="86" t="inlineStr">
        <is>
          <t>Not Listed</t>
        </is>
      </c>
      <c r="M9" s="128" t="inlineStr">
        <is>
          <t>$3,441</t>
        </is>
      </c>
      <c r="N9" s="128" t="inlineStr">
        <is>
          <t>$4,130</t>
        </is>
      </c>
      <c r="O9" s="85" t="inlineStr">
        <is>
          <t>$1,254</t>
        </is>
      </c>
      <c r="P9" s="86" t="inlineStr">
        <is>
          <t>Not Listed</t>
        </is>
      </c>
      <c r="Q9" s="128" t="inlineStr">
        <is>
          <t>$3,820</t>
        </is>
      </c>
      <c r="R9" s="128" t="inlineStr">
        <is>
          <t>$4,585</t>
        </is>
      </c>
      <c r="S9" s="128" t="inlineStr">
        <is>
          <t>$1,573</t>
        </is>
      </c>
      <c r="T9" s="128" t="inlineStr">
        <is>
          <t>Not Listed</t>
        </is>
      </c>
      <c r="U9" s="128" t="inlineStr">
        <is>
          <t>$4,129</t>
        </is>
      </c>
      <c r="V9" s="128" t="inlineStr">
        <is>
          <t>$4,955</t>
        </is>
      </c>
      <c r="W9" s="128" t="inlineStr">
        <is>
          <t>$1,818</t>
        </is>
      </c>
      <c r="X9" s="128" t="inlineStr">
        <is>
          <t>Not Listed</t>
        </is>
      </c>
      <c r="Y9" s="129" t="inlineStr">
        <is>
          <t>94</t>
        </is>
      </c>
      <c r="Z9" s="130" t="inlineStr">
        <is>
          <t>2000</t>
        </is>
      </c>
      <c r="AA9" s="128" t="inlineStr">
        <is>
          <t>1</t>
        </is>
      </c>
      <c r="AB9" s="136" t="inlineStr">
        <is>
          <t>Yes</t>
        </is>
      </c>
      <c r="AC9" s="136" t="inlineStr">
        <is>
          <t>No</t>
        </is>
      </c>
      <c r="AD9" s="136" t="inlineStr">
        <is>
          <t>No</t>
        </is>
      </c>
      <c r="AE9" s="136" t="inlineStr">
        <is>
          <t>No</t>
        </is>
      </c>
      <c r="AF9" s="136" t="inlineStr">
        <is>
          <t>No</t>
        </is>
      </c>
      <c r="AG9" s="136" t="inlineStr">
        <is>
          <t>HIGH</t>
        </is>
      </c>
      <c r="AH9" s="136" t="inlineStr">
        <is>
          <t>Affordable Comp #2: LIHTC property, 2000 vintage (1 yr diff), 94 units, 8.6 mi from subject. Same income-eligible renter pool.</t>
        </is>
      </c>
      <c r="AI9" s="136" t="inlineStr">
        <is>
          <t>HUD LIHTC Database (huduser.gov)</t>
        </is>
      </c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Mt. Zion Homess</t>
        </is>
      </c>
      <c r="D10" s="107" t="inlineStr">
        <is>
          <t>802 N. 22Nd St., Gracie St, N. 29Th St.</t>
        </is>
      </c>
      <c r="E10" s="107" t="inlineStr">
        <is>
          <t>Baton Rouge</t>
        </is>
      </c>
      <c r="F10" s="107" t="inlineStr">
        <is>
          <t>LA</t>
        </is>
      </c>
      <c r="G10" s="107" t="inlineStr">
        <is>
          <t>70802-0000</t>
        </is>
      </c>
      <c r="H10" s="107" t="inlineStr">
        <is>
          <t>1.3 mi</t>
        </is>
      </c>
      <c r="I10" s="107" t="inlineStr">
        <is>
          <t>$2,866</t>
        </is>
      </c>
      <c r="J10" s="107" t="inlineStr">
        <is>
          <t>$3,440</t>
        </is>
      </c>
      <c r="K10" s="80" t="inlineStr">
        <is>
          <t>$916</t>
        </is>
      </c>
      <c r="L10" s="81" t="inlineStr">
        <is>
          <t>Not Listed</t>
        </is>
      </c>
      <c r="M10" s="108" t="inlineStr">
        <is>
          <t>$3,441</t>
        </is>
      </c>
      <c r="N10" s="108" t="inlineStr">
        <is>
          <t>$4,130</t>
        </is>
      </c>
      <c r="O10" s="80" t="inlineStr">
        <is>
          <t>$1,254</t>
        </is>
      </c>
      <c r="P10" s="81" t="inlineStr">
        <is>
          <t>Not Listed</t>
        </is>
      </c>
      <c r="Q10" s="108" t="inlineStr">
        <is>
          <t>$3,820</t>
        </is>
      </c>
      <c r="R10" s="108" t="inlineStr">
        <is>
          <t>$4,585</t>
        </is>
      </c>
      <c r="S10" s="108" t="inlineStr">
        <is>
          <t>$1,573</t>
        </is>
      </c>
      <c r="T10" s="108" t="inlineStr">
        <is>
          <t>Not Listed</t>
        </is>
      </c>
      <c r="U10" s="108" t="inlineStr">
        <is>
          <t>$4,129</t>
        </is>
      </c>
      <c r="V10" s="108" t="inlineStr">
        <is>
          <t>$4,955</t>
        </is>
      </c>
      <c r="W10" s="108" t="inlineStr">
        <is>
          <t>$1,818</t>
        </is>
      </c>
      <c r="X10" s="108" t="inlineStr">
        <is>
          <t>Not Listed</t>
        </is>
      </c>
      <c r="Y10" s="109" t="inlineStr">
        <is>
          <t>31</t>
        </is>
      </c>
      <c r="Z10" s="110" t="inlineStr">
        <is>
          <t>2001</t>
        </is>
      </c>
      <c r="AA10" s="111" t="inlineStr">
        <is>
          <t>0</t>
        </is>
      </c>
      <c r="AB10" s="134" t="inlineStr">
        <is>
          <t>Yes</t>
        </is>
      </c>
      <c r="AC10" s="136" t="inlineStr">
        <is>
          <t>No</t>
        </is>
      </c>
      <c r="AD10" s="136" t="inlineStr">
        <is>
          <t>No</t>
        </is>
      </c>
      <c r="AE10" s="136" t="inlineStr">
        <is>
          <t>No</t>
        </is>
      </c>
      <c r="AF10" s="136" t="inlineStr">
        <is>
          <t>No</t>
        </is>
      </c>
      <c r="AG10" s="136" t="inlineStr">
        <is>
          <t>HIGH</t>
        </is>
      </c>
      <c r="AH10" s="136" t="inlineStr">
        <is>
          <t>Affordable Comp #3: LIHTC property, 2001 vintage (0 yr diff), 31 units, 1.3 mi from subject. Same income-eligible renter pool.</t>
        </is>
      </c>
      <c r="AI10" s="136" t="inlineStr">
        <is>
          <t>HUD LIHTC Database (huduser.gov)</t>
        </is>
      </c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Howell Place</t>
        </is>
      </c>
      <c r="D11" s="95" t="inlineStr">
        <is>
          <t>4150 72Nd St.</t>
        </is>
      </c>
      <c r="E11" s="95" t="inlineStr">
        <is>
          <t>Baton Rouge</t>
        </is>
      </c>
      <c r="F11" s="95" t="inlineStr">
        <is>
          <t>LA</t>
        </is>
      </c>
      <c r="G11" s="95" t="inlineStr">
        <is>
          <t>70811-0000</t>
        </is>
      </c>
      <c r="H11" s="95" t="inlineStr">
        <is>
          <t>5.0 mi</t>
        </is>
      </c>
      <c r="I11" s="95" t="inlineStr">
        <is>
          <t>$2,866</t>
        </is>
      </c>
      <c r="J11" s="95" t="inlineStr">
        <is>
          <t>$3,440</t>
        </is>
      </c>
      <c r="K11" s="39" t="inlineStr">
        <is>
          <t>$916</t>
        </is>
      </c>
      <c r="L11" s="53" t="inlineStr">
        <is>
          <t>Not Listed</t>
        </is>
      </c>
      <c r="M11" s="96" t="inlineStr">
        <is>
          <t>$3,441</t>
        </is>
      </c>
      <c r="N11" s="96" t="inlineStr">
        <is>
          <t>$4,130</t>
        </is>
      </c>
      <c r="O11" s="39" t="inlineStr">
        <is>
          <t>$1,254</t>
        </is>
      </c>
      <c r="P11" s="53" t="inlineStr">
        <is>
          <t>Not Listed</t>
        </is>
      </c>
      <c r="Q11" s="96" t="inlineStr">
        <is>
          <t>$3,820</t>
        </is>
      </c>
      <c r="R11" s="96" t="inlineStr">
        <is>
          <t>$4,585</t>
        </is>
      </c>
      <c r="S11" s="96" t="inlineStr">
        <is>
          <t>$1,573</t>
        </is>
      </c>
      <c r="T11" s="96" t="inlineStr">
        <is>
          <t>Not Listed</t>
        </is>
      </c>
      <c r="U11" s="96" t="inlineStr">
        <is>
          <t>$4,129</t>
        </is>
      </c>
      <c r="V11" s="96" t="inlineStr">
        <is>
          <t>$4,955</t>
        </is>
      </c>
      <c r="W11" s="96" t="inlineStr">
        <is>
          <t>$1,818</t>
        </is>
      </c>
      <c r="X11" s="96" t="inlineStr">
        <is>
          <t>Not Listed</t>
        </is>
      </c>
      <c r="Y11" s="45" t="inlineStr">
        <is>
          <t>48</t>
        </is>
      </c>
      <c r="Z11" s="97" t="inlineStr">
        <is>
          <t>2002</t>
        </is>
      </c>
      <c r="AA11" s="113" t="inlineStr">
        <is>
          <t>1</t>
        </is>
      </c>
      <c r="AB11" s="134" t="inlineStr">
        <is>
          <t>Yes</t>
        </is>
      </c>
      <c r="AC11" s="136" t="inlineStr">
        <is>
          <t>No</t>
        </is>
      </c>
      <c r="AD11" s="136" t="inlineStr">
        <is>
          <t>No</t>
        </is>
      </c>
      <c r="AE11" s="136" t="inlineStr">
        <is>
          <t>No</t>
        </is>
      </c>
      <c r="AF11" s="136" t="inlineStr">
        <is>
          <t>No</t>
        </is>
      </c>
      <c r="AG11" s="136" t="inlineStr">
        <is>
          <t>HIGH</t>
        </is>
      </c>
      <c r="AH11" s="136" t="inlineStr">
        <is>
          <t>Affordable Comp #4: LIHTC property, 2002 vintage (1 yr diff), 48 units, 5.0 mi from subject. Same income-eligible renter pool.</t>
        </is>
      </c>
      <c r="AI11" s="136" t="inlineStr">
        <is>
          <t>HUD LIHTC Database (huduser.gov)</t>
        </is>
      </c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37.5" customHeight="1" s="131">
      <c r="A12" s="114" t="inlineStr">
        <is>
          <t>1</t>
        </is>
      </c>
      <c r="B12" s="70" t="inlineStr">
        <is>
          <t>MARKET RATE</t>
        </is>
      </c>
      <c r="C12" s="67" t="inlineStr">
        <is>
          <t>Sienna Lake Apartments</t>
        </is>
      </c>
      <c r="D12" s="98" t="inlineStr">
        <is>
          <t>5555 Sienna Lakes Dr, Baton Rouge, LA 70820</t>
        </is>
      </c>
      <c r="E12" s="98" t="inlineStr">
        <is>
          <t>Baton Rouge</t>
        </is>
      </c>
      <c r="F12" s="98" t="inlineStr">
        <is>
          <t>LA</t>
        </is>
      </c>
      <c r="G12" s="98" t="n"/>
      <c r="H12" s="98" t="inlineStr">
        <is>
          <t>5.5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$916</t>
        </is>
      </c>
      <c r="L12" s="53" t="n">
        <v>925</v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$1,254</t>
        </is>
      </c>
      <c r="P12" s="53" t="n">
        <v>1175</v>
      </c>
      <c r="Q12" s="99" t="inlineStr">
        <is>
          <t>N/A (Market Rate)</t>
        </is>
      </c>
      <c r="R12" s="99" t="inlineStr">
        <is>
          <t>N/A (Market Rate)</t>
        </is>
      </c>
      <c r="S12" s="99" t="inlineStr">
        <is>
          <t>$1,573</t>
        </is>
      </c>
      <c r="T12" s="99" t="n">
        <v>1450</v>
      </c>
      <c r="U12" s="99" t="inlineStr">
        <is>
          <t>N/A (Market Rate)</t>
        </is>
      </c>
      <c r="V12" s="99" t="inlineStr">
        <is>
          <t>N/A (Market Rate)</t>
        </is>
      </c>
      <c r="W12" s="99" t="inlineStr">
        <is>
          <t>$1,818</t>
        </is>
      </c>
      <c r="X12" s="99" t="inlineStr">
        <is>
          <t>Not Listed</t>
        </is>
      </c>
      <c r="Y12" s="46" t="inlineStr">
        <is>
          <t>240</t>
        </is>
      </c>
      <c r="Z12" s="100" t="inlineStr">
        <is>
          <t>2001</t>
        </is>
      </c>
      <c r="AA12" s="115" t="inlineStr">
        <is>
          <t>0</t>
        </is>
      </c>
      <c r="AB12" s="134" t="inlineStr">
        <is>
          <t>Varies</t>
        </is>
      </c>
      <c r="AC12" s="136" t="inlineStr">
        <is>
          <t>Varies</t>
        </is>
      </c>
      <c r="AD12" s="136" t="inlineStr">
        <is>
          <t>Varies</t>
        </is>
      </c>
      <c r="AE12" s="136" t="inlineStr">
        <is>
          <t>Varies</t>
        </is>
      </c>
      <c r="AF12" s="136" t="inlineStr">
        <is>
          <t>Varies</t>
        </is>
      </c>
      <c r="AG12" s="136" t="inlineStr">
        <is>
          <t>HIGH</t>
        </is>
      </c>
      <c r="AH12" s="136" t="inlineStr">
        <is>
          <t>Market Rate Comp #1: No income restrictions, 2001 vintage (0 yr diff), 240 units, 5.5 mi from subject. Shows market-rate rents vs. affordable housing discount.</t>
        </is>
      </c>
      <c r="AI12" s="136" t="inlineStr">
        <is>
          <t>https://www.rentcafe.com/apartments-for-rent/us/la/baton-rouge/sienna-lake/</t>
        </is>
      </c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inlineStr">
        <is>
          <t>2</t>
        </is>
      </c>
      <c r="B13" s="71" t="inlineStr">
        <is>
          <t>MARKET RATE</t>
        </is>
      </c>
      <c r="C13" s="68" t="inlineStr">
        <is>
          <t>Willow Creek Apartments</t>
        </is>
      </c>
      <c r="D13" s="101" t="inlineStr">
        <is>
          <t>9800 Airline Hwy, Baton Rouge, LA 70816</t>
        </is>
      </c>
      <c r="E13" s="101" t="inlineStr">
        <is>
          <t>Baton Rouge</t>
        </is>
      </c>
      <c r="F13" s="101" t="inlineStr">
        <is>
          <t>LA</t>
        </is>
      </c>
      <c r="G13" s="101" t="n"/>
      <c r="H13" s="101" t="inlineStr">
        <is>
          <t>7.2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$916</t>
        </is>
      </c>
      <c r="L13" s="53" t="n">
        <v>895</v>
      </c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$1,254</t>
        </is>
      </c>
      <c r="P13" s="53" t="n">
        <v>1125</v>
      </c>
      <c r="Q13" s="102" t="inlineStr">
        <is>
          <t>N/A (Market Rate)</t>
        </is>
      </c>
      <c r="R13" s="102" t="inlineStr">
        <is>
          <t>N/A (Market Rate)</t>
        </is>
      </c>
      <c r="S13" s="102" t="inlineStr">
        <is>
          <t>$1,573</t>
        </is>
      </c>
      <c r="T13" s="102" t="n">
        <v>1400</v>
      </c>
      <c r="U13" s="102" t="inlineStr">
        <is>
          <t>N/A (Market Rate)</t>
        </is>
      </c>
      <c r="V13" s="102" t="inlineStr">
        <is>
          <t>N/A (Market Rate)</t>
        </is>
      </c>
      <c r="W13" s="102" t="inlineStr">
        <is>
          <t>$1,818</t>
        </is>
      </c>
      <c r="X13" s="102" t="inlineStr">
        <is>
          <t>Not Listed</t>
        </is>
      </c>
      <c r="Y13" s="47" t="inlineStr">
        <is>
          <t>180</t>
        </is>
      </c>
      <c r="Z13" s="103" t="inlineStr">
        <is>
          <t>1999</t>
        </is>
      </c>
      <c r="AA13" s="117" t="inlineStr">
        <is>
          <t>2</t>
        </is>
      </c>
      <c r="AB13" s="134" t="inlineStr">
        <is>
          <t>Varies</t>
        </is>
      </c>
      <c r="AC13" s="136" t="inlineStr">
        <is>
          <t>Varies</t>
        </is>
      </c>
      <c r="AD13" s="136" t="inlineStr">
        <is>
          <t>Varies</t>
        </is>
      </c>
      <c r="AE13" s="136" t="inlineStr">
        <is>
          <t>Varies</t>
        </is>
      </c>
      <c r="AF13" s="136" t="inlineStr">
        <is>
          <t>Varies</t>
        </is>
      </c>
      <c r="AG13" s="136" t="inlineStr">
        <is>
          <t>HIGH</t>
        </is>
      </c>
      <c r="AH13" s="136" t="inlineStr">
        <is>
          <t>Market Rate Comp #2: No income restrictions, 1999 vintage (2 yr diff), 180 units, 7.2 mi from subject. Shows market-rate rents vs. affordable housing discount.</t>
        </is>
      </c>
      <c r="AI13" s="136" t="inlineStr">
        <is>
          <t>https://www.rentcafe.com/apartments-for-rent/us/la/baton-rouge/</t>
        </is>
      </c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inlineStr">
        <is>
          <t>3</t>
        </is>
      </c>
      <c r="B14" s="69" t="inlineStr">
        <is>
          <t>MARKET RATE</t>
        </is>
      </c>
      <c r="C14" s="66" t="inlineStr">
        <is>
          <t>The Preserve At Harveston</t>
        </is>
      </c>
      <c r="D14" s="95" t="inlineStr">
        <is>
          <t>18000 Harveston Dr, Baton Rouge, LA 70816</t>
        </is>
      </c>
      <c r="E14" s="95" t="inlineStr">
        <is>
          <t>Baton Rouge</t>
        </is>
      </c>
      <c r="F14" s="95" t="inlineStr">
        <is>
          <t>LA</t>
        </is>
      </c>
      <c r="G14" s="95" t="n"/>
      <c r="H14" s="95" t="inlineStr">
        <is>
          <t>9.0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$916</t>
        </is>
      </c>
      <c r="L14" s="53" t="n">
        <v>950</v>
      </c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$1,254</t>
        </is>
      </c>
      <c r="P14" s="53" t="n">
        <v>1200</v>
      </c>
      <c r="Q14" s="96" t="inlineStr">
        <is>
          <t>N/A (Market Rate)</t>
        </is>
      </c>
      <c r="R14" s="96" t="inlineStr">
        <is>
          <t>N/A (Market Rate)</t>
        </is>
      </c>
      <c r="S14" s="96" t="inlineStr">
        <is>
          <t>$1,573</t>
        </is>
      </c>
      <c r="T14" s="96" t="n">
        <v>1475</v>
      </c>
      <c r="U14" s="96" t="inlineStr">
        <is>
          <t>N/A (Market Rate)</t>
        </is>
      </c>
      <c r="V14" s="96" t="inlineStr">
        <is>
          <t>N/A (Market Rate)</t>
        </is>
      </c>
      <c r="W14" s="96" t="inlineStr">
        <is>
          <t>$1,818</t>
        </is>
      </c>
      <c r="X14" s="96" t="inlineStr">
        <is>
          <t>Not Listed</t>
        </is>
      </c>
      <c r="Y14" s="45" t="inlineStr">
        <is>
          <t>200</t>
        </is>
      </c>
      <c r="Z14" s="97" t="inlineStr">
        <is>
          <t>2002</t>
        </is>
      </c>
      <c r="AA14" s="113" t="inlineStr">
        <is>
          <t>1</t>
        </is>
      </c>
      <c r="AB14" s="134" t="inlineStr">
        <is>
          <t>Varies</t>
        </is>
      </c>
      <c r="AC14" s="136" t="inlineStr">
        <is>
          <t>Varies</t>
        </is>
      </c>
      <c r="AD14" s="136" t="inlineStr">
        <is>
          <t>Varies</t>
        </is>
      </c>
      <c r="AE14" s="136" t="inlineStr">
        <is>
          <t>Varies</t>
        </is>
      </c>
      <c r="AF14" s="136" t="inlineStr">
        <is>
          <t>Varies</t>
        </is>
      </c>
      <c r="AG14" s="136" t="inlineStr">
        <is>
          <t>HIGH</t>
        </is>
      </c>
      <c r="AH14" s="136" t="inlineStr">
        <is>
          <t>Market Rate Comp #3: No income restrictions, 2002 vintage (1 yr diff), 200 units, 9.0 mi from subject. Shows market-rate rents vs. affordable housing discount.</t>
        </is>
      </c>
      <c r="AI14" s="136" t="inlineStr">
        <is>
          <t>https://www.rentcafe.com/apartments-for-rent/us/la/baton-rouge/the-preserve-at-harveston/</t>
        </is>
      </c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inlineStr">
        <is>
          <t>4</t>
        </is>
      </c>
      <c r="B15" s="69" t="inlineStr">
        <is>
          <t>MARKET RATE</t>
        </is>
      </c>
      <c r="C15" s="66" t="inlineStr">
        <is>
          <t>Copper Mill Apartments</t>
        </is>
      </c>
      <c r="D15" s="95" t="inlineStr">
        <is>
          <t>10000 Copper Mill Dr, Baton Rouge, LA 70818</t>
        </is>
      </c>
      <c r="E15" s="95" t="inlineStr">
        <is>
          <t>Baton Rouge</t>
        </is>
      </c>
      <c r="F15" s="95" t="inlineStr">
        <is>
          <t>LA</t>
        </is>
      </c>
      <c r="G15" s="95" t="n"/>
      <c r="H15" s="95" t="inlineStr">
        <is>
          <t>10.5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$916</t>
        </is>
      </c>
      <c r="L15" s="53" t="n">
        <v>925</v>
      </c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$1,254</t>
        </is>
      </c>
      <c r="P15" s="53" t="n">
        <v>1150</v>
      </c>
      <c r="Q15" s="96" t="inlineStr">
        <is>
          <t>N/A (Market Rate)</t>
        </is>
      </c>
      <c r="R15" s="96" t="inlineStr">
        <is>
          <t>N/A (Market Rate)</t>
        </is>
      </c>
      <c r="S15" s="96" t="inlineStr">
        <is>
          <t>$1,573</t>
        </is>
      </c>
      <c r="T15" s="96" t="n">
        <v>1425</v>
      </c>
      <c r="U15" s="96" t="inlineStr">
        <is>
          <t>N/A (Market Rate)</t>
        </is>
      </c>
      <c r="V15" s="96" t="inlineStr">
        <is>
          <t>N/A (Market Rate)</t>
        </is>
      </c>
      <c r="W15" s="96" t="inlineStr">
        <is>
          <t>$1,818</t>
        </is>
      </c>
      <c r="X15" s="96" t="inlineStr">
        <is>
          <t>Not Listed</t>
        </is>
      </c>
      <c r="Y15" s="45" t="inlineStr">
        <is>
          <t>160</t>
        </is>
      </c>
      <c r="Z15" s="97" t="inlineStr">
        <is>
          <t>2000</t>
        </is>
      </c>
      <c r="AA15" s="113" t="inlineStr">
        <is>
          <t>1</t>
        </is>
      </c>
      <c r="AB15" s="134" t="inlineStr">
        <is>
          <t>Varies</t>
        </is>
      </c>
      <c r="AC15" s="136" t="inlineStr">
        <is>
          <t>Varies</t>
        </is>
      </c>
      <c r="AD15" s="136" t="inlineStr">
        <is>
          <t>Varies</t>
        </is>
      </c>
      <c r="AE15" s="136" t="inlineStr">
        <is>
          <t>Varies</t>
        </is>
      </c>
      <c r="AF15" s="136" t="inlineStr">
        <is>
          <t>Varies</t>
        </is>
      </c>
      <c r="AG15" s="136" t="inlineStr">
        <is>
          <t>HIGH</t>
        </is>
      </c>
      <c r="AH15" s="136" t="inlineStr">
        <is>
          <t>Market Rate Comp #4: No income restrictions, 2000 vintage (1 yr diff), 160 units, 10.5 mi from subject. Shows market-rate rents vs. affordable housing discount.</t>
        </is>
      </c>
      <c r="AI15" s="136" t="inlineStr">
        <is>
          <t>https://www.rentcafe.com/apartments-for-rent/us/la/baton-rouge/copper-mill/</t>
        </is>
      </c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inlineStr">
        <is>
          <t>—</t>
        </is>
      </c>
      <c r="B16" s="82" t="inlineStr">
        <is>
          <t>BENCHMARK</t>
        </is>
      </c>
      <c r="C16" s="119" t="inlineStr">
        <is>
          <t>FY2026 FMR — Baton Rouge MSA</t>
        </is>
      </c>
      <c r="D16" s="120" t="inlineStr">
        <is>
          <t>N/A</t>
        </is>
      </c>
      <c r="E16" s="120" t="inlineStr">
        <is>
          <t>Baton Rouge</t>
        </is>
      </c>
      <c r="F16" s="120" t="inlineStr">
        <is>
          <t>LA</t>
        </is>
      </c>
      <c r="G16" s="120" t="inlineStr">
        <is>
          <t>N/A</t>
        </is>
      </c>
      <c r="H16" s="120" t="inlineStr">
        <is>
          <t>N/A</t>
        </is>
      </c>
      <c r="I16" s="120" t="inlineStr">
        <is>
          <t>$916</t>
        </is>
      </c>
      <c r="J16" s="120" t="inlineStr">
        <is>
          <t>$916</t>
        </is>
      </c>
      <c r="K16" s="121" t="inlineStr">
        <is>
          <t>$916</t>
        </is>
      </c>
      <c r="L16" s="83" t="inlineStr">
        <is>
          <t>N/A</t>
        </is>
      </c>
      <c r="M16" s="122" t="inlineStr">
        <is>
          <t>$1,254</t>
        </is>
      </c>
      <c r="N16" s="122" t="inlineStr">
        <is>
          <t>$1,254</t>
        </is>
      </c>
      <c r="O16" s="121" t="inlineStr">
        <is>
          <t>$1,254</t>
        </is>
      </c>
      <c r="P16" s="83" t="inlineStr">
        <is>
          <t>N/A</t>
        </is>
      </c>
      <c r="Q16" s="122" t="inlineStr">
        <is>
          <t>$1,573</t>
        </is>
      </c>
      <c r="R16" s="122" t="inlineStr">
        <is>
          <t>$1,573</t>
        </is>
      </c>
      <c r="S16" s="122" t="inlineStr">
        <is>
          <t>$1,573</t>
        </is>
      </c>
      <c r="T16" s="122" t="inlineStr">
        <is>
          <t>N/A</t>
        </is>
      </c>
      <c r="U16" s="122" t="inlineStr">
        <is>
          <t>$1,818</t>
        </is>
      </c>
      <c r="V16" s="122" t="inlineStr">
        <is>
          <t>$1,818</t>
        </is>
      </c>
      <c r="W16" s="122" t="inlineStr">
        <is>
          <t>$1,818</t>
        </is>
      </c>
      <c r="X16" s="122" t="inlineStr">
        <is>
          <t>N/A</t>
        </is>
      </c>
      <c r="Y16" s="84" t="inlineStr">
        <is>
          <t>N/A</t>
        </is>
      </c>
      <c r="Z16" s="123" t="inlineStr">
        <is>
          <t>N/A</t>
        </is>
      </c>
      <c r="AA16" s="124" t="inlineStr">
        <is>
          <t>N/A</t>
        </is>
      </c>
      <c r="AB16" s="134" t="inlineStr">
        <is>
          <t>N/A</t>
        </is>
      </c>
      <c r="AC16" s="136" t="inlineStr">
        <is>
          <t>N/A</t>
        </is>
      </c>
      <c r="AD16" s="136" t="inlineStr">
        <is>
          <t>N/A</t>
        </is>
      </c>
      <c r="AE16" s="136" t="inlineStr">
        <is>
          <t>N/A</t>
        </is>
      </c>
      <c r="AF16" s="136" t="inlineStr">
        <is>
          <t>N/A</t>
        </is>
      </c>
      <c r="AG16" s="136" t="inlineStr">
        <is>
          <t>BENCHMARK</t>
        </is>
      </c>
      <c r="AH16" s="136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136" t="inlineStr">
        <is>
          <t>HUD FMR Database (huduser.gov)</t>
        </is>
      </c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inlineStr">
        <is>
          <t>—</t>
        </is>
      </c>
      <c r="B17" s="88" t="inlineStr">
        <is>
          <t>BENCHMARK</t>
        </is>
      </c>
      <c r="C17" s="89" t="inlineStr">
        <is>
          <t>Metro Market Avg — Baton Rouge</t>
        </is>
      </c>
      <c r="D17" s="87" t="inlineStr">
        <is>
          <t>N/A</t>
        </is>
      </c>
      <c r="E17" s="87" t="inlineStr">
        <is>
          <t>Baton Rouge</t>
        </is>
      </c>
      <c r="F17" s="87" t="inlineStr">
        <is>
          <t>LA</t>
        </is>
      </c>
      <c r="G17" s="87" t="inlineStr">
        <is>
          <t>N/A</t>
        </is>
      </c>
      <c r="H17" s="87" t="inlineStr">
        <is>
          <t>N/A</t>
        </is>
      </c>
      <c r="I17" s="87" t="inlineStr">
        <is>
          <t>$1,007</t>
        </is>
      </c>
      <c r="J17" s="87" t="inlineStr">
        <is>
          <t>$1,007</t>
        </is>
      </c>
      <c r="K17" s="90" t="inlineStr">
        <is>
          <t>$1,007</t>
        </is>
      </c>
      <c r="L17" s="91" t="inlineStr">
        <is>
          <t>N/A</t>
        </is>
      </c>
      <c r="M17" s="92" t="inlineStr">
        <is>
          <t>$1,379</t>
        </is>
      </c>
      <c r="N17" s="92" t="inlineStr">
        <is>
          <t>$1,379</t>
        </is>
      </c>
      <c r="O17" s="90" t="inlineStr">
        <is>
          <t>$1,379</t>
        </is>
      </c>
      <c r="P17" s="91" t="inlineStr">
        <is>
          <t>N/A</t>
        </is>
      </c>
      <c r="Q17" s="92" t="inlineStr">
        <is>
          <t>$1,730</t>
        </is>
      </c>
      <c r="R17" s="92" t="inlineStr">
        <is>
          <t>$1,730</t>
        </is>
      </c>
      <c r="S17" s="92" t="inlineStr">
        <is>
          <t>$1,730</t>
        </is>
      </c>
      <c r="T17" s="92" t="inlineStr">
        <is>
          <t>N/A</t>
        </is>
      </c>
      <c r="U17" s="92" t="inlineStr">
        <is>
          <t>$1,999</t>
        </is>
      </c>
      <c r="V17" s="92" t="inlineStr">
        <is>
          <t>$1,999</t>
        </is>
      </c>
      <c r="W17" s="92" t="inlineStr">
        <is>
          <t>$1,999</t>
        </is>
      </c>
      <c r="X17" s="92" t="inlineStr">
        <is>
          <t>N/A</t>
        </is>
      </c>
      <c r="Y17" s="93" t="inlineStr">
        <is>
          <t>N/A</t>
        </is>
      </c>
      <c r="Z17" s="94" t="inlineStr">
        <is>
          <t>N/A</t>
        </is>
      </c>
      <c r="AA17" s="92" t="inlineStr">
        <is>
          <t>N/A</t>
        </is>
      </c>
      <c r="AB17" s="136" t="inlineStr">
        <is>
          <t>N/A</t>
        </is>
      </c>
      <c r="AC17" s="136" t="inlineStr">
        <is>
          <t>N/A</t>
        </is>
      </c>
      <c r="AD17" s="136" t="inlineStr">
        <is>
          <t>N/A</t>
        </is>
      </c>
      <c r="AE17" s="136" t="inlineStr">
        <is>
          <t>N/A</t>
        </is>
      </c>
      <c r="AF17" s="136" t="inlineStr">
        <is>
          <t>N/A</t>
        </is>
      </c>
      <c r="AG17" s="136" t="inlineStr">
        <is>
          <t>BENCHMARK</t>
        </is>
      </c>
      <c r="AH17" s="136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136" t="inlineStr">
        <is>
          <t>HUD FMR + Market Estimate</t>
        </is>
      </c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Height="1" s="131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Format="1" customHeight="1" s="2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Format="1" customHeight="1" s="2">
      <c r="A25" s="372" t="n"/>
      <c r="B25" s="201" t="inlineStr">
        <is>
          <t>1BD</t>
        </is>
      </c>
      <c r="C25" s="194" t="n"/>
      <c r="D25" s="200" t="n">
        <v>924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Format="1" customHeight="1" s="2">
      <c r="A26" s="372" t="n"/>
      <c r="B26" s="201" t="inlineStr">
        <is>
          <t>2BD</t>
        </is>
      </c>
      <c r="C26" s="194" t="n"/>
      <c r="D26" s="200" t="n">
        <v>1162</v>
      </c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24.75" customFormat="1" customHeight="1" s="2">
      <c r="A27" s="369" t="n"/>
      <c r="B27" s="201" t="inlineStr">
        <is>
          <t>3BD</t>
        </is>
      </c>
      <c r="C27" s="194" t="n"/>
      <c r="D27" s="200" t="n">
        <v>1438</v>
      </c>
      <c r="E27" s="195" t="n"/>
      <c r="F27" s="183" t="n"/>
      <c r="G27" s="183" t="n"/>
      <c r="H27" s="183" t="n"/>
      <c r="I27" s="183" t="n"/>
      <c r="J27" s="183" t="n"/>
      <c r="K27" s="302" t="n"/>
      <c r="L27" s="302" t="n"/>
      <c r="M27" s="302" t="n"/>
      <c r="N27" s="302" t="n"/>
      <c r="O27" s="343" t="n"/>
      <c r="P27" s="302" t="n"/>
      <c r="Q27" s="302" t="n"/>
      <c r="R27" s="302" t="n"/>
      <c r="S27" s="302" t="n"/>
      <c r="T27" s="302" t="n"/>
      <c r="U27" s="302" t="n"/>
      <c r="V27" s="302" t="n"/>
      <c r="W27" s="302" t="n"/>
      <c r="X27" s="302" t="n"/>
      <c r="Y27" s="302" t="n"/>
      <c r="Z27" s="302" t="n"/>
      <c r="AA27" s="353" t="n"/>
      <c r="AB27" s="302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24.75" customHeight="1" s="131">
      <c r="A28" s="382" t="n"/>
      <c r="B28" s="201" t="inlineStr">
        <is>
          <t>4BD</t>
        </is>
      </c>
      <c r="C28" s="194" t="n"/>
      <c r="D28" s="200" t="n"/>
      <c r="E28" s="195" t="n"/>
      <c r="F28" s="183" t="n"/>
      <c r="G28" s="183" t="n"/>
      <c r="H28" s="183" t="n"/>
      <c r="I28" s="183" t="n"/>
      <c r="J28" s="183" t="n"/>
      <c r="K28" s="302" t="n"/>
      <c r="L28" s="302" t="n"/>
      <c r="M28" s="302" t="n"/>
      <c r="N28" s="302" t="n"/>
      <c r="O28" s="343" t="n"/>
      <c r="P28" s="302" t="n"/>
      <c r="Q28" s="302" t="n"/>
      <c r="R28" s="302" t="n"/>
      <c r="S28" s="302" t="n"/>
      <c r="T28" s="302" t="n"/>
      <c r="U28" s="302" t="n"/>
      <c r="V28" s="302" t="n"/>
      <c r="W28" s="302" t="n"/>
      <c r="X28" s="302" t="n"/>
      <c r="Y28" s="302" t="n"/>
      <c r="Z28" s="302" t="n"/>
      <c r="AA28" s="353" t="n"/>
      <c r="AB28" s="302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8.1" customHeight="1" s="131">
      <c r="A29" s="372" t="n"/>
      <c r="B29" s="371" t="n"/>
      <c r="C29" s="371" t="n"/>
      <c r="D29" s="371" t="n"/>
      <c r="E29" s="371" t="n"/>
      <c r="F29" s="371" t="n"/>
      <c r="G29" s="369" t="n"/>
      <c r="H29" s="369" t="n"/>
      <c r="I29" s="369" t="n"/>
      <c r="J29" s="369" t="n"/>
      <c r="K29" s="369" t="n"/>
      <c r="L29" s="134" t="n"/>
      <c r="M29" s="134" t="n"/>
      <c r="N29" s="134" t="n"/>
      <c r="O29" s="134" t="n"/>
      <c r="P29" s="134" t="n"/>
      <c r="Q29" s="134" t="n"/>
      <c r="R29" s="134" t="n"/>
      <c r="S29" s="134" t="n"/>
      <c r="T29" s="134" t="n"/>
      <c r="U29" s="134" t="n"/>
      <c r="V29" s="134" t="n"/>
      <c r="W29" s="134" t="n"/>
      <c r="X29" s="134" t="n"/>
      <c r="Y29" s="134" t="n"/>
      <c r="Z29" s="135" t="n"/>
      <c r="AA29" s="134" t="n"/>
      <c r="AB29" s="134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24.75" customFormat="1" customHeight="1" s="2">
      <c r="A30" s="302" t="n"/>
      <c r="B30" s="211" t="inlineStr">
        <is>
          <t>PMTS — Vouchers / FMR / UAP / NET</t>
        </is>
      </c>
      <c r="G30" s="365" t="n"/>
      <c r="H30" s="183" t="n"/>
      <c r="I30" s="183" t="n"/>
      <c r="J30" s="183" t="n"/>
      <c r="K30" s="302" t="n"/>
      <c r="L30" s="302" t="n"/>
      <c r="M30" s="302" t="n"/>
      <c r="N30" s="302" t="n"/>
      <c r="O30" s="302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15.95" customFormat="1" customHeight="1" s="2">
      <c r="A31" s="302" t="n"/>
      <c r="B31" s="226" t="n"/>
      <c r="C31" s="213" t="inlineStr">
        <is>
          <t>MKT</t>
        </is>
      </c>
      <c r="D31" s="213" t="inlineStr">
        <is>
          <t>VCH</t>
        </is>
      </c>
      <c r="E31" s="214" t="inlineStr">
        <is>
          <t>FMR</t>
        </is>
      </c>
      <c r="F31" s="215" t="inlineStr">
        <is>
          <t>UAP</t>
        </is>
      </c>
      <c r="G31" s="216" t="inlineStr">
        <is>
          <t>NET</t>
        </is>
      </c>
      <c r="H31" s="183" t="n"/>
      <c r="I31" s="183" t="n"/>
      <c r="J31" s="183" t="n"/>
      <c r="K31" s="302" t="n"/>
      <c r="L31" s="302" t="n"/>
      <c r="M31" s="302" t="n"/>
      <c r="N31" s="302" t="n"/>
      <c r="O31" s="302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24.75" customFormat="1" customHeight="1" s="2">
      <c r="A32" s="369" t="n"/>
      <c r="B32" s="217" t="inlineStr">
        <is>
          <t>1BD</t>
        </is>
      </c>
      <c r="C32" s="197" t="n">
        <v>0</v>
      </c>
      <c r="D32" s="197" t="n">
        <v>874</v>
      </c>
      <c r="E32" s="198" t="n">
        <v>1060</v>
      </c>
      <c r="F32" s="199" t="n">
        <v>77</v>
      </c>
      <c r="G32" s="218" t="n">
        <v>983</v>
      </c>
      <c r="H32" s="183" t="n"/>
      <c r="I32" s="183" t="n"/>
      <c r="J32" s="183" t="n"/>
      <c r="K32" s="302" t="n"/>
      <c r="L32" s="302" t="n"/>
      <c r="M32" s="302" t="n"/>
      <c r="N32" s="302" t="n"/>
      <c r="O32" s="343" t="n"/>
      <c r="P32" s="302" t="n"/>
      <c r="Q32" s="302" t="n"/>
      <c r="R32" s="302" t="n"/>
      <c r="S32" s="302" t="n"/>
      <c r="T32" s="302" t="n"/>
      <c r="U32" s="302" t="n"/>
      <c r="V32" s="302" t="n"/>
      <c r="W32" s="302" t="n"/>
      <c r="X32" s="302" t="n"/>
      <c r="Y32" s="302" t="n"/>
      <c r="Z32" s="302" t="n"/>
      <c r="AA32" s="353" t="n"/>
      <c r="AB32" s="302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24.75" customFormat="1" customHeight="1" s="2">
      <c r="A33" s="382" t="n"/>
      <c r="B33" s="217" t="inlineStr">
        <is>
          <t>2BD</t>
        </is>
      </c>
      <c r="C33" s="197" t="n">
        <v>0</v>
      </c>
      <c r="D33" s="197" t="n">
        <v>1040</v>
      </c>
      <c r="E33" s="198" t="n">
        <v>1200</v>
      </c>
      <c r="F33" s="199" t="n">
        <v>102</v>
      </c>
      <c r="G33" s="218" t="n">
        <v>1098</v>
      </c>
      <c r="H33" s="183" t="n"/>
      <c r="I33" s="183" t="n"/>
      <c r="J33" s="183" t="n"/>
      <c r="K33" s="302" t="n"/>
      <c r="L33" s="302" t="n"/>
      <c r="M33" s="302" t="n"/>
      <c r="N33" s="302" t="n"/>
      <c r="O33" s="343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24.75" customFormat="1" customHeight="1" s="2">
      <c r="A34" s="372" t="n"/>
      <c r="B34" s="217" t="inlineStr">
        <is>
          <t>3BD</t>
        </is>
      </c>
      <c r="C34" s="197" t="n">
        <v>0</v>
      </c>
      <c r="D34" s="197" t="n">
        <v>1194</v>
      </c>
      <c r="E34" s="198" t="n">
        <v>1500</v>
      </c>
      <c r="F34" s="199" t="n">
        <v>121</v>
      </c>
      <c r="G34" s="218" t="n">
        <v>1379</v>
      </c>
      <c r="H34" s="183" t="n"/>
      <c r="I34" s="183" t="n"/>
      <c r="J34" s="183" t="n"/>
      <c r="K34" s="302" t="n"/>
      <c r="L34" s="302" t="n"/>
      <c r="M34" s="302" t="n"/>
      <c r="N34" s="302" t="n"/>
      <c r="O34" s="343" t="n"/>
      <c r="P34" s="302" t="n"/>
      <c r="Q34" s="302" t="n"/>
      <c r="R34" s="302" t="n"/>
      <c r="S34" s="302" t="n"/>
      <c r="T34" s="302" t="n"/>
      <c r="U34" s="302" t="n"/>
      <c r="V34" s="302" t="n"/>
      <c r="W34" s="302" t="n"/>
      <c r="X34" s="302" t="n"/>
      <c r="Y34" s="302" t="n"/>
      <c r="Z34" s="302" t="n"/>
      <c r="AA34" s="353" t="n"/>
      <c r="AB34" s="302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24.75" customFormat="1" customHeight="1" s="2">
      <c r="A35" s="372" t="n"/>
      <c r="B35" s="217" t="inlineStr">
        <is>
          <t>4BD</t>
        </is>
      </c>
      <c r="C35" s="197" t="n">
        <v>0</v>
      </c>
      <c r="D35" s="197" t="n">
        <v>1321</v>
      </c>
      <c r="E35" s="198" t="n">
        <v>1990</v>
      </c>
      <c r="F35" s="199" t="n">
        <v>149</v>
      </c>
      <c r="G35" s="218" t="n">
        <v>1841</v>
      </c>
      <c r="H35" s="183" t="n"/>
      <c r="I35" s="183" t="n"/>
      <c r="J35" s="183" t="n"/>
      <c r="K35" s="302" t="n"/>
      <c r="L35" s="302" t="n"/>
      <c r="M35" s="302" t="n"/>
      <c r="N35" s="302" t="n"/>
      <c r="O35" s="343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8.1" customHeight="1" s="131">
      <c r="A36" s="369" t="n"/>
      <c r="B36" s="371" t="n"/>
      <c r="C36" s="371" t="n"/>
      <c r="D36" s="371" t="n"/>
      <c r="E36" s="371" t="n"/>
      <c r="F36" s="371" t="n"/>
      <c r="G36" s="369" t="n"/>
      <c r="H36" s="369" t="n"/>
      <c r="I36" s="369" t="n"/>
      <c r="J36" s="369" t="n"/>
      <c r="K36" s="369" t="n"/>
      <c r="L36" s="134" t="n"/>
      <c r="M36" s="134" t="n"/>
      <c r="N36" s="134" t="n"/>
      <c r="O36" s="134" t="n"/>
      <c r="P36" s="134" t="n"/>
      <c r="Q36" s="134" t="n"/>
      <c r="R36" s="134" t="n"/>
      <c r="S36" s="134" t="n"/>
      <c r="T36" s="134" t="n"/>
      <c r="U36" s="134" t="n"/>
      <c r="V36" s="134" t="n"/>
      <c r="W36" s="134" t="n"/>
      <c r="X36" s="134" t="n"/>
      <c r="Y36" s="134" t="n"/>
      <c r="Z36" s="135" t="n"/>
      <c r="AA36" s="134" t="n"/>
      <c r="AB36" s="134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24.75" customHeight="1" s="131">
      <c r="A37" s="302" t="n"/>
      <c r="B37" s="366" t="inlineStr">
        <is>
          <t>LIHTC, UAP, NET</t>
        </is>
      </c>
      <c r="C37" s="358" t="n"/>
      <c r="D37" s="358" t="n"/>
      <c r="E37" s="358" t="n"/>
      <c r="F37" s="358" t="n"/>
      <c r="G37" s="359" t="n"/>
      <c r="H37" s="183" t="n"/>
      <c r="I37" s="183" t="n"/>
      <c r="J37" s="183" t="n"/>
      <c r="K37" s="302" t="n"/>
      <c r="L37" s="302" t="n"/>
      <c r="M37" s="302" t="n"/>
      <c r="N37" s="302" t="n"/>
      <c r="O37" s="302" t="n"/>
      <c r="P37" s="302" t="n"/>
      <c r="Q37" s="302" t="n"/>
      <c r="R37" s="302" t="n"/>
      <c r="S37" s="302" t="n"/>
      <c r="T37" s="302" t="n"/>
      <c r="U37" s="302" t="n"/>
      <c r="V37" s="302" t="n"/>
      <c r="W37" s="302" t="n"/>
      <c r="X37" s="302" t="n"/>
      <c r="Y37" s="302" t="n"/>
      <c r="Z37" s="302" t="n"/>
      <c r="AA37" s="353" t="n"/>
      <c r="AB37" s="302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16.5" customFormat="1" customHeight="1" s="2">
      <c r="A38" s="372" t="n"/>
      <c r="B38" s="226" t="n"/>
      <c r="C38" s="228" t="inlineStr">
        <is>
          <t>LIHTC/MKT</t>
        </is>
      </c>
      <c r="D38" s="228" t="inlineStr">
        <is>
          <t>60%</t>
        </is>
      </c>
      <c r="E38" s="215" t="inlineStr">
        <is>
          <t>UAP</t>
        </is>
      </c>
      <c r="F38" s="216" t="inlineStr">
        <is>
          <t>NET</t>
        </is>
      </c>
      <c r="G38" s="183" t="n"/>
      <c r="H38" s="183" t="n"/>
      <c r="I38" s="183" t="n"/>
      <c r="J38" s="183" t="n"/>
      <c r="K38" s="302" t="n"/>
      <c r="L38" s="302" t="n"/>
      <c r="M38" s="302" t="n"/>
      <c r="N38" s="302" t="n"/>
      <c r="O38" s="343" t="n"/>
      <c r="P38" s="302" t="n"/>
      <c r="Q38" s="302" t="n"/>
      <c r="R38" s="302" t="n"/>
      <c r="S38" s="302" t="n"/>
      <c r="T38" s="302" t="n"/>
      <c r="U38" s="302" t="n"/>
      <c r="V38" s="302" t="n"/>
      <c r="W38" s="302" t="n"/>
      <c r="X38" s="302" t="n"/>
      <c r="Y38" s="302" t="n"/>
      <c r="Z38" s="302" t="n"/>
      <c r="AA38" s="353" t="n"/>
      <c r="AB38" s="302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24.75" customFormat="1" customHeight="1" s="2">
      <c r="A39" s="372" t="n"/>
      <c r="B39" s="224" t="inlineStr">
        <is>
          <t>1BD</t>
        </is>
      </c>
      <c r="C39" s="225" t="n">
        <v>1032</v>
      </c>
      <c r="D39" s="225" t="n">
        <v>874</v>
      </c>
      <c r="E39" s="225" t="n">
        <v>77</v>
      </c>
      <c r="F39" s="223" t="n">
        <v>797</v>
      </c>
      <c r="G39" s="183" t="n"/>
      <c r="H39" s="183" t="n"/>
      <c r="I39" s="183" t="n"/>
      <c r="J39" s="183" t="n"/>
      <c r="K39" s="302" t="n"/>
      <c r="L39" s="302" t="n"/>
      <c r="M39" s="302" t="n"/>
      <c r="N39" s="302" t="n"/>
      <c r="O39" s="343" t="n"/>
      <c r="P39" s="302" t="n"/>
      <c r="Q39" s="302" t="n"/>
      <c r="R39" s="302" t="n"/>
      <c r="S39" s="302" t="n"/>
      <c r="T39" s="302" t="n"/>
      <c r="U39" s="302" t="n"/>
      <c r="V39" s="302" t="n"/>
      <c r="W39" s="302" t="n"/>
      <c r="X39" s="302" t="n"/>
      <c r="Y39" s="302" t="n"/>
      <c r="Z39" s="302" t="n"/>
      <c r="AA39" s="353" t="n"/>
      <c r="AB39" s="302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ht="24.75" customFormat="1" customHeight="1" s="2">
      <c r="A40" s="372" t="n"/>
      <c r="B40" s="224" t="inlineStr">
        <is>
          <t>2BD</t>
        </is>
      </c>
      <c r="C40" s="225" t="n">
        <v>1239</v>
      </c>
      <c r="D40" s="225" t="n">
        <v>1040</v>
      </c>
      <c r="E40" s="225" t="n">
        <v>102</v>
      </c>
      <c r="F40" s="223" t="n">
        <v>938</v>
      </c>
      <c r="G40" s="183" t="n"/>
      <c r="H40" s="183" t="n"/>
      <c r="I40" s="183" t="n"/>
      <c r="J40" s="183" t="n"/>
      <c r="K40" s="302" t="n"/>
      <c r="L40" s="302" t="n"/>
      <c r="M40" s="302" t="n"/>
      <c r="N40" s="302" t="n"/>
      <c r="O40" s="343" t="n"/>
      <c r="P40" s="302" t="n"/>
      <c r="Q40" s="302" t="n"/>
      <c r="R40" s="302" t="n"/>
      <c r="S40" s="302" t="n"/>
      <c r="T40" s="302" t="n"/>
      <c r="U40" s="302" t="n"/>
      <c r="V40" s="302" t="n"/>
      <c r="W40" s="302" t="n"/>
      <c r="X40" s="302" t="n"/>
      <c r="Y40" s="302" t="n"/>
      <c r="Z40" s="302" t="n"/>
      <c r="AA40" s="353" t="n"/>
      <c r="AB40" s="302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ht="24.75" customFormat="1" customHeight="1" s="2">
      <c r="A41" s="369" t="n"/>
      <c r="B41" s="224" t="inlineStr">
        <is>
          <t>3BD</t>
        </is>
      </c>
      <c r="C41" s="225" t="n">
        <v>1431</v>
      </c>
      <c r="D41" s="225" t="n">
        <v>1194</v>
      </c>
      <c r="E41" s="225" t="n">
        <v>121</v>
      </c>
      <c r="F41" s="223" t="n">
        <v>1073</v>
      </c>
      <c r="G41" s="183" t="n"/>
      <c r="H41" s="183" t="n"/>
      <c r="I41" s="183" t="n"/>
      <c r="J41" s="183" t="n"/>
      <c r="K41" s="302" t="n"/>
      <c r="L41" s="302" t="n"/>
      <c r="M41" s="302" t="n"/>
      <c r="N41" s="302" t="n"/>
      <c r="O41" s="343" t="n"/>
      <c r="P41" s="302" t="n"/>
      <c r="Q41" s="302" t="n"/>
      <c r="R41" s="302" t="n"/>
      <c r="S41" s="302" t="n"/>
      <c r="T41" s="302" t="n"/>
      <c r="U41" s="302" t="n"/>
      <c r="V41" s="302" t="n"/>
      <c r="W41" s="302" t="n"/>
      <c r="X41" s="302" t="n"/>
      <c r="Y41" s="302" t="n"/>
      <c r="Z41" s="302" t="n"/>
      <c r="AA41" s="353" t="n"/>
      <c r="AB41" s="302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ht="24.75" customFormat="1" customHeight="1" s="2">
      <c r="A42" s="369" t="n"/>
      <c r="B42" s="224" t="inlineStr">
        <is>
          <t>4BD</t>
        </is>
      </c>
      <c r="C42" s="225" t="n">
        <v>1596</v>
      </c>
      <c r="D42" s="225" t="n">
        <v>1321</v>
      </c>
      <c r="E42" s="225" t="n">
        <v>149</v>
      </c>
      <c r="F42" s="223" t="n">
        <v>1172</v>
      </c>
      <c r="G42" s="183" t="n"/>
      <c r="H42" s="183" t="n"/>
      <c r="I42" s="183" t="n"/>
      <c r="J42" s="183" t="n"/>
      <c r="K42" s="302" t="n"/>
      <c r="L42" s="302" t="n"/>
      <c r="M42" s="302" t="n"/>
      <c r="N42" s="302" t="n"/>
      <c r="O42" s="343" t="n"/>
      <c r="P42" s="302" t="n"/>
      <c r="Q42" s="302" t="n"/>
      <c r="R42" s="302" t="n"/>
      <c r="S42" s="302" t="n"/>
      <c r="T42" s="302" t="n"/>
      <c r="U42" s="302" t="n"/>
      <c r="V42" s="302" t="n"/>
      <c r="W42" s="302" t="n"/>
      <c r="X42" s="302" t="n"/>
      <c r="Y42" s="302" t="n"/>
      <c r="Z42" s="302" t="n"/>
      <c r="AA42" s="353" t="n"/>
      <c r="AB42" s="302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ht="18" customFormat="1" customHeight="1" s="2">
      <c r="A43" s="369" t="n"/>
      <c r="B43" s="371" t="n"/>
      <c r="C43" s="371" t="n"/>
      <c r="D43" s="371" t="n"/>
      <c r="E43" s="371" t="n"/>
      <c r="F43" s="371" t="n"/>
      <c r="G43" s="369" t="n"/>
      <c r="H43" s="369" t="n"/>
      <c r="I43" s="369" t="n"/>
      <c r="J43" s="369" t="n"/>
      <c r="K43" s="369" t="n"/>
      <c r="L43" s="136" t="n"/>
      <c r="M43" s="136" t="n"/>
      <c r="N43" s="136" t="n"/>
      <c r="O43" s="136" t="n"/>
      <c r="P43" s="136" t="n"/>
      <c r="Q43" s="136" t="n"/>
      <c r="R43" s="136" t="n"/>
      <c r="S43" s="136" t="n"/>
      <c r="T43" s="136" t="n"/>
      <c r="U43" s="136" t="n"/>
      <c r="V43" s="136" t="n"/>
      <c r="W43" s="136" t="n"/>
      <c r="X43" s="136" t="n"/>
      <c r="Y43" s="136" t="n"/>
      <c r="Z43" s="136" t="n"/>
      <c r="AA43" s="136" t="n"/>
      <c r="AB43" s="136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ht="18" customHeight="1" s="131">
      <c r="A44" s="369" t="n"/>
      <c r="B44" s="369" t="n"/>
      <c r="C44" s="369" t="n"/>
      <c r="D44" s="369" t="n"/>
      <c r="E44" s="369" t="n"/>
      <c r="F44" s="369" t="n"/>
      <c r="G44" s="369" t="n"/>
      <c r="H44" s="369" t="n"/>
      <c r="I44" s="369" t="n"/>
      <c r="J44" s="369" t="n"/>
      <c r="K44" s="369" t="n"/>
      <c r="L44" s="136" t="n"/>
      <c r="M44" s="136" t="n"/>
      <c r="N44" s="136" t="n"/>
      <c r="O44" s="136" t="n"/>
      <c r="P44" s="136" t="n"/>
      <c r="Q44" s="136" t="n"/>
      <c r="R44" s="136" t="n"/>
      <c r="S44" s="136" t="n"/>
      <c r="T44" s="136" t="n"/>
      <c r="U44" s="136" t="n"/>
      <c r="V44" s="136" t="n"/>
      <c r="W44" s="136" t="n"/>
      <c r="X44" s="136" t="n"/>
      <c r="Y44" s="136" t="n"/>
      <c r="Z44" s="136" t="n"/>
      <c r="AA44" s="136" t="n"/>
      <c r="AB44" s="136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ht="24.75" customHeight="1" s="131">
      <c r="A45" s="302" t="n"/>
      <c r="B45" s="207" t="inlineStr">
        <is>
          <t>HAP, CoStar, NET</t>
        </is>
      </c>
      <c r="H45" s="183" t="n"/>
      <c r="I45" s="183" t="n"/>
      <c r="J45" s="183" t="n"/>
      <c r="K45" s="302" t="n"/>
      <c r="L45" s="302" t="n"/>
      <c r="M45" s="302" t="n"/>
      <c r="N45" s="302" t="n"/>
      <c r="O45" s="302" t="n"/>
      <c r="P45" s="302" t="n"/>
      <c r="Q45" s="302" t="n"/>
      <c r="R45" s="302" t="n"/>
      <c r="S45" s="302" t="n"/>
      <c r="T45" s="302" t="n"/>
      <c r="U45" s="302" t="n"/>
      <c r="V45" s="302" t="n"/>
      <c r="W45" s="302" t="n"/>
      <c r="X45" s="302" t="n"/>
      <c r="Y45" s="302" t="n"/>
      <c r="Z45" s="302" t="n"/>
      <c r="AA45" s="353" t="n"/>
      <c r="AB45" s="302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ht="15.95" customHeight="1" s="131">
      <c r="A46" s="302" t="n"/>
      <c r="B46" s="227" t="n"/>
      <c r="C46" s="208" t="inlineStr">
        <is>
          <t>HAP</t>
        </is>
      </c>
      <c r="D46" s="209" t="inlineStr">
        <is>
          <t>CoStar</t>
        </is>
      </c>
      <c r="E46" s="302" t="n"/>
      <c r="F46" s="302" t="n"/>
      <c r="G46" s="302" t="n"/>
      <c r="H46" s="183" t="n"/>
      <c r="I46" s="183" t="n"/>
      <c r="J46" s="183" t="n"/>
      <c r="K46" s="302" t="n"/>
      <c r="L46" s="302" t="n"/>
      <c r="M46" s="302" t="n"/>
      <c r="N46" s="302" t="n"/>
      <c r="O46" s="302" t="n"/>
      <c r="P46" s="302" t="n"/>
      <c r="Q46" s="302" t="n"/>
      <c r="R46" s="302" t="n"/>
      <c r="S46" s="302" t="n"/>
      <c r="T46" s="302" t="n"/>
      <c r="U46" s="302" t="n"/>
      <c r="V46" s="302" t="n"/>
      <c r="W46" s="302" t="n"/>
      <c r="X46" s="302" t="n"/>
      <c r="Y46" s="302" t="n"/>
      <c r="Z46" s="302" t="n"/>
      <c r="AA46" s="353" t="n"/>
      <c r="AB46" s="302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ht="24.75" customHeight="1" s="131">
      <c r="A47" s="302" t="n"/>
      <c r="B47" s="196" t="inlineStr">
        <is>
          <t>1BD</t>
        </is>
      </c>
      <c r="C47" s="199" t="n">
        <v>0</v>
      </c>
      <c r="D47" s="198" t="n">
        <v>1184</v>
      </c>
      <c r="E47" s="183" t="n"/>
      <c r="F47" s="183" t="n"/>
      <c r="G47" s="183" t="n"/>
      <c r="H47" s="183" t="n"/>
      <c r="I47" s="183" t="n"/>
      <c r="J47" s="183" t="n"/>
      <c r="K47" s="302" t="n"/>
      <c r="L47" s="302" t="n"/>
      <c r="M47" s="302" t="n"/>
      <c r="N47" s="302" t="n"/>
      <c r="O47" s="302" t="n"/>
      <c r="P47" s="302" t="n"/>
      <c r="Q47" s="302" t="n"/>
      <c r="R47" s="302" t="n"/>
      <c r="S47" s="302" t="n"/>
      <c r="T47" s="302" t="n"/>
      <c r="U47" s="302" t="n"/>
      <c r="V47" s="302" t="n"/>
      <c r="W47" s="302" t="n"/>
      <c r="X47" s="302" t="n"/>
      <c r="Y47" s="302" t="n"/>
      <c r="Z47" s="302" t="n"/>
      <c r="AA47" s="353" t="n"/>
      <c r="AB47" s="302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ht="24.75" customHeight="1" s="131">
      <c r="A48" s="302" t="n"/>
      <c r="B48" s="196" t="inlineStr">
        <is>
          <t>2BD</t>
        </is>
      </c>
      <c r="C48" s="199" t="n">
        <v>0</v>
      </c>
      <c r="D48" s="198" t="n">
        <v>1326</v>
      </c>
      <c r="E48" s="183" t="n"/>
      <c r="F48" s="183" t="n"/>
      <c r="G48" s="183" t="n"/>
      <c r="H48" s="183" t="n"/>
      <c r="I48" s="183" t="n"/>
      <c r="J48" s="183" t="n"/>
      <c r="K48" s="302" t="n"/>
      <c r="L48" s="302" t="n"/>
      <c r="M48" s="302" t="n"/>
      <c r="N48" s="302" t="n"/>
      <c r="O48" s="302" t="n"/>
      <c r="P48" s="302" t="n"/>
      <c r="Q48" s="302" t="n"/>
      <c r="R48" s="302" t="n"/>
      <c r="S48" s="302" t="n"/>
      <c r="T48" s="302" t="n"/>
      <c r="U48" s="302" t="n"/>
      <c r="V48" s="302" t="n"/>
      <c r="W48" s="302" t="n"/>
      <c r="X48" s="302" t="n"/>
      <c r="Y48" s="302" t="n"/>
      <c r="Z48" s="302" t="n"/>
      <c r="AA48" s="353" t="n"/>
      <c r="AB48" s="302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ht="24.75" customHeight="1" s="131">
      <c r="A49" s="302" t="n"/>
      <c r="B49" s="196" t="inlineStr">
        <is>
          <t>3BD</t>
        </is>
      </c>
      <c r="C49" s="199" t="n">
        <v>0</v>
      </c>
      <c r="D49" s="198" t="n">
        <v>1530</v>
      </c>
      <c r="E49" s="183" t="n"/>
      <c r="F49" s="183" t="n"/>
      <c r="G49" s="183" t="n"/>
      <c r="H49" s="183" t="n"/>
      <c r="I49" s="183" t="n"/>
      <c r="J49" s="183" t="n"/>
      <c r="K49" s="302" t="n"/>
      <c r="L49" s="302" t="n"/>
      <c r="M49" s="302" t="n"/>
      <c r="N49" s="302" t="n"/>
      <c r="O49" s="302" t="n"/>
      <c r="P49" s="302" t="n"/>
      <c r="Q49" s="302" t="n"/>
      <c r="R49" s="302" t="n"/>
      <c r="S49" s="302" t="n"/>
      <c r="T49" s="302" t="n"/>
      <c r="U49" s="302" t="n"/>
      <c r="V49" s="302" t="n"/>
      <c r="W49" s="302" t="n"/>
      <c r="X49" s="302" t="n"/>
      <c r="Y49" s="302" t="n"/>
      <c r="Z49" s="302" t="n"/>
      <c r="AA49" s="353" t="n"/>
      <c r="AB49" s="302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ht="24.75" customHeight="1" s="131">
      <c r="A50" s="302" t="n"/>
      <c r="B50" s="196" t="inlineStr">
        <is>
          <t>4BD</t>
        </is>
      </c>
      <c r="C50" s="199" t="n">
        <v>0</v>
      </c>
      <c r="D50" s="198" t="n">
        <v>1253</v>
      </c>
      <c r="E50" s="183" t="n"/>
      <c r="F50" s="183" t="n"/>
      <c r="G50" s="183" t="n"/>
      <c r="H50" s="183" t="n"/>
      <c r="I50" s="183" t="n"/>
      <c r="J50" s="183" t="n"/>
      <c r="K50" s="302" t="n"/>
      <c r="L50" s="302" t="n"/>
      <c r="M50" s="302" t="n"/>
      <c r="N50" s="302" t="n"/>
      <c r="O50" s="302" t="n"/>
      <c r="P50" s="302" t="n"/>
      <c r="Q50" s="302" t="n"/>
      <c r="R50" s="302" t="n"/>
      <c r="S50" s="302" t="n"/>
      <c r="T50" s="302" t="n"/>
      <c r="U50" s="302" t="n"/>
      <c r="V50" s="302" t="n"/>
      <c r="W50" s="302" t="n"/>
      <c r="X50" s="302" t="n"/>
      <c r="Y50" s="302" t="n"/>
      <c r="Z50" s="302" t="n"/>
      <c r="AA50" s="353" t="n"/>
      <c r="AB50" s="302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  <row r="51"/>
    <row r="52"/>
    <row r="53"/>
    <row r="54"/>
    <row r="55"/>
    <row r="56"/>
  </sheetData>
  <mergeCells count="9">
    <mergeCell ref="B4:AB4"/>
    <mergeCell ref="B22:G22"/>
    <mergeCell ref="B37:G37"/>
    <mergeCell ref="B45:G45"/>
    <mergeCell ref="B20:I20"/>
    <mergeCell ref="B2:AB2"/>
    <mergeCell ref="B23:G23"/>
    <mergeCell ref="B3:AB3"/>
    <mergeCell ref="B30:G30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W56"/>
  <sheetViews>
    <sheetView workbookViewId="0">
      <pane ySplit="1" topLeftCell="A5" activePane="bottomLeft" state="frozen"/>
      <selection pane="bottomLeft" activeCell="A1" sqref="A1:AI1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HOWELL PLACE | GREEN = Affordable Comps | BLUE = Market Rate Comps</t>
        </is>
      </c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Howell Place | 4150 72nd Avenue, Baton Rouge, LA 70811 | 48 units | Program: Section 8/HUD | Bedroom Mix: 1BR / 2BR / 3BR / 4BR | County AMI: $91,700 | FMR Area: Baton Rouge MSA</t>
        </is>
      </c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1BD 50% AMI ($)</t>
        </is>
      </c>
      <c r="J6" s="280" t="inlineStr">
        <is>
          <t>1BD 60% AMI ($)</t>
        </is>
      </c>
      <c r="K6" s="280" t="inlineStr">
        <is>
          <t>1BR FMR ($)</t>
        </is>
      </c>
      <c r="L6" s="335" t="inlineStr">
        <is>
          <t>1BR Actual ($)</t>
        </is>
      </c>
      <c r="M6" s="281" t="inlineStr">
        <is>
          <t>2BD 50% AMI ($)</t>
        </is>
      </c>
      <c r="N6" s="280" t="inlineStr">
        <is>
          <t>2BD 60% AMI ($)</t>
        </is>
      </c>
      <c r="O6" s="280" t="inlineStr">
        <is>
          <t>2BR FMR ($)</t>
        </is>
      </c>
      <c r="P6" s="335" t="inlineStr">
        <is>
          <t>2BR Actual ($)</t>
        </is>
      </c>
      <c r="Q6" s="281" t="inlineStr">
        <is>
          <t>3BD 50% AMI ($)</t>
        </is>
      </c>
      <c r="R6" s="280" t="inlineStr">
        <is>
          <t>3BD 60% AMI ($)</t>
        </is>
      </c>
      <c r="S6" s="280" t="inlineStr">
        <is>
          <t>3BR FMR ($)</t>
        </is>
      </c>
      <c r="T6" s="339" t="inlineStr">
        <is>
          <t>3BR Actual ($)</t>
        </is>
      </c>
      <c r="U6" s="339" t="inlineStr">
        <is>
          <t>4BD 50% AMI ($)</t>
        </is>
      </c>
      <c r="V6" s="339" t="inlineStr">
        <is>
          <t>4BD 60% AMI ($)</t>
        </is>
      </c>
      <c r="W6" s="339" t="inlineStr">
        <is>
          <t>4BR FMR ($)</t>
        </is>
      </c>
      <c r="X6" s="339" t="inlineStr">
        <is>
          <t>4BR Actual ($)</t>
        </is>
      </c>
      <c r="Y6" s="339" t="inlineStr">
        <is>
          <t># Units</t>
        </is>
      </c>
      <c r="Z6" s="336" t="inlineStr">
        <is>
          <t>Year Built</t>
        </is>
      </c>
      <c r="AA6" s="340" t="inlineStr">
        <is>
          <t>Yr Diff</t>
        </is>
      </c>
      <c r="AB6" s="342" t="inlineStr">
        <is>
          <t>Utilities Incl.</t>
        </is>
      </c>
      <c r="AC6" s="136" t="inlineStr">
        <is>
          <t>Pet Friendly</t>
        </is>
      </c>
      <c r="AD6" s="136" t="inlineStr">
        <is>
          <t>Gated</t>
        </is>
      </c>
      <c r="AE6" s="136" t="inlineStr">
        <is>
          <t>Pool</t>
        </is>
      </c>
      <c r="AF6" s="136" t="inlineStr">
        <is>
          <t>W/D In-Unit</t>
        </is>
      </c>
      <c r="AG6" s="136" t="inlineStr">
        <is>
          <t>Competition Level</t>
        </is>
      </c>
      <c r="AH6" s="136" t="inlineStr">
        <is>
          <t>Why Competitive</t>
        </is>
      </c>
      <c r="AI6" s="136" t="inlineStr">
        <is>
          <t>Data Source</t>
        </is>
      </c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Howell Place (SUBJECT)</t>
        </is>
      </c>
      <c r="D7" s="174" t="inlineStr">
        <is>
          <t>4150 72nd Avenue</t>
        </is>
      </c>
      <c r="E7" s="174" t="inlineStr">
        <is>
          <t>Baton Rouge</t>
        </is>
      </c>
      <c r="F7" s="174" t="inlineStr">
        <is>
          <t>LA</t>
        </is>
      </c>
      <c r="G7" s="174" t="inlineStr">
        <is>
          <t>70811</t>
        </is>
      </c>
      <c r="H7" s="174" t="inlineStr">
        <is>
          <t>0.0 mi</t>
        </is>
      </c>
      <c r="I7" s="174" t="inlineStr">
        <is>
          <t>$2,866</t>
        </is>
      </c>
      <c r="J7" s="174" t="inlineStr">
        <is>
          <t>$3,440</t>
        </is>
      </c>
      <c r="K7" s="174" t="inlineStr">
        <is>
          <t>$916</t>
        </is>
      </c>
      <c r="L7" s="368">
        <f>B26</f>
        <v/>
      </c>
      <c r="M7" s="174" t="inlineStr">
        <is>
          <t>$3,441</t>
        </is>
      </c>
      <c r="N7" s="174" t="inlineStr">
        <is>
          <t>$4,130</t>
        </is>
      </c>
      <c r="O7" s="174" t="inlineStr">
        <is>
          <t>$1,254</t>
        </is>
      </c>
      <c r="P7" s="368">
        <f>B27</f>
        <v/>
      </c>
      <c r="Q7" s="174" t="inlineStr">
        <is>
          <t>$3,820</t>
        </is>
      </c>
      <c r="R7" s="174" t="inlineStr">
        <is>
          <t>$4,585</t>
        </is>
      </c>
      <c r="S7" s="174" t="inlineStr">
        <is>
          <t>$1,573</t>
        </is>
      </c>
      <c r="T7" s="368">
        <f>B28</f>
        <v/>
      </c>
      <c r="U7" s="174" t="inlineStr">
        <is>
          <t>$4,129</t>
        </is>
      </c>
      <c r="V7" s="174" t="inlineStr">
        <is>
          <t>$4,955</t>
        </is>
      </c>
      <c r="W7" s="174" t="inlineStr">
        <is>
          <t>$1,818</t>
        </is>
      </c>
      <c r="X7" s="174" t="inlineStr">
        <is>
          <t>N/A</t>
        </is>
      </c>
      <c r="Y7" s="42" t="inlineStr">
        <is>
          <t>48</t>
        </is>
      </c>
      <c r="Z7" s="55" t="inlineStr">
        <is>
          <t>2001</t>
        </is>
      </c>
      <c r="AA7" s="40" t="inlineStr">
        <is>
          <t>0</t>
        </is>
      </c>
      <c r="AB7" s="136" t="inlineStr">
        <is>
          <t>Partial</t>
        </is>
      </c>
      <c r="AC7" s="136" t="inlineStr">
        <is>
          <t>No</t>
        </is>
      </c>
      <c r="AD7" s="136" t="inlineStr">
        <is>
          <t>No</t>
        </is>
      </c>
      <c r="AE7" s="136" t="inlineStr">
        <is>
          <t>No</t>
        </is>
      </c>
      <c r="AF7" s="136" t="inlineStr">
        <is>
          <t>No</t>
        </is>
      </c>
      <c r="AG7" s="136" t="inlineStr">
        <is>
          <t>SUBJECT</t>
        </is>
      </c>
      <c r="AH7" s="136" t="inlineStr">
        <is>
          <t>48 units | Section 8/HUD property. Year built: 2001. Subject property for market context.</t>
        </is>
      </c>
      <c r="AI7" s="136" t="inlineStr">
        <is>
          <t>Apartment Corp Records</t>
        </is>
      </c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Pelican Bay Iii</t>
        </is>
      </c>
      <c r="D8" s="59" t="inlineStr">
        <is>
          <t>2121 N. Lobdell Blvd.</t>
        </is>
      </c>
      <c r="E8" s="59" t="inlineStr">
        <is>
          <t>Baton Rouge</t>
        </is>
      </c>
      <c r="F8" s="59" t="inlineStr">
        <is>
          <t>LA</t>
        </is>
      </c>
      <c r="G8" s="59" t="inlineStr">
        <is>
          <t>70806-0000</t>
        </is>
      </c>
      <c r="H8" s="59" t="inlineStr">
        <is>
          <t>4.1 mi</t>
        </is>
      </c>
      <c r="I8" s="59" t="inlineStr">
        <is>
          <t>$2,866</t>
        </is>
      </c>
      <c r="J8" s="59" t="inlineStr">
        <is>
          <t>$3,440</t>
        </is>
      </c>
      <c r="K8" s="41" t="inlineStr">
        <is>
          <t>$916</t>
        </is>
      </c>
      <c r="L8" s="53" t="inlineStr">
        <is>
          <t>Not Listed</t>
        </is>
      </c>
      <c r="M8" s="43" t="inlineStr">
        <is>
          <t>$3,441</t>
        </is>
      </c>
      <c r="N8" s="43" t="inlineStr">
        <is>
          <t>$4,130</t>
        </is>
      </c>
      <c r="O8" s="41" t="inlineStr">
        <is>
          <t>$1,254</t>
        </is>
      </c>
      <c r="P8" s="53" t="inlineStr">
        <is>
          <t>Not Listed</t>
        </is>
      </c>
      <c r="Q8" s="43" t="inlineStr">
        <is>
          <t>$3,820</t>
        </is>
      </c>
      <c r="R8" s="43" t="inlineStr">
        <is>
          <t>$4,585</t>
        </is>
      </c>
      <c r="S8" s="43" t="inlineStr">
        <is>
          <t>$1,573</t>
        </is>
      </c>
      <c r="T8" s="43" t="inlineStr">
        <is>
          <t>Not Listed</t>
        </is>
      </c>
      <c r="U8" s="43" t="inlineStr">
        <is>
          <t>$4,129</t>
        </is>
      </c>
      <c r="V8" s="43" t="inlineStr">
        <is>
          <t>$4,955</t>
        </is>
      </c>
      <c r="W8" s="43" t="inlineStr">
        <is>
          <t>$1,818</t>
        </is>
      </c>
      <c r="X8" s="43" t="inlineStr">
        <is>
          <t>Not Listed</t>
        </is>
      </c>
      <c r="Y8" s="44" t="inlineStr">
        <is>
          <t>48</t>
        </is>
      </c>
      <c r="Z8" s="56" t="inlineStr">
        <is>
          <t>2001</t>
        </is>
      </c>
      <c r="AA8" s="43" t="inlineStr">
        <is>
          <t>0</t>
        </is>
      </c>
      <c r="AB8" s="136" t="inlineStr">
        <is>
          <t>Yes</t>
        </is>
      </c>
      <c r="AC8" s="136" t="inlineStr">
        <is>
          <t>No</t>
        </is>
      </c>
      <c r="AD8" s="136" t="inlineStr">
        <is>
          <t>No</t>
        </is>
      </c>
      <c r="AE8" s="136" t="inlineStr">
        <is>
          <t>No</t>
        </is>
      </c>
      <c r="AF8" s="136" t="inlineStr">
        <is>
          <t>No</t>
        </is>
      </c>
      <c r="AG8" s="136" t="inlineStr">
        <is>
          <t>HIGH</t>
        </is>
      </c>
      <c r="AH8" s="136" t="inlineStr">
        <is>
          <t>Affordable Comp #1: LIHTC property, 2001 vintage (0 yr diff), 48 units, 4.1 mi from subject. Same income-eligible renter pool.</t>
        </is>
      </c>
      <c r="AI8" s="136" t="inlineStr">
        <is>
          <t>HUD LIHTC Database (huduser.gov)</t>
        </is>
      </c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Mt. Zion Homess</t>
        </is>
      </c>
      <c r="D9" s="125" t="inlineStr">
        <is>
          <t>802 N. 22Nd St., Gracie St, N. 29Th St.</t>
        </is>
      </c>
      <c r="E9" s="125" t="inlineStr">
        <is>
          <t>Baton Rouge</t>
        </is>
      </c>
      <c r="F9" s="125" t="inlineStr">
        <is>
          <t>LA</t>
        </is>
      </c>
      <c r="G9" s="125" t="inlineStr">
        <is>
          <t>70802-0000</t>
        </is>
      </c>
      <c r="H9" s="125" t="inlineStr">
        <is>
          <t>1.3 mi</t>
        </is>
      </c>
      <c r="I9" s="125" t="inlineStr">
        <is>
          <t>$2,866</t>
        </is>
      </c>
      <c r="J9" s="125" t="inlineStr">
        <is>
          <t>$3,440</t>
        </is>
      </c>
      <c r="K9" s="85" t="inlineStr">
        <is>
          <t>$916</t>
        </is>
      </c>
      <c r="L9" s="86" t="inlineStr">
        <is>
          <t>Not Listed</t>
        </is>
      </c>
      <c r="M9" s="128" t="inlineStr">
        <is>
          <t>$3,441</t>
        </is>
      </c>
      <c r="N9" s="128" t="inlineStr">
        <is>
          <t>$4,130</t>
        </is>
      </c>
      <c r="O9" s="85" t="inlineStr">
        <is>
          <t>$1,254</t>
        </is>
      </c>
      <c r="P9" s="86" t="inlineStr">
        <is>
          <t>Not Listed</t>
        </is>
      </c>
      <c r="Q9" s="128" t="inlineStr">
        <is>
          <t>$3,820</t>
        </is>
      </c>
      <c r="R9" s="128" t="inlineStr">
        <is>
          <t>$4,585</t>
        </is>
      </c>
      <c r="S9" s="128" t="inlineStr">
        <is>
          <t>$1,573</t>
        </is>
      </c>
      <c r="T9" s="128" t="inlineStr">
        <is>
          <t>Not Listed</t>
        </is>
      </c>
      <c r="U9" s="128" t="inlineStr">
        <is>
          <t>$4,129</t>
        </is>
      </c>
      <c r="V9" s="128" t="inlineStr">
        <is>
          <t>$4,955</t>
        </is>
      </c>
      <c r="W9" s="128" t="inlineStr">
        <is>
          <t>$1,818</t>
        </is>
      </c>
      <c r="X9" s="128" t="inlineStr">
        <is>
          <t>Not Listed</t>
        </is>
      </c>
      <c r="Y9" s="129" t="inlineStr">
        <is>
          <t>31</t>
        </is>
      </c>
      <c r="Z9" s="130" t="inlineStr">
        <is>
          <t>2001</t>
        </is>
      </c>
      <c r="AA9" s="128" t="inlineStr">
        <is>
          <t>0</t>
        </is>
      </c>
      <c r="AB9" s="136" t="inlineStr">
        <is>
          <t>Yes</t>
        </is>
      </c>
      <c r="AC9" s="136" t="inlineStr">
        <is>
          <t>No</t>
        </is>
      </c>
      <c r="AD9" s="136" t="inlineStr">
        <is>
          <t>No</t>
        </is>
      </c>
      <c r="AE9" s="136" t="inlineStr">
        <is>
          <t>No</t>
        </is>
      </c>
      <c r="AF9" s="136" t="inlineStr">
        <is>
          <t>No</t>
        </is>
      </c>
      <c r="AG9" s="136" t="inlineStr">
        <is>
          <t>HIGH</t>
        </is>
      </c>
      <c r="AH9" s="136" t="inlineStr">
        <is>
          <t>Affordable Comp #2: LIHTC property, 2001 vintage (0 yr diff), 31 units, 1.3 mi from subject. Same income-eligible renter pool.</t>
        </is>
      </c>
      <c r="AI9" s="136" t="inlineStr">
        <is>
          <t>HUD LIHTC Database (huduser.gov)</t>
        </is>
      </c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Restoration Baton Rouge Ii</t>
        </is>
      </c>
      <c r="D10" s="107" t="inlineStr">
        <is>
          <t>2906 Government Street</t>
        </is>
      </c>
      <c r="E10" s="107" t="inlineStr">
        <is>
          <t>Baton Rouge</t>
        </is>
      </c>
      <c r="F10" s="107" t="inlineStr">
        <is>
          <t>LA</t>
        </is>
      </c>
      <c r="G10" s="107" t="inlineStr">
        <is>
          <t>70806-0000</t>
        </is>
      </c>
      <c r="H10" s="107" t="inlineStr">
        <is>
          <t>1.8 mi</t>
        </is>
      </c>
      <c r="I10" s="107" t="inlineStr">
        <is>
          <t>$2,866</t>
        </is>
      </c>
      <c r="J10" s="107" t="inlineStr">
        <is>
          <t>$3,440</t>
        </is>
      </c>
      <c r="K10" s="80" t="inlineStr">
        <is>
          <t>$916</t>
        </is>
      </c>
      <c r="L10" s="81" t="inlineStr">
        <is>
          <t>Not Listed</t>
        </is>
      </c>
      <c r="M10" s="108" t="inlineStr">
        <is>
          <t>$3,441</t>
        </is>
      </c>
      <c r="N10" s="108" t="inlineStr">
        <is>
          <t>$4,130</t>
        </is>
      </c>
      <c r="O10" s="80" t="inlineStr">
        <is>
          <t>$1,254</t>
        </is>
      </c>
      <c r="P10" s="81" t="inlineStr">
        <is>
          <t>Not Listed</t>
        </is>
      </c>
      <c r="Q10" s="108" t="inlineStr">
        <is>
          <t>$3,820</t>
        </is>
      </c>
      <c r="R10" s="108" t="inlineStr">
        <is>
          <t>$4,585</t>
        </is>
      </c>
      <c r="S10" s="108" t="inlineStr">
        <is>
          <t>$1,573</t>
        </is>
      </c>
      <c r="T10" s="108" t="inlineStr">
        <is>
          <t>Not Listed</t>
        </is>
      </c>
      <c r="U10" s="108" t="inlineStr">
        <is>
          <t>$4,129</t>
        </is>
      </c>
      <c r="V10" s="108" t="inlineStr">
        <is>
          <t>$4,955</t>
        </is>
      </c>
      <c r="W10" s="108" t="inlineStr">
        <is>
          <t>$1,818</t>
        </is>
      </c>
      <c r="X10" s="108" t="inlineStr">
        <is>
          <t>Not Listed</t>
        </is>
      </c>
      <c r="Y10" s="109" t="inlineStr">
        <is>
          <t>36</t>
        </is>
      </c>
      <c r="Z10" s="110" t="inlineStr">
        <is>
          <t>2002</t>
        </is>
      </c>
      <c r="AA10" s="111" t="inlineStr">
        <is>
          <t>1</t>
        </is>
      </c>
      <c r="AB10" s="134" t="inlineStr">
        <is>
          <t>Yes</t>
        </is>
      </c>
      <c r="AC10" s="136" t="inlineStr">
        <is>
          <t>No</t>
        </is>
      </c>
      <c r="AD10" s="136" t="inlineStr">
        <is>
          <t>No</t>
        </is>
      </c>
      <c r="AE10" s="136" t="inlineStr">
        <is>
          <t>No</t>
        </is>
      </c>
      <c r="AF10" s="136" t="inlineStr">
        <is>
          <t>No</t>
        </is>
      </c>
      <c r="AG10" s="136" t="inlineStr">
        <is>
          <t>HIGH</t>
        </is>
      </c>
      <c r="AH10" s="136" t="inlineStr">
        <is>
          <t>Affordable Comp #3: LIHTC property, 2002 vintage (1 yr diff), 36 units, 1.8 mi from subject. Same income-eligible renter pool.</t>
        </is>
      </c>
      <c r="AI10" s="136" t="inlineStr">
        <is>
          <t>HUD LIHTC Database (huduser.gov)</t>
        </is>
      </c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Restoration Baton Rouge I</t>
        </is>
      </c>
      <c r="D11" s="95" t="inlineStr">
        <is>
          <t>605 North 33Rd Street</t>
        </is>
      </c>
      <c r="E11" s="95" t="inlineStr">
        <is>
          <t>Baton Rouge</t>
        </is>
      </c>
      <c r="F11" s="95" t="inlineStr">
        <is>
          <t>LA</t>
        </is>
      </c>
      <c r="G11" s="95" t="inlineStr">
        <is>
          <t>70802-0000</t>
        </is>
      </c>
      <c r="H11" s="95" t="inlineStr">
        <is>
          <t>1.9 mi</t>
        </is>
      </c>
      <c r="I11" s="95" t="inlineStr">
        <is>
          <t>$2,866</t>
        </is>
      </c>
      <c r="J11" s="95" t="inlineStr">
        <is>
          <t>$3,440</t>
        </is>
      </c>
      <c r="K11" s="39" t="inlineStr">
        <is>
          <t>$916</t>
        </is>
      </c>
      <c r="L11" s="53" t="inlineStr">
        <is>
          <t>Not Listed</t>
        </is>
      </c>
      <c r="M11" s="96" t="inlineStr">
        <is>
          <t>$3,441</t>
        </is>
      </c>
      <c r="N11" s="96" t="inlineStr">
        <is>
          <t>$4,130</t>
        </is>
      </c>
      <c r="O11" s="39" t="inlineStr">
        <is>
          <t>$1,254</t>
        </is>
      </c>
      <c r="P11" s="53" t="inlineStr">
        <is>
          <t>Not Listed</t>
        </is>
      </c>
      <c r="Q11" s="96" t="inlineStr">
        <is>
          <t>$3,820</t>
        </is>
      </c>
      <c r="R11" s="96" t="inlineStr">
        <is>
          <t>$4,585</t>
        </is>
      </c>
      <c r="S11" s="96" t="inlineStr">
        <is>
          <t>$1,573</t>
        </is>
      </c>
      <c r="T11" s="96" t="inlineStr">
        <is>
          <t>Not Listed</t>
        </is>
      </c>
      <c r="U11" s="96" t="inlineStr">
        <is>
          <t>$4,129</t>
        </is>
      </c>
      <c r="V11" s="96" t="inlineStr">
        <is>
          <t>$4,955</t>
        </is>
      </c>
      <c r="W11" s="96" t="inlineStr">
        <is>
          <t>$1,818</t>
        </is>
      </c>
      <c r="X11" s="96" t="inlineStr">
        <is>
          <t>Not Listed</t>
        </is>
      </c>
      <c r="Y11" s="45" t="inlineStr">
        <is>
          <t>32</t>
        </is>
      </c>
      <c r="Z11" s="97" t="inlineStr">
        <is>
          <t>2002</t>
        </is>
      </c>
      <c r="AA11" s="113" t="inlineStr">
        <is>
          <t>1</t>
        </is>
      </c>
      <c r="AB11" s="134" t="inlineStr">
        <is>
          <t>Yes</t>
        </is>
      </c>
      <c r="AC11" s="136" t="inlineStr">
        <is>
          <t>No</t>
        </is>
      </c>
      <c r="AD11" s="136" t="inlineStr">
        <is>
          <t>No</t>
        </is>
      </c>
      <c r="AE11" s="136" t="inlineStr">
        <is>
          <t>No</t>
        </is>
      </c>
      <c r="AF11" s="136" t="inlineStr">
        <is>
          <t>No</t>
        </is>
      </c>
      <c r="AG11" s="136" t="inlineStr">
        <is>
          <t>HIGH</t>
        </is>
      </c>
      <c r="AH11" s="136" t="inlineStr">
        <is>
          <t>Affordable Comp #4: LIHTC property, 2002 vintage (1 yr diff), 32 units, 1.9 mi from subject. Same income-eligible renter pool.</t>
        </is>
      </c>
      <c r="AI11" s="136" t="inlineStr">
        <is>
          <t>HUD LIHTC Database (huduser.gov)</t>
        </is>
      </c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37.5" customHeight="1" s="131">
      <c r="A12" s="114" t="inlineStr">
        <is>
          <t>1</t>
        </is>
      </c>
      <c r="B12" s="70" t="inlineStr">
        <is>
          <t>MARKET RATE</t>
        </is>
      </c>
      <c r="C12" s="67" t="inlineStr">
        <is>
          <t>Sienna Lake Apartments</t>
        </is>
      </c>
      <c r="D12" s="98" t="inlineStr">
        <is>
          <t>5555 Sienna Lakes Dr, Baton Rouge, LA 70820</t>
        </is>
      </c>
      <c r="E12" s="98" t="inlineStr">
        <is>
          <t>Baton Rouge</t>
        </is>
      </c>
      <c r="F12" s="98" t="inlineStr">
        <is>
          <t>LA</t>
        </is>
      </c>
      <c r="G12" s="98" t="n"/>
      <c r="H12" s="98" t="inlineStr">
        <is>
          <t>4.8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$916</t>
        </is>
      </c>
      <c r="L12" s="53" t="n">
        <v>925</v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$1,254</t>
        </is>
      </c>
      <c r="P12" s="53" t="n">
        <v>1175</v>
      </c>
      <c r="Q12" s="99" t="inlineStr">
        <is>
          <t>N/A (Market Rate)</t>
        </is>
      </c>
      <c r="R12" s="99" t="inlineStr">
        <is>
          <t>N/A (Market Rate)</t>
        </is>
      </c>
      <c r="S12" s="99" t="inlineStr">
        <is>
          <t>$1,573</t>
        </is>
      </c>
      <c r="T12" s="99" t="n">
        <v>1450</v>
      </c>
      <c r="U12" s="99" t="inlineStr">
        <is>
          <t>N/A (Market Rate)</t>
        </is>
      </c>
      <c r="V12" s="99" t="inlineStr">
        <is>
          <t>N/A (Market Rate)</t>
        </is>
      </c>
      <c r="W12" s="99" t="inlineStr">
        <is>
          <t>$1,818</t>
        </is>
      </c>
      <c r="X12" s="99" t="inlineStr">
        <is>
          <t>Not Listed</t>
        </is>
      </c>
      <c r="Y12" s="46" t="inlineStr">
        <is>
          <t>240</t>
        </is>
      </c>
      <c r="Z12" s="100" t="inlineStr">
        <is>
          <t>2001</t>
        </is>
      </c>
      <c r="AA12" s="115" t="inlineStr">
        <is>
          <t>0</t>
        </is>
      </c>
      <c r="AB12" s="134" t="inlineStr">
        <is>
          <t>Varies</t>
        </is>
      </c>
      <c r="AC12" s="136" t="inlineStr">
        <is>
          <t>Varies</t>
        </is>
      </c>
      <c r="AD12" s="136" t="inlineStr">
        <is>
          <t>Varies</t>
        </is>
      </c>
      <c r="AE12" s="136" t="inlineStr">
        <is>
          <t>Varies</t>
        </is>
      </c>
      <c r="AF12" s="136" t="inlineStr">
        <is>
          <t>Varies</t>
        </is>
      </c>
      <c r="AG12" s="136" t="inlineStr">
        <is>
          <t>HIGH</t>
        </is>
      </c>
      <c r="AH12" s="136" t="inlineStr">
        <is>
          <t>Market Rate Comp #1: No income restrictions, 2001 vintage (0 yr diff), 240 units, 4.8 mi from subject. Shows market-rate rents vs. affordable housing discount.</t>
        </is>
      </c>
      <c r="AI12" s="136" t="inlineStr">
        <is>
          <t>https://www.rentcafe.com/apartments-for-rent/us/la/baton-rouge/sienna-lake/</t>
        </is>
      </c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inlineStr">
        <is>
          <t>2</t>
        </is>
      </c>
      <c r="B13" s="71" t="inlineStr">
        <is>
          <t>MARKET RATE</t>
        </is>
      </c>
      <c r="C13" s="68" t="inlineStr">
        <is>
          <t>Willow Creek Apartments</t>
        </is>
      </c>
      <c r="D13" s="101" t="inlineStr">
        <is>
          <t>9800 Airline Hwy, Baton Rouge, LA 70816</t>
        </is>
      </c>
      <c r="E13" s="101" t="inlineStr">
        <is>
          <t>Baton Rouge</t>
        </is>
      </c>
      <c r="F13" s="101" t="inlineStr">
        <is>
          <t>LA</t>
        </is>
      </c>
      <c r="G13" s="101" t="n"/>
      <c r="H13" s="101" t="inlineStr">
        <is>
          <t>6.5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$916</t>
        </is>
      </c>
      <c r="L13" s="53" t="n">
        <v>895</v>
      </c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$1,254</t>
        </is>
      </c>
      <c r="P13" s="53" t="n">
        <v>1125</v>
      </c>
      <c r="Q13" s="102" t="inlineStr">
        <is>
          <t>N/A (Market Rate)</t>
        </is>
      </c>
      <c r="R13" s="102" t="inlineStr">
        <is>
          <t>N/A (Market Rate)</t>
        </is>
      </c>
      <c r="S13" s="102" t="inlineStr">
        <is>
          <t>$1,573</t>
        </is>
      </c>
      <c r="T13" s="102" t="n">
        <v>1400</v>
      </c>
      <c r="U13" s="102" t="inlineStr">
        <is>
          <t>N/A (Market Rate)</t>
        </is>
      </c>
      <c r="V13" s="102" t="inlineStr">
        <is>
          <t>N/A (Market Rate)</t>
        </is>
      </c>
      <c r="W13" s="102" t="inlineStr">
        <is>
          <t>$1,818</t>
        </is>
      </c>
      <c r="X13" s="102" t="inlineStr">
        <is>
          <t>Not Listed</t>
        </is>
      </c>
      <c r="Y13" s="47" t="inlineStr">
        <is>
          <t>180</t>
        </is>
      </c>
      <c r="Z13" s="103" t="inlineStr">
        <is>
          <t>1999</t>
        </is>
      </c>
      <c r="AA13" s="117" t="inlineStr">
        <is>
          <t>2</t>
        </is>
      </c>
      <c r="AB13" s="134" t="inlineStr">
        <is>
          <t>Varies</t>
        </is>
      </c>
      <c r="AC13" s="136" t="inlineStr">
        <is>
          <t>Varies</t>
        </is>
      </c>
      <c r="AD13" s="136" t="inlineStr">
        <is>
          <t>Varies</t>
        </is>
      </c>
      <c r="AE13" s="136" t="inlineStr">
        <is>
          <t>Varies</t>
        </is>
      </c>
      <c r="AF13" s="136" t="inlineStr">
        <is>
          <t>Varies</t>
        </is>
      </c>
      <c r="AG13" s="136" t="inlineStr">
        <is>
          <t>HIGH</t>
        </is>
      </c>
      <c r="AH13" s="136" t="inlineStr">
        <is>
          <t>Market Rate Comp #2: No income restrictions, 1999 vintage (2 yr diff), 180 units, 6.5 mi from subject. Shows market-rate rents vs. affordable housing discount.</t>
        </is>
      </c>
      <c r="AI13" s="136" t="inlineStr">
        <is>
          <t>https://www.rentcafe.com/apartments-for-rent/us/la/baton-rouge/</t>
        </is>
      </c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inlineStr">
        <is>
          <t>3</t>
        </is>
      </c>
      <c r="B14" s="69" t="inlineStr">
        <is>
          <t>MARKET RATE</t>
        </is>
      </c>
      <c r="C14" s="66" t="inlineStr">
        <is>
          <t>The Preserve At Harveston</t>
        </is>
      </c>
      <c r="D14" s="95" t="inlineStr">
        <is>
          <t>18000 Harveston Dr, Baton Rouge, LA 70816</t>
        </is>
      </c>
      <c r="E14" s="95" t="inlineStr">
        <is>
          <t>Baton Rouge</t>
        </is>
      </c>
      <c r="F14" s="95" t="inlineStr">
        <is>
          <t>LA</t>
        </is>
      </c>
      <c r="G14" s="95" t="n"/>
      <c r="H14" s="95" t="inlineStr">
        <is>
          <t>8.2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$916</t>
        </is>
      </c>
      <c r="L14" s="53" t="n">
        <v>950</v>
      </c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$1,254</t>
        </is>
      </c>
      <c r="P14" s="53" t="n">
        <v>1200</v>
      </c>
      <c r="Q14" s="96" t="inlineStr">
        <is>
          <t>N/A (Market Rate)</t>
        </is>
      </c>
      <c r="R14" s="96" t="inlineStr">
        <is>
          <t>N/A (Market Rate)</t>
        </is>
      </c>
      <c r="S14" s="96" t="inlineStr">
        <is>
          <t>$1,573</t>
        </is>
      </c>
      <c r="T14" s="96" t="n">
        <v>1475</v>
      </c>
      <c r="U14" s="96" t="inlineStr">
        <is>
          <t>N/A (Market Rate)</t>
        </is>
      </c>
      <c r="V14" s="96" t="inlineStr">
        <is>
          <t>N/A (Market Rate)</t>
        </is>
      </c>
      <c r="W14" s="96" t="inlineStr">
        <is>
          <t>$1,818</t>
        </is>
      </c>
      <c r="X14" s="96" t="inlineStr">
        <is>
          <t>Not Listed</t>
        </is>
      </c>
      <c r="Y14" s="45" t="inlineStr">
        <is>
          <t>200</t>
        </is>
      </c>
      <c r="Z14" s="97" t="inlineStr">
        <is>
          <t>2002</t>
        </is>
      </c>
      <c r="AA14" s="113" t="inlineStr">
        <is>
          <t>1</t>
        </is>
      </c>
      <c r="AB14" s="134" t="inlineStr">
        <is>
          <t>Varies</t>
        </is>
      </c>
      <c r="AC14" s="136" t="inlineStr">
        <is>
          <t>Varies</t>
        </is>
      </c>
      <c r="AD14" s="136" t="inlineStr">
        <is>
          <t>Varies</t>
        </is>
      </c>
      <c r="AE14" s="136" t="inlineStr">
        <is>
          <t>Varies</t>
        </is>
      </c>
      <c r="AF14" s="136" t="inlineStr">
        <is>
          <t>Varies</t>
        </is>
      </c>
      <c r="AG14" s="136" t="inlineStr">
        <is>
          <t>HIGH</t>
        </is>
      </c>
      <c r="AH14" s="136" t="inlineStr">
        <is>
          <t>Market Rate Comp #3: No income restrictions, 2002 vintage (1 yr diff), 200 units, 8.2 mi from subject. Shows market-rate rents vs. affordable housing discount.</t>
        </is>
      </c>
      <c r="AI14" s="136" t="inlineStr">
        <is>
          <t>https://www.rentcafe.com/apartments-for-rent/us/la/baton-rouge/the-preserve-at-harveston/</t>
        </is>
      </c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inlineStr">
        <is>
          <t>4</t>
        </is>
      </c>
      <c r="B15" s="69" t="inlineStr">
        <is>
          <t>MARKET RATE</t>
        </is>
      </c>
      <c r="C15" s="66" t="inlineStr">
        <is>
          <t>Copper Mill Apartments</t>
        </is>
      </c>
      <c r="D15" s="95" t="inlineStr">
        <is>
          <t>10000 Copper Mill Dr, Baton Rouge, LA 70818</t>
        </is>
      </c>
      <c r="E15" s="95" t="inlineStr">
        <is>
          <t>Baton Rouge</t>
        </is>
      </c>
      <c r="F15" s="95" t="inlineStr">
        <is>
          <t>LA</t>
        </is>
      </c>
      <c r="G15" s="95" t="n"/>
      <c r="H15" s="95" t="inlineStr">
        <is>
          <t>9.8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$916</t>
        </is>
      </c>
      <c r="L15" s="53" t="n">
        <v>925</v>
      </c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$1,254</t>
        </is>
      </c>
      <c r="P15" s="53" t="n">
        <v>1150</v>
      </c>
      <c r="Q15" s="96" t="inlineStr">
        <is>
          <t>N/A (Market Rate)</t>
        </is>
      </c>
      <c r="R15" s="96" t="inlineStr">
        <is>
          <t>N/A (Market Rate)</t>
        </is>
      </c>
      <c r="S15" s="96" t="inlineStr">
        <is>
          <t>$1,573</t>
        </is>
      </c>
      <c r="T15" s="96" t="n">
        <v>1425</v>
      </c>
      <c r="U15" s="96" t="inlineStr">
        <is>
          <t>N/A (Market Rate)</t>
        </is>
      </c>
      <c r="V15" s="96" t="inlineStr">
        <is>
          <t>N/A (Market Rate)</t>
        </is>
      </c>
      <c r="W15" s="96" t="inlineStr">
        <is>
          <t>$1,818</t>
        </is>
      </c>
      <c r="X15" s="96" t="inlineStr">
        <is>
          <t>Not Listed</t>
        </is>
      </c>
      <c r="Y15" s="45" t="inlineStr">
        <is>
          <t>160</t>
        </is>
      </c>
      <c r="Z15" s="97" t="inlineStr">
        <is>
          <t>2000</t>
        </is>
      </c>
      <c r="AA15" s="113" t="inlineStr">
        <is>
          <t>1</t>
        </is>
      </c>
      <c r="AB15" s="134" t="inlineStr">
        <is>
          <t>Varies</t>
        </is>
      </c>
      <c r="AC15" s="136" t="inlineStr">
        <is>
          <t>Varies</t>
        </is>
      </c>
      <c r="AD15" s="136" t="inlineStr">
        <is>
          <t>Varies</t>
        </is>
      </c>
      <c r="AE15" s="136" t="inlineStr">
        <is>
          <t>Varies</t>
        </is>
      </c>
      <c r="AF15" s="136" t="inlineStr">
        <is>
          <t>Varies</t>
        </is>
      </c>
      <c r="AG15" s="136" t="inlineStr">
        <is>
          <t>HIGH</t>
        </is>
      </c>
      <c r="AH15" s="136" t="inlineStr">
        <is>
          <t>Market Rate Comp #4: No income restrictions, 2000 vintage (1 yr diff), 160 units, 9.8 mi from subject. Shows market-rate rents vs. affordable housing discount.</t>
        </is>
      </c>
      <c r="AI15" s="136" t="inlineStr">
        <is>
          <t>https://www.rentcafe.com/apartments-for-rent/us/la/baton-rouge/copper-mill/</t>
        </is>
      </c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inlineStr">
        <is>
          <t>—</t>
        </is>
      </c>
      <c r="B16" s="82" t="inlineStr">
        <is>
          <t>BENCHMARK</t>
        </is>
      </c>
      <c r="C16" s="119" t="inlineStr">
        <is>
          <t>FY2026 FMR — Baton Rouge MSA</t>
        </is>
      </c>
      <c r="D16" s="120" t="inlineStr">
        <is>
          <t>N/A</t>
        </is>
      </c>
      <c r="E16" s="120" t="inlineStr">
        <is>
          <t>Baton Rouge</t>
        </is>
      </c>
      <c r="F16" s="120" t="inlineStr">
        <is>
          <t>LA</t>
        </is>
      </c>
      <c r="G16" s="120" t="inlineStr">
        <is>
          <t>N/A</t>
        </is>
      </c>
      <c r="H16" s="120" t="inlineStr">
        <is>
          <t>N/A</t>
        </is>
      </c>
      <c r="I16" s="120" t="inlineStr">
        <is>
          <t>$916</t>
        </is>
      </c>
      <c r="J16" s="120" t="inlineStr">
        <is>
          <t>$916</t>
        </is>
      </c>
      <c r="K16" s="121" t="inlineStr">
        <is>
          <t>$916</t>
        </is>
      </c>
      <c r="L16" s="83" t="inlineStr">
        <is>
          <t>N/A</t>
        </is>
      </c>
      <c r="M16" s="122" t="inlineStr">
        <is>
          <t>$1,254</t>
        </is>
      </c>
      <c r="N16" s="122" t="inlineStr">
        <is>
          <t>$1,254</t>
        </is>
      </c>
      <c r="O16" s="121" t="inlineStr">
        <is>
          <t>$1,254</t>
        </is>
      </c>
      <c r="P16" s="83" t="inlineStr">
        <is>
          <t>N/A</t>
        </is>
      </c>
      <c r="Q16" s="122" t="inlineStr">
        <is>
          <t>$1,573</t>
        </is>
      </c>
      <c r="R16" s="122" t="inlineStr">
        <is>
          <t>$1,573</t>
        </is>
      </c>
      <c r="S16" s="122" t="inlineStr">
        <is>
          <t>$1,573</t>
        </is>
      </c>
      <c r="T16" s="122" t="inlineStr">
        <is>
          <t>N/A</t>
        </is>
      </c>
      <c r="U16" s="122" t="inlineStr">
        <is>
          <t>$1,818</t>
        </is>
      </c>
      <c r="V16" s="122" t="inlineStr">
        <is>
          <t>$1,818</t>
        </is>
      </c>
      <c r="W16" s="122" t="inlineStr">
        <is>
          <t>$1,818</t>
        </is>
      </c>
      <c r="X16" s="122" t="inlineStr">
        <is>
          <t>N/A</t>
        </is>
      </c>
      <c r="Y16" s="84" t="inlineStr">
        <is>
          <t>N/A</t>
        </is>
      </c>
      <c r="Z16" s="123" t="inlineStr">
        <is>
          <t>N/A</t>
        </is>
      </c>
      <c r="AA16" s="124" t="inlineStr">
        <is>
          <t>N/A</t>
        </is>
      </c>
      <c r="AB16" s="134" t="inlineStr">
        <is>
          <t>N/A</t>
        </is>
      </c>
      <c r="AC16" s="136" t="inlineStr">
        <is>
          <t>N/A</t>
        </is>
      </c>
      <c r="AD16" s="136" t="inlineStr">
        <is>
          <t>N/A</t>
        </is>
      </c>
      <c r="AE16" s="136" t="inlineStr">
        <is>
          <t>N/A</t>
        </is>
      </c>
      <c r="AF16" s="136" t="inlineStr">
        <is>
          <t>N/A</t>
        </is>
      </c>
      <c r="AG16" s="136" t="inlineStr">
        <is>
          <t>BENCHMARK</t>
        </is>
      </c>
      <c r="AH16" s="136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136" t="inlineStr">
        <is>
          <t>HUD FMR Database (huduser.gov)</t>
        </is>
      </c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inlineStr">
        <is>
          <t>—</t>
        </is>
      </c>
      <c r="B17" s="88" t="inlineStr">
        <is>
          <t>BENCHMARK</t>
        </is>
      </c>
      <c r="C17" s="89" t="inlineStr">
        <is>
          <t>Metro Market Avg — Baton Rouge</t>
        </is>
      </c>
      <c r="D17" s="87" t="inlineStr">
        <is>
          <t>N/A</t>
        </is>
      </c>
      <c r="E17" s="87" t="inlineStr">
        <is>
          <t>Baton Rouge</t>
        </is>
      </c>
      <c r="F17" s="87" t="inlineStr">
        <is>
          <t>LA</t>
        </is>
      </c>
      <c r="G17" s="87" t="inlineStr">
        <is>
          <t>N/A</t>
        </is>
      </c>
      <c r="H17" s="87" t="inlineStr">
        <is>
          <t>N/A</t>
        </is>
      </c>
      <c r="I17" s="87" t="inlineStr">
        <is>
          <t>$1,007</t>
        </is>
      </c>
      <c r="J17" s="87" t="inlineStr">
        <is>
          <t>$1,007</t>
        </is>
      </c>
      <c r="K17" s="90" t="inlineStr">
        <is>
          <t>$1,007</t>
        </is>
      </c>
      <c r="L17" s="91" t="inlineStr">
        <is>
          <t>N/A</t>
        </is>
      </c>
      <c r="M17" s="92" t="inlineStr">
        <is>
          <t>$1,379</t>
        </is>
      </c>
      <c r="N17" s="92" t="inlineStr">
        <is>
          <t>$1,379</t>
        </is>
      </c>
      <c r="O17" s="90" t="inlineStr">
        <is>
          <t>$1,379</t>
        </is>
      </c>
      <c r="P17" s="91" t="inlineStr">
        <is>
          <t>N/A</t>
        </is>
      </c>
      <c r="Q17" s="92" t="inlineStr">
        <is>
          <t>$1,730</t>
        </is>
      </c>
      <c r="R17" s="92" t="inlineStr">
        <is>
          <t>$1,730</t>
        </is>
      </c>
      <c r="S17" s="92" t="inlineStr">
        <is>
          <t>$1,730</t>
        </is>
      </c>
      <c r="T17" s="92" t="inlineStr">
        <is>
          <t>N/A</t>
        </is>
      </c>
      <c r="U17" s="92" t="inlineStr">
        <is>
          <t>$1,999</t>
        </is>
      </c>
      <c r="V17" s="92" t="inlineStr">
        <is>
          <t>$1,999</t>
        </is>
      </c>
      <c r="W17" s="92" t="inlineStr">
        <is>
          <t>$1,999</t>
        </is>
      </c>
      <c r="X17" s="92" t="inlineStr">
        <is>
          <t>N/A</t>
        </is>
      </c>
      <c r="Y17" s="93" t="inlineStr">
        <is>
          <t>N/A</t>
        </is>
      </c>
      <c r="Z17" s="94" t="inlineStr">
        <is>
          <t>N/A</t>
        </is>
      </c>
      <c r="AA17" s="92" t="inlineStr">
        <is>
          <t>N/A</t>
        </is>
      </c>
      <c r="AB17" s="136" t="inlineStr">
        <is>
          <t>N/A</t>
        </is>
      </c>
      <c r="AC17" s="136" t="inlineStr">
        <is>
          <t>N/A</t>
        </is>
      </c>
      <c r="AD17" s="136" t="inlineStr">
        <is>
          <t>N/A</t>
        </is>
      </c>
      <c r="AE17" s="136" t="inlineStr">
        <is>
          <t>N/A</t>
        </is>
      </c>
      <c r="AF17" s="136" t="inlineStr">
        <is>
          <t>N/A</t>
        </is>
      </c>
      <c r="AG17" s="136" t="inlineStr">
        <is>
          <t>BENCHMARK</t>
        </is>
      </c>
      <c r="AH17" s="136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136" t="inlineStr">
        <is>
          <t>HUD FMR + Market Estimate</t>
        </is>
      </c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Height="1" s="131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Format="1" customHeight="1" s="2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Format="1" customHeight="1" s="2">
      <c r="A25" s="372" t="n"/>
      <c r="B25" s="201" t="inlineStr">
        <is>
          <t>1BD</t>
        </is>
      </c>
      <c r="C25" s="194" t="n"/>
      <c r="D25" s="200" t="n">
        <v>924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Format="1" customHeight="1" s="2">
      <c r="A26" s="372" t="n"/>
      <c r="B26" s="201" t="inlineStr">
        <is>
          <t>2BD</t>
        </is>
      </c>
      <c r="C26" s="194" t="n"/>
      <c r="D26" s="200" t="n">
        <v>1162</v>
      </c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24.75" customFormat="1" customHeight="1" s="2">
      <c r="A27" s="369" t="n"/>
      <c r="B27" s="201" t="inlineStr">
        <is>
          <t>3BD</t>
        </is>
      </c>
      <c r="C27" s="194" t="n"/>
      <c r="D27" s="200" t="n">
        <v>1438</v>
      </c>
      <c r="E27" s="195" t="n"/>
      <c r="F27" s="183" t="n"/>
      <c r="G27" s="183" t="n"/>
      <c r="H27" s="183" t="n"/>
      <c r="I27" s="183" t="n"/>
      <c r="J27" s="183" t="n"/>
      <c r="K27" s="302" t="n"/>
      <c r="L27" s="302" t="n"/>
      <c r="M27" s="302" t="n"/>
      <c r="N27" s="302" t="n"/>
      <c r="O27" s="343" t="n"/>
      <c r="P27" s="302" t="n"/>
      <c r="Q27" s="302" t="n"/>
      <c r="R27" s="302" t="n"/>
      <c r="S27" s="302" t="n"/>
      <c r="T27" s="302" t="n"/>
      <c r="U27" s="302" t="n"/>
      <c r="V27" s="302" t="n"/>
      <c r="W27" s="302" t="n"/>
      <c r="X27" s="302" t="n"/>
      <c r="Y27" s="302" t="n"/>
      <c r="Z27" s="302" t="n"/>
      <c r="AA27" s="353" t="n"/>
      <c r="AB27" s="302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24.75" customHeight="1" s="131">
      <c r="A28" s="382" t="n"/>
      <c r="B28" s="201" t="inlineStr">
        <is>
          <t>4BD</t>
        </is>
      </c>
      <c r="C28" s="194" t="n"/>
      <c r="D28" s="200" t="n"/>
      <c r="E28" s="195" t="n"/>
      <c r="F28" s="183" t="n"/>
      <c r="G28" s="183" t="n"/>
      <c r="H28" s="183" t="n"/>
      <c r="I28" s="183" t="n"/>
      <c r="J28" s="183" t="n"/>
      <c r="K28" s="302" t="n"/>
      <c r="L28" s="302" t="n"/>
      <c r="M28" s="302" t="n"/>
      <c r="N28" s="302" t="n"/>
      <c r="O28" s="343" t="n"/>
      <c r="P28" s="302" t="n"/>
      <c r="Q28" s="302" t="n"/>
      <c r="R28" s="302" t="n"/>
      <c r="S28" s="302" t="n"/>
      <c r="T28" s="302" t="n"/>
      <c r="U28" s="302" t="n"/>
      <c r="V28" s="302" t="n"/>
      <c r="W28" s="302" t="n"/>
      <c r="X28" s="302" t="n"/>
      <c r="Y28" s="302" t="n"/>
      <c r="Z28" s="302" t="n"/>
      <c r="AA28" s="353" t="n"/>
      <c r="AB28" s="302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8.1" customHeight="1" s="131">
      <c r="A29" s="372" t="n"/>
      <c r="B29" s="371" t="n"/>
      <c r="C29" s="371" t="n"/>
      <c r="D29" s="371" t="n"/>
      <c r="E29" s="371" t="n"/>
      <c r="F29" s="371" t="n"/>
      <c r="G29" s="369" t="n"/>
      <c r="H29" s="369" t="n"/>
      <c r="I29" s="369" t="n"/>
      <c r="J29" s="369" t="n"/>
      <c r="K29" s="369" t="n"/>
      <c r="L29" s="134" t="n"/>
      <c r="M29" s="134" t="n"/>
      <c r="N29" s="134" t="n"/>
      <c r="O29" s="134" t="n"/>
      <c r="P29" s="134" t="n"/>
      <c r="Q29" s="134" t="n"/>
      <c r="R29" s="134" t="n"/>
      <c r="S29" s="134" t="n"/>
      <c r="T29" s="134" t="n"/>
      <c r="U29" s="134" t="n"/>
      <c r="V29" s="134" t="n"/>
      <c r="W29" s="134" t="n"/>
      <c r="X29" s="134" t="n"/>
      <c r="Y29" s="134" t="n"/>
      <c r="Z29" s="135" t="n"/>
      <c r="AA29" s="134" t="n"/>
      <c r="AB29" s="134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24.75" customFormat="1" customHeight="1" s="2">
      <c r="A30" s="302" t="n"/>
      <c r="B30" s="211" t="inlineStr">
        <is>
          <t>PMTS — Vouchers / FMR / UAP / NET</t>
        </is>
      </c>
      <c r="G30" s="365" t="n"/>
      <c r="H30" s="183" t="n"/>
      <c r="I30" s="183" t="n"/>
      <c r="J30" s="183" t="n"/>
      <c r="K30" s="302" t="n"/>
      <c r="L30" s="302" t="n"/>
      <c r="M30" s="302" t="n"/>
      <c r="N30" s="302" t="n"/>
      <c r="O30" s="302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15.95" customFormat="1" customHeight="1" s="2">
      <c r="A31" s="302" t="n"/>
      <c r="B31" s="226" t="n"/>
      <c r="C31" s="213" t="inlineStr">
        <is>
          <t>MKT</t>
        </is>
      </c>
      <c r="D31" s="213" t="inlineStr">
        <is>
          <t>VCH</t>
        </is>
      </c>
      <c r="E31" s="214" t="inlineStr">
        <is>
          <t>FMR</t>
        </is>
      </c>
      <c r="F31" s="215" t="inlineStr">
        <is>
          <t>UAP</t>
        </is>
      </c>
      <c r="G31" s="216" t="inlineStr">
        <is>
          <t>NET</t>
        </is>
      </c>
      <c r="H31" s="183" t="n"/>
      <c r="I31" s="183" t="n"/>
      <c r="J31" s="183" t="n"/>
      <c r="K31" s="302" t="n"/>
      <c r="L31" s="302" t="n"/>
      <c r="M31" s="302" t="n"/>
      <c r="N31" s="302" t="n"/>
      <c r="O31" s="302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24.75" customFormat="1" customHeight="1" s="2">
      <c r="A32" s="369" t="n"/>
      <c r="B32" s="217" t="inlineStr">
        <is>
          <t>1BD</t>
        </is>
      </c>
      <c r="C32" s="197" t="n">
        <v>0</v>
      </c>
      <c r="D32" s="197" t="n">
        <v>900</v>
      </c>
      <c r="E32" s="198" t="n">
        <v>1020</v>
      </c>
      <c r="F32" s="199" t="n">
        <v>77</v>
      </c>
      <c r="G32" s="218" t="n">
        <v>943</v>
      </c>
      <c r="H32" s="183" t="n"/>
      <c r="I32" s="183" t="n"/>
      <c r="J32" s="183" t="n"/>
      <c r="K32" s="302" t="n"/>
      <c r="L32" s="302" t="n"/>
      <c r="M32" s="302" t="n"/>
      <c r="N32" s="302" t="n"/>
      <c r="O32" s="343" t="n"/>
      <c r="P32" s="302" t="n"/>
      <c r="Q32" s="302" t="n"/>
      <c r="R32" s="302" t="n"/>
      <c r="S32" s="302" t="n"/>
      <c r="T32" s="302" t="n"/>
      <c r="U32" s="302" t="n"/>
      <c r="V32" s="302" t="n"/>
      <c r="W32" s="302" t="n"/>
      <c r="X32" s="302" t="n"/>
      <c r="Y32" s="302" t="n"/>
      <c r="Z32" s="302" t="n"/>
      <c r="AA32" s="353" t="n"/>
      <c r="AB32" s="302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24.75" customFormat="1" customHeight="1" s="2">
      <c r="A33" s="382" t="n"/>
      <c r="B33" s="217" t="inlineStr">
        <is>
          <t>2BD</t>
        </is>
      </c>
      <c r="C33" s="197" t="n">
        <v>0</v>
      </c>
      <c r="D33" s="197" t="n">
        <v>1107</v>
      </c>
      <c r="E33" s="198" t="n">
        <v>1150</v>
      </c>
      <c r="F33" s="199" t="n">
        <v>102</v>
      </c>
      <c r="G33" s="218" t="n">
        <v>1048</v>
      </c>
      <c r="H33" s="183" t="n"/>
      <c r="I33" s="183" t="n"/>
      <c r="J33" s="183" t="n"/>
      <c r="K33" s="302" t="n"/>
      <c r="L33" s="302" t="n"/>
      <c r="M33" s="302" t="n"/>
      <c r="N33" s="302" t="n"/>
      <c r="O33" s="343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24.75" customFormat="1" customHeight="1" s="2">
      <c r="A34" s="372" t="n"/>
      <c r="B34" s="217" t="inlineStr">
        <is>
          <t>3BD</t>
        </is>
      </c>
      <c r="C34" s="197" t="n">
        <v>0</v>
      </c>
      <c r="D34" s="197" t="n">
        <v>1300</v>
      </c>
      <c r="E34" s="198" t="n">
        <v>1440</v>
      </c>
      <c r="F34" s="199" t="n">
        <v>121</v>
      </c>
      <c r="G34" s="218" t="n">
        <v>1319</v>
      </c>
      <c r="H34" s="183" t="n"/>
      <c r="I34" s="183" t="n"/>
      <c r="J34" s="183" t="n"/>
      <c r="K34" s="302" t="n"/>
      <c r="L34" s="302" t="n"/>
      <c r="M34" s="302" t="n"/>
      <c r="N34" s="302" t="n"/>
      <c r="O34" s="343" t="n"/>
      <c r="P34" s="302" t="n"/>
      <c r="Q34" s="302" t="n"/>
      <c r="R34" s="302" t="n"/>
      <c r="S34" s="302" t="n"/>
      <c r="T34" s="302" t="n"/>
      <c r="U34" s="302" t="n"/>
      <c r="V34" s="302" t="n"/>
      <c r="W34" s="302" t="n"/>
      <c r="X34" s="302" t="n"/>
      <c r="Y34" s="302" t="n"/>
      <c r="Z34" s="302" t="n"/>
      <c r="AA34" s="353" t="n"/>
      <c r="AB34" s="302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24.75" customFormat="1" customHeight="1" s="2">
      <c r="A35" s="372" t="n"/>
      <c r="B35" s="217" t="inlineStr">
        <is>
          <t>4BD</t>
        </is>
      </c>
      <c r="C35" s="197" t="n">
        <v>0</v>
      </c>
      <c r="D35" s="197" t="n">
        <v>1572</v>
      </c>
      <c r="E35" s="198" t="n">
        <v>1920</v>
      </c>
      <c r="F35" s="199" t="n">
        <v>149</v>
      </c>
      <c r="G35" s="218" t="n">
        <v>1771</v>
      </c>
      <c r="H35" s="183" t="n"/>
      <c r="I35" s="183" t="n"/>
      <c r="J35" s="183" t="n"/>
      <c r="K35" s="302" t="n"/>
      <c r="L35" s="302" t="n"/>
      <c r="M35" s="302" t="n"/>
      <c r="N35" s="302" t="n"/>
      <c r="O35" s="343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8.1" customHeight="1" s="131">
      <c r="A36" s="369" t="n"/>
      <c r="B36" s="371" t="n"/>
      <c r="C36" s="371" t="n"/>
      <c r="D36" s="371" t="n"/>
      <c r="E36" s="371" t="n"/>
      <c r="F36" s="371" t="n"/>
      <c r="G36" s="369" t="n"/>
      <c r="H36" s="369" t="n"/>
      <c r="I36" s="369" t="n"/>
      <c r="J36" s="369" t="n"/>
      <c r="K36" s="369" t="n"/>
      <c r="L36" s="134" t="n"/>
      <c r="M36" s="134" t="n"/>
      <c r="N36" s="134" t="n"/>
      <c r="O36" s="134" t="n"/>
      <c r="P36" s="134" t="n"/>
      <c r="Q36" s="134" t="n"/>
      <c r="R36" s="134" t="n"/>
      <c r="S36" s="134" t="n"/>
      <c r="T36" s="134" t="n"/>
      <c r="U36" s="134" t="n"/>
      <c r="V36" s="134" t="n"/>
      <c r="W36" s="134" t="n"/>
      <c r="X36" s="134" t="n"/>
      <c r="Y36" s="134" t="n"/>
      <c r="Z36" s="135" t="n"/>
      <c r="AA36" s="134" t="n"/>
      <c r="AB36" s="134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24.75" customHeight="1" s="131">
      <c r="A37" s="302" t="n"/>
      <c r="B37" s="366" t="inlineStr">
        <is>
          <t>LIHTC, UAP, NET</t>
        </is>
      </c>
      <c r="C37" s="358" t="n"/>
      <c r="D37" s="358" t="n"/>
      <c r="E37" s="358" t="n"/>
      <c r="F37" s="358" t="n"/>
      <c r="G37" s="359" t="n"/>
      <c r="H37" s="183" t="n"/>
      <c r="I37" s="183" t="n"/>
      <c r="J37" s="183" t="n"/>
      <c r="K37" s="302" t="n"/>
      <c r="L37" s="302" t="n"/>
      <c r="M37" s="302" t="n"/>
      <c r="N37" s="302" t="n"/>
      <c r="O37" s="302" t="n"/>
      <c r="P37" s="302" t="n"/>
      <c r="Q37" s="302" t="n"/>
      <c r="R37" s="302" t="n"/>
      <c r="S37" s="302" t="n"/>
      <c r="T37" s="302" t="n"/>
      <c r="U37" s="302" t="n"/>
      <c r="V37" s="302" t="n"/>
      <c r="W37" s="302" t="n"/>
      <c r="X37" s="302" t="n"/>
      <c r="Y37" s="302" t="n"/>
      <c r="Z37" s="302" t="n"/>
      <c r="AA37" s="353" t="n"/>
      <c r="AB37" s="302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16.5" customFormat="1" customHeight="1" s="2">
      <c r="A38" s="372" t="n"/>
      <c r="B38" s="226" t="n"/>
      <c r="C38" s="228" t="inlineStr">
        <is>
          <t>LIHTC/MKT</t>
        </is>
      </c>
      <c r="D38" s="228" t="inlineStr">
        <is>
          <t>60%</t>
        </is>
      </c>
      <c r="E38" s="215" t="inlineStr">
        <is>
          <t>UAP</t>
        </is>
      </c>
      <c r="F38" s="216" t="inlineStr">
        <is>
          <t>NET</t>
        </is>
      </c>
      <c r="G38" s="183" t="n"/>
      <c r="H38" s="183" t="n"/>
      <c r="I38" s="183" t="n"/>
      <c r="J38" s="183" t="n"/>
      <c r="K38" s="302" t="n"/>
      <c r="L38" s="302" t="n"/>
      <c r="M38" s="302" t="n"/>
      <c r="N38" s="302" t="n"/>
      <c r="O38" s="343" t="n"/>
      <c r="P38" s="302" t="n"/>
      <c r="Q38" s="302" t="n"/>
      <c r="R38" s="302" t="n"/>
      <c r="S38" s="302" t="n"/>
      <c r="T38" s="302" t="n"/>
      <c r="U38" s="302" t="n"/>
      <c r="V38" s="302" t="n"/>
      <c r="W38" s="302" t="n"/>
      <c r="X38" s="302" t="n"/>
      <c r="Y38" s="302" t="n"/>
      <c r="Z38" s="302" t="n"/>
      <c r="AA38" s="353" t="n"/>
      <c r="AB38" s="302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24.75" customFormat="1" customHeight="1" s="2">
      <c r="A39" s="372" t="n"/>
      <c r="B39" s="224" t="inlineStr">
        <is>
          <t>1BD</t>
        </is>
      </c>
      <c r="C39" s="225" t="n">
        <v>1032</v>
      </c>
      <c r="D39" s="225" t="n">
        <v>874</v>
      </c>
      <c r="E39" s="225" t="n">
        <v>77</v>
      </c>
      <c r="F39" s="223" t="n">
        <v>797</v>
      </c>
      <c r="G39" s="183" t="n"/>
      <c r="H39" s="183" t="n"/>
      <c r="I39" s="183" t="n"/>
      <c r="J39" s="183" t="n"/>
      <c r="K39" s="302" t="n"/>
      <c r="L39" s="302" t="n"/>
      <c r="M39" s="302" t="n"/>
      <c r="N39" s="302" t="n"/>
      <c r="O39" s="343" t="n"/>
      <c r="P39" s="302" t="n"/>
      <c r="Q39" s="302" t="n"/>
      <c r="R39" s="302" t="n"/>
      <c r="S39" s="302" t="n"/>
      <c r="T39" s="302" t="n"/>
      <c r="U39" s="302" t="n"/>
      <c r="V39" s="302" t="n"/>
      <c r="W39" s="302" t="n"/>
      <c r="X39" s="302" t="n"/>
      <c r="Y39" s="302" t="n"/>
      <c r="Z39" s="302" t="n"/>
      <c r="AA39" s="353" t="n"/>
      <c r="AB39" s="302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ht="24.75" customFormat="1" customHeight="1" s="2">
      <c r="A40" s="372" t="n"/>
      <c r="B40" s="224" t="inlineStr">
        <is>
          <t>2BD</t>
        </is>
      </c>
      <c r="C40" s="225" t="n">
        <v>1239</v>
      </c>
      <c r="D40" s="225" t="n">
        <v>1039</v>
      </c>
      <c r="E40" s="225" t="n">
        <v>102</v>
      </c>
      <c r="F40" s="223" t="n">
        <v>937</v>
      </c>
      <c r="G40" s="183" t="n"/>
      <c r="H40" s="183" t="n"/>
      <c r="I40" s="183" t="n"/>
      <c r="J40" s="183" t="n"/>
      <c r="K40" s="302" t="n"/>
      <c r="L40" s="302" t="n"/>
      <c r="M40" s="302" t="n"/>
      <c r="N40" s="302" t="n"/>
      <c r="O40" s="343" t="n"/>
      <c r="P40" s="302" t="n"/>
      <c r="Q40" s="302" t="n"/>
      <c r="R40" s="302" t="n"/>
      <c r="S40" s="302" t="n"/>
      <c r="T40" s="302" t="n"/>
      <c r="U40" s="302" t="n"/>
      <c r="V40" s="302" t="n"/>
      <c r="W40" s="302" t="n"/>
      <c r="X40" s="302" t="n"/>
      <c r="Y40" s="302" t="n"/>
      <c r="Z40" s="302" t="n"/>
      <c r="AA40" s="353" t="n"/>
      <c r="AB40" s="302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ht="24.75" customFormat="1" customHeight="1" s="2">
      <c r="A41" s="369" t="n"/>
      <c r="B41" s="224" t="inlineStr">
        <is>
          <t>3BD</t>
        </is>
      </c>
      <c r="C41" s="225" t="n">
        <v>1431</v>
      </c>
      <c r="D41" s="225" t="n">
        <v>1194</v>
      </c>
      <c r="E41" s="225" t="n">
        <v>121</v>
      </c>
      <c r="F41" s="223" t="n">
        <v>1073</v>
      </c>
      <c r="G41" s="183" t="n"/>
      <c r="H41" s="183" t="n"/>
      <c r="I41" s="183" t="n"/>
      <c r="J41" s="183" t="n"/>
      <c r="K41" s="302" t="n"/>
      <c r="L41" s="302" t="n"/>
      <c r="M41" s="302" t="n"/>
      <c r="N41" s="302" t="n"/>
      <c r="O41" s="343" t="n"/>
      <c r="P41" s="302" t="n"/>
      <c r="Q41" s="302" t="n"/>
      <c r="R41" s="302" t="n"/>
      <c r="S41" s="302" t="n"/>
      <c r="T41" s="302" t="n"/>
      <c r="U41" s="302" t="n"/>
      <c r="V41" s="302" t="n"/>
      <c r="W41" s="302" t="n"/>
      <c r="X41" s="302" t="n"/>
      <c r="Y41" s="302" t="n"/>
      <c r="Z41" s="302" t="n"/>
      <c r="AA41" s="353" t="n"/>
      <c r="AB41" s="302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ht="24.75" customFormat="1" customHeight="1" s="2">
      <c r="A42" s="369" t="n"/>
      <c r="B42" s="224" t="inlineStr">
        <is>
          <t>4BD</t>
        </is>
      </c>
      <c r="C42" s="225" t="n">
        <v>1596</v>
      </c>
      <c r="D42" s="225" t="n">
        <v>1321</v>
      </c>
      <c r="E42" s="225" t="n">
        <v>149</v>
      </c>
      <c r="F42" s="223" t="n">
        <v>1172</v>
      </c>
      <c r="G42" s="183" t="n"/>
      <c r="H42" s="183" t="n"/>
      <c r="I42" s="183" t="n"/>
      <c r="J42" s="183" t="n"/>
      <c r="K42" s="302" t="n"/>
      <c r="L42" s="302" t="n"/>
      <c r="M42" s="302" t="n"/>
      <c r="N42" s="302" t="n"/>
      <c r="O42" s="343" t="n"/>
      <c r="P42" s="302" t="n"/>
      <c r="Q42" s="302" t="n"/>
      <c r="R42" s="302" t="n"/>
      <c r="S42" s="302" t="n"/>
      <c r="T42" s="302" t="n"/>
      <c r="U42" s="302" t="n"/>
      <c r="V42" s="302" t="n"/>
      <c r="W42" s="302" t="n"/>
      <c r="X42" s="302" t="n"/>
      <c r="Y42" s="302" t="n"/>
      <c r="Z42" s="302" t="n"/>
      <c r="AA42" s="353" t="n"/>
      <c r="AB42" s="302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ht="18" customFormat="1" customHeight="1" s="2">
      <c r="A43" s="369" t="n"/>
      <c r="B43" s="371" t="n"/>
      <c r="C43" s="371" t="n"/>
      <c r="D43" s="371" t="n"/>
      <c r="E43" s="371" t="n"/>
      <c r="F43" s="371" t="n"/>
      <c r="G43" s="369" t="n"/>
      <c r="H43" s="369" t="n"/>
      <c r="I43" s="369" t="n"/>
      <c r="J43" s="369" t="n"/>
      <c r="K43" s="369" t="n"/>
      <c r="L43" s="136" t="n"/>
      <c r="M43" s="136" t="n"/>
      <c r="N43" s="136" t="n"/>
      <c r="O43" s="136" t="n"/>
      <c r="P43" s="136" t="n"/>
      <c r="Q43" s="136" t="n"/>
      <c r="R43" s="136" t="n"/>
      <c r="S43" s="136" t="n"/>
      <c r="T43" s="136" t="n"/>
      <c r="U43" s="136" t="n"/>
      <c r="V43" s="136" t="n"/>
      <c r="W43" s="136" t="n"/>
      <c r="X43" s="136" t="n"/>
      <c r="Y43" s="136" t="n"/>
      <c r="Z43" s="136" t="n"/>
      <c r="AA43" s="136" t="n"/>
      <c r="AB43" s="136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ht="18" customHeight="1" s="131">
      <c r="A44" s="369" t="n"/>
      <c r="B44" s="369" t="n"/>
      <c r="C44" s="369" t="n"/>
      <c r="D44" s="369" t="n"/>
      <c r="E44" s="369" t="n"/>
      <c r="F44" s="369" t="n"/>
      <c r="G44" s="369" t="n"/>
      <c r="H44" s="369" t="n"/>
      <c r="I44" s="369" t="n"/>
      <c r="J44" s="369" t="n"/>
      <c r="K44" s="369" t="n"/>
      <c r="L44" s="136" t="n"/>
      <c r="M44" s="136" t="n"/>
      <c r="N44" s="136" t="n"/>
      <c r="O44" s="136" t="n"/>
      <c r="P44" s="136" t="n"/>
      <c r="Q44" s="136" t="n"/>
      <c r="R44" s="136" t="n"/>
      <c r="S44" s="136" t="n"/>
      <c r="T44" s="136" t="n"/>
      <c r="U44" s="136" t="n"/>
      <c r="V44" s="136" t="n"/>
      <c r="W44" s="136" t="n"/>
      <c r="X44" s="136" t="n"/>
      <c r="Y44" s="136" t="n"/>
      <c r="Z44" s="136" t="n"/>
      <c r="AA44" s="136" t="n"/>
      <c r="AB44" s="136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ht="24.75" customHeight="1" s="131">
      <c r="A45" s="302" t="n"/>
      <c r="B45" s="207" t="inlineStr">
        <is>
          <t>HAP, CoStar, NET</t>
        </is>
      </c>
      <c r="H45" s="183" t="n"/>
      <c r="I45" s="183" t="n"/>
      <c r="J45" s="183" t="n"/>
      <c r="K45" s="302" t="n"/>
      <c r="L45" s="302" t="n"/>
      <c r="M45" s="302" t="n"/>
      <c r="N45" s="302" t="n"/>
      <c r="O45" s="302" t="n"/>
      <c r="P45" s="302" t="n"/>
      <c r="Q45" s="302" t="n"/>
      <c r="R45" s="302" t="n"/>
      <c r="S45" s="302" t="n"/>
      <c r="T45" s="302" t="n"/>
      <c r="U45" s="302" t="n"/>
      <c r="V45" s="302" t="n"/>
      <c r="W45" s="302" t="n"/>
      <c r="X45" s="302" t="n"/>
      <c r="Y45" s="302" t="n"/>
      <c r="Z45" s="302" t="n"/>
      <c r="AA45" s="353" t="n"/>
      <c r="AB45" s="302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ht="15.95" customHeight="1" s="131">
      <c r="A46" s="302" t="n"/>
      <c r="B46" s="227" t="n"/>
      <c r="C46" s="208" t="inlineStr">
        <is>
          <t>HAP</t>
        </is>
      </c>
      <c r="D46" s="209" t="inlineStr">
        <is>
          <t>CoStar</t>
        </is>
      </c>
      <c r="E46" s="302" t="n"/>
      <c r="F46" s="302" t="n"/>
      <c r="G46" s="302" t="n"/>
      <c r="H46" s="183" t="n"/>
      <c r="I46" s="183" t="n"/>
      <c r="J46" s="183" t="n"/>
      <c r="K46" s="302" t="n"/>
      <c r="L46" s="302" t="n"/>
      <c r="M46" s="302" t="n"/>
      <c r="N46" s="302" t="n"/>
      <c r="O46" s="302" t="n"/>
      <c r="P46" s="302" t="n"/>
      <c r="Q46" s="302" t="n"/>
      <c r="R46" s="302" t="n"/>
      <c r="S46" s="302" t="n"/>
      <c r="T46" s="302" t="n"/>
      <c r="U46" s="302" t="n"/>
      <c r="V46" s="302" t="n"/>
      <c r="W46" s="302" t="n"/>
      <c r="X46" s="302" t="n"/>
      <c r="Y46" s="302" t="n"/>
      <c r="Z46" s="302" t="n"/>
      <c r="AA46" s="353" t="n"/>
      <c r="AB46" s="302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ht="24.75" customHeight="1" s="131">
      <c r="A47" s="302" t="n"/>
      <c r="B47" s="196" t="inlineStr">
        <is>
          <t>1BD</t>
        </is>
      </c>
      <c r="C47" s="199" t="n">
        <v>0</v>
      </c>
      <c r="D47" s="198" t="n">
        <v>1142</v>
      </c>
      <c r="E47" s="183" t="n"/>
      <c r="F47" s="183" t="n"/>
      <c r="G47" s="183" t="n"/>
      <c r="H47" s="183" t="n"/>
      <c r="I47" s="183" t="n"/>
      <c r="J47" s="183" t="n"/>
      <c r="K47" s="302" t="n"/>
      <c r="L47" s="302" t="n"/>
      <c r="M47" s="302" t="n"/>
      <c r="N47" s="302" t="n"/>
      <c r="O47" s="302" t="n"/>
      <c r="P47" s="302" t="n"/>
      <c r="Q47" s="302" t="n"/>
      <c r="R47" s="302" t="n"/>
      <c r="S47" s="302" t="n"/>
      <c r="T47" s="302" t="n"/>
      <c r="U47" s="302" t="n"/>
      <c r="V47" s="302" t="n"/>
      <c r="W47" s="302" t="n"/>
      <c r="X47" s="302" t="n"/>
      <c r="Y47" s="302" t="n"/>
      <c r="Z47" s="302" t="n"/>
      <c r="AA47" s="353" t="n"/>
      <c r="AB47" s="302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ht="24.75" customHeight="1" s="131">
      <c r="A48" s="302" t="n"/>
      <c r="B48" s="196" t="inlineStr">
        <is>
          <t>2BD</t>
        </is>
      </c>
      <c r="C48" s="199" t="n">
        <v>0</v>
      </c>
      <c r="D48" s="198" t="n">
        <v>1377</v>
      </c>
      <c r="E48" s="183" t="n"/>
      <c r="F48" s="183" t="n"/>
      <c r="G48" s="183" t="n"/>
      <c r="H48" s="183" t="n"/>
      <c r="I48" s="183" t="n"/>
      <c r="J48" s="183" t="n"/>
      <c r="K48" s="302" t="n"/>
      <c r="L48" s="302" t="n"/>
      <c r="M48" s="302" t="n"/>
      <c r="N48" s="302" t="n"/>
      <c r="O48" s="302" t="n"/>
      <c r="P48" s="302" t="n"/>
      <c r="Q48" s="302" t="n"/>
      <c r="R48" s="302" t="n"/>
      <c r="S48" s="302" t="n"/>
      <c r="T48" s="302" t="n"/>
      <c r="U48" s="302" t="n"/>
      <c r="V48" s="302" t="n"/>
      <c r="W48" s="302" t="n"/>
      <c r="X48" s="302" t="n"/>
      <c r="Y48" s="302" t="n"/>
      <c r="Z48" s="302" t="n"/>
      <c r="AA48" s="353" t="n"/>
      <c r="AB48" s="302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ht="24.75" customHeight="1" s="131">
      <c r="A49" s="302" t="n"/>
      <c r="B49" s="196" t="inlineStr">
        <is>
          <t>3BD</t>
        </is>
      </c>
      <c r="C49" s="199" t="n">
        <v>0</v>
      </c>
      <c r="D49" s="198" t="n">
        <v>1458</v>
      </c>
      <c r="E49" s="183" t="n"/>
      <c r="F49" s="183" t="n"/>
      <c r="G49" s="183" t="n"/>
      <c r="H49" s="183" t="n"/>
      <c r="I49" s="183" t="n"/>
      <c r="J49" s="183" t="n"/>
      <c r="K49" s="302" t="n"/>
      <c r="L49" s="302" t="n"/>
      <c r="M49" s="302" t="n"/>
      <c r="N49" s="302" t="n"/>
      <c r="O49" s="302" t="n"/>
      <c r="P49" s="302" t="n"/>
      <c r="Q49" s="302" t="n"/>
      <c r="R49" s="302" t="n"/>
      <c r="S49" s="302" t="n"/>
      <c r="T49" s="302" t="n"/>
      <c r="U49" s="302" t="n"/>
      <c r="V49" s="302" t="n"/>
      <c r="W49" s="302" t="n"/>
      <c r="X49" s="302" t="n"/>
      <c r="Y49" s="302" t="n"/>
      <c r="Z49" s="302" t="n"/>
      <c r="AA49" s="353" t="n"/>
      <c r="AB49" s="302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ht="24.75" customHeight="1" s="131">
      <c r="A50" s="302" t="n"/>
      <c r="B50" s="196" t="inlineStr">
        <is>
          <t>4BD</t>
        </is>
      </c>
      <c r="C50" s="199" t="n">
        <v>0</v>
      </c>
      <c r="D50" s="198" t="n">
        <v>1486</v>
      </c>
      <c r="E50" s="183" t="n"/>
      <c r="F50" s="183" t="n"/>
      <c r="G50" s="183" t="n"/>
      <c r="H50" s="183" t="n"/>
      <c r="I50" s="183" t="n"/>
      <c r="J50" s="183" t="n"/>
      <c r="K50" s="302" t="n"/>
      <c r="L50" s="302" t="n"/>
      <c r="M50" s="302" t="n"/>
      <c r="N50" s="302" t="n"/>
      <c r="O50" s="302" t="n"/>
      <c r="P50" s="302" t="n"/>
      <c r="Q50" s="302" t="n"/>
      <c r="R50" s="302" t="n"/>
      <c r="S50" s="302" t="n"/>
      <c r="T50" s="302" t="n"/>
      <c r="U50" s="302" t="n"/>
      <c r="V50" s="302" t="n"/>
      <c r="W50" s="302" t="n"/>
      <c r="X50" s="302" t="n"/>
      <c r="Y50" s="302" t="n"/>
      <c r="Z50" s="302" t="n"/>
      <c r="AA50" s="353" t="n"/>
      <c r="AB50" s="302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  <row r="51"/>
    <row r="52"/>
    <row r="53"/>
    <row r="54"/>
    <row r="55"/>
    <row r="56"/>
  </sheetData>
  <mergeCells count="9">
    <mergeCell ref="B4:AB4"/>
    <mergeCell ref="B22:G22"/>
    <mergeCell ref="B37:G37"/>
    <mergeCell ref="B45:G45"/>
    <mergeCell ref="B20:I20"/>
    <mergeCell ref="B2:AB2"/>
    <mergeCell ref="B23:G23"/>
    <mergeCell ref="B3:AB3"/>
    <mergeCell ref="B30:G30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W56"/>
  <sheetViews>
    <sheetView workbookViewId="0">
      <pane ySplit="1" topLeftCell="A5" activePane="bottomLeft" state="frozen"/>
      <selection pane="bottomLeft" activeCell="A1" sqref="A1:AI1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PIRATES BEND | GREEN = Affordable Comps | BLUE = Market Rate Comps</t>
        </is>
      </c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Pirates Bend | 8165 Plank Road, Baton Rouge, LA 70811 | 48 units | Program: Section 8/HUD | Bedroom Mix: 1BR / 2BR / 3BR / 4BR | County AMI: $91,700 | FMR Area: Baton Rouge MSA</t>
        </is>
      </c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1BD 50% AMI ($)</t>
        </is>
      </c>
      <c r="J6" s="280" t="inlineStr">
        <is>
          <t>1BD 60% AMI ($)</t>
        </is>
      </c>
      <c r="K6" s="280" t="inlineStr">
        <is>
          <t>1BR FMR ($)</t>
        </is>
      </c>
      <c r="L6" s="335" t="inlineStr">
        <is>
          <t>1BR Actual ($)</t>
        </is>
      </c>
      <c r="M6" s="281" t="inlineStr">
        <is>
          <t>2BD 50% AMI ($)</t>
        </is>
      </c>
      <c r="N6" s="280" t="inlineStr">
        <is>
          <t>2BD 60% AMI ($)</t>
        </is>
      </c>
      <c r="O6" s="280" t="inlineStr">
        <is>
          <t>2BR FMR ($)</t>
        </is>
      </c>
      <c r="P6" s="335" t="inlineStr">
        <is>
          <t>2BR Actual ($)</t>
        </is>
      </c>
      <c r="Q6" s="281" t="inlineStr">
        <is>
          <t>3BD 50% AMI ($)</t>
        </is>
      </c>
      <c r="R6" s="280" t="inlineStr">
        <is>
          <t>3BD 60% AMI ($)</t>
        </is>
      </c>
      <c r="S6" s="280" t="inlineStr">
        <is>
          <t>3BR FMR ($)</t>
        </is>
      </c>
      <c r="T6" s="339" t="inlineStr">
        <is>
          <t>3BR Actual ($)</t>
        </is>
      </c>
      <c r="U6" s="339" t="inlineStr">
        <is>
          <t>4BD 50% AMI ($)</t>
        </is>
      </c>
      <c r="V6" s="339" t="inlineStr">
        <is>
          <t>4BD 60% AMI ($)</t>
        </is>
      </c>
      <c r="W6" s="339" t="inlineStr">
        <is>
          <t>4BR FMR ($)</t>
        </is>
      </c>
      <c r="X6" s="339" t="inlineStr">
        <is>
          <t>4BR Actual ($)</t>
        </is>
      </c>
      <c r="Y6" s="339" t="inlineStr">
        <is>
          <t># Units</t>
        </is>
      </c>
      <c r="Z6" s="336" t="inlineStr">
        <is>
          <t>Year Built</t>
        </is>
      </c>
      <c r="AA6" s="340" t="inlineStr">
        <is>
          <t>Yr Diff</t>
        </is>
      </c>
      <c r="AB6" s="342" t="inlineStr">
        <is>
          <t>Utilities Incl.</t>
        </is>
      </c>
      <c r="AC6" s="136" t="inlineStr">
        <is>
          <t>Pet Friendly</t>
        </is>
      </c>
      <c r="AD6" s="136" t="inlineStr">
        <is>
          <t>Gated</t>
        </is>
      </c>
      <c r="AE6" s="136" t="inlineStr">
        <is>
          <t>Pool</t>
        </is>
      </c>
      <c r="AF6" s="136" t="inlineStr">
        <is>
          <t>W/D In-Unit</t>
        </is>
      </c>
      <c r="AG6" s="136" t="inlineStr">
        <is>
          <t>Competition Level</t>
        </is>
      </c>
      <c r="AH6" s="136" t="inlineStr">
        <is>
          <t>Why Competitive</t>
        </is>
      </c>
      <c r="AI6" s="136" t="inlineStr">
        <is>
          <t>Data Source</t>
        </is>
      </c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Pirates Bend (SUBJECT)</t>
        </is>
      </c>
      <c r="D7" s="174" t="inlineStr">
        <is>
          <t>8165 Plank Road</t>
        </is>
      </c>
      <c r="E7" s="174" t="inlineStr">
        <is>
          <t>Baton Rouge</t>
        </is>
      </c>
      <c r="F7" s="174" t="inlineStr">
        <is>
          <t>LA</t>
        </is>
      </c>
      <c r="G7" s="174" t="inlineStr">
        <is>
          <t>70811</t>
        </is>
      </c>
      <c r="H7" s="174" t="inlineStr">
        <is>
          <t>0.0 mi</t>
        </is>
      </c>
      <c r="I7" s="174" t="inlineStr">
        <is>
          <t>$2,866</t>
        </is>
      </c>
      <c r="J7" s="174" t="inlineStr">
        <is>
          <t>$3,440</t>
        </is>
      </c>
      <c r="K7" s="174" t="inlineStr">
        <is>
          <t>$916</t>
        </is>
      </c>
      <c r="L7" s="368">
        <f>B26</f>
        <v/>
      </c>
      <c r="M7" s="174" t="inlineStr">
        <is>
          <t>$3,441</t>
        </is>
      </c>
      <c r="N7" s="174" t="inlineStr">
        <is>
          <t>$4,130</t>
        </is>
      </c>
      <c r="O7" s="174" t="inlineStr">
        <is>
          <t>$1,254</t>
        </is>
      </c>
      <c r="P7" s="368">
        <f>B27</f>
        <v/>
      </c>
      <c r="Q7" s="174" t="inlineStr">
        <is>
          <t>$3,820</t>
        </is>
      </c>
      <c r="R7" s="174" t="inlineStr">
        <is>
          <t>$4,585</t>
        </is>
      </c>
      <c r="S7" s="174" t="inlineStr">
        <is>
          <t>$1,573</t>
        </is>
      </c>
      <c r="T7" s="368">
        <f>B28</f>
        <v/>
      </c>
      <c r="U7" s="174" t="inlineStr">
        <is>
          <t>$4,129</t>
        </is>
      </c>
      <c r="V7" s="174" t="inlineStr">
        <is>
          <t>$4,955</t>
        </is>
      </c>
      <c r="W7" s="174" t="inlineStr">
        <is>
          <t>$1,818</t>
        </is>
      </c>
      <c r="X7" s="174" t="inlineStr">
        <is>
          <t>N/A</t>
        </is>
      </c>
      <c r="Y7" s="42" t="inlineStr">
        <is>
          <t>48</t>
        </is>
      </c>
      <c r="Z7" s="55" t="inlineStr">
        <is>
          <t>2001</t>
        </is>
      </c>
      <c r="AA7" s="40" t="inlineStr">
        <is>
          <t>0</t>
        </is>
      </c>
      <c r="AB7" s="136" t="inlineStr">
        <is>
          <t>Partial</t>
        </is>
      </c>
      <c r="AC7" s="136" t="inlineStr">
        <is>
          <t>No</t>
        </is>
      </c>
      <c r="AD7" s="136" t="inlineStr">
        <is>
          <t>No</t>
        </is>
      </c>
      <c r="AE7" s="136" t="inlineStr">
        <is>
          <t>No</t>
        </is>
      </c>
      <c r="AF7" s="136" t="inlineStr">
        <is>
          <t>No</t>
        </is>
      </c>
      <c r="AG7" s="136" t="inlineStr">
        <is>
          <t>SUBJECT</t>
        </is>
      </c>
      <c r="AH7" s="136" t="inlineStr">
        <is>
          <t>48 units | Section 8/HUD property. Year built: 2001. Subject property for market context.</t>
        </is>
      </c>
      <c r="AI7" s="136" t="inlineStr">
        <is>
          <t>Apartment Corp Records</t>
        </is>
      </c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Pelican Bay Iii</t>
        </is>
      </c>
      <c r="D8" s="59" t="inlineStr">
        <is>
          <t>2121 N. Lobdell Blvd.</t>
        </is>
      </c>
      <c r="E8" s="59" t="inlineStr">
        <is>
          <t>Baton Rouge</t>
        </is>
      </c>
      <c r="F8" s="59" t="inlineStr">
        <is>
          <t>LA</t>
        </is>
      </c>
      <c r="G8" s="59" t="inlineStr">
        <is>
          <t>70806-0000</t>
        </is>
      </c>
      <c r="H8" s="59" t="inlineStr">
        <is>
          <t>4.1 mi</t>
        </is>
      </c>
      <c r="I8" s="59" t="inlineStr">
        <is>
          <t>$2,866</t>
        </is>
      </c>
      <c r="J8" s="59" t="inlineStr">
        <is>
          <t>$3,440</t>
        </is>
      </c>
      <c r="K8" s="41" t="inlineStr">
        <is>
          <t>$916</t>
        </is>
      </c>
      <c r="L8" s="53" t="inlineStr">
        <is>
          <t>Not Listed</t>
        </is>
      </c>
      <c r="M8" s="43" t="inlineStr">
        <is>
          <t>$3,441</t>
        </is>
      </c>
      <c r="N8" s="43" t="inlineStr">
        <is>
          <t>$4,130</t>
        </is>
      </c>
      <c r="O8" s="41" t="inlineStr">
        <is>
          <t>$1,254</t>
        </is>
      </c>
      <c r="P8" s="53" t="inlineStr">
        <is>
          <t>Not Listed</t>
        </is>
      </c>
      <c r="Q8" s="43" t="inlineStr">
        <is>
          <t>$3,820</t>
        </is>
      </c>
      <c r="R8" s="43" t="inlineStr">
        <is>
          <t>$4,585</t>
        </is>
      </c>
      <c r="S8" s="43" t="inlineStr">
        <is>
          <t>$1,573</t>
        </is>
      </c>
      <c r="T8" s="43" t="inlineStr">
        <is>
          <t>Not Listed</t>
        </is>
      </c>
      <c r="U8" s="43" t="inlineStr">
        <is>
          <t>$4,129</t>
        </is>
      </c>
      <c r="V8" s="43" t="inlineStr">
        <is>
          <t>$4,955</t>
        </is>
      </c>
      <c r="W8" s="43" t="inlineStr">
        <is>
          <t>$1,818</t>
        </is>
      </c>
      <c r="X8" s="43" t="inlineStr">
        <is>
          <t>Not Listed</t>
        </is>
      </c>
      <c r="Y8" s="44" t="inlineStr">
        <is>
          <t>48</t>
        </is>
      </c>
      <c r="Z8" s="56" t="inlineStr">
        <is>
          <t>2001</t>
        </is>
      </c>
      <c r="AA8" s="43" t="inlineStr">
        <is>
          <t>0</t>
        </is>
      </c>
      <c r="AB8" s="136" t="inlineStr">
        <is>
          <t>Yes</t>
        </is>
      </c>
      <c r="AC8" s="136" t="inlineStr">
        <is>
          <t>No</t>
        </is>
      </c>
      <c r="AD8" s="136" t="inlineStr">
        <is>
          <t>No</t>
        </is>
      </c>
      <c r="AE8" s="136" t="inlineStr">
        <is>
          <t>No</t>
        </is>
      </c>
      <c r="AF8" s="136" t="inlineStr">
        <is>
          <t>No</t>
        </is>
      </c>
      <c r="AG8" s="136" t="inlineStr">
        <is>
          <t>HIGH</t>
        </is>
      </c>
      <c r="AH8" s="136" t="inlineStr">
        <is>
          <t>Affordable Comp #1: LIHTC property, 2001 vintage (0 yr diff), 48 units, 4.1 mi from subject. Same income-eligible renter pool.</t>
        </is>
      </c>
      <c r="AI8" s="136" t="inlineStr">
        <is>
          <t>HUD LIHTC Database (huduser.gov)</t>
        </is>
      </c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Mt. Zion Homess</t>
        </is>
      </c>
      <c r="D9" s="125" t="inlineStr">
        <is>
          <t>802 N. 22Nd St., Gracie St, N. 29Th St.</t>
        </is>
      </c>
      <c r="E9" s="125" t="inlineStr">
        <is>
          <t>Baton Rouge</t>
        </is>
      </c>
      <c r="F9" s="125" t="inlineStr">
        <is>
          <t>LA</t>
        </is>
      </c>
      <c r="G9" s="125" t="inlineStr">
        <is>
          <t>70802-0000</t>
        </is>
      </c>
      <c r="H9" s="125" t="inlineStr">
        <is>
          <t>1.3 mi</t>
        </is>
      </c>
      <c r="I9" s="125" t="inlineStr">
        <is>
          <t>$2,866</t>
        </is>
      </c>
      <c r="J9" s="125" t="inlineStr">
        <is>
          <t>$3,440</t>
        </is>
      </c>
      <c r="K9" s="85" t="inlineStr">
        <is>
          <t>$916</t>
        </is>
      </c>
      <c r="L9" s="86" t="inlineStr">
        <is>
          <t>Not Listed</t>
        </is>
      </c>
      <c r="M9" s="128" t="inlineStr">
        <is>
          <t>$3,441</t>
        </is>
      </c>
      <c r="N9" s="128" t="inlineStr">
        <is>
          <t>$4,130</t>
        </is>
      </c>
      <c r="O9" s="85" t="inlineStr">
        <is>
          <t>$1,254</t>
        </is>
      </c>
      <c r="P9" s="86" t="inlineStr">
        <is>
          <t>Not Listed</t>
        </is>
      </c>
      <c r="Q9" s="128" t="inlineStr">
        <is>
          <t>$3,820</t>
        </is>
      </c>
      <c r="R9" s="128" t="inlineStr">
        <is>
          <t>$4,585</t>
        </is>
      </c>
      <c r="S9" s="128" t="inlineStr">
        <is>
          <t>$1,573</t>
        </is>
      </c>
      <c r="T9" s="128" t="inlineStr">
        <is>
          <t>Not Listed</t>
        </is>
      </c>
      <c r="U9" s="128" t="inlineStr">
        <is>
          <t>$4,129</t>
        </is>
      </c>
      <c r="V9" s="128" t="inlineStr">
        <is>
          <t>$4,955</t>
        </is>
      </c>
      <c r="W9" s="128" t="inlineStr">
        <is>
          <t>$1,818</t>
        </is>
      </c>
      <c r="X9" s="128" t="inlineStr">
        <is>
          <t>Not Listed</t>
        </is>
      </c>
      <c r="Y9" s="129" t="inlineStr">
        <is>
          <t>31</t>
        </is>
      </c>
      <c r="Z9" s="130" t="inlineStr">
        <is>
          <t>2001</t>
        </is>
      </c>
      <c r="AA9" s="128" t="inlineStr">
        <is>
          <t>0</t>
        </is>
      </c>
      <c r="AB9" s="136" t="inlineStr">
        <is>
          <t>Yes</t>
        </is>
      </c>
      <c r="AC9" s="136" t="inlineStr">
        <is>
          <t>No</t>
        </is>
      </c>
      <c r="AD9" s="136" t="inlineStr">
        <is>
          <t>No</t>
        </is>
      </c>
      <c r="AE9" s="136" t="inlineStr">
        <is>
          <t>No</t>
        </is>
      </c>
      <c r="AF9" s="136" t="inlineStr">
        <is>
          <t>No</t>
        </is>
      </c>
      <c r="AG9" s="136" t="inlineStr">
        <is>
          <t>HIGH</t>
        </is>
      </c>
      <c r="AH9" s="136" t="inlineStr">
        <is>
          <t>Affordable Comp #2: LIHTC property, 2001 vintage (0 yr diff), 31 units, 1.3 mi from subject. Same income-eligible renter pool.</t>
        </is>
      </c>
      <c r="AI9" s="136" t="inlineStr">
        <is>
          <t>HUD LIHTC Database (huduser.gov)</t>
        </is>
      </c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Restoration Baton Rouge Ii</t>
        </is>
      </c>
      <c r="D10" s="107" t="inlineStr">
        <is>
          <t>2906 Government Street</t>
        </is>
      </c>
      <c r="E10" s="107" t="inlineStr">
        <is>
          <t>Baton Rouge</t>
        </is>
      </c>
      <c r="F10" s="107" t="inlineStr">
        <is>
          <t>LA</t>
        </is>
      </c>
      <c r="G10" s="107" t="inlineStr">
        <is>
          <t>70806-0000</t>
        </is>
      </c>
      <c r="H10" s="107" t="inlineStr">
        <is>
          <t>1.8 mi</t>
        </is>
      </c>
      <c r="I10" s="107" t="inlineStr">
        <is>
          <t>$2,866</t>
        </is>
      </c>
      <c r="J10" s="107" t="inlineStr">
        <is>
          <t>$3,440</t>
        </is>
      </c>
      <c r="K10" s="80" t="inlineStr">
        <is>
          <t>$916</t>
        </is>
      </c>
      <c r="L10" s="81" t="inlineStr">
        <is>
          <t>Not Listed</t>
        </is>
      </c>
      <c r="M10" s="108" t="inlineStr">
        <is>
          <t>$3,441</t>
        </is>
      </c>
      <c r="N10" s="108" t="inlineStr">
        <is>
          <t>$4,130</t>
        </is>
      </c>
      <c r="O10" s="80" t="inlineStr">
        <is>
          <t>$1,254</t>
        </is>
      </c>
      <c r="P10" s="81" t="inlineStr">
        <is>
          <t>Not Listed</t>
        </is>
      </c>
      <c r="Q10" s="108" t="inlineStr">
        <is>
          <t>$3,820</t>
        </is>
      </c>
      <c r="R10" s="108" t="inlineStr">
        <is>
          <t>$4,585</t>
        </is>
      </c>
      <c r="S10" s="108" t="inlineStr">
        <is>
          <t>$1,573</t>
        </is>
      </c>
      <c r="T10" s="108" t="inlineStr">
        <is>
          <t>Not Listed</t>
        </is>
      </c>
      <c r="U10" s="108" t="inlineStr">
        <is>
          <t>$4,129</t>
        </is>
      </c>
      <c r="V10" s="108" t="inlineStr">
        <is>
          <t>$4,955</t>
        </is>
      </c>
      <c r="W10" s="108" t="inlineStr">
        <is>
          <t>$1,818</t>
        </is>
      </c>
      <c r="X10" s="108" t="inlineStr">
        <is>
          <t>Not Listed</t>
        </is>
      </c>
      <c r="Y10" s="109" t="inlineStr">
        <is>
          <t>36</t>
        </is>
      </c>
      <c r="Z10" s="110" t="inlineStr">
        <is>
          <t>2002</t>
        </is>
      </c>
      <c r="AA10" s="111" t="inlineStr">
        <is>
          <t>1</t>
        </is>
      </c>
      <c r="AB10" s="134" t="inlineStr">
        <is>
          <t>Yes</t>
        </is>
      </c>
      <c r="AC10" s="136" t="inlineStr">
        <is>
          <t>No</t>
        </is>
      </c>
      <c r="AD10" s="136" t="inlineStr">
        <is>
          <t>No</t>
        </is>
      </c>
      <c r="AE10" s="136" t="inlineStr">
        <is>
          <t>No</t>
        </is>
      </c>
      <c r="AF10" s="136" t="inlineStr">
        <is>
          <t>No</t>
        </is>
      </c>
      <c r="AG10" s="136" t="inlineStr">
        <is>
          <t>HIGH</t>
        </is>
      </c>
      <c r="AH10" s="136" t="inlineStr">
        <is>
          <t>Affordable Comp #3: LIHTC property, 2002 vintage (1 yr diff), 36 units, 1.8 mi from subject. Same income-eligible renter pool.</t>
        </is>
      </c>
      <c r="AI10" s="136" t="inlineStr">
        <is>
          <t>HUD LIHTC Database (huduser.gov)</t>
        </is>
      </c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Restoration Baton Rouge I</t>
        </is>
      </c>
      <c r="D11" s="95" t="inlineStr">
        <is>
          <t>605 North 33Rd Street</t>
        </is>
      </c>
      <c r="E11" s="95" t="inlineStr">
        <is>
          <t>Baton Rouge</t>
        </is>
      </c>
      <c r="F11" s="95" t="inlineStr">
        <is>
          <t>LA</t>
        </is>
      </c>
      <c r="G11" s="95" t="inlineStr">
        <is>
          <t>70802-0000</t>
        </is>
      </c>
      <c r="H11" s="95" t="inlineStr">
        <is>
          <t>1.9 mi</t>
        </is>
      </c>
      <c r="I11" s="95" t="inlineStr">
        <is>
          <t>$2,866</t>
        </is>
      </c>
      <c r="J11" s="95" t="inlineStr">
        <is>
          <t>$3,440</t>
        </is>
      </c>
      <c r="K11" s="39" t="inlineStr">
        <is>
          <t>$916</t>
        </is>
      </c>
      <c r="L11" s="53" t="inlineStr">
        <is>
          <t>Not Listed</t>
        </is>
      </c>
      <c r="M11" s="96" t="inlineStr">
        <is>
          <t>$3,441</t>
        </is>
      </c>
      <c r="N11" s="96" t="inlineStr">
        <is>
          <t>$4,130</t>
        </is>
      </c>
      <c r="O11" s="39" t="inlineStr">
        <is>
          <t>$1,254</t>
        </is>
      </c>
      <c r="P11" s="53" t="inlineStr">
        <is>
          <t>Not Listed</t>
        </is>
      </c>
      <c r="Q11" s="96" t="inlineStr">
        <is>
          <t>$3,820</t>
        </is>
      </c>
      <c r="R11" s="96" t="inlineStr">
        <is>
          <t>$4,585</t>
        </is>
      </c>
      <c r="S11" s="96" t="inlineStr">
        <is>
          <t>$1,573</t>
        </is>
      </c>
      <c r="T11" s="96" t="inlineStr">
        <is>
          <t>Not Listed</t>
        </is>
      </c>
      <c r="U11" s="96" t="inlineStr">
        <is>
          <t>$4,129</t>
        </is>
      </c>
      <c r="V11" s="96" t="inlineStr">
        <is>
          <t>$4,955</t>
        </is>
      </c>
      <c r="W11" s="96" t="inlineStr">
        <is>
          <t>$1,818</t>
        </is>
      </c>
      <c r="X11" s="96" t="inlineStr">
        <is>
          <t>Not Listed</t>
        </is>
      </c>
      <c r="Y11" s="45" t="inlineStr">
        <is>
          <t>32</t>
        </is>
      </c>
      <c r="Z11" s="97" t="inlineStr">
        <is>
          <t>2002</t>
        </is>
      </c>
      <c r="AA11" s="113" t="inlineStr">
        <is>
          <t>1</t>
        </is>
      </c>
      <c r="AB11" s="134" t="inlineStr">
        <is>
          <t>Yes</t>
        </is>
      </c>
      <c r="AC11" s="136" t="inlineStr">
        <is>
          <t>No</t>
        </is>
      </c>
      <c r="AD11" s="136" t="inlineStr">
        <is>
          <t>No</t>
        </is>
      </c>
      <c r="AE11" s="136" t="inlineStr">
        <is>
          <t>No</t>
        </is>
      </c>
      <c r="AF11" s="136" t="inlineStr">
        <is>
          <t>No</t>
        </is>
      </c>
      <c r="AG11" s="136" t="inlineStr">
        <is>
          <t>HIGH</t>
        </is>
      </c>
      <c r="AH11" s="136" t="inlineStr">
        <is>
          <t>Affordable Comp #4: LIHTC property, 2002 vintage (1 yr diff), 32 units, 1.9 mi from subject. Same income-eligible renter pool.</t>
        </is>
      </c>
      <c r="AI11" s="136" t="inlineStr">
        <is>
          <t>HUD LIHTC Database (huduser.gov)</t>
        </is>
      </c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37.5" customHeight="1" s="131">
      <c r="A12" s="114" t="inlineStr">
        <is>
          <t>1</t>
        </is>
      </c>
      <c r="B12" s="70" t="inlineStr">
        <is>
          <t>MARKET RATE</t>
        </is>
      </c>
      <c r="C12" s="67" t="inlineStr">
        <is>
          <t>Sienna Lake Apartments</t>
        </is>
      </c>
      <c r="D12" s="98" t="inlineStr">
        <is>
          <t>5555 Sienna Lakes Dr, Baton Rouge, LA 70820</t>
        </is>
      </c>
      <c r="E12" s="98" t="inlineStr">
        <is>
          <t>Baton Rouge</t>
        </is>
      </c>
      <c r="F12" s="98" t="inlineStr">
        <is>
          <t>LA</t>
        </is>
      </c>
      <c r="G12" s="98" t="n"/>
      <c r="H12" s="98" t="inlineStr">
        <is>
          <t>5.0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$916</t>
        </is>
      </c>
      <c r="L12" s="53" t="n">
        <v>925</v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$1,254</t>
        </is>
      </c>
      <c r="P12" s="53" t="n">
        <v>1175</v>
      </c>
      <c r="Q12" s="99" t="inlineStr">
        <is>
          <t>N/A (Market Rate)</t>
        </is>
      </c>
      <c r="R12" s="99" t="inlineStr">
        <is>
          <t>N/A (Market Rate)</t>
        </is>
      </c>
      <c r="S12" s="99" t="inlineStr">
        <is>
          <t>$1,573</t>
        </is>
      </c>
      <c r="T12" s="99" t="n">
        <v>1450</v>
      </c>
      <c r="U12" s="99" t="inlineStr">
        <is>
          <t>N/A (Market Rate)</t>
        </is>
      </c>
      <c r="V12" s="99" t="inlineStr">
        <is>
          <t>N/A (Market Rate)</t>
        </is>
      </c>
      <c r="W12" s="99" t="inlineStr">
        <is>
          <t>$1,818</t>
        </is>
      </c>
      <c r="X12" s="99" t="inlineStr">
        <is>
          <t>Not Listed</t>
        </is>
      </c>
      <c r="Y12" s="46" t="inlineStr">
        <is>
          <t>240</t>
        </is>
      </c>
      <c r="Z12" s="100" t="inlineStr">
        <is>
          <t>2001</t>
        </is>
      </c>
      <c r="AA12" s="115" t="inlineStr">
        <is>
          <t>0</t>
        </is>
      </c>
      <c r="AB12" s="134" t="inlineStr">
        <is>
          <t>Varies</t>
        </is>
      </c>
      <c r="AC12" s="136" t="inlineStr">
        <is>
          <t>Varies</t>
        </is>
      </c>
      <c r="AD12" s="136" t="inlineStr">
        <is>
          <t>Varies</t>
        </is>
      </c>
      <c r="AE12" s="136" t="inlineStr">
        <is>
          <t>Varies</t>
        </is>
      </c>
      <c r="AF12" s="136" t="inlineStr">
        <is>
          <t>Varies</t>
        </is>
      </c>
      <c r="AG12" s="136" t="inlineStr">
        <is>
          <t>HIGH</t>
        </is>
      </c>
      <c r="AH12" s="136" t="inlineStr">
        <is>
          <t>Market Rate Comp #1: No income restrictions, 2001 vintage (0 yr diff), 240 units, 5.0 mi from subject. Shows market-rate rents vs. affordable housing discount.</t>
        </is>
      </c>
      <c r="AI12" s="136" t="inlineStr">
        <is>
          <t>https://www.rentcafe.com/apartments-for-rent/us/la/baton-rouge/sienna-lake/</t>
        </is>
      </c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inlineStr">
        <is>
          <t>2</t>
        </is>
      </c>
      <c r="B13" s="71" t="inlineStr">
        <is>
          <t>MARKET RATE</t>
        </is>
      </c>
      <c r="C13" s="68" t="inlineStr">
        <is>
          <t>Willow Creek Apartments</t>
        </is>
      </c>
      <c r="D13" s="101" t="inlineStr">
        <is>
          <t>9800 Airline Hwy, Baton Rouge, LA 70816</t>
        </is>
      </c>
      <c r="E13" s="101" t="inlineStr">
        <is>
          <t>Baton Rouge</t>
        </is>
      </c>
      <c r="F13" s="101" t="inlineStr">
        <is>
          <t>LA</t>
        </is>
      </c>
      <c r="G13" s="101" t="n"/>
      <c r="H13" s="101" t="inlineStr">
        <is>
          <t>7.0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$916</t>
        </is>
      </c>
      <c r="L13" s="53" t="n">
        <v>895</v>
      </c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$1,254</t>
        </is>
      </c>
      <c r="P13" s="53" t="n">
        <v>1125</v>
      </c>
      <c r="Q13" s="102" t="inlineStr">
        <is>
          <t>N/A (Market Rate)</t>
        </is>
      </c>
      <c r="R13" s="102" t="inlineStr">
        <is>
          <t>N/A (Market Rate)</t>
        </is>
      </c>
      <c r="S13" s="102" t="inlineStr">
        <is>
          <t>$1,573</t>
        </is>
      </c>
      <c r="T13" s="102" t="n">
        <v>1400</v>
      </c>
      <c r="U13" s="102" t="inlineStr">
        <is>
          <t>N/A (Market Rate)</t>
        </is>
      </c>
      <c r="V13" s="102" t="inlineStr">
        <is>
          <t>N/A (Market Rate)</t>
        </is>
      </c>
      <c r="W13" s="102" t="inlineStr">
        <is>
          <t>$1,818</t>
        </is>
      </c>
      <c r="X13" s="102" t="inlineStr">
        <is>
          <t>Not Listed</t>
        </is>
      </c>
      <c r="Y13" s="47" t="inlineStr">
        <is>
          <t>180</t>
        </is>
      </c>
      <c r="Z13" s="103" t="inlineStr">
        <is>
          <t>1999</t>
        </is>
      </c>
      <c r="AA13" s="117" t="inlineStr">
        <is>
          <t>2</t>
        </is>
      </c>
      <c r="AB13" s="134" t="inlineStr">
        <is>
          <t>Varies</t>
        </is>
      </c>
      <c r="AC13" s="136" t="inlineStr">
        <is>
          <t>Varies</t>
        </is>
      </c>
      <c r="AD13" s="136" t="inlineStr">
        <is>
          <t>Varies</t>
        </is>
      </c>
      <c r="AE13" s="136" t="inlineStr">
        <is>
          <t>Varies</t>
        </is>
      </c>
      <c r="AF13" s="136" t="inlineStr">
        <is>
          <t>Varies</t>
        </is>
      </c>
      <c r="AG13" s="136" t="inlineStr">
        <is>
          <t>HIGH</t>
        </is>
      </c>
      <c r="AH13" s="136" t="inlineStr">
        <is>
          <t>Market Rate Comp #2: No income restrictions, 1999 vintage (2 yr diff), 180 units, 7.0 mi from subject. Shows market-rate rents vs. affordable housing discount.</t>
        </is>
      </c>
      <c r="AI13" s="136" t="inlineStr">
        <is>
          <t>https://www.rentcafe.com/apartments-for-rent/us/la/baton-rouge/</t>
        </is>
      </c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inlineStr">
        <is>
          <t>3</t>
        </is>
      </c>
      <c r="B14" s="69" t="inlineStr">
        <is>
          <t>MARKET RATE</t>
        </is>
      </c>
      <c r="C14" s="66" t="inlineStr">
        <is>
          <t>The Preserve At Harveston</t>
        </is>
      </c>
      <c r="D14" s="95" t="inlineStr">
        <is>
          <t>18000 Harveston Dr, Baton Rouge, LA 70816</t>
        </is>
      </c>
      <c r="E14" s="95" t="inlineStr">
        <is>
          <t>Baton Rouge</t>
        </is>
      </c>
      <c r="F14" s="95" t="inlineStr">
        <is>
          <t>LA</t>
        </is>
      </c>
      <c r="G14" s="95" t="n"/>
      <c r="H14" s="95" t="inlineStr">
        <is>
          <t>8.8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$916</t>
        </is>
      </c>
      <c r="L14" s="53" t="n">
        <v>950</v>
      </c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$1,254</t>
        </is>
      </c>
      <c r="P14" s="53" t="n">
        <v>1200</v>
      </c>
      <c r="Q14" s="96" t="inlineStr">
        <is>
          <t>N/A (Market Rate)</t>
        </is>
      </c>
      <c r="R14" s="96" t="inlineStr">
        <is>
          <t>N/A (Market Rate)</t>
        </is>
      </c>
      <c r="S14" s="96" t="inlineStr">
        <is>
          <t>$1,573</t>
        </is>
      </c>
      <c r="T14" s="96" t="n">
        <v>1475</v>
      </c>
      <c r="U14" s="96" t="inlineStr">
        <is>
          <t>N/A (Market Rate)</t>
        </is>
      </c>
      <c r="V14" s="96" t="inlineStr">
        <is>
          <t>N/A (Market Rate)</t>
        </is>
      </c>
      <c r="W14" s="96" t="inlineStr">
        <is>
          <t>$1,818</t>
        </is>
      </c>
      <c r="X14" s="96" t="inlineStr">
        <is>
          <t>Not Listed</t>
        </is>
      </c>
      <c r="Y14" s="45" t="inlineStr">
        <is>
          <t>200</t>
        </is>
      </c>
      <c r="Z14" s="97" t="inlineStr">
        <is>
          <t>2002</t>
        </is>
      </c>
      <c r="AA14" s="113" t="inlineStr">
        <is>
          <t>1</t>
        </is>
      </c>
      <c r="AB14" s="134" t="inlineStr">
        <is>
          <t>Varies</t>
        </is>
      </c>
      <c r="AC14" s="136" t="inlineStr">
        <is>
          <t>Varies</t>
        </is>
      </c>
      <c r="AD14" s="136" t="inlineStr">
        <is>
          <t>Varies</t>
        </is>
      </c>
      <c r="AE14" s="136" t="inlineStr">
        <is>
          <t>Varies</t>
        </is>
      </c>
      <c r="AF14" s="136" t="inlineStr">
        <is>
          <t>Varies</t>
        </is>
      </c>
      <c r="AG14" s="136" t="inlineStr">
        <is>
          <t>HIGH</t>
        </is>
      </c>
      <c r="AH14" s="136" t="inlineStr">
        <is>
          <t>Market Rate Comp #3: No income restrictions, 2002 vintage (1 yr diff), 200 units, 8.8 mi from subject. Shows market-rate rents vs. affordable housing discount.</t>
        </is>
      </c>
      <c r="AI14" s="136" t="inlineStr">
        <is>
          <t>https://www.rentcafe.com/apartments-for-rent/us/la/baton-rouge/the-preserve-at-harveston/</t>
        </is>
      </c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inlineStr">
        <is>
          <t>4</t>
        </is>
      </c>
      <c r="B15" s="69" t="inlineStr">
        <is>
          <t>MARKET RATE</t>
        </is>
      </c>
      <c r="C15" s="66" t="inlineStr">
        <is>
          <t>Copper Mill Apartments</t>
        </is>
      </c>
      <c r="D15" s="95" t="inlineStr">
        <is>
          <t>10000 Copper Mill Dr, Baton Rouge, LA 70818</t>
        </is>
      </c>
      <c r="E15" s="95" t="inlineStr">
        <is>
          <t>Baton Rouge</t>
        </is>
      </c>
      <c r="F15" s="95" t="inlineStr">
        <is>
          <t>LA</t>
        </is>
      </c>
      <c r="G15" s="95" t="n"/>
      <c r="H15" s="95" t="inlineStr">
        <is>
          <t>10.2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$916</t>
        </is>
      </c>
      <c r="L15" s="53" t="n">
        <v>925</v>
      </c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$1,254</t>
        </is>
      </c>
      <c r="P15" s="53" t="n">
        <v>1150</v>
      </c>
      <c r="Q15" s="96" t="inlineStr">
        <is>
          <t>N/A (Market Rate)</t>
        </is>
      </c>
      <c r="R15" s="96" t="inlineStr">
        <is>
          <t>N/A (Market Rate)</t>
        </is>
      </c>
      <c r="S15" s="96" t="inlineStr">
        <is>
          <t>$1,573</t>
        </is>
      </c>
      <c r="T15" s="96" t="n">
        <v>1425</v>
      </c>
      <c r="U15" s="96" t="inlineStr">
        <is>
          <t>N/A (Market Rate)</t>
        </is>
      </c>
      <c r="V15" s="96" t="inlineStr">
        <is>
          <t>N/A (Market Rate)</t>
        </is>
      </c>
      <c r="W15" s="96" t="inlineStr">
        <is>
          <t>$1,818</t>
        </is>
      </c>
      <c r="X15" s="96" t="inlineStr">
        <is>
          <t>Not Listed</t>
        </is>
      </c>
      <c r="Y15" s="45" t="inlineStr">
        <is>
          <t>160</t>
        </is>
      </c>
      <c r="Z15" s="97" t="inlineStr">
        <is>
          <t>2000</t>
        </is>
      </c>
      <c r="AA15" s="113" t="inlineStr">
        <is>
          <t>1</t>
        </is>
      </c>
      <c r="AB15" s="134" t="inlineStr">
        <is>
          <t>Varies</t>
        </is>
      </c>
      <c r="AC15" s="136" t="inlineStr">
        <is>
          <t>Varies</t>
        </is>
      </c>
      <c r="AD15" s="136" t="inlineStr">
        <is>
          <t>Varies</t>
        </is>
      </c>
      <c r="AE15" s="136" t="inlineStr">
        <is>
          <t>Varies</t>
        </is>
      </c>
      <c r="AF15" s="136" t="inlineStr">
        <is>
          <t>Varies</t>
        </is>
      </c>
      <c r="AG15" s="136" t="inlineStr">
        <is>
          <t>HIGH</t>
        </is>
      </c>
      <c r="AH15" s="136" t="inlineStr">
        <is>
          <t>Market Rate Comp #4: No income restrictions, 2000 vintage (1 yr diff), 160 units, 10.2 mi from subject. Shows market-rate rents vs. affordable housing discount.</t>
        </is>
      </c>
      <c r="AI15" s="136" t="inlineStr">
        <is>
          <t>https://www.rentcafe.com/apartments-for-rent/us/la/baton-rouge/copper-mill/</t>
        </is>
      </c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inlineStr">
        <is>
          <t>—</t>
        </is>
      </c>
      <c r="B16" s="82" t="inlineStr">
        <is>
          <t>BENCHMARK</t>
        </is>
      </c>
      <c r="C16" s="119" t="inlineStr">
        <is>
          <t>FY2026 FMR — Baton Rouge MSA</t>
        </is>
      </c>
      <c r="D16" s="120" t="inlineStr">
        <is>
          <t>N/A</t>
        </is>
      </c>
      <c r="E16" s="120" t="inlineStr">
        <is>
          <t>Baton Rouge</t>
        </is>
      </c>
      <c r="F16" s="120" t="inlineStr">
        <is>
          <t>LA</t>
        </is>
      </c>
      <c r="G16" s="120" t="inlineStr">
        <is>
          <t>N/A</t>
        </is>
      </c>
      <c r="H16" s="120" t="inlineStr">
        <is>
          <t>N/A</t>
        </is>
      </c>
      <c r="I16" s="120" t="inlineStr">
        <is>
          <t>$916</t>
        </is>
      </c>
      <c r="J16" s="120" t="inlineStr">
        <is>
          <t>$916</t>
        </is>
      </c>
      <c r="K16" s="121" t="inlineStr">
        <is>
          <t>$916</t>
        </is>
      </c>
      <c r="L16" s="83" t="inlineStr">
        <is>
          <t>N/A</t>
        </is>
      </c>
      <c r="M16" s="122" t="inlineStr">
        <is>
          <t>$1,254</t>
        </is>
      </c>
      <c r="N16" s="122" t="inlineStr">
        <is>
          <t>$1,254</t>
        </is>
      </c>
      <c r="O16" s="121" t="inlineStr">
        <is>
          <t>$1,254</t>
        </is>
      </c>
      <c r="P16" s="83" t="inlineStr">
        <is>
          <t>N/A</t>
        </is>
      </c>
      <c r="Q16" s="122" t="inlineStr">
        <is>
          <t>$1,573</t>
        </is>
      </c>
      <c r="R16" s="122" t="inlineStr">
        <is>
          <t>$1,573</t>
        </is>
      </c>
      <c r="S16" s="122" t="inlineStr">
        <is>
          <t>$1,573</t>
        </is>
      </c>
      <c r="T16" s="122" t="inlineStr">
        <is>
          <t>N/A</t>
        </is>
      </c>
      <c r="U16" s="122" t="inlineStr">
        <is>
          <t>$1,818</t>
        </is>
      </c>
      <c r="V16" s="122" t="inlineStr">
        <is>
          <t>$1,818</t>
        </is>
      </c>
      <c r="W16" s="122" t="inlineStr">
        <is>
          <t>$1,818</t>
        </is>
      </c>
      <c r="X16" s="122" t="inlineStr">
        <is>
          <t>N/A</t>
        </is>
      </c>
      <c r="Y16" s="84" t="inlineStr">
        <is>
          <t>N/A</t>
        </is>
      </c>
      <c r="Z16" s="123" t="inlineStr">
        <is>
          <t>N/A</t>
        </is>
      </c>
      <c r="AA16" s="124" t="inlineStr">
        <is>
          <t>N/A</t>
        </is>
      </c>
      <c r="AB16" s="134" t="inlineStr">
        <is>
          <t>N/A</t>
        </is>
      </c>
      <c r="AC16" s="136" t="inlineStr">
        <is>
          <t>N/A</t>
        </is>
      </c>
      <c r="AD16" s="136" t="inlineStr">
        <is>
          <t>N/A</t>
        </is>
      </c>
      <c r="AE16" s="136" t="inlineStr">
        <is>
          <t>N/A</t>
        </is>
      </c>
      <c r="AF16" s="136" t="inlineStr">
        <is>
          <t>N/A</t>
        </is>
      </c>
      <c r="AG16" s="136" t="inlineStr">
        <is>
          <t>BENCHMARK</t>
        </is>
      </c>
      <c r="AH16" s="136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136" t="inlineStr">
        <is>
          <t>HUD FMR Database (huduser.gov)</t>
        </is>
      </c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inlineStr">
        <is>
          <t>—</t>
        </is>
      </c>
      <c r="B17" s="88" t="inlineStr">
        <is>
          <t>BENCHMARK</t>
        </is>
      </c>
      <c r="C17" s="89" t="inlineStr">
        <is>
          <t>Metro Market Avg — Baton Rouge</t>
        </is>
      </c>
      <c r="D17" s="87" t="inlineStr">
        <is>
          <t>N/A</t>
        </is>
      </c>
      <c r="E17" s="87" t="inlineStr">
        <is>
          <t>Baton Rouge</t>
        </is>
      </c>
      <c r="F17" s="87" t="inlineStr">
        <is>
          <t>LA</t>
        </is>
      </c>
      <c r="G17" s="87" t="inlineStr">
        <is>
          <t>N/A</t>
        </is>
      </c>
      <c r="H17" s="87" t="inlineStr">
        <is>
          <t>N/A</t>
        </is>
      </c>
      <c r="I17" s="87" t="inlineStr">
        <is>
          <t>$1,007</t>
        </is>
      </c>
      <c r="J17" s="87" t="inlineStr">
        <is>
          <t>$1,007</t>
        </is>
      </c>
      <c r="K17" s="90" t="inlineStr">
        <is>
          <t>$1,007</t>
        </is>
      </c>
      <c r="L17" s="91" t="inlineStr">
        <is>
          <t>N/A</t>
        </is>
      </c>
      <c r="M17" s="92" t="inlineStr">
        <is>
          <t>$1,379</t>
        </is>
      </c>
      <c r="N17" s="92" t="inlineStr">
        <is>
          <t>$1,379</t>
        </is>
      </c>
      <c r="O17" s="90" t="inlineStr">
        <is>
          <t>$1,379</t>
        </is>
      </c>
      <c r="P17" s="91" t="inlineStr">
        <is>
          <t>N/A</t>
        </is>
      </c>
      <c r="Q17" s="92" t="inlineStr">
        <is>
          <t>$1,730</t>
        </is>
      </c>
      <c r="R17" s="92" t="inlineStr">
        <is>
          <t>$1,730</t>
        </is>
      </c>
      <c r="S17" s="92" t="inlineStr">
        <is>
          <t>$1,730</t>
        </is>
      </c>
      <c r="T17" s="92" t="inlineStr">
        <is>
          <t>N/A</t>
        </is>
      </c>
      <c r="U17" s="92" t="inlineStr">
        <is>
          <t>$1,999</t>
        </is>
      </c>
      <c r="V17" s="92" t="inlineStr">
        <is>
          <t>$1,999</t>
        </is>
      </c>
      <c r="W17" s="92" t="inlineStr">
        <is>
          <t>$1,999</t>
        </is>
      </c>
      <c r="X17" s="92" t="inlineStr">
        <is>
          <t>N/A</t>
        </is>
      </c>
      <c r="Y17" s="93" t="inlineStr">
        <is>
          <t>N/A</t>
        </is>
      </c>
      <c r="Z17" s="94" t="inlineStr">
        <is>
          <t>N/A</t>
        </is>
      </c>
      <c r="AA17" s="92" t="inlineStr">
        <is>
          <t>N/A</t>
        </is>
      </c>
      <c r="AB17" s="136" t="inlineStr">
        <is>
          <t>N/A</t>
        </is>
      </c>
      <c r="AC17" s="136" t="inlineStr">
        <is>
          <t>N/A</t>
        </is>
      </c>
      <c r="AD17" s="136" t="inlineStr">
        <is>
          <t>N/A</t>
        </is>
      </c>
      <c r="AE17" s="136" t="inlineStr">
        <is>
          <t>N/A</t>
        </is>
      </c>
      <c r="AF17" s="136" t="inlineStr">
        <is>
          <t>N/A</t>
        </is>
      </c>
      <c r="AG17" s="136" t="inlineStr">
        <is>
          <t>BENCHMARK</t>
        </is>
      </c>
      <c r="AH17" s="136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136" t="inlineStr">
        <is>
          <t>HUD FMR + Market Estimate</t>
        </is>
      </c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Height="1" s="131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Format="1" customHeight="1" s="2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Format="1" customHeight="1" s="2">
      <c r="A25" s="372" t="n"/>
      <c r="B25" s="201" t="inlineStr">
        <is>
          <t>1BD</t>
        </is>
      </c>
      <c r="C25" s="194" t="n"/>
      <c r="D25" s="200" t="n">
        <v>924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Format="1" customHeight="1" s="2">
      <c r="A26" s="372" t="n"/>
      <c r="B26" s="201" t="inlineStr">
        <is>
          <t>2BD</t>
        </is>
      </c>
      <c r="C26" s="194" t="n"/>
      <c r="D26" s="200" t="n">
        <v>1162</v>
      </c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24.75" customFormat="1" customHeight="1" s="2">
      <c r="A27" s="369" t="n"/>
      <c r="B27" s="201" t="inlineStr">
        <is>
          <t>3BD</t>
        </is>
      </c>
      <c r="C27" s="194" t="n"/>
      <c r="D27" s="200" t="n">
        <v>1438</v>
      </c>
      <c r="E27" s="195" t="n"/>
      <c r="F27" s="183" t="n"/>
      <c r="G27" s="183" t="n"/>
      <c r="H27" s="183" t="n"/>
      <c r="I27" s="183" t="n"/>
      <c r="J27" s="183" t="n"/>
      <c r="K27" s="302" t="n"/>
      <c r="L27" s="302" t="n"/>
      <c r="M27" s="302" t="n"/>
      <c r="N27" s="302" t="n"/>
      <c r="O27" s="343" t="n"/>
      <c r="P27" s="302" t="n"/>
      <c r="Q27" s="302" t="n"/>
      <c r="R27" s="302" t="n"/>
      <c r="S27" s="302" t="n"/>
      <c r="T27" s="302" t="n"/>
      <c r="U27" s="302" t="n"/>
      <c r="V27" s="302" t="n"/>
      <c r="W27" s="302" t="n"/>
      <c r="X27" s="302" t="n"/>
      <c r="Y27" s="302" t="n"/>
      <c r="Z27" s="302" t="n"/>
      <c r="AA27" s="353" t="n"/>
      <c r="AB27" s="302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24.75" customHeight="1" s="131">
      <c r="A28" s="382" t="n"/>
      <c r="B28" s="201" t="inlineStr">
        <is>
          <t>4BD</t>
        </is>
      </c>
      <c r="C28" s="194" t="n"/>
      <c r="D28" s="200" t="n"/>
      <c r="E28" s="195" t="n"/>
      <c r="F28" s="183" t="n"/>
      <c r="G28" s="183" t="n"/>
      <c r="H28" s="183" t="n"/>
      <c r="I28" s="183" t="n"/>
      <c r="J28" s="183" t="n"/>
      <c r="K28" s="302" t="n"/>
      <c r="L28" s="302" t="n"/>
      <c r="M28" s="302" t="n"/>
      <c r="N28" s="302" t="n"/>
      <c r="O28" s="343" t="n"/>
      <c r="P28" s="302" t="n"/>
      <c r="Q28" s="302" t="n"/>
      <c r="R28" s="302" t="n"/>
      <c r="S28" s="302" t="n"/>
      <c r="T28" s="302" t="n"/>
      <c r="U28" s="302" t="n"/>
      <c r="V28" s="302" t="n"/>
      <c r="W28" s="302" t="n"/>
      <c r="X28" s="302" t="n"/>
      <c r="Y28" s="302" t="n"/>
      <c r="Z28" s="302" t="n"/>
      <c r="AA28" s="353" t="n"/>
      <c r="AB28" s="302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8.1" customHeight="1" s="131">
      <c r="A29" s="372" t="n"/>
      <c r="B29" s="371" t="n"/>
      <c r="C29" s="371" t="n"/>
      <c r="D29" s="371" t="n"/>
      <c r="E29" s="371" t="n"/>
      <c r="F29" s="371" t="n"/>
      <c r="G29" s="369" t="n"/>
      <c r="H29" s="369" t="n"/>
      <c r="I29" s="369" t="n"/>
      <c r="J29" s="369" t="n"/>
      <c r="K29" s="369" t="n"/>
      <c r="L29" s="134" t="n"/>
      <c r="M29" s="134" t="n"/>
      <c r="N29" s="134" t="n"/>
      <c r="O29" s="134" t="n"/>
      <c r="P29" s="134" t="n"/>
      <c r="Q29" s="134" t="n"/>
      <c r="R29" s="134" t="n"/>
      <c r="S29" s="134" t="n"/>
      <c r="T29" s="134" t="n"/>
      <c r="U29" s="134" t="n"/>
      <c r="V29" s="134" t="n"/>
      <c r="W29" s="134" t="n"/>
      <c r="X29" s="134" t="n"/>
      <c r="Y29" s="134" t="n"/>
      <c r="Z29" s="135" t="n"/>
      <c r="AA29" s="134" t="n"/>
      <c r="AB29" s="134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24.75" customFormat="1" customHeight="1" s="2">
      <c r="A30" s="302" t="n"/>
      <c r="B30" s="211" t="inlineStr">
        <is>
          <t>PMTS — Vouchers / FMR / UAP / NET</t>
        </is>
      </c>
      <c r="G30" s="365" t="n"/>
      <c r="H30" s="183" t="n"/>
      <c r="I30" s="183" t="n"/>
      <c r="J30" s="183" t="n"/>
      <c r="K30" s="302" t="n"/>
      <c r="L30" s="302" t="n"/>
      <c r="M30" s="302" t="n"/>
      <c r="N30" s="302" t="n"/>
      <c r="O30" s="302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15.95" customFormat="1" customHeight="1" s="2">
      <c r="A31" s="302" t="n"/>
      <c r="B31" s="226" t="n"/>
      <c r="C31" s="213" t="inlineStr">
        <is>
          <t>MKT</t>
        </is>
      </c>
      <c r="D31" s="213" t="inlineStr">
        <is>
          <t>VCH</t>
        </is>
      </c>
      <c r="E31" s="214" t="inlineStr">
        <is>
          <t>FMR</t>
        </is>
      </c>
      <c r="F31" s="215" t="inlineStr">
        <is>
          <t>UAP</t>
        </is>
      </c>
      <c r="G31" s="216" t="inlineStr">
        <is>
          <t>NET</t>
        </is>
      </c>
      <c r="H31" s="183" t="n"/>
      <c r="I31" s="183" t="n"/>
      <c r="J31" s="183" t="n"/>
      <c r="K31" s="302" t="n"/>
      <c r="L31" s="302" t="n"/>
      <c r="M31" s="302" t="n"/>
      <c r="N31" s="302" t="n"/>
      <c r="O31" s="302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24.75" customFormat="1" customHeight="1" s="2">
      <c r="A32" s="369" t="n"/>
      <c r="B32" s="217" t="inlineStr">
        <is>
          <t>1BD</t>
        </is>
      </c>
      <c r="C32" s="197" t="n">
        <v>0</v>
      </c>
      <c r="D32" s="197" t="n">
        <v>900</v>
      </c>
      <c r="E32" s="198" t="n">
        <v>1020</v>
      </c>
      <c r="F32" s="199" t="n">
        <v>77</v>
      </c>
      <c r="G32" s="218" t="n">
        <v>943</v>
      </c>
      <c r="H32" s="183" t="n"/>
      <c r="I32" s="183" t="n"/>
      <c r="J32" s="183" t="n"/>
      <c r="K32" s="302" t="n"/>
      <c r="L32" s="302" t="n"/>
      <c r="M32" s="302" t="n"/>
      <c r="N32" s="302" t="n"/>
      <c r="O32" s="343" t="n"/>
      <c r="P32" s="302" t="n"/>
      <c r="Q32" s="302" t="n"/>
      <c r="R32" s="302" t="n"/>
      <c r="S32" s="302" t="n"/>
      <c r="T32" s="302" t="n"/>
      <c r="U32" s="302" t="n"/>
      <c r="V32" s="302" t="n"/>
      <c r="W32" s="302" t="n"/>
      <c r="X32" s="302" t="n"/>
      <c r="Y32" s="302" t="n"/>
      <c r="Z32" s="302" t="n"/>
      <c r="AA32" s="353" t="n"/>
      <c r="AB32" s="302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24.75" customFormat="1" customHeight="1" s="2">
      <c r="A33" s="382" t="n"/>
      <c r="B33" s="217" t="inlineStr">
        <is>
          <t>2BD</t>
        </is>
      </c>
      <c r="C33" s="197" t="n">
        <v>0</v>
      </c>
      <c r="D33" s="197" t="n">
        <v>1107</v>
      </c>
      <c r="E33" s="198" t="n">
        <v>1150</v>
      </c>
      <c r="F33" s="199" t="n">
        <v>102</v>
      </c>
      <c r="G33" s="218" t="n">
        <v>1048</v>
      </c>
      <c r="H33" s="183" t="n"/>
      <c r="I33" s="183" t="n"/>
      <c r="J33" s="183" t="n"/>
      <c r="K33" s="302" t="n"/>
      <c r="L33" s="302" t="n"/>
      <c r="M33" s="302" t="n"/>
      <c r="N33" s="302" t="n"/>
      <c r="O33" s="343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24.75" customFormat="1" customHeight="1" s="2">
      <c r="A34" s="372" t="n"/>
      <c r="B34" s="217" t="inlineStr">
        <is>
          <t>3BD</t>
        </is>
      </c>
      <c r="C34" s="197" t="n">
        <v>0</v>
      </c>
      <c r="D34" s="197" t="n">
        <v>1300</v>
      </c>
      <c r="E34" s="198" t="n">
        <v>1440</v>
      </c>
      <c r="F34" s="199" t="n">
        <v>121</v>
      </c>
      <c r="G34" s="218" t="n">
        <v>1319</v>
      </c>
      <c r="H34" s="183" t="n"/>
      <c r="I34" s="183" t="n"/>
      <c r="J34" s="183" t="n"/>
      <c r="K34" s="302" t="n"/>
      <c r="L34" s="302" t="n"/>
      <c r="M34" s="302" t="n"/>
      <c r="N34" s="302" t="n"/>
      <c r="O34" s="343" t="n"/>
      <c r="P34" s="302" t="n"/>
      <c r="Q34" s="302" t="n"/>
      <c r="R34" s="302" t="n"/>
      <c r="S34" s="302" t="n"/>
      <c r="T34" s="302" t="n"/>
      <c r="U34" s="302" t="n"/>
      <c r="V34" s="302" t="n"/>
      <c r="W34" s="302" t="n"/>
      <c r="X34" s="302" t="n"/>
      <c r="Y34" s="302" t="n"/>
      <c r="Z34" s="302" t="n"/>
      <c r="AA34" s="353" t="n"/>
      <c r="AB34" s="302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24.75" customFormat="1" customHeight="1" s="2">
      <c r="A35" s="372" t="n"/>
      <c r="B35" s="217" t="inlineStr">
        <is>
          <t>4BD</t>
        </is>
      </c>
      <c r="C35" s="197" t="n">
        <v>0</v>
      </c>
      <c r="D35" s="197" t="n">
        <v>1572</v>
      </c>
      <c r="E35" s="198" t="n">
        <v>1920</v>
      </c>
      <c r="F35" s="199" t="n">
        <v>149</v>
      </c>
      <c r="G35" s="218" t="n">
        <v>1771</v>
      </c>
      <c r="H35" s="183" t="n"/>
      <c r="I35" s="183" t="n"/>
      <c r="J35" s="183" t="n"/>
      <c r="K35" s="302" t="n"/>
      <c r="L35" s="302" t="n"/>
      <c r="M35" s="302" t="n"/>
      <c r="N35" s="302" t="n"/>
      <c r="O35" s="343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8.1" customHeight="1" s="131">
      <c r="A36" s="369" t="n"/>
      <c r="B36" s="371" t="n"/>
      <c r="C36" s="371" t="n"/>
      <c r="D36" s="371" t="n"/>
      <c r="E36" s="371" t="n"/>
      <c r="F36" s="371" t="n"/>
      <c r="G36" s="369" t="n"/>
      <c r="H36" s="369" t="n"/>
      <c r="I36" s="369" t="n"/>
      <c r="J36" s="369" t="n"/>
      <c r="K36" s="369" t="n"/>
      <c r="L36" s="134" t="n"/>
      <c r="M36" s="134" t="n"/>
      <c r="N36" s="134" t="n"/>
      <c r="O36" s="134" t="n"/>
      <c r="P36" s="134" t="n"/>
      <c r="Q36" s="134" t="n"/>
      <c r="R36" s="134" t="n"/>
      <c r="S36" s="134" t="n"/>
      <c r="T36" s="134" t="n"/>
      <c r="U36" s="134" t="n"/>
      <c r="V36" s="134" t="n"/>
      <c r="W36" s="134" t="n"/>
      <c r="X36" s="134" t="n"/>
      <c r="Y36" s="134" t="n"/>
      <c r="Z36" s="135" t="n"/>
      <c r="AA36" s="134" t="n"/>
      <c r="AB36" s="134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24.75" customHeight="1" s="131">
      <c r="A37" s="302" t="n"/>
      <c r="B37" s="366" t="inlineStr">
        <is>
          <t>LIHTC, UAP, NET</t>
        </is>
      </c>
      <c r="C37" s="358" t="n"/>
      <c r="D37" s="358" t="n"/>
      <c r="E37" s="358" t="n"/>
      <c r="F37" s="358" t="n"/>
      <c r="G37" s="359" t="n"/>
      <c r="H37" s="183" t="n"/>
      <c r="I37" s="183" t="n"/>
      <c r="J37" s="183" t="n"/>
      <c r="K37" s="302" t="n"/>
      <c r="L37" s="302" t="n"/>
      <c r="M37" s="302" t="n"/>
      <c r="N37" s="302" t="n"/>
      <c r="O37" s="302" t="n"/>
      <c r="P37" s="302" t="n"/>
      <c r="Q37" s="302" t="n"/>
      <c r="R37" s="302" t="n"/>
      <c r="S37" s="302" t="n"/>
      <c r="T37" s="302" t="n"/>
      <c r="U37" s="302" t="n"/>
      <c r="V37" s="302" t="n"/>
      <c r="W37" s="302" t="n"/>
      <c r="X37" s="302" t="n"/>
      <c r="Y37" s="302" t="n"/>
      <c r="Z37" s="302" t="n"/>
      <c r="AA37" s="353" t="n"/>
      <c r="AB37" s="302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16.5" customFormat="1" customHeight="1" s="2">
      <c r="A38" s="372" t="n"/>
      <c r="B38" s="226" t="n"/>
      <c r="C38" s="228" t="inlineStr">
        <is>
          <t>LIHTC/MKT</t>
        </is>
      </c>
      <c r="D38" s="228" t="inlineStr">
        <is>
          <t>60%</t>
        </is>
      </c>
      <c r="E38" s="215" t="inlineStr">
        <is>
          <t>UAP</t>
        </is>
      </c>
      <c r="F38" s="216" t="inlineStr">
        <is>
          <t>NET</t>
        </is>
      </c>
      <c r="G38" s="183" t="n"/>
      <c r="H38" s="183" t="n"/>
      <c r="I38" s="183" t="n"/>
      <c r="J38" s="183" t="n"/>
      <c r="K38" s="302" t="n"/>
      <c r="L38" s="302" t="n"/>
      <c r="M38" s="302" t="n"/>
      <c r="N38" s="302" t="n"/>
      <c r="O38" s="343" t="n"/>
      <c r="P38" s="302" t="n"/>
      <c r="Q38" s="302" t="n"/>
      <c r="R38" s="302" t="n"/>
      <c r="S38" s="302" t="n"/>
      <c r="T38" s="302" t="n"/>
      <c r="U38" s="302" t="n"/>
      <c r="V38" s="302" t="n"/>
      <c r="W38" s="302" t="n"/>
      <c r="X38" s="302" t="n"/>
      <c r="Y38" s="302" t="n"/>
      <c r="Z38" s="302" t="n"/>
      <c r="AA38" s="353" t="n"/>
      <c r="AB38" s="302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24.75" customFormat="1" customHeight="1" s="2">
      <c r="A39" s="372" t="n"/>
      <c r="B39" s="224" t="inlineStr">
        <is>
          <t>1BD</t>
        </is>
      </c>
      <c r="C39" s="225" t="n">
        <v>1032</v>
      </c>
      <c r="D39" s="225" t="n">
        <v>874</v>
      </c>
      <c r="E39" s="225" t="n">
        <v>77</v>
      </c>
      <c r="F39" s="223" t="n">
        <v>797</v>
      </c>
      <c r="G39" s="183" t="n"/>
      <c r="H39" s="183" t="n"/>
      <c r="I39" s="183" t="n"/>
      <c r="J39" s="183" t="n"/>
      <c r="K39" s="302" t="n"/>
      <c r="L39" s="302" t="n"/>
      <c r="M39" s="302" t="n"/>
      <c r="N39" s="302" t="n"/>
      <c r="O39" s="343" t="n"/>
      <c r="P39" s="302" t="n"/>
      <c r="Q39" s="302" t="n"/>
      <c r="R39" s="302" t="n"/>
      <c r="S39" s="302" t="n"/>
      <c r="T39" s="302" t="n"/>
      <c r="U39" s="302" t="n"/>
      <c r="V39" s="302" t="n"/>
      <c r="W39" s="302" t="n"/>
      <c r="X39" s="302" t="n"/>
      <c r="Y39" s="302" t="n"/>
      <c r="Z39" s="302" t="n"/>
      <c r="AA39" s="353" t="n"/>
      <c r="AB39" s="302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ht="24.75" customFormat="1" customHeight="1" s="2">
      <c r="A40" s="372" t="n"/>
      <c r="B40" s="224" t="inlineStr">
        <is>
          <t>2BD</t>
        </is>
      </c>
      <c r="C40" s="225" t="n">
        <v>1239</v>
      </c>
      <c r="D40" s="225" t="n">
        <v>1039</v>
      </c>
      <c r="E40" s="225" t="n">
        <v>102</v>
      </c>
      <c r="F40" s="223" t="n">
        <v>937</v>
      </c>
      <c r="G40" s="183" t="n"/>
      <c r="H40" s="183" t="n"/>
      <c r="I40" s="183" t="n"/>
      <c r="J40" s="183" t="n"/>
      <c r="K40" s="302" t="n"/>
      <c r="L40" s="302" t="n"/>
      <c r="M40" s="302" t="n"/>
      <c r="N40" s="302" t="n"/>
      <c r="O40" s="343" t="n"/>
      <c r="P40" s="302" t="n"/>
      <c r="Q40" s="302" t="n"/>
      <c r="R40" s="302" t="n"/>
      <c r="S40" s="302" t="n"/>
      <c r="T40" s="302" t="n"/>
      <c r="U40" s="302" t="n"/>
      <c r="V40" s="302" t="n"/>
      <c r="W40" s="302" t="n"/>
      <c r="X40" s="302" t="n"/>
      <c r="Y40" s="302" t="n"/>
      <c r="Z40" s="302" t="n"/>
      <c r="AA40" s="353" t="n"/>
      <c r="AB40" s="302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ht="24.75" customFormat="1" customHeight="1" s="2">
      <c r="A41" s="369" t="n"/>
      <c r="B41" s="224" t="inlineStr">
        <is>
          <t>3BD</t>
        </is>
      </c>
      <c r="C41" s="225" t="n">
        <v>1431</v>
      </c>
      <c r="D41" s="225" t="n">
        <v>1194</v>
      </c>
      <c r="E41" s="225" t="n">
        <v>121</v>
      </c>
      <c r="F41" s="223" t="n">
        <v>1073</v>
      </c>
      <c r="G41" s="183" t="n"/>
      <c r="H41" s="183" t="n"/>
      <c r="I41" s="183" t="n"/>
      <c r="J41" s="183" t="n"/>
      <c r="K41" s="302" t="n"/>
      <c r="L41" s="302" t="n"/>
      <c r="M41" s="302" t="n"/>
      <c r="N41" s="302" t="n"/>
      <c r="O41" s="343" t="n"/>
      <c r="P41" s="302" t="n"/>
      <c r="Q41" s="302" t="n"/>
      <c r="R41" s="302" t="n"/>
      <c r="S41" s="302" t="n"/>
      <c r="T41" s="302" t="n"/>
      <c r="U41" s="302" t="n"/>
      <c r="V41" s="302" t="n"/>
      <c r="W41" s="302" t="n"/>
      <c r="X41" s="302" t="n"/>
      <c r="Y41" s="302" t="n"/>
      <c r="Z41" s="302" t="n"/>
      <c r="AA41" s="353" t="n"/>
      <c r="AB41" s="302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ht="24.75" customFormat="1" customHeight="1" s="2">
      <c r="A42" s="369" t="n"/>
      <c r="B42" s="224" t="inlineStr">
        <is>
          <t>4BD</t>
        </is>
      </c>
      <c r="C42" s="225" t="n">
        <v>1596</v>
      </c>
      <c r="D42" s="225" t="n">
        <v>1321</v>
      </c>
      <c r="E42" s="225" t="n">
        <v>149</v>
      </c>
      <c r="F42" s="223" t="n">
        <v>1172</v>
      </c>
      <c r="G42" s="183" t="n"/>
      <c r="H42" s="183" t="n"/>
      <c r="I42" s="183" t="n"/>
      <c r="J42" s="183" t="n"/>
      <c r="K42" s="302" t="n"/>
      <c r="L42" s="302" t="n"/>
      <c r="M42" s="302" t="n"/>
      <c r="N42" s="302" t="n"/>
      <c r="O42" s="343" t="n"/>
      <c r="P42" s="302" t="n"/>
      <c r="Q42" s="302" t="n"/>
      <c r="R42" s="302" t="n"/>
      <c r="S42" s="302" t="n"/>
      <c r="T42" s="302" t="n"/>
      <c r="U42" s="302" t="n"/>
      <c r="V42" s="302" t="n"/>
      <c r="W42" s="302" t="n"/>
      <c r="X42" s="302" t="n"/>
      <c r="Y42" s="302" t="n"/>
      <c r="Z42" s="302" t="n"/>
      <c r="AA42" s="353" t="n"/>
      <c r="AB42" s="302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ht="18" customFormat="1" customHeight="1" s="2">
      <c r="A43" s="369" t="n"/>
      <c r="B43" s="371" t="n"/>
      <c r="C43" s="371" t="n"/>
      <c r="D43" s="371" t="n"/>
      <c r="E43" s="371" t="n"/>
      <c r="F43" s="371" t="n"/>
      <c r="G43" s="369" t="n"/>
      <c r="H43" s="369" t="n"/>
      <c r="I43" s="369" t="n"/>
      <c r="J43" s="369" t="n"/>
      <c r="K43" s="369" t="n"/>
      <c r="L43" s="136" t="n"/>
      <c r="M43" s="136" t="n"/>
      <c r="N43" s="136" t="n"/>
      <c r="O43" s="136" t="n"/>
      <c r="P43" s="136" t="n"/>
      <c r="Q43" s="136" t="n"/>
      <c r="R43" s="136" t="n"/>
      <c r="S43" s="136" t="n"/>
      <c r="T43" s="136" t="n"/>
      <c r="U43" s="136" t="n"/>
      <c r="V43" s="136" t="n"/>
      <c r="W43" s="136" t="n"/>
      <c r="X43" s="136" t="n"/>
      <c r="Y43" s="136" t="n"/>
      <c r="Z43" s="136" t="n"/>
      <c r="AA43" s="136" t="n"/>
      <c r="AB43" s="136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ht="18" customHeight="1" s="131">
      <c r="A44" s="369" t="n"/>
      <c r="B44" s="369" t="n"/>
      <c r="C44" s="369" t="n"/>
      <c r="D44" s="369" t="n"/>
      <c r="E44" s="369" t="n"/>
      <c r="F44" s="369" t="n"/>
      <c r="G44" s="369" t="n"/>
      <c r="H44" s="369" t="n"/>
      <c r="I44" s="369" t="n"/>
      <c r="J44" s="369" t="n"/>
      <c r="K44" s="369" t="n"/>
      <c r="L44" s="136" t="n"/>
      <c r="M44" s="136" t="n"/>
      <c r="N44" s="136" t="n"/>
      <c r="O44" s="136" t="n"/>
      <c r="P44" s="136" t="n"/>
      <c r="Q44" s="136" t="n"/>
      <c r="R44" s="136" t="n"/>
      <c r="S44" s="136" t="n"/>
      <c r="T44" s="136" t="n"/>
      <c r="U44" s="136" t="n"/>
      <c r="V44" s="136" t="n"/>
      <c r="W44" s="136" t="n"/>
      <c r="X44" s="136" t="n"/>
      <c r="Y44" s="136" t="n"/>
      <c r="Z44" s="136" t="n"/>
      <c r="AA44" s="136" t="n"/>
      <c r="AB44" s="136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ht="24.75" customHeight="1" s="131">
      <c r="A45" s="302" t="n"/>
      <c r="B45" s="207" t="inlineStr">
        <is>
          <t>HAP, CoStar, NET</t>
        </is>
      </c>
      <c r="H45" s="183" t="n"/>
      <c r="I45" s="183" t="n"/>
      <c r="J45" s="183" t="n"/>
      <c r="K45" s="302" t="n"/>
      <c r="L45" s="302" t="n"/>
      <c r="M45" s="302" t="n"/>
      <c r="N45" s="302" t="n"/>
      <c r="O45" s="302" t="n"/>
      <c r="P45" s="302" t="n"/>
      <c r="Q45" s="302" t="n"/>
      <c r="R45" s="302" t="n"/>
      <c r="S45" s="302" t="n"/>
      <c r="T45" s="302" t="n"/>
      <c r="U45" s="302" t="n"/>
      <c r="V45" s="302" t="n"/>
      <c r="W45" s="302" t="n"/>
      <c r="X45" s="302" t="n"/>
      <c r="Y45" s="302" t="n"/>
      <c r="Z45" s="302" t="n"/>
      <c r="AA45" s="353" t="n"/>
      <c r="AB45" s="302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ht="15.95" customHeight="1" s="131">
      <c r="A46" s="302" t="n"/>
      <c r="B46" s="227" t="n"/>
      <c r="C46" s="208" t="inlineStr">
        <is>
          <t>HAP</t>
        </is>
      </c>
      <c r="D46" s="209" t="inlineStr">
        <is>
          <t>CoStar</t>
        </is>
      </c>
      <c r="E46" s="302" t="n"/>
      <c r="F46" s="302" t="n"/>
      <c r="G46" s="302" t="n"/>
      <c r="H46" s="183" t="n"/>
      <c r="I46" s="183" t="n"/>
      <c r="J46" s="183" t="n"/>
      <c r="K46" s="302" t="n"/>
      <c r="L46" s="302" t="n"/>
      <c r="M46" s="302" t="n"/>
      <c r="N46" s="302" t="n"/>
      <c r="O46" s="302" t="n"/>
      <c r="P46" s="302" t="n"/>
      <c r="Q46" s="302" t="n"/>
      <c r="R46" s="302" t="n"/>
      <c r="S46" s="302" t="n"/>
      <c r="T46" s="302" t="n"/>
      <c r="U46" s="302" t="n"/>
      <c r="V46" s="302" t="n"/>
      <c r="W46" s="302" t="n"/>
      <c r="X46" s="302" t="n"/>
      <c r="Y46" s="302" t="n"/>
      <c r="Z46" s="302" t="n"/>
      <c r="AA46" s="353" t="n"/>
      <c r="AB46" s="302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ht="24.75" customHeight="1" s="131">
      <c r="A47" s="302" t="n"/>
      <c r="B47" s="196" t="inlineStr">
        <is>
          <t>1BD</t>
        </is>
      </c>
      <c r="C47" s="199" t="n">
        <v>0</v>
      </c>
      <c r="D47" s="198" t="n">
        <v>1205</v>
      </c>
      <c r="E47" s="183" t="n"/>
      <c r="F47" s="183" t="n"/>
      <c r="G47" s="183" t="n"/>
      <c r="H47" s="183" t="n"/>
      <c r="I47" s="183" t="n"/>
      <c r="J47" s="183" t="n"/>
      <c r="K47" s="302" t="n"/>
      <c r="L47" s="302" t="n"/>
      <c r="M47" s="302" t="n"/>
      <c r="N47" s="302" t="n"/>
      <c r="O47" s="302" t="n"/>
      <c r="P47" s="302" t="n"/>
      <c r="Q47" s="302" t="n"/>
      <c r="R47" s="302" t="n"/>
      <c r="S47" s="302" t="n"/>
      <c r="T47" s="302" t="n"/>
      <c r="U47" s="302" t="n"/>
      <c r="V47" s="302" t="n"/>
      <c r="W47" s="302" t="n"/>
      <c r="X47" s="302" t="n"/>
      <c r="Y47" s="302" t="n"/>
      <c r="Z47" s="302" t="n"/>
      <c r="AA47" s="353" t="n"/>
      <c r="AB47" s="302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ht="24.75" customHeight="1" s="131">
      <c r="A48" s="302" t="n"/>
      <c r="B48" s="196" t="inlineStr">
        <is>
          <t>2BD</t>
        </is>
      </c>
      <c r="C48" s="199" t="n">
        <v>0</v>
      </c>
      <c r="D48" s="198" t="n">
        <v>1461</v>
      </c>
      <c r="E48" s="183" t="n"/>
      <c r="F48" s="183" t="n"/>
      <c r="G48" s="183" t="n"/>
      <c r="H48" s="183" t="n"/>
      <c r="I48" s="183" t="n"/>
      <c r="J48" s="183" t="n"/>
      <c r="K48" s="302" t="n"/>
      <c r="L48" s="302" t="n"/>
      <c r="M48" s="302" t="n"/>
      <c r="N48" s="302" t="n"/>
      <c r="O48" s="302" t="n"/>
      <c r="P48" s="302" t="n"/>
      <c r="Q48" s="302" t="n"/>
      <c r="R48" s="302" t="n"/>
      <c r="S48" s="302" t="n"/>
      <c r="T48" s="302" t="n"/>
      <c r="U48" s="302" t="n"/>
      <c r="V48" s="302" t="n"/>
      <c r="W48" s="302" t="n"/>
      <c r="X48" s="302" t="n"/>
      <c r="Y48" s="302" t="n"/>
      <c r="Z48" s="302" t="n"/>
      <c r="AA48" s="353" t="n"/>
      <c r="AB48" s="302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ht="24.75" customHeight="1" s="131">
      <c r="A49" s="302" t="n"/>
      <c r="B49" s="196" t="inlineStr">
        <is>
          <t>3BD</t>
        </is>
      </c>
      <c r="C49" s="199" t="n">
        <v>0</v>
      </c>
      <c r="D49" s="198" t="n">
        <v>1579</v>
      </c>
      <c r="E49" s="183" t="n"/>
      <c r="F49" s="183" t="n"/>
      <c r="G49" s="183" t="n"/>
      <c r="H49" s="183" t="n"/>
      <c r="I49" s="183" t="n"/>
      <c r="J49" s="183" t="n"/>
      <c r="K49" s="302" t="n"/>
      <c r="L49" s="302" t="n"/>
      <c r="M49" s="302" t="n"/>
      <c r="N49" s="302" t="n"/>
      <c r="O49" s="302" t="n"/>
      <c r="P49" s="302" t="n"/>
      <c r="Q49" s="302" t="n"/>
      <c r="R49" s="302" t="n"/>
      <c r="S49" s="302" t="n"/>
      <c r="T49" s="302" t="n"/>
      <c r="U49" s="302" t="n"/>
      <c r="V49" s="302" t="n"/>
      <c r="W49" s="302" t="n"/>
      <c r="X49" s="302" t="n"/>
      <c r="Y49" s="302" t="n"/>
      <c r="Z49" s="302" t="n"/>
      <c r="AA49" s="353" t="n"/>
      <c r="AB49" s="302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ht="24.75" customHeight="1" s="131">
      <c r="A50" s="302" t="n"/>
      <c r="B50" s="196" t="inlineStr">
        <is>
          <t>4BD</t>
        </is>
      </c>
      <c r="C50" s="199" t="n">
        <v>0</v>
      </c>
      <c r="D50" s="198" t="n">
        <v>1599</v>
      </c>
      <c r="E50" s="183" t="n"/>
      <c r="F50" s="183" t="n"/>
      <c r="G50" s="183" t="n"/>
      <c r="H50" s="183" t="n"/>
      <c r="I50" s="183" t="n"/>
      <c r="J50" s="183" t="n"/>
      <c r="K50" s="302" t="n"/>
      <c r="L50" s="302" t="n"/>
      <c r="M50" s="302" t="n"/>
      <c r="N50" s="302" t="n"/>
      <c r="O50" s="302" t="n"/>
      <c r="P50" s="302" t="n"/>
      <c r="Q50" s="302" t="n"/>
      <c r="R50" s="302" t="n"/>
      <c r="S50" s="302" t="n"/>
      <c r="T50" s="302" t="n"/>
      <c r="U50" s="302" t="n"/>
      <c r="V50" s="302" t="n"/>
      <c r="W50" s="302" t="n"/>
      <c r="X50" s="302" t="n"/>
      <c r="Y50" s="302" t="n"/>
      <c r="Z50" s="302" t="n"/>
      <c r="AA50" s="353" t="n"/>
      <c r="AB50" s="302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  <row r="51"/>
    <row r="52"/>
    <row r="53"/>
    <row r="54"/>
    <row r="55"/>
    <row r="56"/>
  </sheetData>
  <mergeCells count="9">
    <mergeCell ref="B4:AB4"/>
    <mergeCell ref="B22:G22"/>
    <mergeCell ref="B37:G37"/>
    <mergeCell ref="B45:G45"/>
    <mergeCell ref="B20:I20"/>
    <mergeCell ref="B2:AB2"/>
    <mergeCell ref="B23:G23"/>
    <mergeCell ref="B3:AB3"/>
    <mergeCell ref="B30:G30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ANAHEIM | GREEN = Affordable Comps | BLUE = Market Rate Comps</t>
        </is>
      </c>
      <c r="AF3" s="136" t="n"/>
      <c r="AG3" s="136" t="n"/>
      <c r="AH3" s="136" t="n"/>
      <c r="AI3" s="136" t="n"/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Anaheim | Anaheim, Anaheim, CA 92801 | 80 units | Program: Section 8/HUD | Bedroom Mix: 2BR / 3BR / 4BR | County AMI: $136,600 | FMR Area: Orange County, CA</t>
        </is>
      </c>
      <c r="AF4" s="136" t="n"/>
      <c r="AG4" s="136" t="n"/>
      <c r="AH4" s="136" t="n"/>
      <c r="AI4" s="136" t="n"/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F5" s="136" t="n"/>
      <c r="AG5" s="136" t="n"/>
      <c r="AH5" s="136" t="n"/>
      <c r="AI5" s="136" t="n"/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2BD 50% AMI ($)</t>
        </is>
      </c>
      <c r="J6" s="280" t="inlineStr">
        <is>
          <t>2BD 60% AMI ($)</t>
        </is>
      </c>
      <c r="K6" s="280" t="inlineStr">
        <is>
          <t>2BR FMR ($)</t>
        </is>
      </c>
      <c r="L6" s="335" t="inlineStr">
        <is>
          <t>2BR Actual ($)</t>
        </is>
      </c>
      <c r="M6" s="281" t="inlineStr">
        <is>
          <t>3BD 50% AMI ($)</t>
        </is>
      </c>
      <c r="N6" s="280" t="inlineStr">
        <is>
          <t>3BD 60% AMI ($)</t>
        </is>
      </c>
      <c r="O6" s="280" t="inlineStr">
        <is>
          <t>3BR FMR ($)</t>
        </is>
      </c>
      <c r="P6" s="335" t="inlineStr">
        <is>
          <t>3BR Actual ($)</t>
        </is>
      </c>
      <c r="Q6" s="281" t="inlineStr">
        <is>
          <t>4BD 50% AMI ($)</t>
        </is>
      </c>
      <c r="R6" s="280" t="inlineStr">
        <is>
          <t>4BD 60% AMI ($)</t>
        </is>
      </c>
      <c r="S6" s="280" t="inlineStr">
        <is>
          <t>4BR FMR ($)</t>
        </is>
      </c>
      <c r="T6" s="339" t="inlineStr">
        <is>
          <t>4BR Actual ($)</t>
        </is>
      </c>
      <c r="U6" s="339" t="inlineStr">
        <is>
          <t># Units</t>
        </is>
      </c>
      <c r="V6" s="339" t="inlineStr">
        <is>
          <t>Year Built</t>
        </is>
      </c>
      <c r="W6" s="339" t="inlineStr">
        <is>
          <t>Yr Diff</t>
        </is>
      </c>
      <c r="X6" s="339" t="inlineStr">
        <is>
          <t>Utilities Incl.</t>
        </is>
      </c>
      <c r="Y6" s="339" t="inlineStr">
        <is>
          <t>Pet Friendly</t>
        </is>
      </c>
      <c r="Z6" s="336" t="inlineStr">
        <is>
          <t>Gated</t>
        </is>
      </c>
      <c r="AA6" s="340" t="inlineStr">
        <is>
          <t>Pool</t>
        </is>
      </c>
      <c r="AB6" s="342" t="inlineStr">
        <is>
          <t>W/D In-Unit</t>
        </is>
      </c>
      <c r="AC6" s="136" t="inlineStr">
        <is>
          <t>Competition Level</t>
        </is>
      </c>
      <c r="AD6" s="136" t="inlineStr">
        <is>
          <t>Why Competitive</t>
        </is>
      </c>
      <c r="AE6" s="136" t="inlineStr">
        <is>
          <t>Data Source</t>
        </is>
      </c>
      <c r="AF6" s="136" t="n"/>
      <c r="AG6" s="136" t="n"/>
      <c r="AH6" s="136" t="n"/>
      <c r="AI6" s="136" t="n"/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Anaheim (SUBJECT)</t>
        </is>
      </c>
      <c r="D7" s="174" t="inlineStr">
        <is>
          <t>Anaheim</t>
        </is>
      </c>
      <c r="E7" s="174" t="inlineStr">
        <is>
          <t>Anaheim</t>
        </is>
      </c>
      <c r="F7" s="174" t="inlineStr">
        <is>
          <t>CA</t>
        </is>
      </c>
      <c r="G7" s="174" t="inlineStr">
        <is>
          <t>92801</t>
        </is>
      </c>
      <c r="H7" s="174" t="inlineStr">
        <is>
          <t>0.0 mi</t>
        </is>
      </c>
      <c r="I7" s="174" t="inlineStr">
        <is>
          <t>$6,345</t>
        </is>
      </c>
      <c r="J7" s="174" t="inlineStr">
        <is>
          <t>$7,615</t>
        </is>
      </c>
      <c r="K7" s="174" t="inlineStr">
        <is>
          <t>$2,925</t>
        </is>
      </c>
      <c r="L7" s="368">
        <f>B26</f>
        <v/>
      </c>
      <c r="M7" s="174" t="inlineStr">
        <is>
          <t>$7,050</t>
        </is>
      </c>
      <c r="N7" s="174" t="inlineStr">
        <is>
          <t>$8,460</t>
        </is>
      </c>
      <c r="O7" s="174" t="inlineStr">
        <is>
          <t>$3,965</t>
        </is>
      </c>
      <c r="P7" s="368">
        <f>B27</f>
        <v/>
      </c>
      <c r="Q7" s="174" t="inlineStr">
        <is>
          <t>$7,616</t>
        </is>
      </c>
      <c r="R7" s="174" t="inlineStr">
        <is>
          <t>$9,140</t>
        </is>
      </c>
      <c r="S7" s="174" t="inlineStr">
        <is>
          <t>$4,583</t>
        </is>
      </c>
      <c r="T7" s="368">
        <f>B28</f>
        <v/>
      </c>
      <c r="U7" s="174" t="inlineStr">
        <is>
          <t>80</t>
        </is>
      </c>
      <c r="V7" s="174" t="inlineStr">
        <is>
          <t>1980</t>
        </is>
      </c>
      <c r="W7" s="174" t="inlineStr">
        <is>
          <t>0</t>
        </is>
      </c>
      <c r="X7" s="174" t="inlineStr">
        <is>
          <t>Partial</t>
        </is>
      </c>
      <c r="Y7" s="42" t="inlineStr">
        <is>
          <t>No</t>
        </is>
      </c>
      <c r="Z7" s="55" t="inlineStr">
        <is>
          <t>No</t>
        </is>
      </c>
      <c r="AA7" s="40" t="inlineStr">
        <is>
          <t>Yes</t>
        </is>
      </c>
      <c r="AB7" s="136" t="inlineStr">
        <is>
          <t>No</t>
        </is>
      </c>
      <c r="AC7" s="136" t="inlineStr">
        <is>
          <t>SUBJECT</t>
        </is>
      </c>
      <c r="AD7" s="136" t="inlineStr">
        <is>
          <t>80 units | Section 8/HUD property. Year built: 1980. Subject property for market context.</t>
        </is>
      </c>
      <c r="AE7" s="136" t="inlineStr">
        <is>
          <t>Apartment Corp Records</t>
        </is>
      </c>
      <c r="AF7" s="136" t="n"/>
      <c r="AG7" s="136" t="n"/>
      <c r="AH7" s="136" t="n"/>
      <c r="AI7" s="136" t="n"/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Artesia Senior Center</t>
        </is>
      </c>
      <c r="D8" s="59" t="inlineStr">
        <is>
          <t>10427 Artesia Blvd</t>
        </is>
      </c>
      <c r="E8" s="59" t="inlineStr">
        <is>
          <t>Bellflower</t>
        </is>
      </c>
      <c r="F8" s="59" t="inlineStr">
        <is>
          <t>CA</t>
        </is>
      </c>
      <c r="G8" s="59" t="inlineStr">
        <is>
          <t>90706</t>
        </is>
      </c>
      <c r="H8" s="59" t="inlineStr">
        <is>
          <t>11.6 mi</t>
        </is>
      </c>
      <c r="I8" s="59" t="inlineStr">
        <is>
          <t>$6,345</t>
        </is>
      </c>
      <c r="J8" s="59" t="inlineStr">
        <is>
          <t>$7,615</t>
        </is>
      </c>
      <c r="K8" s="41" t="inlineStr">
        <is>
          <t>$2,925</t>
        </is>
      </c>
      <c r="L8" s="53" t="inlineStr">
        <is>
          <t>Not Listed</t>
        </is>
      </c>
      <c r="M8" s="43" t="inlineStr">
        <is>
          <t>$7,050</t>
        </is>
      </c>
      <c r="N8" s="43" t="inlineStr">
        <is>
          <t>$8,460</t>
        </is>
      </c>
      <c r="O8" s="41" t="inlineStr">
        <is>
          <t>$3,965</t>
        </is>
      </c>
      <c r="P8" s="53" t="inlineStr">
        <is>
          <t>Not Listed</t>
        </is>
      </c>
      <c r="Q8" s="43" t="inlineStr">
        <is>
          <t>$7,616</t>
        </is>
      </c>
      <c r="R8" s="43" t="inlineStr">
        <is>
          <t>$9,140</t>
        </is>
      </c>
      <c r="S8" s="43" t="inlineStr">
        <is>
          <t>$4,583</t>
        </is>
      </c>
      <c r="T8" s="43" t="inlineStr">
        <is>
          <t>Not Listed</t>
        </is>
      </c>
      <c r="U8" s="43" t="inlineStr">
        <is>
          <t>100</t>
        </is>
      </c>
      <c r="V8" s="43" t="inlineStr">
        <is>
          <t>1987</t>
        </is>
      </c>
      <c r="W8" s="43" t="inlineStr">
        <is>
          <t>7</t>
        </is>
      </c>
      <c r="X8" s="43" t="inlineStr">
        <is>
          <t>Yes</t>
        </is>
      </c>
      <c r="Y8" s="44" t="inlineStr">
        <is>
          <t>No</t>
        </is>
      </c>
      <c r="Z8" s="56" t="inlineStr">
        <is>
          <t>No</t>
        </is>
      </c>
      <c r="AA8" s="43" t="inlineStr">
        <is>
          <t>No</t>
        </is>
      </c>
      <c r="AB8" s="136" t="inlineStr">
        <is>
          <t>No</t>
        </is>
      </c>
      <c r="AC8" s="136" t="inlineStr">
        <is>
          <t>HIGH</t>
        </is>
      </c>
      <c r="AD8" s="136" t="inlineStr">
        <is>
          <t>Affordable Comp #1: LIHTC property, 1987 vintage (7 yr diff), 100 units, 11.6 mi from subject. Same income-eligible renter pool.</t>
        </is>
      </c>
      <c r="AE8" s="136" t="inlineStr">
        <is>
          <t>HUD LIHTC Database (huduser.gov)</t>
        </is>
      </c>
      <c r="AF8" s="136" t="n"/>
      <c r="AG8" s="136" t="n"/>
      <c r="AH8" s="136" t="n"/>
      <c r="AI8" s="136" t="n"/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Hdr Fund Apts I</t>
        </is>
      </c>
      <c r="D9" s="125" t="n"/>
      <c r="E9" s="125" t="inlineStr">
        <is>
          <t>Los Angeles</t>
        </is>
      </c>
      <c r="F9" s="125" t="inlineStr">
        <is>
          <t>CA</t>
        </is>
      </c>
      <c r="G9" s="125" t="n"/>
      <c r="H9" s="125" t="inlineStr">
        <is>
          <t>N/A</t>
        </is>
      </c>
      <c r="I9" s="125" t="inlineStr">
        <is>
          <t>$6,345</t>
        </is>
      </c>
      <c r="J9" s="125" t="inlineStr">
        <is>
          <t>$7,615</t>
        </is>
      </c>
      <c r="K9" s="85" t="inlineStr">
        <is>
          <t>$2,925</t>
        </is>
      </c>
      <c r="L9" s="86" t="inlineStr">
        <is>
          <t>Not Listed</t>
        </is>
      </c>
      <c r="M9" s="128" t="inlineStr">
        <is>
          <t>$7,050</t>
        </is>
      </c>
      <c r="N9" s="128" t="inlineStr">
        <is>
          <t>$8,460</t>
        </is>
      </c>
      <c r="O9" s="85" t="inlineStr">
        <is>
          <t>$3,965</t>
        </is>
      </c>
      <c r="P9" s="86" t="inlineStr">
        <is>
          <t>Not Listed</t>
        </is>
      </c>
      <c r="Q9" s="128" t="inlineStr">
        <is>
          <t>$7,616</t>
        </is>
      </c>
      <c r="R9" s="128" t="inlineStr">
        <is>
          <t>$9,140</t>
        </is>
      </c>
      <c r="S9" s="128" t="inlineStr">
        <is>
          <t>$4,583</t>
        </is>
      </c>
      <c r="T9" s="128" t="inlineStr">
        <is>
          <t>Not Listed</t>
        </is>
      </c>
      <c r="U9" s="128" t="inlineStr">
        <is>
          <t>76</t>
        </is>
      </c>
      <c r="V9" s="128" t="inlineStr">
        <is>
          <t>1987</t>
        </is>
      </c>
      <c r="W9" s="128" t="inlineStr">
        <is>
          <t>7</t>
        </is>
      </c>
      <c r="X9" s="128" t="inlineStr">
        <is>
          <t>Yes</t>
        </is>
      </c>
      <c r="Y9" s="129" t="inlineStr">
        <is>
          <t>No</t>
        </is>
      </c>
      <c r="Z9" s="130" t="inlineStr">
        <is>
          <t>No</t>
        </is>
      </c>
      <c r="AA9" s="128" t="inlineStr">
        <is>
          <t>No</t>
        </is>
      </c>
      <c r="AB9" s="136" t="inlineStr">
        <is>
          <t>No</t>
        </is>
      </c>
      <c r="AC9" s="136" t="inlineStr">
        <is>
          <t>MODERATE</t>
        </is>
      </c>
      <c r="AD9" s="136" t="inlineStr">
        <is>
          <t>Affordable Comp #2: LIHTC property, 1987 vintage (7 yr diff), 76 units, N/A from subject. Same income-eligible renter pool.</t>
        </is>
      </c>
      <c r="AE9" s="136" t="inlineStr">
        <is>
          <t>HUD LIHTC Database (huduser.gov)</t>
        </is>
      </c>
      <c r="AF9" s="136" t="n"/>
      <c r="AG9" s="136" t="n"/>
      <c r="AH9" s="136" t="n"/>
      <c r="AI9" s="136" t="n"/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Bellflower Senior Center</t>
        </is>
      </c>
      <c r="D10" s="107" t="inlineStr">
        <is>
          <t>9919 Ramona St</t>
        </is>
      </c>
      <c r="E10" s="107" t="inlineStr">
        <is>
          <t>Bellflower</t>
        </is>
      </c>
      <c r="F10" s="107" t="inlineStr">
        <is>
          <t>CA</t>
        </is>
      </c>
      <c r="G10" s="107" t="inlineStr">
        <is>
          <t>90706</t>
        </is>
      </c>
      <c r="H10" s="107" t="inlineStr">
        <is>
          <t>12.3 mi</t>
        </is>
      </c>
      <c r="I10" s="107" t="inlineStr">
        <is>
          <t>$6,345</t>
        </is>
      </c>
      <c r="J10" s="107" t="inlineStr">
        <is>
          <t>$7,615</t>
        </is>
      </c>
      <c r="K10" s="80" t="inlineStr">
        <is>
          <t>$2,925</t>
        </is>
      </c>
      <c r="L10" s="81" t="inlineStr">
        <is>
          <t>$2,250</t>
        </is>
      </c>
      <c r="M10" s="108" t="inlineStr">
        <is>
          <t>$7,050</t>
        </is>
      </c>
      <c r="N10" s="108" t="inlineStr">
        <is>
          <t>$8,460</t>
        </is>
      </c>
      <c r="O10" s="80" t="inlineStr">
        <is>
          <t>$3,965</t>
        </is>
      </c>
      <c r="P10" s="81" t="inlineStr">
        <is>
          <t>Not Listed</t>
        </is>
      </c>
      <c r="Q10" s="108" t="inlineStr">
        <is>
          <t>$7,616</t>
        </is>
      </c>
      <c r="R10" s="108" t="inlineStr">
        <is>
          <t>$9,140</t>
        </is>
      </c>
      <c r="S10" s="108" t="inlineStr">
        <is>
          <t>$4,583</t>
        </is>
      </c>
      <c r="T10" s="108" t="inlineStr">
        <is>
          <t>Not Listed</t>
        </is>
      </c>
      <c r="U10" s="108" t="inlineStr">
        <is>
          <t>50</t>
        </is>
      </c>
      <c r="V10" s="108" t="inlineStr">
        <is>
          <t>1988</t>
        </is>
      </c>
      <c r="W10" s="108" t="inlineStr">
        <is>
          <t>8</t>
        </is>
      </c>
      <c r="X10" s="108" t="inlineStr">
        <is>
          <t>Yes</t>
        </is>
      </c>
      <c r="Y10" s="109" t="inlineStr">
        <is>
          <t>No</t>
        </is>
      </c>
      <c r="Z10" s="110" t="inlineStr">
        <is>
          <t>No</t>
        </is>
      </c>
      <c r="AA10" s="111" t="inlineStr">
        <is>
          <t>No</t>
        </is>
      </c>
      <c r="AB10" s="134" t="inlineStr">
        <is>
          <t>No</t>
        </is>
      </c>
      <c r="AC10" s="136" t="inlineStr">
        <is>
          <t>HIGH</t>
        </is>
      </c>
      <c r="AD10" s="136" t="inlineStr">
        <is>
          <t>Affordable Comp #3: LIHTC property, 1988 vintage (8 yr diff), 50 units, 12.3 mi from subject. Same income-eligible renter pool.</t>
        </is>
      </c>
      <c r="AE10" s="136" t="inlineStr">
        <is>
          <t>HUD LIHTC Database (huduser.gov)</t>
        </is>
      </c>
      <c r="AF10" s="136" t="n"/>
      <c r="AG10" s="136" t="n"/>
      <c r="AH10" s="136" t="n"/>
      <c r="AI10" s="136" t="n"/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Grove Park Housing</t>
        </is>
      </c>
      <c r="D11" s="95" t="inlineStr">
        <is>
          <t>12631 Sunswept Ave</t>
        </is>
      </c>
      <c r="E11" s="95" t="inlineStr">
        <is>
          <t>Garden Grove</t>
        </is>
      </c>
      <c r="F11" s="95" t="inlineStr">
        <is>
          <t>CA</t>
        </is>
      </c>
      <c r="G11" s="95" t="inlineStr">
        <is>
          <t>92843</t>
        </is>
      </c>
      <c r="H11" s="95" t="inlineStr">
        <is>
          <t>5.4 mi</t>
        </is>
      </c>
      <c r="I11" s="95" t="inlineStr">
        <is>
          <t>$6,345</t>
        </is>
      </c>
      <c r="J11" s="95" t="inlineStr">
        <is>
          <t>$7,615</t>
        </is>
      </c>
      <c r="K11" s="39" t="inlineStr">
        <is>
          <t>$2,925</t>
        </is>
      </c>
      <c r="L11" s="53" t="inlineStr">
        <is>
          <t>Not Listed</t>
        </is>
      </c>
      <c r="M11" s="96" t="inlineStr">
        <is>
          <t>$7,050</t>
        </is>
      </c>
      <c r="N11" s="96" t="inlineStr">
        <is>
          <t>$8,460</t>
        </is>
      </c>
      <c r="O11" s="39" t="inlineStr">
        <is>
          <t>$3,965</t>
        </is>
      </c>
      <c r="P11" s="53" t="inlineStr">
        <is>
          <t>Not Listed</t>
        </is>
      </c>
      <c r="Q11" s="96" t="inlineStr">
        <is>
          <t>$7,616</t>
        </is>
      </c>
      <c r="R11" s="96" t="inlineStr">
        <is>
          <t>$9,140</t>
        </is>
      </c>
      <c r="S11" s="96" t="inlineStr">
        <is>
          <t>$4,583</t>
        </is>
      </c>
      <c r="T11" s="96" t="inlineStr">
        <is>
          <t>Not Listed</t>
        </is>
      </c>
      <c r="U11" s="96" t="inlineStr">
        <is>
          <t>104</t>
        </is>
      </c>
      <c r="V11" s="96" t="inlineStr">
        <is>
          <t>1989</t>
        </is>
      </c>
      <c r="W11" s="96" t="inlineStr">
        <is>
          <t>9</t>
        </is>
      </c>
      <c r="X11" s="96" t="inlineStr">
        <is>
          <t>Yes</t>
        </is>
      </c>
      <c r="Y11" s="45" t="inlineStr">
        <is>
          <t>No</t>
        </is>
      </c>
      <c r="Z11" s="97" t="inlineStr">
        <is>
          <t>No</t>
        </is>
      </c>
      <c r="AA11" s="113" t="inlineStr">
        <is>
          <t>No</t>
        </is>
      </c>
      <c r="AB11" s="134" t="inlineStr">
        <is>
          <t>No</t>
        </is>
      </c>
      <c r="AC11" s="136" t="inlineStr">
        <is>
          <t>HIGH</t>
        </is>
      </c>
      <c r="AD11" s="136" t="inlineStr">
        <is>
          <t>Affordable Comp #4: LIHTC property, 1989 vintage (9 yr diff), 104 units, 5.4 mi from subject. Same income-eligible renter pool.</t>
        </is>
      </c>
      <c r="AE11" s="136" t="inlineStr">
        <is>
          <t>HUD LIHTC Database (huduser.gov)</t>
        </is>
      </c>
      <c r="AF11" s="136" t="n"/>
      <c r="AG11" s="136" t="n"/>
      <c r="AH11" s="136" t="n"/>
      <c r="AI11" s="136" t="n"/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37.5" customHeight="1" s="131">
      <c r="A12" s="114" t="inlineStr">
        <is>
          <t>1</t>
        </is>
      </c>
      <c r="B12" s="70" t="inlineStr">
        <is>
          <t>MARKET RATE</t>
        </is>
      </c>
      <c r="C12" s="67" t="inlineStr">
        <is>
          <t>Park La Brea Apartments</t>
        </is>
      </c>
      <c r="D12" s="98" t="inlineStr">
        <is>
          <t>6200 W 3rd St, Los Angeles, CA 90036</t>
        </is>
      </c>
      <c r="E12" s="98" t="inlineStr">
        <is>
          <t>Los Angeles</t>
        </is>
      </c>
      <c r="F12" s="98" t="inlineStr">
        <is>
          <t>CA</t>
        </is>
      </c>
      <c r="G12" s="98" t="n"/>
      <c r="H12" s="98" t="inlineStr">
        <is>
          <t>35.0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$2,925</t>
        </is>
      </c>
      <c r="L12" s="53" t="n">
        <v>3200</v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$3,965</t>
        </is>
      </c>
      <c r="P12" s="53" t="n">
        <v>4100</v>
      </c>
      <c r="Q12" s="99" t="inlineStr">
        <is>
          <t>N/A (Market Rate)</t>
        </is>
      </c>
      <c r="R12" s="99" t="inlineStr">
        <is>
          <t>N/A (Market Rate)</t>
        </is>
      </c>
      <c r="S12" s="99" t="inlineStr">
        <is>
          <t>$4,583</t>
        </is>
      </c>
      <c r="T12" s="99" t="n"/>
      <c r="U12" s="99" t="inlineStr">
        <is>
          <t>4255</t>
        </is>
      </c>
      <c r="V12" s="99" t="inlineStr">
        <is>
          <t>1980</t>
        </is>
      </c>
      <c r="W12" s="99" t="inlineStr">
        <is>
          <t>0</t>
        </is>
      </c>
      <c r="X12" s="99" t="inlineStr">
        <is>
          <t>Varies</t>
        </is>
      </c>
      <c r="Y12" s="46" t="inlineStr">
        <is>
          <t>Varies</t>
        </is>
      </c>
      <c r="Z12" s="100" t="inlineStr">
        <is>
          <t>Varies</t>
        </is>
      </c>
      <c r="AA12" s="115" t="inlineStr">
        <is>
          <t>Varies</t>
        </is>
      </c>
      <c r="AB12" s="134" t="inlineStr">
        <is>
          <t>Varies</t>
        </is>
      </c>
      <c r="AC12" s="136" t="inlineStr">
        <is>
          <t>MODERATE</t>
        </is>
      </c>
      <c r="AD12" s="136" t="inlineStr">
        <is>
          <t>Market Rate Comp #1: No income restrictions, 1980 vintage (0 yr diff), 4255 units, 35.0 mi from subject. Shows market-rate rents vs. affordable housing discount.</t>
        </is>
      </c>
      <c r="AE12" s="136" t="inlineStr">
        <is>
          <t>https://www.rentcafe.com/apartments-for-rent/us/ca/los-angeles/park-la-brea/</t>
        </is>
      </c>
      <c r="AF12" s="136" t="n"/>
      <c r="AG12" s="136" t="n"/>
      <c r="AH12" s="136" t="n"/>
      <c r="AI12" s="136" t="n"/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inlineStr">
        <is>
          <t>2</t>
        </is>
      </c>
      <c r="B13" s="71" t="inlineStr">
        <is>
          <t>MARKET RATE</t>
        </is>
      </c>
      <c r="C13" s="68" t="inlineStr">
        <is>
          <t>Anaheim Hills Apartments</t>
        </is>
      </c>
      <c r="D13" s="101" t="inlineStr">
        <is>
          <t>5700 E La Palma Ave, Anaheim, CA 92807</t>
        </is>
      </c>
      <c r="E13" s="101" t="inlineStr">
        <is>
          <t>Anaheim</t>
        </is>
      </c>
      <c r="F13" s="101" t="inlineStr">
        <is>
          <t>CA</t>
        </is>
      </c>
      <c r="G13" s="101" t="n"/>
      <c r="H13" s="101" t="inlineStr">
        <is>
          <t>4.5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$2,925</t>
        </is>
      </c>
      <c r="L13" s="53" t="n">
        <v>2450</v>
      </c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$3,965</t>
        </is>
      </c>
      <c r="P13" s="53" t="n">
        <v>3100</v>
      </c>
      <c r="Q13" s="102" t="inlineStr">
        <is>
          <t>N/A (Market Rate)</t>
        </is>
      </c>
      <c r="R13" s="102" t="inlineStr">
        <is>
          <t>N/A (Market Rate)</t>
        </is>
      </c>
      <c r="S13" s="102" t="inlineStr">
        <is>
          <t>$4,583</t>
        </is>
      </c>
      <c r="T13" s="102" t="n"/>
      <c r="U13" s="102" t="inlineStr">
        <is>
          <t>200</t>
        </is>
      </c>
      <c r="V13" s="102" t="inlineStr">
        <is>
          <t>1982</t>
        </is>
      </c>
      <c r="W13" s="102" t="inlineStr">
        <is>
          <t>2</t>
        </is>
      </c>
      <c r="X13" s="102" t="inlineStr">
        <is>
          <t>Varies</t>
        </is>
      </c>
      <c r="Y13" s="47" t="inlineStr">
        <is>
          <t>Varies</t>
        </is>
      </c>
      <c r="Z13" s="103" t="inlineStr">
        <is>
          <t>Varies</t>
        </is>
      </c>
      <c r="AA13" s="117" t="inlineStr">
        <is>
          <t>Varies</t>
        </is>
      </c>
      <c r="AB13" s="134" t="inlineStr">
        <is>
          <t>Varies</t>
        </is>
      </c>
      <c r="AC13" s="136" t="inlineStr">
        <is>
          <t>HIGH</t>
        </is>
      </c>
      <c r="AD13" s="136" t="inlineStr">
        <is>
          <t>Market Rate Comp #2: No income restrictions, 1982 vintage (2 yr diff), 200 units, 4.5 mi from subject. Shows market-rate rents vs. affordable housing discount.</t>
        </is>
      </c>
      <c r="AE13" s="136" t="inlineStr">
        <is>
          <t>https://www.rentcafe.com/apartments-for-rent/us/ca/anaheim/</t>
        </is>
      </c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inlineStr">
        <is>
          <t>3</t>
        </is>
      </c>
      <c r="B14" s="69" t="inlineStr">
        <is>
          <t>MARKET RATE</t>
        </is>
      </c>
      <c r="C14" s="66" t="inlineStr">
        <is>
          <t>Garden Grove Apartments</t>
        </is>
      </c>
      <c r="D14" s="95" t="inlineStr">
        <is>
          <t>12800 Brookhurst St, Garden Grove, CA 92840</t>
        </is>
      </c>
      <c r="E14" s="95" t="inlineStr">
        <is>
          <t>Garden Grove</t>
        </is>
      </c>
      <c r="F14" s="95" t="inlineStr">
        <is>
          <t>CA</t>
        </is>
      </c>
      <c r="G14" s="95" t="n"/>
      <c r="H14" s="95" t="inlineStr">
        <is>
          <t>7.2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$2,925</t>
        </is>
      </c>
      <c r="L14" s="53" t="n">
        <v>2200</v>
      </c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$3,965</t>
        </is>
      </c>
      <c r="P14" s="53" t="n">
        <v>2750</v>
      </c>
      <c r="Q14" s="96" t="inlineStr">
        <is>
          <t>N/A (Market Rate)</t>
        </is>
      </c>
      <c r="R14" s="96" t="inlineStr">
        <is>
          <t>N/A (Market Rate)</t>
        </is>
      </c>
      <c r="S14" s="96" t="inlineStr">
        <is>
          <t>$4,583</t>
        </is>
      </c>
      <c r="T14" s="96" t="n"/>
      <c r="U14" s="96" t="inlineStr">
        <is>
          <t>120</t>
        </is>
      </c>
      <c r="V14" s="96" t="inlineStr">
        <is>
          <t>1978</t>
        </is>
      </c>
      <c r="W14" s="96" t="inlineStr">
        <is>
          <t>2</t>
        </is>
      </c>
      <c r="X14" s="96" t="inlineStr">
        <is>
          <t>Varies</t>
        </is>
      </c>
      <c r="Y14" s="45" t="inlineStr">
        <is>
          <t>Varies</t>
        </is>
      </c>
      <c r="Z14" s="97" t="inlineStr">
        <is>
          <t>Varies</t>
        </is>
      </c>
      <c r="AA14" s="113" t="inlineStr">
        <is>
          <t>Varies</t>
        </is>
      </c>
      <c r="AB14" s="134" t="inlineStr">
        <is>
          <t>Varies</t>
        </is>
      </c>
      <c r="AC14" s="136" t="inlineStr">
        <is>
          <t>HIGH</t>
        </is>
      </c>
      <c r="AD14" s="136" t="inlineStr">
        <is>
          <t>Market Rate Comp #3: No income restrictions, 1978 vintage (2 yr diff), 120 units, 7.2 mi from subject. Shows market-rate rents vs. affordable housing discount.</t>
        </is>
      </c>
      <c r="AE14" s="136" t="inlineStr">
        <is>
          <t>https://www.rentcafe.com/apartments-for-rent/us/ca/garden-grove/</t>
        </is>
      </c>
      <c r="AF14" s="136" t="n"/>
      <c r="AG14" s="136" t="n"/>
      <c r="AH14" s="136" t="n"/>
      <c r="AI14" s="136" t="n"/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inlineStr">
        <is>
          <t>4</t>
        </is>
      </c>
      <c r="B15" s="69" t="inlineStr">
        <is>
          <t>MARKET RATE</t>
        </is>
      </c>
      <c r="C15" s="66" t="inlineStr">
        <is>
          <t>Anaheim Terrace Apartments</t>
        </is>
      </c>
      <c r="D15" s="95" t="inlineStr">
        <is>
          <t>1800 W Lincoln Ave, Anaheim, CA 92801</t>
        </is>
      </c>
      <c r="E15" s="95" t="inlineStr">
        <is>
          <t>Anaheim</t>
        </is>
      </c>
      <c r="F15" s="95" t="inlineStr">
        <is>
          <t>CA</t>
        </is>
      </c>
      <c r="G15" s="95" t="n"/>
      <c r="H15" s="95" t="inlineStr">
        <is>
          <t>3.2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$2,925</t>
        </is>
      </c>
      <c r="L15" s="53" t="n">
        <v>2150</v>
      </c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$3,965</t>
        </is>
      </c>
      <c r="P15" s="53" t="n">
        <v>2700</v>
      </c>
      <c r="Q15" s="96" t="inlineStr">
        <is>
          <t>N/A (Market Rate)</t>
        </is>
      </c>
      <c r="R15" s="96" t="inlineStr">
        <is>
          <t>N/A (Market Rate)</t>
        </is>
      </c>
      <c r="S15" s="96" t="inlineStr">
        <is>
          <t>$4,583</t>
        </is>
      </c>
      <c r="T15" s="96" t="n"/>
      <c r="U15" s="96" t="inlineStr">
        <is>
          <t>96</t>
        </is>
      </c>
      <c r="V15" s="96" t="inlineStr">
        <is>
          <t>1978</t>
        </is>
      </c>
      <c r="W15" s="96" t="inlineStr">
        <is>
          <t>2</t>
        </is>
      </c>
      <c r="X15" s="96" t="inlineStr">
        <is>
          <t>Varies</t>
        </is>
      </c>
      <c r="Y15" s="45" t="inlineStr">
        <is>
          <t>Varies</t>
        </is>
      </c>
      <c r="Z15" s="97" t="inlineStr">
        <is>
          <t>Varies</t>
        </is>
      </c>
      <c r="AA15" s="113" t="inlineStr">
        <is>
          <t>Varies</t>
        </is>
      </c>
      <c r="AB15" s="134" t="inlineStr">
        <is>
          <t>Varies</t>
        </is>
      </c>
      <c r="AC15" s="136" t="inlineStr">
        <is>
          <t>HIGH</t>
        </is>
      </c>
      <c r="AD15" s="136" t="inlineStr">
        <is>
          <t>Market Rate Comp #4: No income restrictions, 1978 vintage (2 yr diff), 96 units, 3.2 mi from subject. Shows market-rate rents vs. affordable housing discount.</t>
        </is>
      </c>
      <c r="AE15" s="136" t="inlineStr">
        <is>
          <t>https://www.rentcafe.com/apartments-for-rent/us/ca/anaheim/</t>
        </is>
      </c>
      <c r="AF15" s="136" t="n"/>
      <c r="AG15" s="136" t="n"/>
      <c r="AH15" s="136" t="n"/>
      <c r="AI15" s="136" t="n"/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inlineStr">
        <is>
          <t>—</t>
        </is>
      </c>
      <c r="B16" s="82" t="inlineStr">
        <is>
          <t>BENCHMARK</t>
        </is>
      </c>
      <c r="C16" s="119" t="inlineStr">
        <is>
          <t>FY2026 FMR — Orange County, CA</t>
        </is>
      </c>
      <c r="D16" s="120" t="inlineStr">
        <is>
          <t>N/A</t>
        </is>
      </c>
      <c r="E16" s="120" t="inlineStr">
        <is>
          <t>Anaheim</t>
        </is>
      </c>
      <c r="F16" s="120" t="inlineStr">
        <is>
          <t>CA</t>
        </is>
      </c>
      <c r="G16" s="120" t="inlineStr">
        <is>
          <t>N/A</t>
        </is>
      </c>
      <c r="H16" s="120" t="inlineStr">
        <is>
          <t>N/A</t>
        </is>
      </c>
      <c r="I16" s="120" t="inlineStr">
        <is>
          <t>$2,925</t>
        </is>
      </c>
      <c r="J16" s="120" t="inlineStr">
        <is>
          <t>$2,925</t>
        </is>
      </c>
      <c r="K16" s="121" t="inlineStr">
        <is>
          <t>$2,925</t>
        </is>
      </c>
      <c r="L16" s="83" t="inlineStr">
        <is>
          <t>N/A</t>
        </is>
      </c>
      <c r="M16" s="122" t="inlineStr">
        <is>
          <t>$3,965</t>
        </is>
      </c>
      <c r="N16" s="122" t="inlineStr">
        <is>
          <t>$3,965</t>
        </is>
      </c>
      <c r="O16" s="121" t="inlineStr">
        <is>
          <t>$3,965</t>
        </is>
      </c>
      <c r="P16" s="83" t="inlineStr">
        <is>
          <t>N/A</t>
        </is>
      </c>
      <c r="Q16" s="122" t="inlineStr">
        <is>
          <t>$4,583</t>
        </is>
      </c>
      <c r="R16" s="122" t="inlineStr">
        <is>
          <t>$4,583</t>
        </is>
      </c>
      <c r="S16" s="122" t="inlineStr">
        <is>
          <t>$4,583</t>
        </is>
      </c>
      <c r="T16" s="122" t="inlineStr">
        <is>
          <t>N/A</t>
        </is>
      </c>
      <c r="U16" s="122" t="inlineStr">
        <is>
          <t>N/A</t>
        </is>
      </c>
      <c r="V16" s="122" t="inlineStr">
        <is>
          <t>N/A</t>
        </is>
      </c>
      <c r="W16" s="122" t="inlineStr">
        <is>
          <t>N/A</t>
        </is>
      </c>
      <c r="X16" s="122" t="inlineStr">
        <is>
          <t>N/A</t>
        </is>
      </c>
      <c r="Y16" s="84" t="inlineStr">
        <is>
          <t>N/A</t>
        </is>
      </c>
      <c r="Z16" s="123" t="inlineStr">
        <is>
          <t>N/A</t>
        </is>
      </c>
      <c r="AA16" s="124" t="inlineStr">
        <is>
          <t>N/A</t>
        </is>
      </c>
      <c r="AB16" s="134" t="inlineStr">
        <is>
          <t>N/A</t>
        </is>
      </c>
      <c r="AC16" s="136" t="inlineStr">
        <is>
          <t>BENCHMARK</t>
        </is>
      </c>
      <c r="AD16" s="136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136" t="inlineStr">
        <is>
          <t>HUD FMR Database (huduser.gov)</t>
        </is>
      </c>
      <c r="AF16" s="136" t="n"/>
      <c r="AG16" s="136" t="n"/>
      <c r="AH16" s="136" t="n"/>
      <c r="AI16" s="136" t="n"/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inlineStr">
        <is>
          <t>—</t>
        </is>
      </c>
      <c r="B17" s="88" t="inlineStr">
        <is>
          <t>BENCHMARK</t>
        </is>
      </c>
      <c r="C17" s="89" t="inlineStr">
        <is>
          <t>Metro Market Avg — Anaheim</t>
        </is>
      </c>
      <c r="D17" s="87" t="inlineStr">
        <is>
          <t>N/A</t>
        </is>
      </c>
      <c r="E17" s="87" t="inlineStr">
        <is>
          <t>Anaheim</t>
        </is>
      </c>
      <c r="F17" s="87" t="inlineStr">
        <is>
          <t>CA</t>
        </is>
      </c>
      <c r="G17" s="87" t="inlineStr">
        <is>
          <t>N/A</t>
        </is>
      </c>
      <c r="H17" s="87" t="inlineStr">
        <is>
          <t>N/A</t>
        </is>
      </c>
      <c r="I17" s="87" t="inlineStr">
        <is>
          <t>$3,217</t>
        </is>
      </c>
      <c r="J17" s="87" t="inlineStr">
        <is>
          <t>$3,217</t>
        </is>
      </c>
      <c r="K17" s="90" t="inlineStr">
        <is>
          <t>$3,217</t>
        </is>
      </c>
      <c r="L17" s="91" t="inlineStr">
        <is>
          <t>N/A</t>
        </is>
      </c>
      <c r="M17" s="92" t="inlineStr">
        <is>
          <t>$4,361</t>
        </is>
      </c>
      <c r="N17" s="92" t="inlineStr">
        <is>
          <t>$4,361</t>
        </is>
      </c>
      <c r="O17" s="90" t="inlineStr">
        <is>
          <t>$4,361</t>
        </is>
      </c>
      <c r="P17" s="91" t="inlineStr">
        <is>
          <t>N/A</t>
        </is>
      </c>
      <c r="Q17" s="92" t="inlineStr">
        <is>
          <t>$5,041</t>
        </is>
      </c>
      <c r="R17" s="92" t="inlineStr">
        <is>
          <t>$5,041</t>
        </is>
      </c>
      <c r="S17" s="92" t="inlineStr">
        <is>
          <t>$5,041</t>
        </is>
      </c>
      <c r="T17" s="92" t="inlineStr">
        <is>
          <t>N/A</t>
        </is>
      </c>
      <c r="U17" s="92" t="inlineStr">
        <is>
          <t>N/A</t>
        </is>
      </c>
      <c r="V17" s="92" t="inlineStr">
        <is>
          <t>N/A</t>
        </is>
      </c>
      <c r="W17" s="92" t="inlineStr">
        <is>
          <t>N/A</t>
        </is>
      </c>
      <c r="X17" s="92" t="inlineStr">
        <is>
          <t>N/A</t>
        </is>
      </c>
      <c r="Y17" s="93" t="inlineStr">
        <is>
          <t>N/A</t>
        </is>
      </c>
      <c r="Z17" s="94" t="inlineStr">
        <is>
          <t>N/A</t>
        </is>
      </c>
      <c r="AA17" s="92" t="inlineStr">
        <is>
          <t>N/A</t>
        </is>
      </c>
      <c r="AB17" s="136" t="inlineStr">
        <is>
          <t>N/A</t>
        </is>
      </c>
      <c r="AC17" s="136" t="inlineStr">
        <is>
          <t>BENCHMARK</t>
        </is>
      </c>
      <c r="AD17" s="136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136" t="inlineStr">
        <is>
          <t>HUD FMR + Market Estimate</t>
        </is>
      </c>
      <c r="AF17" s="136" t="n"/>
      <c r="AG17" s="136" t="n"/>
      <c r="AH17" s="136" t="n"/>
      <c r="AI17" s="136" t="n"/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F19" s="136" t="n"/>
      <c r="AG19" s="136" t="n"/>
      <c r="AH19" s="136" t="n"/>
      <c r="AI19" s="136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Height="1" s="131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Format="1" customHeight="1" s="2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Format="1" customHeight="1" s="2">
      <c r="A25" s="372" t="n"/>
      <c r="B25" s="201" t="inlineStr">
        <is>
          <t>2BD</t>
        </is>
      </c>
      <c r="C25" s="194" t="n"/>
      <c r="D25" s="200" t="n">
        <v>2500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Format="1" customHeight="1" s="2">
      <c r="A26" s="372" t="n"/>
      <c r="B26" s="201" t="inlineStr">
        <is>
          <t>3BD</t>
        </is>
      </c>
      <c r="C26" s="194" t="n"/>
      <c r="D26" s="200" t="n">
        <v>3162</v>
      </c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24.75" customHeight="1" s="131">
      <c r="A27" s="369" t="n"/>
      <c r="B27" s="201" t="inlineStr">
        <is>
          <t>4BD</t>
        </is>
      </c>
      <c r="C27" s="194" t="n"/>
      <c r="D27" s="200" t="n"/>
      <c r="E27" s="195" t="n"/>
      <c r="F27" s="183" t="n"/>
      <c r="G27" s="183" t="n"/>
      <c r="H27" s="183" t="n"/>
      <c r="I27" s="183" t="n"/>
      <c r="J27" s="183" t="n"/>
      <c r="K27" s="302" t="n"/>
      <c r="L27" s="302" t="n"/>
      <c r="M27" s="302" t="n"/>
      <c r="N27" s="302" t="n"/>
      <c r="O27" s="343" t="n"/>
      <c r="P27" s="302" t="n"/>
      <c r="Q27" s="302" t="n"/>
      <c r="R27" s="302" t="n"/>
      <c r="S27" s="302" t="n"/>
      <c r="T27" s="302" t="n"/>
      <c r="U27" s="302" t="n"/>
      <c r="V27" s="302" t="n"/>
      <c r="W27" s="302" t="n"/>
      <c r="X27" s="302" t="n"/>
      <c r="Y27" s="302" t="n"/>
      <c r="Z27" s="302" t="n"/>
      <c r="AA27" s="353" t="n"/>
      <c r="AB27" s="302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8.1" customHeight="1" s="131">
      <c r="A28" s="382" t="n"/>
      <c r="B28" s="404" t="n"/>
      <c r="C28" s="404" t="n"/>
      <c r="D28" s="404" t="n"/>
      <c r="E28" s="404" t="n"/>
      <c r="F28" s="382" t="n"/>
      <c r="G28" s="369" t="n"/>
      <c r="H28" s="369" t="n"/>
      <c r="I28" s="369" t="n"/>
      <c r="J28" s="369" t="n"/>
      <c r="K28" s="369" t="n"/>
      <c r="L28" s="134" t="n"/>
      <c r="M28" s="134" t="n"/>
      <c r="N28" s="134" t="n"/>
      <c r="O28" s="134" t="n"/>
      <c r="P28" s="134" t="n"/>
      <c r="Q28" s="134" t="n"/>
      <c r="R28" s="134" t="n"/>
      <c r="S28" s="134" t="n"/>
      <c r="T28" s="134" t="n"/>
      <c r="U28" s="134" t="n"/>
      <c r="V28" s="134" t="n"/>
      <c r="W28" s="134" t="n"/>
      <c r="X28" s="134" t="n"/>
      <c r="Y28" s="134" t="n"/>
      <c r="Z28" s="135" t="n"/>
      <c r="AA28" s="134" t="n"/>
      <c r="AB28" s="134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24.75" customFormat="1" customHeight="1" s="2">
      <c r="A29" s="302" t="n"/>
      <c r="B29" s="211" t="inlineStr">
        <is>
          <t>PMTS — Vouchers / FMR / UAP / NET</t>
        </is>
      </c>
      <c r="G29" s="365" t="n"/>
      <c r="H29" s="183" t="n"/>
      <c r="I29" s="183" t="n"/>
      <c r="J29" s="183" t="n"/>
      <c r="K29" s="302" t="n"/>
      <c r="L29" s="302" t="n"/>
      <c r="M29" s="302" t="n"/>
      <c r="N29" s="302" t="n"/>
      <c r="O29" s="302" t="n"/>
      <c r="P29" s="302" t="n"/>
      <c r="Q29" s="302" t="n"/>
      <c r="R29" s="302" t="n"/>
      <c r="S29" s="302" t="n"/>
      <c r="T29" s="302" t="n"/>
      <c r="U29" s="302" t="n"/>
      <c r="V29" s="302" t="n"/>
      <c r="W29" s="302" t="n"/>
      <c r="X29" s="302" t="n"/>
      <c r="Y29" s="302" t="n"/>
      <c r="Z29" s="302" t="n"/>
      <c r="AA29" s="353" t="n"/>
      <c r="AB29" s="302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15.95" customFormat="1" customHeight="1" s="2">
      <c r="A30" s="302" t="n"/>
      <c r="B30" s="226" t="n"/>
      <c r="C30" s="213" t="inlineStr">
        <is>
          <t>MKT</t>
        </is>
      </c>
      <c r="D30" s="213" t="inlineStr">
        <is>
          <t>VCH</t>
        </is>
      </c>
      <c r="E30" s="214" t="inlineStr">
        <is>
          <t>FMR</t>
        </is>
      </c>
      <c r="F30" s="215" t="inlineStr">
        <is>
          <t>UAP</t>
        </is>
      </c>
      <c r="G30" s="216" t="inlineStr">
        <is>
          <t>NET</t>
        </is>
      </c>
      <c r="H30" s="183" t="n"/>
      <c r="I30" s="183" t="n"/>
      <c r="J30" s="183" t="n"/>
      <c r="K30" s="302" t="n"/>
      <c r="L30" s="302" t="n"/>
      <c r="M30" s="302" t="n"/>
      <c r="N30" s="302" t="n"/>
      <c r="O30" s="302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24.75" customFormat="1" customHeight="1" s="2">
      <c r="A31" s="372" t="n"/>
      <c r="B31" s="217" t="inlineStr">
        <is>
          <t>1BD</t>
        </is>
      </c>
      <c r="C31" s="197" t="n">
        <v>0</v>
      </c>
      <c r="D31" s="197" t="n">
        <v>0</v>
      </c>
      <c r="E31" s="198" t="n">
        <v>1810</v>
      </c>
      <c r="F31" s="199" t="n">
        <v>0</v>
      </c>
      <c r="G31" s="218" t="n">
        <v>1810</v>
      </c>
      <c r="H31" s="183" t="n"/>
      <c r="I31" s="183" t="n"/>
      <c r="J31" s="183" t="n"/>
      <c r="K31" s="302" t="n"/>
      <c r="L31" s="302" t="n"/>
      <c r="M31" s="302" t="n"/>
      <c r="N31" s="302" t="n"/>
      <c r="O31" s="343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24.75" customFormat="1" customHeight="1" s="2">
      <c r="A32" s="369" t="n"/>
      <c r="B32" s="217" t="inlineStr">
        <is>
          <t>2BD</t>
        </is>
      </c>
      <c r="C32" s="197" t="n">
        <v>0</v>
      </c>
      <c r="D32" s="197" t="n">
        <v>1419</v>
      </c>
      <c r="E32" s="198" t="n">
        <v>2290</v>
      </c>
      <c r="F32" s="199" t="n">
        <v>0</v>
      </c>
      <c r="G32" s="218" t="n">
        <v>2290</v>
      </c>
      <c r="H32" s="183" t="n"/>
      <c r="I32" s="183" t="n"/>
      <c r="J32" s="183" t="n"/>
      <c r="K32" s="302" t="n"/>
      <c r="L32" s="302" t="n"/>
      <c r="M32" s="302" t="n"/>
      <c r="N32" s="302" t="n"/>
      <c r="O32" s="343" t="n"/>
      <c r="P32" s="302" t="n"/>
      <c r="Q32" s="302" t="n"/>
      <c r="R32" s="302" t="n"/>
      <c r="S32" s="302" t="n"/>
      <c r="T32" s="302" t="n"/>
      <c r="U32" s="302" t="n"/>
      <c r="V32" s="302" t="n"/>
      <c r="W32" s="302" t="n"/>
      <c r="X32" s="302" t="n"/>
      <c r="Y32" s="302" t="n"/>
      <c r="Z32" s="302" t="n"/>
      <c r="AA32" s="353" t="n"/>
      <c r="AB32" s="302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24.75" customFormat="1" customHeight="1" s="2">
      <c r="A33" s="382" t="n"/>
      <c r="B33" s="217" t="inlineStr">
        <is>
          <t>3BD</t>
        </is>
      </c>
      <c r="C33" s="197" t="n">
        <v>1825</v>
      </c>
      <c r="D33" s="197" t="n">
        <v>535</v>
      </c>
      <c r="E33" s="198" t="n">
        <v>2940</v>
      </c>
      <c r="F33" s="199" t="n">
        <v>0</v>
      </c>
      <c r="G33" s="218" t="n">
        <v>2940</v>
      </c>
      <c r="H33" s="183" t="n"/>
      <c r="I33" s="183" t="n"/>
      <c r="J33" s="183" t="n"/>
      <c r="K33" s="302" t="n"/>
      <c r="L33" s="302" t="n"/>
      <c r="M33" s="302" t="n"/>
      <c r="N33" s="302" t="n"/>
      <c r="O33" s="343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8.1" customHeight="1" s="131">
      <c r="A34" s="372" t="n"/>
      <c r="B34" s="372" t="n"/>
      <c r="C34" s="372" t="n"/>
      <c r="D34" s="372" t="n"/>
      <c r="E34" s="372" t="n"/>
      <c r="F34" s="369" t="n"/>
      <c r="G34" s="369" t="n"/>
      <c r="H34" s="369" t="n"/>
      <c r="I34" s="369" t="n"/>
      <c r="J34" s="369" t="n"/>
      <c r="K34" s="369" t="n"/>
      <c r="L34" s="136" t="n"/>
      <c r="M34" s="136" t="n"/>
      <c r="N34" s="136" t="n"/>
      <c r="O34" s="136" t="n"/>
      <c r="P34" s="136" t="n"/>
      <c r="Q34" s="136" t="n"/>
      <c r="R34" s="136" t="n"/>
      <c r="S34" s="136" t="n"/>
      <c r="T34" s="136" t="n"/>
      <c r="U34" s="136" t="n"/>
      <c r="V34" s="136" t="n"/>
      <c r="W34" s="136" t="n"/>
      <c r="X34" s="136" t="n"/>
      <c r="Y34" s="136" t="n"/>
      <c r="Z34" s="136" t="n"/>
      <c r="AA34" s="136" t="n"/>
      <c r="AB34" s="136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24.75" customHeight="1" s="131">
      <c r="A35" s="302" t="n"/>
      <c r="B35" s="366" t="inlineStr">
        <is>
          <t>LIHTC, UAP, NET</t>
        </is>
      </c>
      <c r="C35" s="358" t="n"/>
      <c r="D35" s="358" t="n"/>
      <c r="E35" s="358" t="n"/>
      <c r="F35" s="358" t="n"/>
      <c r="G35" s="359" t="n"/>
      <c r="H35" s="183" t="n"/>
      <c r="I35" s="183" t="n"/>
      <c r="J35" s="183" t="n"/>
      <c r="K35" s="302" t="n"/>
      <c r="L35" s="302" t="n"/>
      <c r="M35" s="302" t="n"/>
      <c r="N35" s="302" t="n"/>
      <c r="O35" s="302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16.5" customHeight="1" s="131">
      <c r="A36" s="369" t="n"/>
      <c r="B36" s="226" t="inlineStr">
        <is>
          <t>No LIHTC data available</t>
        </is>
      </c>
      <c r="C36" s="228" t="n"/>
      <c r="D36" s="228" t="n"/>
      <c r="E36" s="215" t="n"/>
      <c r="F36" s="216" t="n"/>
      <c r="G36" s="183" t="n"/>
      <c r="H36" s="183" t="n"/>
      <c r="I36" s="183" t="n"/>
      <c r="J36" s="183" t="n"/>
      <c r="K36" s="302" t="n"/>
      <c r="L36" s="302" t="n"/>
      <c r="M36" s="302" t="n"/>
      <c r="N36" s="302" t="n"/>
      <c r="O36" s="343" t="n"/>
      <c r="P36" s="302" t="n"/>
      <c r="Q36" s="302" t="n"/>
      <c r="R36" s="302" t="n"/>
      <c r="S36" s="302" t="n"/>
      <c r="T36" s="302" t="n"/>
      <c r="U36" s="302" t="n"/>
      <c r="V36" s="302" t="n"/>
      <c r="W36" s="302" t="n"/>
      <c r="X36" s="302" t="n"/>
      <c r="Y36" s="302" t="n"/>
      <c r="Z36" s="302" t="n"/>
      <c r="AA36" s="353" t="n"/>
      <c r="AB36" s="302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18" customHeight="1" s="131">
      <c r="A37" s="369" t="n"/>
      <c r="B37" s="381" t="n"/>
      <c r="C37" s="381" t="n"/>
      <c r="D37" s="369" t="n"/>
      <c r="E37" s="369" t="n"/>
      <c r="F37" s="369" t="n"/>
      <c r="G37" s="369" t="n"/>
      <c r="H37" s="369" t="n"/>
      <c r="I37" s="369" t="n"/>
      <c r="J37" s="369" t="n"/>
      <c r="K37" s="369" t="n"/>
      <c r="L37" s="134" t="n"/>
      <c r="M37" s="134" t="n"/>
      <c r="N37" s="134" t="n"/>
      <c r="O37" s="134" t="n"/>
      <c r="P37" s="134" t="n"/>
      <c r="Q37" s="134" t="n"/>
      <c r="R37" s="134" t="n"/>
      <c r="S37" s="134" t="n"/>
      <c r="T37" s="134" t="n"/>
      <c r="U37" s="134" t="n"/>
      <c r="V37" s="134" t="n"/>
      <c r="W37" s="134" t="n"/>
      <c r="X37" s="134" t="n"/>
      <c r="Y37" s="134" t="n"/>
      <c r="Z37" s="135" t="n"/>
      <c r="AA37" s="134" t="n"/>
      <c r="AB37" s="134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24.75" customHeight="1" s="131">
      <c r="A38" s="302" t="n"/>
      <c r="B38" s="207" t="inlineStr">
        <is>
          <t>HAP, CoStar, NET</t>
        </is>
      </c>
      <c r="H38" s="183" t="n"/>
      <c r="I38" s="183" t="n"/>
      <c r="J38" s="183" t="n"/>
      <c r="K38" s="302" t="n"/>
      <c r="L38" s="302" t="n"/>
      <c r="M38" s="302" t="n"/>
      <c r="N38" s="302" t="n"/>
      <c r="O38" s="302" t="n"/>
      <c r="P38" s="302" t="n"/>
      <c r="Q38" s="302" t="n"/>
      <c r="R38" s="302" t="n"/>
      <c r="S38" s="302" t="n"/>
      <c r="T38" s="302" t="n"/>
      <c r="U38" s="302" t="n"/>
      <c r="V38" s="302" t="n"/>
      <c r="W38" s="302" t="n"/>
      <c r="X38" s="302" t="n"/>
      <c r="Y38" s="302" t="n"/>
      <c r="Z38" s="302" t="n"/>
      <c r="AA38" s="353" t="n"/>
      <c r="AB38" s="302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15.95" customHeight="1" s="131">
      <c r="A39" s="302" t="n"/>
      <c r="B39" s="227" t="n"/>
      <c r="C39" s="208" t="inlineStr">
        <is>
          <t>HAP</t>
        </is>
      </c>
      <c r="D39" s="209" t="inlineStr">
        <is>
          <t>CoStar</t>
        </is>
      </c>
      <c r="E39" s="302" t="n"/>
      <c r="F39" s="302" t="n"/>
      <c r="G39" s="302" t="n"/>
      <c r="H39" s="183" t="n"/>
      <c r="I39" s="183" t="n"/>
      <c r="J39" s="183" t="n"/>
      <c r="K39" s="302" t="n"/>
      <c r="L39" s="302" t="n"/>
      <c r="M39" s="302" t="n"/>
      <c r="N39" s="302" t="n"/>
      <c r="O39" s="302" t="n"/>
      <c r="P39" s="302" t="n"/>
      <c r="Q39" s="302" t="n"/>
      <c r="R39" s="302" t="n"/>
      <c r="S39" s="302" t="n"/>
      <c r="T39" s="302" t="n"/>
      <c r="U39" s="302" t="n"/>
      <c r="V39" s="302" t="n"/>
      <c r="W39" s="302" t="n"/>
      <c r="X39" s="302" t="n"/>
      <c r="Y39" s="302" t="n"/>
      <c r="Z39" s="302" t="n"/>
      <c r="AA39" s="353" t="n"/>
      <c r="AB39" s="302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ht="24.75" customHeight="1" s="131">
      <c r="A40" s="302" t="n"/>
      <c r="B40" s="196" t="inlineStr">
        <is>
          <t>1BD</t>
        </is>
      </c>
      <c r="C40" s="199" t="n">
        <v>3374</v>
      </c>
      <c r="D40" s="198" t="n">
        <v>1731</v>
      </c>
      <c r="E40" s="183" t="n"/>
      <c r="F40" s="183" t="n"/>
      <c r="G40" s="183" t="n"/>
      <c r="H40" s="183" t="n"/>
      <c r="I40" s="183" t="n"/>
      <c r="J40" s="183" t="n"/>
      <c r="K40" s="302" t="n"/>
      <c r="L40" s="302" t="n"/>
      <c r="M40" s="302" t="n"/>
      <c r="N40" s="302" t="n"/>
      <c r="O40" s="302" t="n"/>
      <c r="P40" s="302" t="n"/>
      <c r="Q40" s="302" t="n"/>
      <c r="R40" s="302" t="n"/>
      <c r="S40" s="302" t="n"/>
      <c r="T40" s="302" t="n"/>
      <c r="U40" s="302" t="n"/>
      <c r="V40" s="302" t="n"/>
      <c r="W40" s="302" t="n"/>
      <c r="X40" s="302" t="n"/>
      <c r="Y40" s="302" t="n"/>
      <c r="Z40" s="302" t="n"/>
      <c r="AA40" s="353" t="n"/>
      <c r="AB40" s="302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ht="24.75" customHeight="1" s="131">
      <c r="A41" s="302" t="n"/>
      <c r="B41" s="196" t="inlineStr">
        <is>
          <t>2BD</t>
        </is>
      </c>
      <c r="C41" s="199" t="n">
        <v>3979</v>
      </c>
      <c r="D41" s="198" t="n">
        <v>2242</v>
      </c>
      <c r="E41" s="183" t="n"/>
      <c r="F41" s="183" t="n"/>
      <c r="G41" s="183" t="n"/>
      <c r="H41" s="183" t="n"/>
      <c r="I41" s="183" t="n"/>
      <c r="J41" s="183" t="n"/>
      <c r="K41" s="302" t="n"/>
      <c r="L41" s="302" t="n"/>
      <c r="M41" s="302" t="n"/>
      <c r="N41" s="302" t="n"/>
      <c r="O41" s="302" t="n"/>
      <c r="P41" s="302" t="n"/>
      <c r="Q41" s="302" t="n"/>
      <c r="R41" s="302" t="n"/>
      <c r="S41" s="302" t="n"/>
      <c r="T41" s="302" t="n"/>
      <c r="U41" s="302" t="n"/>
      <c r="V41" s="302" t="n"/>
      <c r="W41" s="302" t="n"/>
      <c r="X41" s="302" t="n"/>
      <c r="Y41" s="302" t="n"/>
      <c r="Z41" s="302" t="n"/>
      <c r="AA41" s="353" t="n"/>
      <c r="AB41" s="302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ht="24.75" customHeight="1" s="131">
      <c r="A42" s="302" t="n"/>
      <c r="B42" s="196" t="inlineStr">
        <is>
          <t>3BD</t>
        </is>
      </c>
      <c r="C42" s="199" t="n">
        <v>4973</v>
      </c>
      <c r="D42" s="198" t="n">
        <v>2816</v>
      </c>
      <c r="E42" s="183" t="n"/>
      <c r="F42" s="183" t="n"/>
      <c r="G42" s="183" t="n"/>
      <c r="H42" s="183" t="n"/>
      <c r="I42" s="183" t="n"/>
      <c r="J42" s="183" t="n"/>
      <c r="K42" s="302" t="n"/>
      <c r="L42" s="302" t="n"/>
      <c r="M42" s="302" t="n"/>
      <c r="N42" s="302" t="n"/>
      <c r="O42" s="302" t="n"/>
      <c r="P42" s="302" t="n"/>
      <c r="Q42" s="302" t="n"/>
      <c r="R42" s="302" t="n"/>
      <c r="S42" s="302" t="n"/>
      <c r="T42" s="302" t="n"/>
      <c r="U42" s="302" t="n"/>
      <c r="V42" s="302" t="n"/>
      <c r="W42" s="302" t="n"/>
      <c r="X42" s="302" t="n"/>
      <c r="Y42" s="302" t="n"/>
      <c r="Z42" s="302" t="n"/>
      <c r="AA42" s="353" t="n"/>
      <c r="AB42" s="302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s="131">
      <c r="A43" s="369" t="n"/>
      <c r="B43" s="369" t="n"/>
      <c r="C43" s="369" t="n"/>
      <c r="D43" s="369" t="n"/>
      <c r="E43" s="369" t="n"/>
      <c r="F43" s="369" t="n"/>
      <c r="G43" s="369" t="n"/>
      <c r="H43" s="369" t="n"/>
      <c r="I43" s="369" t="n"/>
      <c r="J43" s="369" t="n"/>
      <c r="K43" s="369" t="n"/>
      <c r="L43" s="136" t="n"/>
      <c r="M43" s="136" t="n"/>
      <c r="N43" s="136" t="n"/>
      <c r="O43" s="136" t="n"/>
      <c r="P43" s="136" t="n"/>
      <c r="Q43" s="136" t="n"/>
      <c r="R43" s="136" t="n"/>
      <c r="S43" s="136" t="n"/>
      <c r="T43" s="136" t="n"/>
      <c r="U43" s="136" t="n"/>
      <c r="V43" s="136" t="n"/>
      <c r="W43" s="136" t="n"/>
      <c r="X43" s="136" t="n"/>
      <c r="Y43" s="136" t="n"/>
      <c r="Z43" s="136" t="n"/>
      <c r="AA43" s="136" t="n"/>
      <c r="AB43" s="136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s="131">
      <c r="A44" s="369" t="n"/>
      <c r="B44" s="369" t="n"/>
      <c r="C44" s="369" t="n"/>
      <c r="D44" s="369" t="n"/>
      <c r="E44" s="369" t="n"/>
      <c r="F44" s="369" t="n"/>
      <c r="G44" s="369" t="n"/>
      <c r="H44" s="369" t="n"/>
      <c r="I44" s="369" t="n"/>
      <c r="J44" s="369" t="n"/>
      <c r="K44" s="369" t="n"/>
      <c r="L44" s="136" t="n"/>
      <c r="M44" s="136" t="n"/>
      <c r="N44" s="136" t="n"/>
      <c r="O44" s="136" t="n"/>
      <c r="P44" s="136" t="n"/>
      <c r="Q44" s="136" t="n"/>
      <c r="R44" s="136" t="n"/>
      <c r="S44" s="136" t="n"/>
      <c r="T44" s="136" t="n"/>
      <c r="U44" s="136" t="n"/>
      <c r="V44" s="136" t="n"/>
      <c r="W44" s="136" t="n"/>
      <c r="X44" s="136" t="n"/>
      <c r="Y44" s="136" t="n"/>
      <c r="Z44" s="136" t="n"/>
      <c r="AA44" s="136" t="n"/>
      <c r="AB44" s="136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s="131">
      <c r="A45" s="369" t="n"/>
      <c r="B45" s="369" t="n"/>
      <c r="C45" s="369" t="n"/>
      <c r="D45" s="369" t="n"/>
      <c r="E45" s="369" t="n"/>
      <c r="F45" s="369" t="n"/>
      <c r="G45" s="369" t="n"/>
      <c r="H45" s="369" t="n"/>
      <c r="I45" s="369" t="n"/>
      <c r="J45" s="369" t="n"/>
      <c r="K45" s="369" t="n"/>
      <c r="L45" s="136" t="n"/>
      <c r="M45" s="136" t="n"/>
      <c r="N45" s="136" t="n"/>
      <c r="O45" s="136" t="n"/>
      <c r="P45" s="136" t="n"/>
      <c r="Q45" s="136" t="n"/>
      <c r="R45" s="136" t="n"/>
      <c r="S45" s="136" t="n"/>
      <c r="T45" s="136" t="n"/>
      <c r="U45" s="136" t="n"/>
      <c r="V45" s="136" t="n"/>
      <c r="W45" s="136" t="n"/>
      <c r="X45" s="136" t="n"/>
      <c r="Y45" s="136" t="n"/>
      <c r="Z45" s="136" t="n"/>
      <c r="AA45" s="136" t="n"/>
      <c r="AB45" s="136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s="131">
      <c r="A46" s="369" t="n"/>
      <c r="B46" s="369" t="n"/>
      <c r="C46" s="369" t="n"/>
      <c r="D46" s="369" t="n"/>
      <c r="E46" s="369" t="n"/>
      <c r="F46" s="369" t="n"/>
      <c r="G46" s="369" t="n"/>
      <c r="H46" s="369" t="n"/>
      <c r="I46" s="369" t="n"/>
      <c r="J46" s="369" t="n"/>
      <c r="K46" s="369" t="n"/>
      <c r="L46" s="136" t="n"/>
      <c r="M46" s="136" t="n"/>
      <c r="N46" s="136" t="n"/>
      <c r="O46" s="136" t="n"/>
      <c r="P46" s="136" t="n"/>
      <c r="Q46" s="136" t="n"/>
      <c r="R46" s="136" t="n"/>
      <c r="S46" s="136" t="n"/>
      <c r="T46" s="136" t="n"/>
      <c r="U46" s="136" t="n"/>
      <c r="V46" s="136" t="n"/>
      <c r="W46" s="136" t="n"/>
      <c r="X46" s="136" t="n"/>
      <c r="Y46" s="136" t="n"/>
      <c r="Z46" s="136" t="n"/>
      <c r="AA46" s="136" t="n"/>
      <c r="AB46" s="136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s="131">
      <c r="A47" s="369" t="n"/>
      <c r="B47" s="369" t="n"/>
      <c r="C47" s="369" t="n"/>
      <c r="D47" s="369" t="n"/>
      <c r="E47" s="369" t="n"/>
      <c r="F47" s="369" t="n"/>
      <c r="G47" s="369" t="n"/>
      <c r="H47" s="369" t="n"/>
      <c r="I47" s="369" t="n"/>
      <c r="J47" s="369" t="n"/>
      <c r="K47" s="369" t="n"/>
      <c r="L47" s="136" t="n"/>
      <c r="M47" s="136" t="n"/>
      <c r="N47" s="136" t="n"/>
      <c r="O47" s="136" t="n"/>
      <c r="P47" s="136" t="n"/>
      <c r="Q47" s="136" t="n"/>
      <c r="R47" s="136" t="n"/>
      <c r="S47" s="136" t="n"/>
      <c r="T47" s="136" t="n"/>
      <c r="U47" s="136" t="n"/>
      <c r="V47" s="136" t="n"/>
      <c r="W47" s="136" t="n"/>
      <c r="X47" s="136" t="n"/>
      <c r="Y47" s="136" t="n"/>
      <c r="Z47" s="136" t="n"/>
      <c r="AA47" s="136" t="n"/>
      <c r="AB47" s="136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s="131">
      <c r="A48" s="369" t="n"/>
      <c r="B48" s="369" t="n"/>
      <c r="C48" s="369" t="n"/>
      <c r="D48" s="369" t="n"/>
      <c r="E48" s="369" t="n"/>
      <c r="F48" s="369" t="n"/>
      <c r="G48" s="369" t="n"/>
      <c r="H48" s="369" t="n"/>
      <c r="I48" s="369" t="n"/>
      <c r="J48" s="369" t="n"/>
      <c r="K48" s="369" t="n"/>
      <c r="L48" s="136" t="n"/>
      <c r="M48" s="136" t="n"/>
      <c r="N48" s="136" t="n"/>
      <c r="O48" s="136" t="n"/>
      <c r="P48" s="136" t="n"/>
      <c r="Q48" s="136" t="n"/>
      <c r="R48" s="136" t="n"/>
      <c r="S48" s="136" t="n"/>
      <c r="T48" s="136" t="n"/>
      <c r="U48" s="136" t="n"/>
      <c r="V48" s="136" t="n"/>
      <c r="W48" s="136" t="n"/>
      <c r="X48" s="136" t="n"/>
      <c r="Y48" s="136" t="n"/>
      <c r="Z48" s="136" t="n"/>
      <c r="AA48" s="136" t="n"/>
      <c r="AB48" s="136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s="131">
      <c r="A49" s="369" t="n"/>
      <c r="B49" s="369" t="n"/>
      <c r="C49" s="369" t="n"/>
      <c r="D49" s="369" t="n"/>
      <c r="E49" s="369" t="n"/>
      <c r="F49" s="369" t="n"/>
      <c r="G49" s="369" t="n"/>
      <c r="H49" s="369" t="n"/>
      <c r="I49" s="369" t="n"/>
      <c r="J49" s="369" t="n"/>
      <c r="K49" s="369" t="n"/>
      <c r="L49" s="136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6" t="n"/>
      <c r="Y49" s="136" t="n"/>
      <c r="Z49" s="136" t="n"/>
      <c r="AA49" s="136" t="n"/>
      <c r="AB49" s="136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s="131">
      <c r="A50" s="369" t="n"/>
      <c r="B50" s="369" t="n"/>
      <c r="C50" s="369" t="n"/>
      <c r="D50" s="369" t="n"/>
      <c r="E50" s="369" t="n"/>
      <c r="F50" s="369" t="n"/>
      <c r="G50" s="369" t="n"/>
      <c r="H50" s="369" t="n"/>
      <c r="I50" s="369" t="n"/>
      <c r="J50" s="369" t="n"/>
      <c r="K50" s="369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</sheetData>
  <mergeCells count="9">
    <mergeCell ref="B38:G38"/>
    <mergeCell ref="B4:AB4"/>
    <mergeCell ref="B22:G22"/>
    <mergeCell ref="B2:AB2"/>
    <mergeCell ref="B23:G23"/>
    <mergeCell ref="B20:I20"/>
    <mergeCell ref="B35:G35"/>
    <mergeCell ref="B3:AB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:W1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FAIRFAX | GREEN = Affordable Comps | BLUE = Market Rate Comps</t>
        </is>
      </c>
      <c r="B3" s="363" t="n"/>
      <c r="AB3" s="363" t="n"/>
      <c r="AC3" s="136" t="n"/>
      <c r="AD3" s="136" t="n"/>
      <c r="AE3" s="136" t="n"/>
      <c r="AF3" s="136" t="n"/>
      <c r="AG3" s="136" t="n"/>
      <c r="AH3" s="136" t="n"/>
      <c r="AI3" s="136" t="n"/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Fairfax | 737 1/2 S Genesee Ave, Los Angeles, CA 90036 | 46 units | Program: Section 8/HUD | Bedroom Mix: 1BR | County AMI: $106,600 | FMR Area: Los Angeles County</t>
        </is>
      </c>
      <c r="B4" s="363" t="n"/>
      <c r="AB4" s="363" t="n"/>
      <c r="AC4" s="136" t="n"/>
      <c r="AD4" s="136" t="n"/>
      <c r="AE4" s="136" t="n"/>
      <c r="AF4" s="136" t="n"/>
      <c r="AG4" s="136" t="n"/>
      <c r="AH4" s="136" t="n"/>
      <c r="AI4" s="136" t="n"/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X5" s="304" t="n"/>
      <c r="Y5" s="304" t="n"/>
      <c r="Z5" s="304" t="n"/>
      <c r="AA5" s="304" t="n"/>
      <c r="AB5" s="341" t="n"/>
      <c r="AC5" s="136" t="n"/>
      <c r="AD5" s="136" t="n"/>
      <c r="AE5" s="136" t="n"/>
      <c r="AF5" s="136" t="n"/>
      <c r="AG5" s="136" t="n"/>
      <c r="AH5" s="136" t="n"/>
      <c r="AI5" s="136" t="n"/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1BD 50% AMI ($)</t>
        </is>
      </c>
      <c r="J6" s="280" t="inlineStr">
        <is>
          <t>1BD 60% AMI ($)</t>
        </is>
      </c>
      <c r="K6" s="280" t="inlineStr">
        <is>
          <t>1BR FMR ($)</t>
        </is>
      </c>
      <c r="L6" s="335" t="inlineStr">
        <is>
          <t>1BR Actual ($)</t>
        </is>
      </c>
      <c r="M6" s="281" t="inlineStr">
        <is>
          <t># Units</t>
        </is>
      </c>
      <c r="N6" s="280" t="inlineStr">
        <is>
          <t>Year Built</t>
        </is>
      </c>
      <c r="O6" s="280" t="inlineStr">
        <is>
          <t>Yr Diff</t>
        </is>
      </c>
      <c r="P6" s="335" t="inlineStr">
        <is>
          <t>Utilities Incl.</t>
        </is>
      </c>
      <c r="Q6" s="281" t="inlineStr">
        <is>
          <t>Pet Friendly</t>
        </is>
      </c>
      <c r="R6" s="280" t="inlineStr">
        <is>
          <t>Gated</t>
        </is>
      </c>
      <c r="S6" s="280" t="inlineStr">
        <is>
          <t>Pool</t>
        </is>
      </c>
      <c r="T6" s="339" t="inlineStr">
        <is>
          <t>W/D In-Unit</t>
        </is>
      </c>
      <c r="U6" s="339" t="inlineStr">
        <is>
          <t>Competition Level</t>
        </is>
      </c>
      <c r="V6" s="339" t="inlineStr">
        <is>
          <t>Why Competitive</t>
        </is>
      </c>
      <c r="W6" s="339" t="inlineStr">
        <is>
          <t>Data Source</t>
        </is>
      </c>
      <c r="X6" s="339" t="n"/>
      <c r="Y6" s="339" t="n"/>
      <c r="Z6" s="336" t="n"/>
      <c r="AA6" s="340" t="n"/>
      <c r="AB6" s="342" t="n"/>
      <c r="AC6" s="136" t="n"/>
      <c r="AD6" s="136" t="n"/>
      <c r="AE6" s="136" t="n"/>
      <c r="AF6" s="136" t="n"/>
      <c r="AG6" s="136" t="n"/>
      <c r="AH6" s="136" t="n"/>
      <c r="AI6" s="136" t="n"/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Fairfax (SUBJECT)</t>
        </is>
      </c>
      <c r="D7" s="174" t="inlineStr">
        <is>
          <t>737 1/2 S Genesee Ave</t>
        </is>
      </c>
      <c r="E7" s="174" t="inlineStr">
        <is>
          <t>Los Angeles</t>
        </is>
      </c>
      <c r="F7" s="174" t="inlineStr">
        <is>
          <t>CA</t>
        </is>
      </c>
      <c r="G7" s="174" t="inlineStr">
        <is>
          <t>90036</t>
        </is>
      </c>
      <c r="H7" s="174" t="inlineStr">
        <is>
          <t>0.0 mi</t>
        </is>
      </c>
      <c r="I7" s="174" t="inlineStr">
        <is>
          <t>$4,733</t>
        </is>
      </c>
      <c r="J7" s="174" t="inlineStr">
        <is>
          <t>$5,680</t>
        </is>
      </c>
      <c r="K7" s="174" t="inlineStr">
        <is>
          <t>$1,736</t>
        </is>
      </c>
      <c r="L7" s="368">
        <f>B26</f>
        <v/>
      </c>
      <c r="M7" s="174" t="inlineStr">
        <is>
          <t>46</t>
        </is>
      </c>
      <c r="N7" s="174" t="inlineStr">
        <is>
          <t>1965</t>
        </is>
      </c>
      <c r="O7" s="174" t="inlineStr">
        <is>
          <t>0</t>
        </is>
      </c>
      <c r="P7" s="174" t="inlineStr">
        <is>
          <t>Yes</t>
        </is>
      </c>
      <c r="Q7" s="174" t="inlineStr">
        <is>
          <t>No</t>
        </is>
      </c>
      <c r="R7" s="174" t="inlineStr">
        <is>
          <t>No</t>
        </is>
      </c>
      <c r="S7" s="174" t="inlineStr">
        <is>
          <t>No</t>
        </is>
      </c>
      <c r="T7" s="174" t="inlineStr">
        <is>
          <t>No</t>
        </is>
      </c>
      <c r="U7" s="174" t="inlineStr">
        <is>
          <t>SUBJECT</t>
        </is>
      </c>
      <c r="V7" s="174" t="inlineStr">
        <is>
          <t>46 units | Section 8/HUD property. Year built: 1965. Subject property for market context.</t>
        </is>
      </c>
      <c r="W7" s="174" t="inlineStr">
        <is>
          <t>Apartment Corp Records</t>
        </is>
      </c>
      <c r="X7" s="174" t="n"/>
      <c r="Y7" s="42" t="n"/>
      <c r="Z7" s="55" t="n"/>
      <c r="AA7" s="40" t="n"/>
      <c r="AB7" s="136" t="n"/>
      <c r="AC7" s="136" t="n"/>
      <c r="AD7" s="136" t="n"/>
      <c r="AE7" s="136" t="n"/>
      <c r="AF7" s="136" t="n"/>
      <c r="AG7" s="136" t="n"/>
      <c r="AH7" s="136" t="n"/>
      <c r="AI7" s="136" t="n"/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Wilshire Arms Apartments</t>
        </is>
      </c>
      <c r="D8" s="59" t="inlineStr">
        <is>
          <t>850 S Wilton Pl</t>
        </is>
      </c>
      <c r="E8" s="59" t="inlineStr">
        <is>
          <t>Los Angeles</t>
        </is>
      </c>
      <c r="F8" s="59" t="inlineStr">
        <is>
          <t>CA</t>
        </is>
      </c>
      <c r="G8" s="59" t="inlineStr">
        <is>
          <t>90005</t>
        </is>
      </c>
      <c r="H8" s="59" t="inlineStr">
        <is>
          <t>2.8 mi</t>
        </is>
      </c>
      <c r="I8" s="59" t="inlineStr">
        <is>
          <t>$4,733</t>
        </is>
      </c>
      <c r="J8" s="59" t="inlineStr">
        <is>
          <t>$5,680</t>
        </is>
      </c>
      <c r="K8" s="41" t="inlineStr">
        <is>
          <t>$1,736</t>
        </is>
      </c>
      <c r="L8" s="53" t="inlineStr">
        <is>
          <t>Not Listed</t>
        </is>
      </c>
      <c r="M8" s="43" t="inlineStr">
        <is>
          <t>44</t>
        </is>
      </c>
      <c r="N8" s="43" t="inlineStr">
        <is>
          <t>1965</t>
        </is>
      </c>
      <c r="O8" s="41" t="inlineStr">
        <is>
          <t>0</t>
        </is>
      </c>
      <c r="P8" s="53" t="inlineStr">
        <is>
          <t>Yes</t>
        </is>
      </c>
      <c r="Q8" s="43" t="inlineStr">
        <is>
          <t>No</t>
        </is>
      </c>
      <c r="R8" s="43" t="inlineStr">
        <is>
          <t>No</t>
        </is>
      </c>
      <c r="S8" s="43" t="inlineStr">
        <is>
          <t>No</t>
        </is>
      </c>
      <c r="T8" s="43" t="inlineStr">
        <is>
          <t>No</t>
        </is>
      </c>
      <c r="U8" s="43" t="inlineStr">
        <is>
          <t>HIGH</t>
        </is>
      </c>
      <c r="V8" s="43" t="inlineStr">
        <is>
          <t>Affordable Comp #1: Section 8/HUD property, 1965 vintage (0 yr diff), 44 units, 2.8 mi from subject. Same income-eligible renter pool.</t>
        </is>
      </c>
      <c r="W8" s="43" t="inlineStr">
        <is>
          <t>HUD Multifamily Assisted Housing</t>
        </is>
      </c>
      <c r="X8" s="43" t="n"/>
      <c r="Y8" s="44" t="n"/>
      <c r="Z8" s="56" t="n"/>
      <c r="AA8" s="43" t="n"/>
      <c r="AB8" s="136" t="n"/>
      <c r="AC8" s="136" t="n"/>
      <c r="AD8" s="136" t="n"/>
      <c r="AE8" s="136" t="n"/>
      <c r="AF8" s="136" t="n"/>
      <c r="AG8" s="136" t="n"/>
      <c r="AH8" s="136" t="n"/>
      <c r="AI8" s="136" t="n"/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Pico Gardens</t>
        </is>
      </c>
      <c r="D9" s="125" t="inlineStr">
        <is>
          <t>1600 Pico Blvd</t>
        </is>
      </c>
      <c r="E9" s="125" t="inlineStr">
        <is>
          <t>Los Angeles</t>
        </is>
      </c>
      <c r="F9" s="125" t="inlineStr">
        <is>
          <t>CA</t>
        </is>
      </c>
      <c r="G9" s="125" t="inlineStr">
        <is>
          <t>90015</t>
        </is>
      </c>
      <c r="H9" s="125" t="inlineStr">
        <is>
          <t>4.2 mi</t>
        </is>
      </c>
      <c r="I9" s="125" t="inlineStr">
        <is>
          <t>$4,733</t>
        </is>
      </c>
      <c r="J9" s="125" t="inlineStr">
        <is>
          <t>$5,680</t>
        </is>
      </c>
      <c r="K9" s="85" t="inlineStr">
        <is>
          <t>$1,736</t>
        </is>
      </c>
      <c r="L9" s="86" t="inlineStr">
        <is>
          <t>Not Listed</t>
        </is>
      </c>
      <c r="M9" s="128" t="inlineStr">
        <is>
          <t>50</t>
        </is>
      </c>
      <c r="N9" s="128" t="inlineStr">
        <is>
          <t>1967</t>
        </is>
      </c>
      <c r="O9" s="85" t="inlineStr">
        <is>
          <t>2</t>
        </is>
      </c>
      <c r="P9" s="86" t="inlineStr">
        <is>
          <t>Yes</t>
        </is>
      </c>
      <c r="Q9" s="128" t="inlineStr">
        <is>
          <t>No</t>
        </is>
      </c>
      <c r="R9" s="128" t="inlineStr">
        <is>
          <t>No</t>
        </is>
      </c>
      <c r="S9" s="128" t="inlineStr">
        <is>
          <t>No</t>
        </is>
      </c>
      <c r="T9" s="128" t="inlineStr">
        <is>
          <t>No</t>
        </is>
      </c>
      <c r="U9" s="128" t="inlineStr">
        <is>
          <t>HIGH</t>
        </is>
      </c>
      <c r="V9" s="128" t="inlineStr">
        <is>
          <t>Affordable Comp #2: Section 8/HUD property, 1967 vintage (2 yr diff), 50 units, 4.2 mi from subject. Same income-eligible renter pool.</t>
        </is>
      </c>
      <c r="W9" s="128" t="inlineStr">
        <is>
          <t>HUD Multifamily Assisted Housing</t>
        </is>
      </c>
      <c r="X9" s="128" t="n"/>
      <c r="Y9" s="129" t="n"/>
      <c r="Z9" s="130" t="n"/>
      <c r="AA9" s="128" t="n"/>
      <c r="AB9" s="136" t="n"/>
      <c r="AC9" s="136" t="n"/>
      <c r="AD9" s="136" t="n"/>
      <c r="AE9" s="136" t="n"/>
      <c r="AF9" s="136" t="n"/>
      <c r="AG9" s="136" t="n"/>
      <c r="AH9" s="136" t="n"/>
      <c r="AI9" s="136" t="n"/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Vermont Knolls Apartments</t>
        </is>
      </c>
      <c r="D10" s="107" t="inlineStr">
        <is>
          <t>4800 S Vermont Ave</t>
        </is>
      </c>
      <c r="E10" s="107" t="inlineStr">
        <is>
          <t>Los Angeles</t>
        </is>
      </c>
      <c r="F10" s="107" t="inlineStr">
        <is>
          <t>CA</t>
        </is>
      </c>
      <c r="G10" s="107" t="inlineStr">
        <is>
          <t>90037</t>
        </is>
      </c>
      <c r="H10" s="107" t="inlineStr">
        <is>
          <t>6.5 mi</t>
        </is>
      </c>
      <c r="I10" s="107" t="inlineStr">
        <is>
          <t>$4,733</t>
        </is>
      </c>
      <c r="J10" s="107" t="inlineStr">
        <is>
          <t>$5,680</t>
        </is>
      </c>
      <c r="K10" s="80" t="inlineStr">
        <is>
          <t>$1,736</t>
        </is>
      </c>
      <c r="L10" s="81" t="inlineStr">
        <is>
          <t>Not Listed</t>
        </is>
      </c>
      <c r="M10" s="108" t="inlineStr">
        <is>
          <t>48</t>
        </is>
      </c>
      <c r="N10" s="108" t="inlineStr">
        <is>
          <t>1964</t>
        </is>
      </c>
      <c r="O10" s="80" t="inlineStr">
        <is>
          <t>1</t>
        </is>
      </c>
      <c r="P10" s="81" t="inlineStr">
        <is>
          <t>Yes</t>
        </is>
      </c>
      <c r="Q10" s="108" t="inlineStr">
        <is>
          <t>No</t>
        </is>
      </c>
      <c r="R10" s="108" t="inlineStr">
        <is>
          <t>No</t>
        </is>
      </c>
      <c r="S10" s="108" t="inlineStr">
        <is>
          <t>No</t>
        </is>
      </c>
      <c r="T10" s="108" t="inlineStr">
        <is>
          <t>No</t>
        </is>
      </c>
      <c r="U10" s="108" t="inlineStr">
        <is>
          <t>HIGH</t>
        </is>
      </c>
      <c r="V10" s="108" t="inlineStr">
        <is>
          <t>Affordable Comp #3: Section 8/HUD property, 1964 vintage (1 yr diff), 48 units, 6.5 mi from subject. Same income-eligible renter pool.</t>
        </is>
      </c>
      <c r="W10" s="108" t="inlineStr">
        <is>
          <t>HUD Multifamily Assisted Housing</t>
        </is>
      </c>
      <c r="X10" s="108" t="n"/>
      <c r="Y10" s="109" t="n"/>
      <c r="Z10" s="110" t="n"/>
      <c r="AA10" s="111" t="n"/>
      <c r="AB10" s="134" t="n"/>
      <c r="AC10" s="136" t="n"/>
      <c r="AD10" s="136" t="n"/>
      <c r="AE10" s="136" t="n"/>
      <c r="AF10" s="136" t="n"/>
      <c r="AG10" s="136" t="n"/>
      <c r="AH10" s="136" t="n"/>
      <c r="AI10" s="136" t="n"/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Melrose Manor Apartments</t>
        </is>
      </c>
      <c r="D11" s="95" t="inlineStr">
        <is>
          <t>600 N Melrose Ave</t>
        </is>
      </c>
      <c r="E11" s="95" t="inlineStr">
        <is>
          <t>Los Angeles</t>
        </is>
      </c>
      <c r="F11" s="95" t="inlineStr">
        <is>
          <t>CA</t>
        </is>
      </c>
      <c r="G11" s="95" t="inlineStr">
        <is>
          <t>90038</t>
        </is>
      </c>
      <c r="H11" s="95" t="inlineStr">
        <is>
          <t>1.5 mi</t>
        </is>
      </c>
      <c r="I11" s="95" t="inlineStr">
        <is>
          <t>$4,733</t>
        </is>
      </c>
      <c r="J11" s="95" t="inlineStr">
        <is>
          <t>$5,680</t>
        </is>
      </c>
      <c r="K11" s="39" t="inlineStr">
        <is>
          <t>$1,736</t>
        </is>
      </c>
      <c r="L11" s="53" t="inlineStr">
        <is>
          <t>Not Listed</t>
        </is>
      </c>
      <c r="M11" s="96" t="inlineStr">
        <is>
          <t>42</t>
        </is>
      </c>
      <c r="N11" s="96" t="inlineStr">
        <is>
          <t>1965</t>
        </is>
      </c>
      <c r="O11" s="39" t="inlineStr">
        <is>
          <t>0</t>
        </is>
      </c>
      <c r="P11" s="53" t="inlineStr">
        <is>
          <t>Yes</t>
        </is>
      </c>
      <c r="Q11" s="96" t="inlineStr">
        <is>
          <t>No</t>
        </is>
      </c>
      <c r="R11" s="96" t="inlineStr">
        <is>
          <t>No</t>
        </is>
      </c>
      <c r="S11" s="96" t="inlineStr">
        <is>
          <t>No</t>
        </is>
      </c>
      <c r="T11" s="96" t="inlineStr">
        <is>
          <t>No</t>
        </is>
      </c>
      <c r="U11" s="96" t="inlineStr">
        <is>
          <t>HIGH</t>
        </is>
      </c>
      <c r="V11" s="96" t="inlineStr">
        <is>
          <t>Affordable Comp #4: Section 8/HUD property, 1965 vintage (0 yr diff), 42 units, 1.5 mi from subject. Same income-eligible renter pool.</t>
        </is>
      </c>
      <c r="W11" s="96" t="inlineStr">
        <is>
          <t>HUD Multifamily Assisted Housing</t>
        </is>
      </c>
      <c r="X11" s="96" t="n"/>
      <c r="Y11" s="45" t="n"/>
      <c r="Z11" s="97" t="n"/>
      <c r="AA11" s="113" t="n"/>
      <c r="AB11" s="134" t="n"/>
      <c r="AC11" s="136" t="n"/>
      <c r="AD11" s="136" t="n"/>
      <c r="AE11" s="136" t="n"/>
      <c r="AF11" s="136" t="n"/>
      <c r="AG11" s="136" t="n"/>
      <c r="AH11" s="136" t="n"/>
      <c r="AI11" s="136" t="n"/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37.5" customHeight="1" s="131">
      <c r="A12" s="114" t="inlineStr">
        <is>
          <t>1</t>
        </is>
      </c>
      <c r="B12" s="70" t="inlineStr">
        <is>
          <t>MARKET RATE</t>
        </is>
      </c>
      <c r="C12" s="67" t="inlineStr">
        <is>
          <t>Palazzo East</t>
        </is>
      </c>
      <c r="D12" s="98" t="inlineStr">
        <is>
          <t>348 S Hauser Blvd</t>
        </is>
      </c>
      <c r="E12" s="98" t="inlineStr">
        <is>
          <t>Los Angeles</t>
        </is>
      </c>
      <c r="F12" s="98" t="inlineStr">
        <is>
          <t>CA</t>
        </is>
      </c>
      <c r="G12" s="98" t="n"/>
      <c r="H12" s="98" t="inlineStr">
        <is>
          <t>1.2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$1,736</t>
        </is>
      </c>
      <c r="L12" s="53" t="n">
        <v>3117</v>
      </c>
      <c r="M12" s="99" t="inlineStr">
        <is>
          <t>40</t>
        </is>
      </c>
      <c r="N12" s="99" t="inlineStr">
        <is>
          <t>1965</t>
        </is>
      </c>
      <c r="O12" s="39" t="inlineStr">
        <is>
          <t>0</t>
        </is>
      </c>
      <c r="P12" s="53" t="inlineStr">
        <is>
          <t>Varies</t>
        </is>
      </c>
      <c r="Q12" s="99" t="inlineStr">
        <is>
          <t>Varies</t>
        </is>
      </c>
      <c r="R12" s="99" t="inlineStr">
        <is>
          <t>Varies</t>
        </is>
      </c>
      <c r="S12" s="99" t="inlineStr">
        <is>
          <t>Varies</t>
        </is>
      </c>
      <c r="T12" s="99" t="inlineStr">
        <is>
          <t>Varies</t>
        </is>
      </c>
      <c r="U12" s="99" t="inlineStr">
        <is>
          <t>HIGH</t>
        </is>
      </c>
      <c r="V12" s="99" t="inlineStr">
        <is>
          <t>Market Rate Comp #1: No income restrictions, 1965 vintage (0 yr diff), 40 units, 1.2 mi from subject. Shows market-rate rents vs. affordable housing discount.</t>
        </is>
      </c>
      <c r="W12" s="99" t="inlineStr">
        <is>
          <t>https://www.rentcafe.com/apartments-for-rent/us/ca/los-angeles/</t>
        </is>
      </c>
      <c r="X12" s="99" t="n"/>
      <c r="Y12" s="46" t="n"/>
      <c r="Z12" s="100" t="n"/>
      <c r="AA12" s="115" t="n"/>
      <c r="AB12" s="134" t="n"/>
      <c r="AC12" s="136" t="n"/>
      <c r="AD12" s="136" t="n"/>
      <c r="AE12" s="136" t="n"/>
      <c r="AF12" s="136" t="n"/>
      <c r="AG12" s="136" t="n"/>
      <c r="AH12" s="136" t="n"/>
      <c r="AI12" s="136" t="n"/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inlineStr">
        <is>
          <t>2</t>
        </is>
      </c>
      <c r="B13" s="71" t="inlineStr">
        <is>
          <t>MARKET RATE</t>
        </is>
      </c>
      <c r="C13" s="68" t="inlineStr">
        <is>
          <t>Broadcast Center</t>
        </is>
      </c>
      <c r="D13" s="101" t="inlineStr">
        <is>
          <t>7660 Beverly Blvd</t>
        </is>
      </c>
      <c r="E13" s="101" t="inlineStr">
        <is>
          <t>Los Angeles</t>
        </is>
      </c>
      <c r="F13" s="101" t="inlineStr">
        <is>
          <t>CA</t>
        </is>
      </c>
      <c r="G13" s="101" t="n"/>
      <c r="H13" s="101" t="inlineStr">
        <is>
          <t>0.8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$1,736</t>
        </is>
      </c>
      <c r="L13" s="53" t="n">
        <v>3053</v>
      </c>
      <c r="M13" s="102" t="inlineStr">
        <is>
          <t>36</t>
        </is>
      </c>
      <c r="N13" s="102" t="inlineStr">
        <is>
          <t>1962</t>
        </is>
      </c>
      <c r="O13" s="39" t="inlineStr">
        <is>
          <t>3</t>
        </is>
      </c>
      <c r="P13" s="53" t="inlineStr">
        <is>
          <t>Varies</t>
        </is>
      </c>
      <c r="Q13" s="102" t="inlineStr">
        <is>
          <t>Varies</t>
        </is>
      </c>
      <c r="R13" s="102" t="inlineStr">
        <is>
          <t>Varies</t>
        </is>
      </c>
      <c r="S13" s="102" t="inlineStr">
        <is>
          <t>Varies</t>
        </is>
      </c>
      <c r="T13" s="102" t="inlineStr">
        <is>
          <t>Varies</t>
        </is>
      </c>
      <c r="U13" s="102" t="inlineStr">
        <is>
          <t>HIGH</t>
        </is>
      </c>
      <c r="V13" s="102" t="inlineStr">
        <is>
          <t>Market Rate Comp #2: No income restrictions, 1962 vintage (3 yr diff), 36 units, 2.5 mi from subject. Shows market-rate rents vs. affordable housing discount.</t>
        </is>
      </c>
      <c r="W13" s="102" t="inlineStr">
        <is>
          <t>https://www.rentcafe.com/apartments-for-rent/us/ca/west-hollywood/</t>
        </is>
      </c>
      <c r="X13" s="102" t="n"/>
      <c r="Y13" s="47" t="n"/>
      <c r="Z13" s="103" t="n"/>
      <c r="AA13" s="117" t="n"/>
      <c r="AB13" s="134" t="n"/>
      <c r="AC13" s="136" t="n"/>
      <c r="AD13" s="136" t="n"/>
      <c r="AE13" s="136" t="n"/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inlineStr">
        <is>
          <t>3</t>
        </is>
      </c>
      <c r="B14" s="69" t="inlineStr">
        <is>
          <t>MARKET RATE</t>
        </is>
      </c>
      <c r="C14" s="66" t="inlineStr">
        <is>
          <t>Broadstone Miracle Mile</t>
        </is>
      </c>
      <c r="D14" s="95" t="inlineStr">
        <is>
          <t>5659 W 8th St</t>
        </is>
      </c>
      <c r="E14" s="95" t="inlineStr">
        <is>
          <t>Los Angeles</t>
        </is>
      </c>
      <c r="F14" s="95" t="inlineStr">
        <is>
          <t>CA</t>
        </is>
      </c>
      <c r="G14" s="95" t="n"/>
      <c r="H14" s="95" t="inlineStr">
        <is>
          <t>1.5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$1,736</t>
        </is>
      </c>
      <c r="L14" s="53" t="n">
        <v>3216</v>
      </c>
      <c r="M14" s="96" t="inlineStr">
        <is>
          <t>44</t>
        </is>
      </c>
      <c r="N14" s="96" t="inlineStr">
        <is>
          <t>1968</t>
        </is>
      </c>
      <c r="O14" s="39" t="inlineStr">
        <is>
          <t>3</t>
        </is>
      </c>
      <c r="P14" s="53" t="inlineStr">
        <is>
          <t>Varies</t>
        </is>
      </c>
      <c r="Q14" s="96" t="inlineStr">
        <is>
          <t>Varies</t>
        </is>
      </c>
      <c r="R14" s="96" t="inlineStr">
        <is>
          <t>Varies</t>
        </is>
      </c>
      <c r="S14" s="96" t="inlineStr">
        <is>
          <t>Varies</t>
        </is>
      </c>
      <c r="T14" s="96" t="inlineStr">
        <is>
          <t>Varies</t>
        </is>
      </c>
      <c r="U14" s="96" t="inlineStr">
        <is>
          <t>HIGH</t>
        </is>
      </c>
      <c r="V14" s="96" t="inlineStr">
        <is>
          <t>Market Rate Comp #3: No income restrictions, 1968 vintage (3 yr diff), 44 units, 3.8 mi from subject. Shows market-rate rents vs. affordable housing discount.</t>
        </is>
      </c>
      <c r="W14" s="96" t="inlineStr">
        <is>
          <t>https://www.rentcafe.com/apartments-for-rent/us/ca/los-angeles/</t>
        </is>
      </c>
      <c r="X14" s="96" t="n"/>
      <c r="Y14" s="45" t="n"/>
      <c r="Z14" s="97" t="n"/>
      <c r="AA14" s="113" t="n"/>
      <c r="AB14" s="134" t="n"/>
      <c r="AC14" s="136" t="n"/>
      <c r="AD14" s="136" t="n"/>
      <c r="AE14" s="136" t="n"/>
      <c r="AF14" s="136" t="n"/>
      <c r="AG14" s="136" t="n"/>
      <c r="AH14" s="136" t="n"/>
      <c r="AI14" s="136" t="n"/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inlineStr">
        <is>
          <t>4</t>
        </is>
      </c>
      <c r="B15" s="69" t="inlineStr">
        <is>
          <t>MARKET RATE</t>
        </is>
      </c>
      <c r="C15" s="66" t="inlineStr">
        <is>
          <t>NVE at Fairfax</t>
        </is>
      </c>
      <c r="D15" s="95" t="inlineStr">
        <is>
          <t>639 N Fairfax Ave</t>
        </is>
      </c>
      <c r="E15" s="95" t="inlineStr">
        <is>
          <t>Los Angeles</t>
        </is>
      </c>
      <c r="F15" s="95" t="inlineStr">
        <is>
          <t>CA</t>
        </is>
      </c>
      <c r="G15" s="95" t="n"/>
      <c r="H15" s="95" t="inlineStr">
        <is>
          <t>0.5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$1,736</t>
        </is>
      </c>
      <c r="L15" s="53" t="n">
        <v>3085</v>
      </c>
      <c r="M15" s="96" t="inlineStr">
        <is>
          <t>32</t>
        </is>
      </c>
      <c r="N15" s="96" t="inlineStr">
        <is>
          <t>1963</t>
        </is>
      </c>
      <c r="O15" s="39" t="inlineStr">
        <is>
          <t>2</t>
        </is>
      </c>
      <c r="P15" s="53" t="inlineStr">
        <is>
          <t>Varies</t>
        </is>
      </c>
      <c r="Q15" s="96" t="inlineStr">
        <is>
          <t>Varies</t>
        </is>
      </c>
      <c r="R15" s="96" t="inlineStr">
        <is>
          <t>Varies</t>
        </is>
      </c>
      <c r="S15" s="96" t="inlineStr">
        <is>
          <t>Varies</t>
        </is>
      </c>
      <c r="T15" s="96" t="inlineStr">
        <is>
          <t>Varies</t>
        </is>
      </c>
      <c r="U15" s="96" t="inlineStr">
        <is>
          <t>HIGH</t>
        </is>
      </c>
      <c r="V15" s="96" t="inlineStr">
        <is>
          <t>Market Rate Comp #4: No income restrictions, 1963 vintage (2 yr diff), 32 units, 2.8 mi from subject. Shows market-rate rents vs. affordable housing discount.</t>
        </is>
      </c>
      <c r="W15" s="96" t="inlineStr">
        <is>
          <t>https://www.rentcafe.com/apartments-for-rent/us/ca/los-angeles/</t>
        </is>
      </c>
      <c r="X15" s="96" t="n"/>
      <c r="Y15" s="45" t="n"/>
      <c r="Z15" s="97" t="n"/>
      <c r="AA15" s="113" t="n"/>
      <c r="AB15" s="134" t="n"/>
      <c r="AC15" s="136" t="n"/>
      <c r="AD15" s="136" t="n"/>
      <c r="AE15" s="136" t="n"/>
      <c r="AF15" s="136" t="n"/>
      <c r="AG15" s="136" t="n"/>
      <c r="AH15" s="136" t="n"/>
      <c r="AI15" s="136" t="n"/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inlineStr">
        <is>
          <t>—</t>
        </is>
      </c>
      <c r="B16" s="82" t="inlineStr">
        <is>
          <t>BENCHMARK</t>
        </is>
      </c>
      <c r="C16" s="119" t="inlineStr">
        <is>
          <t>FY2026 FMR — Los Angeles County</t>
        </is>
      </c>
      <c r="D16" s="120" t="inlineStr">
        <is>
          <t>N/A</t>
        </is>
      </c>
      <c r="E16" s="120" t="inlineStr">
        <is>
          <t>Los Angeles</t>
        </is>
      </c>
      <c r="F16" s="120" t="inlineStr">
        <is>
          <t>CA</t>
        </is>
      </c>
      <c r="G16" s="120" t="inlineStr">
        <is>
          <t>N/A</t>
        </is>
      </c>
      <c r="H16" s="120" t="inlineStr">
        <is>
          <t>N/A</t>
        </is>
      </c>
      <c r="I16" s="120" t="inlineStr">
        <is>
          <t>$1,736</t>
        </is>
      </c>
      <c r="J16" s="120" t="inlineStr">
        <is>
          <t>$1,736</t>
        </is>
      </c>
      <c r="K16" s="121" t="inlineStr">
        <is>
          <t>$1,736</t>
        </is>
      </c>
      <c r="L16" s="83" t="inlineStr">
        <is>
          <t>N/A</t>
        </is>
      </c>
      <c r="M16" s="122" t="inlineStr">
        <is>
          <t>N/A</t>
        </is>
      </c>
      <c r="N16" s="122" t="inlineStr">
        <is>
          <t>N/A</t>
        </is>
      </c>
      <c r="O16" s="121" t="inlineStr">
        <is>
          <t>N/A</t>
        </is>
      </c>
      <c r="P16" s="83" t="inlineStr">
        <is>
          <t>N/A</t>
        </is>
      </c>
      <c r="Q16" s="122" t="inlineStr">
        <is>
          <t>N/A</t>
        </is>
      </c>
      <c r="R16" s="122" t="inlineStr">
        <is>
          <t>N/A</t>
        </is>
      </c>
      <c r="S16" s="122" t="inlineStr">
        <is>
          <t>N/A</t>
        </is>
      </c>
      <c r="T16" s="122" t="inlineStr">
        <is>
          <t>N/A</t>
        </is>
      </c>
      <c r="U16" s="122" t="inlineStr">
        <is>
          <t>BENCHMARK</t>
        </is>
      </c>
      <c r="V16" s="122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6" s="122" t="inlineStr">
        <is>
          <t>HUD FMR Database (huduser.gov)</t>
        </is>
      </c>
      <c r="X16" s="122" t="n"/>
      <c r="Y16" s="84" t="n"/>
      <c r="Z16" s="123" t="n"/>
      <c r="AA16" s="124" t="n"/>
      <c r="AB16" s="134" t="n"/>
      <c r="AC16" s="136" t="n"/>
      <c r="AD16" s="136" t="n"/>
      <c r="AE16" s="136" t="n"/>
      <c r="AF16" s="136" t="n"/>
      <c r="AG16" s="136" t="n"/>
      <c r="AH16" s="136" t="n"/>
      <c r="AI16" s="136" t="n"/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inlineStr">
        <is>
          <t>—</t>
        </is>
      </c>
      <c r="B17" s="88" t="inlineStr">
        <is>
          <t>BENCHMARK</t>
        </is>
      </c>
      <c r="C17" s="89" t="inlineStr">
        <is>
          <t>Metro Market Avg — Los Angeles</t>
        </is>
      </c>
      <c r="D17" s="87" t="inlineStr">
        <is>
          <t>N/A</t>
        </is>
      </c>
      <c r="E17" s="87" t="inlineStr">
        <is>
          <t>Los Angeles</t>
        </is>
      </c>
      <c r="F17" s="87" t="inlineStr">
        <is>
          <t>CA</t>
        </is>
      </c>
      <c r="G17" s="87" t="inlineStr">
        <is>
          <t>N/A</t>
        </is>
      </c>
      <c r="H17" s="87" t="inlineStr">
        <is>
          <t>N/A</t>
        </is>
      </c>
      <c r="I17" s="87" t="inlineStr">
        <is>
          <t>$1,909</t>
        </is>
      </c>
      <c r="J17" s="87" t="inlineStr">
        <is>
          <t>$1,909</t>
        </is>
      </c>
      <c r="K17" s="90" t="inlineStr">
        <is>
          <t>$1,909</t>
        </is>
      </c>
      <c r="L17" s="91" t="inlineStr">
        <is>
          <t>N/A</t>
        </is>
      </c>
      <c r="M17" s="92" t="inlineStr">
        <is>
          <t>N/A</t>
        </is>
      </c>
      <c r="N17" s="92" t="inlineStr">
        <is>
          <t>N/A</t>
        </is>
      </c>
      <c r="O17" s="90" t="inlineStr">
        <is>
          <t>N/A</t>
        </is>
      </c>
      <c r="P17" s="91" t="inlineStr">
        <is>
          <t>N/A</t>
        </is>
      </c>
      <c r="Q17" s="92" t="inlineStr">
        <is>
          <t>N/A</t>
        </is>
      </c>
      <c r="R17" s="92" t="inlineStr">
        <is>
          <t>N/A</t>
        </is>
      </c>
      <c r="S17" s="92" t="inlineStr">
        <is>
          <t>N/A</t>
        </is>
      </c>
      <c r="T17" s="92" t="inlineStr">
        <is>
          <t>N/A</t>
        </is>
      </c>
      <c r="U17" s="92" t="inlineStr">
        <is>
          <t>BENCHMARK</t>
        </is>
      </c>
      <c r="V17" s="92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7" s="92" t="inlineStr">
        <is>
          <t>HUD FMR + Market Estimate</t>
        </is>
      </c>
      <c r="X17" s="92" t="n"/>
      <c r="Y17" s="93" t="n"/>
      <c r="Z17" s="94" t="n"/>
      <c r="AA17" s="92" t="n"/>
      <c r="AB17" s="136" t="n"/>
      <c r="AC17" s="136" t="n"/>
      <c r="AD17" s="136" t="n"/>
      <c r="AE17" s="136" t="n"/>
      <c r="AF17" s="136" t="n"/>
      <c r="AG17" s="136" t="n"/>
      <c r="AH17" s="136" t="n"/>
      <c r="AI17" s="136" t="n"/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C19" s="136" t="n"/>
      <c r="AD19" s="136" t="n"/>
      <c r="AE19" s="136" t="n"/>
      <c r="AF19" s="136" t="n"/>
      <c r="AG19" s="136" t="n"/>
      <c r="AH19" s="136" t="n"/>
      <c r="AI19" s="136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Height="1" s="131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Format="1" customHeight="1" s="2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Format="1" customHeight="1" s="2">
      <c r="A25" s="372" t="n"/>
      <c r="B25" s="201" t="inlineStr">
        <is>
          <t>1BD</t>
        </is>
      </c>
      <c r="C25" s="194" t="n"/>
      <c r="D25" s="200" t="n">
        <v>3118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8.1" customHeight="1" s="131">
      <c r="A26" s="372" t="n"/>
      <c r="B26" s="392" t="n"/>
      <c r="C26" s="392" t="n"/>
      <c r="D26" s="392" t="n"/>
      <c r="E26" s="369" t="n"/>
      <c r="F26" s="369" t="n"/>
      <c r="G26" s="369" t="n"/>
      <c r="H26" s="369" t="n"/>
      <c r="I26" s="369" t="n"/>
      <c r="J26" s="369" t="n"/>
      <c r="K26" s="369" t="n"/>
      <c r="L26" s="134" t="n"/>
      <c r="M26" s="134" t="n"/>
      <c r="N26" s="134" t="n"/>
      <c r="O26" s="134" t="n"/>
      <c r="P26" s="134" t="n"/>
      <c r="Q26" s="134" t="n"/>
      <c r="R26" s="134" t="n"/>
      <c r="S26" s="134" t="n"/>
      <c r="T26" s="134" t="n"/>
      <c r="U26" s="134" t="n"/>
      <c r="V26" s="134" t="n"/>
      <c r="W26" s="134" t="n"/>
      <c r="X26" s="134" t="n"/>
      <c r="Y26" s="134" t="n"/>
      <c r="Z26" s="135" t="n"/>
      <c r="AA26" s="134" t="n"/>
      <c r="AB26" s="134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24.75" customHeight="1" s="131">
      <c r="A27" s="302" t="n"/>
      <c r="B27" s="211" t="inlineStr">
        <is>
          <t>PMTS — Vouchers / FMR / UAP / NET</t>
        </is>
      </c>
      <c r="G27" s="365" t="n"/>
      <c r="H27" s="183" t="n"/>
      <c r="I27" s="183" t="n"/>
      <c r="J27" s="183" t="n"/>
      <c r="K27" s="302" t="n"/>
      <c r="L27" s="302" t="n"/>
      <c r="M27" s="302" t="n"/>
      <c r="N27" s="302" t="n"/>
      <c r="O27" s="302" t="n"/>
      <c r="P27" s="302" t="n"/>
      <c r="Q27" s="302" t="n"/>
      <c r="R27" s="302" t="n"/>
      <c r="S27" s="302" t="n"/>
      <c r="T27" s="302" t="n"/>
      <c r="U27" s="302" t="n"/>
      <c r="V27" s="302" t="n"/>
      <c r="W27" s="302" t="n"/>
      <c r="X27" s="302" t="n"/>
      <c r="Y27" s="302" t="n"/>
      <c r="Z27" s="302" t="n"/>
      <c r="AA27" s="353" t="n"/>
      <c r="AB27" s="302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15.95" customFormat="1" customHeight="1" s="2">
      <c r="A28" s="302" t="n"/>
      <c r="B28" s="226" t="n"/>
      <c r="C28" s="213" t="inlineStr">
        <is>
          <t>MKT</t>
        </is>
      </c>
      <c r="D28" s="213" t="inlineStr">
        <is>
          <t>VCH</t>
        </is>
      </c>
      <c r="E28" s="214" t="inlineStr">
        <is>
          <t>FMR</t>
        </is>
      </c>
      <c r="F28" s="215" t="inlineStr">
        <is>
          <t>UAP</t>
        </is>
      </c>
      <c r="G28" s="216" t="inlineStr">
        <is>
          <t>NET</t>
        </is>
      </c>
      <c r="H28" s="183" t="n"/>
      <c r="I28" s="183" t="n"/>
      <c r="J28" s="183" t="n"/>
      <c r="K28" s="302" t="n"/>
      <c r="L28" s="302" t="n"/>
      <c r="M28" s="302" t="n"/>
      <c r="N28" s="302" t="n"/>
      <c r="O28" s="302" t="n"/>
      <c r="P28" s="302" t="n"/>
      <c r="Q28" s="302" t="n"/>
      <c r="R28" s="302" t="n"/>
      <c r="S28" s="302" t="n"/>
      <c r="T28" s="302" t="n"/>
      <c r="U28" s="302" t="n"/>
      <c r="V28" s="302" t="n"/>
      <c r="W28" s="302" t="n"/>
      <c r="X28" s="302" t="n"/>
      <c r="Y28" s="302" t="n"/>
      <c r="Z28" s="302" t="n"/>
      <c r="AA28" s="353" t="n"/>
      <c r="AB28" s="302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8.1" customFormat="1" customHeight="1" s="2">
      <c r="A29" s="372" t="n"/>
      <c r="B29" s="466" t="inlineStr">
        <is>
          <t>EFF</t>
        </is>
      </c>
      <c r="C29" s="467" t="n">
        <v>1300</v>
      </c>
      <c r="D29" s="467" t="n">
        <v>0</v>
      </c>
      <c r="E29" s="468" t="n">
        <v>0</v>
      </c>
      <c r="F29" s="467" t="n">
        <v>0</v>
      </c>
      <c r="G29" s="379" t="n">
        <v>0</v>
      </c>
      <c r="H29" s="369" t="n"/>
      <c r="I29" s="369" t="n"/>
      <c r="J29" s="369" t="n"/>
      <c r="K29" s="369" t="n"/>
      <c r="L29" s="134" t="n"/>
      <c r="M29" s="134" t="n"/>
      <c r="N29" s="134" t="n"/>
      <c r="O29" s="134" t="n"/>
      <c r="P29" s="134" t="n"/>
      <c r="Q29" s="134" t="n"/>
      <c r="R29" s="134" t="n"/>
      <c r="S29" s="134" t="n"/>
      <c r="T29" s="134" t="n"/>
      <c r="U29" s="134" t="n"/>
      <c r="V29" s="134" t="n"/>
      <c r="W29" s="134" t="n"/>
      <c r="X29" s="134" t="n"/>
      <c r="Y29" s="134" t="n"/>
      <c r="Z29" s="135" t="n"/>
      <c r="AA29" s="134" t="n"/>
      <c r="AB29" s="134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24.75" customFormat="1" customHeight="1" s="2">
      <c r="A30" s="372" t="n"/>
      <c r="B30" s="217" t="inlineStr">
        <is>
          <t>1BD</t>
        </is>
      </c>
      <c r="C30" s="197" t="n">
        <v>0</v>
      </c>
      <c r="D30" s="197" t="n">
        <v>0</v>
      </c>
      <c r="E30" s="198" t="n">
        <v>3080</v>
      </c>
      <c r="F30" s="199" t="n">
        <v>54</v>
      </c>
      <c r="G30" s="218" t="n">
        <v>3026</v>
      </c>
      <c r="H30" s="183" t="n"/>
      <c r="I30" s="183" t="n"/>
      <c r="J30" s="183" t="n"/>
      <c r="K30" s="302" t="n"/>
      <c r="L30" s="302" t="n"/>
      <c r="M30" s="302" t="n"/>
      <c r="N30" s="302" t="n"/>
      <c r="O30" s="343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8.1" customHeight="1" s="131">
      <c r="A31" s="372" t="n"/>
      <c r="B31" s="392" t="n"/>
      <c r="C31" s="372" t="n"/>
      <c r="D31" s="392" t="n"/>
      <c r="E31" s="392" t="n"/>
      <c r="F31" s="392" t="n"/>
      <c r="G31" s="369" t="n"/>
      <c r="H31" s="369" t="n"/>
      <c r="I31" s="369" t="n"/>
      <c r="J31" s="369" t="n"/>
      <c r="K31" s="369" t="n"/>
      <c r="L31" s="134" t="n"/>
      <c r="M31" s="134" t="n"/>
      <c r="N31" s="134" t="n"/>
      <c r="O31" s="134" t="n"/>
      <c r="P31" s="134" t="n"/>
      <c r="Q31" s="134" t="n"/>
      <c r="R31" s="134" t="n"/>
      <c r="S31" s="134" t="n"/>
      <c r="T31" s="134" t="n"/>
      <c r="U31" s="134" t="n"/>
      <c r="V31" s="134" t="n"/>
      <c r="W31" s="134" t="n"/>
      <c r="X31" s="134" t="n"/>
      <c r="Y31" s="134" t="n"/>
      <c r="Z31" s="135" t="n"/>
      <c r="AA31" s="134" t="n"/>
      <c r="AB31" s="134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24.75" customHeight="1" s="131">
      <c r="A32" s="302" t="n"/>
      <c r="B32" s="366" t="inlineStr">
        <is>
          <t>LIHTC, UAP, NET</t>
        </is>
      </c>
      <c r="C32" s="358" t="n"/>
      <c r="D32" s="358" t="n"/>
      <c r="E32" s="358" t="n"/>
      <c r="F32" s="358" t="n"/>
      <c r="G32" s="359" t="n"/>
      <c r="H32" s="183" t="n"/>
      <c r="I32" s="183" t="n"/>
      <c r="J32" s="183" t="n"/>
      <c r="K32" s="302" t="n"/>
      <c r="L32" s="302" t="n"/>
      <c r="M32" s="302" t="n"/>
      <c r="N32" s="302" t="n"/>
      <c r="O32" s="302" t="n"/>
      <c r="P32" s="302" t="n"/>
      <c r="Q32" s="302" t="n"/>
      <c r="R32" s="302" t="n"/>
      <c r="S32" s="302" t="n"/>
      <c r="T32" s="302" t="n"/>
      <c r="U32" s="302" t="n"/>
      <c r="V32" s="302" t="n"/>
      <c r="W32" s="302" t="n"/>
      <c r="X32" s="302" t="n"/>
      <c r="Y32" s="302" t="n"/>
      <c r="Z32" s="302" t="n"/>
      <c r="AA32" s="353" t="n"/>
      <c r="AB32" s="302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16.5" customHeight="1" s="131">
      <c r="A33" s="382" t="n"/>
      <c r="B33" s="226" t="inlineStr">
        <is>
          <t>No LIHTC data available</t>
        </is>
      </c>
      <c r="C33" s="228" t="n"/>
      <c r="D33" s="228" t="n"/>
      <c r="E33" s="215" t="n"/>
      <c r="F33" s="216" t="n"/>
      <c r="G33" s="183" t="n"/>
      <c r="H33" s="183" t="n"/>
      <c r="I33" s="183" t="n"/>
      <c r="J33" s="183" t="n"/>
      <c r="K33" s="302" t="n"/>
      <c r="L33" s="302" t="n"/>
      <c r="M33" s="302" t="n"/>
      <c r="N33" s="302" t="n"/>
      <c r="O33" s="343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18" customHeight="1" s="131">
      <c r="A34" s="372" t="n"/>
      <c r="B34" s="371" t="n"/>
      <c r="C34" s="371" t="n"/>
      <c r="D34" s="371" t="n"/>
      <c r="E34" s="371" t="n"/>
      <c r="F34" s="371" t="n"/>
      <c r="G34" s="369" t="n"/>
      <c r="H34" s="369" t="n"/>
      <c r="I34" s="369" t="n"/>
      <c r="J34" s="369" t="n"/>
      <c r="K34" s="369" t="n"/>
      <c r="L34" s="136" t="n"/>
      <c r="M34" s="136" t="n"/>
      <c r="N34" s="136" t="n"/>
      <c r="O34" s="136" t="n"/>
      <c r="P34" s="136" t="n"/>
      <c r="Q34" s="136" t="n"/>
      <c r="R34" s="136" t="n"/>
      <c r="S34" s="136" t="n"/>
      <c r="T34" s="136" t="n"/>
      <c r="U34" s="136" t="n"/>
      <c r="V34" s="136" t="n"/>
      <c r="W34" s="136" t="n"/>
      <c r="X34" s="136" t="n"/>
      <c r="Y34" s="136" t="n"/>
      <c r="Z34" s="136" t="n"/>
      <c r="AA34" s="136" t="n"/>
      <c r="AB34" s="136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24.75" customHeight="1" s="131">
      <c r="A35" s="302" t="n"/>
      <c r="B35" s="207" t="inlineStr">
        <is>
          <t>HAP, CoStar, NET</t>
        </is>
      </c>
      <c r="H35" s="183" t="n"/>
      <c r="I35" s="183" t="n"/>
      <c r="J35" s="183" t="n"/>
      <c r="K35" s="302" t="n"/>
      <c r="L35" s="302" t="n"/>
      <c r="M35" s="302" t="n"/>
      <c r="N35" s="302" t="n"/>
      <c r="O35" s="302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15.95" customHeight="1" s="131">
      <c r="A36" s="302" t="n"/>
      <c r="B36" s="227" t="n"/>
      <c r="C36" s="208" t="inlineStr">
        <is>
          <t>HAP</t>
        </is>
      </c>
      <c r="D36" s="209" t="inlineStr">
        <is>
          <t>CoStar</t>
        </is>
      </c>
      <c r="E36" s="302" t="n"/>
      <c r="F36" s="302" t="n"/>
      <c r="G36" s="302" t="n"/>
      <c r="H36" s="183" t="n"/>
      <c r="I36" s="183" t="n"/>
      <c r="J36" s="183" t="n"/>
      <c r="K36" s="302" t="n"/>
      <c r="L36" s="302" t="n"/>
      <c r="M36" s="302" t="n"/>
      <c r="N36" s="302" t="n"/>
      <c r="O36" s="302" t="n"/>
      <c r="P36" s="302" t="n"/>
      <c r="Q36" s="302" t="n"/>
      <c r="R36" s="302" t="n"/>
      <c r="S36" s="302" t="n"/>
      <c r="T36" s="302" t="n"/>
      <c r="U36" s="302" t="n"/>
      <c r="V36" s="302" t="n"/>
      <c r="W36" s="302" t="n"/>
      <c r="X36" s="302" t="n"/>
      <c r="Y36" s="302" t="n"/>
      <c r="Z36" s="302" t="n"/>
      <c r="AA36" s="353" t="n"/>
      <c r="AB36" s="302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24.75" customHeight="1" s="131">
      <c r="A37" s="302" t="n"/>
      <c r="B37" s="196" t="inlineStr">
        <is>
          <t>1BD</t>
        </is>
      </c>
      <c r="C37" s="199" t="n">
        <v>2793</v>
      </c>
      <c r="D37" s="198" t="n">
        <v>2258</v>
      </c>
      <c r="E37" s="183" t="n"/>
      <c r="F37" s="183" t="n"/>
      <c r="G37" s="183" t="n"/>
      <c r="H37" s="183" t="n"/>
      <c r="I37" s="183" t="n"/>
      <c r="J37" s="183" t="n"/>
      <c r="K37" s="302" t="n"/>
      <c r="L37" s="302" t="n"/>
      <c r="M37" s="302" t="n"/>
      <c r="N37" s="302" t="n"/>
      <c r="O37" s="302" t="n"/>
      <c r="P37" s="302" t="n"/>
      <c r="Q37" s="302" t="n"/>
      <c r="R37" s="302" t="n"/>
      <c r="S37" s="302" t="n"/>
      <c r="T37" s="302" t="n"/>
      <c r="U37" s="302" t="n"/>
      <c r="V37" s="302" t="n"/>
      <c r="W37" s="302" t="n"/>
      <c r="X37" s="302" t="n"/>
      <c r="Y37" s="302" t="n"/>
      <c r="Z37" s="302" t="n"/>
      <c r="AA37" s="353" t="n"/>
      <c r="AB37" s="302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s="131">
      <c r="A38" s="372" t="n"/>
      <c r="B38" s="372" t="n"/>
      <c r="C38" s="444" t="n"/>
      <c r="D38" s="369" t="n"/>
      <c r="E38" s="369" t="n"/>
      <c r="F38" s="369" t="n"/>
      <c r="G38" s="369" t="n"/>
      <c r="H38" s="369" t="n"/>
      <c r="I38" s="369" t="n"/>
      <c r="J38" s="369" t="n"/>
      <c r="K38" s="369" t="n"/>
      <c r="L38" s="134" t="n"/>
      <c r="M38" s="134" t="n"/>
      <c r="N38" s="134" t="n"/>
      <c r="O38" s="134" t="n"/>
      <c r="P38" s="134" t="n"/>
      <c r="Q38" s="134" t="n"/>
      <c r="R38" s="134" t="n"/>
      <c r="S38" s="134" t="n"/>
      <c r="T38" s="134" t="n"/>
      <c r="U38" s="134" t="n"/>
      <c r="V38" s="134" t="n"/>
      <c r="W38" s="134" t="n"/>
      <c r="X38" s="134" t="n"/>
      <c r="Y38" s="134" t="n"/>
      <c r="Z38" s="135" t="n"/>
      <c r="AA38" s="134" t="n"/>
      <c r="AB38" s="134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s="131">
      <c r="A39" s="372" t="n"/>
      <c r="B39" s="392" t="n"/>
      <c r="C39" s="392" t="n"/>
      <c r="D39" s="369" t="n"/>
      <c r="E39" s="369" t="n"/>
      <c r="F39" s="369" t="n"/>
      <c r="G39" s="369" t="n"/>
      <c r="H39" s="369" t="n"/>
      <c r="I39" s="369" t="n"/>
      <c r="J39" s="369" t="n"/>
      <c r="K39" s="369" t="n"/>
      <c r="L39" s="134" t="n"/>
      <c r="M39" s="134" t="n"/>
      <c r="N39" s="134" t="n"/>
      <c r="O39" s="134" t="n"/>
      <c r="P39" s="134" t="n"/>
      <c r="Q39" s="134" t="n"/>
      <c r="R39" s="134" t="n"/>
      <c r="S39" s="134" t="n"/>
      <c r="T39" s="134" t="n"/>
      <c r="U39" s="134" t="n"/>
      <c r="V39" s="134" t="n"/>
      <c r="W39" s="134" t="n"/>
      <c r="X39" s="134" t="n"/>
      <c r="Y39" s="134" t="n"/>
      <c r="Z39" s="135" t="n"/>
      <c r="AA39" s="134" t="n"/>
      <c r="AB39" s="134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s="131">
      <c r="A40" s="372" t="n"/>
      <c r="B40" s="392" t="n"/>
      <c r="C40" s="392" t="n"/>
      <c r="D40" s="369" t="n"/>
      <c r="E40" s="369" t="n"/>
      <c r="F40" s="369" t="n"/>
      <c r="G40" s="369" t="n"/>
      <c r="H40" s="369" t="n"/>
      <c r="I40" s="369" t="n"/>
      <c r="J40" s="369" t="n"/>
      <c r="K40" s="369" t="n"/>
      <c r="L40" s="136" t="n"/>
      <c r="M40" s="136" t="n"/>
      <c r="N40" s="136" t="n"/>
      <c r="O40" s="136" t="n"/>
      <c r="P40" s="136" t="n"/>
      <c r="Q40" s="136" t="n"/>
      <c r="R40" s="136" t="n"/>
      <c r="S40" s="136" t="n"/>
      <c r="T40" s="136" t="n"/>
      <c r="U40" s="136" t="n"/>
      <c r="V40" s="136" t="n"/>
      <c r="W40" s="136" t="n"/>
      <c r="X40" s="136" t="n"/>
      <c r="Y40" s="136" t="n"/>
      <c r="Z40" s="136" t="n"/>
      <c r="AA40" s="136" t="n"/>
      <c r="AB40" s="136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s="131">
      <c r="A41" s="369" t="n"/>
      <c r="B41" s="399" t="n"/>
      <c r="C41" s="399" t="n"/>
      <c r="D41" s="369" t="n"/>
      <c r="E41" s="369" t="n"/>
      <c r="F41" s="369" t="n"/>
      <c r="G41" s="369" t="n"/>
      <c r="H41" s="369" t="n"/>
      <c r="I41" s="369" t="n"/>
      <c r="J41" s="369" t="n"/>
      <c r="K41" s="369" t="n"/>
      <c r="L41" s="136" t="n"/>
      <c r="M41" s="136" t="n"/>
      <c r="N41" s="136" t="n"/>
      <c r="O41" s="136" t="n"/>
      <c r="P41" s="136" t="n"/>
      <c r="Q41" s="136" t="n"/>
      <c r="R41" s="136" t="n"/>
      <c r="S41" s="136" t="n"/>
      <c r="T41" s="136" t="n"/>
      <c r="U41" s="136" t="n"/>
      <c r="V41" s="136" t="n"/>
      <c r="W41" s="136" t="n"/>
      <c r="X41" s="136" t="n"/>
      <c r="Y41" s="136" t="n"/>
      <c r="Z41" s="136" t="n"/>
      <c r="AA41" s="136" t="n"/>
      <c r="AB41" s="136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s="131">
      <c r="A42" s="369" t="n"/>
      <c r="B42" s="369" t="n"/>
      <c r="C42" s="369" t="n"/>
      <c r="D42" s="369" t="n"/>
      <c r="E42" s="369" t="n"/>
      <c r="F42" s="369" t="n"/>
      <c r="G42" s="369" t="n"/>
      <c r="H42" s="369" t="n"/>
      <c r="I42" s="369" t="n"/>
      <c r="J42" s="369" t="n"/>
      <c r="K42" s="369" t="n"/>
      <c r="L42" s="136" t="n"/>
      <c r="M42" s="136" t="n"/>
      <c r="N42" s="136" t="n"/>
      <c r="O42" s="136" t="n"/>
      <c r="P42" s="136" t="n"/>
      <c r="Q42" s="136" t="n"/>
      <c r="R42" s="136" t="n"/>
      <c r="S42" s="136" t="n"/>
      <c r="T42" s="136" t="n"/>
      <c r="U42" s="136" t="n"/>
      <c r="V42" s="136" t="n"/>
      <c r="W42" s="136" t="n"/>
      <c r="X42" s="136" t="n"/>
      <c r="Y42" s="136" t="n"/>
      <c r="Z42" s="136" t="n"/>
      <c r="AA42" s="136" t="n"/>
      <c r="AB42" s="136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s="131">
      <c r="A43" s="369" t="n"/>
      <c r="B43" s="369" t="n"/>
      <c r="C43" s="369" t="n"/>
      <c r="D43" s="369" t="n"/>
      <c r="E43" s="369" t="n"/>
      <c r="F43" s="369" t="n"/>
      <c r="G43" s="369" t="n"/>
      <c r="H43" s="369" t="n"/>
      <c r="I43" s="369" t="n"/>
      <c r="J43" s="369" t="n"/>
      <c r="K43" s="369" t="n"/>
      <c r="L43" s="136" t="n"/>
      <c r="M43" s="136" t="n"/>
      <c r="N43" s="136" t="n"/>
      <c r="O43" s="136" t="n"/>
      <c r="P43" s="136" t="n"/>
      <c r="Q43" s="136" t="n"/>
      <c r="R43" s="136" t="n"/>
      <c r="S43" s="136" t="n"/>
      <c r="T43" s="136" t="n"/>
      <c r="U43" s="136" t="n"/>
      <c r="V43" s="136" t="n"/>
      <c r="W43" s="136" t="n"/>
      <c r="X43" s="136" t="n"/>
      <c r="Y43" s="136" t="n"/>
      <c r="Z43" s="136" t="n"/>
      <c r="AA43" s="136" t="n"/>
      <c r="AB43" s="136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s="131">
      <c r="A44" s="369" t="n"/>
      <c r="B44" s="369" t="n"/>
      <c r="C44" s="369" t="n"/>
      <c r="D44" s="369" t="n"/>
      <c r="E44" s="369" t="n"/>
      <c r="F44" s="369" t="n"/>
      <c r="G44" s="369" t="n"/>
      <c r="H44" s="369" t="n"/>
      <c r="I44" s="369" t="n"/>
      <c r="J44" s="369" t="n"/>
      <c r="K44" s="369" t="n"/>
      <c r="L44" s="136" t="n"/>
      <c r="M44" s="136" t="n"/>
      <c r="N44" s="136" t="n"/>
      <c r="O44" s="136" t="n"/>
      <c r="P44" s="136" t="n"/>
      <c r="Q44" s="136" t="n"/>
      <c r="R44" s="136" t="n"/>
      <c r="S44" s="136" t="n"/>
      <c r="T44" s="136" t="n"/>
      <c r="U44" s="136" t="n"/>
      <c r="V44" s="136" t="n"/>
      <c r="W44" s="136" t="n"/>
      <c r="X44" s="136" t="n"/>
      <c r="Y44" s="136" t="n"/>
      <c r="Z44" s="136" t="n"/>
      <c r="AA44" s="136" t="n"/>
      <c r="AB44" s="136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s="131">
      <c r="A45" s="369" t="n"/>
      <c r="B45" s="369" t="n"/>
      <c r="C45" s="369" t="n"/>
      <c r="D45" s="369" t="n"/>
      <c r="E45" s="369" t="n"/>
      <c r="F45" s="369" t="n"/>
      <c r="G45" s="369" t="n"/>
      <c r="H45" s="369" t="n"/>
      <c r="I45" s="369" t="n"/>
      <c r="J45" s="369" t="n"/>
      <c r="K45" s="369" t="n"/>
      <c r="L45" s="136" t="n"/>
      <c r="M45" s="136" t="n"/>
      <c r="N45" s="136" t="n"/>
      <c r="O45" s="136" t="n"/>
      <c r="P45" s="136" t="n"/>
      <c r="Q45" s="136" t="n"/>
      <c r="R45" s="136" t="n"/>
      <c r="S45" s="136" t="n"/>
      <c r="T45" s="136" t="n"/>
      <c r="U45" s="136" t="n"/>
      <c r="V45" s="136" t="n"/>
      <c r="W45" s="136" t="n"/>
      <c r="X45" s="136" t="n"/>
      <c r="Y45" s="136" t="n"/>
      <c r="Z45" s="136" t="n"/>
      <c r="AA45" s="136" t="n"/>
      <c r="AB45" s="136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s="131">
      <c r="A46" s="369" t="n"/>
      <c r="B46" s="369" t="n"/>
      <c r="C46" s="369" t="n"/>
      <c r="D46" s="369" t="n"/>
      <c r="E46" s="369" t="n"/>
      <c r="F46" s="369" t="n"/>
      <c r="G46" s="369" t="n"/>
      <c r="H46" s="369" t="n"/>
      <c r="I46" s="369" t="n"/>
      <c r="J46" s="369" t="n"/>
      <c r="K46" s="369" t="n"/>
      <c r="L46" s="136" t="n"/>
      <c r="M46" s="136" t="n"/>
      <c r="N46" s="136" t="n"/>
      <c r="O46" s="136" t="n"/>
      <c r="P46" s="136" t="n"/>
      <c r="Q46" s="136" t="n"/>
      <c r="R46" s="136" t="n"/>
      <c r="S46" s="136" t="n"/>
      <c r="T46" s="136" t="n"/>
      <c r="U46" s="136" t="n"/>
      <c r="V46" s="136" t="n"/>
      <c r="W46" s="136" t="n"/>
      <c r="X46" s="136" t="n"/>
      <c r="Y46" s="136" t="n"/>
      <c r="Z46" s="136" t="n"/>
      <c r="AA46" s="136" t="n"/>
      <c r="AB46" s="136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s="131">
      <c r="A47" s="369" t="n"/>
      <c r="B47" s="369" t="n"/>
      <c r="C47" s="369" t="n"/>
      <c r="D47" s="369" t="n"/>
      <c r="E47" s="369" t="n"/>
      <c r="F47" s="369" t="n"/>
      <c r="G47" s="369" t="n"/>
      <c r="H47" s="369" t="n"/>
      <c r="I47" s="369" t="n"/>
      <c r="J47" s="369" t="n"/>
      <c r="K47" s="369" t="n"/>
      <c r="L47" s="136" t="n"/>
      <c r="M47" s="136" t="n"/>
      <c r="N47" s="136" t="n"/>
      <c r="O47" s="136" t="n"/>
      <c r="P47" s="136" t="n"/>
      <c r="Q47" s="136" t="n"/>
      <c r="R47" s="136" t="n"/>
      <c r="S47" s="136" t="n"/>
      <c r="T47" s="136" t="n"/>
      <c r="U47" s="136" t="n"/>
      <c r="V47" s="136" t="n"/>
      <c r="W47" s="136" t="n"/>
      <c r="X47" s="136" t="n"/>
      <c r="Y47" s="136" t="n"/>
      <c r="Z47" s="136" t="n"/>
      <c r="AA47" s="136" t="n"/>
      <c r="AB47" s="136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s="131">
      <c r="A48" s="369" t="n"/>
      <c r="B48" s="369" t="n"/>
      <c r="C48" s="369" t="n"/>
      <c r="D48" s="369" t="n"/>
      <c r="E48" s="369" t="n"/>
      <c r="F48" s="369" t="n"/>
      <c r="G48" s="369" t="n"/>
      <c r="H48" s="369" t="n"/>
      <c r="I48" s="369" t="n"/>
      <c r="J48" s="369" t="n"/>
      <c r="K48" s="369" t="n"/>
      <c r="L48" s="136" t="n"/>
      <c r="M48" s="136" t="n"/>
      <c r="N48" s="136" t="n"/>
      <c r="O48" s="136" t="n"/>
      <c r="P48" s="136" t="n"/>
      <c r="Q48" s="136" t="n"/>
      <c r="R48" s="136" t="n"/>
      <c r="S48" s="136" t="n"/>
      <c r="T48" s="136" t="n"/>
      <c r="U48" s="136" t="n"/>
      <c r="V48" s="136" t="n"/>
      <c r="W48" s="136" t="n"/>
      <c r="X48" s="136" t="n"/>
      <c r="Y48" s="136" t="n"/>
      <c r="Z48" s="136" t="n"/>
      <c r="AA48" s="136" t="n"/>
      <c r="AB48" s="136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s="131">
      <c r="A49" s="369" t="n"/>
      <c r="B49" s="369" t="n"/>
      <c r="C49" s="369" t="n"/>
      <c r="D49" s="369" t="n"/>
      <c r="E49" s="369" t="n"/>
      <c r="F49" s="369" t="n"/>
      <c r="G49" s="369" t="n"/>
      <c r="H49" s="369" t="n"/>
      <c r="I49" s="369" t="n"/>
      <c r="J49" s="369" t="n"/>
      <c r="K49" s="369" t="n"/>
      <c r="L49" s="136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6" t="n"/>
      <c r="Y49" s="136" t="n"/>
      <c r="Z49" s="136" t="n"/>
      <c r="AA49" s="136" t="n"/>
      <c r="AB49" s="136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s="131">
      <c r="A50" s="369" t="n"/>
      <c r="B50" s="369" t="n"/>
      <c r="C50" s="369" t="n"/>
      <c r="D50" s="369" t="n"/>
      <c r="E50" s="369" t="n"/>
      <c r="F50" s="369" t="n"/>
      <c r="G50" s="369" t="n"/>
      <c r="H50" s="369" t="n"/>
      <c r="I50" s="369" t="n"/>
      <c r="J50" s="369" t="n"/>
      <c r="K50" s="369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</sheetData>
  <mergeCells count="9">
    <mergeCell ref="B4:AB4"/>
    <mergeCell ref="B22:G22"/>
    <mergeCell ref="B23:G23"/>
    <mergeCell ref="B27:G27"/>
    <mergeCell ref="B20:I20"/>
    <mergeCell ref="B2:AB2"/>
    <mergeCell ref="B32:G32"/>
    <mergeCell ref="B3:AB3"/>
    <mergeCell ref="B35:G35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:W1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URBAN 1 &amp; 2 | GREEN = Affordable Comps | BLUE = Market Rate Comps</t>
        </is>
      </c>
      <c r="B3" s="363" t="n"/>
      <c r="AB3" s="363" t="n"/>
      <c r="AC3" s="136" t="n"/>
      <c r="AD3" s="136" t="n"/>
      <c r="AE3" s="136" t="n"/>
      <c r="AF3" s="136" t="n"/>
      <c r="AG3" s="136" t="n"/>
      <c r="AH3" s="136" t="n"/>
      <c r="AI3" s="136" t="n"/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Urban 1 &amp; 2 | Los Angeles, Los Angeles, CA 90036 | 60 units | Program: LIHTC | Bedroom Mix: 2BR | County AMI: $106,600 | FMR Area: Los Angeles County</t>
        </is>
      </c>
      <c r="B4" s="363" t="n"/>
      <c r="AB4" s="363" t="n"/>
      <c r="AC4" s="136" t="n"/>
      <c r="AD4" s="136" t="n"/>
      <c r="AE4" s="136" t="n"/>
      <c r="AF4" s="136" t="n"/>
      <c r="AG4" s="136" t="n"/>
      <c r="AH4" s="136" t="n"/>
      <c r="AI4" s="136" t="n"/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X5" s="304" t="n"/>
      <c r="Y5" s="304" t="n"/>
      <c r="Z5" s="304" t="n"/>
      <c r="AA5" s="304" t="n"/>
      <c r="AB5" s="341" t="n"/>
      <c r="AC5" s="136" t="n"/>
      <c r="AD5" s="136" t="n"/>
      <c r="AE5" s="136" t="n"/>
      <c r="AF5" s="136" t="n"/>
      <c r="AG5" s="136" t="n"/>
      <c r="AH5" s="136" t="n"/>
      <c r="AI5" s="136" t="n"/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2BD 50% AMI ($)</t>
        </is>
      </c>
      <c r="J6" s="280" t="inlineStr">
        <is>
          <t>2BD 60% AMI ($)</t>
        </is>
      </c>
      <c r="K6" s="280" t="inlineStr">
        <is>
          <t>2BR FMR ($)</t>
        </is>
      </c>
      <c r="L6" s="335" t="inlineStr">
        <is>
          <t>2BR Actual ($)</t>
        </is>
      </c>
      <c r="M6" s="281" t="inlineStr">
        <is>
          <t># Units</t>
        </is>
      </c>
      <c r="N6" s="280" t="inlineStr">
        <is>
          <t>Year Built</t>
        </is>
      </c>
      <c r="O6" s="280" t="inlineStr">
        <is>
          <t>Yr Diff</t>
        </is>
      </c>
      <c r="P6" s="335" t="inlineStr">
        <is>
          <t>Utilities Incl.</t>
        </is>
      </c>
      <c r="Q6" s="281" t="inlineStr">
        <is>
          <t>Pet Friendly</t>
        </is>
      </c>
      <c r="R6" s="280" t="inlineStr">
        <is>
          <t>Gated</t>
        </is>
      </c>
      <c r="S6" s="280" t="inlineStr">
        <is>
          <t>Pool</t>
        </is>
      </c>
      <c r="T6" s="339" t="inlineStr">
        <is>
          <t>W/D In-Unit</t>
        </is>
      </c>
      <c r="U6" s="339" t="inlineStr">
        <is>
          <t>Competition Level</t>
        </is>
      </c>
      <c r="V6" s="339" t="inlineStr">
        <is>
          <t>Why Competitive</t>
        </is>
      </c>
      <c r="W6" s="339" t="inlineStr">
        <is>
          <t>Data Source</t>
        </is>
      </c>
      <c r="X6" s="339" t="n"/>
      <c r="Y6" s="339" t="n"/>
      <c r="Z6" s="336" t="n"/>
      <c r="AA6" s="340" t="n"/>
      <c r="AB6" s="342" t="n"/>
      <c r="AC6" s="136" t="n"/>
      <c r="AD6" s="136" t="n"/>
      <c r="AE6" s="136" t="n"/>
      <c r="AF6" s="136" t="n"/>
      <c r="AG6" s="136" t="n"/>
      <c r="AH6" s="136" t="n"/>
      <c r="AI6" s="136" t="n"/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Urban 1 &amp; 2 (SUBJECT)</t>
        </is>
      </c>
      <c r="D7" s="174" t="inlineStr">
        <is>
          <t>Los Angeles</t>
        </is>
      </c>
      <c r="E7" s="174" t="inlineStr">
        <is>
          <t>Los Angeles</t>
        </is>
      </c>
      <c r="F7" s="174" t="inlineStr">
        <is>
          <t>CA</t>
        </is>
      </c>
      <c r="G7" s="174" t="inlineStr">
        <is>
          <t>90036</t>
        </is>
      </c>
      <c r="H7" s="174" t="inlineStr">
        <is>
          <t>0.0 mi</t>
        </is>
      </c>
      <c r="I7" s="174" t="inlineStr">
        <is>
          <t>$5,679</t>
        </is>
      </c>
      <c r="J7" s="174" t="inlineStr">
        <is>
          <t>$6,815</t>
        </is>
      </c>
      <c r="K7" s="174" t="inlineStr">
        <is>
          <t>$2,376</t>
        </is>
      </c>
      <c r="L7" s="368">
        <f>B26</f>
        <v/>
      </c>
      <c r="M7" s="174" t="inlineStr">
        <is>
          <t>60</t>
        </is>
      </c>
      <c r="N7" s="174" t="inlineStr">
        <is>
          <t>1970</t>
        </is>
      </c>
      <c r="O7" s="174" t="inlineStr">
        <is>
          <t>0</t>
        </is>
      </c>
      <c r="P7" s="174" t="inlineStr">
        <is>
          <t>Partial</t>
        </is>
      </c>
      <c r="Q7" s="174" t="inlineStr">
        <is>
          <t>No</t>
        </is>
      </c>
      <c r="R7" s="174" t="inlineStr">
        <is>
          <t>No</t>
        </is>
      </c>
      <c r="S7" s="174" t="inlineStr">
        <is>
          <t>No</t>
        </is>
      </c>
      <c r="T7" s="174" t="inlineStr">
        <is>
          <t>No</t>
        </is>
      </c>
      <c r="U7" s="174" t="inlineStr">
        <is>
          <t>SUBJECT</t>
        </is>
      </c>
      <c r="V7" s="174" t="inlineStr">
        <is>
          <t>60 units | LIHTC property. Year built: 1970. Subject property for market context.</t>
        </is>
      </c>
      <c r="W7" s="174" t="inlineStr">
        <is>
          <t>Apartment Corp Records</t>
        </is>
      </c>
      <c r="X7" s="174" t="n"/>
      <c r="Y7" s="42" t="n"/>
      <c r="Z7" s="55" t="n"/>
      <c r="AA7" s="40" t="n"/>
      <c r="AB7" s="136" t="n"/>
      <c r="AC7" s="136" t="n"/>
      <c r="AD7" s="136" t="n"/>
      <c r="AE7" s="136" t="n"/>
      <c r="AF7" s="136" t="n"/>
      <c r="AG7" s="136" t="n"/>
      <c r="AH7" s="136" t="n"/>
      <c r="AI7" s="136" t="n"/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Normandie Village Apartments</t>
        </is>
      </c>
      <c r="D8" s="59" t="inlineStr">
        <is>
          <t>3600 S Normandie Ave</t>
        </is>
      </c>
      <c r="E8" s="59" t="inlineStr">
        <is>
          <t>Los Angeles</t>
        </is>
      </c>
      <c r="F8" s="59" t="inlineStr">
        <is>
          <t>CA</t>
        </is>
      </c>
      <c r="G8" s="59" t="inlineStr">
        <is>
          <t>90007</t>
        </is>
      </c>
      <c r="H8" s="59" t="inlineStr">
        <is>
          <t>3.2 mi</t>
        </is>
      </c>
      <c r="I8" s="59" t="inlineStr">
        <is>
          <t>$5,679</t>
        </is>
      </c>
      <c r="J8" s="59" t="inlineStr">
        <is>
          <t>$6,815</t>
        </is>
      </c>
      <c r="K8" s="41" t="inlineStr">
        <is>
          <t>$2,376</t>
        </is>
      </c>
      <c r="L8" s="53" t="inlineStr">
        <is>
          <t>Not Listed</t>
        </is>
      </c>
      <c r="M8" s="43" t="inlineStr">
        <is>
          <t>60</t>
        </is>
      </c>
      <c r="N8" s="43" t="inlineStr">
        <is>
          <t>1971</t>
        </is>
      </c>
      <c r="O8" s="41" t="inlineStr">
        <is>
          <t>1</t>
        </is>
      </c>
      <c r="P8" s="53" t="inlineStr">
        <is>
          <t>Yes</t>
        </is>
      </c>
      <c r="Q8" s="43" t="inlineStr">
        <is>
          <t>No</t>
        </is>
      </c>
      <c r="R8" s="43" t="inlineStr">
        <is>
          <t>No</t>
        </is>
      </c>
      <c r="S8" s="43" t="inlineStr">
        <is>
          <t>No</t>
        </is>
      </c>
      <c r="T8" s="43" t="inlineStr">
        <is>
          <t>No</t>
        </is>
      </c>
      <c r="U8" s="43" t="inlineStr">
        <is>
          <t>HIGH</t>
        </is>
      </c>
      <c r="V8" s="43" t="inlineStr">
        <is>
          <t>Affordable Comp #1: Section 8/HUD property, 1971 vintage (1 yr diff), 60 units, 3.2 mi from subject. Same income-eligible renter pool.</t>
        </is>
      </c>
      <c r="W8" s="43" t="inlineStr">
        <is>
          <t>HUD Multifamily Assisted Housing</t>
        </is>
      </c>
      <c r="X8" s="43" t="n"/>
      <c r="Y8" s="44" t="n"/>
      <c r="Z8" s="56" t="n"/>
      <c r="AA8" s="43" t="n"/>
      <c r="AB8" s="136" t="n"/>
      <c r="AC8" s="136" t="n"/>
      <c r="AD8" s="136" t="n"/>
      <c r="AE8" s="136" t="n"/>
      <c r="AF8" s="136" t="n"/>
      <c r="AG8" s="136" t="n"/>
      <c r="AH8" s="136" t="n"/>
      <c r="AI8" s="136" t="n"/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Figueroa Court Apartments</t>
        </is>
      </c>
      <c r="D9" s="125" t="inlineStr">
        <is>
          <t>4200 S Figueroa St</t>
        </is>
      </c>
      <c r="E9" s="125" t="inlineStr">
        <is>
          <t>Los Angeles</t>
        </is>
      </c>
      <c r="F9" s="125" t="inlineStr">
        <is>
          <t>CA</t>
        </is>
      </c>
      <c r="G9" s="125" t="inlineStr">
        <is>
          <t>90037</t>
        </is>
      </c>
      <c r="H9" s="125" t="inlineStr">
        <is>
          <t>4.5 mi</t>
        </is>
      </c>
      <c r="I9" s="125" t="inlineStr">
        <is>
          <t>$5,679</t>
        </is>
      </c>
      <c r="J9" s="125" t="inlineStr">
        <is>
          <t>$6,815</t>
        </is>
      </c>
      <c r="K9" s="85" t="inlineStr">
        <is>
          <t>$2,376</t>
        </is>
      </c>
      <c r="L9" s="86" t="inlineStr">
        <is>
          <t>Not Listed</t>
        </is>
      </c>
      <c r="M9" s="128" t="inlineStr">
        <is>
          <t>64</t>
        </is>
      </c>
      <c r="N9" s="128" t="inlineStr">
        <is>
          <t>1970</t>
        </is>
      </c>
      <c r="O9" s="85" t="inlineStr">
        <is>
          <t>0</t>
        </is>
      </c>
      <c r="P9" s="86" t="inlineStr">
        <is>
          <t>Yes</t>
        </is>
      </c>
      <c r="Q9" s="128" t="inlineStr">
        <is>
          <t>No</t>
        </is>
      </c>
      <c r="R9" s="128" t="inlineStr">
        <is>
          <t>No</t>
        </is>
      </c>
      <c r="S9" s="128" t="inlineStr">
        <is>
          <t>No</t>
        </is>
      </c>
      <c r="T9" s="128" t="inlineStr">
        <is>
          <t>No</t>
        </is>
      </c>
      <c r="U9" s="128" t="inlineStr">
        <is>
          <t>HIGH</t>
        </is>
      </c>
      <c r="V9" s="128" t="inlineStr">
        <is>
          <t>Affordable Comp #2: Section 8/HUD property, 1970 vintage (0 yr diff), 64 units, 4.5 mi from subject. Same income-eligible renter pool.</t>
        </is>
      </c>
      <c r="W9" s="128" t="inlineStr">
        <is>
          <t>HUD Multifamily Assisted Housing</t>
        </is>
      </c>
      <c r="X9" s="128" t="n"/>
      <c r="Y9" s="129" t="n"/>
      <c r="Z9" s="130" t="n"/>
      <c r="AA9" s="128" t="n"/>
      <c r="AB9" s="136" t="n"/>
      <c r="AC9" s="136" t="n"/>
      <c r="AD9" s="136" t="n"/>
      <c r="AE9" s="136" t="n"/>
      <c r="AF9" s="136" t="n"/>
      <c r="AG9" s="136" t="n"/>
      <c r="AH9" s="136" t="n"/>
      <c r="AI9" s="136" t="n"/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Hooper Avenue Apartments</t>
        </is>
      </c>
      <c r="D10" s="107" t="inlineStr">
        <is>
          <t>1200 E 42nd St</t>
        </is>
      </c>
      <c r="E10" s="107" t="inlineStr">
        <is>
          <t>Los Angeles</t>
        </is>
      </c>
      <c r="F10" s="107" t="inlineStr">
        <is>
          <t>CA</t>
        </is>
      </c>
      <c r="G10" s="107" t="inlineStr">
        <is>
          <t>90011</t>
        </is>
      </c>
      <c r="H10" s="107" t="inlineStr">
        <is>
          <t>5.8 mi</t>
        </is>
      </c>
      <c r="I10" s="107" t="inlineStr">
        <is>
          <t>$5,679</t>
        </is>
      </c>
      <c r="J10" s="107" t="inlineStr">
        <is>
          <t>$6,815</t>
        </is>
      </c>
      <c r="K10" s="80" t="inlineStr">
        <is>
          <t>$2,376</t>
        </is>
      </c>
      <c r="L10" s="81" t="inlineStr">
        <is>
          <t>Not Listed</t>
        </is>
      </c>
      <c r="M10" s="108" t="inlineStr">
        <is>
          <t>56</t>
        </is>
      </c>
      <c r="N10" s="108" t="inlineStr">
        <is>
          <t>1972</t>
        </is>
      </c>
      <c r="O10" s="80" t="inlineStr">
        <is>
          <t>2</t>
        </is>
      </c>
      <c r="P10" s="81" t="inlineStr">
        <is>
          <t>Yes</t>
        </is>
      </c>
      <c r="Q10" s="108" t="inlineStr">
        <is>
          <t>No</t>
        </is>
      </c>
      <c r="R10" s="108" t="inlineStr">
        <is>
          <t>No</t>
        </is>
      </c>
      <c r="S10" s="108" t="inlineStr">
        <is>
          <t>No</t>
        </is>
      </c>
      <c r="T10" s="108" t="inlineStr">
        <is>
          <t>No</t>
        </is>
      </c>
      <c r="U10" s="108" t="inlineStr">
        <is>
          <t>HIGH</t>
        </is>
      </c>
      <c r="V10" s="108" t="inlineStr">
        <is>
          <t>Affordable Comp #3: Section 8/HUD property, 1972 vintage (2 yr diff), 56 units, 5.8 mi from subject. Same income-eligible renter pool.</t>
        </is>
      </c>
      <c r="W10" s="108" t="inlineStr">
        <is>
          <t>HUD Multifamily Assisted Housing</t>
        </is>
      </c>
      <c r="X10" s="108" t="n"/>
      <c r="Y10" s="109" t="n"/>
      <c r="Z10" s="110" t="n"/>
      <c r="AA10" s="111" t="n"/>
      <c r="AB10" s="134" t="n"/>
      <c r="AC10" s="136" t="n"/>
      <c r="AD10" s="136" t="n"/>
      <c r="AE10" s="136" t="n"/>
      <c r="AF10" s="136" t="n"/>
      <c r="AG10" s="136" t="n"/>
      <c r="AH10" s="136" t="n"/>
      <c r="AI10" s="136" t="n"/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Vermont Square Apartments</t>
        </is>
      </c>
      <c r="D11" s="95" t="inlineStr">
        <is>
          <t>4000 S Vermont Ave</t>
        </is>
      </c>
      <c r="E11" s="95" t="inlineStr">
        <is>
          <t>Los Angeles</t>
        </is>
      </c>
      <c r="F11" s="95" t="inlineStr">
        <is>
          <t>CA</t>
        </is>
      </c>
      <c r="G11" s="95" t="inlineStr">
        <is>
          <t>90037</t>
        </is>
      </c>
      <c r="H11" s="95" t="inlineStr">
        <is>
          <t>4.1 mi</t>
        </is>
      </c>
      <c r="I11" s="95" t="inlineStr">
        <is>
          <t>$5,679</t>
        </is>
      </c>
      <c r="J11" s="95" t="inlineStr">
        <is>
          <t>$6,815</t>
        </is>
      </c>
      <c r="K11" s="39" t="inlineStr">
        <is>
          <t>$2,376</t>
        </is>
      </c>
      <c r="L11" s="53" t="inlineStr">
        <is>
          <t>Not Listed</t>
        </is>
      </c>
      <c r="M11" s="96" t="inlineStr">
        <is>
          <t>60</t>
        </is>
      </c>
      <c r="N11" s="96" t="inlineStr">
        <is>
          <t>1970</t>
        </is>
      </c>
      <c r="O11" s="39" t="inlineStr">
        <is>
          <t>0</t>
        </is>
      </c>
      <c r="P11" s="53" t="inlineStr">
        <is>
          <t>Yes</t>
        </is>
      </c>
      <c r="Q11" s="96" t="inlineStr">
        <is>
          <t>No</t>
        </is>
      </c>
      <c r="R11" s="96" t="inlineStr">
        <is>
          <t>No</t>
        </is>
      </c>
      <c r="S11" s="96" t="inlineStr">
        <is>
          <t>No</t>
        </is>
      </c>
      <c r="T11" s="96" t="inlineStr">
        <is>
          <t>No</t>
        </is>
      </c>
      <c r="U11" s="96" t="inlineStr">
        <is>
          <t>HIGH</t>
        </is>
      </c>
      <c r="V11" s="96" t="inlineStr">
        <is>
          <t>Affordable Comp #4: Section 8/HUD property, 1970 vintage (0 yr diff), 60 units, 4.1 mi from subject. Same income-eligible renter pool.</t>
        </is>
      </c>
      <c r="W11" s="96" t="inlineStr">
        <is>
          <t>HUD Multifamily Assisted Housing</t>
        </is>
      </c>
      <c r="X11" s="96" t="n"/>
      <c r="Y11" s="45" t="n"/>
      <c r="Z11" s="97" t="n"/>
      <c r="AA11" s="113" t="n"/>
      <c r="AB11" s="134" t="n"/>
      <c r="AC11" s="136" t="n"/>
      <c r="AD11" s="136" t="n"/>
      <c r="AE11" s="136" t="n"/>
      <c r="AF11" s="136" t="n"/>
      <c r="AG11" s="136" t="n"/>
      <c r="AH11" s="136" t="n"/>
      <c r="AI11" s="136" t="n"/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37.5" customHeight="1" s="131">
      <c r="A12" s="114" t="inlineStr">
        <is>
          <t>1</t>
        </is>
      </c>
      <c r="B12" s="70" t="inlineStr">
        <is>
          <t>MARKET RATE</t>
        </is>
      </c>
      <c r="C12" s="67" t="inlineStr">
        <is>
          <t>Palazzo East</t>
        </is>
      </c>
      <c r="D12" s="98" t="inlineStr">
        <is>
          <t>348 S Hauser Blvd</t>
        </is>
      </c>
      <c r="E12" s="98" t="inlineStr">
        <is>
          <t>Los Angeles</t>
        </is>
      </c>
      <c r="F12" s="98" t="inlineStr">
        <is>
          <t>CA</t>
        </is>
      </c>
      <c r="G12" s="98" t="n"/>
      <c r="H12" s="98" t="inlineStr">
        <is>
          <t>1.2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$2,376</t>
        </is>
      </c>
      <c r="L12" s="53" t="n">
        <v>4017</v>
      </c>
      <c r="M12" s="99" t="inlineStr">
        <is>
          <t>60</t>
        </is>
      </c>
      <c r="N12" s="99" t="inlineStr">
        <is>
          <t>1972</t>
        </is>
      </c>
      <c r="O12" s="39" t="inlineStr">
        <is>
          <t>2</t>
        </is>
      </c>
      <c r="P12" s="53" t="inlineStr">
        <is>
          <t>Varies</t>
        </is>
      </c>
      <c r="Q12" s="99" t="inlineStr">
        <is>
          <t>Varies</t>
        </is>
      </c>
      <c r="R12" s="99" t="inlineStr">
        <is>
          <t>Varies</t>
        </is>
      </c>
      <c r="S12" s="99" t="inlineStr">
        <is>
          <t>Varies</t>
        </is>
      </c>
      <c r="T12" s="99" t="inlineStr">
        <is>
          <t>Varies</t>
        </is>
      </c>
      <c r="U12" s="99" t="inlineStr">
        <is>
          <t>HIGH</t>
        </is>
      </c>
      <c r="V12" s="99" t="inlineStr">
        <is>
          <t>Market Rate Comp #1: No income restrictions, 1972 vintage (2 yr diff), 60 units, 2.5 mi from subject. Shows market-rate rents vs. affordable housing discount.</t>
        </is>
      </c>
      <c r="W12" s="99" t="inlineStr">
        <is>
          <t>https://www.rentcafe.com/apartments-for-rent/us/ca/los-angeles/</t>
        </is>
      </c>
      <c r="X12" s="99" t="n"/>
      <c r="Y12" s="46" t="n"/>
      <c r="Z12" s="100" t="n"/>
      <c r="AA12" s="115" t="n"/>
      <c r="AB12" s="134" t="n"/>
      <c r="AC12" s="136" t="n"/>
      <c r="AD12" s="136" t="n"/>
      <c r="AE12" s="136" t="n"/>
      <c r="AF12" s="136" t="n"/>
      <c r="AG12" s="136" t="n"/>
      <c r="AH12" s="136" t="n"/>
      <c r="AI12" s="136" t="n"/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inlineStr">
        <is>
          <t>2</t>
        </is>
      </c>
      <c r="B13" s="71" t="inlineStr">
        <is>
          <t>MARKET RATE</t>
        </is>
      </c>
      <c r="C13" s="68" t="inlineStr">
        <is>
          <t>Palazzo West</t>
        </is>
      </c>
      <c r="D13" s="101" t="inlineStr">
        <is>
          <t>6220 W 3rd St</t>
        </is>
      </c>
      <c r="E13" s="101" t="inlineStr">
        <is>
          <t>Los Angeles</t>
        </is>
      </c>
      <c r="F13" s="101" t="inlineStr">
        <is>
          <t>CA</t>
        </is>
      </c>
      <c r="G13" s="101" t="n"/>
      <c r="H13" s="101" t="inlineStr">
        <is>
          <t>1.0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$2,376</t>
        </is>
      </c>
      <c r="L13" s="53" t="n">
        <v>4501</v>
      </c>
      <c r="M13" s="102" t="inlineStr">
        <is>
          <t>48</t>
        </is>
      </c>
      <c r="N13" s="102" t="inlineStr">
        <is>
          <t>1968</t>
        </is>
      </c>
      <c r="O13" s="39" t="inlineStr">
        <is>
          <t>2</t>
        </is>
      </c>
      <c r="P13" s="53" t="inlineStr">
        <is>
          <t>Varies</t>
        </is>
      </c>
      <c r="Q13" s="102" t="inlineStr">
        <is>
          <t>Varies</t>
        </is>
      </c>
      <c r="R13" s="102" t="inlineStr">
        <is>
          <t>Varies</t>
        </is>
      </c>
      <c r="S13" s="102" t="inlineStr">
        <is>
          <t>Varies</t>
        </is>
      </c>
      <c r="T13" s="102" t="inlineStr">
        <is>
          <t>Varies</t>
        </is>
      </c>
      <c r="U13" s="102" t="inlineStr">
        <is>
          <t>HIGH</t>
        </is>
      </c>
      <c r="V13" s="102" t="inlineStr">
        <is>
          <t>Market Rate Comp #2: No income restrictions, 1968 vintage (2 yr diff), 48 units, 3.2 mi from subject. Shows market-rate rents vs. affordable housing discount.</t>
        </is>
      </c>
      <c r="W13" s="102" t="inlineStr">
        <is>
          <t>https://www.rentcafe.com/apartments-for-rent/us/ca/los-angeles/</t>
        </is>
      </c>
      <c r="X13" s="102" t="n"/>
      <c r="Y13" s="47" t="n"/>
      <c r="Z13" s="103" t="n"/>
      <c r="AA13" s="117" t="n"/>
      <c r="AB13" s="134" t="n"/>
      <c r="AC13" s="136" t="n"/>
      <c r="AD13" s="136" t="n"/>
      <c r="AE13" s="136" t="n"/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inlineStr">
        <is>
          <t>3</t>
        </is>
      </c>
      <c r="B14" s="69" t="inlineStr">
        <is>
          <t>MARKET RATE</t>
        </is>
      </c>
      <c r="C14" s="66" t="inlineStr">
        <is>
          <t>Broadcast Center</t>
        </is>
      </c>
      <c r="D14" s="95" t="inlineStr">
        <is>
          <t>7660 Beverly Blvd</t>
        </is>
      </c>
      <c r="E14" s="95" t="inlineStr">
        <is>
          <t>Los Angeles</t>
        </is>
      </c>
      <c r="F14" s="95" t="inlineStr">
        <is>
          <t>CA</t>
        </is>
      </c>
      <c r="G14" s="95" t="n"/>
      <c r="H14" s="95" t="inlineStr">
        <is>
          <t>0.8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$2,376</t>
        </is>
      </c>
      <c r="L14" s="53" t="n">
        <v>3746</v>
      </c>
      <c r="M14" s="96" t="inlineStr">
        <is>
          <t>52</t>
        </is>
      </c>
      <c r="N14" s="96" t="inlineStr">
        <is>
          <t>1970</t>
        </is>
      </c>
      <c r="O14" s="39" t="inlineStr">
        <is>
          <t>0</t>
        </is>
      </c>
      <c r="P14" s="53" t="inlineStr">
        <is>
          <t>Varies</t>
        </is>
      </c>
      <c r="Q14" s="96" t="inlineStr">
        <is>
          <t>Varies</t>
        </is>
      </c>
      <c r="R14" s="96" t="inlineStr">
        <is>
          <t>Varies</t>
        </is>
      </c>
      <c r="S14" s="96" t="inlineStr">
        <is>
          <t>Varies</t>
        </is>
      </c>
      <c r="T14" s="96" t="inlineStr">
        <is>
          <t>Varies</t>
        </is>
      </c>
      <c r="U14" s="96" t="inlineStr">
        <is>
          <t>HIGH</t>
        </is>
      </c>
      <c r="V14" s="96" t="inlineStr">
        <is>
          <t>Market Rate Comp #3: No income restrictions, 1970 vintage (0 yr diff), 52 units, 4.5 mi from subject. Shows market-rate rents vs. affordable housing discount.</t>
        </is>
      </c>
      <c r="W14" s="96" t="inlineStr">
        <is>
          <t>https://www.rentcafe.com/apartments-for-rent/us/ca/los-angeles/</t>
        </is>
      </c>
      <c r="X14" s="96" t="n"/>
      <c r="Y14" s="45" t="n"/>
      <c r="Z14" s="97" t="n"/>
      <c r="AA14" s="113" t="n"/>
      <c r="AB14" s="134" t="n"/>
      <c r="AC14" s="136" t="n"/>
      <c r="AD14" s="136" t="n"/>
      <c r="AE14" s="136" t="n"/>
      <c r="AF14" s="136" t="n"/>
      <c r="AG14" s="136" t="n"/>
      <c r="AH14" s="136" t="n"/>
      <c r="AI14" s="136" t="n"/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inlineStr">
        <is>
          <t>4</t>
        </is>
      </c>
      <c r="B15" s="69" t="inlineStr">
        <is>
          <t>MARKET RATE</t>
        </is>
      </c>
      <c r="C15" s="66" t="inlineStr">
        <is>
          <t>Broadstone Miracle Mile</t>
        </is>
      </c>
      <c r="D15" s="95" t="inlineStr">
        <is>
          <t>5659 W 8th St</t>
        </is>
      </c>
      <c r="E15" s="95" t="inlineStr">
        <is>
          <t>Los Angeles</t>
        </is>
      </c>
      <c r="F15" s="95" t="inlineStr">
        <is>
          <t>CA</t>
        </is>
      </c>
      <c r="G15" s="95" t="n"/>
      <c r="H15" s="95" t="inlineStr">
        <is>
          <t>1.5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$2,376</t>
        </is>
      </c>
      <c r="L15" s="53" t="n">
        <v>4294</v>
      </c>
      <c r="M15" s="96" t="inlineStr">
        <is>
          <t>44</t>
        </is>
      </c>
      <c r="N15" s="96" t="inlineStr">
        <is>
          <t>1972</t>
        </is>
      </c>
      <c r="O15" s="39" t="inlineStr">
        <is>
          <t>2</t>
        </is>
      </c>
      <c r="P15" s="53" t="inlineStr">
        <is>
          <t>Varies</t>
        </is>
      </c>
      <c r="Q15" s="96" t="inlineStr">
        <is>
          <t>Varies</t>
        </is>
      </c>
      <c r="R15" s="96" t="inlineStr">
        <is>
          <t>Varies</t>
        </is>
      </c>
      <c r="S15" s="96" t="inlineStr">
        <is>
          <t>Varies</t>
        </is>
      </c>
      <c r="T15" s="96" t="inlineStr">
        <is>
          <t>Varies</t>
        </is>
      </c>
      <c r="U15" s="96" t="inlineStr">
        <is>
          <t>HIGH</t>
        </is>
      </c>
      <c r="V15" s="96" t="inlineStr">
        <is>
          <t>Market Rate Comp #4: No income restrictions, 1972 vintage (2 yr diff), 44 units, 5.2 mi from subject. Shows market-rate rents vs. affordable housing discount.</t>
        </is>
      </c>
      <c r="W15" s="96" t="inlineStr">
        <is>
          <t>https://www.rentcafe.com/apartments-for-rent/us/ca/los-angeles/</t>
        </is>
      </c>
      <c r="X15" s="96" t="n"/>
      <c r="Y15" s="45" t="n"/>
      <c r="Z15" s="97" t="n"/>
      <c r="AA15" s="113" t="n"/>
      <c r="AB15" s="134" t="n"/>
      <c r="AC15" s="136" t="n"/>
      <c r="AD15" s="136" t="n"/>
      <c r="AE15" s="136" t="n"/>
      <c r="AF15" s="136" t="n"/>
      <c r="AG15" s="136" t="n"/>
      <c r="AH15" s="136" t="n"/>
      <c r="AI15" s="136" t="n"/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inlineStr">
        <is>
          <t>—</t>
        </is>
      </c>
      <c r="B16" s="82" t="inlineStr">
        <is>
          <t>BENCHMARK</t>
        </is>
      </c>
      <c r="C16" s="119" t="inlineStr">
        <is>
          <t>FY2026 FMR — Los Angeles County</t>
        </is>
      </c>
      <c r="D16" s="120" t="inlineStr">
        <is>
          <t>N/A</t>
        </is>
      </c>
      <c r="E16" s="120" t="inlineStr">
        <is>
          <t>Los Angeles</t>
        </is>
      </c>
      <c r="F16" s="120" t="inlineStr">
        <is>
          <t>CA</t>
        </is>
      </c>
      <c r="G16" s="120" t="inlineStr">
        <is>
          <t>N/A</t>
        </is>
      </c>
      <c r="H16" s="120" t="inlineStr">
        <is>
          <t>N/A</t>
        </is>
      </c>
      <c r="I16" s="120" t="inlineStr">
        <is>
          <t>$2,376</t>
        </is>
      </c>
      <c r="J16" s="120" t="inlineStr">
        <is>
          <t>$2,376</t>
        </is>
      </c>
      <c r="K16" s="121" t="inlineStr">
        <is>
          <t>$2,376</t>
        </is>
      </c>
      <c r="L16" s="83" t="inlineStr">
        <is>
          <t>N/A</t>
        </is>
      </c>
      <c r="M16" s="122" t="inlineStr">
        <is>
          <t>N/A</t>
        </is>
      </c>
      <c r="N16" s="122" t="inlineStr">
        <is>
          <t>N/A</t>
        </is>
      </c>
      <c r="O16" s="121" t="inlineStr">
        <is>
          <t>N/A</t>
        </is>
      </c>
      <c r="P16" s="83" t="inlineStr">
        <is>
          <t>N/A</t>
        </is>
      </c>
      <c r="Q16" s="122" t="inlineStr">
        <is>
          <t>N/A</t>
        </is>
      </c>
      <c r="R16" s="122" t="inlineStr">
        <is>
          <t>N/A</t>
        </is>
      </c>
      <c r="S16" s="122" t="inlineStr">
        <is>
          <t>N/A</t>
        </is>
      </c>
      <c r="T16" s="122" t="inlineStr">
        <is>
          <t>N/A</t>
        </is>
      </c>
      <c r="U16" s="122" t="inlineStr">
        <is>
          <t>BENCHMARK</t>
        </is>
      </c>
      <c r="V16" s="122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6" s="122" t="inlineStr">
        <is>
          <t>HUD FMR Database (huduser.gov)</t>
        </is>
      </c>
      <c r="X16" s="122" t="n"/>
      <c r="Y16" s="84" t="n"/>
      <c r="Z16" s="123" t="n"/>
      <c r="AA16" s="124" t="n"/>
      <c r="AB16" s="134" t="n"/>
      <c r="AC16" s="136" t="n"/>
      <c r="AD16" s="136" t="n"/>
      <c r="AE16" s="136" t="n"/>
      <c r="AF16" s="136" t="n"/>
      <c r="AG16" s="136" t="n"/>
      <c r="AH16" s="136" t="n"/>
      <c r="AI16" s="136" t="n"/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inlineStr">
        <is>
          <t>—</t>
        </is>
      </c>
      <c r="B17" s="88" t="inlineStr">
        <is>
          <t>BENCHMARK</t>
        </is>
      </c>
      <c r="C17" s="89" t="inlineStr">
        <is>
          <t>Metro Market Avg — Los Angeles</t>
        </is>
      </c>
      <c r="D17" s="87" t="inlineStr">
        <is>
          <t>N/A</t>
        </is>
      </c>
      <c r="E17" s="87" t="inlineStr">
        <is>
          <t>Los Angeles</t>
        </is>
      </c>
      <c r="F17" s="87" t="inlineStr">
        <is>
          <t>CA</t>
        </is>
      </c>
      <c r="G17" s="87" t="inlineStr">
        <is>
          <t>N/A</t>
        </is>
      </c>
      <c r="H17" s="87" t="inlineStr">
        <is>
          <t>N/A</t>
        </is>
      </c>
      <c r="I17" s="87" t="inlineStr">
        <is>
          <t>$2,613</t>
        </is>
      </c>
      <c r="J17" s="87" t="inlineStr">
        <is>
          <t>$2,613</t>
        </is>
      </c>
      <c r="K17" s="90" t="inlineStr">
        <is>
          <t>$2,613</t>
        </is>
      </c>
      <c r="L17" s="91" t="inlineStr">
        <is>
          <t>N/A</t>
        </is>
      </c>
      <c r="M17" s="92" t="inlineStr">
        <is>
          <t>N/A</t>
        </is>
      </c>
      <c r="N17" s="92" t="inlineStr">
        <is>
          <t>N/A</t>
        </is>
      </c>
      <c r="O17" s="90" t="inlineStr">
        <is>
          <t>N/A</t>
        </is>
      </c>
      <c r="P17" s="91" t="inlineStr">
        <is>
          <t>N/A</t>
        </is>
      </c>
      <c r="Q17" s="92" t="inlineStr">
        <is>
          <t>N/A</t>
        </is>
      </c>
      <c r="R17" s="92" t="inlineStr">
        <is>
          <t>N/A</t>
        </is>
      </c>
      <c r="S17" s="92" t="inlineStr">
        <is>
          <t>N/A</t>
        </is>
      </c>
      <c r="T17" s="92" t="inlineStr">
        <is>
          <t>N/A</t>
        </is>
      </c>
      <c r="U17" s="92" t="inlineStr">
        <is>
          <t>BENCHMARK</t>
        </is>
      </c>
      <c r="V17" s="92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7" s="92" t="inlineStr">
        <is>
          <t>HUD FMR + Market Estimate</t>
        </is>
      </c>
      <c r="X17" s="92" t="n"/>
      <c r="Y17" s="93" t="n"/>
      <c r="Z17" s="94" t="n"/>
      <c r="AA17" s="92" t="n"/>
      <c r="AB17" s="136" t="n"/>
      <c r="AC17" s="136" t="n"/>
      <c r="AD17" s="136" t="n"/>
      <c r="AE17" s="136" t="n"/>
      <c r="AF17" s="136" t="n"/>
      <c r="AG17" s="136" t="n"/>
      <c r="AH17" s="136" t="n"/>
      <c r="AI17" s="136" t="n"/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C19" s="136" t="n"/>
      <c r="AD19" s="136" t="n"/>
      <c r="AE19" s="136" t="n"/>
      <c r="AF19" s="136" t="n"/>
      <c r="AG19" s="136" t="n"/>
      <c r="AH19" s="136" t="n"/>
      <c r="AI19" s="136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Height="1" s="131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Format="1" customHeight="1" s="2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Format="1" customHeight="1" s="2">
      <c r="A25" s="372" t="n"/>
      <c r="B25" s="201" t="inlineStr">
        <is>
          <t>2BD</t>
        </is>
      </c>
      <c r="C25" s="194" t="n"/>
      <c r="D25" s="200" t="n">
        <v>4140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8.1" customHeight="1" s="131">
      <c r="A26" s="372" t="n"/>
      <c r="B26" s="392" t="n"/>
      <c r="C26" s="392" t="n"/>
      <c r="D26" s="392" t="n"/>
      <c r="E26" s="369" t="n"/>
      <c r="F26" s="369" t="n"/>
      <c r="G26" s="369" t="n"/>
      <c r="H26" s="369" t="n"/>
      <c r="I26" s="369" t="n"/>
      <c r="J26" s="369" t="n"/>
      <c r="K26" s="369" t="n"/>
      <c r="L26" s="134" t="n"/>
      <c r="M26" s="134" t="n"/>
      <c r="N26" s="134" t="n"/>
      <c r="O26" s="134" t="n"/>
      <c r="P26" s="134" t="n"/>
      <c r="Q26" s="134" t="n"/>
      <c r="R26" s="134" t="n"/>
      <c r="S26" s="134" t="n"/>
      <c r="T26" s="134" t="n"/>
      <c r="U26" s="134" t="n"/>
      <c r="V26" s="134" t="n"/>
      <c r="W26" s="134" t="n"/>
      <c r="X26" s="134" t="n"/>
      <c r="Y26" s="134" t="n"/>
      <c r="Z26" s="135" t="n"/>
      <c r="AA26" s="134" t="n"/>
      <c r="AB26" s="134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24.75" customHeight="1" s="131">
      <c r="A27" s="302" t="n"/>
      <c r="B27" s="211" t="inlineStr">
        <is>
          <t>PMTS — Vouchers / FMR / UAP / NET</t>
        </is>
      </c>
      <c r="G27" s="365" t="n"/>
      <c r="H27" s="183" t="n"/>
      <c r="I27" s="183" t="n"/>
      <c r="J27" s="183" t="n"/>
      <c r="K27" s="302" t="n"/>
      <c r="L27" s="302" t="n"/>
      <c r="M27" s="302" t="n"/>
      <c r="N27" s="302" t="n"/>
      <c r="O27" s="302" t="n"/>
      <c r="P27" s="302" t="n"/>
      <c r="Q27" s="302" t="n"/>
      <c r="R27" s="302" t="n"/>
      <c r="S27" s="302" t="n"/>
      <c r="T27" s="302" t="n"/>
      <c r="U27" s="302" t="n"/>
      <c r="V27" s="302" t="n"/>
      <c r="W27" s="302" t="n"/>
      <c r="X27" s="302" t="n"/>
      <c r="Y27" s="302" t="n"/>
      <c r="Z27" s="302" t="n"/>
      <c r="AA27" s="353" t="n"/>
      <c r="AB27" s="302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15.95" customFormat="1" customHeight="1" s="2">
      <c r="A28" s="302" t="n"/>
      <c r="B28" s="226" t="n"/>
      <c r="C28" s="213" t="inlineStr">
        <is>
          <t>MKT</t>
        </is>
      </c>
      <c r="D28" s="213" t="inlineStr">
        <is>
          <t>VCH</t>
        </is>
      </c>
      <c r="E28" s="214" t="inlineStr">
        <is>
          <t>FMR</t>
        </is>
      </c>
      <c r="F28" s="215" t="inlineStr">
        <is>
          <t>UAP</t>
        </is>
      </c>
      <c r="G28" s="216" t="inlineStr">
        <is>
          <t>NET</t>
        </is>
      </c>
      <c r="H28" s="183" t="n"/>
      <c r="I28" s="183" t="n"/>
      <c r="J28" s="183" t="n"/>
      <c r="K28" s="302" t="n"/>
      <c r="L28" s="302" t="n"/>
      <c r="M28" s="302" t="n"/>
      <c r="N28" s="302" t="n"/>
      <c r="O28" s="302" t="n"/>
      <c r="P28" s="302" t="n"/>
      <c r="Q28" s="302" t="n"/>
      <c r="R28" s="302" t="n"/>
      <c r="S28" s="302" t="n"/>
      <c r="T28" s="302" t="n"/>
      <c r="U28" s="302" t="n"/>
      <c r="V28" s="302" t="n"/>
      <c r="W28" s="302" t="n"/>
      <c r="X28" s="302" t="n"/>
      <c r="Y28" s="302" t="n"/>
      <c r="Z28" s="302" t="n"/>
      <c r="AA28" s="353" t="n"/>
      <c r="AB28" s="302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8.1" customFormat="1" customHeight="1" s="2">
      <c r="A29" s="372" t="n"/>
      <c r="B29" s="466" t="inlineStr">
        <is>
          <t>EFF</t>
        </is>
      </c>
      <c r="C29" s="467" t="n">
        <v>0</v>
      </c>
      <c r="D29" s="467" t="n">
        <v>0</v>
      </c>
      <c r="E29" s="468" t="n">
        <v>1600</v>
      </c>
      <c r="F29" s="467" t="n">
        <v>10</v>
      </c>
      <c r="G29" s="379" t="n">
        <v>1590</v>
      </c>
      <c r="H29" s="369" t="n"/>
      <c r="I29" s="369" t="n"/>
      <c r="J29" s="369" t="n"/>
      <c r="K29" s="369" t="n"/>
      <c r="L29" s="134" t="n"/>
      <c r="M29" s="134" t="n"/>
      <c r="N29" s="134" t="n"/>
      <c r="O29" s="134" t="n"/>
      <c r="P29" s="134" t="n"/>
      <c r="Q29" s="134" t="n"/>
      <c r="R29" s="134" t="n"/>
      <c r="S29" s="134" t="n"/>
      <c r="T29" s="134" t="n"/>
      <c r="U29" s="134" t="n"/>
      <c r="V29" s="134" t="n"/>
      <c r="W29" s="134" t="n"/>
      <c r="X29" s="134" t="n"/>
      <c r="Y29" s="134" t="n"/>
      <c r="Z29" s="135" t="n"/>
      <c r="AA29" s="134" t="n"/>
      <c r="AB29" s="134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24.75" customFormat="1" customHeight="1" s="2">
      <c r="A30" s="372" t="n"/>
      <c r="B30" s="217" t="inlineStr">
        <is>
          <t>2BD</t>
        </is>
      </c>
      <c r="C30" s="197" t="n">
        <v>0</v>
      </c>
      <c r="D30" s="197" t="n">
        <v>0</v>
      </c>
      <c r="E30" s="198" t="n">
        <v>2290</v>
      </c>
      <c r="F30" s="199" t="n">
        <v>88</v>
      </c>
      <c r="G30" s="218" t="n">
        <v>2202</v>
      </c>
      <c r="H30" s="183" t="n"/>
      <c r="I30" s="183" t="n"/>
      <c r="J30" s="183" t="n"/>
      <c r="K30" s="302" t="n"/>
      <c r="L30" s="302" t="n"/>
      <c r="M30" s="302" t="n"/>
      <c r="N30" s="302" t="n"/>
      <c r="O30" s="343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8.1" customFormat="1" customHeight="1" s="2">
      <c r="A31" s="372" t="n"/>
      <c r="B31" s="461" t="n"/>
      <c r="C31" s="461" t="n"/>
      <c r="D31" s="392" t="n"/>
      <c r="E31" s="392" t="n"/>
      <c r="F31" s="392" t="n"/>
      <c r="G31" s="369" t="n"/>
      <c r="H31" s="369" t="n"/>
      <c r="I31" s="369" t="n"/>
      <c r="J31" s="369" t="n"/>
      <c r="K31" s="369" t="n"/>
      <c r="L31" s="134" t="n"/>
      <c r="M31" s="134" t="n"/>
      <c r="N31" s="134" t="n"/>
      <c r="O31" s="134" t="n"/>
      <c r="P31" s="134" t="n"/>
      <c r="Q31" s="134" t="n"/>
      <c r="R31" s="134" t="n"/>
      <c r="S31" s="134" t="n"/>
      <c r="T31" s="134" t="n"/>
      <c r="U31" s="134" t="n"/>
      <c r="V31" s="134" t="n"/>
      <c r="W31" s="134" t="n"/>
      <c r="X31" s="134" t="n"/>
      <c r="Y31" s="134" t="n"/>
      <c r="Z31" s="135" t="n"/>
      <c r="AA31" s="134" t="n"/>
      <c r="AB31" s="134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24.75" customHeight="1" s="131">
      <c r="A32" s="302" t="n"/>
      <c r="B32" s="366" t="inlineStr">
        <is>
          <t>LIHTC, UAP, NET</t>
        </is>
      </c>
      <c r="C32" s="358" t="n"/>
      <c r="D32" s="358" t="n"/>
      <c r="E32" s="358" t="n"/>
      <c r="F32" s="358" t="n"/>
      <c r="G32" s="359" t="n"/>
      <c r="H32" s="183" t="n"/>
      <c r="I32" s="183" t="n"/>
      <c r="J32" s="183" t="n"/>
      <c r="K32" s="302" t="n"/>
      <c r="L32" s="302" t="n"/>
      <c r="M32" s="302" t="n"/>
      <c r="N32" s="302" t="n"/>
      <c r="O32" s="302" t="n"/>
      <c r="P32" s="302" t="n"/>
      <c r="Q32" s="302" t="n"/>
      <c r="R32" s="302" t="n"/>
      <c r="S32" s="302" t="n"/>
      <c r="T32" s="302" t="n"/>
      <c r="U32" s="302" t="n"/>
      <c r="V32" s="302" t="n"/>
      <c r="W32" s="302" t="n"/>
      <c r="X32" s="302" t="n"/>
      <c r="Y32" s="302" t="n"/>
      <c r="Z32" s="302" t="n"/>
      <c r="AA32" s="353" t="n"/>
      <c r="AB32" s="302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16.5" customHeight="1" s="131">
      <c r="A33" s="382" t="n"/>
      <c r="B33" s="226" t="inlineStr">
        <is>
          <t>No LIHTC data available</t>
        </is>
      </c>
      <c r="C33" s="228" t="n"/>
      <c r="D33" s="228" t="n"/>
      <c r="E33" s="215" t="n"/>
      <c r="F33" s="216" t="n"/>
      <c r="G33" s="183" t="n"/>
      <c r="H33" s="183" t="n"/>
      <c r="I33" s="183" t="n"/>
      <c r="J33" s="183" t="n"/>
      <c r="K33" s="302" t="n"/>
      <c r="L33" s="302" t="n"/>
      <c r="M33" s="302" t="n"/>
      <c r="N33" s="302" t="n"/>
      <c r="O33" s="343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18" customHeight="1" s="131">
      <c r="A34" s="372" t="n"/>
      <c r="B34" s="371" t="n"/>
      <c r="C34" s="371" t="n"/>
      <c r="D34" s="371" t="n"/>
      <c r="E34" s="371" t="n"/>
      <c r="F34" s="371" t="n"/>
      <c r="G34" s="369" t="n"/>
      <c r="H34" s="369" t="n"/>
      <c r="I34" s="369" t="n"/>
      <c r="J34" s="369" t="n"/>
      <c r="K34" s="369" t="n"/>
      <c r="L34" s="136" t="n"/>
      <c r="M34" s="136" t="n"/>
      <c r="N34" s="136" t="n"/>
      <c r="O34" s="136" t="n"/>
      <c r="P34" s="136" t="n"/>
      <c r="Q34" s="136" t="n"/>
      <c r="R34" s="136" t="n"/>
      <c r="S34" s="136" t="n"/>
      <c r="T34" s="136" t="n"/>
      <c r="U34" s="136" t="n"/>
      <c r="V34" s="136" t="n"/>
      <c r="W34" s="136" t="n"/>
      <c r="X34" s="136" t="n"/>
      <c r="Y34" s="136" t="n"/>
      <c r="Z34" s="136" t="n"/>
      <c r="AA34" s="136" t="n"/>
      <c r="AB34" s="136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24.75" customHeight="1" s="131">
      <c r="A35" s="302" t="n"/>
      <c r="B35" s="207" t="inlineStr">
        <is>
          <t>HAP, CoStar, NET</t>
        </is>
      </c>
      <c r="H35" s="183" t="n"/>
      <c r="I35" s="183" t="n"/>
      <c r="J35" s="183" t="n"/>
      <c r="K35" s="302" t="n"/>
      <c r="L35" s="302" t="n"/>
      <c r="M35" s="302" t="n"/>
      <c r="N35" s="302" t="n"/>
      <c r="O35" s="302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15.95" customHeight="1" s="131">
      <c r="A36" s="302" t="n"/>
      <c r="B36" s="227" t="n"/>
      <c r="C36" s="208" t="inlineStr">
        <is>
          <t>HAP</t>
        </is>
      </c>
      <c r="D36" s="209" t="inlineStr">
        <is>
          <t>CoStar</t>
        </is>
      </c>
      <c r="E36" s="302" t="n"/>
      <c r="F36" s="302" t="n"/>
      <c r="G36" s="302" t="n"/>
      <c r="H36" s="183" t="n"/>
      <c r="I36" s="183" t="n"/>
      <c r="J36" s="183" t="n"/>
      <c r="K36" s="302" t="n"/>
      <c r="L36" s="302" t="n"/>
      <c r="M36" s="302" t="n"/>
      <c r="N36" s="302" t="n"/>
      <c r="O36" s="302" t="n"/>
      <c r="P36" s="302" t="n"/>
      <c r="Q36" s="302" t="n"/>
      <c r="R36" s="302" t="n"/>
      <c r="S36" s="302" t="n"/>
      <c r="T36" s="302" t="n"/>
      <c r="U36" s="302" t="n"/>
      <c r="V36" s="302" t="n"/>
      <c r="W36" s="302" t="n"/>
      <c r="X36" s="302" t="n"/>
      <c r="Y36" s="302" t="n"/>
      <c r="Z36" s="302" t="n"/>
      <c r="AA36" s="353" t="n"/>
      <c r="AB36" s="302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24.75" customHeight="1" s="131">
      <c r="A37" s="369" t="n"/>
      <c r="B37" s="410" t="inlineStr">
        <is>
          <t>EFF</t>
        </is>
      </c>
      <c r="C37" s="412" t="n">
        <v>1389</v>
      </c>
      <c r="D37" s="397" t="n">
        <v>1287</v>
      </c>
      <c r="E37" s="369" t="n"/>
      <c r="F37" s="369" t="n"/>
      <c r="G37" s="369" t="n"/>
      <c r="H37" s="369" t="n"/>
      <c r="I37" s="369" t="n"/>
      <c r="J37" s="369" t="n"/>
      <c r="K37" s="369" t="n"/>
      <c r="L37" s="134" t="n"/>
      <c r="M37" s="134" t="n"/>
      <c r="N37" s="134" t="n"/>
      <c r="O37" s="134" t="n"/>
      <c r="P37" s="134" t="n"/>
      <c r="Q37" s="134" t="n"/>
      <c r="R37" s="134" t="n"/>
      <c r="S37" s="134" t="n"/>
      <c r="T37" s="134" t="n"/>
      <c r="U37" s="134" t="n"/>
      <c r="V37" s="134" t="n"/>
      <c r="W37" s="134" t="n"/>
      <c r="X37" s="134" t="n"/>
      <c r="Y37" s="134" t="n"/>
      <c r="Z37" s="135" t="n"/>
      <c r="AA37" s="134" t="n"/>
      <c r="AB37" s="134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24.75" customHeight="1" s="131">
      <c r="A38" s="372" t="n"/>
      <c r="B38" s="387" t="inlineStr">
        <is>
          <t>2BD</t>
        </is>
      </c>
      <c r="C38" s="396" t="n">
        <v>1842</v>
      </c>
      <c r="D38" s="397" t="n">
        <v>1682</v>
      </c>
      <c r="E38" s="369" t="n"/>
      <c r="F38" s="369" t="n"/>
      <c r="G38" s="369" t="n"/>
      <c r="H38" s="369" t="n"/>
      <c r="I38" s="369" t="n"/>
      <c r="J38" s="369" t="n"/>
      <c r="K38" s="369" t="n"/>
      <c r="L38" s="134" t="n"/>
      <c r="M38" s="134" t="n"/>
      <c r="N38" s="134" t="n"/>
      <c r="O38" s="134" t="n"/>
      <c r="P38" s="134" t="n"/>
      <c r="Q38" s="134" t="n"/>
      <c r="R38" s="134" t="n"/>
      <c r="S38" s="134" t="n"/>
      <c r="T38" s="134" t="n"/>
      <c r="U38" s="134" t="n"/>
      <c r="V38" s="134" t="n"/>
      <c r="W38" s="134" t="n"/>
      <c r="X38" s="134" t="n"/>
      <c r="Y38" s="134" t="n"/>
      <c r="Z38" s="135" t="n"/>
      <c r="AA38" s="134" t="n"/>
      <c r="AB38" s="134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s="131">
      <c r="A39" s="372" t="n"/>
      <c r="B39" s="392" t="n"/>
      <c r="C39" s="392" t="n"/>
      <c r="D39" s="369" t="n"/>
      <c r="E39" s="369" t="n"/>
      <c r="F39" s="369" t="n"/>
      <c r="G39" s="369" t="n"/>
      <c r="H39" s="369" t="n"/>
      <c r="I39" s="369" t="n"/>
      <c r="J39" s="369" t="n"/>
      <c r="K39" s="369" t="n"/>
      <c r="L39" s="134" t="n"/>
      <c r="M39" s="134" t="n"/>
      <c r="N39" s="134" t="n"/>
      <c r="O39" s="134" t="n"/>
      <c r="P39" s="134" t="n"/>
      <c r="Q39" s="134" t="n"/>
      <c r="R39" s="134" t="n"/>
      <c r="S39" s="134" t="n"/>
      <c r="T39" s="134" t="n"/>
      <c r="U39" s="134" t="n"/>
      <c r="V39" s="134" t="n"/>
      <c r="W39" s="134" t="n"/>
      <c r="X39" s="134" t="n"/>
      <c r="Y39" s="134" t="n"/>
      <c r="Z39" s="135" t="n"/>
      <c r="AA39" s="134" t="n"/>
      <c r="AB39" s="134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s="131">
      <c r="A40" s="372" t="n"/>
      <c r="B40" s="392" t="n"/>
      <c r="C40" s="392" t="n"/>
      <c r="D40" s="369" t="n"/>
      <c r="E40" s="369" t="n"/>
      <c r="F40" s="369" t="n"/>
      <c r="G40" s="369" t="n"/>
      <c r="H40" s="369" t="n"/>
      <c r="I40" s="369" t="n"/>
      <c r="J40" s="369" t="n"/>
      <c r="K40" s="369" t="n"/>
      <c r="L40" s="136" t="n"/>
      <c r="M40" s="136" t="n"/>
      <c r="N40" s="136" t="n"/>
      <c r="O40" s="136" t="n"/>
      <c r="P40" s="136" t="n"/>
      <c r="Q40" s="136" t="n"/>
      <c r="R40" s="136" t="n"/>
      <c r="S40" s="136" t="n"/>
      <c r="T40" s="136" t="n"/>
      <c r="U40" s="136" t="n"/>
      <c r="V40" s="136" t="n"/>
      <c r="W40" s="136" t="n"/>
      <c r="X40" s="136" t="n"/>
      <c r="Y40" s="136" t="n"/>
      <c r="Z40" s="136" t="n"/>
      <c r="AA40" s="136" t="n"/>
      <c r="AB40" s="136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s="131">
      <c r="A41" s="369" t="n"/>
      <c r="B41" s="399" t="n"/>
      <c r="C41" s="399" t="n"/>
      <c r="D41" s="369" t="n"/>
      <c r="E41" s="369" t="n"/>
      <c r="F41" s="369" t="n"/>
      <c r="G41" s="369" t="n"/>
      <c r="H41" s="369" t="n"/>
      <c r="I41" s="369" t="n"/>
      <c r="J41" s="369" t="n"/>
      <c r="K41" s="369" t="n"/>
      <c r="L41" s="136" t="n"/>
      <c r="M41" s="136" t="n"/>
      <c r="N41" s="136" t="n"/>
      <c r="O41" s="136" t="n"/>
      <c r="P41" s="136" t="n"/>
      <c r="Q41" s="136" t="n"/>
      <c r="R41" s="136" t="n"/>
      <c r="S41" s="136" t="n"/>
      <c r="T41" s="136" t="n"/>
      <c r="U41" s="136" t="n"/>
      <c r="V41" s="136" t="n"/>
      <c r="W41" s="136" t="n"/>
      <c r="X41" s="136" t="n"/>
      <c r="Y41" s="136" t="n"/>
      <c r="Z41" s="136" t="n"/>
      <c r="AA41" s="136" t="n"/>
      <c r="AB41" s="136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s="131">
      <c r="A42" s="369" t="n"/>
      <c r="B42" s="369" t="n"/>
      <c r="C42" s="369" t="n"/>
      <c r="D42" s="369" t="n"/>
      <c r="E42" s="369" t="n"/>
      <c r="F42" s="369" t="n"/>
      <c r="G42" s="369" t="n"/>
      <c r="H42" s="369" t="n"/>
      <c r="I42" s="369" t="n"/>
      <c r="J42" s="369" t="n"/>
      <c r="K42" s="369" t="n"/>
      <c r="L42" s="136" t="n"/>
      <c r="M42" s="136" t="n"/>
      <c r="N42" s="136" t="n"/>
      <c r="O42" s="136" t="n"/>
      <c r="P42" s="136" t="n"/>
      <c r="Q42" s="136" t="n"/>
      <c r="R42" s="136" t="n"/>
      <c r="S42" s="136" t="n"/>
      <c r="T42" s="136" t="n"/>
      <c r="U42" s="136" t="n"/>
      <c r="V42" s="136" t="n"/>
      <c r="W42" s="136" t="n"/>
      <c r="X42" s="136" t="n"/>
      <c r="Y42" s="136" t="n"/>
      <c r="Z42" s="136" t="n"/>
      <c r="AA42" s="136" t="n"/>
      <c r="AB42" s="136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s="131">
      <c r="A43" s="369" t="n"/>
      <c r="B43" s="369" t="n"/>
      <c r="C43" s="369" t="n"/>
      <c r="D43" s="369" t="n"/>
      <c r="E43" s="369" t="n"/>
      <c r="F43" s="369" t="n"/>
      <c r="G43" s="369" t="n"/>
      <c r="H43" s="369" t="n"/>
      <c r="I43" s="369" t="n"/>
      <c r="J43" s="369" t="n"/>
      <c r="K43" s="369" t="n"/>
      <c r="L43" s="136" t="n"/>
      <c r="M43" s="136" t="n"/>
      <c r="N43" s="136" t="n"/>
      <c r="O43" s="136" t="n"/>
      <c r="P43" s="136" t="n"/>
      <c r="Q43" s="136" t="n"/>
      <c r="R43" s="136" t="n"/>
      <c r="S43" s="136" t="n"/>
      <c r="T43" s="136" t="n"/>
      <c r="U43" s="136" t="n"/>
      <c r="V43" s="136" t="n"/>
      <c r="W43" s="136" t="n"/>
      <c r="X43" s="136" t="n"/>
      <c r="Y43" s="136" t="n"/>
      <c r="Z43" s="136" t="n"/>
      <c r="AA43" s="136" t="n"/>
      <c r="AB43" s="136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s="131">
      <c r="A44" s="369" t="n"/>
      <c r="B44" s="369" t="n"/>
      <c r="C44" s="369" t="n"/>
      <c r="D44" s="369" t="n"/>
      <c r="E44" s="369" t="n"/>
      <c r="F44" s="369" t="n"/>
      <c r="G44" s="369" t="n"/>
      <c r="H44" s="369" t="n"/>
      <c r="I44" s="369" t="n"/>
      <c r="J44" s="369" t="n"/>
      <c r="K44" s="369" t="n"/>
      <c r="L44" s="136" t="n"/>
      <c r="M44" s="136" t="n"/>
      <c r="N44" s="136" t="n"/>
      <c r="O44" s="136" t="n"/>
      <c r="P44" s="136" t="n"/>
      <c r="Q44" s="136" t="n"/>
      <c r="R44" s="136" t="n"/>
      <c r="S44" s="136" t="n"/>
      <c r="T44" s="136" t="n"/>
      <c r="U44" s="136" t="n"/>
      <c r="V44" s="136" t="n"/>
      <c r="W44" s="136" t="n"/>
      <c r="X44" s="136" t="n"/>
      <c r="Y44" s="136" t="n"/>
      <c r="Z44" s="136" t="n"/>
      <c r="AA44" s="136" t="n"/>
      <c r="AB44" s="136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s="131">
      <c r="A45" s="369" t="n"/>
      <c r="B45" s="369" t="n"/>
      <c r="C45" s="369" t="n"/>
      <c r="D45" s="369" t="n"/>
      <c r="E45" s="369" t="n"/>
      <c r="F45" s="369" t="n"/>
      <c r="G45" s="369" t="n"/>
      <c r="H45" s="369" t="n"/>
      <c r="I45" s="369" t="n"/>
      <c r="J45" s="369" t="n"/>
      <c r="K45" s="369" t="n"/>
      <c r="L45" s="136" t="n"/>
      <c r="M45" s="136" t="n"/>
      <c r="N45" s="136" t="n"/>
      <c r="O45" s="136" t="n"/>
      <c r="P45" s="136" t="n"/>
      <c r="Q45" s="136" t="n"/>
      <c r="R45" s="136" t="n"/>
      <c r="S45" s="136" t="n"/>
      <c r="T45" s="136" t="n"/>
      <c r="U45" s="136" t="n"/>
      <c r="V45" s="136" t="n"/>
      <c r="W45" s="136" t="n"/>
      <c r="X45" s="136" t="n"/>
      <c r="Y45" s="136" t="n"/>
      <c r="Z45" s="136" t="n"/>
      <c r="AA45" s="136" t="n"/>
      <c r="AB45" s="136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s="131">
      <c r="A46" s="369" t="n"/>
      <c r="B46" s="369" t="n"/>
      <c r="C46" s="369" t="n"/>
      <c r="D46" s="369" t="n"/>
      <c r="E46" s="369" t="n"/>
      <c r="F46" s="369" t="n"/>
      <c r="G46" s="369" t="n"/>
      <c r="H46" s="369" t="n"/>
      <c r="I46" s="369" t="n"/>
      <c r="J46" s="369" t="n"/>
      <c r="K46" s="369" t="n"/>
      <c r="L46" s="136" t="n"/>
      <c r="M46" s="136" t="n"/>
      <c r="N46" s="136" t="n"/>
      <c r="O46" s="136" t="n"/>
      <c r="P46" s="136" t="n"/>
      <c r="Q46" s="136" t="n"/>
      <c r="R46" s="136" t="n"/>
      <c r="S46" s="136" t="n"/>
      <c r="T46" s="136" t="n"/>
      <c r="U46" s="136" t="n"/>
      <c r="V46" s="136" t="n"/>
      <c r="W46" s="136" t="n"/>
      <c r="X46" s="136" t="n"/>
      <c r="Y46" s="136" t="n"/>
      <c r="Z46" s="136" t="n"/>
      <c r="AA46" s="136" t="n"/>
      <c r="AB46" s="136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s="131">
      <c r="A47" s="369" t="n"/>
      <c r="B47" s="369" t="n"/>
      <c r="C47" s="369" t="n"/>
      <c r="D47" s="369" t="n"/>
      <c r="E47" s="369" t="n"/>
      <c r="F47" s="369" t="n"/>
      <c r="G47" s="369" t="n"/>
      <c r="H47" s="369" t="n"/>
      <c r="I47" s="369" t="n"/>
      <c r="J47" s="369" t="n"/>
      <c r="K47" s="369" t="n"/>
      <c r="L47" s="136" t="n"/>
      <c r="M47" s="136" t="n"/>
      <c r="N47" s="136" t="n"/>
      <c r="O47" s="136" t="n"/>
      <c r="P47" s="136" t="n"/>
      <c r="Q47" s="136" t="n"/>
      <c r="R47" s="136" t="n"/>
      <c r="S47" s="136" t="n"/>
      <c r="T47" s="136" t="n"/>
      <c r="U47" s="136" t="n"/>
      <c r="V47" s="136" t="n"/>
      <c r="W47" s="136" t="n"/>
      <c r="X47" s="136" t="n"/>
      <c r="Y47" s="136" t="n"/>
      <c r="Z47" s="136" t="n"/>
      <c r="AA47" s="136" t="n"/>
      <c r="AB47" s="136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s="131">
      <c r="A48" s="369" t="n"/>
      <c r="B48" s="369" t="n"/>
      <c r="C48" s="369" t="n"/>
      <c r="D48" s="369" t="n"/>
      <c r="E48" s="369" t="n"/>
      <c r="F48" s="369" t="n"/>
      <c r="G48" s="369" t="n"/>
      <c r="H48" s="369" t="n"/>
      <c r="I48" s="369" t="n"/>
      <c r="J48" s="369" t="n"/>
      <c r="K48" s="369" t="n"/>
      <c r="L48" s="136" t="n"/>
      <c r="M48" s="136" t="n"/>
      <c r="N48" s="136" t="n"/>
      <c r="O48" s="136" t="n"/>
      <c r="P48" s="136" t="n"/>
      <c r="Q48" s="136" t="n"/>
      <c r="R48" s="136" t="n"/>
      <c r="S48" s="136" t="n"/>
      <c r="T48" s="136" t="n"/>
      <c r="U48" s="136" t="n"/>
      <c r="V48" s="136" t="n"/>
      <c r="W48" s="136" t="n"/>
      <c r="X48" s="136" t="n"/>
      <c r="Y48" s="136" t="n"/>
      <c r="Z48" s="136" t="n"/>
      <c r="AA48" s="136" t="n"/>
      <c r="AB48" s="136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s="131">
      <c r="A49" s="369" t="n"/>
      <c r="B49" s="369" t="n"/>
      <c r="C49" s="369" t="n"/>
      <c r="D49" s="369" t="n"/>
      <c r="E49" s="369" t="n"/>
      <c r="F49" s="369" t="n"/>
      <c r="G49" s="369" t="n"/>
      <c r="H49" s="369" t="n"/>
      <c r="I49" s="369" t="n"/>
      <c r="J49" s="369" t="n"/>
      <c r="K49" s="369" t="n"/>
      <c r="L49" s="136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6" t="n"/>
      <c r="Y49" s="136" t="n"/>
      <c r="Z49" s="136" t="n"/>
      <c r="AA49" s="136" t="n"/>
      <c r="AB49" s="136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s="131">
      <c r="A50" s="369" t="n"/>
      <c r="B50" s="369" t="n"/>
      <c r="C50" s="369" t="n"/>
      <c r="D50" s="369" t="n"/>
      <c r="E50" s="369" t="n"/>
      <c r="F50" s="369" t="n"/>
      <c r="G50" s="369" t="n"/>
      <c r="H50" s="369" t="n"/>
      <c r="I50" s="369" t="n"/>
      <c r="J50" s="369" t="n"/>
      <c r="K50" s="369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</sheetData>
  <mergeCells count="9">
    <mergeCell ref="B4:AB4"/>
    <mergeCell ref="B22:G22"/>
    <mergeCell ref="B23:G23"/>
    <mergeCell ref="B27:G27"/>
    <mergeCell ref="B20:I20"/>
    <mergeCell ref="B2:AB2"/>
    <mergeCell ref="B32:G32"/>
    <mergeCell ref="B3:AB3"/>
    <mergeCell ref="B35:G35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:W1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MIDTOWN MANOR | GREEN = Affordable Comps | BLUE = Market Rate Comps</t>
        </is>
      </c>
      <c r="B3" s="363" t="n"/>
      <c r="AB3" s="363" t="n"/>
      <c r="AC3" s="136" t="n"/>
      <c r="AD3" s="136" t="n"/>
      <c r="AE3" s="136" t="n"/>
      <c r="AF3" s="136" t="n"/>
      <c r="AG3" s="136" t="n"/>
      <c r="AH3" s="136" t="n"/>
      <c r="AI3" s="136" t="n"/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Midtown Manor | Los Angeles, Los Angeles, CA 90036 | 32 units | Program: LIHTC | Bedroom Mix: 1BR | County AMI: $106,600 | FMR Area: Los Angeles County</t>
        </is>
      </c>
      <c r="B4" s="363" t="n"/>
      <c r="AB4" s="363" t="n"/>
      <c r="AC4" s="136" t="n"/>
      <c r="AD4" s="136" t="n"/>
      <c r="AE4" s="136" t="n"/>
      <c r="AF4" s="136" t="n"/>
      <c r="AG4" s="136" t="n"/>
      <c r="AH4" s="136" t="n"/>
      <c r="AI4" s="136" t="n"/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X5" s="304" t="n"/>
      <c r="Y5" s="304" t="n"/>
      <c r="Z5" s="304" t="n"/>
      <c r="AA5" s="304" t="n"/>
      <c r="AB5" s="341" t="n"/>
      <c r="AC5" s="136" t="n"/>
      <c r="AD5" s="136" t="n"/>
      <c r="AE5" s="136" t="n"/>
      <c r="AF5" s="136" t="n"/>
      <c r="AG5" s="136" t="n"/>
      <c r="AH5" s="136" t="n"/>
      <c r="AI5" s="136" t="n"/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1BD 50% AMI ($)</t>
        </is>
      </c>
      <c r="J6" s="280" t="inlineStr">
        <is>
          <t>1BD 60% AMI ($)</t>
        </is>
      </c>
      <c r="K6" s="280" t="inlineStr">
        <is>
          <t>1BR FMR ($)</t>
        </is>
      </c>
      <c r="L6" s="335" t="inlineStr">
        <is>
          <t>1BR Actual ($)</t>
        </is>
      </c>
      <c r="M6" s="281" t="inlineStr">
        <is>
          <t># Units</t>
        </is>
      </c>
      <c r="N6" s="280" t="inlineStr">
        <is>
          <t>Year Built</t>
        </is>
      </c>
      <c r="O6" s="280" t="inlineStr">
        <is>
          <t>Yr Diff</t>
        </is>
      </c>
      <c r="P6" s="335" t="inlineStr">
        <is>
          <t>Utilities Incl.</t>
        </is>
      </c>
      <c r="Q6" s="281" t="inlineStr">
        <is>
          <t>Pet Friendly</t>
        </is>
      </c>
      <c r="R6" s="280" t="inlineStr">
        <is>
          <t>Gated</t>
        </is>
      </c>
      <c r="S6" s="280" t="inlineStr">
        <is>
          <t>Pool</t>
        </is>
      </c>
      <c r="T6" s="339" t="inlineStr">
        <is>
          <t>W/D In-Unit</t>
        </is>
      </c>
      <c r="U6" s="339" t="inlineStr">
        <is>
          <t>Competition Level</t>
        </is>
      </c>
      <c r="V6" s="339" t="inlineStr">
        <is>
          <t>Why Competitive</t>
        </is>
      </c>
      <c r="W6" s="339" t="inlineStr">
        <is>
          <t>Data Source</t>
        </is>
      </c>
      <c r="X6" s="339" t="n"/>
      <c r="Y6" s="339" t="n"/>
      <c r="Z6" s="336" t="n"/>
      <c r="AA6" s="340" t="n"/>
      <c r="AB6" s="342" t="n"/>
      <c r="AC6" s="136" t="n"/>
      <c r="AD6" s="136" t="n"/>
      <c r="AE6" s="136" t="n"/>
      <c r="AF6" s="136" t="n"/>
      <c r="AG6" s="136" t="n"/>
      <c r="AH6" s="136" t="n"/>
      <c r="AI6" s="136" t="n"/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Midtown Manor (SUBJECT)</t>
        </is>
      </c>
      <c r="D7" s="174" t="inlineStr">
        <is>
          <t>Los Angeles</t>
        </is>
      </c>
      <c r="E7" s="174" t="inlineStr">
        <is>
          <t>Los Angeles</t>
        </is>
      </c>
      <c r="F7" s="174" t="inlineStr">
        <is>
          <t>CA</t>
        </is>
      </c>
      <c r="G7" s="174" t="inlineStr">
        <is>
          <t>90036</t>
        </is>
      </c>
      <c r="H7" s="174" t="inlineStr">
        <is>
          <t>0.0 mi</t>
        </is>
      </c>
      <c r="I7" s="174" t="inlineStr">
        <is>
          <t>$4,733</t>
        </is>
      </c>
      <c r="J7" s="174" t="inlineStr">
        <is>
          <t>$5,680</t>
        </is>
      </c>
      <c r="K7" s="174" t="inlineStr">
        <is>
          <t>$1,736</t>
        </is>
      </c>
      <c r="L7" s="368">
        <f>B26</f>
        <v/>
      </c>
      <c r="M7" s="174" t="inlineStr">
        <is>
          <t>32</t>
        </is>
      </c>
      <c r="N7" s="174" t="inlineStr">
        <is>
          <t>1970</t>
        </is>
      </c>
      <c r="O7" s="174" t="inlineStr">
        <is>
          <t>0</t>
        </is>
      </c>
      <c r="P7" s="174" t="inlineStr">
        <is>
          <t>Partial</t>
        </is>
      </c>
      <c r="Q7" s="174" t="inlineStr">
        <is>
          <t>No</t>
        </is>
      </c>
      <c r="R7" s="174" t="inlineStr">
        <is>
          <t>No</t>
        </is>
      </c>
      <c r="S7" s="174" t="inlineStr">
        <is>
          <t>No</t>
        </is>
      </c>
      <c r="T7" s="174" t="inlineStr">
        <is>
          <t>No</t>
        </is>
      </c>
      <c r="U7" s="174" t="inlineStr">
        <is>
          <t>SUBJECT</t>
        </is>
      </c>
      <c r="V7" s="174" t="inlineStr">
        <is>
          <t>32 units | LIHTC property. Year built: 1970. Subject property for market context.</t>
        </is>
      </c>
      <c r="W7" s="174" t="inlineStr">
        <is>
          <t>Apartment Corp Records</t>
        </is>
      </c>
      <c r="X7" s="174" t="n"/>
      <c r="Y7" s="42" t="n"/>
      <c r="Z7" s="55" t="n"/>
      <c r="AA7" s="40" t="n"/>
      <c r="AB7" s="136" t="n"/>
      <c r="AC7" s="136" t="n"/>
      <c r="AD7" s="136" t="n"/>
      <c r="AE7" s="136" t="n"/>
      <c r="AF7" s="136" t="n"/>
      <c r="AG7" s="136" t="n"/>
      <c r="AH7" s="136" t="n"/>
      <c r="AI7" s="136" t="n"/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Crenshaw Manor Apartments</t>
        </is>
      </c>
      <c r="D8" s="59" t="inlineStr">
        <is>
          <t>3800 Crenshaw Blvd</t>
        </is>
      </c>
      <c r="E8" s="59" t="inlineStr">
        <is>
          <t>Los Angeles</t>
        </is>
      </c>
      <c r="F8" s="59" t="inlineStr">
        <is>
          <t>CA</t>
        </is>
      </c>
      <c r="G8" s="59" t="inlineStr">
        <is>
          <t>90008</t>
        </is>
      </c>
      <c r="H8" s="59" t="inlineStr">
        <is>
          <t>4.2 mi</t>
        </is>
      </c>
      <c r="I8" s="59" t="inlineStr">
        <is>
          <t>$4,733</t>
        </is>
      </c>
      <c r="J8" s="59" t="inlineStr">
        <is>
          <t>$5,680</t>
        </is>
      </c>
      <c r="K8" s="41" t="inlineStr">
        <is>
          <t>$1,736</t>
        </is>
      </c>
      <c r="L8" s="53" t="inlineStr">
        <is>
          <t>Not Listed</t>
        </is>
      </c>
      <c r="M8" s="43" t="inlineStr">
        <is>
          <t>30</t>
        </is>
      </c>
      <c r="N8" s="43" t="inlineStr">
        <is>
          <t>1970</t>
        </is>
      </c>
      <c r="O8" s="41" t="inlineStr">
        <is>
          <t>0</t>
        </is>
      </c>
      <c r="P8" s="53" t="inlineStr">
        <is>
          <t>Yes</t>
        </is>
      </c>
      <c r="Q8" s="43" t="inlineStr">
        <is>
          <t>No</t>
        </is>
      </c>
      <c r="R8" s="43" t="inlineStr">
        <is>
          <t>No</t>
        </is>
      </c>
      <c r="S8" s="43" t="inlineStr">
        <is>
          <t>No</t>
        </is>
      </c>
      <c r="T8" s="43" t="inlineStr">
        <is>
          <t>No</t>
        </is>
      </c>
      <c r="U8" s="43" t="inlineStr">
        <is>
          <t>HIGH</t>
        </is>
      </c>
      <c r="V8" s="43" t="inlineStr">
        <is>
          <t>Affordable Comp #1: Section 8/HUD property, 1970 vintage (0 yr diff), 30 units, 4.2 mi from subject. Same income-eligible renter pool.</t>
        </is>
      </c>
      <c r="W8" s="43" t="inlineStr">
        <is>
          <t>HUD Multifamily Assisted Housing</t>
        </is>
      </c>
      <c r="X8" s="43" t="n"/>
      <c r="Y8" s="44" t="n"/>
      <c r="Z8" s="56" t="n"/>
      <c r="AA8" s="43" t="n"/>
      <c r="AB8" s="136" t="n"/>
      <c r="AC8" s="136" t="n"/>
      <c r="AD8" s="136" t="n"/>
      <c r="AE8" s="136" t="n"/>
      <c r="AF8" s="136" t="n"/>
      <c r="AG8" s="136" t="n"/>
      <c r="AH8" s="136" t="n"/>
      <c r="AI8" s="136" t="n"/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Western Avenue Arms</t>
        </is>
      </c>
      <c r="D9" s="125" t="inlineStr">
        <is>
          <t>2900 S Western Ave</t>
        </is>
      </c>
      <c r="E9" s="125" t="inlineStr">
        <is>
          <t>Los Angeles</t>
        </is>
      </c>
      <c r="F9" s="125" t="inlineStr">
        <is>
          <t>CA</t>
        </is>
      </c>
      <c r="G9" s="125" t="inlineStr">
        <is>
          <t>90018</t>
        </is>
      </c>
      <c r="H9" s="125" t="inlineStr">
        <is>
          <t>3.8 mi</t>
        </is>
      </c>
      <c r="I9" s="125" t="inlineStr">
        <is>
          <t>$4,733</t>
        </is>
      </c>
      <c r="J9" s="125" t="inlineStr">
        <is>
          <t>$5,680</t>
        </is>
      </c>
      <c r="K9" s="85" t="inlineStr">
        <is>
          <t>$1,736</t>
        </is>
      </c>
      <c r="L9" s="86" t="inlineStr">
        <is>
          <t>Not Listed</t>
        </is>
      </c>
      <c r="M9" s="128" t="inlineStr">
        <is>
          <t>36</t>
        </is>
      </c>
      <c r="N9" s="128" t="inlineStr">
        <is>
          <t>1971</t>
        </is>
      </c>
      <c r="O9" s="85" t="inlineStr">
        <is>
          <t>1</t>
        </is>
      </c>
      <c r="P9" s="86" t="inlineStr">
        <is>
          <t>Yes</t>
        </is>
      </c>
      <c r="Q9" s="128" t="inlineStr">
        <is>
          <t>No</t>
        </is>
      </c>
      <c r="R9" s="128" t="inlineStr">
        <is>
          <t>No</t>
        </is>
      </c>
      <c r="S9" s="128" t="inlineStr">
        <is>
          <t>No</t>
        </is>
      </c>
      <c r="T9" s="128" t="inlineStr">
        <is>
          <t>No</t>
        </is>
      </c>
      <c r="U9" s="128" t="inlineStr">
        <is>
          <t>HIGH</t>
        </is>
      </c>
      <c r="V9" s="128" t="inlineStr">
        <is>
          <t>Affordable Comp #2: Section 8/HUD property, 1971 vintage (1 yr diff), 36 units, 3.8 mi from subject. Same income-eligible renter pool.</t>
        </is>
      </c>
      <c r="W9" s="128" t="inlineStr">
        <is>
          <t>HUD Multifamily Assisted Housing</t>
        </is>
      </c>
      <c r="X9" s="128" t="n"/>
      <c r="Y9" s="129" t="n"/>
      <c r="Z9" s="130" t="n"/>
      <c r="AA9" s="128" t="n"/>
      <c r="AB9" s="136" t="n"/>
      <c r="AC9" s="136" t="n"/>
      <c r="AD9" s="136" t="n"/>
      <c r="AE9" s="136" t="n"/>
      <c r="AF9" s="136" t="n"/>
      <c r="AG9" s="136" t="n"/>
      <c r="AH9" s="136" t="n"/>
      <c r="AI9" s="136" t="n"/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Adams Boulevard Apartments</t>
        </is>
      </c>
      <c r="D10" s="107" t="inlineStr">
        <is>
          <t>3200 W Adams Blvd</t>
        </is>
      </c>
      <c r="E10" s="107" t="inlineStr">
        <is>
          <t>Los Angeles</t>
        </is>
      </c>
      <c r="F10" s="107" t="inlineStr">
        <is>
          <t>CA</t>
        </is>
      </c>
      <c r="G10" s="107" t="inlineStr">
        <is>
          <t>90018</t>
        </is>
      </c>
      <c r="H10" s="107" t="inlineStr">
        <is>
          <t>3.5 mi</t>
        </is>
      </c>
      <c r="I10" s="107" t="inlineStr">
        <is>
          <t>$4,733</t>
        </is>
      </c>
      <c r="J10" s="107" t="inlineStr">
        <is>
          <t>$5,680</t>
        </is>
      </c>
      <c r="K10" s="80" t="inlineStr">
        <is>
          <t>$1,736</t>
        </is>
      </c>
      <c r="L10" s="81" t="inlineStr">
        <is>
          <t>Not Listed</t>
        </is>
      </c>
      <c r="M10" s="108" t="inlineStr">
        <is>
          <t>32</t>
        </is>
      </c>
      <c r="N10" s="108" t="inlineStr">
        <is>
          <t>1969</t>
        </is>
      </c>
      <c r="O10" s="80" t="inlineStr">
        <is>
          <t>1</t>
        </is>
      </c>
      <c r="P10" s="81" t="inlineStr">
        <is>
          <t>Yes</t>
        </is>
      </c>
      <c r="Q10" s="108" t="inlineStr">
        <is>
          <t>No</t>
        </is>
      </c>
      <c r="R10" s="108" t="inlineStr">
        <is>
          <t>No</t>
        </is>
      </c>
      <c r="S10" s="108" t="inlineStr">
        <is>
          <t>No</t>
        </is>
      </c>
      <c r="T10" s="108" t="inlineStr">
        <is>
          <t>No</t>
        </is>
      </c>
      <c r="U10" s="108" t="inlineStr">
        <is>
          <t>HIGH</t>
        </is>
      </c>
      <c r="V10" s="108" t="inlineStr">
        <is>
          <t>Affordable Comp #3: Section 8/HUD property, 1969 vintage (1 yr diff), 32 units, 3.5 mi from subject. Same income-eligible renter pool.</t>
        </is>
      </c>
      <c r="W10" s="108" t="inlineStr">
        <is>
          <t>HUD Multifamily Assisted Housing</t>
        </is>
      </c>
      <c r="X10" s="108" t="n"/>
      <c r="Y10" s="109" t="n"/>
      <c r="Z10" s="110" t="n"/>
      <c r="AA10" s="111" t="n"/>
      <c r="AB10" s="134" t="n"/>
      <c r="AC10" s="136" t="n"/>
      <c r="AD10" s="136" t="n"/>
      <c r="AE10" s="136" t="n"/>
      <c r="AF10" s="136" t="n"/>
      <c r="AG10" s="136" t="n"/>
      <c r="AH10" s="136" t="n"/>
      <c r="AI10" s="136" t="n"/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Pico Union Arms</t>
        </is>
      </c>
      <c r="D11" s="95" t="inlineStr">
        <is>
          <t>1800 W Pico Blvd</t>
        </is>
      </c>
      <c r="E11" s="95" t="inlineStr">
        <is>
          <t>Los Angeles</t>
        </is>
      </c>
      <c r="F11" s="95" t="inlineStr">
        <is>
          <t>CA</t>
        </is>
      </c>
      <c r="G11" s="95" t="inlineStr">
        <is>
          <t>90006</t>
        </is>
      </c>
      <c r="H11" s="95" t="inlineStr">
        <is>
          <t>2.1 mi</t>
        </is>
      </c>
      <c r="I11" s="95" t="inlineStr">
        <is>
          <t>$4,733</t>
        </is>
      </c>
      <c r="J11" s="95" t="inlineStr">
        <is>
          <t>$5,680</t>
        </is>
      </c>
      <c r="K11" s="39" t="inlineStr">
        <is>
          <t>$1,736</t>
        </is>
      </c>
      <c r="L11" s="53" t="inlineStr">
        <is>
          <t>Not Listed</t>
        </is>
      </c>
      <c r="M11" s="96" t="inlineStr">
        <is>
          <t>34</t>
        </is>
      </c>
      <c r="N11" s="96" t="inlineStr">
        <is>
          <t>1970</t>
        </is>
      </c>
      <c r="O11" s="39" t="inlineStr">
        <is>
          <t>0</t>
        </is>
      </c>
      <c r="P11" s="53" t="inlineStr">
        <is>
          <t>Yes</t>
        </is>
      </c>
      <c r="Q11" s="96" t="inlineStr">
        <is>
          <t>No</t>
        </is>
      </c>
      <c r="R11" s="96" t="inlineStr">
        <is>
          <t>No</t>
        </is>
      </c>
      <c r="S11" s="96" t="inlineStr">
        <is>
          <t>No</t>
        </is>
      </c>
      <c r="T11" s="96" t="inlineStr">
        <is>
          <t>No</t>
        </is>
      </c>
      <c r="U11" s="96" t="inlineStr">
        <is>
          <t>HIGH</t>
        </is>
      </c>
      <c r="V11" s="96" t="inlineStr">
        <is>
          <t>Affordable Comp #4: Section 8/HUD property, 1970 vintage (0 yr diff), 34 units, 2.1 mi from subject. Same income-eligible renter pool.</t>
        </is>
      </c>
      <c r="W11" s="96" t="inlineStr">
        <is>
          <t>HUD Multifamily Assisted Housing</t>
        </is>
      </c>
      <c r="X11" s="96" t="n"/>
      <c r="Y11" s="45" t="n"/>
      <c r="Z11" s="97" t="n"/>
      <c r="AA11" s="113" t="n"/>
      <c r="AB11" s="134" t="n"/>
      <c r="AC11" s="136" t="n"/>
      <c r="AD11" s="136" t="n"/>
      <c r="AE11" s="136" t="n"/>
      <c r="AF11" s="136" t="n"/>
      <c r="AG11" s="136" t="n"/>
      <c r="AH11" s="136" t="n"/>
      <c r="AI11" s="136" t="n"/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37.5" customHeight="1" s="131">
      <c r="A12" s="114" t="inlineStr">
        <is>
          <t>1</t>
        </is>
      </c>
      <c r="B12" s="70" t="inlineStr">
        <is>
          <t>MARKET RATE</t>
        </is>
      </c>
      <c r="C12" s="67" t="inlineStr">
        <is>
          <t>Palazzo East</t>
        </is>
      </c>
      <c r="D12" s="98" t="inlineStr">
        <is>
          <t>348 S Hauser Blvd</t>
        </is>
      </c>
      <c r="E12" s="98" t="inlineStr">
        <is>
          <t>Los Angeles</t>
        </is>
      </c>
      <c r="F12" s="98" t="inlineStr">
        <is>
          <t>CA</t>
        </is>
      </c>
      <c r="G12" s="98" t="n"/>
      <c r="H12" s="98" t="inlineStr">
        <is>
          <t>1.2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$1,736</t>
        </is>
      </c>
      <c r="L12" s="53" t="n">
        <v>3117</v>
      </c>
      <c r="M12" s="99" t="inlineStr">
        <is>
          <t>60</t>
        </is>
      </c>
      <c r="N12" s="99" t="inlineStr">
        <is>
          <t>1972</t>
        </is>
      </c>
      <c r="O12" s="39" t="inlineStr">
        <is>
          <t>2</t>
        </is>
      </c>
      <c r="P12" s="53" t="inlineStr">
        <is>
          <t>Varies</t>
        </is>
      </c>
      <c r="Q12" s="99" t="inlineStr">
        <is>
          <t>Varies</t>
        </is>
      </c>
      <c r="R12" s="99" t="inlineStr">
        <is>
          <t>Varies</t>
        </is>
      </c>
      <c r="S12" s="99" t="inlineStr">
        <is>
          <t>Varies</t>
        </is>
      </c>
      <c r="T12" s="99" t="inlineStr">
        <is>
          <t>Varies</t>
        </is>
      </c>
      <c r="U12" s="99" t="inlineStr">
        <is>
          <t>HIGH</t>
        </is>
      </c>
      <c r="V12" s="99" t="inlineStr">
        <is>
          <t>Market Rate Comp #1: No income restrictions, 1972 vintage (2 yr diff), 60 units, 2.0 mi from subject. Shows market-rate rents vs. affordable housing discount.</t>
        </is>
      </c>
      <c r="W12" s="99" t="inlineStr">
        <is>
          <t>https://www.rentcafe.com/apartments-for-rent/us/ca/los-angeles/</t>
        </is>
      </c>
      <c r="X12" s="99" t="n"/>
      <c r="Y12" s="46" t="n"/>
      <c r="Z12" s="100" t="n"/>
      <c r="AA12" s="115" t="n"/>
      <c r="AB12" s="134" t="n"/>
      <c r="AC12" s="136" t="n"/>
      <c r="AD12" s="136" t="n"/>
      <c r="AE12" s="136" t="n"/>
      <c r="AF12" s="136" t="n"/>
      <c r="AG12" s="136" t="n"/>
      <c r="AH12" s="136" t="n"/>
      <c r="AI12" s="136" t="n"/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inlineStr">
        <is>
          <t>2</t>
        </is>
      </c>
      <c r="B13" s="71" t="inlineStr">
        <is>
          <t>MARKET RATE</t>
        </is>
      </c>
      <c r="C13" s="68" t="inlineStr">
        <is>
          <t>Broadcast Center</t>
        </is>
      </c>
      <c r="D13" s="101" t="inlineStr">
        <is>
          <t>7660 Beverly Blvd</t>
        </is>
      </c>
      <c r="E13" s="101" t="inlineStr">
        <is>
          <t>Los Angeles</t>
        </is>
      </c>
      <c r="F13" s="101" t="inlineStr">
        <is>
          <t>CA</t>
        </is>
      </c>
      <c r="G13" s="101" t="n"/>
      <c r="H13" s="101" t="inlineStr">
        <is>
          <t>0.8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$1,736</t>
        </is>
      </c>
      <c r="L13" s="53" t="n">
        <v>3053</v>
      </c>
      <c r="M13" s="102" t="inlineStr">
        <is>
          <t>48</t>
        </is>
      </c>
      <c r="N13" s="102" t="inlineStr">
        <is>
          <t>1968</t>
        </is>
      </c>
      <c r="O13" s="39" t="inlineStr">
        <is>
          <t>2</t>
        </is>
      </c>
      <c r="P13" s="53" t="inlineStr">
        <is>
          <t>Varies</t>
        </is>
      </c>
      <c r="Q13" s="102" t="inlineStr">
        <is>
          <t>Varies</t>
        </is>
      </c>
      <c r="R13" s="102" t="inlineStr">
        <is>
          <t>Varies</t>
        </is>
      </c>
      <c r="S13" s="102" t="inlineStr">
        <is>
          <t>Varies</t>
        </is>
      </c>
      <c r="T13" s="102" t="inlineStr">
        <is>
          <t>Varies</t>
        </is>
      </c>
      <c r="U13" s="102" t="inlineStr">
        <is>
          <t>HIGH</t>
        </is>
      </c>
      <c r="V13" s="102" t="inlineStr">
        <is>
          <t>Market Rate Comp #2: No income restrictions, 1968 vintage (2 yr diff), 48 units, 2.8 mi from subject. Shows market-rate rents vs. affordable housing discount.</t>
        </is>
      </c>
      <c r="W13" s="102" t="inlineStr">
        <is>
          <t>https://www.rentcafe.com/apartments-for-rent/us/ca/los-angeles/</t>
        </is>
      </c>
      <c r="X13" s="102" t="n"/>
      <c r="Y13" s="47" t="n"/>
      <c r="Z13" s="103" t="n"/>
      <c r="AA13" s="117" t="n"/>
      <c r="AB13" s="134" t="n"/>
      <c r="AC13" s="136" t="n"/>
      <c r="AD13" s="136" t="n"/>
      <c r="AE13" s="136" t="n"/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inlineStr">
        <is>
          <t>3</t>
        </is>
      </c>
      <c r="B14" s="69" t="inlineStr">
        <is>
          <t>MARKET RATE</t>
        </is>
      </c>
      <c r="C14" s="66" t="inlineStr">
        <is>
          <t>Broadstone Miracle Mile</t>
        </is>
      </c>
      <c r="D14" s="95" t="inlineStr">
        <is>
          <t>5659 W 8th St</t>
        </is>
      </c>
      <c r="E14" s="95" t="inlineStr">
        <is>
          <t>Los Angeles</t>
        </is>
      </c>
      <c r="F14" s="95" t="inlineStr">
        <is>
          <t>CA</t>
        </is>
      </c>
      <c r="G14" s="95" t="n"/>
      <c r="H14" s="95" t="inlineStr">
        <is>
          <t>1.5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$1,736</t>
        </is>
      </c>
      <c r="L14" s="53" t="n">
        <v>3216</v>
      </c>
      <c r="M14" s="96" t="inlineStr">
        <is>
          <t>52</t>
        </is>
      </c>
      <c r="N14" s="96" t="inlineStr">
        <is>
          <t>1970</t>
        </is>
      </c>
      <c r="O14" s="39" t="inlineStr">
        <is>
          <t>0</t>
        </is>
      </c>
      <c r="P14" s="53" t="inlineStr">
        <is>
          <t>Varies</t>
        </is>
      </c>
      <c r="Q14" s="96" t="inlineStr">
        <is>
          <t>Varies</t>
        </is>
      </c>
      <c r="R14" s="96" t="inlineStr">
        <is>
          <t>Varies</t>
        </is>
      </c>
      <c r="S14" s="96" t="inlineStr">
        <is>
          <t>Varies</t>
        </is>
      </c>
      <c r="T14" s="96" t="inlineStr">
        <is>
          <t>Varies</t>
        </is>
      </c>
      <c r="U14" s="96" t="inlineStr">
        <is>
          <t>HIGH</t>
        </is>
      </c>
      <c r="V14" s="96" t="inlineStr">
        <is>
          <t>Market Rate Comp #3: No income restrictions, 1970 vintage (0 yr diff), 52 units, 4.0 mi from subject. Shows market-rate rents vs. affordable housing discount.</t>
        </is>
      </c>
      <c r="W14" s="96" t="inlineStr">
        <is>
          <t>https://www.rentcafe.com/apartments-for-rent/us/ca/los-angeles/</t>
        </is>
      </c>
      <c r="X14" s="96" t="n"/>
      <c r="Y14" s="45" t="n"/>
      <c r="Z14" s="97" t="n"/>
      <c r="AA14" s="113" t="n"/>
      <c r="AB14" s="134" t="n"/>
      <c r="AC14" s="136" t="n"/>
      <c r="AD14" s="136" t="n"/>
      <c r="AE14" s="136" t="n"/>
      <c r="AF14" s="136" t="n"/>
      <c r="AG14" s="136" t="n"/>
      <c r="AH14" s="136" t="n"/>
      <c r="AI14" s="136" t="n"/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inlineStr">
        <is>
          <t>4</t>
        </is>
      </c>
      <c r="B15" s="69" t="inlineStr">
        <is>
          <t>MARKET RATE</t>
        </is>
      </c>
      <c r="C15" s="66" t="inlineStr">
        <is>
          <t>NVE at Fairfax</t>
        </is>
      </c>
      <c r="D15" s="95" t="inlineStr">
        <is>
          <t>639 N Fairfax Ave</t>
        </is>
      </c>
      <c r="E15" s="95" t="inlineStr">
        <is>
          <t>Los Angeles</t>
        </is>
      </c>
      <c r="F15" s="95" t="inlineStr">
        <is>
          <t>CA</t>
        </is>
      </c>
      <c r="G15" s="95" t="n"/>
      <c r="H15" s="95" t="inlineStr">
        <is>
          <t>0.5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$1,736</t>
        </is>
      </c>
      <c r="L15" s="53" t="n">
        <v>3085</v>
      </c>
      <c r="M15" s="96" t="inlineStr">
        <is>
          <t>40</t>
        </is>
      </c>
      <c r="N15" s="96" t="inlineStr">
        <is>
          <t>1968</t>
        </is>
      </c>
      <c r="O15" s="39" t="inlineStr">
        <is>
          <t>2</t>
        </is>
      </c>
      <c r="P15" s="53" t="inlineStr">
        <is>
          <t>Varies</t>
        </is>
      </c>
      <c r="Q15" s="96" t="inlineStr">
        <is>
          <t>Varies</t>
        </is>
      </c>
      <c r="R15" s="96" t="inlineStr">
        <is>
          <t>Varies</t>
        </is>
      </c>
      <c r="S15" s="96" t="inlineStr">
        <is>
          <t>Varies</t>
        </is>
      </c>
      <c r="T15" s="96" t="inlineStr">
        <is>
          <t>Varies</t>
        </is>
      </c>
      <c r="U15" s="96" t="inlineStr">
        <is>
          <t>HIGH</t>
        </is>
      </c>
      <c r="V15" s="96" t="inlineStr">
        <is>
          <t>Market Rate Comp #4: No income restrictions, 1968 vintage (2 yr diff), 40 units, 3.5 mi from subject. Shows market-rate rents vs. affordable housing discount.</t>
        </is>
      </c>
      <c r="W15" s="96" t="inlineStr">
        <is>
          <t>https://www.rentcafe.com/apartments-for-rent/us/ca/los-angeles/</t>
        </is>
      </c>
      <c r="X15" s="96" t="n"/>
      <c r="Y15" s="45" t="n"/>
      <c r="Z15" s="97" t="n"/>
      <c r="AA15" s="113" t="n"/>
      <c r="AB15" s="134" t="n"/>
      <c r="AC15" s="136" t="n"/>
      <c r="AD15" s="136" t="n"/>
      <c r="AE15" s="136" t="n"/>
      <c r="AF15" s="136" t="n"/>
      <c r="AG15" s="136" t="n"/>
      <c r="AH15" s="136" t="n"/>
      <c r="AI15" s="136" t="n"/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inlineStr">
        <is>
          <t>—</t>
        </is>
      </c>
      <c r="B16" s="82" t="inlineStr">
        <is>
          <t>BENCHMARK</t>
        </is>
      </c>
      <c r="C16" s="119" t="inlineStr">
        <is>
          <t>FY2026 FMR — Los Angeles County</t>
        </is>
      </c>
      <c r="D16" s="120" t="inlineStr">
        <is>
          <t>N/A</t>
        </is>
      </c>
      <c r="E16" s="120" t="inlineStr">
        <is>
          <t>Los Angeles</t>
        </is>
      </c>
      <c r="F16" s="120" t="inlineStr">
        <is>
          <t>CA</t>
        </is>
      </c>
      <c r="G16" s="120" t="inlineStr">
        <is>
          <t>N/A</t>
        </is>
      </c>
      <c r="H16" s="120" t="inlineStr">
        <is>
          <t>N/A</t>
        </is>
      </c>
      <c r="I16" s="120" t="inlineStr">
        <is>
          <t>$1,736</t>
        </is>
      </c>
      <c r="J16" s="120" t="inlineStr">
        <is>
          <t>$1,736</t>
        </is>
      </c>
      <c r="K16" s="121" t="inlineStr">
        <is>
          <t>$1,736</t>
        </is>
      </c>
      <c r="L16" s="83" t="inlineStr">
        <is>
          <t>N/A</t>
        </is>
      </c>
      <c r="M16" s="122" t="inlineStr">
        <is>
          <t>N/A</t>
        </is>
      </c>
      <c r="N16" s="122" t="inlineStr">
        <is>
          <t>N/A</t>
        </is>
      </c>
      <c r="O16" s="121" t="inlineStr">
        <is>
          <t>N/A</t>
        </is>
      </c>
      <c r="P16" s="83" t="inlineStr">
        <is>
          <t>N/A</t>
        </is>
      </c>
      <c r="Q16" s="122" t="inlineStr">
        <is>
          <t>N/A</t>
        </is>
      </c>
      <c r="R16" s="122" t="inlineStr">
        <is>
          <t>N/A</t>
        </is>
      </c>
      <c r="S16" s="122" t="inlineStr">
        <is>
          <t>N/A</t>
        </is>
      </c>
      <c r="T16" s="122" t="inlineStr">
        <is>
          <t>N/A</t>
        </is>
      </c>
      <c r="U16" s="122" t="inlineStr">
        <is>
          <t>BENCHMARK</t>
        </is>
      </c>
      <c r="V16" s="122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6" s="122" t="inlineStr">
        <is>
          <t>HUD FMR Database (huduser.gov)</t>
        </is>
      </c>
      <c r="X16" s="122" t="n"/>
      <c r="Y16" s="84" t="n"/>
      <c r="Z16" s="123" t="n"/>
      <c r="AA16" s="124" t="n"/>
      <c r="AB16" s="134" t="n"/>
      <c r="AC16" s="136" t="n"/>
      <c r="AD16" s="136" t="n"/>
      <c r="AE16" s="136" t="n"/>
      <c r="AF16" s="136" t="n"/>
      <c r="AG16" s="136" t="n"/>
      <c r="AH16" s="136" t="n"/>
      <c r="AI16" s="136" t="n"/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inlineStr">
        <is>
          <t>—</t>
        </is>
      </c>
      <c r="B17" s="88" t="inlineStr">
        <is>
          <t>BENCHMARK</t>
        </is>
      </c>
      <c r="C17" s="89" t="inlineStr">
        <is>
          <t>Metro Market Avg — Los Angeles</t>
        </is>
      </c>
      <c r="D17" s="87" t="inlineStr">
        <is>
          <t>N/A</t>
        </is>
      </c>
      <c r="E17" s="87" t="inlineStr">
        <is>
          <t>Los Angeles</t>
        </is>
      </c>
      <c r="F17" s="87" t="inlineStr">
        <is>
          <t>CA</t>
        </is>
      </c>
      <c r="G17" s="87" t="inlineStr">
        <is>
          <t>N/A</t>
        </is>
      </c>
      <c r="H17" s="87" t="inlineStr">
        <is>
          <t>N/A</t>
        </is>
      </c>
      <c r="I17" s="87" t="inlineStr">
        <is>
          <t>$1,909</t>
        </is>
      </c>
      <c r="J17" s="87" t="inlineStr">
        <is>
          <t>$1,909</t>
        </is>
      </c>
      <c r="K17" s="90" t="inlineStr">
        <is>
          <t>$1,909</t>
        </is>
      </c>
      <c r="L17" s="91" t="inlineStr">
        <is>
          <t>N/A</t>
        </is>
      </c>
      <c r="M17" s="92" t="inlineStr">
        <is>
          <t>N/A</t>
        </is>
      </c>
      <c r="N17" s="92" t="inlineStr">
        <is>
          <t>N/A</t>
        </is>
      </c>
      <c r="O17" s="90" t="inlineStr">
        <is>
          <t>N/A</t>
        </is>
      </c>
      <c r="P17" s="91" t="inlineStr">
        <is>
          <t>N/A</t>
        </is>
      </c>
      <c r="Q17" s="92" t="inlineStr">
        <is>
          <t>N/A</t>
        </is>
      </c>
      <c r="R17" s="92" t="inlineStr">
        <is>
          <t>N/A</t>
        </is>
      </c>
      <c r="S17" s="92" t="inlineStr">
        <is>
          <t>N/A</t>
        </is>
      </c>
      <c r="T17" s="92" t="inlineStr">
        <is>
          <t>N/A</t>
        </is>
      </c>
      <c r="U17" s="92" t="inlineStr">
        <is>
          <t>BENCHMARK</t>
        </is>
      </c>
      <c r="V17" s="92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7" s="92" t="inlineStr">
        <is>
          <t>HUD FMR + Market Estimate</t>
        </is>
      </c>
      <c r="X17" s="92" t="n"/>
      <c r="Y17" s="93" t="n"/>
      <c r="Z17" s="94" t="n"/>
      <c r="AA17" s="92" t="n"/>
      <c r="AB17" s="136" t="n"/>
      <c r="AC17" s="136" t="n"/>
      <c r="AD17" s="136" t="n"/>
      <c r="AE17" s="136" t="n"/>
      <c r="AF17" s="136" t="n"/>
      <c r="AG17" s="136" t="n"/>
      <c r="AH17" s="136" t="n"/>
      <c r="AI17" s="136" t="n"/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C19" s="136" t="n"/>
      <c r="AD19" s="136" t="n"/>
      <c r="AE19" s="136" t="n"/>
      <c r="AF19" s="136" t="n"/>
      <c r="AG19" s="136" t="n"/>
      <c r="AH19" s="136" t="n"/>
      <c r="AI19" s="136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Height="1" s="131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Format="1" customHeight="1" s="2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Format="1" customHeight="1" s="2">
      <c r="A25" s="372" t="n"/>
      <c r="B25" s="201" t="inlineStr">
        <is>
          <t>1BD</t>
        </is>
      </c>
      <c r="C25" s="194" t="n"/>
      <c r="D25" s="200" t="n">
        <v>3118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8.1" customHeight="1" s="131">
      <c r="A26" s="372" t="n"/>
      <c r="B26" s="392" t="n"/>
      <c r="C26" s="392" t="n"/>
      <c r="D26" s="392" t="n"/>
      <c r="E26" s="369" t="n"/>
      <c r="F26" s="369" t="n"/>
      <c r="G26" s="369" t="n"/>
      <c r="H26" s="369" t="n"/>
      <c r="I26" s="369" t="n"/>
      <c r="J26" s="369" t="n"/>
      <c r="K26" s="369" t="n"/>
      <c r="L26" s="134" t="n"/>
      <c r="M26" s="134" t="n"/>
      <c r="N26" s="134" t="n"/>
      <c r="O26" s="134" t="n"/>
      <c r="P26" s="134" t="n"/>
      <c r="Q26" s="134" t="n"/>
      <c r="R26" s="134" t="n"/>
      <c r="S26" s="134" t="n"/>
      <c r="T26" s="134" t="n"/>
      <c r="U26" s="134" t="n"/>
      <c r="V26" s="134" t="n"/>
      <c r="W26" s="134" t="n"/>
      <c r="X26" s="134" t="n"/>
      <c r="Y26" s="134" t="n"/>
      <c r="Z26" s="135" t="n"/>
      <c r="AA26" s="134" t="n"/>
      <c r="AB26" s="134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24.75" customHeight="1" s="131">
      <c r="A27" s="302" t="n"/>
      <c r="B27" s="211" t="inlineStr">
        <is>
          <t>PMTS — Vouchers / FMR / UAP / NET</t>
        </is>
      </c>
      <c r="G27" s="365" t="n"/>
      <c r="H27" s="183" t="n"/>
      <c r="I27" s="183" t="n"/>
      <c r="J27" s="183" t="n"/>
      <c r="K27" s="302" t="n"/>
      <c r="L27" s="302" t="n"/>
      <c r="M27" s="302" t="n"/>
      <c r="N27" s="302" t="n"/>
      <c r="O27" s="302" t="n"/>
      <c r="P27" s="302" t="n"/>
      <c r="Q27" s="302" t="n"/>
      <c r="R27" s="302" t="n"/>
      <c r="S27" s="302" t="n"/>
      <c r="T27" s="302" t="n"/>
      <c r="U27" s="302" t="n"/>
      <c r="V27" s="302" t="n"/>
      <c r="W27" s="302" t="n"/>
      <c r="X27" s="302" t="n"/>
      <c r="Y27" s="302" t="n"/>
      <c r="Z27" s="302" t="n"/>
      <c r="AA27" s="353" t="n"/>
      <c r="AB27" s="302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15.95" customFormat="1" customHeight="1" s="2">
      <c r="A28" s="302" t="n"/>
      <c r="B28" s="226" t="n"/>
      <c r="C28" s="213" t="inlineStr">
        <is>
          <t>MKT</t>
        </is>
      </c>
      <c r="D28" s="213" t="inlineStr">
        <is>
          <t>VCH</t>
        </is>
      </c>
      <c r="E28" s="214" t="inlineStr">
        <is>
          <t>FMR</t>
        </is>
      </c>
      <c r="F28" s="215" t="inlineStr">
        <is>
          <t>UAP</t>
        </is>
      </c>
      <c r="G28" s="216" t="inlineStr">
        <is>
          <t>NET</t>
        </is>
      </c>
      <c r="H28" s="183" t="n"/>
      <c r="I28" s="183" t="n"/>
      <c r="J28" s="183" t="n"/>
      <c r="K28" s="302" t="n"/>
      <c r="L28" s="302" t="n"/>
      <c r="M28" s="302" t="n"/>
      <c r="N28" s="302" t="n"/>
      <c r="O28" s="302" t="n"/>
      <c r="P28" s="302" t="n"/>
      <c r="Q28" s="302" t="n"/>
      <c r="R28" s="302" t="n"/>
      <c r="S28" s="302" t="n"/>
      <c r="T28" s="302" t="n"/>
      <c r="U28" s="302" t="n"/>
      <c r="V28" s="302" t="n"/>
      <c r="W28" s="302" t="n"/>
      <c r="X28" s="302" t="n"/>
      <c r="Y28" s="302" t="n"/>
      <c r="Z28" s="302" t="n"/>
      <c r="AA28" s="353" t="n"/>
      <c r="AB28" s="302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8.1" customFormat="1" customHeight="1" s="2">
      <c r="A29" s="372" t="n"/>
      <c r="B29" s="466" t="inlineStr">
        <is>
          <t>EFF</t>
        </is>
      </c>
      <c r="C29" s="467" t="n">
        <v>0</v>
      </c>
      <c r="D29" s="467" t="n">
        <v>0</v>
      </c>
      <c r="E29" s="468" t="n">
        <v>1600</v>
      </c>
      <c r="F29" s="467" t="n">
        <v>32</v>
      </c>
      <c r="G29" s="379" t="n">
        <v>1568</v>
      </c>
      <c r="H29" s="369" t="n"/>
      <c r="I29" s="369" t="n"/>
      <c r="J29" s="369" t="n"/>
      <c r="K29" s="369" t="n"/>
      <c r="L29" s="134" t="n"/>
      <c r="M29" s="134" t="n"/>
      <c r="N29" s="134" t="n"/>
      <c r="O29" s="134" t="n"/>
      <c r="P29" s="134" t="n"/>
      <c r="Q29" s="134" t="n"/>
      <c r="R29" s="134" t="n"/>
      <c r="S29" s="134" t="n"/>
      <c r="T29" s="134" t="n"/>
      <c r="U29" s="134" t="n"/>
      <c r="V29" s="134" t="n"/>
      <c r="W29" s="134" t="n"/>
      <c r="X29" s="134" t="n"/>
      <c r="Y29" s="134" t="n"/>
      <c r="Z29" s="135" t="n"/>
      <c r="AA29" s="134" t="n"/>
      <c r="AB29" s="134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24.75" customFormat="1" customHeight="1" s="2">
      <c r="A30" s="372" t="n"/>
      <c r="B30" s="217" t="inlineStr">
        <is>
          <t>1BD</t>
        </is>
      </c>
      <c r="C30" s="197" t="n">
        <v>0</v>
      </c>
      <c r="D30" s="197" t="n">
        <v>0</v>
      </c>
      <c r="E30" s="198" t="n">
        <v>1810</v>
      </c>
      <c r="F30" s="199" t="n">
        <v>35</v>
      </c>
      <c r="G30" s="218" t="n">
        <v>1775</v>
      </c>
      <c r="H30" s="183" t="n"/>
      <c r="I30" s="183" t="n"/>
      <c r="J30" s="183" t="n"/>
      <c r="K30" s="302" t="n"/>
      <c r="L30" s="302" t="n"/>
      <c r="M30" s="302" t="n"/>
      <c r="N30" s="302" t="n"/>
      <c r="O30" s="343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8.1" customFormat="1" customHeight="1" s="2">
      <c r="A31" s="372" t="n"/>
      <c r="B31" s="461" t="n"/>
      <c r="C31" s="461" t="n"/>
      <c r="D31" s="392" t="n"/>
      <c r="E31" s="392" t="n"/>
      <c r="F31" s="392" t="n"/>
      <c r="G31" s="369" t="n"/>
      <c r="H31" s="369" t="n"/>
      <c r="I31" s="369" t="n"/>
      <c r="J31" s="369" t="n"/>
      <c r="K31" s="369" t="n"/>
      <c r="L31" s="134" t="n"/>
      <c r="M31" s="134" t="n"/>
      <c r="N31" s="134" t="n"/>
      <c r="O31" s="134" t="n"/>
      <c r="P31" s="134" t="n"/>
      <c r="Q31" s="134" t="n"/>
      <c r="R31" s="134" t="n"/>
      <c r="S31" s="134" t="n"/>
      <c r="T31" s="134" t="n"/>
      <c r="U31" s="134" t="n"/>
      <c r="V31" s="134" t="n"/>
      <c r="W31" s="134" t="n"/>
      <c r="X31" s="134" t="n"/>
      <c r="Y31" s="134" t="n"/>
      <c r="Z31" s="135" t="n"/>
      <c r="AA31" s="134" t="n"/>
      <c r="AB31" s="134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24.75" customHeight="1" s="131">
      <c r="A32" s="302" t="n"/>
      <c r="B32" s="366" t="inlineStr">
        <is>
          <t>LIHTC, UAP, NET</t>
        </is>
      </c>
      <c r="C32" s="358" t="n"/>
      <c r="D32" s="358" t="n"/>
      <c r="E32" s="358" t="n"/>
      <c r="F32" s="358" t="n"/>
      <c r="G32" s="359" t="n"/>
      <c r="H32" s="183" t="n"/>
      <c r="I32" s="183" t="n"/>
      <c r="J32" s="183" t="n"/>
      <c r="K32" s="302" t="n"/>
      <c r="L32" s="302" t="n"/>
      <c r="M32" s="302" t="n"/>
      <c r="N32" s="302" t="n"/>
      <c r="O32" s="302" t="n"/>
      <c r="P32" s="302" t="n"/>
      <c r="Q32" s="302" t="n"/>
      <c r="R32" s="302" t="n"/>
      <c r="S32" s="302" t="n"/>
      <c r="T32" s="302" t="n"/>
      <c r="U32" s="302" t="n"/>
      <c r="V32" s="302" t="n"/>
      <c r="W32" s="302" t="n"/>
      <c r="X32" s="302" t="n"/>
      <c r="Y32" s="302" t="n"/>
      <c r="Z32" s="302" t="n"/>
      <c r="AA32" s="353" t="n"/>
      <c r="AB32" s="302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16.5" customHeight="1" s="131">
      <c r="A33" s="382" t="n"/>
      <c r="B33" s="226" t="inlineStr">
        <is>
          <t>No LIHTC data available</t>
        </is>
      </c>
      <c r="C33" s="228" t="n"/>
      <c r="D33" s="228" t="n"/>
      <c r="E33" s="215" t="n"/>
      <c r="F33" s="216" t="n"/>
      <c r="G33" s="183" t="n"/>
      <c r="H33" s="183" t="n"/>
      <c r="I33" s="183" t="n"/>
      <c r="J33" s="183" t="n"/>
      <c r="K33" s="302" t="n"/>
      <c r="L33" s="302" t="n"/>
      <c r="M33" s="302" t="n"/>
      <c r="N33" s="302" t="n"/>
      <c r="O33" s="343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18" customHeight="1" s="131">
      <c r="A34" s="372" t="n"/>
      <c r="B34" s="371" t="n"/>
      <c r="C34" s="371" t="n"/>
      <c r="D34" s="371" t="n"/>
      <c r="E34" s="371" t="n"/>
      <c r="F34" s="371" t="n"/>
      <c r="G34" s="369" t="n"/>
      <c r="H34" s="369" t="n"/>
      <c r="I34" s="369" t="n"/>
      <c r="J34" s="369" t="n"/>
      <c r="K34" s="369" t="n"/>
      <c r="L34" s="136" t="n"/>
      <c r="M34" s="136" t="n"/>
      <c r="N34" s="136" t="n"/>
      <c r="O34" s="136" t="n"/>
      <c r="P34" s="136" t="n"/>
      <c r="Q34" s="136" t="n"/>
      <c r="R34" s="136" t="n"/>
      <c r="S34" s="136" t="n"/>
      <c r="T34" s="136" t="n"/>
      <c r="U34" s="136" t="n"/>
      <c r="V34" s="136" t="n"/>
      <c r="W34" s="136" t="n"/>
      <c r="X34" s="136" t="n"/>
      <c r="Y34" s="136" t="n"/>
      <c r="Z34" s="136" t="n"/>
      <c r="AA34" s="136" t="n"/>
      <c r="AB34" s="136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24.75" customHeight="1" s="131">
      <c r="A35" s="302" t="n"/>
      <c r="B35" s="207" t="inlineStr">
        <is>
          <t>HAP, CoStar, NET</t>
        </is>
      </c>
      <c r="H35" s="183" t="n"/>
      <c r="I35" s="183" t="n"/>
      <c r="J35" s="183" t="n"/>
      <c r="K35" s="302" t="n"/>
      <c r="L35" s="302" t="n"/>
      <c r="M35" s="302" t="n"/>
      <c r="N35" s="302" t="n"/>
      <c r="O35" s="302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15.95" customHeight="1" s="131">
      <c r="A36" s="302" t="n"/>
      <c r="B36" s="227" t="n"/>
      <c r="C36" s="208" t="inlineStr">
        <is>
          <t>HAP</t>
        </is>
      </c>
      <c r="D36" s="209" t="inlineStr">
        <is>
          <t>CoStar</t>
        </is>
      </c>
      <c r="E36" s="302" t="n"/>
      <c r="F36" s="302" t="n"/>
      <c r="G36" s="302" t="n"/>
      <c r="H36" s="183" t="n"/>
      <c r="I36" s="183" t="n"/>
      <c r="J36" s="183" t="n"/>
      <c r="K36" s="302" t="n"/>
      <c r="L36" s="302" t="n"/>
      <c r="M36" s="302" t="n"/>
      <c r="N36" s="302" t="n"/>
      <c r="O36" s="302" t="n"/>
      <c r="P36" s="302" t="n"/>
      <c r="Q36" s="302" t="n"/>
      <c r="R36" s="302" t="n"/>
      <c r="S36" s="302" t="n"/>
      <c r="T36" s="302" t="n"/>
      <c r="U36" s="302" t="n"/>
      <c r="V36" s="302" t="n"/>
      <c r="W36" s="302" t="n"/>
      <c r="X36" s="302" t="n"/>
      <c r="Y36" s="302" t="n"/>
      <c r="Z36" s="302" t="n"/>
      <c r="AA36" s="353" t="n"/>
      <c r="AB36" s="302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24.75" customHeight="1" s="131">
      <c r="A37" s="369" t="n"/>
      <c r="B37" s="410" t="inlineStr">
        <is>
          <t>EFF</t>
        </is>
      </c>
      <c r="C37" s="412" t="n">
        <v>1612</v>
      </c>
      <c r="D37" s="397" t="n">
        <v>963</v>
      </c>
      <c r="E37" s="369" t="n"/>
      <c r="F37" s="369" t="n"/>
      <c r="G37" s="369" t="n"/>
      <c r="H37" s="369" t="n"/>
      <c r="I37" s="369" t="n"/>
      <c r="J37" s="369" t="n"/>
      <c r="K37" s="369" t="n"/>
      <c r="L37" s="134" t="n"/>
      <c r="M37" s="134" t="n"/>
      <c r="N37" s="134" t="n"/>
      <c r="O37" s="134" t="n"/>
      <c r="P37" s="134" t="n"/>
      <c r="Q37" s="134" t="n"/>
      <c r="R37" s="134" t="n"/>
      <c r="S37" s="134" t="n"/>
      <c r="T37" s="134" t="n"/>
      <c r="U37" s="134" t="n"/>
      <c r="V37" s="134" t="n"/>
      <c r="W37" s="134" t="n"/>
      <c r="X37" s="134" t="n"/>
      <c r="Y37" s="134" t="n"/>
      <c r="Z37" s="135" t="n"/>
      <c r="AA37" s="134" t="n"/>
      <c r="AB37" s="134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24.75" customHeight="1" s="131">
      <c r="A38" s="372" t="n"/>
      <c r="B38" s="387" t="inlineStr">
        <is>
          <t>1BD</t>
        </is>
      </c>
      <c r="C38" s="396" t="n">
        <v>1769</v>
      </c>
      <c r="D38" s="397" t="n">
        <v>1057</v>
      </c>
      <c r="E38" s="369" t="n"/>
      <c r="F38" s="369" t="n"/>
      <c r="G38" s="369" t="n"/>
      <c r="H38" s="369" t="n"/>
      <c r="I38" s="369" t="n"/>
      <c r="J38" s="369" t="n"/>
      <c r="K38" s="369" t="n"/>
      <c r="L38" s="134" t="n"/>
      <c r="M38" s="134" t="n"/>
      <c r="N38" s="134" t="n"/>
      <c r="O38" s="134" t="n"/>
      <c r="P38" s="134" t="n"/>
      <c r="Q38" s="134" t="n"/>
      <c r="R38" s="134" t="n"/>
      <c r="S38" s="134" t="n"/>
      <c r="T38" s="134" t="n"/>
      <c r="U38" s="134" t="n"/>
      <c r="V38" s="134" t="n"/>
      <c r="W38" s="134" t="n"/>
      <c r="X38" s="134" t="n"/>
      <c r="Y38" s="134" t="n"/>
      <c r="Z38" s="135" t="n"/>
      <c r="AA38" s="134" t="n"/>
      <c r="AB38" s="134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s="131">
      <c r="A39" s="372" t="n"/>
      <c r="B39" s="392" t="n"/>
      <c r="C39" s="392" t="n"/>
      <c r="D39" s="369" t="n"/>
      <c r="E39" s="369" t="n"/>
      <c r="F39" s="369" t="n"/>
      <c r="G39" s="369" t="n"/>
      <c r="H39" s="369" t="n"/>
      <c r="I39" s="369" t="n"/>
      <c r="J39" s="369" t="n"/>
      <c r="K39" s="369" t="n"/>
      <c r="L39" s="134" t="n"/>
      <c r="M39" s="134" t="n"/>
      <c r="N39" s="134" t="n"/>
      <c r="O39" s="134" t="n"/>
      <c r="P39" s="134" t="n"/>
      <c r="Q39" s="134" t="n"/>
      <c r="R39" s="134" t="n"/>
      <c r="S39" s="134" t="n"/>
      <c r="T39" s="134" t="n"/>
      <c r="U39" s="134" t="n"/>
      <c r="V39" s="134" t="n"/>
      <c r="W39" s="134" t="n"/>
      <c r="X39" s="134" t="n"/>
      <c r="Y39" s="134" t="n"/>
      <c r="Z39" s="135" t="n"/>
      <c r="AA39" s="134" t="n"/>
      <c r="AB39" s="134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s="131">
      <c r="A40" s="372" t="n"/>
      <c r="B40" s="392" t="n"/>
      <c r="C40" s="392" t="n"/>
      <c r="D40" s="369" t="n"/>
      <c r="E40" s="369" t="n"/>
      <c r="F40" s="369" t="n"/>
      <c r="G40" s="369" t="n"/>
      <c r="H40" s="369" t="n"/>
      <c r="I40" s="369" t="n"/>
      <c r="J40" s="369" t="n"/>
      <c r="K40" s="369" t="n"/>
      <c r="L40" s="136" t="n"/>
      <c r="M40" s="136" t="n"/>
      <c r="N40" s="136" t="n"/>
      <c r="O40" s="136" t="n"/>
      <c r="P40" s="136" t="n"/>
      <c r="Q40" s="136" t="n"/>
      <c r="R40" s="136" t="n"/>
      <c r="S40" s="136" t="n"/>
      <c r="T40" s="136" t="n"/>
      <c r="U40" s="136" t="n"/>
      <c r="V40" s="136" t="n"/>
      <c r="W40" s="136" t="n"/>
      <c r="X40" s="136" t="n"/>
      <c r="Y40" s="136" t="n"/>
      <c r="Z40" s="136" t="n"/>
      <c r="AA40" s="136" t="n"/>
      <c r="AB40" s="136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s="131">
      <c r="A41" s="369" t="n"/>
      <c r="B41" s="399" t="n"/>
      <c r="C41" s="399" t="n"/>
      <c r="D41" s="369" t="n"/>
      <c r="E41" s="369" t="n"/>
      <c r="F41" s="369" t="n"/>
      <c r="G41" s="369" t="n"/>
      <c r="H41" s="369" t="n"/>
      <c r="I41" s="369" t="n"/>
      <c r="J41" s="369" t="n"/>
      <c r="K41" s="369" t="n"/>
      <c r="L41" s="136" t="n"/>
      <c r="M41" s="136" t="n"/>
      <c r="N41" s="136" t="n"/>
      <c r="O41" s="136" t="n"/>
      <c r="P41" s="136" t="n"/>
      <c r="Q41" s="136" t="n"/>
      <c r="R41" s="136" t="n"/>
      <c r="S41" s="136" t="n"/>
      <c r="T41" s="136" t="n"/>
      <c r="U41" s="136" t="n"/>
      <c r="V41" s="136" t="n"/>
      <c r="W41" s="136" t="n"/>
      <c r="X41" s="136" t="n"/>
      <c r="Y41" s="136" t="n"/>
      <c r="Z41" s="136" t="n"/>
      <c r="AA41" s="136" t="n"/>
      <c r="AB41" s="136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s="131">
      <c r="A42" s="369" t="n"/>
      <c r="B42" s="369" t="n"/>
      <c r="C42" s="369" t="n"/>
      <c r="D42" s="369" t="n"/>
      <c r="E42" s="369" t="n"/>
      <c r="F42" s="369" t="n"/>
      <c r="G42" s="369" t="n"/>
      <c r="H42" s="369" t="n"/>
      <c r="I42" s="369" t="n"/>
      <c r="J42" s="369" t="n"/>
      <c r="K42" s="369" t="n"/>
      <c r="L42" s="136" t="n"/>
      <c r="M42" s="136" t="n"/>
      <c r="N42" s="136" t="n"/>
      <c r="O42" s="136" t="n"/>
      <c r="P42" s="136" t="n"/>
      <c r="Q42" s="136" t="n"/>
      <c r="R42" s="136" t="n"/>
      <c r="S42" s="136" t="n"/>
      <c r="T42" s="136" t="n"/>
      <c r="U42" s="136" t="n"/>
      <c r="V42" s="136" t="n"/>
      <c r="W42" s="136" t="n"/>
      <c r="X42" s="136" t="n"/>
      <c r="Y42" s="136" t="n"/>
      <c r="Z42" s="136" t="n"/>
      <c r="AA42" s="136" t="n"/>
      <c r="AB42" s="136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s="131">
      <c r="A43" s="369" t="n"/>
      <c r="B43" s="369" t="n"/>
      <c r="C43" s="369" t="n"/>
      <c r="D43" s="369" t="n"/>
      <c r="E43" s="369" t="n"/>
      <c r="F43" s="369" t="n"/>
      <c r="G43" s="369" t="n"/>
      <c r="H43" s="369" t="n"/>
      <c r="I43" s="369" t="n"/>
      <c r="J43" s="369" t="n"/>
      <c r="K43" s="369" t="n"/>
      <c r="L43" s="136" t="n"/>
      <c r="M43" s="136" t="n"/>
      <c r="N43" s="136" t="n"/>
      <c r="O43" s="136" t="n"/>
      <c r="P43" s="136" t="n"/>
      <c r="Q43" s="136" t="n"/>
      <c r="R43" s="136" t="n"/>
      <c r="S43" s="136" t="n"/>
      <c r="T43" s="136" t="n"/>
      <c r="U43" s="136" t="n"/>
      <c r="V43" s="136" t="n"/>
      <c r="W43" s="136" t="n"/>
      <c r="X43" s="136" t="n"/>
      <c r="Y43" s="136" t="n"/>
      <c r="Z43" s="136" t="n"/>
      <c r="AA43" s="136" t="n"/>
      <c r="AB43" s="136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s="131">
      <c r="A44" s="369" t="n"/>
      <c r="B44" s="369" t="n"/>
      <c r="C44" s="369" t="n"/>
      <c r="D44" s="369" t="n"/>
      <c r="E44" s="369" t="n"/>
      <c r="F44" s="369" t="n"/>
      <c r="G44" s="369" t="n"/>
      <c r="H44" s="369" t="n"/>
      <c r="I44" s="369" t="n"/>
      <c r="J44" s="369" t="n"/>
      <c r="K44" s="369" t="n"/>
      <c r="L44" s="136" t="n"/>
      <c r="M44" s="136" t="n"/>
      <c r="N44" s="136" t="n"/>
      <c r="O44" s="136" t="n"/>
      <c r="P44" s="136" t="n"/>
      <c r="Q44" s="136" t="n"/>
      <c r="R44" s="136" t="n"/>
      <c r="S44" s="136" t="n"/>
      <c r="T44" s="136" t="n"/>
      <c r="U44" s="136" t="n"/>
      <c r="V44" s="136" t="n"/>
      <c r="W44" s="136" t="n"/>
      <c r="X44" s="136" t="n"/>
      <c r="Y44" s="136" t="n"/>
      <c r="Z44" s="136" t="n"/>
      <c r="AA44" s="136" t="n"/>
      <c r="AB44" s="136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s="131">
      <c r="A45" s="369" t="n"/>
      <c r="B45" s="369" t="n"/>
      <c r="C45" s="369" t="n"/>
      <c r="D45" s="369" t="n"/>
      <c r="E45" s="369" t="n"/>
      <c r="F45" s="369" t="n"/>
      <c r="G45" s="369" t="n"/>
      <c r="H45" s="369" t="n"/>
      <c r="I45" s="369" t="n"/>
      <c r="J45" s="369" t="n"/>
      <c r="K45" s="369" t="n"/>
      <c r="L45" s="136" t="n"/>
      <c r="M45" s="136" t="n"/>
      <c r="N45" s="136" t="n"/>
      <c r="O45" s="136" t="n"/>
      <c r="P45" s="136" t="n"/>
      <c r="Q45" s="136" t="n"/>
      <c r="R45" s="136" t="n"/>
      <c r="S45" s="136" t="n"/>
      <c r="T45" s="136" t="n"/>
      <c r="U45" s="136" t="n"/>
      <c r="V45" s="136" t="n"/>
      <c r="W45" s="136" t="n"/>
      <c r="X45" s="136" t="n"/>
      <c r="Y45" s="136" t="n"/>
      <c r="Z45" s="136" t="n"/>
      <c r="AA45" s="136" t="n"/>
      <c r="AB45" s="136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s="131">
      <c r="A46" s="369" t="n"/>
      <c r="B46" s="369" t="n"/>
      <c r="C46" s="369" t="n"/>
      <c r="D46" s="369" t="n"/>
      <c r="E46" s="369" t="n"/>
      <c r="F46" s="369" t="n"/>
      <c r="G46" s="369" t="n"/>
      <c r="H46" s="369" t="n"/>
      <c r="I46" s="369" t="n"/>
      <c r="J46" s="369" t="n"/>
      <c r="K46" s="369" t="n"/>
      <c r="L46" s="136" t="n"/>
      <c r="M46" s="136" t="n"/>
      <c r="N46" s="136" t="n"/>
      <c r="O46" s="136" t="n"/>
      <c r="P46" s="136" t="n"/>
      <c r="Q46" s="136" t="n"/>
      <c r="R46" s="136" t="n"/>
      <c r="S46" s="136" t="n"/>
      <c r="T46" s="136" t="n"/>
      <c r="U46" s="136" t="n"/>
      <c r="V46" s="136" t="n"/>
      <c r="W46" s="136" t="n"/>
      <c r="X46" s="136" t="n"/>
      <c r="Y46" s="136" t="n"/>
      <c r="Z46" s="136" t="n"/>
      <c r="AA46" s="136" t="n"/>
      <c r="AB46" s="136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s="131">
      <c r="A47" s="369" t="n"/>
      <c r="B47" s="369" t="n"/>
      <c r="C47" s="369" t="n"/>
      <c r="D47" s="369" t="n"/>
      <c r="E47" s="369" t="n"/>
      <c r="F47" s="369" t="n"/>
      <c r="G47" s="369" t="n"/>
      <c r="H47" s="369" t="n"/>
      <c r="I47" s="369" t="n"/>
      <c r="J47" s="369" t="n"/>
      <c r="K47" s="369" t="n"/>
      <c r="L47" s="136" t="n"/>
      <c r="M47" s="136" t="n"/>
      <c r="N47" s="136" t="n"/>
      <c r="O47" s="136" t="n"/>
      <c r="P47" s="136" t="n"/>
      <c r="Q47" s="136" t="n"/>
      <c r="R47" s="136" t="n"/>
      <c r="S47" s="136" t="n"/>
      <c r="T47" s="136" t="n"/>
      <c r="U47" s="136" t="n"/>
      <c r="V47" s="136" t="n"/>
      <c r="W47" s="136" t="n"/>
      <c r="X47" s="136" t="n"/>
      <c r="Y47" s="136" t="n"/>
      <c r="Z47" s="136" t="n"/>
      <c r="AA47" s="136" t="n"/>
      <c r="AB47" s="136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s="131">
      <c r="A48" s="369" t="n"/>
      <c r="B48" s="369" t="n"/>
      <c r="C48" s="369" t="n"/>
      <c r="D48" s="369" t="n"/>
      <c r="E48" s="369" t="n"/>
      <c r="F48" s="369" t="n"/>
      <c r="G48" s="369" t="n"/>
      <c r="H48" s="369" t="n"/>
      <c r="I48" s="369" t="n"/>
      <c r="J48" s="369" t="n"/>
      <c r="K48" s="369" t="n"/>
      <c r="L48" s="136" t="n"/>
      <c r="M48" s="136" t="n"/>
      <c r="N48" s="136" t="n"/>
      <c r="O48" s="136" t="n"/>
      <c r="P48" s="136" t="n"/>
      <c r="Q48" s="136" t="n"/>
      <c r="R48" s="136" t="n"/>
      <c r="S48" s="136" t="n"/>
      <c r="T48" s="136" t="n"/>
      <c r="U48" s="136" t="n"/>
      <c r="V48" s="136" t="n"/>
      <c r="W48" s="136" t="n"/>
      <c r="X48" s="136" t="n"/>
      <c r="Y48" s="136" t="n"/>
      <c r="Z48" s="136" t="n"/>
      <c r="AA48" s="136" t="n"/>
      <c r="AB48" s="136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s="131">
      <c r="A49" s="369" t="n"/>
      <c r="B49" s="369" t="n"/>
      <c r="C49" s="369" t="n"/>
      <c r="D49" s="369" t="n"/>
      <c r="E49" s="369" t="n"/>
      <c r="F49" s="369" t="n"/>
      <c r="G49" s="369" t="n"/>
      <c r="H49" s="369" t="n"/>
      <c r="I49" s="369" t="n"/>
      <c r="J49" s="369" t="n"/>
      <c r="K49" s="369" t="n"/>
      <c r="L49" s="136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6" t="n"/>
      <c r="Y49" s="136" t="n"/>
      <c r="Z49" s="136" t="n"/>
      <c r="AA49" s="136" t="n"/>
      <c r="AB49" s="136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s="131">
      <c r="A50" s="369" t="n"/>
      <c r="B50" s="369" t="n"/>
      <c r="C50" s="369" t="n"/>
      <c r="D50" s="369" t="n"/>
      <c r="E50" s="369" t="n"/>
      <c r="F50" s="369" t="n"/>
      <c r="G50" s="369" t="n"/>
      <c r="H50" s="369" t="n"/>
      <c r="I50" s="369" t="n"/>
      <c r="J50" s="369" t="n"/>
      <c r="K50" s="369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</sheetData>
  <mergeCells count="9">
    <mergeCell ref="B4:AB4"/>
    <mergeCell ref="B22:G22"/>
    <mergeCell ref="B23:G23"/>
    <mergeCell ref="B27:G27"/>
    <mergeCell ref="B20:I20"/>
    <mergeCell ref="B2:AB2"/>
    <mergeCell ref="B32:G32"/>
    <mergeCell ref="B3:AB3"/>
    <mergeCell ref="B35:G35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:AA1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PACIFIC POINTE | GREEN = Affordable Comps | BLUE = Market Rate Comps</t>
        </is>
      </c>
      <c r="B3" s="363" t="n"/>
      <c r="AB3" s="363" t="n"/>
      <c r="AC3" s="136" t="n"/>
      <c r="AD3" s="136" t="n"/>
      <c r="AE3" s="136" t="n"/>
      <c r="AF3" s="136" t="n"/>
      <c r="AG3" s="136" t="n"/>
      <c r="AH3" s="136" t="n"/>
      <c r="AI3" s="136" t="n"/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Pacific Pointe | 1025 Rosemarie Ln, Stockton, CA 95207 | 80 units | Program: LIHTC | Bedroom Mix: 1BR / 2BR | County AMI: $104,600 | FMR Area: Stockton-Lodi MSA</t>
        </is>
      </c>
      <c r="B4" s="363" t="n"/>
      <c r="AB4" s="363" t="n"/>
      <c r="AC4" s="136" t="n"/>
      <c r="AD4" s="136" t="n"/>
      <c r="AE4" s="136" t="n"/>
      <c r="AF4" s="136" t="n"/>
      <c r="AG4" s="136" t="n"/>
      <c r="AH4" s="136" t="n"/>
      <c r="AI4" s="136" t="n"/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B5" s="341" t="n"/>
      <c r="AC5" s="136" t="n"/>
      <c r="AD5" s="136" t="n"/>
      <c r="AE5" s="136" t="n"/>
      <c r="AF5" s="136" t="n"/>
      <c r="AG5" s="136" t="n"/>
      <c r="AH5" s="136" t="n"/>
      <c r="AI5" s="136" t="n"/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1BD 50% AMI ($)</t>
        </is>
      </c>
      <c r="J6" s="280" t="inlineStr">
        <is>
          <t>1BD 60% AMI ($)</t>
        </is>
      </c>
      <c r="K6" s="280" t="inlineStr">
        <is>
          <t>1BR FMR ($)</t>
        </is>
      </c>
      <c r="L6" s="335" t="inlineStr">
        <is>
          <t>1BR Actual ($)</t>
        </is>
      </c>
      <c r="M6" s="281" t="inlineStr">
        <is>
          <t>2BD 50% AMI ($)</t>
        </is>
      </c>
      <c r="N6" s="280" t="inlineStr">
        <is>
          <t>2BD 60% AMI ($)</t>
        </is>
      </c>
      <c r="O6" s="280" t="inlineStr">
        <is>
          <t>2BR FMR ($)</t>
        </is>
      </c>
      <c r="P6" s="335" t="inlineStr">
        <is>
          <t>2BR Actual ($)</t>
        </is>
      </c>
      <c r="Q6" s="281" t="inlineStr">
        <is>
          <t># Units</t>
        </is>
      </c>
      <c r="R6" s="280" t="inlineStr">
        <is>
          <t>Year Built</t>
        </is>
      </c>
      <c r="S6" s="280" t="inlineStr">
        <is>
          <t>Yr Diff</t>
        </is>
      </c>
      <c r="T6" s="339" t="inlineStr">
        <is>
          <t>Utilities Incl.</t>
        </is>
      </c>
      <c r="U6" s="339" t="inlineStr">
        <is>
          <t>Pet Friendly</t>
        </is>
      </c>
      <c r="V6" s="339" t="inlineStr">
        <is>
          <t>Gated</t>
        </is>
      </c>
      <c r="W6" s="339" t="inlineStr">
        <is>
          <t>Pool</t>
        </is>
      </c>
      <c r="X6" s="339" t="inlineStr">
        <is>
          <t>W/D In-Unit</t>
        </is>
      </c>
      <c r="Y6" s="339" t="inlineStr">
        <is>
          <t>Competition Level</t>
        </is>
      </c>
      <c r="Z6" s="336" t="inlineStr">
        <is>
          <t>Why Competitive</t>
        </is>
      </c>
      <c r="AA6" s="340" t="inlineStr">
        <is>
          <t>Data Source</t>
        </is>
      </c>
      <c r="AB6" s="342" t="n"/>
      <c r="AC6" s="136" t="n"/>
      <c r="AD6" s="136" t="n"/>
      <c r="AE6" s="136" t="n"/>
      <c r="AF6" s="136" t="n"/>
      <c r="AG6" s="136" t="n"/>
      <c r="AH6" s="136" t="n"/>
      <c r="AI6" s="136" t="n"/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Pacific Pointe (SUBJECT)</t>
        </is>
      </c>
      <c r="D7" s="174" t="inlineStr">
        <is>
          <t>1025 Rosemarie Ln</t>
        </is>
      </c>
      <c r="E7" s="174" t="inlineStr">
        <is>
          <t>Stockton</t>
        </is>
      </c>
      <c r="F7" s="174" t="inlineStr">
        <is>
          <t>CA</t>
        </is>
      </c>
      <c r="G7" s="174" t="inlineStr">
        <is>
          <t>95207</t>
        </is>
      </c>
      <c r="H7" s="174" t="inlineStr">
        <is>
          <t>0.0 mi</t>
        </is>
      </c>
      <c r="I7" s="174" t="inlineStr">
        <is>
          <t>$3,270</t>
        </is>
      </c>
      <c r="J7" s="174" t="inlineStr">
        <is>
          <t>$3,925</t>
        </is>
      </c>
      <c r="K7" s="174" t="inlineStr">
        <is>
          <t>$1,155</t>
        </is>
      </c>
      <c r="L7" s="368">
        <f>B26</f>
        <v/>
      </c>
      <c r="M7" s="174" t="inlineStr">
        <is>
          <t>$3,925</t>
        </is>
      </c>
      <c r="N7" s="174" t="inlineStr">
        <is>
          <t>$4,710</t>
        </is>
      </c>
      <c r="O7" s="174" t="inlineStr">
        <is>
          <t>$1,580</t>
        </is>
      </c>
      <c r="P7" s="368">
        <f>B27</f>
        <v/>
      </c>
      <c r="Q7" s="174" t="inlineStr">
        <is>
          <t>80</t>
        </is>
      </c>
      <c r="R7" s="174" t="inlineStr">
        <is>
          <t>1998</t>
        </is>
      </c>
      <c r="S7" s="174" t="inlineStr">
        <is>
          <t>0</t>
        </is>
      </c>
      <c r="T7" s="174" t="inlineStr">
        <is>
          <t>No</t>
        </is>
      </c>
      <c r="U7" s="174" t="inlineStr">
        <is>
          <t>No</t>
        </is>
      </c>
      <c r="V7" s="174" t="inlineStr">
        <is>
          <t>Yes</t>
        </is>
      </c>
      <c r="W7" s="174" t="inlineStr">
        <is>
          <t>Yes</t>
        </is>
      </c>
      <c r="X7" s="174" t="inlineStr">
        <is>
          <t>No</t>
        </is>
      </c>
      <c r="Y7" s="42" t="inlineStr">
        <is>
          <t>SUBJECT</t>
        </is>
      </c>
      <c r="Z7" s="55" t="inlineStr">
        <is>
          <t>80 units | LIHTC property. Year built: 1998. Subject property for market context.</t>
        </is>
      </c>
      <c r="AA7" s="40" t="inlineStr">
        <is>
          <t>Apartment Corp Records</t>
        </is>
      </c>
      <c r="AB7" s="136" t="n"/>
      <c r="AC7" s="136" t="n"/>
      <c r="AD7" s="136" t="n"/>
      <c r="AE7" s="136" t="n"/>
      <c r="AF7" s="136" t="n"/>
      <c r="AG7" s="136" t="n"/>
      <c r="AH7" s="136" t="n"/>
      <c r="AI7" s="136" t="n"/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Charleston Place Apts</t>
        </is>
      </c>
      <c r="D8" s="59" t="inlineStr">
        <is>
          <t>1515 E Bianchi Rd</t>
        </is>
      </c>
      <c r="E8" s="59" t="inlineStr">
        <is>
          <t>Stockton</t>
        </is>
      </c>
      <c r="F8" s="59" t="inlineStr">
        <is>
          <t>CA</t>
        </is>
      </c>
      <c r="G8" s="59" t="inlineStr">
        <is>
          <t>95210</t>
        </is>
      </c>
      <c r="H8" s="59" t="inlineStr">
        <is>
          <t>2.8 mi</t>
        </is>
      </c>
      <c r="I8" s="59" t="inlineStr">
        <is>
          <t>$3,270</t>
        </is>
      </c>
      <c r="J8" s="59" t="inlineStr">
        <is>
          <t>$3,925</t>
        </is>
      </c>
      <c r="K8" s="41" t="inlineStr">
        <is>
          <t>$1,155</t>
        </is>
      </c>
      <c r="L8" s="53" t="inlineStr">
        <is>
          <t>Not Listed</t>
        </is>
      </c>
      <c r="M8" s="43" t="inlineStr">
        <is>
          <t>$3,925</t>
        </is>
      </c>
      <c r="N8" s="43" t="inlineStr">
        <is>
          <t>$4,710</t>
        </is>
      </c>
      <c r="O8" s="41" t="inlineStr">
        <is>
          <t>$1,580</t>
        </is>
      </c>
      <c r="P8" s="53" t="inlineStr">
        <is>
          <t>$873</t>
        </is>
      </c>
      <c r="Q8" s="43" t="inlineStr">
        <is>
          <t>82</t>
        </is>
      </c>
      <c r="R8" s="43" t="inlineStr">
        <is>
          <t>1997</t>
        </is>
      </c>
      <c r="S8" s="43" t="inlineStr">
        <is>
          <t>1</t>
        </is>
      </c>
      <c r="T8" s="43" t="inlineStr">
        <is>
          <t>Yes</t>
        </is>
      </c>
      <c r="U8" s="43" t="inlineStr">
        <is>
          <t>No</t>
        </is>
      </c>
      <c r="V8" s="43" t="inlineStr">
        <is>
          <t>No</t>
        </is>
      </c>
      <c r="W8" s="43" t="inlineStr">
        <is>
          <t>No</t>
        </is>
      </c>
      <c r="X8" s="43" t="inlineStr">
        <is>
          <t>No</t>
        </is>
      </c>
      <c r="Y8" s="44" t="inlineStr">
        <is>
          <t>HIGH</t>
        </is>
      </c>
      <c r="Z8" s="56" t="inlineStr">
        <is>
          <t>Affordable Comp #1: LIHTC property, 1997 vintage (1 yr diff), 82 units, 2.8 mi from subject. Same income-eligible renter pool.</t>
        </is>
      </c>
      <c r="AA8" s="43" t="inlineStr">
        <is>
          <t>HUD LIHTC Database (huduser.gov)</t>
        </is>
      </c>
      <c r="AB8" s="136" t="n"/>
      <c r="AC8" s="136" t="n"/>
      <c r="AD8" s="136" t="n"/>
      <c r="AE8" s="136" t="n"/>
      <c r="AF8" s="136" t="n"/>
      <c r="AG8" s="136" t="n"/>
      <c r="AH8" s="136" t="n"/>
      <c r="AI8" s="136" t="n"/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Lodi Hotel</t>
        </is>
      </c>
      <c r="D9" s="125" t="inlineStr">
        <is>
          <t>7 S School St</t>
        </is>
      </c>
      <c r="E9" s="125" t="inlineStr">
        <is>
          <t>Lodi</t>
        </is>
      </c>
      <c r="F9" s="125" t="inlineStr">
        <is>
          <t>CA</t>
        </is>
      </c>
      <c r="G9" s="125" t="inlineStr">
        <is>
          <t>95240</t>
        </is>
      </c>
      <c r="H9" s="125" t="inlineStr">
        <is>
          <t>12.2 mi</t>
        </is>
      </c>
      <c r="I9" s="125" t="inlineStr">
        <is>
          <t>$3,270</t>
        </is>
      </c>
      <c r="J9" s="125" t="inlineStr">
        <is>
          <t>$3,925</t>
        </is>
      </c>
      <c r="K9" s="85" t="inlineStr">
        <is>
          <t>$1,155</t>
        </is>
      </c>
      <c r="L9" s="86" t="inlineStr">
        <is>
          <t>Not Listed</t>
        </is>
      </c>
      <c r="M9" s="128" t="inlineStr">
        <is>
          <t>$3,925</t>
        </is>
      </c>
      <c r="N9" s="128" t="inlineStr">
        <is>
          <t>$4,710</t>
        </is>
      </c>
      <c r="O9" s="85" t="inlineStr">
        <is>
          <t>$1,580</t>
        </is>
      </c>
      <c r="P9" s="86" t="inlineStr">
        <is>
          <t>Not Listed</t>
        </is>
      </c>
      <c r="Q9" s="128" t="inlineStr">
        <is>
          <t>75</t>
        </is>
      </c>
      <c r="R9" s="128" t="inlineStr">
        <is>
          <t>1998</t>
        </is>
      </c>
      <c r="S9" s="128" t="inlineStr">
        <is>
          <t>0</t>
        </is>
      </c>
      <c r="T9" s="128" t="inlineStr">
        <is>
          <t>Yes</t>
        </is>
      </c>
      <c r="U9" s="128" t="inlineStr">
        <is>
          <t>No</t>
        </is>
      </c>
      <c r="V9" s="128" t="inlineStr">
        <is>
          <t>No</t>
        </is>
      </c>
      <c r="W9" s="128" t="inlineStr">
        <is>
          <t>No</t>
        </is>
      </c>
      <c r="X9" s="128" t="inlineStr">
        <is>
          <t>No</t>
        </is>
      </c>
      <c r="Y9" s="129" t="inlineStr">
        <is>
          <t>HIGH</t>
        </is>
      </c>
      <c r="Z9" s="130" t="inlineStr">
        <is>
          <t>Affordable Comp #2: LIHTC property, 1998 vintage (0 yr diff), 75 units, 12.2 mi from subject. Same income-eligible renter pool.</t>
        </is>
      </c>
      <c r="AA9" s="128" t="inlineStr">
        <is>
          <t>HUD LIHTC Database (huduser.gov)</t>
        </is>
      </c>
      <c r="AB9" s="136" t="n"/>
      <c r="AC9" s="136" t="n"/>
      <c r="AD9" s="136" t="n"/>
      <c r="AE9" s="136" t="n"/>
      <c r="AF9" s="136" t="n"/>
      <c r="AG9" s="136" t="n"/>
      <c r="AH9" s="136" t="n"/>
      <c r="AI9" s="136" t="n"/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Brentwood Garden Apts</t>
        </is>
      </c>
      <c r="D10" s="107" t="inlineStr">
        <is>
          <t>180 Sycamore Ave</t>
        </is>
      </c>
      <c r="E10" s="107" t="inlineStr">
        <is>
          <t>Brentwood</t>
        </is>
      </c>
      <c r="F10" s="107" t="inlineStr">
        <is>
          <t>CA</t>
        </is>
      </c>
      <c r="G10" s="107" t="inlineStr">
        <is>
          <t>94513</t>
        </is>
      </c>
      <c r="H10" s="107" t="inlineStr">
        <is>
          <t>21.9 mi</t>
        </is>
      </c>
      <c r="I10" s="107" t="inlineStr">
        <is>
          <t>$3,270</t>
        </is>
      </c>
      <c r="J10" s="107" t="inlineStr">
        <is>
          <t>$3,925</t>
        </is>
      </c>
      <c r="K10" s="80" t="inlineStr">
        <is>
          <t>$1,155</t>
        </is>
      </c>
      <c r="L10" s="81" t="inlineStr">
        <is>
          <t>Not Listed</t>
        </is>
      </c>
      <c r="M10" s="108" t="inlineStr">
        <is>
          <t>$3,925</t>
        </is>
      </c>
      <c r="N10" s="108" t="inlineStr">
        <is>
          <t>$4,710</t>
        </is>
      </c>
      <c r="O10" s="80" t="inlineStr">
        <is>
          <t>$1,580</t>
        </is>
      </c>
      <c r="P10" s="81" t="inlineStr">
        <is>
          <t>Not Listed</t>
        </is>
      </c>
      <c r="Q10" s="108" t="inlineStr">
        <is>
          <t>80</t>
        </is>
      </c>
      <c r="R10" s="108" t="inlineStr">
        <is>
          <t>1998</t>
        </is>
      </c>
      <c r="S10" s="108" t="inlineStr">
        <is>
          <t>0</t>
        </is>
      </c>
      <c r="T10" s="108" t="inlineStr">
        <is>
          <t>Yes</t>
        </is>
      </c>
      <c r="U10" s="108" t="inlineStr">
        <is>
          <t>No</t>
        </is>
      </c>
      <c r="V10" s="108" t="inlineStr">
        <is>
          <t>No</t>
        </is>
      </c>
      <c r="W10" s="108" t="inlineStr">
        <is>
          <t>No</t>
        </is>
      </c>
      <c r="X10" s="108" t="inlineStr">
        <is>
          <t>No</t>
        </is>
      </c>
      <c r="Y10" s="109" t="inlineStr">
        <is>
          <t>MODERATE-HIGH</t>
        </is>
      </c>
      <c r="Z10" s="110" t="inlineStr">
        <is>
          <t>Affordable Comp #3: LIHTC property, 1998 vintage (0 yr diff), 80 units, 21.9 mi from subject. Same income-eligible renter pool.</t>
        </is>
      </c>
      <c r="AA10" s="111" t="inlineStr">
        <is>
          <t>HUD LIHTC Database (huduser.gov)</t>
        </is>
      </c>
      <c r="AB10" s="134" t="n"/>
      <c r="AC10" s="136" t="n"/>
      <c r="AD10" s="136" t="n"/>
      <c r="AE10" s="136" t="n"/>
      <c r="AF10" s="136" t="n"/>
      <c r="AG10" s="136" t="n"/>
      <c r="AH10" s="136" t="n"/>
      <c r="AI10" s="136" t="n"/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Brentwood Park Apts</t>
        </is>
      </c>
      <c r="D11" s="95" t="inlineStr">
        <is>
          <t>160 Sycamore Ave</t>
        </is>
      </c>
      <c r="E11" s="95" t="inlineStr">
        <is>
          <t>Brentwood</t>
        </is>
      </c>
      <c r="F11" s="95" t="inlineStr">
        <is>
          <t>CA</t>
        </is>
      </c>
      <c r="G11" s="95" t="inlineStr">
        <is>
          <t>94513</t>
        </is>
      </c>
      <c r="H11" s="95" t="inlineStr">
        <is>
          <t>22.0 mi</t>
        </is>
      </c>
      <c r="I11" s="95" t="inlineStr">
        <is>
          <t>$3,270</t>
        </is>
      </c>
      <c r="J11" s="95" t="inlineStr">
        <is>
          <t>$3,925</t>
        </is>
      </c>
      <c r="K11" s="39" t="inlineStr">
        <is>
          <t>$1,155</t>
        </is>
      </c>
      <c r="L11" s="53" t="inlineStr">
        <is>
          <t>Not Listed</t>
        </is>
      </c>
      <c r="M11" s="96" t="inlineStr">
        <is>
          <t>$3,925</t>
        </is>
      </c>
      <c r="N11" s="96" t="inlineStr">
        <is>
          <t>$4,710</t>
        </is>
      </c>
      <c r="O11" s="39" t="inlineStr">
        <is>
          <t>$1,580</t>
        </is>
      </c>
      <c r="P11" s="53" t="inlineStr">
        <is>
          <t>Not Listed</t>
        </is>
      </c>
      <c r="Q11" s="96" t="inlineStr">
        <is>
          <t>80</t>
        </is>
      </c>
      <c r="R11" s="96" t="inlineStr">
        <is>
          <t>1997</t>
        </is>
      </c>
      <c r="S11" s="96" t="inlineStr">
        <is>
          <t>1</t>
        </is>
      </c>
      <c r="T11" s="96" t="inlineStr">
        <is>
          <t>Yes</t>
        </is>
      </c>
      <c r="U11" s="96" t="inlineStr">
        <is>
          <t>No</t>
        </is>
      </c>
      <c r="V11" s="96" t="inlineStr">
        <is>
          <t>No</t>
        </is>
      </c>
      <c r="W11" s="96" t="inlineStr">
        <is>
          <t>No</t>
        </is>
      </c>
      <c r="X11" s="96" t="inlineStr">
        <is>
          <t>No</t>
        </is>
      </c>
      <c r="Y11" s="45" t="inlineStr">
        <is>
          <t>MODERATE-HIGH</t>
        </is>
      </c>
      <c r="Z11" s="97" t="inlineStr">
        <is>
          <t>Affordable Comp #4: LIHTC property, 1997 vintage (1 yr diff), 80 units, 22.0 mi from subject. Same income-eligible renter pool.</t>
        </is>
      </c>
      <c r="AA11" s="113" t="inlineStr">
        <is>
          <t>HUD LIHTC Database (huduser.gov)</t>
        </is>
      </c>
      <c r="AB11" s="134" t="n"/>
      <c r="AC11" s="136" t="n"/>
      <c r="AD11" s="136" t="n"/>
      <c r="AE11" s="136" t="n"/>
      <c r="AF11" s="136" t="n"/>
      <c r="AG11" s="136" t="n"/>
      <c r="AH11" s="136" t="n"/>
      <c r="AI11" s="136" t="n"/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37.5" customHeight="1" s="131">
      <c r="A12" s="114" t="inlineStr">
        <is>
          <t>1</t>
        </is>
      </c>
      <c r="B12" s="70" t="inlineStr">
        <is>
          <t>MARKET RATE</t>
        </is>
      </c>
      <c r="C12" s="67" t="inlineStr">
        <is>
          <t>Grouse Run Apartments</t>
        </is>
      </c>
      <c r="D12" s="98" t="inlineStr">
        <is>
          <t>4738 Grouse Run Dr</t>
        </is>
      </c>
      <c r="E12" s="98" t="inlineStr">
        <is>
          <t>Stockton</t>
        </is>
      </c>
      <c r="F12" s="98" t="inlineStr">
        <is>
          <t>CA</t>
        </is>
      </c>
      <c r="G12" s="98" t="n"/>
      <c r="H12" s="98" t="inlineStr">
        <is>
          <t>1.0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$1,155</t>
        </is>
      </c>
      <c r="L12" s="53" t="n">
        <v>1395</v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$1,580</t>
        </is>
      </c>
      <c r="P12" s="53" t="n">
        <v>1695</v>
      </c>
      <c r="Q12" s="99" t="inlineStr">
        <is>
          <t>180</t>
        </is>
      </c>
      <c r="R12" s="99" t="inlineStr">
        <is>
          <t>1999</t>
        </is>
      </c>
      <c r="S12" s="99" t="inlineStr">
        <is>
          <t>1</t>
        </is>
      </c>
      <c r="T12" s="99" t="inlineStr">
        <is>
          <t>Varies</t>
        </is>
      </c>
      <c r="U12" s="99" t="inlineStr">
        <is>
          <t>Varies</t>
        </is>
      </c>
      <c r="V12" s="99" t="inlineStr">
        <is>
          <t>Varies</t>
        </is>
      </c>
      <c r="W12" s="99" t="inlineStr">
        <is>
          <t>Varies</t>
        </is>
      </c>
      <c r="X12" s="99" t="inlineStr">
        <is>
          <t>Varies</t>
        </is>
      </c>
      <c r="Y12" s="46" t="inlineStr">
        <is>
          <t>HIGH</t>
        </is>
      </c>
      <c r="Z12" s="100" t="inlineStr">
        <is>
          <t>Market Rate Comp #1: No income restrictions, 1999 vintage (1 yr diff), 180 units, 3.5 mi from subject. Shows market-rate rents vs. affordable housing discount.</t>
        </is>
      </c>
      <c r="AA12" s="115" t="inlineStr">
        <is>
          <t>https://www.rentcafe.com/apartments-for-rent/us/ca/stockton/brookside/</t>
        </is>
      </c>
      <c r="AB12" s="134" t="n"/>
      <c r="AC12" s="136" t="n"/>
      <c r="AD12" s="136" t="n"/>
      <c r="AE12" s="136" t="n"/>
      <c r="AF12" s="136" t="n"/>
      <c r="AG12" s="136" t="n"/>
      <c r="AH12" s="136" t="n"/>
      <c r="AI12" s="136" t="n"/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inlineStr">
        <is>
          <t>2</t>
        </is>
      </c>
      <c r="B13" s="71" t="inlineStr">
        <is>
          <t>MARKET RATE</t>
        </is>
      </c>
      <c r="C13" s="68" t="inlineStr">
        <is>
          <t>Stratford Villas</t>
        </is>
      </c>
      <c r="D13" s="101" t="inlineStr">
        <is>
          <t>1118 Stratford Cir</t>
        </is>
      </c>
      <c r="E13" s="101" t="inlineStr">
        <is>
          <t>Stockton</t>
        </is>
      </c>
      <c r="F13" s="101" t="inlineStr">
        <is>
          <t>CA</t>
        </is>
      </c>
      <c r="G13" s="101" t="n"/>
      <c r="H13" s="101" t="inlineStr">
        <is>
          <t>1.5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$1,155</t>
        </is>
      </c>
      <c r="L13" s="53" t="n">
        <v>1825</v>
      </c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$1,580</t>
        </is>
      </c>
      <c r="P13" s="53" t="n">
        <v>2225</v>
      </c>
      <c r="Q13" s="102" t="inlineStr">
        <is>
          <t>144</t>
        </is>
      </c>
      <c r="R13" s="102" t="inlineStr">
        <is>
          <t>1996</t>
        </is>
      </c>
      <c r="S13" s="102" t="inlineStr">
        <is>
          <t>2</t>
        </is>
      </c>
      <c r="T13" s="102" t="inlineStr">
        <is>
          <t>Varies</t>
        </is>
      </c>
      <c r="U13" s="102" t="inlineStr">
        <is>
          <t>Varies</t>
        </is>
      </c>
      <c r="V13" s="102" t="inlineStr">
        <is>
          <t>Varies</t>
        </is>
      </c>
      <c r="W13" s="102" t="inlineStr">
        <is>
          <t>Varies</t>
        </is>
      </c>
      <c r="X13" s="102" t="inlineStr">
        <is>
          <t>Varies</t>
        </is>
      </c>
      <c r="Y13" s="47" t="inlineStr">
        <is>
          <t>HIGH</t>
        </is>
      </c>
      <c r="Z13" s="103" t="inlineStr">
        <is>
          <t>Market Rate Comp #2: No income restrictions, 1996 vintage (2 yr diff), 144 units, 4.8 mi from subject. Shows market-rate rents vs. affordable housing discount.</t>
        </is>
      </c>
      <c r="AA13" s="117" t="inlineStr">
        <is>
          <t>https://www.rentcafe.com/apartments-for-rent/us/ca/stockton/</t>
        </is>
      </c>
      <c r="AB13" s="134" t="n"/>
      <c r="AC13" s="136" t="n"/>
      <c r="AD13" s="136" t="n"/>
      <c r="AE13" s="136" t="n"/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inlineStr">
        <is>
          <t>3</t>
        </is>
      </c>
      <c r="B14" s="69" t="inlineStr">
        <is>
          <t>MARKET RATE</t>
        </is>
      </c>
      <c r="C14" s="66" t="inlineStr">
        <is>
          <t>Venetian Bridges</t>
        </is>
      </c>
      <c r="D14" s="95" t="inlineStr">
        <is>
          <t>2101 Rosemarie Ln</t>
        </is>
      </c>
      <c r="E14" s="95" t="inlineStr">
        <is>
          <t>Stockton</t>
        </is>
      </c>
      <c r="F14" s="95" t="inlineStr">
        <is>
          <t>CA</t>
        </is>
      </c>
      <c r="G14" s="95" t="n"/>
      <c r="H14" s="95" t="inlineStr">
        <is>
          <t>2.0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$1,155</t>
        </is>
      </c>
      <c r="L14" s="53" t="n">
        <v>1825</v>
      </c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$1,580</t>
        </is>
      </c>
      <c r="P14" s="53" t="n">
        <v>1760</v>
      </c>
      <c r="Q14" s="96" t="inlineStr">
        <is>
          <t>200</t>
        </is>
      </c>
      <c r="R14" s="96" t="inlineStr">
        <is>
          <t>2000</t>
        </is>
      </c>
      <c r="S14" s="96" t="inlineStr">
        <is>
          <t>2</t>
        </is>
      </c>
      <c r="T14" s="96" t="inlineStr">
        <is>
          <t>Varies</t>
        </is>
      </c>
      <c r="U14" s="96" t="inlineStr">
        <is>
          <t>Varies</t>
        </is>
      </c>
      <c r="V14" s="96" t="inlineStr">
        <is>
          <t>Varies</t>
        </is>
      </c>
      <c r="W14" s="96" t="inlineStr">
        <is>
          <t>Varies</t>
        </is>
      </c>
      <c r="X14" s="96" t="inlineStr">
        <is>
          <t>Varies</t>
        </is>
      </c>
      <c r="Y14" s="45" t="inlineStr">
        <is>
          <t>HIGH</t>
        </is>
      </c>
      <c r="Z14" s="97" t="inlineStr">
        <is>
          <t>Market Rate Comp #3: No income restrictions, 2000 vintage (2 yr diff), 200 units, 5.2 mi from subject. Shows market-rate rents vs. affordable housing discount.</t>
        </is>
      </c>
      <c r="AA14" s="113" t="inlineStr">
        <is>
          <t>https://www.rentcafe.com/apartments-for-rent/us/ca/stockton/</t>
        </is>
      </c>
      <c r="AB14" s="134" t="n"/>
      <c r="AC14" s="136" t="n"/>
      <c r="AD14" s="136" t="n"/>
      <c r="AE14" s="136" t="n"/>
      <c r="AF14" s="136" t="n"/>
      <c r="AG14" s="136" t="n"/>
      <c r="AH14" s="136" t="n"/>
      <c r="AI14" s="136" t="n"/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inlineStr">
        <is>
          <t>4</t>
        </is>
      </c>
      <c r="B15" s="69" t="inlineStr">
        <is>
          <t>MARKET RATE</t>
        </is>
      </c>
      <c r="C15" s="66" t="inlineStr">
        <is>
          <t>Stonebridge Apartments</t>
        </is>
      </c>
      <c r="D15" s="95" t="inlineStr">
        <is>
          <t>1159 Stratford Cir</t>
        </is>
      </c>
      <c r="E15" s="95" t="inlineStr">
        <is>
          <t>Stockton</t>
        </is>
      </c>
      <c r="F15" s="95" t="inlineStr">
        <is>
          <t>CA</t>
        </is>
      </c>
      <c r="G15" s="95" t="n"/>
      <c r="H15" s="95" t="inlineStr">
        <is>
          <t>1.8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$1,155</t>
        </is>
      </c>
      <c r="L15" s="53" t="n">
        <v>1750</v>
      </c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$1,580</t>
        </is>
      </c>
      <c r="P15" s="53" t="n">
        <v>1800</v>
      </c>
      <c r="Q15" s="96" t="inlineStr">
        <is>
          <t>120</t>
        </is>
      </c>
      <c r="R15" s="96" t="inlineStr">
        <is>
          <t>1997</t>
        </is>
      </c>
      <c r="S15" s="96" t="inlineStr">
        <is>
          <t>1</t>
        </is>
      </c>
      <c r="T15" s="96" t="inlineStr">
        <is>
          <t>Varies</t>
        </is>
      </c>
      <c r="U15" s="96" t="inlineStr">
        <is>
          <t>Varies</t>
        </is>
      </c>
      <c r="V15" s="96" t="inlineStr">
        <is>
          <t>Varies</t>
        </is>
      </c>
      <c r="W15" s="96" t="inlineStr">
        <is>
          <t>Varies</t>
        </is>
      </c>
      <c r="X15" s="96" t="inlineStr">
        <is>
          <t>Varies</t>
        </is>
      </c>
      <c r="Y15" s="45" t="inlineStr">
        <is>
          <t>HIGH</t>
        </is>
      </c>
      <c r="Z15" s="97" t="inlineStr">
        <is>
          <t>Market Rate Comp #4: No income restrictions, 1997 vintage (1 yr diff), 120 units, 6.5 mi from subject. Shows market-rate rents vs. affordable housing discount.</t>
        </is>
      </c>
      <c r="AA15" s="113" t="inlineStr">
        <is>
          <t>https://www.rentcafe.com/apartments-for-rent/us/ca/stockton/</t>
        </is>
      </c>
      <c r="AB15" s="134" t="n"/>
      <c r="AC15" s="136" t="n"/>
      <c r="AD15" s="136" t="n"/>
      <c r="AE15" s="136" t="n"/>
      <c r="AF15" s="136" t="n"/>
      <c r="AG15" s="136" t="n"/>
      <c r="AH15" s="136" t="n"/>
      <c r="AI15" s="136" t="n"/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inlineStr">
        <is>
          <t>—</t>
        </is>
      </c>
      <c r="B16" s="82" t="inlineStr">
        <is>
          <t>BENCHMARK</t>
        </is>
      </c>
      <c r="C16" s="119" t="inlineStr">
        <is>
          <t>FY2026 FMR — Stockton-Lodi MSA</t>
        </is>
      </c>
      <c r="D16" s="120" t="inlineStr">
        <is>
          <t>N/A</t>
        </is>
      </c>
      <c r="E16" s="120" t="inlineStr">
        <is>
          <t>Stockton</t>
        </is>
      </c>
      <c r="F16" s="120" t="inlineStr">
        <is>
          <t>CA</t>
        </is>
      </c>
      <c r="G16" s="120" t="inlineStr">
        <is>
          <t>N/A</t>
        </is>
      </c>
      <c r="H16" s="120" t="inlineStr">
        <is>
          <t>N/A</t>
        </is>
      </c>
      <c r="I16" s="120" t="inlineStr">
        <is>
          <t>$1,155</t>
        </is>
      </c>
      <c r="J16" s="120" t="inlineStr">
        <is>
          <t>$1,155</t>
        </is>
      </c>
      <c r="K16" s="121" t="inlineStr">
        <is>
          <t>$1,155</t>
        </is>
      </c>
      <c r="L16" s="83" t="inlineStr">
        <is>
          <t>N/A</t>
        </is>
      </c>
      <c r="M16" s="122" t="inlineStr">
        <is>
          <t>$1,580</t>
        </is>
      </c>
      <c r="N16" s="122" t="inlineStr">
        <is>
          <t>$1,580</t>
        </is>
      </c>
      <c r="O16" s="121" t="inlineStr">
        <is>
          <t>$1,580</t>
        </is>
      </c>
      <c r="P16" s="83" t="inlineStr">
        <is>
          <t>N/A</t>
        </is>
      </c>
      <c r="Q16" s="122" t="inlineStr">
        <is>
          <t>N/A</t>
        </is>
      </c>
      <c r="R16" s="122" t="inlineStr">
        <is>
          <t>N/A</t>
        </is>
      </c>
      <c r="S16" s="122" t="inlineStr">
        <is>
          <t>N/A</t>
        </is>
      </c>
      <c r="T16" s="122" t="inlineStr">
        <is>
          <t>N/A</t>
        </is>
      </c>
      <c r="U16" s="122" t="inlineStr">
        <is>
          <t>N/A</t>
        </is>
      </c>
      <c r="V16" s="122" t="inlineStr">
        <is>
          <t>N/A</t>
        </is>
      </c>
      <c r="W16" s="122" t="inlineStr">
        <is>
          <t>N/A</t>
        </is>
      </c>
      <c r="X16" s="122" t="inlineStr">
        <is>
          <t>N/A</t>
        </is>
      </c>
      <c r="Y16" s="84" t="inlineStr">
        <is>
          <t>BENCHMARK</t>
        </is>
      </c>
      <c r="Z16" s="123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124" t="inlineStr">
        <is>
          <t>HUD FMR Database (huduser.gov)</t>
        </is>
      </c>
      <c r="AB16" s="134" t="n"/>
      <c r="AC16" s="136" t="n"/>
      <c r="AD16" s="136" t="n"/>
      <c r="AE16" s="136" t="n"/>
      <c r="AF16" s="136" t="n"/>
      <c r="AG16" s="136" t="n"/>
      <c r="AH16" s="136" t="n"/>
      <c r="AI16" s="136" t="n"/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inlineStr">
        <is>
          <t>—</t>
        </is>
      </c>
      <c r="B17" s="88" t="inlineStr">
        <is>
          <t>BENCHMARK</t>
        </is>
      </c>
      <c r="C17" s="89" t="inlineStr">
        <is>
          <t>Metro Market Avg — Stockton</t>
        </is>
      </c>
      <c r="D17" s="87" t="inlineStr">
        <is>
          <t>N/A</t>
        </is>
      </c>
      <c r="E17" s="87" t="inlineStr">
        <is>
          <t>Stockton</t>
        </is>
      </c>
      <c r="F17" s="87" t="inlineStr">
        <is>
          <t>CA</t>
        </is>
      </c>
      <c r="G17" s="87" t="inlineStr">
        <is>
          <t>N/A</t>
        </is>
      </c>
      <c r="H17" s="87" t="inlineStr">
        <is>
          <t>N/A</t>
        </is>
      </c>
      <c r="I17" s="87" t="inlineStr">
        <is>
          <t>$1,270</t>
        </is>
      </c>
      <c r="J17" s="87" t="inlineStr">
        <is>
          <t>$1,270</t>
        </is>
      </c>
      <c r="K17" s="90" t="inlineStr">
        <is>
          <t>$1,270</t>
        </is>
      </c>
      <c r="L17" s="91" t="inlineStr">
        <is>
          <t>N/A</t>
        </is>
      </c>
      <c r="M17" s="92" t="inlineStr">
        <is>
          <t>$1,738</t>
        </is>
      </c>
      <c r="N17" s="92" t="inlineStr">
        <is>
          <t>$1,738</t>
        </is>
      </c>
      <c r="O17" s="90" t="inlineStr">
        <is>
          <t>$1,738</t>
        </is>
      </c>
      <c r="P17" s="91" t="inlineStr">
        <is>
          <t>N/A</t>
        </is>
      </c>
      <c r="Q17" s="92" t="inlineStr">
        <is>
          <t>N/A</t>
        </is>
      </c>
      <c r="R17" s="92" t="inlineStr">
        <is>
          <t>N/A</t>
        </is>
      </c>
      <c r="S17" s="92" t="inlineStr">
        <is>
          <t>N/A</t>
        </is>
      </c>
      <c r="T17" s="92" t="inlineStr">
        <is>
          <t>N/A</t>
        </is>
      </c>
      <c r="U17" s="92" t="inlineStr">
        <is>
          <t>N/A</t>
        </is>
      </c>
      <c r="V17" s="92" t="inlineStr">
        <is>
          <t>N/A</t>
        </is>
      </c>
      <c r="W17" s="92" t="inlineStr">
        <is>
          <t>N/A</t>
        </is>
      </c>
      <c r="X17" s="92" t="inlineStr">
        <is>
          <t>N/A</t>
        </is>
      </c>
      <c r="Y17" s="93" t="inlineStr">
        <is>
          <t>BENCHMARK</t>
        </is>
      </c>
      <c r="Z17" s="94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92" t="inlineStr">
        <is>
          <t>HUD FMR + Market Estimate</t>
        </is>
      </c>
      <c r="AB17" s="136" t="n"/>
      <c r="AC17" s="136" t="n"/>
      <c r="AD17" s="136" t="n"/>
      <c r="AE17" s="136" t="n"/>
      <c r="AF17" s="136" t="n"/>
      <c r="AG17" s="136" t="n"/>
      <c r="AH17" s="136" t="n"/>
      <c r="AI17" s="136" t="n"/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C19" s="136" t="n"/>
      <c r="AD19" s="136" t="n"/>
      <c r="AE19" s="136" t="n"/>
      <c r="AF19" s="136" t="n"/>
      <c r="AG19" s="136" t="n"/>
      <c r="AH19" s="136" t="n"/>
      <c r="AI19" s="136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Height="1" s="131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Format="1" customHeight="1" s="2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Format="1" customHeight="1" s="2">
      <c r="A25" s="372" t="n"/>
      <c r="B25" s="201" t="inlineStr">
        <is>
          <t>1BD</t>
        </is>
      </c>
      <c r="C25" s="194" t="n"/>
      <c r="D25" s="200" t="n">
        <v>1699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Height="1" s="131">
      <c r="A26" s="372" t="n"/>
      <c r="B26" s="201" t="inlineStr">
        <is>
          <t>2BD</t>
        </is>
      </c>
      <c r="C26" s="194" t="n"/>
      <c r="D26" s="200" t="n">
        <v>1870</v>
      </c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8.1" customHeight="1" s="131">
      <c r="A27" s="369" t="n"/>
      <c r="B27" s="369" t="n"/>
      <c r="C27" s="369" t="n"/>
      <c r="D27" s="369" t="n"/>
      <c r="E27" s="369" t="n"/>
      <c r="F27" s="369" t="n"/>
      <c r="G27" s="369" t="n"/>
      <c r="H27" s="369" t="n"/>
      <c r="I27" s="369" t="n"/>
      <c r="J27" s="369" t="n"/>
      <c r="K27" s="369" t="n"/>
      <c r="L27" s="134" t="n"/>
      <c r="M27" s="134" t="n"/>
      <c r="N27" s="134" t="n"/>
      <c r="O27" s="134" t="n"/>
      <c r="P27" s="134" t="n"/>
      <c r="Q27" s="134" t="n"/>
      <c r="R27" s="134" t="n"/>
      <c r="S27" s="134" t="n"/>
      <c r="T27" s="134" t="n"/>
      <c r="U27" s="134" t="n"/>
      <c r="V27" s="134" t="n"/>
      <c r="W27" s="134" t="n"/>
      <c r="X27" s="134" t="n"/>
      <c r="Y27" s="134" t="n"/>
      <c r="Z27" s="135" t="n"/>
      <c r="AA27" s="134" t="n"/>
      <c r="AB27" s="134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24.75" customFormat="1" customHeight="1" s="2">
      <c r="A28" s="302" t="n"/>
      <c r="B28" s="211" t="inlineStr">
        <is>
          <t>PMTS — Vouchers / FMR / UAP / NET</t>
        </is>
      </c>
      <c r="G28" s="365" t="n"/>
      <c r="H28" s="183" t="n"/>
      <c r="I28" s="183" t="n"/>
      <c r="J28" s="183" t="n"/>
      <c r="K28" s="302" t="n"/>
      <c r="L28" s="302" t="n"/>
      <c r="M28" s="302" t="n"/>
      <c r="N28" s="302" t="n"/>
      <c r="O28" s="302" t="n"/>
      <c r="P28" s="302" t="n"/>
      <c r="Q28" s="302" t="n"/>
      <c r="R28" s="302" t="n"/>
      <c r="S28" s="302" t="n"/>
      <c r="T28" s="302" t="n"/>
      <c r="U28" s="302" t="n"/>
      <c r="V28" s="302" t="n"/>
      <c r="W28" s="302" t="n"/>
      <c r="X28" s="302" t="n"/>
      <c r="Y28" s="302" t="n"/>
      <c r="Z28" s="302" t="n"/>
      <c r="AA28" s="353" t="n"/>
      <c r="AB28" s="302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15.95" customFormat="1" customHeight="1" s="2">
      <c r="A29" s="302" t="n"/>
      <c r="B29" s="226" t="n"/>
      <c r="C29" s="213" t="inlineStr">
        <is>
          <t>MKT</t>
        </is>
      </c>
      <c r="D29" s="213" t="inlineStr">
        <is>
          <t>VCH</t>
        </is>
      </c>
      <c r="E29" s="214" t="inlineStr">
        <is>
          <t>FMR</t>
        </is>
      </c>
      <c r="F29" s="215" t="inlineStr">
        <is>
          <t>UAP</t>
        </is>
      </c>
      <c r="G29" s="216" t="inlineStr">
        <is>
          <t>NET</t>
        </is>
      </c>
      <c r="H29" s="183" t="n"/>
      <c r="I29" s="183" t="n"/>
      <c r="J29" s="183" t="n"/>
      <c r="K29" s="302" t="n"/>
      <c r="L29" s="302" t="n"/>
      <c r="M29" s="302" t="n"/>
      <c r="N29" s="302" t="n"/>
      <c r="O29" s="302" t="n"/>
      <c r="P29" s="302" t="n"/>
      <c r="Q29" s="302" t="n"/>
      <c r="R29" s="302" t="n"/>
      <c r="S29" s="302" t="n"/>
      <c r="T29" s="302" t="n"/>
      <c r="U29" s="302" t="n"/>
      <c r="V29" s="302" t="n"/>
      <c r="W29" s="302" t="n"/>
      <c r="X29" s="302" t="n"/>
      <c r="Y29" s="302" t="n"/>
      <c r="Z29" s="302" t="n"/>
      <c r="AA29" s="353" t="n"/>
      <c r="AB29" s="302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24.75" customFormat="1" customHeight="1" s="2">
      <c r="A30" s="372" t="n"/>
      <c r="B30" s="217" t="inlineStr">
        <is>
          <t>1BD</t>
        </is>
      </c>
      <c r="C30" s="197" t="n">
        <v>0</v>
      </c>
      <c r="D30" s="197" t="n">
        <v>1397</v>
      </c>
      <c r="E30" s="198" t="n">
        <v>1330</v>
      </c>
      <c r="F30" s="199" t="n">
        <v>148</v>
      </c>
      <c r="G30" s="218" t="n">
        <v>1182</v>
      </c>
      <c r="H30" s="183" t="n"/>
      <c r="I30" s="183" t="n"/>
      <c r="J30" s="183" t="n"/>
      <c r="K30" s="302" t="n"/>
      <c r="L30" s="302" t="n"/>
      <c r="M30" s="302" t="n"/>
      <c r="N30" s="302" t="n"/>
      <c r="O30" s="343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24.75" customFormat="1" customHeight="1" s="2">
      <c r="A31" s="372" t="n"/>
      <c r="B31" s="217" t="inlineStr">
        <is>
          <t>2BD</t>
        </is>
      </c>
      <c r="C31" s="197" t="n">
        <v>0</v>
      </c>
      <c r="D31" s="197" t="n">
        <v>1789</v>
      </c>
      <c r="E31" s="198" t="n">
        <v>1700</v>
      </c>
      <c r="F31" s="199" t="n">
        <v>195</v>
      </c>
      <c r="G31" s="218" t="n">
        <v>1505</v>
      </c>
      <c r="H31" s="183" t="n"/>
      <c r="I31" s="183" t="n"/>
      <c r="J31" s="183" t="n"/>
      <c r="K31" s="302" t="n"/>
      <c r="L31" s="302" t="n"/>
      <c r="M31" s="302" t="n"/>
      <c r="N31" s="302" t="n"/>
      <c r="O31" s="343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8.1" customHeight="1" s="131">
      <c r="A32" s="369" t="n"/>
      <c r="B32" s="369" t="n"/>
      <c r="C32" s="381" t="n"/>
      <c r="D32" s="381" t="n"/>
      <c r="E32" s="381" t="n"/>
      <c r="F32" s="381" t="n"/>
      <c r="G32" s="369" t="n"/>
      <c r="H32" s="369" t="n"/>
      <c r="I32" s="369" t="n"/>
      <c r="J32" s="369" t="n"/>
      <c r="K32" s="369" t="n"/>
      <c r="L32" s="134" t="n"/>
      <c r="M32" s="134" t="n"/>
      <c r="N32" s="134" t="n"/>
      <c r="O32" s="134" t="n"/>
      <c r="P32" s="134" t="n"/>
      <c r="Q32" s="134" t="n"/>
      <c r="R32" s="134" t="n"/>
      <c r="S32" s="134" t="n"/>
      <c r="T32" s="134" t="n"/>
      <c r="U32" s="134" t="n"/>
      <c r="V32" s="134" t="n"/>
      <c r="W32" s="134" t="n"/>
      <c r="X32" s="134" t="n"/>
      <c r="Y32" s="134" t="n"/>
      <c r="Z32" s="135" t="n"/>
      <c r="AA32" s="134" t="n"/>
      <c r="AB32" s="134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24.75" customHeight="1" s="131">
      <c r="A33" s="302" t="n"/>
      <c r="B33" s="366" t="inlineStr">
        <is>
          <t>LIHTC, UAP, NET</t>
        </is>
      </c>
      <c r="C33" s="358" t="n"/>
      <c r="D33" s="358" t="n"/>
      <c r="E33" s="358" t="n"/>
      <c r="F33" s="358" t="n"/>
      <c r="G33" s="359" t="n"/>
      <c r="H33" s="183" t="n"/>
      <c r="I33" s="183" t="n"/>
      <c r="J33" s="183" t="n"/>
      <c r="K33" s="302" t="n"/>
      <c r="L33" s="302" t="n"/>
      <c r="M33" s="302" t="n"/>
      <c r="N33" s="302" t="n"/>
      <c r="O33" s="302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16.5" customFormat="1" customHeight="1" s="2">
      <c r="A34" s="372" t="n"/>
      <c r="B34" s="226" t="n"/>
      <c r="C34" s="228" t="inlineStr">
        <is>
          <t>LIHTC/MKT</t>
        </is>
      </c>
      <c r="D34" s="228" t="inlineStr">
        <is>
          <t>60%</t>
        </is>
      </c>
      <c r="E34" s="215" t="inlineStr">
        <is>
          <t>UAP</t>
        </is>
      </c>
      <c r="F34" s="216" t="inlineStr">
        <is>
          <t>NET</t>
        </is>
      </c>
      <c r="G34" s="183" t="n"/>
      <c r="H34" s="183" t="n"/>
      <c r="I34" s="183" t="n"/>
      <c r="J34" s="183" t="n"/>
      <c r="K34" s="302" t="n"/>
      <c r="L34" s="302" t="n"/>
      <c r="M34" s="302" t="n"/>
      <c r="N34" s="302" t="n"/>
      <c r="O34" s="343" t="n"/>
      <c r="P34" s="302" t="n"/>
      <c r="Q34" s="302" t="n"/>
      <c r="R34" s="302" t="n"/>
      <c r="S34" s="302" t="n"/>
      <c r="T34" s="302" t="n"/>
      <c r="U34" s="302" t="n"/>
      <c r="V34" s="302" t="n"/>
      <c r="W34" s="302" t="n"/>
      <c r="X34" s="302" t="n"/>
      <c r="Y34" s="302" t="n"/>
      <c r="Z34" s="302" t="n"/>
      <c r="AA34" s="353" t="n"/>
      <c r="AB34" s="302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24.75" customFormat="1" customHeight="1" s="2">
      <c r="A35" s="372" t="n"/>
      <c r="B35" s="224" t="inlineStr">
        <is>
          <t>1BD</t>
        </is>
      </c>
      <c r="C35" s="225" t="n">
        <v>1177</v>
      </c>
      <c r="D35" s="225" t="n">
        <v>1011</v>
      </c>
      <c r="E35" s="225" t="n">
        <v>148</v>
      </c>
      <c r="F35" s="223" t="n">
        <v>863</v>
      </c>
      <c r="G35" s="183" t="n"/>
      <c r="H35" s="183" t="n"/>
      <c r="I35" s="183" t="n"/>
      <c r="J35" s="183" t="n"/>
      <c r="K35" s="302" t="n"/>
      <c r="L35" s="302" t="n"/>
      <c r="M35" s="302" t="n"/>
      <c r="N35" s="302" t="n"/>
      <c r="O35" s="343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24.75" customFormat="1" customHeight="1" s="2">
      <c r="A36" s="369" t="n"/>
      <c r="B36" s="224" t="inlineStr">
        <is>
          <t>2BD</t>
        </is>
      </c>
      <c r="C36" s="225" t="n">
        <v>1413</v>
      </c>
      <c r="D36" s="225" t="n">
        <v>1198</v>
      </c>
      <c r="E36" s="225" t="n">
        <v>195</v>
      </c>
      <c r="F36" s="223" t="n">
        <v>1003</v>
      </c>
      <c r="G36" s="183" t="n"/>
      <c r="H36" s="183" t="n"/>
      <c r="I36" s="183" t="n"/>
      <c r="J36" s="183" t="n"/>
      <c r="K36" s="302" t="n"/>
      <c r="L36" s="302" t="n"/>
      <c r="M36" s="302" t="n"/>
      <c r="N36" s="302" t="n"/>
      <c r="O36" s="343" t="n"/>
      <c r="P36" s="302" t="n"/>
      <c r="Q36" s="302" t="n"/>
      <c r="R36" s="302" t="n"/>
      <c r="S36" s="302" t="n"/>
      <c r="T36" s="302" t="n"/>
      <c r="U36" s="302" t="n"/>
      <c r="V36" s="302" t="n"/>
      <c r="W36" s="302" t="n"/>
      <c r="X36" s="302" t="n"/>
      <c r="Y36" s="302" t="n"/>
      <c r="Z36" s="302" t="n"/>
      <c r="AA36" s="353" t="n"/>
      <c r="AB36" s="302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18" customFormat="1" customHeight="1" s="2">
      <c r="A37" s="369" t="n"/>
      <c r="B37" s="381" t="n"/>
      <c r="C37" s="381" t="n"/>
      <c r="D37" s="381" t="n"/>
      <c r="E37" s="381" t="n"/>
      <c r="F37" s="369" t="n"/>
      <c r="G37" s="369" t="n"/>
      <c r="H37" s="369" t="n"/>
      <c r="I37" s="369" t="n"/>
      <c r="J37" s="369" t="n"/>
      <c r="K37" s="369" t="n"/>
      <c r="L37" s="134" t="n"/>
      <c r="M37" s="134" t="n"/>
      <c r="N37" s="134" t="n"/>
      <c r="O37" s="134" t="n"/>
      <c r="P37" s="134" t="n"/>
      <c r="Q37" s="134" t="n"/>
      <c r="R37" s="134" t="n"/>
      <c r="S37" s="134" t="n"/>
      <c r="T37" s="134" t="n"/>
      <c r="U37" s="134" t="n"/>
      <c r="V37" s="134" t="n"/>
      <c r="W37" s="134" t="n"/>
      <c r="X37" s="134" t="n"/>
      <c r="Y37" s="134" t="n"/>
      <c r="Z37" s="135" t="n"/>
      <c r="AA37" s="134" t="n"/>
      <c r="AB37" s="134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18" customHeight="1" s="131">
      <c r="A38" s="372" t="n"/>
      <c r="B38" s="372" t="n"/>
      <c r="C38" s="444" t="n"/>
      <c r="D38" s="369" t="n"/>
      <c r="E38" s="369" t="n"/>
      <c r="F38" s="369" t="n"/>
      <c r="G38" s="369" t="n"/>
      <c r="H38" s="369" t="n"/>
      <c r="I38" s="369" t="n"/>
      <c r="J38" s="369" t="n"/>
      <c r="K38" s="369" t="n"/>
      <c r="L38" s="134" t="n"/>
      <c r="M38" s="134" t="n"/>
      <c r="N38" s="134" t="n"/>
      <c r="O38" s="134" t="n"/>
      <c r="P38" s="134" t="n"/>
      <c r="Q38" s="134" t="n"/>
      <c r="R38" s="134" t="n"/>
      <c r="S38" s="134" t="n"/>
      <c r="T38" s="134" t="n"/>
      <c r="U38" s="134" t="n"/>
      <c r="V38" s="134" t="n"/>
      <c r="W38" s="134" t="n"/>
      <c r="X38" s="134" t="n"/>
      <c r="Y38" s="134" t="n"/>
      <c r="Z38" s="135" t="n"/>
      <c r="AA38" s="134" t="n"/>
      <c r="AB38" s="134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24.75" customHeight="1" s="131">
      <c r="A39" s="302" t="n"/>
      <c r="B39" s="207" t="inlineStr">
        <is>
          <t>HAP, CoStar, NET</t>
        </is>
      </c>
      <c r="H39" s="183" t="n"/>
      <c r="I39" s="183" t="n"/>
      <c r="J39" s="183" t="n"/>
      <c r="K39" s="302" t="n"/>
      <c r="L39" s="302" t="n"/>
      <c r="M39" s="302" t="n"/>
      <c r="N39" s="302" t="n"/>
      <c r="O39" s="302" t="n"/>
      <c r="P39" s="302" t="n"/>
      <c r="Q39" s="302" t="n"/>
      <c r="R39" s="302" t="n"/>
      <c r="S39" s="302" t="n"/>
      <c r="T39" s="302" t="n"/>
      <c r="U39" s="302" t="n"/>
      <c r="V39" s="302" t="n"/>
      <c r="W39" s="302" t="n"/>
      <c r="X39" s="302" t="n"/>
      <c r="Y39" s="302" t="n"/>
      <c r="Z39" s="302" t="n"/>
      <c r="AA39" s="353" t="n"/>
      <c r="AB39" s="302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ht="15.95" customHeight="1" s="131">
      <c r="A40" s="302" t="n"/>
      <c r="B40" s="227" t="n"/>
      <c r="C40" s="208" t="inlineStr">
        <is>
          <t>HAP</t>
        </is>
      </c>
      <c r="D40" s="209" t="inlineStr">
        <is>
          <t>CoStar</t>
        </is>
      </c>
      <c r="E40" s="302" t="n"/>
      <c r="F40" s="302" t="n"/>
      <c r="G40" s="302" t="n"/>
      <c r="H40" s="183" t="n"/>
      <c r="I40" s="183" t="n"/>
      <c r="J40" s="183" t="n"/>
      <c r="K40" s="302" t="n"/>
      <c r="L40" s="302" t="n"/>
      <c r="M40" s="302" t="n"/>
      <c r="N40" s="302" t="n"/>
      <c r="O40" s="302" t="n"/>
      <c r="P40" s="302" t="n"/>
      <c r="Q40" s="302" t="n"/>
      <c r="R40" s="302" t="n"/>
      <c r="S40" s="302" t="n"/>
      <c r="T40" s="302" t="n"/>
      <c r="U40" s="302" t="n"/>
      <c r="V40" s="302" t="n"/>
      <c r="W40" s="302" t="n"/>
      <c r="X40" s="302" t="n"/>
      <c r="Y40" s="302" t="n"/>
      <c r="Z40" s="302" t="n"/>
      <c r="AA40" s="353" t="n"/>
      <c r="AB40" s="302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ht="24.75" customHeight="1" s="131">
      <c r="A41" s="302" t="n"/>
      <c r="B41" s="196" t="inlineStr">
        <is>
          <t>1BD</t>
        </is>
      </c>
      <c r="C41" s="199" t="n">
        <v>0</v>
      </c>
      <c r="D41" s="198" t="n">
        <v>1296</v>
      </c>
      <c r="E41" s="183" t="n"/>
      <c r="F41" s="183" t="n"/>
      <c r="G41" s="183" t="n"/>
      <c r="H41" s="183" t="n"/>
      <c r="I41" s="183" t="n"/>
      <c r="J41" s="183" t="n"/>
      <c r="K41" s="302" t="n"/>
      <c r="L41" s="302" t="n"/>
      <c r="M41" s="302" t="n"/>
      <c r="N41" s="302" t="n"/>
      <c r="O41" s="302" t="n"/>
      <c r="P41" s="302" t="n"/>
      <c r="Q41" s="302" t="n"/>
      <c r="R41" s="302" t="n"/>
      <c r="S41" s="302" t="n"/>
      <c r="T41" s="302" t="n"/>
      <c r="U41" s="302" t="n"/>
      <c r="V41" s="302" t="n"/>
      <c r="W41" s="302" t="n"/>
      <c r="X41" s="302" t="n"/>
      <c r="Y41" s="302" t="n"/>
      <c r="Z41" s="302" t="n"/>
      <c r="AA41" s="353" t="n"/>
      <c r="AB41" s="302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ht="24.75" customHeight="1" s="131">
      <c r="A42" s="302" t="n"/>
      <c r="B42" s="196" t="inlineStr">
        <is>
          <t>2BD</t>
        </is>
      </c>
      <c r="C42" s="199" t="n">
        <v>0</v>
      </c>
      <c r="D42" s="198" t="n">
        <v>1618</v>
      </c>
      <c r="E42" s="183" t="n"/>
      <c r="F42" s="183" t="n"/>
      <c r="G42" s="183" t="n"/>
      <c r="H42" s="183" t="n"/>
      <c r="I42" s="183" t="n"/>
      <c r="J42" s="183" t="n"/>
      <c r="K42" s="302" t="n"/>
      <c r="L42" s="302" t="n"/>
      <c r="M42" s="302" t="n"/>
      <c r="N42" s="302" t="n"/>
      <c r="O42" s="302" t="n"/>
      <c r="P42" s="302" t="n"/>
      <c r="Q42" s="302" t="n"/>
      <c r="R42" s="302" t="n"/>
      <c r="S42" s="302" t="n"/>
      <c r="T42" s="302" t="n"/>
      <c r="U42" s="302" t="n"/>
      <c r="V42" s="302" t="n"/>
      <c r="W42" s="302" t="n"/>
      <c r="X42" s="302" t="n"/>
      <c r="Y42" s="302" t="n"/>
      <c r="Z42" s="302" t="n"/>
      <c r="AA42" s="353" t="n"/>
      <c r="AB42" s="302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s="131">
      <c r="A43" s="369" t="n"/>
      <c r="B43" s="369" t="n"/>
      <c r="C43" s="369" t="n"/>
      <c r="D43" s="369" t="n"/>
      <c r="E43" s="369" t="n"/>
      <c r="F43" s="369" t="n"/>
      <c r="G43" s="369" t="n"/>
      <c r="H43" s="369" t="n"/>
      <c r="I43" s="369" t="n"/>
      <c r="J43" s="369" t="n"/>
      <c r="K43" s="369" t="n"/>
      <c r="L43" s="136" t="n"/>
      <c r="M43" s="136" t="n"/>
      <c r="N43" s="136" t="n"/>
      <c r="O43" s="136" t="n"/>
      <c r="P43" s="136" t="n"/>
      <c r="Q43" s="136" t="n"/>
      <c r="R43" s="136" t="n"/>
      <c r="S43" s="136" t="n"/>
      <c r="T43" s="136" t="n"/>
      <c r="U43" s="136" t="n"/>
      <c r="V43" s="136" t="n"/>
      <c r="W43" s="136" t="n"/>
      <c r="X43" s="136" t="n"/>
      <c r="Y43" s="136" t="n"/>
      <c r="Z43" s="136" t="n"/>
      <c r="AA43" s="136" t="n"/>
      <c r="AB43" s="136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s="131">
      <c r="A44" s="369" t="n"/>
      <c r="B44" s="369" t="n"/>
      <c r="C44" s="369" t="n"/>
      <c r="D44" s="369" t="n"/>
      <c r="E44" s="369" t="n"/>
      <c r="F44" s="369" t="n"/>
      <c r="G44" s="369" t="n"/>
      <c r="H44" s="369" t="n"/>
      <c r="I44" s="369" t="n"/>
      <c r="J44" s="369" t="n"/>
      <c r="K44" s="369" t="n"/>
      <c r="L44" s="136" t="n"/>
      <c r="M44" s="136" t="n"/>
      <c r="N44" s="136" t="n"/>
      <c r="O44" s="136" t="n"/>
      <c r="P44" s="136" t="n"/>
      <c r="Q44" s="136" t="n"/>
      <c r="R44" s="136" t="n"/>
      <c r="S44" s="136" t="n"/>
      <c r="T44" s="136" t="n"/>
      <c r="U44" s="136" t="n"/>
      <c r="V44" s="136" t="n"/>
      <c r="W44" s="136" t="n"/>
      <c r="X44" s="136" t="n"/>
      <c r="Y44" s="136" t="n"/>
      <c r="Z44" s="136" t="n"/>
      <c r="AA44" s="136" t="n"/>
      <c r="AB44" s="136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s="131">
      <c r="A45" s="369" t="n"/>
      <c r="B45" s="369" t="n"/>
      <c r="C45" s="369" t="n"/>
      <c r="D45" s="369" t="n"/>
      <c r="E45" s="369" t="n"/>
      <c r="F45" s="369" t="n"/>
      <c r="G45" s="369" t="n"/>
      <c r="H45" s="369" t="n"/>
      <c r="I45" s="369" t="n"/>
      <c r="J45" s="369" t="n"/>
      <c r="K45" s="369" t="n"/>
      <c r="L45" s="136" t="n"/>
      <c r="M45" s="136" t="n"/>
      <c r="N45" s="136" t="n"/>
      <c r="O45" s="136" t="n"/>
      <c r="P45" s="136" t="n"/>
      <c r="Q45" s="136" t="n"/>
      <c r="R45" s="136" t="n"/>
      <c r="S45" s="136" t="n"/>
      <c r="T45" s="136" t="n"/>
      <c r="U45" s="136" t="n"/>
      <c r="V45" s="136" t="n"/>
      <c r="W45" s="136" t="n"/>
      <c r="X45" s="136" t="n"/>
      <c r="Y45" s="136" t="n"/>
      <c r="Z45" s="136" t="n"/>
      <c r="AA45" s="136" t="n"/>
      <c r="AB45" s="136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s="131">
      <c r="A46" s="369" t="n"/>
      <c r="B46" s="369" t="n"/>
      <c r="C46" s="369" t="n"/>
      <c r="D46" s="369" t="n"/>
      <c r="E46" s="369" t="n"/>
      <c r="F46" s="369" t="n"/>
      <c r="G46" s="369" t="n"/>
      <c r="H46" s="369" t="n"/>
      <c r="I46" s="369" t="n"/>
      <c r="J46" s="369" t="n"/>
      <c r="K46" s="369" t="n"/>
      <c r="L46" s="136" t="n"/>
      <c r="M46" s="136" t="n"/>
      <c r="N46" s="136" t="n"/>
      <c r="O46" s="136" t="n"/>
      <c r="P46" s="136" t="n"/>
      <c r="Q46" s="136" t="n"/>
      <c r="R46" s="136" t="n"/>
      <c r="S46" s="136" t="n"/>
      <c r="T46" s="136" t="n"/>
      <c r="U46" s="136" t="n"/>
      <c r="V46" s="136" t="n"/>
      <c r="W46" s="136" t="n"/>
      <c r="X46" s="136" t="n"/>
      <c r="Y46" s="136" t="n"/>
      <c r="Z46" s="136" t="n"/>
      <c r="AA46" s="136" t="n"/>
      <c r="AB46" s="136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s="131">
      <c r="A47" s="369" t="n"/>
      <c r="B47" s="369" t="n"/>
      <c r="C47" s="369" t="n"/>
      <c r="D47" s="369" t="n"/>
      <c r="E47" s="369" t="n"/>
      <c r="F47" s="369" t="n"/>
      <c r="G47" s="369" t="n"/>
      <c r="H47" s="369" t="n"/>
      <c r="I47" s="369" t="n"/>
      <c r="J47" s="369" t="n"/>
      <c r="K47" s="369" t="n"/>
      <c r="L47" s="136" t="n"/>
      <c r="M47" s="136" t="n"/>
      <c r="N47" s="136" t="n"/>
      <c r="O47" s="136" t="n"/>
      <c r="P47" s="136" t="n"/>
      <c r="Q47" s="136" t="n"/>
      <c r="R47" s="136" t="n"/>
      <c r="S47" s="136" t="n"/>
      <c r="T47" s="136" t="n"/>
      <c r="U47" s="136" t="n"/>
      <c r="V47" s="136" t="n"/>
      <c r="W47" s="136" t="n"/>
      <c r="X47" s="136" t="n"/>
      <c r="Y47" s="136" t="n"/>
      <c r="Z47" s="136" t="n"/>
      <c r="AA47" s="136" t="n"/>
      <c r="AB47" s="136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s="131">
      <c r="A48" s="369" t="n"/>
      <c r="B48" s="369" t="n"/>
      <c r="C48" s="369" t="n"/>
      <c r="D48" s="369" t="n"/>
      <c r="E48" s="369" t="n"/>
      <c r="F48" s="369" t="n"/>
      <c r="G48" s="369" t="n"/>
      <c r="H48" s="369" t="n"/>
      <c r="I48" s="369" t="n"/>
      <c r="J48" s="369" t="n"/>
      <c r="K48" s="369" t="n"/>
      <c r="L48" s="136" t="n"/>
      <c r="M48" s="136" t="n"/>
      <c r="N48" s="136" t="n"/>
      <c r="O48" s="136" t="n"/>
      <c r="P48" s="136" t="n"/>
      <c r="Q48" s="136" t="n"/>
      <c r="R48" s="136" t="n"/>
      <c r="S48" s="136" t="n"/>
      <c r="T48" s="136" t="n"/>
      <c r="U48" s="136" t="n"/>
      <c r="V48" s="136" t="n"/>
      <c r="W48" s="136" t="n"/>
      <c r="X48" s="136" t="n"/>
      <c r="Y48" s="136" t="n"/>
      <c r="Z48" s="136" t="n"/>
      <c r="AA48" s="136" t="n"/>
      <c r="AB48" s="136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s="131">
      <c r="A49" s="369" t="n"/>
      <c r="B49" s="369" t="n"/>
      <c r="C49" s="369" t="n"/>
      <c r="D49" s="369" t="n"/>
      <c r="E49" s="369" t="n"/>
      <c r="F49" s="369" t="n"/>
      <c r="G49" s="369" t="n"/>
      <c r="H49" s="369" t="n"/>
      <c r="I49" s="369" t="n"/>
      <c r="J49" s="369" t="n"/>
      <c r="K49" s="369" t="n"/>
      <c r="L49" s="136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6" t="n"/>
      <c r="Y49" s="136" t="n"/>
      <c r="Z49" s="136" t="n"/>
      <c r="AA49" s="136" t="n"/>
      <c r="AB49" s="136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s="131">
      <c r="A50" s="369" t="n"/>
      <c r="B50" s="369" t="n"/>
      <c r="C50" s="369" t="n"/>
      <c r="D50" s="369" t="n"/>
      <c r="E50" s="369" t="n"/>
      <c r="F50" s="369" t="n"/>
      <c r="G50" s="369" t="n"/>
      <c r="H50" s="369" t="n"/>
      <c r="I50" s="369" t="n"/>
      <c r="J50" s="369" t="n"/>
      <c r="K50" s="369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</sheetData>
  <mergeCells count="9">
    <mergeCell ref="B4:AB4"/>
    <mergeCell ref="B39:G39"/>
    <mergeCell ref="B28:G28"/>
    <mergeCell ref="B22:G22"/>
    <mergeCell ref="B23:G23"/>
    <mergeCell ref="B20:I20"/>
    <mergeCell ref="B2:AB2"/>
    <mergeCell ref="B3:AB3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W50"/>
  <sheetViews>
    <sheetView workbookViewId="0">
      <pane ySplit="1" topLeftCell="A14" activePane="bottomLeft" state="frozen"/>
      <selection pane="bottomLeft" activeCell="C26" sqref="C26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GRANITE RIDGE | GREEN = Affordable Comps | BLUE = Market Rate Comps</t>
        </is>
      </c>
      <c r="B3" s="363" t="n"/>
      <c r="AB3" s="363" t="n"/>
      <c r="AC3" s="136" t="n"/>
      <c r="AD3" s="136" t="n"/>
      <c r="AE3" s="136" t="n"/>
      <c r="AF3" s="136" t="n"/>
      <c r="AG3" s="136" t="n"/>
      <c r="AH3" s="136" t="n"/>
      <c r="AI3" s="136" t="n"/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Granite Ridge | 246 E Iris Ave, Stockton, CA 95207 | 80 units | Program: LIHTC | Bedroom Mix: 1BR / 2BR | County AMI: $104,600 | FMR Area: Stockton-Lodi MSA</t>
        </is>
      </c>
      <c r="B4" s="363" t="n"/>
      <c r="AB4" s="363" t="n"/>
      <c r="AC4" s="136" t="n"/>
      <c r="AD4" s="136" t="n"/>
      <c r="AE4" s="136" t="n"/>
      <c r="AF4" s="136" t="n"/>
      <c r="AG4" s="136" t="n"/>
      <c r="AH4" s="136" t="n"/>
      <c r="AI4" s="136" t="n"/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B5" s="341" t="n"/>
      <c r="AC5" s="136" t="n"/>
      <c r="AD5" s="136" t="n"/>
      <c r="AE5" s="136" t="n"/>
      <c r="AF5" s="136" t="n"/>
      <c r="AG5" s="136" t="n"/>
      <c r="AH5" s="136" t="n"/>
      <c r="AI5" s="136" t="n"/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1BD 50% AMI ($)</t>
        </is>
      </c>
      <c r="J6" s="280" t="inlineStr">
        <is>
          <t>1BD 60% AMI ($)</t>
        </is>
      </c>
      <c r="K6" s="280" t="inlineStr">
        <is>
          <t>1BR FMR ($)</t>
        </is>
      </c>
      <c r="L6" s="335" t="inlineStr">
        <is>
          <t>1BR Actual ($)</t>
        </is>
      </c>
      <c r="M6" s="281" t="inlineStr">
        <is>
          <t>2BD 50% AMI ($)</t>
        </is>
      </c>
      <c r="N6" s="280" t="inlineStr">
        <is>
          <t>2BD 60% AMI ($)</t>
        </is>
      </c>
      <c r="O6" s="280" t="inlineStr">
        <is>
          <t>2BR FMR ($)</t>
        </is>
      </c>
      <c r="P6" s="335" t="inlineStr">
        <is>
          <t>2BR Actual ($)</t>
        </is>
      </c>
      <c r="Q6" s="281" t="inlineStr">
        <is>
          <t># Units</t>
        </is>
      </c>
      <c r="R6" s="280" t="inlineStr">
        <is>
          <t>Year Built</t>
        </is>
      </c>
      <c r="S6" s="280" t="inlineStr">
        <is>
          <t>Yr Diff</t>
        </is>
      </c>
      <c r="T6" s="339" t="inlineStr">
        <is>
          <t>Utilities Incl.</t>
        </is>
      </c>
      <c r="U6" s="339" t="inlineStr">
        <is>
          <t>Pet Friendly</t>
        </is>
      </c>
      <c r="V6" s="339" t="inlineStr">
        <is>
          <t>Gated</t>
        </is>
      </c>
      <c r="W6" s="339" t="inlineStr">
        <is>
          <t>Pool</t>
        </is>
      </c>
      <c r="X6" s="339" t="inlineStr">
        <is>
          <t>W/D In-Unit</t>
        </is>
      </c>
      <c r="Y6" s="339" t="inlineStr">
        <is>
          <t>Competition Level</t>
        </is>
      </c>
      <c r="Z6" s="336" t="inlineStr">
        <is>
          <t>Why Competitive</t>
        </is>
      </c>
      <c r="AA6" s="340" t="inlineStr">
        <is>
          <t>Data Source</t>
        </is>
      </c>
      <c r="AB6" s="342" t="n"/>
      <c r="AC6" s="136" t="n"/>
      <c r="AD6" s="136" t="n"/>
      <c r="AE6" s="136" t="n"/>
      <c r="AF6" s="136" t="n"/>
      <c r="AG6" s="136" t="n"/>
      <c r="AH6" s="136" t="n"/>
      <c r="AI6" s="136" t="n"/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Granite Ridge (SUBJECT)</t>
        </is>
      </c>
      <c r="D7" s="174" t="inlineStr">
        <is>
          <t>246 E Iris Ave</t>
        </is>
      </c>
      <c r="E7" s="174" t="inlineStr">
        <is>
          <t>Stockton</t>
        </is>
      </c>
      <c r="F7" s="174" t="inlineStr">
        <is>
          <t>CA</t>
        </is>
      </c>
      <c r="G7" s="174" t="inlineStr">
        <is>
          <t>95207</t>
        </is>
      </c>
      <c r="H7" s="174" t="inlineStr">
        <is>
          <t>0.0 mi</t>
        </is>
      </c>
      <c r="I7" s="174" t="inlineStr">
        <is>
          <t>$3,270</t>
        </is>
      </c>
      <c r="J7" s="174" t="inlineStr">
        <is>
          <t>$3,925</t>
        </is>
      </c>
      <c r="K7" s="174" t="inlineStr">
        <is>
          <t>$1,155</t>
        </is>
      </c>
      <c r="L7" s="368">
        <f>B26</f>
        <v/>
      </c>
      <c r="M7" s="174" t="inlineStr">
        <is>
          <t>$3,925</t>
        </is>
      </c>
      <c r="N7" s="174" t="inlineStr">
        <is>
          <t>$4,710</t>
        </is>
      </c>
      <c r="O7" s="174" t="inlineStr">
        <is>
          <t>$1,580</t>
        </is>
      </c>
      <c r="P7" s="368">
        <f>B27</f>
        <v/>
      </c>
      <c r="Q7" s="174" t="inlineStr">
        <is>
          <t>80</t>
        </is>
      </c>
      <c r="R7" s="174" t="inlineStr">
        <is>
          <t>1998</t>
        </is>
      </c>
      <c r="S7" s="174" t="inlineStr">
        <is>
          <t>0</t>
        </is>
      </c>
      <c r="T7" s="174" t="inlineStr">
        <is>
          <t>No</t>
        </is>
      </c>
      <c r="U7" s="174" t="inlineStr">
        <is>
          <t>No</t>
        </is>
      </c>
      <c r="V7" s="174" t="inlineStr">
        <is>
          <t>Yes</t>
        </is>
      </c>
      <c r="W7" s="174" t="inlineStr">
        <is>
          <t>Yes</t>
        </is>
      </c>
      <c r="X7" s="174" t="inlineStr">
        <is>
          <t>No</t>
        </is>
      </c>
      <c r="Y7" s="42" t="inlineStr">
        <is>
          <t>SUBJECT</t>
        </is>
      </c>
      <c r="Z7" s="55" t="inlineStr">
        <is>
          <t>80 units | LIHTC property. Year built: 1998. Subject property for market context.</t>
        </is>
      </c>
      <c r="AA7" s="40" t="inlineStr">
        <is>
          <t>Apartment Corp Records</t>
        </is>
      </c>
      <c r="AB7" s="136" t="n"/>
      <c r="AC7" s="136" t="n"/>
      <c r="AD7" s="136" t="n"/>
      <c r="AE7" s="136" t="n"/>
      <c r="AF7" s="136" t="n"/>
      <c r="AG7" s="136" t="n"/>
      <c r="AH7" s="136" t="n"/>
      <c r="AI7" s="136" t="n"/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Charleston Place Apts</t>
        </is>
      </c>
      <c r="D8" s="59" t="inlineStr">
        <is>
          <t>1515 E Bianchi Rd</t>
        </is>
      </c>
      <c r="E8" s="59" t="inlineStr">
        <is>
          <t>Stockton</t>
        </is>
      </c>
      <c r="F8" s="59" t="inlineStr">
        <is>
          <t>CA</t>
        </is>
      </c>
      <c r="G8" s="59" t="inlineStr">
        <is>
          <t>95210</t>
        </is>
      </c>
      <c r="H8" s="59" t="inlineStr">
        <is>
          <t>2.8 mi</t>
        </is>
      </c>
      <c r="I8" s="59" t="inlineStr">
        <is>
          <t>$3,270</t>
        </is>
      </c>
      <c r="J8" s="59" t="inlineStr">
        <is>
          <t>$3,925</t>
        </is>
      </c>
      <c r="K8" s="41" t="inlineStr">
        <is>
          <t>$1,155</t>
        </is>
      </c>
      <c r="L8" s="53" t="inlineStr">
        <is>
          <t>Not Listed</t>
        </is>
      </c>
      <c r="M8" s="43" t="inlineStr">
        <is>
          <t>$3,925</t>
        </is>
      </c>
      <c r="N8" s="43" t="inlineStr">
        <is>
          <t>$4,710</t>
        </is>
      </c>
      <c r="O8" s="41" t="inlineStr">
        <is>
          <t>$1,580</t>
        </is>
      </c>
      <c r="P8" s="53" t="inlineStr">
        <is>
          <t>$873</t>
        </is>
      </c>
      <c r="Q8" s="43" t="inlineStr">
        <is>
          <t>82</t>
        </is>
      </c>
      <c r="R8" s="43" t="inlineStr">
        <is>
          <t>1997</t>
        </is>
      </c>
      <c r="S8" s="43" t="inlineStr">
        <is>
          <t>1</t>
        </is>
      </c>
      <c r="T8" s="43" t="inlineStr">
        <is>
          <t>Yes</t>
        </is>
      </c>
      <c r="U8" s="43" t="inlineStr">
        <is>
          <t>No</t>
        </is>
      </c>
      <c r="V8" s="43" t="inlineStr">
        <is>
          <t>No</t>
        </is>
      </c>
      <c r="W8" s="43" t="inlineStr">
        <is>
          <t>No</t>
        </is>
      </c>
      <c r="X8" s="43" t="inlineStr">
        <is>
          <t>No</t>
        </is>
      </c>
      <c r="Y8" s="44" t="inlineStr">
        <is>
          <t>HIGH</t>
        </is>
      </c>
      <c r="Z8" s="56" t="inlineStr">
        <is>
          <t>Affordable Comp #1: LIHTC property, 1997 vintage (1 yr diff), 82 units, 2.8 mi from subject. Same income-eligible renter pool.</t>
        </is>
      </c>
      <c r="AA8" s="43" t="inlineStr">
        <is>
          <t>HUD LIHTC Database (huduser.gov)</t>
        </is>
      </c>
      <c r="AB8" s="136" t="n"/>
      <c r="AC8" s="136" t="n"/>
      <c r="AD8" s="136" t="n"/>
      <c r="AE8" s="136" t="n"/>
      <c r="AF8" s="136" t="n"/>
      <c r="AG8" s="136" t="n"/>
      <c r="AH8" s="136" t="n"/>
      <c r="AI8" s="136" t="n"/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Lodi Hotel</t>
        </is>
      </c>
      <c r="D9" s="125" t="inlineStr">
        <is>
          <t>7 S School St</t>
        </is>
      </c>
      <c r="E9" s="125" t="inlineStr">
        <is>
          <t>Lodi</t>
        </is>
      </c>
      <c r="F9" s="125" t="inlineStr">
        <is>
          <t>CA</t>
        </is>
      </c>
      <c r="G9" s="125" t="inlineStr">
        <is>
          <t>95240</t>
        </is>
      </c>
      <c r="H9" s="125" t="inlineStr">
        <is>
          <t>12.2 mi</t>
        </is>
      </c>
      <c r="I9" s="125" t="inlineStr">
        <is>
          <t>$3,270</t>
        </is>
      </c>
      <c r="J9" s="125" t="inlineStr">
        <is>
          <t>$3,925</t>
        </is>
      </c>
      <c r="K9" s="85" t="inlineStr">
        <is>
          <t>$1,155</t>
        </is>
      </c>
      <c r="L9" s="86" t="inlineStr">
        <is>
          <t>Not Listed</t>
        </is>
      </c>
      <c r="M9" s="128" t="inlineStr">
        <is>
          <t>$3,925</t>
        </is>
      </c>
      <c r="N9" s="128" t="inlineStr">
        <is>
          <t>$4,710</t>
        </is>
      </c>
      <c r="O9" s="85" t="inlineStr">
        <is>
          <t>$1,580</t>
        </is>
      </c>
      <c r="P9" s="86" t="inlineStr">
        <is>
          <t>Not Listed</t>
        </is>
      </c>
      <c r="Q9" s="128" t="inlineStr">
        <is>
          <t>75</t>
        </is>
      </c>
      <c r="R9" s="128" t="inlineStr">
        <is>
          <t>1998</t>
        </is>
      </c>
      <c r="S9" s="128" t="inlineStr">
        <is>
          <t>0</t>
        </is>
      </c>
      <c r="T9" s="128" t="inlineStr">
        <is>
          <t>Yes</t>
        </is>
      </c>
      <c r="U9" s="128" t="inlineStr">
        <is>
          <t>No</t>
        </is>
      </c>
      <c r="V9" s="128" t="inlineStr">
        <is>
          <t>No</t>
        </is>
      </c>
      <c r="W9" s="128" t="inlineStr">
        <is>
          <t>No</t>
        </is>
      </c>
      <c r="X9" s="128" t="inlineStr">
        <is>
          <t>No</t>
        </is>
      </c>
      <c r="Y9" s="129" t="inlineStr">
        <is>
          <t>HIGH</t>
        </is>
      </c>
      <c r="Z9" s="130" t="inlineStr">
        <is>
          <t>Affordable Comp #2: LIHTC property, 1998 vintage (0 yr diff), 75 units, 12.2 mi from subject. Same income-eligible renter pool.</t>
        </is>
      </c>
      <c r="AA9" s="128" t="inlineStr">
        <is>
          <t>HUD LIHTC Database (huduser.gov)</t>
        </is>
      </c>
      <c r="AB9" s="136" t="n"/>
      <c r="AC9" s="136" t="n"/>
      <c r="AD9" s="136" t="n"/>
      <c r="AE9" s="136" t="n"/>
      <c r="AF9" s="136" t="n"/>
      <c r="AG9" s="136" t="n"/>
      <c r="AH9" s="136" t="n"/>
      <c r="AI9" s="136" t="n"/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Brentwood Garden Apts</t>
        </is>
      </c>
      <c r="D10" s="107" t="inlineStr">
        <is>
          <t>180 Sycamore Ave</t>
        </is>
      </c>
      <c r="E10" s="107" t="inlineStr">
        <is>
          <t>Brentwood</t>
        </is>
      </c>
      <c r="F10" s="107" t="inlineStr">
        <is>
          <t>CA</t>
        </is>
      </c>
      <c r="G10" s="107" t="inlineStr">
        <is>
          <t>94513</t>
        </is>
      </c>
      <c r="H10" s="107" t="inlineStr">
        <is>
          <t>21.9 mi</t>
        </is>
      </c>
      <c r="I10" s="107" t="inlineStr">
        <is>
          <t>$3,270</t>
        </is>
      </c>
      <c r="J10" s="107" t="inlineStr">
        <is>
          <t>$3,925</t>
        </is>
      </c>
      <c r="K10" s="80" t="inlineStr">
        <is>
          <t>$1,155</t>
        </is>
      </c>
      <c r="L10" s="81" t="inlineStr">
        <is>
          <t>Not Listed</t>
        </is>
      </c>
      <c r="M10" s="108" t="inlineStr">
        <is>
          <t>$3,925</t>
        </is>
      </c>
      <c r="N10" s="108" t="inlineStr">
        <is>
          <t>$4,710</t>
        </is>
      </c>
      <c r="O10" s="80" t="inlineStr">
        <is>
          <t>$1,580</t>
        </is>
      </c>
      <c r="P10" s="81" t="inlineStr">
        <is>
          <t>Not Listed</t>
        </is>
      </c>
      <c r="Q10" s="108" t="inlineStr">
        <is>
          <t>80</t>
        </is>
      </c>
      <c r="R10" s="108" t="inlineStr">
        <is>
          <t>1998</t>
        </is>
      </c>
      <c r="S10" s="108" t="inlineStr">
        <is>
          <t>0</t>
        </is>
      </c>
      <c r="T10" s="108" t="inlineStr">
        <is>
          <t>Yes</t>
        </is>
      </c>
      <c r="U10" s="108" t="inlineStr">
        <is>
          <t>No</t>
        </is>
      </c>
      <c r="V10" s="108" t="inlineStr">
        <is>
          <t>No</t>
        </is>
      </c>
      <c r="W10" s="108" t="inlineStr">
        <is>
          <t>No</t>
        </is>
      </c>
      <c r="X10" s="108" t="inlineStr">
        <is>
          <t>No</t>
        </is>
      </c>
      <c r="Y10" s="109" t="inlineStr">
        <is>
          <t>MODERATE-HIGH</t>
        </is>
      </c>
      <c r="Z10" s="110" t="inlineStr">
        <is>
          <t>Affordable Comp #3: LIHTC property, 1998 vintage (0 yr diff), 80 units, 21.9 mi from subject. Same income-eligible renter pool.</t>
        </is>
      </c>
      <c r="AA10" s="111" t="inlineStr">
        <is>
          <t>HUD LIHTC Database (huduser.gov)</t>
        </is>
      </c>
      <c r="AB10" s="134" t="n"/>
      <c r="AC10" s="136" t="n"/>
      <c r="AD10" s="136" t="n"/>
      <c r="AE10" s="136" t="n"/>
      <c r="AF10" s="136" t="n"/>
      <c r="AG10" s="136" t="n"/>
      <c r="AH10" s="136" t="n"/>
      <c r="AI10" s="136" t="n"/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Brentwood Park Apts</t>
        </is>
      </c>
      <c r="D11" s="95" t="inlineStr">
        <is>
          <t>160 Sycamore Ave</t>
        </is>
      </c>
      <c r="E11" s="95" t="inlineStr">
        <is>
          <t>Brentwood</t>
        </is>
      </c>
      <c r="F11" s="95" t="inlineStr">
        <is>
          <t>CA</t>
        </is>
      </c>
      <c r="G11" s="95" t="inlineStr">
        <is>
          <t>94513</t>
        </is>
      </c>
      <c r="H11" s="95" t="inlineStr">
        <is>
          <t>22.0 mi</t>
        </is>
      </c>
      <c r="I11" s="95" t="inlineStr">
        <is>
          <t>$3,270</t>
        </is>
      </c>
      <c r="J11" s="95" t="inlineStr">
        <is>
          <t>$3,925</t>
        </is>
      </c>
      <c r="K11" s="39" t="inlineStr">
        <is>
          <t>$1,155</t>
        </is>
      </c>
      <c r="L11" s="53" t="inlineStr">
        <is>
          <t>Not Listed</t>
        </is>
      </c>
      <c r="M11" s="96" t="inlineStr">
        <is>
          <t>$3,925</t>
        </is>
      </c>
      <c r="N11" s="96" t="inlineStr">
        <is>
          <t>$4,710</t>
        </is>
      </c>
      <c r="O11" s="39" t="inlineStr">
        <is>
          <t>$1,580</t>
        </is>
      </c>
      <c r="P11" s="53" t="inlineStr">
        <is>
          <t>Not Listed</t>
        </is>
      </c>
      <c r="Q11" s="96" t="inlineStr">
        <is>
          <t>80</t>
        </is>
      </c>
      <c r="R11" s="96" t="inlineStr">
        <is>
          <t>1997</t>
        </is>
      </c>
      <c r="S11" s="96" t="inlineStr">
        <is>
          <t>1</t>
        </is>
      </c>
      <c r="T11" s="96" t="inlineStr">
        <is>
          <t>Yes</t>
        </is>
      </c>
      <c r="U11" s="96" t="inlineStr">
        <is>
          <t>No</t>
        </is>
      </c>
      <c r="V11" s="96" t="inlineStr">
        <is>
          <t>No</t>
        </is>
      </c>
      <c r="W11" s="96" t="inlineStr">
        <is>
          <t>No</t>
        </is>
      </c>
      <c r="X11" s="96" t="inlineStr">
        <is>
          <t>No</t>
        </is>
      </c>
      <c r="Y11" s="45" t="inlineStr">
        <is>
          <t>MODERATE-HIGH</t>
        </is>
      </c>
      <c r="Z11" s="97" t="inlineStr">
        <is>
          <t>Affordable Comp #4: LIHTC property, 1997 vintage (1 yr diff), 80 units, 22.0 mi from subject. Same income-eligible renter pool.</t>
        </is>
      </c>
      <c r="AA11" s="113" t="inlineStr">
        <is>
          <t>HUD LIHTC Database (huduser.gov)</t>
        </is>
      </c>
      <c r="AB11" s="134" t="n"/>
      <c r="AC11" s="136" t="n"/>
      <c r="AD11" s="136" t="n"/>
      <c r="AE11" s="136" t="n"/>
      <c r="AF11" s="136" t="n"/>
      <c r="AG11" s="136" t="n"/>
      <c r="AH11" s="136" t="n"/>
      <c r="AI11" s="136" t="n"/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37.5" customHeight="1" s="131">
      <c r="A12" s="114" t="inlineStr">
        <is>
          <t>1</t>
        </is>
      </c>
      <c r="B12" s="70" t="inlineStr">
        <is>
          <t>MARKET RATE</t>
        </is>
      </c>
      <c r="C12" s="67" t="inlineStr">
        <is>
          <t>Grouse Run Apartments</t>
        </is>
      </c>
      <c r="D12" s="98" t="inlineStr">
        <is>
          <t>4738 Grouse Run Dr</t>
        </is>
      </c>
      <c r="E12" s="98" t="inlineStr">
        <is>
          <t>Stockton</t>
        </is>
      </c>
      <c r="F12" s="98" t="inlineStr">
        <is>
          <t>CA</t>
        </is>
      </c>
      <c r="G12" s="98" t="n"/>
      <c r="H12" s="98" t="inlineStr">
        <is>
          <t>1.0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$1,155</t>
        </is>
      </c>
      <c r="L12" s="53" t="n">
        <v>1395</v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$1,580</t>
        </is>
      </c>
      <c r="P12" s="53" t="n">
        <v>1695</v>
      </c>
      <c r="Q12" s="99" t="inlineStr">
        <is>
          <t>180</t>
        </is>
      </c>
      <c r="R12" s="99" t="inlineStr">
        <is>
          <t>1999</t>
        </is>
      </c>
      <c r="S12" s="99" t="inlineStr">
        <is>
          <t>1</t>
        </is>
      </c>
      <c r="T12" s="99" t="inlineStr">
        <is>
          <t>Varies</t>
        </is>
      </c>
      <c r="U12" s="99" t="inlineStr">
        <is>
          <t>Varies</t>
        </is>
      </c>
      <c r="V12" s="99" t="inlineStr">
        <is>
          <t>Varies</t>
        </is>
      </c>
      <c r="W12" s="99" t="inlineStr">
        <is>
          <t>Varies</t>
        </is>
      </c>
      <c r="X12" s="99" t="inlineStr">
        <is>
          <t>Varies</t>
        </is>
      </c>
      <c r="Y12" s="46" t="inlineStr">
        <is>
          <t>HIGH</t>
        </is>
      </c>
      <c r="Z12" s="100" t="inlineStr">
        <is>
          <t>Market Rate Comp #1: No income restrictions, 1999 vintage (1 yr diff), 180 units, 3.8 mi from subject. Shows market-rate rents vs. affordable housing discount.</t>
        </is>
      </c>
      <c r="AA12" s="115" t="inlineStr">
        <is>
          <t>https://www.rentcafe.com/apartments-for-rent/us/ca/stockton/brookside/</t>
        </is>
      </c>
      <c r="AB12" s="134" t="n"/>
      <c r="AC12" s="136" t="n"/>
      <c r="AD12" s="136" t="n"/>
      <c r="AE12" s="136" t="n"/>
      <c r="AF12" s="136" t="n"/>
      <c r="AG12" s="136" t="n"/>
      <c r="AH12" s="136" t="n"/>
      <c r="AI12" s="136" t="n"/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inlineStr">
        <is>
          <t>2</t>
        </is>
      </c>
      <c r="B13" s="71" t="inlineStr">
        <is>
          <t>MARKET RATE</t>
        </is>
      </c>
      <c r="C13" s="68" t="inlineStr">
        <is>
          <t>Stratford Villas</t>
        </is>
      </c>
      <c r="D13" s="101" t="inlineStr">
        <is>
          <t>1118 Stratford Cir</t>
        </is>
      </c>
      <c r="E13" s="101" t="inlineStr">
        <is>
          <t>Stockton</t>
        </is>
      </c>
      <c r="F13" s="101" t="inlineStr">
        <is>
          <t>CA</t>
        </is>
      </c>
      <c r="G13" s="101" t="n"/>
      <c r="H13" s="101" t="inlineStr">
        <is>
          <t>1.5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$1,155</t>
        </is>
      </c>
      <c r="L13" s="53" t="n">
        <v>1825</v>
      </c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$1,580</t>
        </is>
      </c>
      <c r="P13" s="53" t="n">
        <v>2225</v>
      </c>
      <c r="Q13" s="102" t="inlineStr">
        <is>
          <t>144</t>
        </is>
      </c>
      <c r="R13" s="102" t="inlineStr">
        <is>
          <t>1996</t>
        </is>
      </c>
      <c r="S13" s="102" t="inlineStr">
        <is>
          <t>2</t>
        </is>
      </c>
      <c r="T13" s="102" t="inlineStr">
        <is>
          <t>Varies</t>
        </is>
      </c>
      <c r="U13" s="102" t="inlineStr">
        <is>
          <t>Varies</t>
        </is>
      </c>
      <c r="V13" s="102" t="inlineStr">
        <is>
          <t>Varies</t>
        </is>
      </c>
      <c r="W13" s="102" t="inlineStr">
        <is>
          <t>Varies</t>
        </is>
      </c>
      <c r="X13" s="102" t="inlineStr">
        <is>
          <t>Varies</t>
        </is>
      </c>
      <c r="Y13" s="47" t="inlineStr">
        <is>
          <t>HIGH</t>
        </is>
      </c>
      <c r="Z13" s="103" t="inlineStr">
        <is>
          <t>Market Rate Comp #2: No income restrictions, 1996 vintage (2 yr diff), 144 units, 5.2 mi from subject. Shows market-rate rents vs. affordable housing discount.</t>
        </is>
      </c>
      <c r="AA13" s="117" t="inlineStr">
        <is>
          <t>https://www.rentcafe.com/apartments-for-rent/us/ca/stockton/</t>
        </is>
      </c>
      <c r="AB13" s="134" t="n"/>
      <c r="AC13" s="136" t="n"/>
      <c r="AD13" s="136" t="n"/>
      <c r="AE13" s="136" t="n"/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inlineStr">
        <is>
          <t>3</t>
        </is>
      </c>
      <c r="B14" s="69" t="inlineStr">
        <is>
          <t>MARKET RATE</t>
        </is>
      </c>
      <c r="C14" s="66" t="inlineStr">
        <is>
          <t>Venetian Bridges</t>
        </is>
      </c>
      <c r="D14" s="95" t="inlineStr">
        <is>
          <t>2101 Rosemarie Ln</t>
        </is>
      </c>
      <c r="E14" s="95" t="inlineStr">
        <is>
          <t>Stockton</t>
        </is>
      </c>
      <c r="F14" s="95" t="inlineStr">
        <is>
          <t>CA</t>
        </is>
      </c>
      <c r="G14" s="95" t="n"/>
      <c r="H14" s="95" t="inlineStr">
        <is>
          <t>2.0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$1,155</t>
        </is>
      </c>
      <c r="L14" s="53" t="n">
        <v>1825</v>
      </c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$1,580</t>
        </is>
      </c>
      <c r="P14" s="53" t="n">
        <v>1760</v>
      </c>
      <c r="Q14" s="96" t="inlineStr">
        <is>
          <t>200</t>
        </is>
      </c>
      <c r="R14" s="96" t="inlineStr">
        <is>
          <t>2000</t>
        </is>
      </c>
      <c r="S14" s="96" t="inlineStr">
        <is>
          <t>2</t>
        </is>
      </c>
      <c r="T14" s="96" t="inlineStr">
        <is>
          <t>Varies</t>
        </is>
      </c>
      <c r="U14" s="96" t="inlineStr">
        <is>
          <t>Varies</t>
        </is>
      </c>
      <c r="V14" s="96" t="inlineStr">
        <is>
          <t>Varies</t>
        </is>
      </c>
      <c r="W14" s="96" t="inlineStr">
        <is>
          <t>Varies</t>
        </is>
      </c>
      <c r="X14" s="96" t="inlineStr">
        <is>
          <t>Varies</t>
        </is>
      </c>
      <c r="Y14" s="45" t="inlineStr">
        <is>
          <t>HIGH</t>
        </is>
      </c>
      <c r="Z14" s="97" t="inlineStr">
        <is>
          <t>Market Rate Comp #3: No income restrictions, 2000 vintage (2 yr diff), 200 units, 5.8 mi from subject. Shows market-rate rents vs. affordable housing discount.</t>
        </is>
      </c>
      <c r="AA14" s="113" t="inlineStr">
        <is>
          <t>https://www.rentcafe.com/apartments-for-rent/us/ca/stockton/</t>
        </is>
      </c>
      <c r="AB14" s="134" t="n"/>
      <c r="AC14" s="136" t="n"/>
      <c r="AD14" s="136" t="n"/>
      <c r="AE14" s="136" t="n"/>
      <c r="AF14" s="136" t="n"/>
      <c r="AG14" s="136" t="n"/>
      <c r="AH14" s="136" t="n"/>
      <c r="AI14" s="136" t="n"/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inlineStr">
        <is>
          <t>4</t>
        </is>
      </c>
      <c r="B15" s="69" t="inlineStr">
        <is>
          <t>MARKET RATE</t>
        </is>
      </c>
      <c r="C15" s="66" t="inlineStr">
        <is>
          <t>Stonebridge Apartments</t>
        </is>
      </c>
      <c r="D15" s="95" t="inlineStr">
        <is>
          <t>1159 Stratford Cir</t>
        </is>
      </c>
      <c r="E15" s="95" t="inlineStr">
        <is>
          <t>Stockton</t>
        </is>
      </c>
      <c r="F15" s="95" t="inlineStr">
        <is>
          <t>CA</t>
        </is>
      </c>
      <c r="G15" s="95" t="n"/>
      <c r="H15" s="95" t="inlineStr">
        <is>
          <t>1.8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$1,155</t>
        </is>
      </c>
      <c r="L15" s="53" t="n">
        <v>1750</v>
      </c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$1,580</t>
        </is>
      </c>
      <c r="P15" s="53" t="n">
        <v>1800</v>
      </c>
      <c r="Q15" s="96" t="inlineStr">
        <is>
          <t>120</t>
        </is>
      </c>
      <c r="R15" s="96" t="inlineStr">
        <is>
          <t>1997</t>
        </is>
      </c>
      <c r="S15" s="96" t="inlineStr">
        <is>
          <t>1</t>
        </is>
      </c>
      <c r="T15" s="96" t="inlineStr">
        <is>
          <t>Varies</t>
        </is>
      </c>
      <c r="U15" s="96" t="inlineStr">
        <is>
          <t>Varies</t>
        </is>
      </c>
      <c r="V15" s="96" t="inlineStr">
        <is>
          <t>Varies</t>
        </is>
      </c>
      <c r="W15" s="96" t="inlineStr">
        <is>
          <t>Varies</t>
        </is>
      </c>
      <c r="X15" s="96" t="inlineStr">
        <is>
          <t>Varies</t>
        </is>
      </c>
      <c r="Y15" s="45" t="inlineStr">
        <is>
          <t>HIGH</t>
        </is>
      </c>
      <c r="Z15" s="97" t="inlineStr">
        <is>
          <t>Market Rate Comp #4: No income restrictions, 1997 vintage (1 yr diff), 120 units, 6.8 mi from subject. Shows market-rate rents vs. affordable housing discount.</t>
        </is>
      </c>
      <c r="AA15" s="113" t="inlineStr">
        <is>
          <t>https://www.rentcafe.com/apartments-for-rent/us/ca/stockton/</t>
        </is>
      </c>
      <c r="AB15" s="134" t="n"/>
      <c r="AC15" s="136" t="n"/>
      <c r="AD15" s="136" t="n"/>
      <c r="AE15" s="136" t="n"/>
      <c r="AF15" s="136" t="n"/>
      <c r="AG15" s="136" t="n"/>
      <c r="AH15" s="136" t="n"/>
      <c r="AI15" s="136" t="n"/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inlineStr">
        <is>
          <t>—</t>
        </is>
      </c>
      <c r="B16" s="82" t="inlineStr">
        <is>
          <t>BENCHMARK</t>
        </is>
      </c>
      <c r="C16" s="119" t="inlineStr">
        <is>
          <t>FY2026 FMR — Stockton-Lodi MSA</t>
        </is>
      </c>
      <c r="D16" s="120" t="inlineStr">
        <is>
          <t>N/A</t>
        </is>
      </c>
      <c r="E16" s="120" t="inlineStr">
        <is>
          <t>Stockton</t>
        </is>
      </c>
      <c r="F16" s="120" t="inlineStr">
        <is>
          <t>CA</t>
        </is>
      </c>
      <c r="G16" s="120" t="inlineStr">
        <is>
          <t>N/A</t>
        </is>
      </c>
      <c r="H16" s="120" t="inlineStr">
        <is>
          <t>N/A</t>
        </is>
      </c>
      <c r="I16" s="120" t="inlineStr">
        <is>
          <t>$1,155</t>
        </is>
      </c>
      <c r="J16" s="120" t="inlineStr">
        <is>
          <t>$1,155</t>
        </is>
      </c>
      <c r="K16" s="121" t="inlineStr">
        <is>
          <t>$1,155</t>
        </is>
      </c>
      <c r="L16" s="83" t="inlineStr">
        <is>
          <t>N/A</t>
        </is>
      </c>
      <c r="M16" s="122" t="inlineStr">
        <is>
          <t>$1,580</t>
        </is>
      </c>
      <c r="N16" s="122" t="inlineStr">
        <is>
          <t>$1,580</t>
        </is>
      </c>
      <c r="O16" s="121" t="inlineStr">
        <is>
          <t>$1,580</t>
        </is>
      </c>
      <c r="P16" s="83" t="inlineStr">
        <is>
          <t>N/A</t>
        </is>
      </c>
      <c r="Q16" s="122" t="inlineStr">
        <is>
          <t>N/A</t>
        </is>
      </c>
      <c r="R16" s="122" t="inlineStr">
        <is>
          <t>N/A</t>
        </is>
      </c>
      <c r="S16" s="122" t="inlineStr">
        <is>
          <t>N/A</t>
        </is>
      </c>
      <c r="T16" s="122" t="inlineStr">
        <is>
          <t>N/A</t>
        </is>
      </c>
      <c r="U16" s="122" t="inlineStr">
        <is>
          <t>N/A</t>
        </is>
      </c>
      <c r="V16" s="122" t="inlineStr">
        <is>
          <t>N/A</t>
        </is>
      </c>
      <c r="W16" s="122" t="inlineStr">
        <is>
          <t>N/A</t>
        </is>
      </c>
      <c r="X16" s="122" t="inlineStr">
        <is>
          <t>N/A</t>
        </is>
      </c>
      <c r="Y16" s="84" t="inlineStr">
        <is>
          <t>BENCHMARK</t>
        </is>
      </c>
      <c r="Z16" s="123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124" t="inlineStr">
        <is>
          <t>HUD FMR Database (huduser.gov)</t>
        </is>
      </c>
      <c r="AB16" s="134" t="n"/>
      <c r="AC16" s="136" t="n"/>
      <c r="AD16" s="136" t="n"/>
      <c r="AE16" s="136" t="n"/>
      <c r="AF16" s="136" t="n"/>
      <c r="AG16" s="136" t="n"/>
      <c r="AH16" s="136" t="n"/>
      <c r="AI16" s="136" t="n"/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inlineStr">
        <is>
          <t>—</t>
        </is>
      </c>
      <c r="B17" s="88" t="inlineStr">
        <is>
          <t>BENCHMARK</t>
        </is>
      </c>
      <c r="C17" s="89" t="inlineStr">
        <is>
          <t>Metro Market Avg — Stockton</t>
        </is>
      </c>
      <c r="D17" s="87" t="inlineStr">
        <is>
          <t>N/A</t>
        </is>
      </c>
      <c r="E17" s="87" t="inlineStr">
        <is>
          <t>Stockton</t>
        </is>
      </c>
      <c r="F17" s="87" t="inlineStr">
        <is>
          <t>CA</t>
        </is>
      </c>
      <c r="G17" s="87" t="inlineStr">
        <is>
          <t>N/A</t>
        </is>
      </c>
      <c r="H17" s="87" t="inlineStr">
        <is>
          <t>N/A</t>
        </is>
      </c>
      <c r="I17" s="87" t="inlineStr">
        <is>
          <t>$1,270</t>
        </is>
      </c>
      <c r="J17" s="87" t="inlineStr">
        <is>
          <t>$1,270</t>
        </is>
      </c>
      <c r="K17" s="90" t="inlineStr">
        <is>
          <t>$1,270</t>
        </is>
      </c>
      <c r="L17" s="91" t="inlineStr">
        <is>
          <t>N/A</t>
        </is>
      </c>
      <c r="M17" s="92" t="inlineStr">
        <is>
          <t>$1,738</t>
        </is>
      </c>
      <c r="N17" s="92" t="inlineStr">
        <is>
          <t>$1,738</t>
        </is>
      </c>
      <c r="O17" s="90" t="inlineStr">
        <is>
          <t>$1,738</t>
        </is>
      </c>
      <c r="P17" s="91" t="inlineStr">
        <is>
          <t>N/A</t>
        </is>
      </c>
      <c r="Q17" s="92" t="inlineStr">
        <is>
          <t>N/A</t>
        </is>
      </c>
      <c r="R17" s="92" t="inlineStr">
        <is>
          <t>N/A</t>
        </is>
      </c>
      <c r="S17" s="92" t="inlineStr">
        <is>
          <t>N/A</t>
        </is>
      </c>
      <c r="T17" s="92" t="inlineStr">
        <is>
          <t>N/A</t>
        </is>
      </c>
      <c r="U17" s="92" t="inlineStr">
        <is>
          <t>N/A</t>
        </is>
      </c>
      <c r="V17" s="92" t="inlineStr">
        <is>
          <t>N/A</t>
        </is>
      </c>
      <c r="W17" s="92" t="inlineStr">
        <is>
          <t>N/A</t>
        </is>
      </c>
      <c r="X17" s="92" t="inlineStr">
        <is>
          <t>N/A</t>
        </is>
      </c>
      <c r="Y17" s="93" t="inlineStr">
        <is>
          <t>BENCHMARK</t>
        </is>
      </c>
      <c r="Z17" s="94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92" t="inlineStr">
        <is>
          <t>HUD FMR + Market Estimate</t>
        </is>
      </c>
      <c r="AB17" s="136" t="n"/>
      <c r="AC17" s="136" t="n"/>
      <c r="AD17" s="136" t="n"/>
      <c r="AE17" s="136" t="n"/>
      <c r="AF17" s="136" t="n"/>
      <c r="AG17" s="136" t="n"/>
      <c r="AH17" s="136" t="n"/>
      <c r="AI17" s="136" t="n"/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C19" s="136" t="n"/>
      <c r="AD19" s="136" t="n"/>
      <c r="AE19" s="136" t="n"/>
      <c r="AF19" s="136" t="n"/>
      <c r="AG19" s="136" t="n"/>
      <c r="AH19" s="136" t="n"/>
      <c r="AI19" s="136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Format="1" customHeight="1" s="2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Height="1" s="131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Height="1" s="131">
      <c r="A25" s="372" t="n"/>
      <c r="B25" s="201" t="inlineStr">
        <is>
          <t>1BD</t>
        </is>
      </c>
      <c r="C25" s="194" t="n"/>
      <c r="D25" s="200" t="n">
        <v>1699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Format="1" customHeight="1" s="2">
      <c r="A26" s="372" t="n"/>
      <c r="B26" s="201" t="inlineStr">
        <is>
          <t>2BD</t>
        </is>
      </c>
      <c r="C26" s="194" t="n"/>
      <c r="D26" s="200" t="n">
        <v>1870</v>
      </c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8.1" customFormat="1" customHeight="1" s="2">
      <c r="A27" s="369" t="n"/>
      <c r="B27" s="369" t="n"/>
      <c r="C27" s="369" t="n"/>
      <c r="D27" s="369" t="n"/>
      <c r="E27" s="369" t="n"/>
      <c r="F27" s="369" t="n"/>
      <c r="G27" s="369" t="n"/>
      <c r="H27" s="369" t="n"/>
      <c r="I27" s="369" t="n"/>
      <c r="J27" s="369" t="n"/>
      <c r="K27" s="369" t="n"/>
      <c r="L27" s="134" t="n"/>
      <c r="M27" s="134" t="n"/>
      <c r="N27" s="134" t="n"/>
      <c r="O27" s="134" t="n"/>
      <c r="P27" s="134" t="n"/>
      <c r="Q27" s="134" t="n"/>
      <c r="R27" s="134" t="n"/>
      <c r="S27" s="134" t="n"/>
      <c r="T27" s="134" t="n"/>
      <c r="U27" s="134" t="n"/>
      <c r="V27" s="134" t="n"/>
      <c r="W27" s="134" t="n"/>
      <c r="X27" s="134" t="n"/>
      <c r="Y27" s="134" t="n"/>
      <c r="Z27" s="135" t="n"/>
      <c r="AA27" s="134" t="n"/>
      <c r="AB27" s="134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24.75" customFormat="1" customHeight="1" s="2">
      <c r="A28" s="302" t="n"/>
      <c r="B28" s="211" t="inlineStr">
        <is>
          <t>PMTS — Vouchers / FMR / UAP / NET</t>
        </is>
      </c>
      <c r="G28" s="365" t="n"/>
      <c r="H28" s="183" t="n"/>
      <c r="I28" s="183" t="n"/>
      <c r="J28" s="183" t="n"/>
      <c r="K28" s="302" t="n"/>
      <c r="L28" s="302" t="n"/>
      <c r="M28" s="302" t="n"/>
      <c r="N28" s="302" t="n"/>
      <c r="O28" s="302" t="n"/>
      <c r="P28" s="302" t="n"/>
      <c r="Q28" s="302" t="n"/>
      <c r="R28" s="302" t="n"/>
      <c r="S28" s="302" t="n"/>
      <c r="T28" s="302" t="n"/>
      <c r="U28" s="302" t="n"/>
      <c r="V28" s="302" t="n"/>
      <c r="W28" s="302" t="n"/>
      <c r="X28" s="302" t="n"/>
      <c r="Y28" s="302" t="n"/>
      <c r="Z28" s="302" t="n"/>
      <c r="AA28" s="353" t="n"/>
      <c r="AB28" s="302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15.95" customFormat="1" customHeight="1" s="2">
      <c r="A29" s="302" t="n"/>
      <c r="B29" s="226" t="n"/>
      <c r="C29" s="213" t="inlineStr">
        <is>
          <t>MKT</t>
        </is>
      </c>
      <c r="D29" s="213" t="inlineStr">
        <is>
          <t>VCH</t>
        </is>
      </c>
      <c r="E29" s="214" t="inlineStr">
        <is>
          <t>FMR</t>
        </is>
      </c>
      <c r="F29" s="215" t="inlineStr">
        <is>
          <t>UAP</t>
        </is>
      </c>
      <c r="G29" s="216" t="inlineStr">
        <is>
          <t>NET</t>
        </is>
      </c>
      <c r="H29" s="183" t="n"/>
      <c r="I29" s="183" t="n"/>
      <c r="J29" s="183" t="n"/>
      <c r="K29" s="302" t="n"/>
      <c r="L29" s="302" t="n"/>
      <c r="M29" s="302" t="n"/>
      <c r="N29" s="302" t="n"/>
      <c r="O29" s="302" t="n"/>
      <c r="P29" s="302" t="n"/>
      <c r="Q29" s="302" t="n"/>
      <c r="R29" s="302" t="n"/>
      <c r="S29" s="302" t="n"/>
      <c r="T29" s="302" t="n"/>
      <c r="U29" s="302" t="n"/>
      <c r="V29" s="302" t="n"/>
      <c r="W29" s="302" t="n"/>
      <c r="X29" s="302" t="n"/>
      <c r="Y29" s="302" t="n"/>
      <c r="Z29" s="302" t="n"/>
      <c r="AA29" s="353" t="n"/>
      <c r="AB29" s="302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24.75" customHeight="1" s="131">
      <c r="A30" s="372" t="n"/>
      <c r="B30" s="217" t="inlineStr">
        <is>
          <t>1BD</t>
        </is>
      </c>
      <c r="C30" s="197" t="n">
        <v>0</v>
      </c>
      <c r="D30" s="197" t="n">
        <v>1260</v>
      </c>
      <c r="E30" s="198" t="n">
        <v>1200</v>
      </c>
      <c r="F30" s="199" t="n">
        <v>192</v>
      </c>
      <c r="G30" s="218" t="n">
        <v>1008</v>
      </c>
      <c r="H30" s="183" t="n"/>
      <c r="I30" s="183" t="n"/>
      <c r="J30" s="183" t="n"/>
      <c r="K30" s="302" t="n"/>
      <c r="L30" s="302" t="n"/>
      <c r="M30" s="302" t="n"/>
      <c r="N30" s="302" t="n"/>
      <c r="O30" s="343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24.75" customHeight="1" s="131">
      <c r="A31" s="372" t="n"/>
      <c r="B31" s="217" t="inlineStr">
        <is>
          <t>2BD</t>
        </is>
      </c>
      <c r="C31" s="197" t="n">
        <v>0</v>
      </c>
      <c r="D31" s="197" t="n">
        <v>1607</v>
      </c>
      <c r="E31" s="198" t="n">
        <v>1530</v>
      </c>
      <c r="F31" s="199" t="n">
        <v>251</v>
      </c>
      <c r="G31" s="218" t="n">
        <v>1279</v>
      </c>
      <c r="H31" s="183" t="n"/>
      <c r="I31" s="183" t="n"/>
      <c r="J31" s="183" t="n"/>
      <c r="K31" s="302" t="n"/>
      <c r="L31" s="302" t="n"/>
      <c r="M31" s="302" t="n"/>
      <c r="N31" s="302" t="n"/>
      <c r="O31" s="343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8.1" customFormat="1" customHeight="1" s="2">
      <c r="A32" s="369" t="n"/>
      <c r="B32" s="369" t="n"/>
      <c r="C32" s="381" t="n"/>
      <c r="D32" s="381" t="n"/>
      <c r="E32" s="381" t="n"/>
      <c r="F32" s="381" t="n"/>
      <c r="G32" s="369" t="n"/>
      <c r="H32" s="369" t="n"/>
      <c r="I32" s="369" t="n"/>
      <c r="J32" s="369" t="n"/>
      <c r="K32" s="369" t="n"/>
      <c r="L32" s="134" t="n"/>
      <c r="M32" s="134" t="n"/>
      <c r="N32" s="134" t="n"/>
      <c r="O32" s="134" t="n"/>
      <c r="P32" s="134" t="n"/>
      <c r="Q32" s="134" t="n"/>
      <c r="R32" s="134" t="n"/>
      <c r="S32" s="134" t="n"/>
      <c r="T32" s="134" t="n"/>
      <c r="U32" s="134" t="n"/>
      <c r="V32" s="134" t="n"/>
      <c r="W32" s="134" t="n"/>
      <c r="X32" s="134" t="n"/>
      <c r="Y32" s="134" t="n"/>
      <c r="Z32" s="135" t="n"/>
      <c r="AA32" s="134" t="n"/>
      <c r="AB32" s="134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24.75" customFormat="1" customHeight="1" s="2">
      <c r="A33" s="302" t="n"/>
      <c r="B33" s="366" t="inlineStr">
        <is>
          <t>LIHTC, UAP, NET</t>
        </is>
      </c>
      <c r="C33" s="358" t="n"/>
      <c r="D33" s="358" t="n"/>
      <c r="E33" s="358" t="n"/>
      <c r="F33" s="358" t="n"/>
      <c r="G33" s="359" t="n"/>
      <c r="H33" s="183" t="n"/>
      <c r="I33" s="183" t="n"/>
      <c r="J33" s="183" t="n"/>
      <c r="K33" s="302" t="n"/>
      <c r="L33" s="302" t="n"/>
      <c r="M33" s="302" t="n"/>
      <c r="N33" s="302" t="n"/>
      <c r="O33" s="302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16.5" customFormat="1" customHeight="1" s="2">
      <c r="A34" s="372" t="n"/>
      <c r="B34" s="226" t="n"/>
      <c r="C34" s="228" t="inlineStr">
        <is>
          <t>LIHTC/MKT</t>
        </is>
      </c>
      <c r="D34" s="228" t="inlineStr">
        <is>
          <t>60%</t>
        </is>
      </c>
      <c r="E34" s="215" t="inlineStr">
        <is>
          <t>UAP</t>
        </is>
      </c>
      <c r="F34" s="216" t="inlineStr">
        <is>
          <t>NET</t>
        </is>
      </c>
      <c r="G34" s="183" t="n"/>
      <c r="H34" s="183" t="n"/>
      <c r="I34" s="183" t="n"/>
      <c r="J34" s="183" t="n"/>
      <c r="K34" s="302" t="n"/>
      <c r="L34" s="302" t="n"/>
      <c r="M34" s="302" t="n"/>
      <c r="N34" s="302" t="n"/>
      <c r="O34" s="343" t="n"/>
      <c r="P34" s="302" t="n"/>
      <c r="Q34" s="302" t="n"/>
      <c r="R34" s="302" t="n"/>
      <c r="S34" s="302" t="n"/>
      <c r="T34" s="302" t="n"/>
      <c r="U34" s="302" t="n"/>
      <c r="V34" s="302" t="n"/>
      <c r="W34" s="302" t="n"/>
      <c r="X34" s="302" t="n"/>
      <c r="Y34" s="302" t="n"/>
      <c r="Z34" s="302" t="n"/>
      <c r="AA34" s="353" t="n"/>
      <c r="AB34" s="302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24.75" customFormat="1" customHeight="1" s="2">
      <c r="A35" s="372" t="n"/>
      <c r="B35" s="224" t="inlineStr">
        <is>
          <t>1BD</t>
        </is>
      </c>
      <c r="C35" s="225" t="n">
        <v>1177</v>
      </c>
      <c r="D35" s="225" t="n">
        <v>985</v>
      </c>
      <c r="E35" s="225" t="n">
        <v>192</v>
      </c>
      <c r="F35" s="223" t="n">
        <v>793</v>
      </c>
      <c r="G35" s="183" t="n"/>
      <c r="H35" s="183" t="n"/>
      <c r="I35" s="183" t="n"/>
      <c r="J35" s="183" t="n"/>
      <c r="K35" s="302" t="n"/>
      <c r="L35" s="302" t="n"/>
      <c r="M35" s="302" t="n"/>
      <c r="N35" s="302" t="n"/>
      <c r="O35" s="343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24.75" customHeight="1" s="131">
      <c r="A36" s="369" t="n"/>
      <c r="B36" s="224" t="inlineStr">
        <is>
          <t>2BD</t>
        </is>
      </c>
      <c r="C36" s="225" t="n">
        <v>1413</v>
      </c>
      <c r="D36" s="225" t="n">
        <v>1162</v>
      </c>
      <c r="E36" s="225" t="n">
        <v>251</v>
      </c>
      <c r="F36" s="223" t="n">
        <v>911</v>
      </c>
      <c r="G36" s="183" t="n"/>
      <c r="H36" s="183" t="n"/>
      <c r="I36" s="183" t="n"/>
      <c r="J36" s="183" t="n"/>
      <c r="K36" s="302" t="n"/>
      <c r="L36" s="302" t="n"/>
      <c r="M36" s="302" t="n"/>
      <c r="N36" s="302" t="n"/>
      <c r="O36" s="343" t="n"/>
      <c r="P36" s="302" t="n"/>
      <c r="Q36" s="302" t="n"/>
      <c r="R36" s="302" t="n"/>
      <c r="S36" s="302" t="n"/>
      <c r="T36" s="302" t="n"/>
      <c r="U36" s="302" t="n"/>
      <c r="V36" s="302" t="n"/>
      <c r="W36" s="302" t="n"/>
      <c r="X36" s="302" t="n"/>
      <c r="Y36" s="302" t="n"/>
      <c r="Z36" s="302" t="n"/>
      <c r="AA36" s="353" t="n"/>
      <c r="AB36" s="302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18" customHeight="1" s="131">
      <c r="A37" s="369" t="n"/>
      <c r="B37" s="381" t="n"/>
      <c r="C37" s="381" t="n"/>
      <c r="D37" s="381" t="n"/>
      <c r="E37" s="381" t="n"/>
      <c r="F37" s="369" t="n"/>
      <c r="G37" s="369" t="n"/>
      <c r="H37" s="369" t="n"/>
      <c r="I37" s="369" t="n"/>
      <c r="J37" s="369" t="n"/>
      <c r="K37" s="369" t="n"/>
      <c r="L37" s="134" t="n"/>
      <c r="M37" s="134" t="n"/>
      <c r="N37" s="134" t="n"/>
      <c r="O37" s="134" t="n"/>
      <c r="P37" s="134" t="n"/>
      <c r="Q37" s="134" t="n"/>
      <c r="R37" s="134" t="n"/>
      <c r="S37" s="134" t="n"/>
      <c r="T37" s="134" t="n"/>
      <c r="U37" s="134" t="n"/>
      <c r="V37" s="134" t="n"/>
      <c r="W37" s="134" t="n"/>
      <c r="X37" s="134" t="n"/>
      <c r="Y37" s="134" t="n"/>
      <c r="Z37" s="135" t="n"/>
      <c r="AA37" s="134" t="n"/>
      <c r="AB37" s="134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18" customFormat="1" customHeight="1" s="2">
      <c r="A38" s="372" t="n"/>
      <c r="B38" s="372" t="n"/>
      <c r="C38" s="444" t="n"/>
      <c r="D38" s="369" t="n"/>
      <c r="E38" s="369" t="n"/>
      <c r="F38" s="369" t="n"/>
      <c r="G38" s="369" t="n"/>
      <c r="H38" s="369" t="n"/>
      <c r="I38" s="369" t="n"/>
      <c r="J38" s="369" t="n"/>
      <c r="K38" s="369" t="n"/>
      <c r="L38" s="134" t="n"/>
      <c r="M38" s="134" t="n"/>
      <c r="N38" s="134" t="n"/>
      <c r="O38" s="134" t="n"/>
      <c r="P38" s="134" t="n"/>
      <c r="Q38" s="134" t="n"/>
      <c r="R38" s="134" t="n"/>
      <c r="S38" s="134" t="n"/>
      <c r="T38" s="134" t="n"/>
      <c r="U38" s="134" t="n"/>
      <c r="V38" s="134" t="n"/>
      <c r="W38" s="134" t="n"/>
      <c r="X38" s="134" t="n"/>
      <c r="Y38" s="134" t="n"/>
      <c r="Z38" s="135" t="n"/>
      <c r="AA38" s="134" t="n"/>
      <c r="AB38" s="134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24.75" customFormat="1" customHeight="1" s="2">
      <c r="A39" s="302" t="n"/>
      <c r="B39" s="207" t="inlineStr">
        <is>
          <t>HAP, CoStar, NET</t>
        </is>
      </c>
      <c r="H39" s="183" t="n"/>
      <c r="I39" s="183" t="n"/>
      <c r="J39" s="183" t="n"/>
      <c r="K39" s="302" t="n"/>
      <c r="L39" s="302" t="n"/>
      <c r="M39" s="302" t="n"/>
      <c r="N39" s="302" t="n"/>
      <c r="O39" s="302" t="n"/>
      <c r="P39" s="302" t="n"/>
      <c r="Q39" s="302" t="n"/>
      <c r="R39" s="302" t="n"/>
      <c r="S39" s="302" t="n"/>
      <c r="T39" s="302" t="n"/>
      <c r="U39" s="302" t="n"/>
      <c r="V39" s="302" t="n"/>
      <c r="W39" s="302" t="n"/>
      <c r="X39" s="302" t="n"/>
      <c r="Y39" s="302" t="n"/>
      <c r="Z39" s="302" t="n"/>
      <c r="AA39" s="353" t="n"/>
      <c r="AB39" s="302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ht="15.95" customFormat="1" customHeight="1" s="2">
      <c r="A40" s="302" t="n"/>
      <c r="B40" s="227" t="n"/>
      <c r="C40" s="208" t="inlineStr">
        <is>
          <t>HAP</t>
        </is>
      </c>
      <c r="D40" s="209" t="inlineStr">
        <is>
          <t>CoStar</t>
        </is>
      </c>
      <c r="E40" s="302" t="n"/>
      <c r="F40" s="302" t="n"/>
      <c r="G40" s="302" t="n"/>
      <c r="H40" s="183" t="n"/>
      <c r="I40" s="183" t="n"/>
      <c r="J40" s="183" t="n"/>
      <c r="K40" s="302" t="n"/>
      <c r="L40" s="302" t="n"/>
      <c r="M40" s="302" t="n"/>
      <c r="N40" s="302" t="n"/>
      <c r="O40" s="302" t="n"/>
      <c r="P40" s="302" t="n"/>
      <c r="Q40" s="302" t="n"/>
      <c r="R40" s="302" t="n"/>
      <c r="S40" s="302" t="n"/>
      <c r="T40" s="302" t="n"/>
      <c r="U40" s="302" t="n"/>
      <c r="V40" s="302" t="n"/>
      <c r="W40" s="302" t="n"/>
      <c r="X40" s="302" t="n"/>
      <c r="Y40" s="302" t="n"/>
      <c r="Z40" s="302" t="n"/>
      <c r="AA40" s="353" t="n"/>
      <c r="AB40" s="302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ht="24.75" customFormat="1" customHeight="1" s="2">
      <c r="A41" s="302" t="n"/>
      <c r="B41" s="196" t="inlineStr">
        <is>
          <t>1BD</t>
        </is>
      </c>
      <c r="C41" s="199" t="n">
        <v>0</v>
      </c>
      <c r="D41" s="198" t="n">
        <v>1261</v>
      </c>
      <c r="E41" s="183" t="n"/>
      <c r="F41" s="183" t="n"/>
      <c r="G41" s="183" t="n"/>
      <c r="H41" s="183" t="n"/>
      <c r="I41" s="183" t="n"/>
      <c r="J41" s="183" t="n"/>
      <c r="K41" s="302" t="n"/>
      <c r="L41" s="302" t="n"/>
      <c r="M41" s="302" t="n"/>
      <c r="N41" s="302" t="n"/>
      <c r="O41" s="302" t="n"/>
      <c r="P41" s="302" t="n"/>
      <c r="Q41" s="302" t="n"/>
      <c r="R41" s="302" t="n"/>
      <c r="S41" s="302" t="n"/>
      <c r="T41" s="302" t="n"/>
      <c r="U41" s="302" t="n"/>
      <c r="V41" s="302" t="n"/>
      <c r="W41" s="302" t="n"/>
      <c r="X41" s="302" t="n"/>
      <c r="Y41" s="302" t="n"/>
      <c r="Z41" s="302" t="n"/>
      <c r="AA41" s="353" t="n"/>
      <c r="AB41" s="302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ht="24.75" customHeight="1" s="131">
      <c r="A42" s="302" t="n"/>
      <c r="B42" s="196" t="inlineStr">
        <is>
          <t>2BD</t>
        </is>
      </c>
      <c r="C42" s="199" t="n">
        <v>0</v>
      </c>
      <c r="D42" s="198" t="n">
        <v>1442</v>
      </c>
      <c r="E42" s="183" t="n"/>
      <c r="F42" s="183" t="n"/>
      <c r="G42" s="183" t="n"/>
      <c r="H42" s="183" t="n"/>
      <c r="I42" s="183" t="n"/>
      <c r="J42" s="183" t="n"/>
      <c r="K42" s="302" t="n"/>
      <c r="L42" s="302" t="n"/>
      <c r="M42" s="302" t="n"/>
      <c r="N42" s="302" t="n"/>
      <c r="O42" s="302" t="n"/>
      <c r="P42" s="302" t="n"/>
      <c r="Q42" s="302" t="n"/>
      <c r="R42" s="302" t="n"/>
      <c r="S42" s="302" t="n"/>
      <c r="T42" s="302" t="n"/>
      <c r="U42" s="302" t="n"/>
      <c r="V42" s="302" t="n"/>
      <c r="W42" s="302" t="n"/>
      <c r="X42" s="302" t="n"/>
      <c r="Y42" s="302" t="n"/>
      <c r="Z42" s="302" t="n"/>
      <c r="AA42" s="353" t="n"/>
      <c r="AB42" s="302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s="131">
      <c r="A43" s="369" t="n"/>
      <c r="B43" s="369" t="n"/>
      <c r="C43" s="369" t="n"/>
      <c r="D43" s="369" t="n"/>
      <c r="E43" s="369" t="n"/>
      <c r="F43" s="369" t="n"/>
      <c r="G43" s="369" t="n"/>
      <c r="H43" s="369" t="n"/>
      <c r="I43" s="369" t="n"/>
      <c r="J43" s="369" t="n"/>
      <c r="K43" s="369" t="n"/>
      <c r="L43" s="136" t="n"/>
      <c r="M43" s="136" t="n"/>
      <c r="N43" s="136" t="n"/>
      <c r="O43" s="136" t="n"/>
      <c r="P43" s="136" t="n"/>
      <c r="Q43" s="136" t="n"/>
      <c r="R43" s="136" t="n"/>
      <c r="S43" s="136" t="n"/>
      <c r="T43" s="136" t="n"/>
      <c r="U43" s="136" t="n"/>
      <c r="V43" s="136" t="n"/>
      <c r="W43" s="136" t="n"/>
      <c r="X43" s="136" t="n"/>
      <c r="Y43" s="136" t="n"/>
      <c r="Z43" s="136" t="n"/>
      <c r="AA43" s="136" t="n"/>
      <c r="AB43" s="136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s="131">
      <c r="A44" s="369" t="n"/>
      <c r="B44" s="369" t="n"/>
      <c r="C44" s="369" t="n"/>
      <c r="D44" s="369" t="n"/>
      <c r="E44" s="369" t="n"/>
      <c r="F44" s="369" t="n"/>
      <c r="G44" s="369" t="n"/>
      <c r="H44" s="369" t="n"/>
      <c r="I44" s="369" t="n"/>
      <c r="J44" s="369" t="n"/>
      <c r="K44" s="369" t="n"/>
      <c r="L44" s="136" t="n"/>
      <c r="M44" s="136" t="n"/>
      <c r="N44" s="136" t="n"/>
      <c r="O44" s="136" t="n"/>
      <c r="P44" s="136" t="n"/>
      <c r="Q44" s="136" t="n"/>
      <c r="R44" s="136" t="n"/>
      <c r="S44" s="136" t="n"/>
      <c r="T44" s="136" t="n"/>
      <c r="U44" s="136" t="n"/>
      <c r="V44" s="136" t="n"/>
      <c r="W44" s="136" t="n"/>
      <c r="X44" s="136" t="n"/>
      <c r="Y44" s="136" t="n"/>
      <c r="Z44" s="136" t="n"/>
      <c r="AA44" s="136" t="n"/>
      <c r="AB44" s="136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s="131">
      <c r="A45" s="369" t="n"/>
      <c r="B45" s="369" t="n"/>
      <c r="C45" s="369" t="n"/>
      <c r="D45" s="369" t="n"/>
      <c r="E45" s="369" t="n"/>
      <c r="F45" s="369" t="n"/>
      <c r="G45" s="369" t="n"/>
      <c r="H45" s="369" t="n"/>
      <c r="I45" s="369" t="n"/>
      <c r="J45" s="369" t="n"/>
      <c r="K45" s="369" t="n"/>
      <c r="L45" s="136" t="n"/>
      <c r="M45" s="136" t="n"/>
      <c r="N45" s="136" t="n"/>
      <c r="O45" s="136" t="n"/>
      <c r="P45" s="136" t="n"/>
      <c r="Q45" s="136" t="n"/>
      <c r="R45" s="136" t="n"/>
      <c r="S45" s="136" t="n"/>
      <c r="T45" s="136" t="n"/>
      <c r="U45" s="136" t="n"/>
      <c r="V45" s="136" t="n"/>
      <c r="W45" s="136" t="n"/>
      <c r="X45" s="136" t="n"/>
      <c r="Y45" s="136" t="n"/>
      <c r="Z45" s="136" t="n"/>
      <c r="AA45" s="136" t="n"/>
      <c r="AB45" s="136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s="131">
      <c r="A46" s="369" t="n"/>
      <c r="B46" s="369" t="n"/>
      <c r="C46" s="369" t="n"/>
      <c r="D46" s="369" t="n"/>
      <c r="E46" s="369" t="n"/>
      <c r="F46" s="369" t="n"/>
      <c r="G46" s="369" t="n"/>
      <c r="H46" s="369" t="n"/>
      <c r="I46" s="369" t="n"/>
      <c r="J46" s="369" t="n"/>
      <c r="K46" s="369" t="n"/>
      <c r="L46" s="136" t="n"/>
      <c r="M46" s="136" t="n"/>
      <c r="N46" s="136" t="n"/>
      <c r="O46" s="136" t="n"/>
      <c r="P46" s="136" t="n"/>
      <c r="Q46" s="136" t="n"/>
      <c r="R46" s="136" t="n"/>
      <c r="S46" s="136" t="n"/>
      <c r="T46" s="136" t="n"/>
      <c r="U46" s="136" t="n"/>
      <c r="V46" s="136" t="n"/>
      <c r="W46" s="136" t="n"/>
      <c r="X46" s="136" t="n"/>
      <c r="Y46" s="136" t="n"/>
      <c r="Z46" s="136" t="n"/>
      <c r="AA46" s="136" t="n"/>
      <c r="AB46" s="136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s="131">
      <c r="A47" s="369" t="n"/>
      <c r="B47" s="369" t="n"/>
      <c r="C47" s="369" t="n"/>
      <c r="D47" s="369" t="n"/>
      <c r="E47" s="369" t="n"/>
      <c r="F47" s="369" t="n"/>
      <c r="G47" s="369" t="n"/>
      <c r="H47" s="369" t="n"/>
      <c r="I47" s="369" t="n"/>
      <c r="J47" s="369" t="n"/>
      <c r="K47" s="369" t="n"/>
      <c r="L47" s="136" t="n"/>
      <c r="M47" s="136" t="n"/>
      <c r="N47" s="136" t="n"/>
      <c r="O47" s="136" t="n"/>
      <c r="P47" s="136" t="n"/>
      <c r="Q47" s="136" t="n"/>
      <c r="R47" s="136" t="n"/>
      <c r="S47" s="136" t="n"/>
      <c r="T47" s="136" t="n"/>
      <c r="U47" s="136" t="n"/>
      <c r="V47" s="136" t="n"/>
      <c r="W47" s="136" t="n"/>
      <c r="X47" s="136" t="n"/>
      <c r="Y47" s="136" t="n"/>
      <c r="Z47" s="136" t="n"/>
      <c r="AA47" s="136" t="n"/>
      <c r="AB47" s="136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s="131">
      <c r="A48" s="369" t="n"/>
      <c r="B48" s="369" t="n"/>
      <c r="C48" s="369" t="n"/>
      <c r="D48" s="369" t="n"/>
      <c r="E48" s="369" t="n"/>
      <c r="F48" s="369" t="n"/>
      <c r="G48" s="369" t="n"/>
      <c r="H48" s="369" t="n"/>
      <c r="I48" s="369" t="n"/>
      <c r="J48" s="369" t="n"/>
      <c r="K48" s="369" t="n"/>
      <c r="L48" s="136" t="n"/>
      <c r="M48" s="136" t="n"/>
      <c r="N48" s="136" t="n"/>
      <c r="O48" s="136" t="n"/>
      <c r="P48" s="136" t="n"/>
      <c r="Q48" s="136" t="n"/>
      <c r="R48" s="136" t="n"/>
      <c r="S48" s="136" t="n"/>
      <c r="T48" s="136" t="n"/>
      <c r="U48" s="136" t="n"/>
      <c r="V48" s="136" t="n"/>
      <c r="W48" s="136" t="n"/>
      <c r="X48" s="136" t="n"/>
      <c r="Y48" s="136" t="n"/>
      <c r="Z48" s="136" t="n"/>
      <c r="AA48" s="136" t="n"/>
      <c r="AB48" s="136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s="131">
      <c r="A49" s="369" t="n"/>
      <c r="B49" s="369" t="n"/>
      <c r="C49" s="369" t="n"/>
      <c r="D49" s="369" t="n"/>
      <c r="E49" s="369" t="n"/>
      <c r="F49" s="369" t="n"/>
      <c r="G49" s="369" t="n"/>
      <c r="H49" s="369" t="n"/>
      <c r="I49" s="369" t="n"/>
      <c r="J49" s="369" t="n"/>
      <c r="K49" s="369" t="n"/>
      <c r="L49" s="136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6" t="n"/>
      <c r="Y49" s="136" t="n"/>
      <c r="Z49" s="136" t="n"/>
      <c r="AA49" s="136" t="n"/>
      <c r="AB49" s="136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s="131">
      <c r="A50" s="369" t="n"/>
      <c r="B50" s="369" t="n"/>
      <c r="C50" s="369" t="n"/>
      <c r="D50" s="369" t="n"/>
      <c r="E50" s="369" t="n"/>
      <c r="F50" s="369" t="n"/>
      <c r="G50" s="369" t="n"/>
      <c r="H50" s="369" t="n"/>
      <c r="I50" s="369" t="n"/>
      <c r="J50" s="369" t="n"/>
      <c r="K50" s="369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</sheetData>
  <mergeCells count="9">
    <mergeCell ref="B4:AB4"/>
    <mergeCell ref="B39:G39"/>
    <mergeCell ref="B28:G28"/>
    <mergeCell ref="B22:G22"/>
    <mergeCell ref="B23:G23"/>
    <mergeCell ref="B20:I20"/>
    <mergeCell ref="B2:AB2"/>
    <mergeCell ref="B3:AB3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COLUMBIA VILLAGE | GREEN = Affordable Comps | BLUE = Market Rate Comps</t>
        </is>
      </c>
      <c r="AF3" s="136" t="n"/>
      <c r="AG3" s="136" t="n"/>
      <c r="AH3" s="136" t="n"/>
      <c r="AI3" s="136" t="n"/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Columbia Village | 11299 Columbia Village Dr, Sonora, CA 95370 | 80 units | Program: LIHTC | Bedroom Mix: 1BR / 2BR / 3BR | County AMI: $101,600 | FMR Area: Tuolumne County, CA</t>
        </is>
      </c>
      <c r="AF4" s="136" t="n"/>
      <c r="AG4" s="136" t="n"/>
      <c r="AH4" s="136" t="n"/>
      <c r="AI4" s="136" t="n"/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F5" s="136" t="n"/>
      <c r="AG5" s="136" t="n"/>
      <c r="AH5" s="136" t="n"/>
      <c r="AI5" s="136" t="n"/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1BD 50% AMI ($)</t>
        </is>
      </c>
      <c r="J6" s="280" t="inlineStr">
        <is>
          <t>1BD 60% AMI ($)</t>
        </is>
      </c>
      <c r="K6" s="280" t="inlineStr">
        <is>
          <t>1BR FMR ($)</t>
        </is>
      </c>
      <c r="L6" s="335" t="inlineStr">
        <is>
          <t>1BR Actual ($)</t>
        </is>
      </c>
      <c r="M6" s="281" t="inlineStr">
        <is>
          <t>2BD 50% AMI ($)</t>
        </is>
      </c>
      <c r="N6" s="280" t="inlineStr">
        <is>
          <t>2BD 60% AMI ($)</t>
        </is>
      </c>
      <c r="O6" s="280" t="inlineStr">
        <is>
          <t>2BR FMR ($)</t>
        </is>
      </c>
      <c r="P6" s="335" t="inlineStr">
        <is>
          <t>2BR Actual ($)</t>
        </is>
      </c>
      <c r="Q6" s="281" t="inlineStr">
        <is>
          <t>3BD 50% AMI ($)</t>
        </is>
      </c>
      <c r="R6" s="280" t="inlineStr">
        <is>
          <t>3BD 60% AMI ($)</t>
        </is>
      </c>
      <c r="S6" s="280" t="inlineStr">
        <is>
          <t>3BR FMR ($)</t>
        </is>
      </c>
      <c r="T6" s="339" t="inlineStr">
        <is>
          <t>3BR Actual ($)</t>
        </is>
      </c>
      <c r="U6" s="339" t="inlineStr">
        <is>
          <t># Units</t>
        </is>
      </c>
      <c r="V6" s="339" t="inlineStr">
        <is>
          <t>Year Built</t>
        </is>
      </c>
      <c r="W6" s="339" t="inlineStr">
        <is>
          <t>Yr Diff</t>
        </is>
      </c>
      <c r="X6" s="339" t="inlineStr">
        <is>
          <t>Utilities Incl.</t>
        </is>
      </c>
      <c r="Y6" s="339" t="inlineStr">
        <is>
          <t>Pet Friendly</t>
        </is>
      </c>
      <c r="Z6" s="336" t="inlineStr">
        <is>
          <t>Gated</t>
        </is>
      </c>
      <c r="AA6" s="340" t="inlineStr">
        <is>
          <t>Pool</t>
        </is>
      </c>
      <c r="AB6" s="342" t="inlineStr">
        <is>
          <t>W/D In-Unit</t>
        </is>
      </c>
      <c r="AC6" s="136" t="inlineStr">
        <is>
          <t>Competition Level</t>
        </is>
      </c>
      <c r="AD6" s="136" t="inlineStr">
        <is>
          <t>Why Competitive</t>
        </is>
      </c>
      <c r="AE6" s="136" t="inlineStr">
        <is>
          <t>Data Source</t>
        </is>
      </c>
      <c r="AF6" s="136" t="n"/>
      <c r="AG6" s="136" t="n"/>
      <c r="AH6" s="136" t="n"/>
      <c r="AI6" s="136" t="n"/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Columbia Village (SUBJECT)</t>
        </is>
      </c>
      <c r="D7" s="174" t="inlineStr">
        <is>
          <t>11299 Columbia Village Dr</t>
        </is>
      </c>
      <c r="E7" s="174" t="inlineStr">
        <is>
          <t>Sonora</t>
        </is>
      </c>
      <c r="F7" s="174" t="inlineStr">
        <is>
          <t>CA</t>
        </is>
      </c>
      <c r="G7" s="174" t="inlineStr">
        <is>
          <t>95370</t>
        </is>
      </c>
      <c r="H7" s="174" t="inlineStr">
        <is>
          <t>0.0 mi</t>
        </is>
      </c>
      <c r="I7" s="174" t="inlineStr">
        <is>
          <t>$3,176</t>
        </is>
      </c>
      <c r="J7" s="174" t="inlineStr">
        <is>
          <t>$3,812</t>
        </is>
      </c>
      <c r="K7" s="174" t="inlineStr">
        <is>
          <t>$1,096</t>
        </is>
      </c>
      <c r="L7" s="368">
        <f>B26</f>
        <v/>
      </c>
      <c r="M7" s="174" t="inlineStr">
        <is>
          <t>$3,812</t>
        </is>
      </c>
      <c r="N7" s="174" t="inlineStr">
        <is>
          <t>$4,575</t>
        </is>
      </c>
      <c r="O7" s="174" t="inlineStr">
        <is>
          <t>$1,500</t>
        </is>
      </c>
      <c r="P7" s="368">
        <f>B27</f>
        <v/>
      </c>
      <c r="Q7" s="174" t="inlineStr">
        <is>
          <t>$4,233</t>
        </is>
      </c>
      <c r="R7" s="174" t="inlineStr">
        <is>
          <t>$5,080</t>
        </is>
      </c>
      <c r="S7" s="174" t="inlineStr">
        <is>
          <t>$1,970</t>
        </is>
      </c>
      <c r="T7" s="368">
        <f>B28</f>
        <v/>
      </c>
      <c r="U7" s="174" t="inlineStr">
        <is>
          <t>80</t>
        </is>
      </c>
      <c r="V7" s="174" t="inlineStr">
        <is>
          <t>2000</t>
        </is>
      </c>
      <c r="W7" s="174" t="inlineStr">
        <is>
          <t>0</t>
        </is>
      </c>
      <c r="X7" s="174" t="inlineStr">
        <is>
          <t>No</t>
        </is>
      </c>
      <c r="Y7" s="42" t="inlineStr">
        <is>
          <t>No</t>
        </is>
      </c>
      <c r="Z7" s="55" t="inlineStr">
        <is>
          <t>No</t>
        </is>
      </c>
      <c r="AA7" s="40" t="inlineStr">
        <is>
          <t>No</t>
        </is>
      </c>
      <c r="AB7" s="136" t="inlineStr">
        <is>
          <t>No</t>
        </is>
      </c>
      <c r="AC7" s="136" t="inlineStr">
        <is>
          <t>SUBJECT</t>
        </is>
      </c>
      <c r="AD7" s="136" t="inlineStr">
        <is>
          <t>80 units | LIHTC property. Year built: 2000. Subject property for market context.</t>
        </is>
      </c>
      <c r="AE7" s="136" t="inlineStr">
        <is>
          <t>Apartment Corp Records</t>
        </is>
      </c>
      <c r="AF7" s="136" t="n"/>
      <c r="AG7" s="136" t="n"/>
      <c r="AH7" s="136" t="n"/>
      <c r="AI7" s="136" t="n"/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Oak Hills Apts</t>
        </is>
      </c>
      <c r="D8" s="59" t="inlineStr">
        <is>
          <t>10260 Preston Ln</t>
        </is>
      </c>
      <c r="E8" s="59" t="inlineStr">
        <is>
          <t>Jamestown</t>
        </is>
      </c>
      <c r="F8" s="59" t="inlineStr">
        <is>
          <t>CA</t>
        </is>
      </c>
      <c r="G8" s="59" t="inlineStr">
        <is>
          <t>95327</t>
        </is>
      </c>
      <c r="H8" s="59" t="inlineStr">
        <is>
          <t>3.1 mi</t>
        </is>
      </c>
      <c r="I8" s="59" t="inlineStr">
        <is>
          <t>$3,176</t>
        </is>
      </c>
      <c r="J8" s="59" t="inlineStr">
        <is>
          <t>$3,812</t>
        </is>
      </c>
      <c r="K8" s="41" t="inlineStr">
        <is>
          <t>$1,096</t>
        </is>
      </c>
      <c r="L8" s="53" t="inlineStr">
        <is>
          <t>Not Listed</t>
        </is>
      </c>
      <c r="M8" s="43" t="inlineStr">
        <is>
          <t>$3,812</t>
        </is>
      </c>
      <c r="N8" s="43" t="inlineStr">
        <is>
          <t>$4,575</t>
        </is>
      </c>
      <c r="O8" s="41" t="inlineStr">
        <is>
          <t>$1,500</t>
        </is>
      </c>
      <c r="P8" s="53" t="inlineStr">
        <is>
          <t>Not Listed</t>
        </is>
      </c>
      <c r="Q8" s="43" t="inlineStr">
        <is>
          <t>$4,233</t>
        </is>
      </c>
      <c r="R8" s="43" t="inlineStr">
        <is>
          <t>$5,080</t>
        </is>
      </c>
      <c r="S8" s="43" t="inlineStr">
        <is>
          <t>$1,970</t>
        </is>
      </c>
      <c r="T8" s="43" t="inlineStr">
        <is>
          <t>Not Listed</t>
        </is>
      </c>
      <c r="U8" s="43" t="inlineStr">
        <is>
          <t>80</t>
        </is>
      </c>
      <c r="V8" s="43" t="inlineStr">
        <is>
          <t>1998</t>
        </is>
      </c>
      <c r="W8" s="43" t="inlineStr">
        <is>
          <t>2</t>
        </is>
      </c>
      <c r="X8" s="43" t="inlineStr">
        <is>
          <t>Yes</t>
        </is>
      </c>
      <c r="Y8" s="44" t="inlineStr">
        <is>
          <t>No</t>
        </is>
      </c>
      <c r="Z8" s="56" t="inlineStr">
        <is>
          <t>No</t>
        </is>
      </c>
      <c r="AA8" s="43" t="inlineStr">
        <is>
          <t>No</t>
        </is>
      </c>
      <c r="AB8" s="136" t="inlineStr">
        <is>
          <t>No</t>
        </is>
      </c>
      <c r="AC8" s="136" t="inlineStr">
        <is>
          <t>HIGH</t>
        </is>
      </c>
      <c r="AD8" s="136" t="inlineStr">
        <is>
          <t>Affordable Comp #1: LIHTC property, 1998 vintage (2 yr diff), 80 units, 3.1 mi from subject. Same income-eligible renter pool.</t>
        </is>
      </c>
      <c r="AE8" s="136" t="inlineStr">
        <is>
          <t>HUD LIHTC Database (huduser.gov)</t>
        </is>
      </c>
      <c r="AF8" s="136" t="n"/>
      <c r="AG8" s="136" t="n"/>
      <c r="AH8" s="136" t="n"/>
      <c r="AI8" s="136" t="n"/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Forest View Senior Apts</t>
        </is>
      </c>
      <c r="D9" s="125" t="inlineStr">
        <is>
          <t>19499 Hess Ave</t>
        </is>
      </c>
      <c r="E9" s="125" t="inlineStr">
        <is>
          <t>Sonora</t>
        </is>
      </c>
      <c r="F9" s="125" t="inlineStr">
        <is>
          <t>CA</t>
        </is>
      </c>
      <c r="G9" s="125" t="inlineStr">
        <is>
          <t>95370</t>
        </is>
      </c>
      <c r="H9" s="125" t="inlineStr">
        <is>
          <t>2.8 mi</t>
        </is>
      </c>
      <c r="I9" s="125" t="inlineStr">
        <is>
          <t>$3,176</t>
        </is>
      </c>
      <c r="J9" s="125" t="inlineStr">
        <is>
          <t>$3,812</t>
        </is>
      </c>
      <c r="K9" s="85" t="inlineStr">
        <is>
          <t>$1,096</t>
        </is>
      </c>
      <c r="L9" s="86" t="inlineStr">
        <is>
          <t>Not Listed</t>
        </is>
      </c>
      <c r="M9" s="128" t="inlineStr">
        <is>
          <t>$3,812</t>
        </is>
      </c>
      <c r="N9" s="128" t="inlineStr">
        <is>
          <t>$4,575</t>
        </is>
      </c>
      <c r="O9" s="85" t="inlineStr">
        <is>
          <t>$1,500</t>
        </is>
      </c>
      <c r="P9" s="86" t="inlineStr">
        <is>
          <t>Not Listed</t>
        </is>
      </c>
      <c r="Q9" s="128" t="inlineStr">
        <is>
          <t>$4,233</t>
        </is>
      </c>
      <c r="R9" s="128" t="inlineStr">
        <is>
          <t>$5,080</t>
        </is>
      </c>
      <c r="S9" s="128" t="inlineStr">
        <is>
          <t>$1,970</t>
        </is>
      </c>
      <c r="T9" s="128" t="inlineStr">
        <is>
          <t>Not Listed</t>
        </is>
      </c>
      <c r="U9" s="128" t="inlineStr">
        <is>
          <t>60</t>
        </is>
      </c>
      <c r="V9" s="128" t="inlineStr">
        <is>
          <t>1999</t>
        </is>
      </c>
      <c r="W9" s="128" t="inlineStr">
        <is>
          <t>1</t>
        </is>
      </c>
      <c r="X9" s="128" t="inlineStr">
        <is>
          <t>Yes</t>
        </is>
      </c>
      <c r="Y9" s="129" t="inlineStr">
        <is>
          <t>No</t>
        </is>
      </c>
      <c r="Z9" s="130" t="inlineStr">
        <is>
          <t>No</t>
        </is>
      </c>
      <c r="AA9" s="128" t="inlineStr">
        <is>
          <t>No</t>
        </is>
      </c>
      <c r="AB9" s="136" t="inlineStr">
        <is>
          <t>No</t>
        </is>
      </c>
      <c r="AC9" s="136" t="inlineStr">
        <is>
          <t>HIGH</t>
        </is>
      </c>
      <c r="AD9" s="136" t="inlineStr">
        <is>
          <t>Affordable Comp #2: LIHTC property, 1999 vintage (1 yr diff), 60 units, 2.8 mi from subject. Same income-eligible renter pool.</t>
        </is>
      </c>
      <c r="AE9" s="136" t="inlineStr">
        <is>
          <t>HUD LIHTC Database (huduser.gov)</t>
        </is>
      </c>
      <c r="AF9" s="136" t="n"/>
      <c r="AG9" s="136" t="n"/>
      <c r="AH9" s="136" t="n"/>
      <c r="AI9" s="136" t="n"/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Stockton Gardens Apts</t>
        </is>
      </c>
      <c r="D10" s="107" t="inlineStr">
        <is>
          <t>1025 Rosemarie Ln</t>
        </is>
      </c>
      <c r="E10" s="107" t="inlineStr">
        <is>
          <t>Stockton</t>
        </is>
      </c>
      <c r="F10" s="107" t="inlineStr">
        <is>
          <t>CA</t>
        </is>
      </c>
      <c r="G10" s="107" t="inlineStr">
        <is>
          <t>95207</t>
        </is>
      </c>
      <c r="H10" s="107" t="inlineStr">
        <is>
          <t>51.0 mi</t>
        </is>
      </c>
      <c r="I10" s="107" t="inlineStr">
        <is>
          <t>$3,176</t>
        </is>
      </c>
      <c r="J10" s="107" t="inlineStr">
        <is>
          <t>$3,812</t>
        </is>
      </c>
      <c r="K10" s="80" t="inlineStr">
        <is>
          <t>$1,096</t>
        </is>
      </c>
      <c r="L10" s="81" t="inlineStr">
        <is>
          <t>$929</t>
        </is>
      </c>
      <c r="M10" s="108" t="inlineStr">
        <is>
          <t>$3,812</t>
        </is>
      </c>
      <c r="N10" s="108" t="inlineStr">
        <is>
          <t>$4,575</t>
        </is>
      </c>
      <c r="O10" s="80" t="inlineStr">
        <is>
          <t>$1,500</t>
        </is>
      </c>
      <c r="P10" s="81" t="inlineStr">
        <is>
          <t>$1,537</t>
        </is>
      </c>
      <c r="Q10" s="108" t="inlineStr">
        <is>
          <t>$4,233</t>
        </is>
      </c>
      <c r="R10" s="108" t="inlineStr">
        <is>
          <t>$5,080</t>
        </is>
      </c>
      <c r="S10" s="108" t="inlineStr">
        <is>
          <t>$1,970</t>
        </is>
      </c>
      <c r="T10" s="108" t="inlineStr">
        <is>
          <t>Not Listed</t>
        </is>
      </c>
      <c r="U10" s="108" t="inlineStr">
        <is>
          <t>80</t>
        </is>
      </c>
      <c r="V10" s="108" t="inlineStr">
        <is>
          <t>2000</t>
        </is>
      </c>
      <c r="W10" s="108" t="inlineStr">
        <is>
          <t>0</t>
        </is>
      </c>
      <c r="X10" s="108" t="inlineStr">
        <is>
          <t>Yes</t>
        </is>
      </c>
      <c r="Y10" s="109" t="inlineStr">
        <is>
          <t>No</t>
        </is>
      </c>
      <c r="Z10" s="110" t="inlineStr">
        <is>
          <t>No</t>
        </is>
      </c>
      <c r="AA10" s="111" t="inlineStr">
        <is>
          <t>No</t>
        </is>
      </c>
      <c r="AB10" s="134" t="inlineStr">
        <is>
          <t>No</t>
        </is>
      </c>
      <c r="AC10" s="136" t="inlineStr">
        <is>
          <t>MODERATE</t>
        </is>
      </c>
      <c r="AD10" s="136" t="inlineStr">
        <is>
          <t>Affordable Comp #3: LIHTC property, 2000 vintage (0 yr diff), 80 units, 51.0 mi from subject. Same income-eligible renter pool.</t>
        </is>
      </c>
      <c r="AE10" s="136" t="inlineStr">
        <is>
          <t>HUD LIHTC Database (huduser.gov)</t>
        </is>
      </c>
      <c r="AF10" s="136" t="n"/>
      <c r="AG10" s="136" t="n"/>
      <c r="AH10" s="136" t="n"/>
      <c r="AI10" s="136" t="n"/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Stockton Terrace Apts</t>
        </is>
      </c>
      <c r="D11" s="95" t="inlineStr">
        <is>
          <t>246 E Iris Ave</t>
        </is>
      </c>
      <c r="E11" s="95" t="inlineStr">
        <is>
          <t>Stockton</t>
        </is>
      </c>
      <c r="F11" s="95" t="inlineStr">
        <is>
          <t>CA</t>
        </is>
      </c>
      <c r="G11" s="95" t="inlineStr">
        <is>
          <t>95210</t>
        </is>
      </c>
      <c r="H11" s="95" t="inlineStr">
        <is>
          <t>50.6 mi</t>
        </is>
      </c>
      <c r="I11" s="95" t="inlineStr">
        <is>
          <t>$3,176</t>
        </is>
      </c>
      <c r="J11" s="95" t="inlineStr">
        <is>
          <t>$3,812</t>
        </is>
      </c>
      <c r="K11" s="39" t="inlineStr">
        <is>
          <t>$1,096</t>
        </is>
      </c>
      <c r="L11" s="53" t="inlineStr">
        <is>
          <t>Not Listed</t>
        </is>
      </c>
      <c r="M11" s="96" t="inlineStr">
        <is>
          <t>$3,812</t>
        </is>
      </c>
      <c r="N11" s="96" t="inlineStr">
        <is>
          <t>$4,575</t>
        </is>
      </c>
      <c r="O11" s="39" t="inlineStr">
        <is>
          <t>$1,500</t>
        </is>
      </c>
      <c r="P11" s="53" t="inlineStr">
        <is>
          <t>Not Listed</t>
        </is>
      </c>
      <c r="Q11" s="96" t="inlineStr">
        <is>
          <t>$4,233</t>
        </is>
      </c>
      <c r="R11" s="96" t="inlineStr">
        <is>
          <t>$5,080</t>
        </is>
      </c>
      <c r="S11" s="96" t="inlineStr">
        <is>
          <t>$1,970</t>
        </is>
      </c>
      <c r="T11" s="96" t="inlineStr">
        <is>
          <t>Not Listed</t>
        </is>
      </c>
      <c r="U11" s="96" t="inlineStr">
        <is>
          <t>80</t>
        </is>
      </c>
      <c r="V11" s="96" t="inlineStr">
        <is>
          <t>2000</t>
        </is>
      </c>
      <c r="W11" s="96" t="inlineStr">
        <is>
          <t>0</t>
        </is>
      </c>
      <c r="X11" s="96" t="inlineStr">
        <is>
          <t>Yes</t>
        </is>
      </c>
      <c r="Y11" s="45" t="inlineStr">
        <is>
          <t>No</t>
        </is>
      </c>
      <c r="Z11" s="97" t="inlineStr">
        <is>
          <t>No</t>
        </is>
      </c>
      <c r="AA11" s="113" t="inlineStr">
        <is>
          <t>No</t>
        </is>
      </c>
      <c r="AB11" s="134" t="inlineStr">
        <is>
          <t>No</t>
        </is>
      </c>
      <c r="AC11" s="136" t="inlineStr">
        <is>
          <t>MODERATE</t>
        </is>
      </c>
      <c r="AD11" s="136" t="inlineStr">
        <is>
          <t>Affordable Comp #4: LIHTC property, 2000 vintage (0 yr diff), 80 units, 50.6 mi from subject. Same income-eligible renter pool.</t>
        </is>
      </c>
      <c r="AE11" s="136" t="inlineStr">
        <is>
          <t>HUD LIHTC Database (huduser.gov)</t>
        </is>
      </c>
      <c r="AF11" s="136" t="n"/>
      <c r="AG11" s="136" t="n"/>
      <c r="AH11" s="136" t="n"/>
      <c r="AI11" s="136" t="n"/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37.5" customHeight="1" s="131">
      <c r="A12" s="114" t="inlineStr">
        <is>
          <t>1</t>
        </is>
      </c>
      <c r="B12" s="70" t="inlineStr">
        <is>
          <t>MARKET RATE</t>
        </is>
      </c>
      <c r="C12" s="67" t="inlineStr">
        <is>
          <t>Quail Hollow Apartments</t>
        </is>
      </c>
      <c r="D12" s="98" t="inlineStr">
        <is>
          <t>20230 Grouse Way</t>
        </is>
      </c>
      <c r="E12" s="98" t="inlineStr">
        <is>
          <t>Sonora</t>
        </is>
      </c>
      <c r="F12" s="98" t="inlineStr">
        <is>
          <t>CA</t>
        </is>
      </c>
      <c r="G12" s="98" t="n"/>
      <c r="H12" s="98" t="inlineStr">
        <is>
          <t>2.0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$1,096</t>
        </is>
      </c>
      <c r="L12" s="53" t="n">
        <v>1365</v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$1,500</t>
        </is>
      </c>
      <c r="P12" s="53" t="n">
        <v>1420</v>
      </c>
      <c r="Q12" s="99" t="inlineStr">
        <is>
          <t>N/A (Market Rate)</t>
        </is>
      </c>
      <c r="R12" s="99" t="inlineStr">
        <is>
          <t>N/A (Market Rate)</t>
        </is>
      </c>
      <c r="S12" s="99" t="inlineStr">
        <is>
          <t>$1,970</t>
        </is>
      </c>
      <c r="T12" s="99" t="n">
        <v>2050</v>
      </c>
      <c r="U12" s="99" t="inlineStr">
        <is>
          <t>N/A</t>
        </is>
      </c>
      <c r="V12" s="99" t="inlineStr">
        <is>
          <t>2000</t>
        </is>
      </c>
      <c r="W12" s="99" t="inlineStr">
        <is>
          <t>0</t>
        </is>
      </c>
      <c r="X12" s="99" t="inlineStr">
        <is>
          <t>Varies</t>
        </is>
      </c>
      <c r="Y12" s="46" t="inlineStr">
        <is>
          <t>Varies</t>
        </is>
      </c>
      <c r="Z12" s="100" t="inlineStr">
        <is>
          <t>Varies</t>
        </is>
      </c>
      <c r="AA12" s="115" t="inlineStr">
        <is>
          <t>Varies</t>
        </is>
      </c>
      <c r="AB12" s="134" t="inlineStr">
        <is>
          <t>Varies</t>
        </is>
      </c>
      <c r="AC12" s="136" t="inlineStr">
        <is>
          <t>HIGH</t>
        </is>
      </c>
      <c r="AD12" s="136" t="inlineStr">
        <is>
          <t>Market Rate Comp #1: No income restrictions, 2000 vintage (0 yr diff), N/A units, N/A from subject. Shows market-rate rents vs. affordable housing discount.</t>
        </is>
      </c>
      <c r="AE12" s="136" t="inlineStr">
        <is>
          <t>HUD FY2026 FMR - Tuolumne County, CA (limited market rate listings in Sonora)</t>
        </is>
      </c>
      <c r="AF12" s="136" t="n"/>
      <c r="AG12" s="136" t="n"/>
      <c r="AH12" s="136" t="n"/>
      <c r="AI12" s="136" t="n"/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inlineStr">
        <is>
          <t>2</t>
        </is>
      </c>
      <c r="B13" s="71" t="inlineStr">
        <is>
          <t>Quail Hollow Apartments</t>
        </is>
      </c>
      <c r="C13" s="68" t="inlineStr">
        <is>
          <t>Sonora Rental Market (est.)</t>
        </is>
      </c>
      <c r="D13" s="101" t="inlineStr">
        <is>
          <t>165 S Shepherd St</t>
        </is>
      </c>
      <c r="E13" s="101" t="inlineStr">
        <is>
          <t>Sonora</t>
        </is>
      </c>
      <c r="F13" s="101" t="inlineStr">
        <is>
          <t>CA</t>
        </is>
      </c>
      <c r="G13" s="101" t="n"/>
      <c r="H13" s="101" t="inlineStr">
        <is>
          <t>1.5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$1,096</t>
        </is>
      </c>
      <c r="L13" s="53" t="n"/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$1,500</t>
        </is>
      </c>
      <c r="P13" s="53" t="n">
        <v>1595</v>
      </c>
      <c r="Q13" s="102" t="inlineStr">
        <is>
          <t>N/A (Market Rate)</t>
        </is>
      </c>
      <c r="R13" s="102" t="inlineStr">
        <is>
          <t>N/A (Market Rate)</t>
        </is>
      </c>
      <c r="S13" s="102" t="inlineStr">
        <is>
          <t>$1,970</t>
        </is>
      </c>
      <c r="T13" s="102" t="n">
        <v>1975</v>
      </c>
      <c r="U13" s="102" t="inlineStr">
        <is>
          <t>120</t>
        </is>
      </c>
      <c r="V13" s="102" t="inlineStr">
        <is>
          <t>2001</t>
        </is>
      </c>
      <c r="W13" s="102" t="inlineStr">
        <is>
          <t>1</t>
        </is>
      </c>
      <c r="X13" s="102" t="inlineStr">
        <is>
          <t>Varies</t>
        </is>
      </c>
      <c r="Y13" s="47" t="inlineStr">
        <is>
          <t>Varies</t>
        </is>
      </c>
      <c r="Z13" s="103" t="inlineStr">
        <is>
          <t>Varies</t>
        </is>
      </c>
      <c r="AA13" s="117" t="inlineStr">
        <is>
          <t>Varies</t>
        </is>
      </c>
      <c r="AB13" s="134" t="inlineStr">
        <is>
          <t>Varies</t>
        </is>
      </c>
      <c r="AC13" s="136" t="inlineStr">
        <is>
          <t>MODERATE</t>
        </is>
      </c>
      <c r="AD13" s="136" t="inlineStr">
        <is>
          <t>Market Rate Comp #2: No income restrictions, 2001 vintage (1 yr diff), 120 units, 45.0 mi from subject. Shows market-rate rents vs. affordable housing discount.</t>
        </is>
      </c>
      <c r="AE13" s="136" t="inlineStr">
        <is>
          <t>https://www.rentcafe.com/apartments-for-rent/us/ca/modesto/</t>
        </is>
      </c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inlineStr">
        <is>
          <t>3</t>
        </is>
      </c>
      <c r="B14" s="69" t="inlineStr">
        <is>
          <t>Shepherd Street Apartments</t>
        </is>
      </c>
      <c r="C14" s="66" t="inlineStr">
        <is>
          <t>Sonora Rental Market (est.)</t>
        </is>
      </c>
      <c r="D14" s="95" t="inlineStr">
        <is>
          <t>100 Greenley Rd</t>
        </is>
      </c>
      <c r="E14" s="95" t="inlineStr">
        <is>
          <t>Sonora</t>
        </is>
      </c>
      <c r="F14" s="95" t="inlineStr">
        <is>
          <t>CA</t>
        </is>
      </c>
      <c r="G14" s="95" t="n"/>
      <c r="H14" s="95" t="inlineStr">
        <is>
          <t>1.0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$1,096</t>
        </is>
      </c>
      <c r="L14" s="53" t="n"/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$1,500</t>
        </is>
      </c>
      <c r="P14" s="53" t="n">
        <v>1550</v>
      </c>
      <c r="Q14" s="96" t="inlineStr">
        <is>
          <t>N/A (Market Rate)</t>
        </is>
      </c>
      <c r="R14" s="96" t="inlineStr">
        <is>
          <t>N/A (Market Rate)</t>
        </is>
      </c>
      <c r="S14" s="96" t="inlineStr">
        <is>
          <t>$1,970</t>
        </is>
      </c>
      <c r="T14" s="96" t="n">
        <v>1925</v>
      </c>
      <c r="U14" s="96" t="inlineStr">
        <is>
          <t>96</t>
        </is>
      </c>
      <c r="V14" s="96" t="inlineStr">
        <is>
          <t>1998</t>
        </is>
      </c>
      <c r="W14" s="96" t="inlineStr">
        <is>
          <t>2</t>
        </is>
      </c>
      <c r="X14" s="96" t="inlineStr">
        <is>
          <t>Varies</t>
        </is>
      </c>
      <c r="Y14" s="45" t="inlineStr">
        <is>
          <t>Varies</t>
        </is>
      </c>
      <c r="Z14" s="97" t="inlineStr">
        <is>
          <t>Varies</t>
        </is>
      </c>
      <c r="AA14" s="113" t="inlineStr">
        <is>
          <t>Varies</t>
        </is>
      </c>
      <c r="AB14" s="134" t="inlineStr">
        <is>
          <t>Varies</t>
        </is>
      </c>
      <c r="AC14" s="136" t="inlineStr">
        <is>
          <t>MODERATE</t>
        </is>
      </c>
      <c r="AD14" s="136" t="inlineStr">
        <is>
          <t>Market Rate Comp #3: No income restrictions, 1998 vintage (2 yr diff), 96 units, 47.0 mi from subject. Shows market-rate rents vs. affordable housing discount.</t>
        </is>
      </c>
      <c r="AE14" s="136" t="inlineStr">
        <is>
          <t>https://www.rentcafe.com/apartments-for-rent/us/ca/modesto/</t>
        </is>
      </c>
      <c r="AF14" s="136" t="n"/>
      <c r="AG14" s="136" t="n"/>
      <c r="AH14" s="136" t="n"/>
      <c r="AI14" s="136" t="n"/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inlineStr">
        <is>
          <t>4</t>
        </is>
      </c>
      <c r="B15" s="69" t="inlineStr">
        <is>
          <t>Blackberry Oaks</t>
        </is>
      </c>
      <c r="C15" s="66" t="inlineStr">
        <is>
          <t>Sonora Rental Market (est.)</t>
        </is>
      </c>
      <c r="D15" s="95" t="inlineStr">
        <is>
          <t>22316 Longeway Rd</t>
        </is>
      </c>
      <c r="E15" s="95" t="inlineStr">
        <is>
          <t>Sonora</t>
        </is>
      </c>
      <c r="F15" s="95" t="inlineStr">
        <is>
          <t>CA</t>
        </is>
      </c>
      <c r="G15" s="95" t="n"/>
      <c r="H15" s="95" t="inlineStr">
        <is>
          <t>3.0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$1,096</t>
        </is>
      </c>
      <c r="L15" s="53" t="n"/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$1,500</t>
        </is>
      </c>
      <c r="P15" s="53" t="n">
        <v>1650</v>
      </c>
      <c r="Q15" s="96" t="inlineStr">
        <is>
          <t>N/A (Market Rate)</t>
        </is>
      </c>
      <c r="R15" s="96" t="inlineStr">
        <is>
          <t>N/A (Market Rate)</t>
        </is>
      </c>
      <c r="S15" s="96" t="inlineStr">
        <is>
          <t>$1,970</t>
        </is>
      </c>
      <c r="T15" s="96" t="n">
        <v>2050</v>
      </c>
      <c r="U15" s="96" t="inlineStr">
        <is>
          <t>N/A</t>
        </is>
      </c>
      <c r="V15" s="96" t="inlineStr">
        <is>
          <t>1998</t>
        </is>
      </c>
      <c r="W15" s="96" t="inlineStr">
        <is>
          <t>2</t>
        </is>
      </c>
      <c r="X15" s="96" t="inlineStr">
        <is>
          <t>Varies</t>
        </is>
      </c>
      <c r="Y15" s="45" t="inlineStr">
        <is>
          <t>Varies</t>
        </is>
      </c>
      <c r="Z15" s="97" t="inlineStr">
        <is>
          <t>Varies</t>
        </is>
      </c>
      <c r="AA15" s="113" t="inlineStr">
        <is>
          <t>Varies</t>
        </is>
      </c>
      <c r="AB15" s="134" t="inlineStr">
        <is>
          <t>Varies</t>
        </is>
      </c>
      <c r="AC15" s="136" t="inlineStr">
        <is>
          <t>HIGH</t>
        </is>
      </c>
      <c r="AD15" s="136" t="inlineStr">
        <is>
          <t>Market Rate Comp #4: No income restrictions, 1998 vintage (2 yr diff), N/A units, N/A from subject. Shows market-rate rents vs. affordable housing discount.</t>
        </is>
      </c>
      <c r="AE15" s="136" t="inlineStr">
        <is>
          <t>HUD FY2026 FMR - Tuolumne County, CA</t>
        </is>
      </c>
      <c r="AF15" s="136" t="n"/>
      <c r="AG15" s="136" t="n"/>
      <c r="AH15" s="136" t="n"/>
      <c r="AI15" s="136" t="n"/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inlineStr">
        <is>
          <t>—</t>
        </is>
      </c>
      <c r="B16" s="82" t="inlineStr">
        <is>
          <t>BENCHMARK</t>
        </is>
      </c>
      <c r="C16" s="119" t="inlineStr">
        <is>
          <t>FY2026 FMR — Tuolumne County, CA</t>
        </is>
      </c>
      <c r="D16" s="120" t="inlineStr">
        <is>
          <t>N/A</t>
        </is>
      </c>
      <c r="E16" s="120" t="inlineStr">
        <is>
          <t>Sonora</t>
        </is>
      </c>
      <c r="F16" s="120" t="inlineStr">
        <is>
          <t>CA</t>
        </is>
      </c>
      <c r="G16" s="120" t="inlineStr">
        <is>
          <t>N/A</t>
        </is>
      </c>
      <c r="H16" s="120" t="inlineStr">
        <is>
          <t>N/A</t>
        </is>
      </c>
      <c r="I16" s="120" t="inlineStr">
        <is>
          <t>$1,096</t>
        </is>
      </c>
      <c r="J16" s="120" t="inlineStr">
        <is>
          <t>$1,096</t>
        </is>
      </c>
      <c r="K16" s="121" t="inlineStr">
        <is>
          <t>$1,096</t>
        </is>
      </c>
      <c r="L16" s="83" t="inlineStr">
        <is>
          <t>N/A</t>
        </is>
      </c>
      <c r="M16" s="122" t="inlineStr">
        <is>
          <t>$1,500</t>
        </is>
      </c>
      <c r="N16" s="122" t="inlineStr">
        <is>
          <t>$1,500</t>
        </is>
      </c>
      <c r="O16" s="121" t="inlineStr">
        <is>
          <t>$1,500</t>
        </is>
      </c>
      <c r="P16" s="83" t="inlineStr">
        <is>
          <t>N/A</t>
        </is>
      </c>
      <c r="Q16" s="122" t="inlineStr">
        <is>
          <t>$1,970</t>
        </is>
      </c>
      <c r="R16" s="122" t="inlineStr">
        <is>
          <t>$1,970</t>
        </is>
      </c>
      <c r="S16" s="122" t="inlineStr">
        <is>
          <t>$1,970</t>
        </is>
      </c>
      <c r="T16" s="122" t="inlineStr">
        <is>
          <t>N/A</t>
        </is>
      </c>
      <c r="U16" s="122" t="inlineStr">
        <is>
          <t>N/A</t>
        </is>
      </c>
      <c r="V16" s="122" t="inlineStr">
        <is>
          <t>N/A</t>
        </is>
      </c>
      <c r="W16" s="122" t="inlineStr">
        <is>
          <t>N/A</t>
        </is>
      </c>
      <c r="X16" s="122" t="inlineStr">
        <is>
          <t>N/A</t>
        </is>
      </c>
      <c r="Y16" s="84" t="inlineStr">
        <is>
          <t>N/A</t>
        </is>
      </c>
      <c r="Z16" s="123" t="inlineStr">
        <is>
          <t>N/A</t>
        </is>
      </c>
      <c r="AA16" s="124" t="inlineStr">
        <is>
          <t>N/A</t>
        </is>
      </c>
      <c r="AB16" s="134" t="inlineStr">
        <is>
          <t>N/A</t>
        </is>
      </c>
      <c r="AC16" s="136" t="inlineStr">
        <is>
          <t>BENCHMARK</t>
        </is>
      </c>
      <c r="AD16" s="136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136" t="inlineStr">
        <is>
          <t>HUD FMR Database (huduser.gov)</t>
        </is>
      </c>
      <c r="AF16" s="136" t="n"/>
      <c r="AG16" s="136" t="n"/>
      <c r="AH16" s="136" t="n"/>
      <c r="AI16" s="136" t="n"/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inlineStr">
        <is>
          <t>—</t>
        </is>
      </c>
      <c r="B17" s="88" t="inlineStr">
        <is>
          <t>BENCHMARK</t>
        </is>
      </c>
      <c r="C17" s="89" t="inlineStr">
        <is>
          <t>Metro Market Avg — Sonora</t>
        </is>
      </c>
      <c r="D17" s="87" t="inlineStr">
        <is>
          <t>N/A</t>
        </is>
      </c>
      <c r="E17" s="87" t="inlineStr">
        <is>
          <t>Sonora</t>
        </is>
      </c>
      <c r="F17" s="87" t="inlineStr">
        <is>
          <t>CA</t>
        </is>
      </c>
      <c r="G17" s="87" t="inlineStr">
        <is>
          <t>N/A</t>
        </is>
      </c>
      <c r="H17" s="87" t="inlineStr">
        <is>
          <t>N/A</t>
        </is>
      </c>
      <c r="I17" s="87" t="inlineStr">
        <is>
          <t>$1,205</t>
        </is>
      </c>
      <c r="J17" s="87" t="inlineStr">
        <is>
          <t>$1,205</t>
        </is>
      </c>
      <c r="K17" s="90" t="inlineStr">
        <is>
          <t>$1,205</t>
        </is>
      </c>
      <c r="L17" s="91" t="inlineStr">
        <is>
          <t>N/A</t>
        </is>
      </c>
      <c r="M17" s="92" t="inlineStr">
        <is>
          <t>$1,650</t>
        </is>
      </c>
      <c r="N17" s="92" t="inlineStr">
        <is>
          <t>$1,650</t>
        </is>
      </c>
      <c r="O17" s="90" t="inlineStr">
        <is>
          <t>$1,650</t>
        </is>
      </c>
      <c r="P17" s="91" t="inlineStr">
        <is>
          <t>N/A</t>
        </is>
      </c>
      <c r="Q17" s="92" t="inlineStr">
        <is>
          <t>$2,167</t>
        </is>
      </c>
      <c r="R17" s="92" t="inlineStr">
        <is>
          <t>$2,167</t>
        </is>
      </c>
      <c r="S17" s="92" t="inlineStr">
        <is>
          <t>$2,167</t>
        </is>
      </c>
      <c r="T17" s="92" t="inlineStr">
        <is>
          <t>N/A</t>
        </is>
      </c>
      <c r="U17" s="92" t="inlineStr">
        <is>
          <t>N/A</t>
        </is>
      </c>
      <c r="V17" s="92" t="inlineStr">
        <is>
          <t>N/A</t>
        </is>
      </c>
      <c r="W17" s="92" t="inlineStr">
        <is>
          <t>N/A</t>
        </is>
      </c>
      <c r="X17" s="92" t="inlineStr">
        <is>
          <t>N/A</t>
        </is>
      </c>
      <c r="Y17" s="93" t="inlineStr">
        <is>
          <t>N/A</t>
        </is>
      </c>
      <c r="Z17" s="94" t="inlineStr">
        <is>
          <t>N/A</t>
        </is>
      </c>
      <c r="AA17" s="92" t="inlineStr">
        <is>
          <t>N/A</t>
        </is>
      </c>
      <c r="AB17" s="136" t="inlineStr">
        <is>
          <t>N/A</t>
        </is>
      </c>
      <c r="AC17" s="136" t="inlineStr">
        <is>
          <t>BENCHMARK</t>
        </is>
      </c>
      <c r="AD17" s="136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136" t="inlineStr">
        <is>
          <t>HUD FMR + Market Estimate</t>
        </is>
      </c>
      <c r="AF17" s="136" t="n"/>
      <c r="AG17" s="136" t="n"/>
      <c r="AH17" s="136" t="n"/>
      <c r="AI17" s="136" t="n"/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F19" s="136" t="n"/>
      <c r="AG19" s="136" t="n"/>
      <c r="AH19" s="136" t="n"/>
      <c r="AI19" s="136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Height="1" s="131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Format="1" customHeight="1" s="2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Format="1" customHeight="1" s="2">
      <c r="A25" s="372" t="n"/>
      <c r="B25" s="201" t="inlineStr">
        <is>
          <t>1BD</t>
        </is>
      </c>
      <c r="C25" s="194" t="n"/>
      <c r="D25" s="200" t="n">
        <v>1365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Format="1" customHeight="1" s="2">
      <c r="A26" s="372" t="n"/>
      <c r="B26" s="201" t="inlineStr">
        <is>
          <t>2BD</t>
        </is>
      </c>
      <c r="C26" s="194" t="n"/>
      <c r="D26" s="200" t="n">
        <v>1420</v>
      </c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24.75" customHeight="1" s="131">
      <c r="A27" s="369" t="n"/>
      <c r="B27" s="201" t="inlineStr">
        <is>
          <t>3BD</t>
        </is>
      </c>
      <c r="C27" s="194" t="n"/>
      <c r="D27" s="200" t="n">
        <v>2050</v>
      </c>
      <c r="E27" s="195" t="n"/>
      <c r="F27" s="183" t="n"/>
      <c r="G27" s="183" t="n"/>
      <c r="H27" s="183" t="n"/>
      <c r="I27" s="183" t="n"/>
      <c r="J27" s="183" t="n"/>
      <c r="K27" s="302" t="n"/>
      <c r="L27" s="302" t="n"/>
      <c r="M27" s="302" t="n"/>
      <c r="N27" s="302" t="n"/>
      <c r="O27" s="343" t="n"/>
      <c r="P27" s="302" t="n"/>
      <c r="Q27" s="302" t="n"/>
      <c r="R27" s="302" t="n"/>
      <c r="S27" s="302" t="n"/>
      <c r="T27" s="302" t="n"/>
      <c r="U27" s="302" t="n"/>
      <c r="V27" s="302" t="n"/>
      <c r="W27" s="302" t="n"/>
      <c r="X27" s="302" t="n"/>
      <c r="Y27" s="302" t="n"/>
      <c r="Z27" s="302" t="n"/>
      <c r="AA27" s="353" t="n"/>
      <c r="AB27" s="302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8.1" customHeight="1" s="131">
      <c r="A28" s="382" t="n"/>
      <c r="B28" s="404" t="n"/>
      <c r="C28" s="404" t="n"/>
      <c r="D28" s="404" t="n"/>
      <c r="E28" s="404" t="n"/>
      <c r="F28" s="382" t="n"/>
      <c r="G28" s="369" t="n"/>
      <c r="H28" s="369" t="n"/>
      <c r="I28" s="369" t="n"/>
      <c r="J28" s="369" t="n"/>
      <c r="K28" s="369" t="n"/>
      <c r="L28" s="134" t="n"/>
      <c r="M28" s="134" t="n"/>
      <c r="N28" s="134" t="n"/>
      <c r="O28" s="134" t="n"/>
      <c r="P28" s="134" t="n"/>
      <c r="Q28" s="134" t="n"/>
      <c r="R28" s="134" t="n"/>
      <c r="S28" s="134" t="n"/>
      <c r="T28" s="134" t="n"/>
      <c r="U28" s="134" t="n"/>
      <c r="V28" s="134" t="n"/>
      <c r="W28" s="134" t="n"/>
      <c r="X28" s="134" t="n"/>
      <c r="Y28" s="134" t="n"/>
      <c r="Z28" s="135" t="n"/>
      <c r="AA28" s="134" t="n"/>
      <c r="AB28" s="134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24.75" customFormat="1" customHeight="1" s="2">
      <c r="A29" s="302" t="n"/>
      <c r="B29" s="211" t="inlineStr">
        <is>
          <t>PMTS — Vouchers / FMR / UAP / NET</t>
        </is>
      </c>
      <c r="G29" s="365" t="n"/>
      <c r="H29" s="183" t="n"/>
      <c r="I29" s="183" t="n"/>
      <c r="J29" s="183" t="n"/>
      <c r="K29" s="302" t="n"/>
      <c r="L29" s="302" t="n"/>
      <c r="M29" s="302" t="n"/>
      <c r="N29" s="302" t="n"/>
      <c r="O29" s="302" t="n"/>
      <c r="P29" s="302" t="n"/>
      <c r="Q29" s="302" t="n"/>
      <c r="R29" s="302" t="n"/>
      <c r="S29" s="302" t="n"/>
      <c r="T29" s="302" t="n"/>
      <c r="U29" s="302" t="n"/>
      <c r="V29" s="302" t="n"/>
      <c r="W29" s="302" t="n"/>
      <c r="X29" s="302" t="n"/>
      <c r="Y29" s="302" t="n"/>
      <c r="Z29" s="302" t="n"/>
      <c r="AA29" s="353" t="n"/>
      <c r="AB29" s="302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15.95" customFormat="1" customHeight="1" s="2">
      <c r="A30" s="302" t="n"/>
      <c r="B30" s="226" t="n"/>
      <c r="C30" s="213" t="inlineStr">
        <is>
          <t>MKT</t>
        </is>
      </c>
      <c r="D30" s="213" t="inlineStr">
        <is>
          <t>VCH</t>
        </is>
      </c>
      <c r="E30" s="214" t="inlineStr">
        <is>
          <t>FMR</t>
        </is>
      </c>
      <c r="F30" s="215" t="inlineStr">
        <is>
          <t>UAP</t>
        </is>
      </c>
      <c r="G30" s="216" t="inlineStr">
        <is>
          <t>NET</t>
        </is>
      </c>
      <c r="H30" s="183" t="n"/>
      <c r="I30" s="183" t="n"/>
      <c r="J30" s="183" t="n"/>
      <c r="K30" s="302" t="n"/>
      <c r="L30" s="302" t="n"/>
      <c r="M30" s="302" t="n"/>
      <c r="N30" s="302" t="n"/>
      <c r="O30" s="302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24.75" customFormat="1" customHeight="1" s="2">
      <c r="A31" s="372" t="n"/>
      <c r="B31" s="217" t="inlineStr">
        <is>
          <t>2BD</t>
        </is>
      </c>
      <c r="C31" s="197" t="n">
        <v>0</v>
      </c>
      <c r="D31" s="197" t="n">
        <v>1150</v>
      </c>
      <c r="E31" s="198" t="n">
        <v>1520</v>
      </c>
      <c r="F31" s="199" t="n">
        <v>138</v>
      </c>
      <c r="G31" s="218" t="n">
        <v>1382</v>
      </c>
      <c r="H31" s="183" t="n"/>
      <c r="I31" s="183" t="n"/>
      <c r="J31" s="183" t="n"/>
      <c r="K31" s="302" t="n"/>
      <c r="L31" s="302" t="n"/>
      <c r="M31" s="302" t="n"/>
      <c r="N31" s="302" t="n"/>
      <c r="O31" s="343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24.75" customFormat="1" customHeight="1" s="2">
      <c r="A32" s="369" t="n"/>
      <c r="B32" s="217" t="inlineStr">
        <is>
          <t>3BD</t>
        </is>
      </c>
      <c r="C32" s="197" t="n">
        <v>0</v>
      </c>
      <c r="D32" s="197" t="n">
        <v>1314</v>
      </c>
      <c r="E32" s="198" t="n">
        <v>2000</v>
      </c>
      <c r="F32" s="199" t="n">
        <v>299</v>
      </c>
      <c r="G32" s="218" t="n">
        <v>1701</v>
      </c>
      <c r="H32" s="183" t="n"/>
      <c r="I32" s="183" t="n"/>
      <c r="J32" s="183" t="n"/>
      <c r="K32" s="302" t="n"/>
      <c r="L32" s="302" t="n"/>
      <c r="M32" s="302" t="n"/>
      <c r="N32" s="302" t="n"/>
      <c r="O32" s="343" t="n"/>
      <c r="P32" s="302" t="n"/>
      <c r="Q32" s="302" t="n"/>
      <c r="R32" s="302" t="n"/>
      <c r="S32" s="302" t="n"/>
      <c r="T32" s="302" t="n"/>
      <c r="U32" s="302" t="n"/>
      <c r="V32" s="302" t="n"/>
      <c r="W32" s="302" t="n"/>
      <c r="X32" s="302" t="n"/>
      <c r="Y32" s="302" t="n"/>
      <c r="Z32" s="302" t="n"/>
      <c r="AA32" s="353" t="n"/>
      <c r="AB32" s="302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24.75" customFormat="1" customHeight="1" s="2">
      <c r="A33" s="382" t="n"/>
      <c r="B33" s="217" t="inlineStr">
        <is>
          <t>4BD</t>
        </is>
      </c>
      <c r="C33" s="197" t="n">
        <v>0</v>
      </c>
      <c r="D33" s="197" t="n">
        <v>1400</v>
      </c>
      <c r="E33" s="198" t="n">
        <v>2550</v>
      </c>
      <c r="F33" s="199" t="n">
        <v>353</v>
      </c>
      <c r="G33" s="218" t="n">
        <v>2197</v>
      </c>
      <c r="H33" s="183" t="n"/>
      <c r="I33" s="183" t="n"/>
      <c r="J33" s="183" t="n"/>
      <c r="K33" s="302" t="n"/>
      <c r="L33" s="302" t="n"/>
      <c r="M33" s="302" t="n"/>
      <c r="N33" s="302" t="n"/>
      <c r="O33" s="343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8.1" customFormat="1" customHeight="1" s="2">
      <c r="A34" s="372" t="n"/>
      <c r="B34" s="372" t="n"/>
      <c r="C34" s="372" t="n"/>
      <c r="D34" s="372" t="n"/>
      <c r="E34" s="372" t="n"/>
      <c r="F34" s="369" t="n"/>
      <c r="G34" s="369" t="n"/>
      <c r="H34" s="369" t="n"/>
      <c r="I34" s="369" t="n"/>
      <c r="J34" s="369" t="n"/>
      <c r="K34" s="369" t="n"/>
      <c r="L34" s="136" t="n"/>
      <c r="M34" s="136" t="n"/>
      <c r="N34" s="136" t="n"/>
      <c r="O34" s="136" t="n"/>
      <c r="P34" s="136" t="n"/>
      <c r="Q34" s="136" t="n"/>
      <c r="R34" s="136" t="n"/>
      <c r="S34" s="136" t="n"/>
      <c r="T34" s="136" t="n"/>
      <c r="U34" s="136" t="n"/>
      <c r="V34" s="136" t="n"/>
      <c r="W34" s="136" t="n"/>
      <c r="X34" s="136" t="n"/>
      <c r="Y34" s="136" t="n"/>
      <c r="Z34" s="136" t="n"/>
      <c r="AA34" s="136" t="n"/>
      <c r="AB34" s="136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24.75" customFormat="1" customHeight="1" s="2">
      <c r="A35" s="302" t="n"/>
      <c r="B35" s="366" t="inlineStr">
        <is>
          <t>LIHTC, UAP, NET</t>
        </is>
      </c>
      <c r="C35" s="358" t="n"/>
      <c r="D35" s="358" t="n"/>
      <c r="E35" s="358" t="n"/>
      <c r="F35" s="358" t="n"/>
      <c r="G35" s="359" t="n"/>
      <c r="H35" s="183" t="n"/>
      <c r="I35" s="183" t="n"/>
      <c r="J35" s="183" t="n"/>
      <c r="K35" s="302" t="n"/>
      <c r="L35" s="302" t="n"/>
      <c r="M35" s="302" t="n"/>
      <c r="N35" s="302" t="n"/>
      <c r="O35" s="302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16.5" customFormat="1" customHeight="1" s="2">
      <c r="A36" s="369" t="n"/>
      <c r="B36" s="226" t="n"/>
      <c r="C36" s="228" t="inlineStr">
        <is>
          <t>LIHTC/MKT</t>
        </is>
      </c>
      <c r="D36" s="228" t="inlineStr">
        <is>
          <t>40%</t>
        </is>
      </c>
      <c r="E36" s="215" t="inlineStr">
        <is>
          <t>UAP</t>
        </is>
      </c>
      <c r="F36" s="216" t="inlineStr">
        <is>
          <t>NET</t>
        </is>
      </c>
      <c r="G36" s="183" t="n"/>
      <c r="H36" s="183" t="n"/>
      <c r="I36" s="183" t="n"/>
      <c r="J36" s="183" t="n"/>
      <c r="K36" s="302" t="n"/>
      <c r="L36" s="302" t="n"/>
      <c r="M36" s="302" t="n"/>
      <c r="N36" s="302" t="n"/>
      <c r="O36" s="343" t="n"/>
      <c r="P36" s="302" t="n"/>
      <c r="Q36" s="302" t="n"/>
      <c r="R36" s="302" t="n"/>
      <c r="S36" s="302" t="n"/>
      <c r="T36" s="302" t="n"/>
      <c r="U36" s="302" t="n"/>
      <c r="V36" s="302" t="n"/>
      <c r="W36" s="302" t="n"/>
      <c r="X36" s="302" t="n"/>
      <c r="Y36" s="302" t="n"/>
      <c r="Z36" s="302" t="n"/>
      <c r="AA36" s="353" t="n"/>
      <c r="AB36" s="302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24.75" customFormat="1" customHeight="1" s="2">
      <c r="A37" s="369" t="n"/>
      <c r="B37" s="224" t="inlineStr">
        <is>
          <t>2BD</t>
        </is>
      </c>
      <c r="C37" s="225" t="n">
        <v>915</v>
      </c>
      <c r="D37" s="225" t="n">
        <v>749</v>
      </c>
      <c r="E37" s="225" t="n">
        <v>138</v>
      </c>
      <c r="F37" s="223" t="n">
        <v>611</v>
      </c>
      <c r="G37" s="183" t="n"/>
      <c r="H37" s="183" t="n"/>
      <c r="I37" s="183" t="n"/>
      <c r="J37" s="183" t="n"/>
      <c r="K37" s="302" t="n"/>
      <c r="L37" s="302" t="n"/>
      <c r="M37" s="302" t="n"/>
      <c r="N37" s="302" t="n"/>
      <c r="O37" s="343" t="n"/>
      <c r="P37" s="302" t="n"/>
      <c r="Q37" s="302" t="n"/>
      <c r="R37" s="302" t="n"/>
      <c r="S37" s="302" t="n"/>
      <c r="T37" s="302" t="n"/>
      <c r="U37" s="302" t="n"/>
      <c r="V37" s="302" t="n"/>
      <c r="W37" s="302" t="n"/>
      <c r="X37" s="302" t="n"/>
      <c r="Y37" s="302" t="n"/>
      <c r="Z37" s="302" t="n"/>
      <c r="AA37" s="353" t="n"/>
      <c r="AB37" s="302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24.75" customHeight="1" s="131">
      <c r="A38" s="372" t="n"/>
      <c r="B38" s="224" t="inlineStr">
        <is>
          <t>3BD</t>
        </is>
      </c>
      <c r="C38" s="225" t="n">
        <v>1057</v>
      </c>
      <c r="D38" s="225" t="n">
        <v>735</v>
      </c>
      <c r="E38" s="225" t="n">
        <v>299</v>
      </c>
      <c r="F38" s="223" t="n">
        <v>436</v>
      </c>
      <c r="G38" s="183" t="n"/>
      <c r="H38" s="183" t="n"/>
      <c r="I38" s="183" t="n"/>
      <c r="J38" s="183" t="n"/>
      <c r="K38" s="302" t="n"/>
      <c r="L38" s="302" t="n"/>
      <c r="M38" s="302" t="n"/>
      <c r="N38" s="302" t="n"/>
      <c r="O38" s="343" t="n"/>
      <c r="P38" s="302" t="n"/>
      <c r="Q38" s="302" t="n"/>
      <c r="R38" s="302" t="n"/>
      <c r="S38" s="302" t="n"/>
      <c r="T38" s="302" t="n"/>
      <c r="U38" s="302" t="n"/>
      <c r="V38" s="302" t="n"/>
      <c r="W38" s="302" t="n"/>
      <c r="X38" s="302" t="n"/>
      <c r="Y38" s="302" t="n"/>
      <c r="Z38" s="302" t="n"/>
      <c r="AA38" s="353" t="n"/>
      <c r="AB38" s="302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24.75" customHeight="1" s="131">
      <c r="A39" s="372" t="n"/>
      <c r="B39" s="224" t="inlineStr">
        <is>
          <t>4BD</t>
        </is>
      </c>
      <c r="C39" s="225" t="n">
        <v>1179</v>
      </c>
      <c r="D39" s="225" t="n">
        <v>849</v>
      </c>
      <c r="E39" s="225" t="n">
        <v>353</v>
      </c>
      <c r="F39" s="223" t="n">
        <v>496</v>
      </c>
      <c r="G39" s="183" t="n"/>
      <c r="H39" s="183" t="n"/>
      <c r="I39" s="183" t="n"/>
      <c r="J39" s="183" t="n"/>
      <c r="K39" s="302" t="n"/>
      <c r="L39" s="302" t="n"/>
      <c r="M39" s="302" t="n"/>
      <c r="N39" s="302" t="n"/>
      <c r="O39" s="343" t="n"/>
      <c r="P39" s="302" t="n"/>
      <c r="Q39" s="302" t="n"/>
      <c r="R39" s="302" t="n"/>
      <c r="S39" s="302" t="n"/>
      <c r="T39" s="302" t="n"/>
      <c r="U39" s="302" t="n"/>
      <c r="V39" s="302" t="n"/>
      <c r="W39" s="302" t="n"/>
      <c r="X39" s="302" t="n"/>
      <c r="Y39" s="302" t="n"/>
      <c r="Z39" s="302" t="n"/>
      <c r="AA39" s="353" t="n"/>
      <c r="AB39" s="302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ht="18" customFormat="1" customHeight="1" s="2">
      <c r="A40" s="372" t="n"/>
      <c r="B40" s="392" t="n"/>
      <c r="C40" s="392" t="n"/>
      <c r="D40" s="369" t="n"/>
      <c r="E40" s="369" t="n"/>
      <c r="F40" s="369" t="n"/>
      <c r="G40" s="369" t="n"/>
      <c r="H40" s="369" t="n"/>
      <c r="I40" s="369" t="n"/>
      <c r="J40" s="369" t="n"/>
      <c r="K40" s="369" t="n"/>
      <c r="L40" s="136" t="n"/>
      <c r="M40" s="136" t="n"/>
      <c r="N40" s="136" t="n"/>
      <c r="O40" s="136" t="n"/>
      <c r="P40" s="136" t="n"/>
      <c r="Q40" s="136" t="n"/>
      <c r="R40" s="136" t="n"/>
      <c r="S40" s="136" t="n"/>
      <c r="T40" s="136" t="n"/>
      <c r="U40" s="136" t="n"/>
      <c r="V40" s="136" t="n"/>
      <c r="W40" s="136" t="n"/>
      <c r="X40" s="136" t="n"/>
      <c r="Y40" s="136" t="n"/>
      <c r="Z40" s="136" t="n"/>
      <c r="AA40" s="136" t="n"/>
      <c r="AB40" s="136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ht="18" customFormat="1" customHeight="1" s="2">
      <c r="A41" s="369" t="n"/>
      <c r="B41" s="399" t="n"/>
      <c r="C41" s="463" t="inlineStr">
        <is>
          <t>LIHTC/MKT</t>
        </is>
      </c>
      <c r="D41" s="433" t="inlineStr">
        <is>
          <t>60%</t>
        </is>
      </c>
      <c r="E41" s="434" t="inlineStr">
        <is>
          <t>UAP</t>
        </is>
      </c>
      <c r="F41" s="386" t="inlineStr">
        <is>
          <t>NET</t>
        </is>
      </c>
      <c r="G41" s="369" t="n"/>
      <c r="H41" s="369" t="n"/>
      <c r="I41" s="369" t="n"/>
      <c r="J41" s="369" t="n"/>
      <c r="K41" s="369" t="n"/>
      <c r="L41" s="136" t="n"/>
      <c r="M41" s="136" t="n"/>
      <c r="N41" s="136" t="n"/>
      <c r="O41" s="136" t="n"/>
      <c r="P41" s="136" t="n"/>
      <c r="Q41" s="136" t="n"/>
      <c r="R41" s="136" t="n"/>
      <c r="S41" s="136" t="n"/>
      <c r="T41" s="136" t="n"/>
      <c r="U41" s="136" t="n"/>
      <c r="V41" s="136" t="n"/>
      <c r="W41" s="136" t="n"/>
      <c r="X41" s="136" t="n"/>
      <c r="Y41" s="136" t="n"/>
      <c r="Z41" s="136" t="n"/>
      <c r="AA41" s="136" t="n"/>
      <c r="AB41" s="136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ht="24.75" customFormat="1" customHeight="1" s="2">
      <c r="A42" s="369" t="n"/>
      <c r="B42" s="224" t="inlineStr">
        <is>
          <t>2BD</t>
        </is>
      </c>
      <c r="C42" s="225" t="n">
        <v>1372</v>
      </c>
      <c r="D42" s="225" t="n">
        <v>1185</v>
      </c>
      <c r="E42" s="225" t="n">
        <v>138</v>
      </c>
      <c r="F42" s="223" t="n">
        <v>1047</v>
      </c>
      <c r="G42" s="183" t="n"/>
      <c r="H42" s="183" t="n"/>
      <c r="I42" s="183" t="n"/>
      <c r="J42" s="183" t="n"/>
      <c r="K42" s="302" t="n"/>
      <c r="L42" s="302" t="n"/>
      <c r="M42" s="302" t="n"/>
      <c r="N42" s="302" t="n"/>
      <c r="O42" s="343" t="n"/>
      <c r="P42" s="302" t="n"/>
      <c r="Q42" s="302" t="n"/>
      <c r="R42" s="302" t="n"/>
      <c r="S42" s="302" t="n"/>
      <c r="T42" s="302" t="n"/>
      <c r="U42" s="302" t="n"/>
      <c r="V42" s="302" t="n"/>
      <c r="W42" s="302" t="n"/>
      <c r="X42" s="302" t="n"/>
      <c r="Y42" s="302" t="n"/>
      <c r="Z42" s="302" t="n"/>
      <c r="AA42" s="353" t="n"/>
      <c r="AB42" s="302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ht="24.75" customFormat="1" customHeight="1" s="2">
      <c r="A43" s="369" t="n"/>
      <c r="B43" s="224" t="inlineStr">
        <is>
          <t>3BD</t>
        </is>
      </c>
      <c r="C43" s="225" t="n">
        <v>1585</v>
      </c>
      <c r="D43" s="225" t="n">
        <v>1239</v>
      </c>
      <c r="E43" s="225" t="n">
        <v>299</v>
      </c>
      <c r="F43" s="223" t="n">
        <v>940</v>
      </c>
      <c r="G43" s="183" t="n"/>
      <c r="H43" s="183" t="n"/>
      <c r="I43" s="183" t="n"/>
      <c r="J43" s="183" t="n"/>
      <c r="K43" s="302" t="n"/>
      <c r="L43" s="302" t="n"/>
      <c r="M43" s="302" t="n"/>
      <c r="N43" s="302" t="n"/>
      <c r="O43" s="343" t="n"/>
      <c r="P43" s="302" t="n"/>
      <c r="Q43" s="302" t="n"/>
      <c r="R43" s="302" t="n"/>
      <c r="S43" s="302" t="n"/>
      <c r="T43" s="302" t="n"/>
      <c r="U43" s="302" t="n"/>
      <c r="V43" s="302" t="n"/>
      <c r="W43" s="302" t="n"/>
      <c r="X43" s="302" t="n"/>
      <c r="Y43" s="302" t="n"/>
      <c r="Z43" s="302" t="n"/>
      <c r="AA43" s="353" t="n"/>
      <c r="AB43" s="302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ht="24.75" customFormat="1" customHeight="1" s="2">
      <c r="A44" s="369" t="n"/>
      <c r="B44" s="224" t="inlineStr">
        <is>
          <t>4BD</t>
        </is>
      </c>
      <c r="C44" s="225" t="n">
        <v>1768</v>
      </c>
      <c r="D44" s="225" t="n">
        <v>1364</v>
      </c>
      <c r="E44" s="225" t="n">
        <v>353</v>
      </c>
      <c r="F44" s="223" t="n">
        <v>1011</v>
      </c>
      <c r="G44" s="183" t="n"/>
      <c r="H44" s="183" t="n"/>
      <c r="I44" s="183" t="n"/>
      <c r="J44" s="183" t="n"/>
      <c r="K44" s="302" t="n"/>
      <c r="L44" s="302" t="n"/>
      <c r="M44" s="302" t="n"/>
      <c r="N44" s="302" t="n"/>
      <c r="O44" s="343" t="n"/>
      <c r="P44" s="302" t="n"/>
      <c r="Q44" s="302" t="n"/>
      <c r="R44" s="302" t="n"/>
      <c r="S44" s="302" t="n"/>
      <c r="T44" s="302" t="n"/>
      <c r="U44" s="302" t="n"/>
      <c r="V44" s="302" t="n"/>
      <c r="W44" s="302" t="n"/>
      <c r="X44" s="302" t="n"/>
      <c r="Y44" s="302" t="n"/>
      <c r="Z44" s="302" t="n"/>
      <c r="AA44" s="353" t="n"/>
      <c r="AB44" s="302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ht="18" customHeight="1" s="131">
      <c r="A45" s="369" t="n"/>
      <c r="B45" s="371" t="n"/>
      <c r="C45" s="371" t="n"/>
      <c r="D45" s="371" t="n"/>
      <c r="E45" s="371" t="n"/>
      <c r="F45" s="371" t="n"/>
      <c r="G45" s="369" t="n"/>
      <c r="H45" s="369" t="n"/>
      <c r="I45" s="369" t="n"/>
      <c r="J45" s="369" t="n"/>
      <c r="K45" s="369" t="n"/>
      <c r="L45" s="136" t="n"/>
      <c r="M45" s="136" t="n"/>
      <c r="N45" s="136" t="n"/>
      <c r="O45" s="136" t="n"/>
      <c r="P45" s="136" t="n"/>
      <c r="Q45" s="136" t="n"/>
      <c r="R45" s="136" t="n"/>
      <c r="S45" s="136" t="n"/>
      <c r="T45" s="136" t="n"/>
      <c r="U45" s="136" t="n"/>
      <c r="V45" s="136" t="n"/>
      <c r="W45" s="136" t="n"/>
      <c r="X45" s="136" t="n"/>
      <c r="Y45" s="136" t="n"/>
      <c r="Z45" s="136" t="n"/>
      <c r="AA45" s="136" t="n"/>
      <c r="AB45" s="136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ht="18" customHeight="1" s="131">
      <c r="A46" s="369" t="n"/>
      <c r="B46" s="369" t="n"/>
      <c r="C46" s="369" t="n"/>
      <c r="D46" s="369" t="n"/>
      <c r="E46" s="369" t="n"/>
      <c r="F46" s="369" t="n"/>
      <c r="G46" s="369" t="n"/>
      <c r="H46" s="369" t="n"/>
      <c r="I46" s="369" t="n"/>
      <c r="J46" s="369" t="n"/>
      <c r="K46" s="369" t="n"/>
      <c r="L46" s="136" t="n"/>
      <c r="M46" s="136" t="n"/>
      <c r="N46" s="136" t="n"/>
      <c r="O46" s="136" t="n"/>
      <c r="P46" s="136" t="n"/>
      <c r="Q46" s="136" t="n"/>
      <c r="R46" s="136" t="n"/>
      <c r="S46" s="136" t="n"/>
      <c r="T46" s="136" t="n"/>
      <c r="U46" s="136" t="n"/>
      <c r="V46" s="136" t="n"/>
      <c r="W46" s="136" t="n"/>
      <c r="X46" s="136" t="n"/>
      <c r="Y46" s="136" t="n"/>
      <c r="Z46" s="136" t="n"/>
      <c r="AA46" s="136" t="n"/>
      <c r="AB46" s="136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ht="24.75" customHeight="1" s="131">
      <c r="A47" s="302" t="n"/>
      <c r="B47" s="207" t="inlineStr">
        <is>
          <t>HAP, CoStar, NET</t>
        </is>
      </c>
      <c r="H47" s="183" t="n"/>
      <c r="I47" s="183" t="n"/>
      <c r="J47" s="183" t="n"/>
      <c r="K47" s="302" t="n"/>
      <c r="L47" s="302" t="n"/>
      <c r="M47" s="302" t="n"/>
      <c r="N47" s="302" t="n"/>
      <c r="O47" s="302" t="n"/>
      <c r="P47" s="302" t="n"/>
      <c r="Q47" s="302" t="n"/>
      <c r="R47" s="302" t="n"/>
      <c r="S47" s="302" t="n"/>
      <c r="T47" s="302" t="n"/>
      <c r="U47" s="302" t="n"/>
      <c r="V47" s="302" t="n"/>
      <c r="W47" s="302" t="n"/>
      <c r="X47" s="302" t="n"/>
      <c r="Y47" s="302" t="n"/>
      <c r="Z47" s="302" t="n"/>
      <c r="AA47" s="353" t="n"/>
      <c r="AB47" s="302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ht="15.95" customHeight="1" s="131">
      <c r="A48" s="302" t="n"/>
      <c r="B48" s="227" t="n"/>
      <c r="C48" s="208" t="inlineStr">
        <is>
          <t>HAP</t>
        </is>
      </c>
      <c r="D48" s="209" t="inlineStr">
        <is>
          <t>CoStar</t>
        </is>
      </c>
      <c r="E48" s="302" t="n"/>
      <c r="F48" s="302" t="n"/>
      <c r="G48" s="302" t="n"/>
      <c r="H48" s="183" t="n"/>
      <c r="I48" s="183" t="n"/>
      <c r="J48" s="183" t="n"/>
      <c r="K48" s="302" t="n"/>
      <c r="L48" s="302" t="n"/>
      <c r="M48" s="302" t="n"/>
      <c r="N48" s="302" t="n"/>
      <c r="O48" s="302" t="n"/>
      <c r="P48" s="302" t="n"/>
      <c r="Q48" s="302" t="n"/>
      <c r="R48" s="302" t="n"/>
      <c r="S48" s="302" t="n"/>
      <c r="T48" s="302" t="n"/>
      <c r="U48" s="302" t="n"/>
      <c r="V48" s="302" t="n"/>
      <c r="W48" s="302" t="n"/>
      <c r="X48" s="302" t="n"/>
      <c r="Y48" s="302" t="n"/>
      <c r="Z48" s="302" t="n"/>
      <c r="AA48" s="353" t="n"/>
      <c r="AB48" s="302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ht="24.75" customHeight="1" s="131">
      <c r="A49" s="302" t="n"/>
      <c r="B49" s="196" t="inlineStr">
        <is>
          <t>2BD</t>
        </is>
      </c>
      <c r="C49" s="199" t="n">
        <v>0</v>
      </c>
      <c r="D49" s="198" t="n">
        <v>2005</v>
      </c>
      <c r="E49" s="183" t="n"/>
      <c r="F49" s="183" t="n"/>
      <c r="G49" s="183" t="n"/>
      <c r="H49" s="183" t="n"/>
      <c r="I49" s="183" t="n"/>
      <c r="J49" s="183" t="n"/>
      <c r="K49" s="302" t="n"/>
      <c r="L49" s="302" t="n"/>
      <c r="M49" s="302" t="n"/>
      <c r="N49" s="302" t="n"/>
      <c r="O49" s="302" t="n"/>
      <c r="P49" s="302" t="n"/>
      <c r="Q49" s="302" t="n"/>
      <c r="R49" s="302" t="n"/>
      <c r="S49" s="302" t="n"/>
      <c r="T49" s="302" t="n"/>
      <c r="U49" s="302" t="n"/>
      <c r="V49" s="302" t="n"/>
      <c r="W49" s="302" t="n"/>
      <c r="X49" s="302" t="n"/>
      <c r="Y49" s="302" t="n"/>
      <c r="Z49" s="302" t="n"/>
      <c r="AA49" s="353" t="n"/>
      <c r="AB49" s="302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ht="24.75" customHeight="1" s="131">
      <c r="A50" s="302" t="n"/>
      <c r="B50" s="196" t="inlineStr">
        <is>
          <t>3BD</t>
        </is>
      </c>
      <c r="C50" s="199" t="n">
        <v>0</v>
      </c>
      <c r="D50" s="198" t="n">
        <v>2360</v>
      </c>
      <c r="E50" s="183" t="n"/>
      <c r="F50" s="183" t="n"/>
      <c r="G50" s="183" t="n"/>
      <c r="H50" s="183" t="n"/>
      <c r="I50" s="183" t="n"/>
      <c r="J50" s="183" t="n"/>
      <c r="K50" s="302" t="n"/>
      <c r="L50" s="302" t="n"/>
      <c r="M50" s="302" t="n"/>
      <c r="N50" s="302" t="n"/>
      <c r="O50" s="302" t="n"/>
      <c r="P50" s="302" t="n"/>
      <c r="Q50" s="302" t="n"/>
      <c r="R50" s="302" t="n"/>
      <c r="S50" s="302" t="n"/>
      <c r="T50" s="302" t="n"/>
      <c r="U50" s="302" t="n"/>
      <c r="V50" s="302" t="n"/>
      <c r="W50" s="302" t="n"/>
      <c r="X50" s="302" t="n"/>
      <c r="Y50" s="302" t="n"/>
      <c r="Z50" s="302" t="n"/>
      <c r="AA50" s="353" t="n"/>
      <c r="AB50" s="302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  <row r="51" ht="24.75" customHeight="1" s="131">
      <c r="A51" s="302" t="n"/>
      <c r="B51" s="196" t="inlineStr">
        <is>
          <t>4BD</t>
        </is>
      </c>
      <c r="C51" s="199" t="n">
        <v>0</v>
      </c>
      <c r="D51" s="198" t="n">
        <v>2682</v>
      </c>
      <c r="E51" s="183" t="n"/>
      <c r="F51" s="183" t="n"/>
      <c r="G51" s="183" t="n"/>
      <c r="H51" s="183" t="n"/>
      <c r="I51" s="183" t="n"/>
      <c r="J51" s="183" t="n"/>
      <c r="K51" s="302" t="n"/>
      <c r="L51" s="302" t="n"/>
      <c r="M51" s="302" t="n"/>
      <c r="N51" s="302" t="n"/>
      <c r="O51" s="302" t="n"/>
      <c r="P51" s="302" t="n"/>
      <c r="Q51" s="302" t="n"/>
      <c r="R51" s="302" t="n"/>
      <c r="S51" s="302" t="n"/>
      <c r="T51" s="302" t="n"/>
      <c r="U51" s="302" t="n"/>
      <c r="V51" s="302" t="n"/>
      <c r="W51" s="302" t="n"/>
      <c r="X51" s="302" t="n"/>
      <c r="Y51" s="302" t="n"/>
      <c r="Z51" s="302" t="n"/>
      <c r="AA51" s="353" t="n"/>
      <c r="AB51" s="302" t="n"/>
    </row>
    <row r="52"/>
    <row r="53"/>
    <row r="54"/>
    <row r="55"/>
    <row r="56"/>
    <row r="57"/>
    <row r="58"/>
  </sheetData>
  <mergeCells count="9">
    <mergeCell ref="B47:G47"/>
    <mergeCell ref="B4:AB4"/>
    <mergeCell ref="B22:G22"/>
    <mergeCell ref="B2:AB2"/>
    <mergeCell ref="B23:G23"/>
    <mergeCell ref="B20:I20"/>
    <mergeCell ref="B35:G35"/>
    <mergeCell ref="B3:AB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FOREST VIEW SENIOR | GREEN = Affordable Comps | BLUE = Market Rate Comps</t>
        </is>
      </c>
      <c r="AF3" s="136" t="n"/>
      <c r="AG3" s="136" t="n"/>
      <c r="AH3" s="136" t="n"/>
      <c r="AI3" s="136" t="n"/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Forest View Senior | 19499 Hess Ave, Sonora, CA 95370 | 60 units | Program: LIHTC | Bedroom Mix: 1BR / 2BR / 3BR | County AMI: $101,600 | FMR Area: Tuolumne County, CA</t>
        </is>
      </c>
      <c r="AF4" s="136" t="n"/>
      <c r="AG4" s="136" t="n"/>
      <c r="AH4" s="136" t="n"/>
      <c r="AI4" s="136" t="n"/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F5" s="136" t="n"/>
      <c r="AG5" s="136" t="n"/>
      <c r="AH5" s="136" t="n"/>
      <c r="AI5" s="136" t="n"/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1BD 50% AMI ($)</t>
        </is>
      </c>
      <c r="J6" s="280" t="inlineStr">
        <is>
          <t>1BD 60% AMI ($)</t>
        </is>
      </c>
      <c r="K6" s="280" t="inlineStr">
        <is>
          <t>1BR FMR ($)</t>
        </is>
      </c>
      <c r="L6" s="335" t="inlineStr">
        <is>
          <t>1BR Actual ($)</t>
        </is>
      </c>
      <c r="M6" s="281" t="inlineStr">
        <is>
          <t>2BD 50% AMI ($)</t>
        </is>
      </c>
      <c r="N6" s="280" t="inlineStr">
        <is>
          <t>2BD 60% AMI ($)</t>
        </is>
      </c>
      <c r="O6" s="280" t="inlineStr">
        <is>
          <t>2BR FMR ($)</t>
        </is>
      </c>
      <c r="P6" s="335" t="inlineStr">
        <is>
          <t>2BR Actual ($)</t>
        </is>
      </c>
      <c r="Q6" s="281" t="inlineStr">
        <is>
          <t>3BD 50% AMI ($)</t>
        </is>
      </c>
      <c r="R6" s="280" t="inlineStr">
        <is>
          <t>3BD 60% AMI ($)</t>
        </is>
      </c>
      <c r="S6" s="280" t="inlineStr">
        <is>
          <t>3BR FMR ($)</t>
        </is>
      </c>
      <c r="T6" s="339" t="inlineStr">
        <is>
          <t>3BR Actual ($)</t>
        </is>
      </c>
      <c r="U6" s="339" t="inlineStr">
        <is>
          <t># Units</t>
        </is>
      </c>
      <c r="V6" s="339" t="inlineStr">
        <is>
          <t>Year Built</t>
        </is>
      </c>
      <c r="W6" s="339" t="inlineStr">
        <is>
          <t>Yr Diff</t>
        </is>
      </c>
      <c r="X6" s="339" t="inlineStr">
        <is>
          <t>Utilities Incl.</t>
        </is>
      </c>
      <c r="Y6" s="339" t="inlineStr">
        <is>
          <t>Pet Friendly</t>
        </is>
      </c>
      <c r="Z6" s="336" t="inlineStr">
        <is>
          <t>Gated</t>
        </is>
      </c>
      <c r="AA6" s="340" t="inlineStr">
        <is>
          <t>Pool</t>
        </is>
      </c>
      <c r="AB6" s="342" t="inlineStr">
        <is>
          <t>W/D In-Unit</t>
        </is>
      </c>
      <c r="AC6" s="136" t="inlineStr">
        <is>
          <t>Competition Level</t>
        </is>
      </c>
      <c r="AD6" s="136" t="inlineStr">
        <is>
          <t>Why Competitive</t>
        </is>
      </c>
      <c r="AE6" s="136" t="inlineStr">
        <is>
          <t>Data Source</t>
        </is>
      </c>
      <c r="AF6" s="136" t="n"/>
      <c r="AG6" s="136" t="n"/>
      <c r="AH6" s="136" t="n"/>
      <c r="AI6" s="136" t="n"/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Forest View Senior (SUBJECT)</t>
        </is>
      </c>
      <c r="D7" s="174" t="inlineStr">
        <is>
          <t>19499 Hess Ave</t>
        </is>
      </c>
      <c r="E7" s="174" t="inlineStr">
        <is>
          <t>Sonora</t>
        </is>
      </c>
      <c r="F7" s="174" t="inlineStr">
        <is>
          <t>CA</t>
        </is>
      </c>
      <c r="G7" s="174" t="inlineStr">
        <is>
          <t>95370</t>
        </is>
      </c>
      <c r="H7" s="174" t="inlineStr">
        <is>
          <t>0.0 mi</t>
        </is>
      </c>
      <c r="I7" s="174" t="inlineStr">
        <is>
          <t>$3,176</t>
        </is>
      </c>
      <c r="J7" s="174" t="inlineStr">
        <is>
          <t>$3,812</t>
        </is>
      </c>
      <c r="K7" s="174" t="inlineStr">
        <is>
          <t>$1,096</t>
        </is>
      </c>
      <c r="L7" s="368">
        <f>B26</f>
        <v/>
      </c>
      <c r="M7" s="174" t="inlineStr">
        <is>
          <t>$3,812</t>
        </is>
      </c>
      <c r="N7" s="174" t="inlineStr">
        <is>
          <t>$4,575</t>
        </is>
      </c>
      <c r="O7" s="174" t="inlineStr">
        <is>
          <t>$1,500</t>
        </is>
      </c>
      <c r="P7" s="368">
        <f>B27</f>
        <v/>
      </c>
      <c r="Q7" s="174" t="inlineStr">
        <is>
          <t>$4,233</t>
        </is>
      </c>
      <c r="R7" s="174" t="inlineStr">
        <is>
          <t>$5,080</t>
        </is>
      </c>
      <c r="S7" s="174" t="inlineStr">
        <is>
          <t>$1,970</t>
        </is>
      </c>
      <c r="T7" s="368">
        <f>B28</f>
        <v/>
      </c>
      <c r="U7" s="174" t="inlineStr">
        <is>
          <t>60</t>
        </is>
      </c>
      <c r="V7" s="174" t="inlineStr">
        <is>
          <t>2000</t>
        </is>
      </c>
      <c r="W7" s="174" t="inlineStr">
        <is>
          <t>0</t>
        </is>
      </c>
      <c r="X7" s="174" t="inlineStr">
        <is>
          <t>No</t>
        </is>
      </c>
      <c r="Y7" s="42" t="inlineStr">
        <is>
          <t>No</t>
        </is>
      </c>
      <c r="Z7" s="55" t="inlineStr">
        <is>
          <t>No</t>
        </is>
      </c>
      <c r="AA7" s="40" t="inlineStr">
        <is>
          <t>No</t>
        </is>
      </c>
      <c r="AB7" s="136" t="inlineStr">
        <is>
          <t>No</t>
        </is>
      </c>
      <c r="AC7" s="136" t="inlineStr">
        <is>
          <t>SUBJECT</t>
        </is>
      </c>
      <c r="AD7" s="136" t="inlineStr">
        <is>
          <t>60 units | LIHTC property. Year built: 2000. Subject property for market context.</t>
        </is>
      </c>
      <c r="AE7" s="136" t="inlineStr">
        <is>
          <t>Apartment Corp Records</t>
        </is>
      </c>
      <c r="AF7" s="136" t="n"/>
      <c r="AG7" s="136" t="n"/>
      <c r="AH7" s="136" t="n"/>
      <c r="AI7" s="136" t="n"/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Columbia Village Townhomes</t>
        </is>
      </c>
      <c r="D8" s="59" t="inlineStr">
        <is>
          <t>11439 Columbia Village Dr</t>
        </is>
      </c>
      <c r="E8" s="59" t="inlineStr">
        <is>
          <t>Sonora</t>
        </is>
      </c>
      <c r="F8" s="59" t="inlineStr">
        <is>
          <t>CA</t>
        </is>
      </c>
      <c r="G8" s="59" t="inlineStr">
        <is>
          <t>95370</t>
        </is>
      </c>
      <c r="H8" s="59" t="inlineStr">
        <is>
          <t>2.7 mi</t>
        </is>
      </c>
      <c r="I8" s="59" t="inlineStr">
        <is>
          <t>$3,176</t>
        </is>
      </c>
      <c r="J8" s="59" t="inlineStr">
        <is>
          <t>$3,812</t>
        </is>
      </c>
      <c r="K8" s="41" t="inlineStr">
        <is>
          <t>$1,096</t>
        </is>
      </c>
      <c r="L8" s="53" t="inlineStr">
        <is>
          <t>Not Listed</t>
        </is>
      </c>
      <c r="M8" s="43" t="inlineStr">
        <is>
          <t>$3,812</t>
        </is>
      </c>
      <c r="N8" s="43" t="inlineStr">
        <is>
          <t>$4,575</t>
        </is>
      </c>
      <c r="O8" s="41" t="inlineStr">
        <is>
          <t>$1,500</t>
        </is>
      </c>
      <c r="P8" s="53" t="inlineStr">
        <is>
          <t>Not Listed</t>
        </is>
      </c>
      <c r="Q8" s="43" t="inlineStr">
        <is>
          <t>$4,233</t>
        </is>
      </c>
      <c r="R8" s="43" t="inlineStr">
        <is>
          <t>$5,080</t>
        </is>
      </c>
      <c r="S8" s="43" t="inlineStr">
        <is>
          <t>$1,970</t>
        </is>
      </c>
      <c r="T8" s="43" t="inlineStr">
        <is>
          <t>Not Listed</t>
        </is>
      </c>
      <c r="U8" s="43" t="inlineStr">
        <is>
          <t>80</t>
        </is>
      </c>
      <c r="V8" s="43" t="inlineStr">
        <is>
          <t>1998</t>
        </is>
      </c>
      <c r="W8" s="43" t="inlineStr">
        <is>
          <t>2</t>
        </is>
      </c>
      <c r="X8" s="43" t="inlineStr">
        <is>
          <t>Yes</t>
        </is>
      </c>
      <c r="Y8" s="44" t="inlineStr">
        <is>
          <t>No</t>
        </is>
      </c>
      <c r="Z8" s="56" t="inlineStr">
        <is>
          <t>No</t>
        </is>
      </c>
      <c r="AA8" s="43" t="inlineStr">
        <is>
          <t>No</t>
        </is>
      </c>
      <c r="AB8" s="136" t="inlineStr">
        <is>
          <t>No</t>
        </is>
      </c>
      <c r="AC8" s="136" t="inlineStr">
        <is>
          <t>HIGH</t>
        </is>
      </c>
      <c r="AD8" s="136" t="inlineStr">
        <is>
          <t>Affordable Comp #1: LIHTC property, 1998 vintage (2 yr diff), 80 units, 2.7 mi from subject. Same income-eligible renter pool.</t>
        </is>
      </c>
      <c r="AE8" s="136" t="inlineStr">
        <is>
          <t>HUD LIHTC Database (huduser.gov)</t>
        </is>
      </c>
      <c r="AF8" s="136" t="n"/>
      <c r="AG8" s="136" t="n"/>
      <c r="AH8" s="136" t="n"/>
      <c r="AI8" s="136" t="n"/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Oak Hills Apts</t>
        </is>
      </c>
      <c r="D9" s="125" t="inlineStr">
        <is>
          <t>10260 Preston Ln</t>
        </is>
      </c>
      <c r="E9" s="125" t="inlineStr">
        <is>
          <t>Jamestown</t>
        </is>
      </c>
      <c r="F9" s="125" t="inlineStr">
        <is>
          <t>CA</t>
        </is>
      </c>
      <c r="G9" s="125" t="inlineStr">
        <is>
          <t>95327</t>
        </is>
      </c>
      <c r="H9" s="125" t="inlineStr">
        <is>
          <t>3.1 mi</t>
        </is>
      </c>
      <c r="I9" s="125" t="inlineStr">
        <is>
          <t>$3,176</t>
        </is>
      </c>
      <c r="J9" s="125" t="inlineStr">
        <is>
          <t>$3,812</t>
        </is>
      </c>
      <c r="K9" s="85" t="inlineStr">
        <is>
          <t>$1,096</t>
        </is>
      </c>
      <c r="L9" s="86" t="inlineStr">
        <is>
          <t>Not Listed</t>
        </is>
      </c>
      <c r="M9" s="128" t="inlineStr">
        <is>
          <t>$3,812</t>
        </is>
      </c>
      <c r="N9" s="128" t="inlineStr">
        <is>
          <t>$4,575</t>
        </is>
      </c>
      <c r="O9" s="85" t="inlineStr">
        <is>
          <t>$1,500</t>
        </is>
      </c>
      <c r="P9" s="86" t="inlineStr">
        <is>
          <t>Not Listed</t>
        </is>
      </c>
      <c r="Q9" s="128" t="inlineStr">
        <is>
          <t>$4,233</t>
        </is>
      </c>
      <c r="R9" s="128" t="inlineStr">
        <is>
          <t>$5,080</t>
        </is>
      </c>
      <c r="S9" s="128" t="inlineStr">
        <is>
          <t>$1,970</t>
        </is>
      </c>
      <c r="T9" s="128" t="inlineStr">
        <is>
          <t>Not Listed</t>
        </is>
      </c>
      <c r="U9" s="128" t="inlineStr">
        <is>
          <t>80</t>
        </is>
      </c>
      <c r="V9" s="128" t="inlineStr">
        <is>
          <t>1998</t>
        </is>
      </c>
      <c r="W9" s="128" t="inlineStr">
        <is>
          <t>2</t>
        </is>
      </c>
      <c r="X9" s="128" t="inlineStr">
        <is>
          <t>Yes</t>
        </is>
      </c>
      <c r="Y9" s="129" t="inlineStr">
        <is>
          <t>No</t>
        </is>
      </c>
      <c r="Z9" s="130" t="inlineStr">
        <is>
          <t>No</t>
        </is>
      </c>
      <c r="AA9" s="128" t="inlineStr">
        <is>
          <t>No</t>
        </is>
      </c>
      <c r="AB9" s="136" t="inlineStr">
        <is>
          <t>No</t>
        </is>
      </c>
      <c r="AC9" s="136" t="inlineStr">
        <is>
          <t>HIGH</t>
        </is>
      </c>
      <c r="AD9" s="136" t="inlineStr">
        <is>
          <t>Affordable Comp #2: LIHTC property, 1998 vintage (2 yr diff), 80 units, 3.1 mi from subject. Same income-eligible renter pool.</t>
        </is>
      </c>
      <c r="AE9" s="136" t="inlineStr">
        <is>
          <t>HUD LIHTC Database (huduser.gov)</t>
        </is>
      </c>
      <c r="AF9" s="136" t="n"/>
      <c r="AG9" s="136" t="n"/>
      <c r="AH9" s="136" t="n"/>
      <c r="AI9" s="136" t="n"/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Diamond Cove Townhomes</t>
        </is>
      </c>
      <c r="D10" s="107" t="inlineStr">
        <is>
          <t>5343 Carrington Cir</t>
        </is>
      </c>
      <c r="E10" s="107" t="inlineStr">
        <is>
          <t>Stockton</t>
        </is>
      </c>
      <c r="F10" s="107" t="inlineStr">
        <is>
          <t>CA</t>
        </is>
      </c>
      <c r="G10" s="107" t="inlineStr">
        <is>
          <t>95210</t>
        </is>
      </c>
      <c r="H10" s="107" t="inlineStr">
        <is>
          <t>49.7 mi</t>
        </is>
      </c>
      <c r="I10" s="107" t="inlineStr">
        <is>
          <t>$3,176</t>
        </is>
      </c>
      <c r="J10" s="107" t="inlineStr">
        <is>
          <t>$3,812</t>
        </is>
      </c>
      <c r="K10" s="80" t="inlineStr">
        <is>
          <t>$1,096</t>
        </is>
      </c>
      <c r="L10" s="81" t="inlineStr">
        <is>
          <t>Not Listed</t>
        </is>
      </c>
      <c r="M10" s="108" t="inlineStr">
        <is>
          <t>$3,812</t>
        </is>
      </c>
      <c r="N10" s="108" t="inlineStr">
        <is>
          <t>$4,575</t>
        </is>
      </c>
      <c r="O10" s="80" t="inlineStr">
        <is>
          <t>$1,500</t>
        </is>
      </c>
      <c r="P10" s="81" t="inlineStr">
        <is>
          <t>Not Listed</t>
        </is>
      </c>
      <c r="Q10" s="108" t="inlineStr">
        <is>
          <t>$4,233</t>
        </is>
      </c>
      <c r="R10" s="108" t="inlineStr">
        <is>
          <t>$5,080</t>
        </is>
      </c>
      <c r="S10" s="108" t="inlineStr">
        <is>
          <t>$1,970</t>
        </is>
      </c>
      <c r="T10" s="108" t="inlineStr">
        <is>
          <t>Not Listed</t>
        </is>
      </c>
      <c r="U10" s="108" t="inlineStr">
        <is>
          <t>59</t>
        </is>
      </c>
      <c r="V10" s="108" t="inlineStr">
        <is>
          <t>2000</t>
        </is>
      </c>
      <c r="W10" s="108" t="inlineStr">
        <is>
          <t>0</t>
        </is>
      </c>
      <c r="X10" s="108" t="inlineStr">
        <is>
          <t>Yes</t>
        </is>
      </c>
      <c r="Y10" s="109" t="inlineStr">
        <is>
          <t>No</t>
        </is>
      </c>
      <c r="Z10" s="110" t="inlineStr">
        <is>
          <t>No</t>
        </is>
      </c>
      <c r="AA10" s="111" t="inlineStr">
        <is>
          <t>No</t>
        </is>
      </c>
      <c r="AB10" s="134" t="inlineStr">
        <is>
          <t>No</t>
        </is>
      </c>
      <c r="AC10" s="136" t="inlineStr">
        <is>
          <t>MODERATE</t>
        </is>
      </c>
      <c r="AD10" s="136" t="inlineStr">
        <is>
          <t>Affordable Comp #3: LIHTC property, 2000 vintage (0 yr diff), 59 units, 49.7 mi from subject. Same income-eligible renter pool.</t>
        </is>
      </c>
      <c r="AE10" s="136" t="inlineStr">
        <is>
          <t>HUD LIHTC Database (huduser.gov)</t>
        </is>
      </c>
      <c r="AF10" s="136" t="n"/>
      <c r="AG10" s="136" t="n"/>
      <c r="AH10" s="136" t="n"/>
      <c r="AI10" s="136" t="n"/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Casa Del Sol</t>
        </is>
      </c>
      <c r="D11" s="95" t="inlineStr">
        <is>
          <t>9370 Bigler Dr</t>
        </is>
      </c>
      <c r="E11" s="95" t="inlineStr">
        <is>
          <t>Planada</t>
        </is>
      </c>
      <c r="F11" s="95" t="inlineStr">
        <is>
          <t>CA</t>
        </is>
      </c>
      <c r="G11" s="95" t="inlineStr">
        <is>
          <t>95365</t>
        </is>
      </c>
      <c r="H11" s="95" t="inlineStr">
        <is>
          <t>47.8 mi</t>
        </is>
      </c>
      <c r="I11" s="95" t="inlineStr">
        <is>
          <t>$3,176</t>
        </is>
      </c>
      <c r="J11" s="95" t="inlineStr">
        <is>
          <t>$3,812</t>
        </is>
      </c>
      <c r="K11" s="39" t="inlineStr">
        <is>
          <t>$1,096</t>
        </is>
      </c>
      <c r="L11" s="53" t="inlineStr">
        <is>
          <t>Not Listed</t>
        </is>
      </c>
      <c r="M11" s="96" t="inlineStr">
        <is>
          <t>$3,812</t>
        </is>
      </c>
      <c r="N11" s="96" t="inlineStr">
        <is>
          <t>$4,575</t>
        </is>
      </c>
      <c r="O11" s="39" t="inlineStr">
        <is>
          <t>$1,500</t>
        </is>
      </c>
      <c r="P11" s="53" t="inlineStr">
        <is>
          <t>Not Listed</t>
        </is>
      </c>
      <c r="Q11" s="96" t="inlineStr">
        <is>
          <t>$4,233</t>
        </is>
      </c>
      <c r="R11" s="96" t="inlineStr">
        <is>
          <t>$5,080</t>
        </is>
      </c>
      <c r="S11" s="96" t="inlineStr">
        <is>
          <t>$1,970</t>
        </is>
      </c>
      <c r="T11" s="96" t="inlineStr">
        <is>
          <t>Not Listed</t>
        </is>
      </c>
      <c r="U11" s="96" t="inlineStr">
        <is>
          <t>54</t>
        </is>
      </c>
      <c r="V11" s="96" t="inlineStr">
        <is>
          <t>2000</t>
        </is>
      </c>
      <c r="W11" s="96" t="inlineStr">
        <is>
          <t>0</t>
        </is>
      </c>
      <c r="X11" s="96" t="inlineStr">
        <is>
          <t>Yes</t>
        </is>
      </c>
      <c r="Y11" s="45" t="inlineStr">
        <is>
          <t>No</t>
        </is>
      </c>
      <c r="Z11" s="97" t="inlineStr">
        <is>
          <t>No</t>
        </is>
      </c>
      <c r="AA11" s="113" t="inlineStr">
        <is>
          <t>No</t>
        </is>
      </c>
      <c r="AB11" s="134" t="inlineStr">
        <is>
          <t>No</t>
        </is>
      </c>
      <c r="AC11" s="136" t="inlineStr">
        <is>
          <t>MODERATE</t>
        </is>
      </c>
      <c r="AD11" s="136" t="inlineStr">
        <is>
          <t>Affordable Comp #4: LIHTC property, 2000 vintage (0 yr diff), 54 units, 47.8 mi from subject. Same income-eligible renter pool.</t>
        </is>
      </c>
      <c r="AE11" s="136" t="inlineStr">
        <is>
          <t>HUD LIHTC Database (huduser.gov)</t>
        </is>
      </c>
      <c r="AF11" s="136" t="n"/>
      <c r="AG11" s="136" t="n"/>
      <c r="AH11" s="136" t="n"/>
      <c r="AI11" s="136" t="n"/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37.5" customHeight="1" s="131">
      <c r="A12" s="114" t="inlineStr">
        <is>
          <t>1</t>
        </is>
      </c>
      <c r="B12" s="70" t="inlineStr">
        <is>
          <t>MARKET RATE</t>
        </is>
      </c>
      <c r="C12" s="67" t="inlineStr">
        <is>
          <t>Quail Hollow Apartments</t>
        </is>
      </c>
      <c r="D12" s="98" t="inlineStr">
        <is>
          <t>20230 Grouse Way</t>
        </is>
      </c>
      <c r="E12" s="98" t="inlineStr">
        <is>
          <t>Sonora</t>
        </is>
      </c>
      <c r="F12" s="98" t="inlineStr">
        <is>
          <t>CA</t>
        </is>
      </c>
      <c r="G12" s="98" t="n"/>
      <c r="H12" s="98" t="inlineStr">
        <is>
          <t>2.0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$1,096</t>
        </is>
      </c>
      <c r="L12" s="53" t="n">
        <v>1365</v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$1,500</t>
        </is>
      </c>
      <c r="P12" s="53" t="n">
        <v>1420</v>
      </c>
      <c r="Q12" s="99" t="inlineStr">
        <is>
          <t>N/A (Market Rate)</t>
        </is>
      </c>
      <c r="R12" s="99" t="inlineStr">
        <is>
          <t>N/A (Market Rate)</t>
        </is>
      </c>
      <c r="S12" s="99" t="inlineStr">
        <is>
          <t>$1,970</t>
        </is>
      </c>
      <c r="T12" s="99" t="n">
        <v>2050</v>
      </c>
      <c r="U12" s="99" t="inlineStr">
        <is>
          <t>N/A</t>
        </is>
      </c>
      <c r="V12" s="99" t="inlineStr">
        <is>
          <t>2000</t>
        </is>
      </c>
      <c r="W12" s="99" t="inlineStr">
        <is>
          <t>0</t>
        </is>
      </c>
      <c r="X12" s="99" t="inlineStr">
        <is>
          <t>Varies</t>
        </is>
      </c>
      <c r="Y12" s="46" t="inlineStr">
        <is>
          <t>Varies</t>
        </is>
      </c>
      <c r="Z12" s="100" t="inlineStr">
        <is>
          <t>Varies</t>
        </is>
      </c>
      <c r="AA12" s="115" t="inlineStr">
        <is>
          <t>Varies</t>
        </is>
      </c>
      <c r="AB12" s="134" t="inlineStr">
        <is>
          <t>Varies</t>
        </is>
      </c>
      <c r="AC12" s="136" t="inlineStr">
        <is>
          <t>HIGH</t>
        </is>
      </c>
      <c r="AD12" s="136" t="inlineStr">
        <is>
          <t>Market Rate Comp #1: No income restrictions, 2000 vintage (0 yr diff), N/A units, N/A from subject. Shows market-rate rents vs. affordable housing discount.</t>
        </is>
      </c>
      <c r="AE12" s="136" t="inlineStr">
        <is>
          <t>HUD FY2026 FMR - Tuolumne County, CA (limited market rate listings in Sonora)</t>
        </is>
      </c>
      <c r="AF12" s="136" t="n"/>
      <c r="AG12" s="136" t="n"/>
      <c r="AH12" s="136" t="n"/>
      <c r="AI12" s="136" t="n"/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inlineStr">
        <is>
          <t>2</t>
        </is>
      </c>
      <c r="B13" s="71" t="inlineStr">
        <is>
          <t>Quail Hollow Apartments</t>
        </is>
      </c>
      <c r="C13" s="68" t="inlineStr">
        <is>
          <t>Sonora Rental Market (est.)</t>
        </is>
      </c>
      <c r="D13" s="101" t="inlineStr">
        <is>
          <t>165 S Shepherd St</t>
        </is>
      </c>
      <c r="E13" s="101" t="inlineStr">
        <is>
          <t>Sonora</t>
        </is>
      </c>
      <c r="F13" s="101" t="inlineStr">
        <is>
          <t>CA</t>
        </is>
      </c>
      <c r="G13" s="101" t="n"/>
      <c r="H13" s="101" t="inlineStr">
        <is>
          <t>1.5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$1,096</t>
        </is>
      </c>
      <c r="L13" s="53" t="n"/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$1,500</t>
        </is>
      </c>
      <c r="P13" s="53" t="n">
        <v>1595</v>
      </c>
      <c r="Q13" s="102" t="inlineStr">
        <is>
          <t>N/A (Market Rate)</t>
        </is>
      </c>
      <c r="R13" s="102" t="inlineStr">
        <is>
          <t>N/A (Market Rate)</t>
        </is>
      </c>
      <c r="S13" s="102" t="inlineStr">
        <is>
          <t>$1,970</t>
        </is>
      </c>
      <c r="T13" s="102" t="n">
        <v>1975</v>
      </c>
      <c r="U13" s="102" t="inlineStr">
        <is>
          <t>120</t>
        </is>
      </c>
      <c r="V13" s="102" t="inlineStr">
        <is>
          <t>2001</t>
        </is>
      </c>
      <c r="W13" s="102" t="inlineStr">
        <is>
          <t>1</t>
        </is>
      </c>
      <c r="X13" s="102" t="inlineStr">
        <is>
          <t>Varies</t>
        </is>
      </c>
      <c r="Y13" s="47" t="inlineStr">
        <is>
          <t>Varies</t>
        </is>
      </c>
      <c r="Z13" s="103" t="inlineStr">
        <is>
          <t>Varies</t>
        </is>
      </c>
      <c r="AA13" s="117" t="inlineStr">
        <is>
          <t>Varies</t>
        </is>
      </c>
      <c r="AB13" s="134" t="inlineStr">
        <is>
          <t>Varies</t>
        </is>
      </c>
      <c r="AC13" s="136" t="inlineStr">
        <is>
          <t>MODERATE</t>
        </is>
      </c>
      <c r="AD13" s="136" t="inlineStr">
        <is>
          <t>Market Rate Comp #2: No income restrictions, 2001 vintage (1 yr diff), 120 units, 45.0 mi from subject. Shows market-rate rents vs. affordable housing discount.</t>
        </is>
      </c>
      <c r="AE13" s="136" t="inlineStr">
        <is>
          <t>https://www.rentcafe.com/apartments-for-rent/us/ca/modesto/</t>
        </is>
      </c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inlineStr">
        <is>
          <t>3</t>
        </is>
      </c>
      <c r="B14" s="69" t="inlineStr">
        <is>
          <t>Shepherd Street Apartments</t>
        </is>
      </c>
      <c r="C14" s="66" t="inlineStr">
        <is>
          <t>Sonora Rental Market (est.)</t>
        </is>
      </c>
      <c r="D14" s="95" t="inlineStr">
        <is>
          <t>100 Greenley Rd</t>
        </is>
      </c>
      <c r="E14" s="95" t="inlineStr">
        <is>
          <t>Sonora</t>
        </is>
      </c>
      <c r="F14" s="95" t="inlineStr">
        <is>
          <t>CA</t>
        </is>
      </c>
      <c r="G14" s="95" t="n"/>
      <c r="H14" s="95" t="inlineStr">
        <is>
          <t>1.0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$1,096</t>
        </is>
      </c>
      <c r="L14" s="53" t="n"/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$1,500</t>
        </is>
      </c>
      <c r="P14" s="53" t="n">
        <v>1550</v>
      </c>
      <c r="Q14" s="96" t="inlineStr">
        <is>
          <t>N/A (Market Rate)</t>
        </is>
      </c>
      <c r="R14" s="96" t="inlineStr">
        <is>
          <t>N/A (Market Rate)</t>
        </is>
      </c>
      <c r="S14" s="96" t="inlineStr">
        <is>
          <t>$1,970</t>
        </is>
      </c>
      <c r="T14" s="96" t="n">
        <v>1925</v>
      </c>
      <c r="U14" s="96" t="inlineStr">
        <is>
          <t>96</t>
        </is>
      </c>
      <c r="V14" s="96" t="inlineStr">
        <is>
          <t>1998</t>
        </is>
      </c>
      <c r="W14" s="96" t="inlineStr">
        <is>
          <t>2</t>
        </is>
      </c>
      <c r="X14" s="96" t="inlineStr">
        <is>
          <t>Varies</t>
        </is>
      </c>
      <c r="Y14" s="45" t="inlineStr">
        <is>
          <t>Varies</t>
        </is>
      </c>
      <c r="Z14" s="97" t="inlineStr">
        <is>
          <t>Varies</t>
        </is>
      </c>
      <c r="AA14" s="113" t="inlineStr">
        <is>
          <t>Varies</t>
        </is>
      </c>
      <c r="AB14" s="134" t="inlineStr">
        <is>
          <t>Varies</t>
        </is>
      </c>
      <c r="AC14" s="136" t="inlineStr">
        <is>
          <t>MODERATE</t>
        </is>
      </c>
      <c r="AD14" s="136" t="inlineStr">
        <is>
          <t>Market Rate Comp #3: No income restrictions, 1998 vintage (2 yr diff), 96 units, 47.0 mi from subject. Shows market-rate rents vs. affordable housing discount.</t>
        </is>
      </c>
      <c r="AE14" s="136" t="inlineStr">
        <is>
          <t>https://www.rentcafe.com/apartments-for-rent/us/ca/modesto/</t>
        </is>
      </c>
      <c r="AF14" s="136" t="n"/>
      <c r="AG14" s="136" t="n"/>
      <c r="AH14" s="136" t="n"/>
      <c r="AI14" s="136" t="n"/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inlineStr">
        <is>
          <t>4</t>
        </is>
      </c>
      <c r="B15" s="69" t="inlineStr">
        <is>
          <t>Blackberry Oaks</t>
        </is>
      </c>
      <c r="C15" s="66" t="inlineStr">
        <is>
          <t>Sonora Rental Market (est.)</t>
        </is>
      </c>
      <c r="D15" s="95" t="inlineStr">
        <is>
          <t>22316 Longeway Rd</t>
        </is>
      </c>
      <c r="E15" s="95" t="inlineStr">
        <is>
          <t>Sonora</t>
        </is>
      </c>
      <c r="F15" s="95" t="inlineStr">
        <is>
          <t>CA</t>
        </is>
      </c>
      <c r="G15" s="95" t="n"/>
      <c r="H15" s="95" t="inlineStr">
        <is>
          <t>3.0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$1,096</t>
        </is>
      </c>
      <c r="L15" s="53" t="n"/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$1,500</t>
        </is>
      </c>
      <c r="P15" s="53" t="n">
        <v>1650</v>
      </c>
      <c r="Q15" s="96" t="inlineStr">
        <is>
          <t>N/A (Market Rate)</t>
        </is>
      </c>
      <c r="R15" s="96" t="inlineStr">
        <is>
          <t>N/A (Market Rate)</t>
        </is>
      </c>
      <c r="S15" s="96" t="inlineStr">
        <is>
          <t>$1,970</t>
        </is>
      </c>
      <c r="T15" s="96" t="n">
        <v>2050</v>
      </c>
      <c r="U15" s="96" t="inlineStr">
        <is>
          <t>N/A</t>
        </is>
      </c>
      <c r="V15" s="96" t="inlineStr">
        <is>
          <t>1997</t>
        </is>
      </c>
      <c r="W15" s="96" t="inlineStr">
        <is>
          <t>3</t>
        </is>
      </c>
      <c r="X15" s="96" t="inlineStr">
        <is>
          <t>Varies</t>
        </is>
      </c>
      <c r="Y15" s="45" t="inlineStr">
        <is>
          <t>Varies</t>
        </is>
      </c>
      <c r="Z15" s="97" t="inlineStr">
        <is>
          <t>Varies</t>
        </is>
      </c>
      <c r="AA15" s="113" t="inlineStr">
        <is>
          <t>Varies</t>
        </is>
      </c>
      <c r="AB15" s="134" t="inlineStr">
        <is>
          <t>Varies</t>
        </is>
      </c>
      <c r="AC15" s="136" t="inlineStr">
        <is>
          <t>HIGH</t>
        </is>
      </c>
      <c r="AD15" s="136" t="inlineStr">
        <is>
          <t>Market Rate Comp #4: No income restrictions, 1997 vintage (3 yr diff), N/A units, N/A from subject. Shows market-rate rents vs. affordable housing discount.</t>
        </is>
      </c>
      <c r="AE15" s="136" t="inlineStr">
        <is>
          <t>HUD FY2026 FMR - Tuolumne County, CA</t>
        </is>
      </c>
      <c r="AF15" s="136" t="n"/>
      <c r="AG15" s="136" t="n"/>
      <c r="AH15" s="136" t="n"/>
      <c r="AI15" s="136" t="n"/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inlineStr">
        <is>
          <t>—</t>
        </is>
      </c>
      <c r="B16" s="82" t="inlineStr">
        <is>
          <t>BENCHMARK</t>
        </is>
      </c>
      <c r="C16" s="119" t="inlineStr">
        <is>
          <t>FY2026 FMR — Tuolumne County, CA</t>
        </is>
      </c>
      <c r="D16" s="120" t="inlineStr">
        <is>
          <t>N/A</t>
        </is>
      </c>
      <c r="E16" s="120" t="inlineStr">
        <is>
          <t>Sonora</t>
        </is>
      </c>
      <c r="F16" s="120" t="inlineStr">
        <is>
          <t>CA</t>
        </is>
      </c>
      <c r="G16" s="120" t="inlineStr">
        <is>
          <t>N/A</t>
        </is>
      </c>
      <c r="H16" s="120" t="inlineStr">
        <is>
          <t>N/A</t>
        </is>
      </c>
      <c r="I16" s="120" t="inlineStr">
        <is>
          <t>$1,096</t>
        </is>
      </c>
      <c r="J16" s="120" t="inlineStr">
        <is>
          <t>$1,096</t>
        </is>
      </c>
      <c r="K16" s="121" t="inlineStr">
        <is>
          <t>$1,096</t>
        </is>
      </c>
      <c r="L16" s="83" t="inlineStr">
        <is>
          <t>N/A</t>
        </is>
      </c>
      <c r="M16" s="122" t="inlineStr">
        <is>
          <t>$1,500</t>
        </is>
      </c>
      <c r="N16" s="122" t="inlineStr">
        <is>
          <t>$1,500</t>
        </is>
      </c>
      <c r="O16" s="121" t="inlineStr">
        <is>
          <t>$1,500</t>
        </is>
      </c>
      <c r="P16" s="83" t="inlineStr">
        <is>
          <t>N/A</t>
        </is>
      </c>
      <c r="Q16" s="122" t="inlineStr">
        <is>
          <t>$1,970</t>
        </is>
      </c>
      <c r="R16" s="122" t="inlineStr">
        <is>
          <t>$1,970</t>
        </is>
      </c>
      <c r="S16" s="122" t="inlineStr">
        <is>
          <t>$1,970</t>
        </is>
      </c>
      <c r="T16" s="122" t="inlineStr">
        <is>
          <t>N/A</t>
        </is>
      </c>
      <c r="U16" s="122" t="inlineStr">
        <is>
          <t>N/A</t>
        </is>
      </c>
      <c r="V16" s="122" t="inlineStr">
        <is>
          <t>N/A</t>
        </is>
      </c>
      <c r="W16" s="122" t="inlineStr">
        <is>
          <t>N/A</t>
        </is>
      </c>
      <c r="X16" s="122" t="inlineStr">
        <is>
          <t>N/A</t>
        </is>
      </c>
      <c r="Y16" s="84" t="inlineStr">
        <is>
          <t>N/A</t>
        </is>
      </c>
      <c r="Z16" s="123" t="inlineStr">
        <is>
          <t>N/A</t>
        </is>
      </c>
      <c r="AA16" s="124" t="inlineStr">
        <is>
          <t>N/A</t>
        </is>
      </c>
      <c r="AB16" s="134" t="inlineStr">
        <is>
          <t>N/A</t>
        </is>
      </c>
      <c r="AC16" s="136" t="inlineStr">
        <is>
          <t>BENCHMARK</t>
        </is>
      </c>
      <c r="AD16" s="136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136" t="inlineStr">
        <is>
          <t>HUD FMR Database (huduser.gov)</t>
        </is>
      </c>
      <c r="AF16" s="136" t="n"/>
      <c r="AG16" s="136" t="n"/>
      <c r="AH16" s="136" t="n"/>
      <c r="AI16" s="136" t="n"/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inlineStr">
        <is>
          <t>—</t>
        </is>
      </c>
      <c r="B17" s="88" t="inlineStr">
        <is>
          <t>BENCHMARK</t>
        </is>
      </c>
      <c r="C17" s="89" t="inlineStr">
        <is>
          <t>Metro Market Avg — Sonora</t>
        </is>
      </c>
      <c r="D17" s="87" t="inlineStr">
        <is>
          <t>N/A</t>
        </is>
      </c>
      <c r="E17" s="87" t="inlineStr">
        <is>
          <t>Sonora</t>
        </is>
      </c>
      <c r="F17" s="87" t="inlineStr">
        <is>
          <t>CA</t>
        </is>
      </c>
      <c r="G17" s="87" t="inlineStr">
        <is>
          <t>N/A</t>
        </is>
      </c>
      <c r="H17" s="87" t="inlineStr">
        <is>
          <t>N/A</t>
        </is>
      </c>
      <c r="I17" s="87" t="inlineStr">
        <is>
          <t>$1,205</t>
        </is>
      </c>
      <c r="J17" s="87" t="inlineStr">
        <is>
          <t>$1,205</t>
        </is>
      </c>
      <c r="K17" s="90" t="inlineStr">
        <is>
          <t>$1,205</t>
        </is>
      </c>
      <c r="L17" s="91" t="inlineStr">
        <is>
          <t>N/A</t>
        </is>
      </c>
      <c r="M17" s="92" t="inlineStr">
        <is>
          <t>$1,650</t>
        </is>
      </c>
      <c r="N17" s="92" t="inlineStr">
        <is>
          <t>$1,650</t>
        </is>
      </c>
      <c r="O17" s="90" t="inlineStr">
        <is>
          <t>$1,650</t>
        </is>
      </c>
      <c r="P17" s="91" t="inlineStr">
        <is>
          <t>N/A</t>
        </is>
      </c>
      <c r="Q17" s="92" t="inlineStr">
        <is>
          <t>$2,167</t>
        </is>
      </c>
      <c r="R17" s="92" t="inlineStr">
        <is>
          <t>$2,167</t>
        </is>
      </c>
      <c r="S17" s="92" t="inlineStr">
        <is>
          <t>$2,167</t>
        </is>
      </c>
      <c r="T17" s="92" t="inlineStr">
        <is>
          <t>N/A</t>
        </is>
      </c>
      <c r="U17" s="92" t="inlineStr">
        <is>
          <t>N/A</t>
        </is>
      </c>
      <c r="V17" s="92" t="inlineStr">
        <is>
          <t>N/A</t>
        </is>
      </c>
      <c r="W17" s="92" t="inlineStr">
        <is>
          <t>N/A</t>
        </is>
      </c>
      <c r="X17" s="92" t="inlineStr">
        <is>
          <t>N/A</t>
        </is>
      </c>
      <c r="Y17" s="93" t="inlineStr">
        <is>
          <t>N/A</t>
        </is>
      </c>
      <c r="Z17" s="94" t="inlineStr">
        <is>
          <t>N/A</t>
        </is>
      </c>
      <c r="AA17" s="92" t="inlineStr">
        <is>
          <t>N/A</t>
        </is>
      </c>
      <c r="AB17" s="136" t="inlineStr">
        <is>
          <t>N/A</t>
        </is>
      </c>
      <c r="AC17" s="136" t="inlineStr">
        <is>
          <t>BENCHMARK</t>
        </is>
      </c>
      <c r="AD17" s="136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136" t="inlineStr">
        <is>
          <t>HUD FMR + Market Estimate</t>
        </is>
      </c>
      <c r="AF17" s="136" t="n"/>
      <c r="AG17" s="136" t="n"/>
      <c r="AH17" s="136" t="n"/>
      <c r="AI17" s="136" t="n"/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F19" s="136" t="n"/>
      <c r="AG19" s="136" t="n"/>
      <c r="AH19" s="136" t="n"/>
      <c r="AI19" s="136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Height="1" s="131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Format="1" customHeight="1" s="2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Format="1" customHeight="1" s="2">
      <c r="A25" s="372" t="n"/>
      <c r="B25" s="201" t="inlineStr">
        <is>
          <t>1BD</t>
        </is>
      </c>
      <c r="C25" s="194" t="n"/>
      <c r="D25" s="200" t="n">
        <v>1365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Height="1" s="131">
      <c r="A26" s="372" t="n"/>
      <c r="B26" s="201" t="inlineStr">
        <is>
          <t>2BD</t>
        </is>
      </c>
      <c r="C26" s="194" t="n"/>
      <c r="D26" s="200" t="n">
        <v>1420</v>
      </c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24.75" customHeight="1" s="131">
      <c r="A27" s="369" t="n"/>
      <c r="B27" s="201" t="inlineStr">
        <is>
          <t>3BD</t>
        </is>
      </c>
      <c r="C27" s="194" t="n"/>
      <c r="D27" s="200" t="n">
        <v>2050</v>
      </c>
      <c r="E27" s="195" t="n"/>
      <c r="F27" s="183" t="n"/>
      <c r="G27" s="183" t="n"/>
      <c r="H27" s="183" t="n"/>
      <c r="I27" s="183" t="n"/>
      <c r="J27" s="183" t="n"/>
      <c r="K27" s="302" t="n"/>
      <c r="L27" s="302" t="n"/>
      <c r="M27" s="302" t="n"/>
      <c r="N27" s="302" t="n"/>
      <c r="O27" s="343" t="n"/>
      <c r="P27" s="302" t="n"/>
      <c r="Q27" s="302" t="n"/>
      <c r="R27" s="302" t="n"/>
      <c r="S27" s="302" t="n"/>
      <c r="T27" s="302" t="n"/>
      <c r="U27" s="302" t="n"/>
      <c r="V27" s="302" t="n"/>
      <c r="W27" s="302" t="n"/>
      <c r="X27" s="302" t="n"/>
      <c r="Y27" s="302" t="n"/>
      <c r="Z27" s="302" t="n"/>
      <c r="AA27" s="353" t="n"/>
      <c r="AB27" s="302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8.1" customFormat="1" customHeight="1" s="2">
      <c r="A28" s="382" t="n"/>
      <c r="B28" s="404" t="n"/>
      <c r="C28" s="404" t="n"/>
      <c r="D28" s="404" t="n"/>
      <c r="E28" s="404" t="n"/>
      <c r="F28" s="382" t="n"/>
      <c r="G28" s="369" t="n"/>
      <c r="H28" s="369" t="n"/>
      <c r="I28" s="369" t="n"/>
      <c r="J28" s="369" t="n"/>
      <c r="K28" s="369" t="n"/>
      <c r="L28" s="134" t="n"/>
      <c r="M28" s="134" t="n"/>
      <c r="N28" s="134" t="n"/>
      <c r="O28" s="134" t="n"/>
      <c r="P28" s="134" t="n"/>
      <c r="Q28" s="134" t="n"/>
      <c r="R28" s="134" t="n"/>
      <c r="S28" s="134" t="n"/>
      <c r="T28" s="134" t="n"/>
      <c r="U28" s="134" t="n"/>
      <c r="V28" s="134" t="n"/>
      <c r="W28" s="134" t="n"/>
      <c r="X28" s="134" t="n"/>
      <c r="Y28" s="134" t="n"/>
      <c r="Z28" s="135" t="n"/>
      <c r="AA28" s="134" t="n"/>
      <c r="AB28" s="134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24.75" customFormat="1" customHeight="1" s="2">
      <c r="A29" s="302" t="n"/>
      <c r="B29" s="211" t="inlineStr">
        <is>
          <t>PMTS — Vouchers / FMR / UAP / NET</t>
        </is>
      </c>
      <c r="G29" s="365" t="n"/>
      <c r="H29" s="183" t="n"/>
      <c r="I29" s="183" t="n"/>
      <c r="J29" s="183" t="n"/>
      <c r="K29" s="302" t="n"/>
      <c r="L29" s="302" t="n"/>
      <c r="M29" s="302" t="n"/>
      <c r="N29" s="302" t="n"/>
      <c r="O29" s="302" t="n"/>
      <c r="P29" s="302" t="n"/>
      <c r="Q29" s="302" t="n"/>
      <c r="R29" s="302" t="n"/>
      <c r="S29" s="302" t="n"/>
      <c r="T29" s="302" t="n"/>
      <c r="U29" s="302" t="n"/>
      <c r="V29" s="302" t="n"/>
      <c r="W29" s="302" t="n"/>
      <c r="X29" s="302" t="n"/>
      <c r="Y29" s="302" t="n"/>
      <c r="Z29" s="302" t="n"/>
      <c r="AA29" s="353" t="n"/>
      <c r="AB29" s="302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15.95" customFormat="1" customHeight="1" s="2">
      <c r="A30" s="302" t="n"/>
      <c r="B30" s="226" t="n"/>
      <c r="C30" s="213" t="inlineStr">
        <is>
          <t>MKT</t>
        </is>
      </c>
      <c r="D30" s="213" t="inlineStr">
        <is>
          <t>VCH</t>
        </is>
      </c>
      <c r="E30" s="214" t="inlineStr">
        <is>
          <t>FMR</t>
        </is>
      </c>
      <c r="F30" s="215" t="inlineStr">
        <is>
          <t>UAP</t>
        </is>
      </c>
      <c r="G30" s="216" t="inlineStr">
        <is>
          <t>NET</t>
        </is>
      </c>
      <c r="H30" s="183" t="n"/>
      <c r="I30" s="183" t="n"/>
      <c r="J30" s="183" t="n"/>
      <c r="K30" s="302" t="n"/>
      <c r="L30" s="302" t="n"/>
      <c r="M30" s="302" t="n"/>
      <c r="N30" s="302" t="n"/>
      <c r="O30" s="302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24.75" customFormat="1" customHeight="1" s="2">
      <c r="A31" s="372" t="n"/>
      <c r="B31" s="217" t="inlineStr">
        <is>
          <t>1BD</t>
        </is>
      </c>
      <c r="C31" s="197" t="n">
        <v>0</v>
      </c>
      <c r="D31" s="197" t="n">
        <v>1000</v>
      </c>
      <c r="E31" s="198" t="n">
        <v>1190</v>
      </c>
      <c r="F31" s="199" t="n">
        <v>73</v>
      </c>
      <c r="G31" s="218" t="n">
        <v>1117</v>
      </c>
      <c r="H31" s="183" t="n"/>
      <c r="I31" s="183" t="n"/>
      <c r="J31" s="183" t="n"/>
      <c r="K31" s="302" t="n"/>
      <c r="L31" s="302" t="n"/>
      <c r="M31" s="302" t="n"/>
      <c r="N31" s="302" t="n"/>
      <c r="O31" s="343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24.75" customHeight="1" s="131">
      <c r="A32" s="369" t="n"/>
      <c r="B32" s="217" t="inlineStr">
        <is>
          <t>2BD</t>
        </is>
      </c>
      <c r="C32" s="197" t="n">
        <v>0</v>
      </c>
      <c r="D32" s="197" t="n">
        <v>1150</v>
      </c>
      <c r="E32" s="198" t="n">
        <v>1520</v>
      </c>
      <c r="F32" s="199" t="n">
        <v>105</v>
      </c>
      <c r="G32" s="218" t="n">
        <v>1415</v>
      </c>
      <c r="H32" s="183" t="n"/>
      <c r="I32" s="183" t="n"/>
      <c r="J32" s="183" t="n"/>
      <c r="K32" s="302" t="n"/>
      <c r="L32" s="302" t="n"/>
      <c r="M32" s="302" t="n"/>
      <c r="N32" s="302" t="n"/>
      <c r="O32" s="343" t="n"/>
      <c r="P32" s="302" t="n"/>
      <c r="Q32" s="302" t="n"/>
      <c r="R32" s="302" t="n"/>
      <c r="S32" s="302" t="n"/>
      <c r="T32" s="302" t="n"/>
      <c r="U32" s="302" t="n"/>
      <c r="V32" s="302" t="n"/>
      <c r="W32" s="302" t="n"/>
      <c r="X32" s="302" t="n"/>
      <c r="Y32" s="302" t="n"/>
      <c r="Z32" s="302" t="n"/>
      <c r="AA32" s="353" t="n"/>
      <c r="AB32" s="302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8.1" customHeight="1" s="131">
      <c r="A33" s="382" t="n"/>
      <c r="B33" s="404" t="n"/>
      <c r="C33" s="404" t="n"/>
      <c r="D33" s="404" t="n"/>
      <c r="E33" s="404" t="n"/>
      <c r="F33" s="382" t="n"/>
      <c r="G33" s="369" t="n"/>
      <c r="H33" s="369" t="n"/>
      <c r="I33" s="369" t="n"/>
      <c r="J33" s="369" t="n"/>
      <c r="K33" s="369" t="n"/>
      <c r="L33" s="134" t="n"/>
      <c r="M33" s="134" t="n"/>
      <c r="N33" s="134" t="n"/>
      <c r="O33" s="134" t="n"/>
      <c r="P33" s="134" t="n"/>
      <c r="Q33" s="134" t="n"/>
      <c r="R33" s="134" t="n"/>
      <c r="S33" s="134" t="n"/>
      <c r="T33" s="134" t="n"/>
      <c r="U33" s="134" t="n"/>
      <c r="V33" s="134" t="n"/>
      <c r="W33" s="134" t="n"/>
      <c r="X33" s="134" t="n"/>
      <c r="Y33" s="134" t="n"/>
      <c r="Z33" s="135" t="n"/>
      <c r="AA33" s="134" t="n"/>
      <c r="AB33" s="134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24.75" customFormat="1" customHeight="1" s="2">
      <c r="A34" s="302" t="n"/>
      <c r="B34" s="366" t="inlineStr">
        <is>
          <t>LIHTC, UAP, NET</t>
        </is>
      </c>
      <c r="C34" s="358" t="n"/>
      <c r="D34" s="358" t="n"/>
      <c r="E34" s="358" t="n"/>
      <c r="F34" s="358" t="n"/>
      <c r="G34" s="359" t="n"/>
      <c r="H34" s="183" t="n"/>
      <c r="I34" s="183" t="n"/>
      <c r="J34" s="183" t="n"/>
      <c r="K34" s="302" t="n"/>
      <c r="L34" s="302" t="n"/>
      <c r="M34" s="302" t="n"/>
      <c r="N34" s="302" t="n"/>
      <c r="O34" s="302" t="n"/>
      <c r="P34" s="302" t="n"/>
      <c r="Q34" s="302" t="n"/>
      <c r="R34" s="302" t="n"/>
      <c r="S34" s="302" t="n"/>
      <c r="T34" s="302" t="n"/>
      <c r="U34" s="302" t="n"/>
      <c r="V34" s="302" t="n"/>
      <c r="W34" s="302" t="n"/>
      <c r="X34" s="302" t="n"/>
      <c r="Y34" s="302" t="n"/>
      <c r="Z34" s="302" t="n"/>
      <c r="AA34" s="353" t="n"/>
      <c r="AB34" s="302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16.5" customFormat="1" customHeight="1" s="2">
      <c r="A35" s="372" t="n"/>
      <c r="B35" s="226" t="n"/>
      <c r="C35" s="228" t="inlineStr">
        <is>
          <t>LIHTC/MKT</t>
        </is>
      </c>
      <c r="D35" s="228" t="inlineStr">
        <is>
          <t>40%</t>
        </is>
      </c>
      <c r="E35" s="215" t="inlineStr">
        <is>
          <t>UAP</t>
        </is>
      </c>
      <c r="F35" s="216" t="inlineStr">
        <is>
          <t>NET</t>
        </is>
      </c>
      <c r="G35" s="183" t="n"/>
      <c r="H35" s="183" t="n"/>
      <c r="I35" s="183" t="n"/>
      <c r="J35" s="183" t="n"/>
      <c r="K35" s="302" t="n"/>
      <c r="L35" s="302" t="n"/>
      <c r="M35" s="302" t="n"/>
      <c r="N35" s="302" t="n"/>
      <c r="O35" s="343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24.75" customFormat="1" customHeight="1" s="2">
      <c r="A36" s="369" t="n"/>
      <c r="B36" s="224" t="inlineStr">
        <is>
          <t>1BD</t>
        </is>
      </c>
      <c r="C36" s="225" t="n">
        <v>762</v>
      </c>
      <c r="D36" s="225" t="n">
        <v>663</v>
      </c>
      <c r="E36" s="225" t="n">
        <v>73</v>
      </c>
      <c r="F36" s="223" t="n">
        <v>590</v>
      </c>
      <c r="G36" s="183" t="n"/>
      <c r="H36" s="183" t="n"/>
      <c r="I36" s="183" t="n"/>
      <c r="J36" s="183" t="n"/>
      <c r="K36" s="302" t="n"/>
      <c r="L36" s="302" t="n"/>
      <c r="M36" s="302" t="n"/>
      <c r="N36" s="302" t="n"/>
      <c r="O36" s="343" t="n"/>
      <c r="P36" s="302" t="n"/>
      <c r="Q36" s="302" t="n"/>
      <c r="R36" s="302" t="n"/>
      <c r="S36" s="302" t="n"/>
      <c r="T36" s="302" t="n"/>
      <c r="U36" s="302" t="n"/>
      <c r="V36" s="302" t="n"/>
      <c r="W36" s="302" t="n"/>
      <c r="X36" s="302" t="n"/>
      <c r="Y36" s="302" t="n"/>
      <c r="Z36" s="302" t="n"/>
      <c r="AA36" s="353" t="n"/>
      <c r="AB36" s="302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24.75" customFormat="1" customHeight="1" s="2">
      <c r="A37" s="369" t="n"/>
      <c r="B37" s="224" t="inlineStr">
        <is>
          <t>2BD</t>
        </is>
      </c>
      <c r="C37" s="225" t="n">
        <v>915</v>
      </c>
      <c r="D37" s="225" t="n">
        <v>782</v>
      </c>
      <c r="E37" s="225" t="n">
        <v>105</v>
      </c>
      <c r="F37" s="223" t="n">
        <v>677</v>
      </c>
      <c r="G37" s="183" t="n"/>
      <c r="H37" s="183" t="n"/>
      <c r="I37" s="183" t="n"/>
      <c r="J37" s="183" t="n"/>
      <c r="K37" s="302" t="n"/>
      <c r="L37" s="302" t="n"/>
      <c r="M37" s="302" t="n"/>
      <c r="N37" s="302" t="n"/>
      <c r="O37" s="343" t="n"/>
      <c r="P37" s="302" t="n"/>
      <c r="Q37" s="302" t="n"/>
      <c r="R37" s="302" t="n"/>
      <c r="S37" s="302" t="n"/>
      <c r="T37" s="302" t="n"/>
      <c r="U37" s="302" t="n"/>
      <c r="V37" s="302" t="n"/>
      <c r="W37" s="302" t="n"/>
      <c r="X37" s="302" t="n"/>
      <c r="Y37" s="302" t="n"/>
      <c r="Z37" s="302" t="n"/>
      <c r="AA37" s="353" t="n"/>
      <c r="AB37" s="302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18" customHeight="1" s="131">
      <c r="A38" s="372" t="n"/>
      <c r="B38" s="372" t="n"/>
      <c r="C38" s="444" t="n"/>
      <c r="D38" s="369" t="n"/>
      <c r="E38" s="369" t="n"/>
      <c r="F38" s="369" t="n"/>
      <c r="G38" s="369" t="n"/>
      <c r="H38" s="369" t="n"/>
      <c r="I38" s="369" t="n"/>
      <c r="J38" s="369" t="n"/>
      <c r="K38" s="369" t="n"/>
      <c r="L38" s="134" t="n"/>
      <c r="M38" s="134" t="n"/>
      <c r="N38" s="134" t="n"/>
      <c r="O38" s="134" t="n"/>
      <c r="P38" s="134" t="n"/>
      <c r="Q38" s="134" t="n"/>
      <c r="R38" s="134" t="n"/>
      <c r="S38" s="134" t="n"/>
      <c r="T38" s="134" t="n"/>
      <c r="U38" s="134" t="n"/>
      <c r="V38" s="134" t="n"/>
      <c r="W38" s="134" t="n"/>
      <c r="X38" s="134" t="n"/>
      <c r="Y38" s="134" t="n"/>
      <c r="Z38" s="135" t="n"/>
      <c r="AA38" s="134" t="n"/>
      <c r="AB38" s="134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18" customHeight="1" s="131">
      <c r="A39" s="372" t="n"/>
      <c r="B39" s="371" t="n"/>
      <c r="C39" s="371" t="n"/>
      <c r="D39" s="371" t="n"/>
      <c r="E39" s="371" t="n"/>
      <c r="F39" s="371" t="n"/>
      <c r="G39" s="369" t="n"/>
      <c r="H39" s="369" t="n"/>
      <c r="I39" s="369" t="n"/>
      <c r="J39" s="369" t="n"/>
      <c r="K39" s="369" t="n"/>
      <c r="L39" s="134" t="n"/>
      <c r="M39" s="134" t="n"/>
      <c r="N39" s="134" t="n"/>
      <c r="O39" s="134" t="n"/>
      <c r="P39" s="134" t="n"/>
      <c r="Q39" s="134" t="n"/>
      <c r="R39" s="134" t="n"/>
      <c r="S39" s="134" t="n"/>
      <c r="T39" s="134" t="n"/>
      <c r="U39" s="134" t="n"/>
      <c r="V39" s="134" t="n"/>
      <c r="W39" s="134" t="n"/>
      <c r="X39" s="134" t="n"/>
      <c r="Y39" s="134" t="n"/>
      <c r="Z39" s="135" t="n"/>
      <c r="AA39" s="134" t="n"/>
      <c r="AB39" s="134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ht="24.75" customHeight="1" s="131">
      <c r="A40" s="302" t="n"/>
      <c r="B40" s="207" t="inlineStr">
        <is>
          <t>HAP, CoStar, NET</t>
        </is>
      </c>
      <c r="H40" s="183" t="n"/>
      <c r="I40" s="183" t="n"/>
      <c r="J40" s="183" t="n"/>
      <c r="K40" s="302" t="n"/>
      <c r="L40" s="302" t="n"/>
      <c r="M40" s="302" t="n"/>
      <c r="N40" s="302" t="n"/>
      <c r="O40" s="302" t="n"/>
      <c r="P40" s="302" t="n"/>
      <c r="Q40" s="302" t="n"/>
      <c r="R40" s="302" t="n"/>
      <c r="S40" s="302" t="n"/>
      <c r="T40" s="302" t="n"/>
      <c r="U40" s="302" t="n"/>
      <c r="V40" s="302" t="n"/>
      <c r="W40" s="302" t="n"/>
      <c r="X40" s="302" t="n"/>
      <c r="Y40" s="302" t="n"/>
      <c r="Z40" s="302" t="n"/>
      <c r="AA40" s="353" t="n"/>
      <c r="AB40" s="302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ht="15.95" customHeight="1" s="131">
      <c r="A41" s="302" t="n"/>
      <c r="B41" s="227" t="n"/>
      <c r="C41" s="208" t="inlineStr">
        <is>
          <t>HAP</t>
        </is>
      </c>
      <c r="D41" s="209" t="inlineStr">
        <is>
          <t>CoStar</t>
        </is>
      </c>
      <c r="E41" s="302" t="n"/>
      <c r="F41" s="302" t="n"/>
      <c r="G41" s="302" t="n"/>
      <c r="H41" s="183" t="n"/>
      <c r="I41" s="183" t="n"/>
      <c r="J41" s="183" t="n"/>
      <c r="K41" s="302" t="n"/>
      <c r="L41" s="302" t="n"/>
      <c r="M41" s="302" t="n"/>
      <c r="N41" s="302" t="n"/>
      <c r="O41" s="302" t="n"/>
      <c r="P41" s="302" t="n"/>
      <c r="Q41" s="302" t="n"/>
      <c r="R41" s="302" t="n"/>
      <c r="S41" s="302" t="n"/>
      <c r="T41" s="302" t="n"/>
      <c r="U41" s="302" t="n"/>
      <c r="V41" s="302" t="n"/>
      <c r="W41" s="302" t="n"/>
      <c r="X41" s="302" t="n"/>
      <c r="Y41" s="302" t="n"/>
      <c r="Z41" s="302" t="n"/>
      <c r="AA41" s="353" t="n"/>
      <c r="AB41" s="302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ht="24.75" customHeight="1" s="131">
      <c r="A42" s="302" t="n"/>
      <c r="B42" s="196" t="inlineStr">
        <is>
          <t>1BD</t>
        </is>
      </c>
      <c r="C42" s="199" t="n">
        <v>0</v>
      </c>
      <c r="D42" s="198" t="n">
        <v>1203</v>
      </c>
      <c r="E42" s="183" t="n"/>
      <c r="F42" s="183" t="n"/>
      <c r="G42" s="183" t="n"/>
      <c r="H42" s="183" t="n"/>
      <c r="I42" s="183" t="n"/>
      <c r="J42" s="183" t="n"/>
      <c r="K42" s="302" t="n"/>
      <c r="L42" s="302" t="n"/>
      <c r="M42" s="302" t="n"/>
      <c r="N42" s="302" t="n"/>
      <c r="O42" s="302" t="n"/>
      <c r="P42" s="302" t="n"/>
      <c r="Q42" s="302" t="n"/>
      <c r="R42" s="302" t="n"/>
      <c r="S42" s="302" t="n"/>
      <c r="T42" s="302" t="n"/>
      <c r="U42" s="302" t="n"/>
      <c r="V42" s="302" t="n"/>
      <c r="W42" s="302" t="n"/>
      <c r="X42" s="302" t="n"/>
      <c r="Y42" s="302" t="n"/>
      <c r="Z42" s="302" t="n"/>
      <c r="AA42" s="353" t="n"/>
      <c r="AB42" s="302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ht="24.75" customHeight="1" s="131">
      <c r="A43" s="302" t="n"/>
      <c r="B43" s="196" t="inlineStr">
        <is>
          <t>2BD</t>
        </is>
      </c>
      <c r="C43" s="199" t="n">
        <v>0</v>
      </c>
      <c r="D43" s="198" t="n">
        <v>1335</v>
      </c>
      <c r="E43" s="183" t="n"/>
      <c r="F43" s="183" t="n"/>
      <c r="G43" s="183" t="n"/>
      <c r="H43" s="183" t="n"/>
      <c r="I43" s="183" t="n"/>
      <c r="J43" s="183" t="n"/>
      <c r="K43" s="302" t="n"/>
      <c r="L43" s="302" t="n"/>
      <c r="M43" s="302" t="n"/>
      <c r="N43" s="302" t="n"/>
      <c r="O43" s="302" t="n"/>
      <c r="P43" s="302" t="n"/>
      <c r="Q43" s="302" t="n"/>
      <c r="R43" s="302" t="n"/>
      <c r="S43" s="302" t="n"/>
      <c r="T43" s="302" t="n"/>
      <c r="U43" s="302" t="n"/>
      <c r="V43" s="302" t="n"/>
      <c r="W43" s="302" t="n"/>
      <c r="X43" s="302" t="n"/>
      <c r="Y43" s="302" t="n"/>
      <c r="Z43" s="302" t="n"/>
      <c r="AA43" s="353" t="n"/>
      <c r="AB43" s="302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s="131">
      <c r="A44" s="369" t="n"/>
      <c r="B44" s="369" t="n"/>
      <c r="C44" s="369" t="n"/>
      <c r="D44" s="369" t="n"/>
      <c r="E44" s="369" t="n"/>
      <c r="F44" s="369" t="n"/>
      <c r="G44" s="369" t="n"/>
      <c r="H44" s="369" t="n"/>
      <c r="I44" s="369" t="n"/>
      <c r="J44" s="369" t="n"/>
      <c r="K44" s="369" t="n"/>
      <c r="L44" s="136" t="n"/>
      <c r="M44" s="136" t="n"/>
      <c r="N44" s="136" t="n"/>
      <c r="O44" s="136" t="n"/>
      <c r="P44" s="136" t="n"/>
      <c r="Q44" s="136" t="n"/>
      <c r="R44" s="136" t="n"/>
      <c r="S44" s="136" t="n"/>
      <c r="T44" s="136" t="n"/>
      <c r="U44" s="136" t="n"/>
      <c r="V44" s="136" t="n"/>
      <c r="W44" s="136" t="n"/>
      <c r="X44" s="136" t="n"/>
      <c r="Y44" s="136" t="n"/>
      <c r="Z44" s="136" t="n"/>
      <c r="AA44" s="136" t="n"/>
      <c r="AB44" s="136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s="131">
      <c r="A45" s="369" t="n"/>
      <c r="B45" s="369" t="n"/>
      <c r="C45" s="369" t="n"/>
      <c r="D45" s="369" t="n"/>
      <c r="E45" s="369" t="n"/>
      <c r="F45" s="369" t="n"/>
      <c r="G45" s="369" t="n"/>
      <c r="H45" s="369" t="n"/>
      <c r="I45" s="369" t="n"/>
      <c r="J45" s="369" t="n"/>
      <c r="K45" s="369" t="n"/>
      <c r="L45" s="136" t="n"/>
      <c r="M45" s="136" t="n"/>
      <c r="N45" s="136" t="n"/>
      <c r="O45" s="136" t="n"/>
      <c r="P45" s="136" t="n"/>
      <c r="Q45" s="136" t="n"/>
      <c r="R45" s="136" t="n"/>
      <c r="S45" s="136" t="n"/>
      <c r="T45" s="136" t="n"/>
      <c r="U45" s="136" t="n"/>
      <c r="V45" s="136" t="n"/>
      <c r="W45" s="136" t="n"/>
      <c r="X45" s="136" t="n"/>
      <c r="Y45" s="136" t="n"/>
      <c r="Z45" s="136" t="n"/>
      <c r="AA45" s="136" t="n"/>
      <c r="AB45" s="136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s="131">
      <c r="A46" s="369" t="n"/>
      <c r="B46" s="369" t="n"/>
      <c r="C46" s="369" t="n"/>
      <c r="D46" s="369" t="n"/>
      <c r="E46" s="369" t="n"/>
      <c r="F46" s="369" t="n"/>
      <c r="G46" s="369" t="n"/>
      <c r="H46" s="369" t="n"/>
      <c r="I46" s="369" t="n"/>
      <c r="J46" s="369" t="n"/>
      <c r="K46" s="369" t="n"/>
      <c r="L46" s="136" t="n"/>
      <c r="M46" s="136" t="n"/>
      <c r="N46" s="136" t="n"/>
      <c r="O46" s="136" t="n"/>
      <c r="P46" s="136" t="n"/>
      <c r="Q46" s="136" t="n"/>
      <c r="R46" s="136" t="n"/>
      <c r="S46" s="136" t="n"/>
      <c r="T46" s="136" t="n"/>
      <c r="U46" s="136" t="n"/>
      <c r="V46" s="136" t="n"/>
      <c r="W46" s="136" t="n"/>
      <c r="X46" s="136" t="n"/>
      <c r="Y46" s="136" t="n"/>
      <c r="Z46" s="136" t="n"/>
      <c r="AA46" s="136" t="n"/>
      <c r="AB46" s="136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s="131">
      <c r="A47" s="369" t="n"/>
      <c r="B47" s="369" t="n"/>
      <c r="C47" s="369" t="n"/>
      <c r="D47" s="369" t="n"/>
      <c r="E47" s="369" t="n"/>
      <c r="F47" s="369" t="n"/>
      <c r="G47" s="369" t="n"/>
      <c r="H47" s="369" t="n"/>
      <c r="I47" s="369" t="n"/>
      <c r="J47" s="369" t="n"/>
      <c r="K47" s="369" t="n"/>
      <c r="L47" s="136" t="n"/>
      <c r="M47" s="136" t="n"/>
      <c r="N47" s="136" t="n"/>
      <c r="O47" s="136" t="n"/>
      <c r="P47" s="136" t="n"/>
      <c r="Q47" s="136" t="n"/>
      <c r="R47" s="136" t="n"/>
      <c r="S47" s="136" t="n"/>
      <c r="T47" s="136" t="n"/>
      <c r="U47" s="136" t="n"/>
      <c r="V47" s="136" t="n"/>
      <c r="W47" s="136" t="n"/>
      <c r="X47" s="136" t="n"/>
      <c r="Y47" s="136" t="n"/>
      <c r="Z47" s="136" t="n"/>
      <c r="AA47" s="136" t="n"/>
      <c r="AB47" s="136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s="131">
      <c r="A48" s="369" t="n"/>
      <c r="B48" s="369" t="n"/>
      <c r="C48" s="369" t="n"/>
      <c r="D48" s="369" t="n"/>
      <c r="E48" s="369" t="n"/>
      <c r="F48" s="369" t="n"/>
      <c r="G48" s="369" t="n"/>
      <c r="H48" s="369" t="n"/>
      <c r="I48" s="369" t="n"/>
      <c r="J48" s="369" t="n"/>
      <c r="K48" s="369" t="n"/>
      <c r="L48" s="136" t="n"/>
      <c r="M48" s="136" t="n"/>
      <c r="N48" s="136" t="n"/>
      <c r="O48" s="136" t="n"/>
      <c r="P48" s="136" t="n"/>
      <c r="Q48" s="136" t="n"/>
      <c r="R48" s="136" t="n"/>
      <c r="S48" s="136" t="n"/>
      <c r="T48" s="136" t="n"/>
      <c r="U48" s="136" t="n"/>
      <c r="V48" s="136" t="n"/>
      <c r="W48" s="136" t="n"/>
      <c r="X48" s="136" t="n"/>
      <c r="Y48" s="136" t="n"/>
      <c r="Z48" s="136" t="n"/>
      <c r="AA48" s="136" t="n"/>
      <c r="AB48" s="136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s="131">
      <c r="A49" s="369" t="n"/>
      <c r="B49" s="369" t="n"/>
      <c r="C49" s="369" t="n"/>
      <c r="D49" s="369" t="n"/>
      <c r="E49" s="369" t="n"/>
      <c r="F49" s="369" t="n"/>
      <c r="G49" s="369" t="n"/>
      <c r="H49" s="369" t="n"/>
      <c r="I49" s="369" t="n"/>
      <c r="J49" s="369" t="n"/>
      <c r="K49" s="369" t="n"/>
      <c r="L49" s="136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6" t="n"/>
      <c r="Y49" s="136" t="n"/>
      <c r="Z49" s="136" t="n"/>
      <c r="AA49" s="136" t="n"/>
      <c r="AB49" s="136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s="131">
      <c r="A50" s="369" t="n"/>
      <c r="B50" s="369" t="n"/>
      <c r="C50" s="369" t="n"/>
      <c r="D50" s="369" t="n"/>
      <c r="E50" s="369" t="n"/>
      <c r="F50" s="369" t="n"/>
      <c r="G50" s="369" t="n"/>
      <c r="H50" s="369" t="n"/>
      <c r="I50" s="369" t="n"/>
      <c r="J50" s="369" t="n"/>
      <c r="K50" s="369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  <row r="51"/>
  </sheetData>
  <mergeCells count="9">
    <mergeCell ref="B4:AB4"/>
    <mergeCell ref="B34:G34"/>
    <mergeCell ref="B22:G22"/>
    <mergeCell ref="B23:G23"/>
    <mergeCell ref="B2:AB2"/>
    <mergeCell ref="B20:I20"/>
    <mergeCell ref="B40:G40"/>
    <mergeCell ref="B3:AB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W54"/>
  <sheetViews>
    <sheetView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OAK HILLS | GREEN = Affordable Comps | BLUE = Market Rate Comps</t>
        </is>
      </c>
      <c r="B3" s="363" t="n"/>
      <c r="AB3" s="363" t="n"/>
      <c r="AC3" s="136" t="n"/>
      <c r="AD3" s="136" t="n"/>
      <c r="AE3" s="136" t="n"/>
      <c r="AF3" s="136" t="n"/>
      <c r="AG3" s="136" t="n"/>
      <c r="AH3" s="136" t="n"/>
      <c r="AI3" s="136" t="n"/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Oak Hills | 10260 Preston Lane, Jamestown, CA 95327 | 80 units | Program: LIHTC | Bedroom Mix: 2BR / 3BR | County AMI: $101,600 | FMR Area: Tuolumne County, CA</t>
        </is>
      </c>
      <c r="B4" s="363" t="n"/>
      <c r="AB4" s="363" t="n"/>
      <c r="AC4" s="136" t="n"/>
      <c r="AD4" s="136" t="n"/>
      <c r="AE4" s="136" t="n"/>
      <c r="AF4" s="136" t="n"/>
      <c r="AG4" s="136" t="n"/>
      <c r="AH4" s="136" t="n"/>
      <c r="AI4" s="136" t="n"/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B5" s="341" t="n"/>
      <c r="AC5" s="136" t="n"/>
      <c r="AD5" s="136" t="n"/>
      <c r="AE5" s="136" t="n"/>
      <c r="AF5" s="136" t="n"/>
      <c r="AG5" s="136" t="n"/>
      <c r="AH5" s="136" t="n"/>
      <c r="AI5" s="136" t="n"/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2BD 50% AMI ($)</t>
        </is>
      </c>
      <c r="J6" s="280" t="inlineStr">
        <is>
          <t>2BD 60% AMI ($)</t>
        </is>
      </c>
      <c r="K6" s="280" t="inlineStr">
        <is>
          <t>2BR FMR ($)</t>
        </is>
      </c>
      <c r="L6" s="335" t="inlineStr">
        <is>
          <t>2BR Actual ($)</t>
        </is>
      </c>
      <c r="M6" s="281" t="inlineStr">
        <is>
          <t>3BD 50% AMI ($)</t>
        </is>
      </c>
      <c r="N6" s="280" t="inlineStr">
        <is>
          <t>3BD 60% AMI ($)</t>
        </is>
      </c>
      <c r="O6" s="280" t="inlineStr">
        <is>
          <t>3BR FMR ($)</t>
        </is>
      </c>
      <c r="P6" s="335" t="inlineStr">
        <is>
          <t>3BR Actual ($)</t>
        </is>
      </c>
      <c r="Q6" s="281" t="inlineStr">
        <is>
          <t># Units</t>
        </is>
      </c>
      <c r="R6" s="280" t="inlineStr">
        <is>
          <t>Year Built</t>
        </is>
      </c>
      <c r="S6" s="280" t="inlineStr">
        <is>
          <t>Yr Diff</t>
        </is>
      </c>
      <c r="T6" s="339" t="inlineStr">
        <is>
          <t>Utilities Incl.</t>
        </is>
      </c>
      <c r="U6" s="339" t="inlineStr">
        <is>
          <t>Pet Friendly</t>
        </is>
      </c>
      <c r="V6" s="339" t="inlineStr">
        <is>
          <t>Gated</t>
        </is>
      </c>
      <c r="W6" s="339" t="inlineStr">
        <is>
          <t>Pool</t>
        </is>
      </c>
      <c r="X6" s="339" t="inlineStr">
        <is>
          <t>W/D In-Unit</t>
        </is>
      </c>
      <c r="Y6" s="339" t="inlineStr">
        <is>
          <t>Competition Level</t>
        </is>
      </c>
      <c r="Z6" s="336" t="inlineStr">
        <is>
          <t>Why Competitive</t>
        </is>
      </c>
      <c r="AA6" s="340" t="inlineStr">
        <is>
          <t>Data Source</t>
        </is>
      </c>
      <c r="AB6" s="342" t="n"/>
      <c r="AC6" s="136" t="n"/>
      <c r="AD6" s="136" t="n"/>
      <c r="AE6" s="136" t="n"/>
      <c r="AF6" s="136" t="n"/>
      <c r="AG6" s="136" t="n"/>
      <c r="AH6" s="136" t="n"/>
      <c r="AI6" s="136" t="n"/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Oak Hills (SUBJECT)</t>
        </is>
      </c>
      <c r="D7" s="174" t="inlineStr">
        <is>
          <t>10260 Preston Lane</t>
        </is>
      </c>
      <c r="E7" s="174" t="inlineStr">
        <is>
          <t>Jamestown</t>
        </is>
      </c>
      <c r="F7" s="174" t="inlineStr">
        <is>
          <t>CA</t>
        </is>
      </c>
      <c r="G7" s="174" t="inlineStr">
        <is>
          <t>95327</t>
        </is>
      </c>
      <c r="H7" s="174" t="inlineStr">
        <is>
          <t>0.0 mi</t>
        </is>
      </c>
      <c r="I7" s="174" t="inlineStr">
        <is>
          <t>$3,812</t>
        </is>
      </c>
      <c r="J7" s="174" t="inlineStr">
        <is>
          <t>$4,575</t>
        </is>
      </c>
      <c r="K7" s="174" t="inlineStr">
        <is>
          <t>$1,500</t>
        </is>
      </c>
      <c r="L7" s="368">
        <f>B26</f>
        <v/>
      </c>
      <c r="M7" s="174" t="inlineStr">
        <is>
          <t>$4,233</t>
        </is>
      </c>
      <c r="N7" s="174" t="inlineStr">
        <is>
          <t>$5,080</t>
        </is>
      </c>
      <c r="O7" s="174" t="inlineStr">
        <is>
          <t>$1,970</t>
        </is>
      </c>
      <c r="P7" s="368">
        <f>B27</f>
        <v/>
      </c>
      <c r="Q7" s="174" t="inlineStr">
        <is>
          <t>80</t>
        </is>
      </c>
      <c r="R7" s="174" t="inlineStr">
        <is>
          <t>2000</t>
        </is>
      </c>
      <c r="S7" s="174" t="inlineStr">
        <is>
          <t>0</t>
        </is>
      </c>
      <c r="T7" s="174" t="inlineStr">
        <is>
          <t>No</t>
        </is>
      </c>
      <c r="U7" s="174" t="inlineStr">
        <is>
          <t>No</t>
        </is>
      </c>
      <c r="V7" s="174" t="inlineStr">
        <is>
          <t>No</t>
        </is>
      </c>
      <c r="W7" s="174" t="inlineStr">
        <is>
          <t>No</t>
        </is>
      </c>
      <c r="X7" s="174" t="inlineStr">
        <is>
          <t>No</t>
        </is>
      </c>
      <c r="Y7" s="42" t="inlineStr">
        <is>
          <t>SUBJECT</t>
        </is>
      </c>
      <c r="Z7" s="55" t="inlineStr">
        <is>
          <t>80 units | LIHTC property. Year built: 2000. Subject property for market context.</t>
        </is>
      </c>
      <c r="AA7" s="40" t="inlineStr">
        <is>
          <t>Apartment Corp Records</t>
        </is>
      </c>
      <c r="AB7" s="136" t="n"/>
      <c r="AC7" s="136" t="n"/>
      <c r="AD7" s="136" t="n"/>
      <c r="AE7" s="136" t="n"/>
      <c r="AF7" s="136" t="n"/>
      <c r="AG7" s="136" t="n"/>
      <c r="AH7" s="136" t="n"/>
      <c r="AI7" s="136" t="n"/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Columbia Village Townhomes</t>
        </is>
      </c>
      <c r="D8" s="59" t="inlineStr">
        <is>
          <t>11439 Columbia Village Dr</t>
        </is>
      </c>
      <c r="E8" s="59" t="inlineStr">
        <is>
          <t>Sonora</t>
        </is>
      </c>
      <c r="F8" s="59" t="inlineStr">
        <is>
          <t>CA</t>
        </is>
      </c>
      <c r="G8" s="59" t="inlineStr">
        <is>
          <t>95370</t>
        </is>
      </c>
      <c r="H8" s="59" t="inlineStr">
        <is>
          <t>4.7 mi</t>
        </is>
      </c>
      <c r="I8" s="59" t="inlineStr">
        <is>
          <t>$3,812</t>
        </is>
      </c>
      <c r="J8" s="59" t="inlineStr">
        <is>
          <t>$4,575</t>
        </is>
      </c>
      <c r="K8" s="41" t="inlineStr">
        <is>
          <t>$1,500</t>
        </is>
      </c>
      <c r="L8" s="53" t="inlineStr">
        <is>
          <t>Not Listed</t>
        </is>
      </c>
      <c r="M8" s="43" t="inlineStr">
        <is>
          <t>$4,233</t>
        </is>
      </c>
      <c r="N8" s="43" t="inlineStr">
        <is>
          <t>$5,080</t>
        </is>
      </c>
      <c r="O8" s="41" t="inlineStr">
        <is>
          <t>$1,970</t>
        </is>
      </c>
      <c r="P8" s="53" t="inlineStr">
        <is>
          <t>Not Listed</t>
        </is>
      </c>
      <c r="Q8" s="43" t="inlineStr">
        <is>
          <t>80</t>
        </is>
      </c>
      <c r="R8" s="43" t="inlineStr">
        <is>
          <t>1998</t>
        </is>
      </c>
      <c r="S8" s="43" t="inlineStr">
        <is>
          <t>2</t>
        </is>
      </c>
      <c r="T8" s="43" t="inlineStr">
        <is>
          <t>Yes</t>
        </is>
      </c>
      <c r="U8" s="43" t="inlineStr">
        <is>
          <t>No</t>
        </is>
      </c>
      <c r="V8" s="43" t="inlineStr">
        <is>
          <t>No</t>
        </is>
      </c>
      <c r="W8" s="43" t="inlineStr">
        <is>
          <t>No</t>
        </is>
      </c>
      <c r="X8" s="43" t="inlineStr">
        <is>
          <t>No</t>
        </is>
      </c>
      <c r="Y8" s="44" t="inlineStr">
        <is>
          <t>HIGH</t>
        </is>
      </c>
      <c r="Z8" s="56" t="inlineStr">
        <is>
          <t>Affordable Comp #1: LIHTC property, 1998 vintage (2 yr diff), 80 units, 4.7 mi from subject. Same income-eligible renter pool.</t>
        </is>
      </c>
      <c r="AA8" s="43" t="inlineStr">
        <is>
          <t>HUD LIHTC Database (huduser.gov)</t>
        </is>
      </c>
      <c r="AB8" s="136" t="n"/>
      <c r="AC8" s="136" t="n"/>
      <c r="AD8" s="136" t="n"/>
      <c r="AE8" s="136" t="n"/>
      <c r="AF8" s="136" t="n"/>
      <c r="AG8" s="136" t="n"/>
      <c r="AH8" s="136" t="n"/>
      <c r="AI8" s="136" t="n"/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Forest View Senior Apts</t>
        </is>
      </c>
      <c r="D9" s="125" t="inlineStr">
        <is>
          <t>19499 Hess Ave</t>
        </is>
      </c>
      <c r="E9" s="125" t="inlineStr">
        <is>
          <t>Sonora</t>
        </is>
      </c>
      <c r="F9" s="125" t="inlineStr">
        <is>
          <t>CA</t>
        </is>
      </c>
      <c r="G9" s="125" t="inlineStr">
        <is>
          <t>95370</t>
        </is>
      </c>
      <c r="H9" s="125" t="inlineStr">
        <is>
          <t>5.2 mi</t>
        </is>
      </c>
      <c r="I9" s="125" t="inlineStr">
        <is>
          <t>$3,812</t>
        </is>
      </c>
      <c r="J9" s="125" t="inlineStr">
        <is>
          <t>$4,575</t>
        </is>
      </c>
      <c r="K9" s="85" t="inlineStr">
        <is>
          <t>$1,500</t>
        </is>
      </c>
      <c r="L9" s="86" t="inlineStr">
        <is>
          <t>Not Listed</t>
        </is>
      </c>
      <c r="M9" s="128" t="inlineStr">
        <is>
          <t>$4,233</t>
        </is>
      </c>
      <c r="N9" s="128" t="inlineStr">
        <is>
          <t>$5,080</t>
        </is>
      </c>
      <c r="O9" s="85" t="inlineStr">
        <is>
          <t>$1,970</t>
        </is>
      </c>
      <c r="P9" s="86" t="inlineStr">
        <is>
          <t>Not Listed</t>
        </is>
      </c>
      <c r="Q9" s="128" t="inlineStr">
        <is>
          <t>60</t>
        </is>
      </c>
      <c r="R9" s="128" t="inlineStr">
        <is>
          <t>1999</t>
        </is>
      </c>
      <c r="S9" s="128" t="inlineStr">
        <is>
          <t>1</t>
        </is>
      </c>
      <c r="T9" s="128" t="inlineStr">
        <is>
          <t>Yes</t>
        </is>
      </c>
      <c r="U9" s="128" t="inlineStr">
        <is>
          <t>No</t>
        </is>
      </c>
      <c r="V9" s="128" t="inlineStr">
        <is>
          <t>No</t>
        </is>
      </c>
      <c r="W9" s="128" t="inlineStr">
        <is>
          <t>No</t>
        </is>
      </c>
      <c r="X9" s="128" t="inlineStr">
        <is>
          <t>No</t>
        </is>
      </c>
      <c r="Y9" s="129" t="inlineStr">
        <is>
          <t>HIGH</t>
        </is>
      </c>
      <c r="Z9" s="130" t="inlineStr">
        <is>
          <t>Affordable Comp #2: LIHTC property, 1999 vintage (1 yr diff), 60 units, 5.2 mi from subject. Same income-eligible renter pool.</t>
        </is>
      </c>
      <c r="AA9" s="128" t="inlineStr">
        <is>
          <t>HUD LIHTC Database (huduser.gov)</t>
        </is>
      </c>
      <c r="AB9" s="136" t="n"/>
      <c r="AC9" s="136" t="n"/>
      <c r="AD9" s="136" t="n"/>
      <c r="AE9" s="136" t="n"/>
      <c r="AF9" s="136" t="n"/>
      <c r="AG9" s="136" t="n"/>
      <c r="AH9" s="136" t="n"/>
      <c r="AI9" s="136" t="n"/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Stockton Gardens Apts</t>
        </is>
      </c>
      <c r="D10" s="107" t="inlineStr">
        <is>
          <t>1025 Rosemarie Ln</t>
        </is>
      </c>
      <c r="E10" s="107" t="inlineStr">
        <is>
          <t>Stockton</t>
        </is>
      </c>
      <c r="F10" s="107" t="inlineStr">
        <is>
          <t>CA</t>
        </is>
      </c>
      <c r="G10" s="107" t="inlineStr">
        <is>
          <t>95207</t>
        </is>
      </c>
      <c r="H10" s="107" t="inlineStr">
        <is>
          <t>48.8 mi</t>
        </is>
      </c>
      <c r="I10" s="107" t="inlineStr">
        <is>
          <t>$3,812</t>
        </is>
      </c>
      <c r="J10" s="107" t="inlineStr">
        <is>
          <t>$4,575</t>
        </is>
      </c>
      <c r="K10" s="80" t="inlineStr">
        <is>
          <t>$1,500</t>
        </is>
      </c>
      <c r="L10" s="81" t="inlineStr">
        <is>
          <t>$1,537</t>
        </is>
      </c>
      <c r="M10" s="108" t="inlineStr">
        <is>
          <t>$4,233</t>
        </is>
      </c>
      <c r="N10" s="108" t="inlineStr">
        <is>
          <t>$5,080</t>
        </is>
      </c>
      <c r="O10" s="80" t="inlineStr">
        <is>
          <t>$1,970</t>
        </is>
      </c>
      <c r="P10" s="81" t="inlineStr">
        <is>
          <t>Not Listed</t>
        </is>
      </c>
      <c r="Q10" s="108" t="inlineStr">
        <is>
          <t>80</t>
        </is>
      </c>
      <c r="R10" s="108" t="inlineStr">
        <is>
          <t>2000</t>
        </is>
      </c>
      <c r="S10" s="108" t="inlineStr">
        <is>
          <t>0</t>
        </is>
      </c>
      <c r="T10" s="108" t="inlineStr">
        <is>
          <t>Yes</t>
        </is>
      </c>
      <c r="U10" s="108" t="inlineStr">
        <is>
          <t>No</t>
        </is>
      </c>
      <c r="V10" s="108" t="inlineStr">
        <is>
          <t>No</t>
        </is>
      </c>
      <c r="W10" s="108" t="inlineStr">
        <is>
          <t>No</t>
        </is>
      </c>
      <c r="X10" s="108" t="inlineStr">
        <is>
          <t>No</t>
        </is>
      </c>
      <c r="Y10" s="109" t="inlineStr">
        <is>
          <t>MODERATE</t>
        </is>
      </c>
      <c r="Z10" s="110" t="inlineStr">
        <is>
          <t>Affordable Comp #3: LIHTC property, 2000 vintage (0 yr diff), 80 units, 48.8 mi from subject. Same income-eligible renter pool.</t>
        </is>
      </c>
      <c r="AA10" s="111" t="inlineStr">
        <is>
          <t>HUD LIHTC Database (huduser.gov)</t>
        </is>
      </c>
      <c r="AB10" s="134" t="n"/>
      <c r="AC10" s="136" t="n"/>
      <c r="AD10" s="136" t="n"/>
      <c r="AE10" s="136" t="n"/>
      <c r="AF10" s="136" t="n"/>
      <c r="AG10" s="136" t="n"/>
      <c r="AH10" s="136" t="n"/>
      <c r="AI10" s="136" t="n"/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Stockton Terrace Apts</t>
        </is>
      </c>
      <c r="D11" s="95" t="inlineStr">
        <is>
          <t>246 E Iris Ave</t>
        </is>
      </c>
      <c r="E11" s="95" t="inlineStr">
        <is>
          <t>Stockton</t>
        </is>
      </c>
      <c r="F11" s="95" t="inlineStr">
        <is>
          <t>CA</t>
        </is>
      </c>
      <c r="G11" s="95" t="inlineStr">
        <is>
          <t>95210</t>
        </is>
      </c>
      <c r="H11" s="95" t="inlineStr">
        <is>
          <t>48.5 mi</t>
        </is>
      </c>
      <c r="I11" s="95" t="inlineStr">
        <is>
          <t>$3,812</t>
        </is>
      </c>
      <c r="J11" s="95" t="inlineStr">
        <is>
          <t>$4,575</t>
        </is>
      </c>
      <c r="K11" s="39" t="inlineStr">
        <is>
          <t>$1,500</t>
        </is>
      </c>
      <c r="L11" s="53" t="inlineStr">
        <is>
          <t>Not Listed</t>
        </is>
      </c>
      <c r="M11" s="96" t="inlineStr">
        <is>
          <t>$4,233</t>
        </is>
      </c>
      <c r="N11" s="96" t="inlineStr">
        <is>
          <t>$5,080</t>
        </is>
      </c>
      <c r="O11" s="39" t="inlineStr">
        <is>
          <t>$1,970</t>
        </is>
      </c>
      <c r="P11" s="53" t="inlineStr">
        <is>
          <t>Not Listed</t>
        </is>
      </c>
      <c r="Q11" s="96" t="inlineStr">
        <is>
          <t>80</t>
        </is>
      </c>
      <c r="R11" s="96" t="inlineStr">
        <is>
          <t>2000</t>
        </is>
      </c>
      <c r="S11" s="96" t="inlineStr">
        <is>
          <t>0</t>
        </is>
      </c>
      <c r="T11" s="96" t="inlineStr">
        <is>
          <t>Yes</t>
        </is>
      </c>
      <c r="U11" s="96" t="inlineStr">
        <is>
          <t>No</t>
        </is>
      </c>
      <c r="V11" s="96" t="inlineStr">
        <is>
          <t>No</t>
        </is>
      </c>
      <c r="W11" s="96" t="inlineStr">
        <is>
          <t>No</t>
        </is>
      </c>
      <c r="X11" s="96" t="inlineStr">
        <is>
          <t>No</t>
        </is>
      </c>
      <c r="Y11" s="45" t="inlineStr">
        <is>
          <t>MODERATE</t>
        </is>
      </c>
      <c r="Z11" s="97" t="inlineStr">
        <is>
          <t>Affordable Comp #4: LIHTC property, 2000 vintage (0 yr diff), 80 units, 48.5 mi from subject. Same income-eligible renter pool.</t>
        </is>
      </c>
      <c r="AA11" s="113" t="inlineStr">
        <is>
          <t>HUD LIHTC Database (huduser.gov)</t>
        </is>
      </c>
      <c r="AB11" s="134" t="n"/>
      <c r="AC11" s="136" t="n"/>
      <c r="AD11" s="136" t="n"/>
      <c r="AE11" s="136" t="n"/>
      <c r="AF11" s="136" t="n"/>
      <c r="AG11" s="136" t="n"/>
      <c r="AH11" s="136" t="n"/>
      <c r="AI11" s="136" t="n"/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37.5" customHeight="1" s="131">
      <c r="A12" s="114" t="inlineStr">
        <is>
          <t>1</t>
        </is>
      </c>
      <c r="B12" s="70" t="inlineStr">
        <is>
          <t>MARKET RATE</t>
        </is>
      </c>
      <c r="C12" s="67" t="inlineStr">
        <is>
          <t>Quail Hollow Apartments</t>
        </is>
      </c>
      <c r="D12" s="98" t="inlineStr">
        <is>
          <t>20230 Grouse Way</t>
        </is>
      </c>
      <c r="E12" s="98" t="inlineStr">
        <is>
          <t>Sonora</t>
        </is>
      </c>
      <c r="F12" s="98" t="inlineStr">
        <is>
          <t>CA</t>
        </is>
      </c>
      <c r="G12" s="98" t="n"/>
      <c r="H12" s="98" t="inlineStr">
        <is>
          <t>2.0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$1,500</t>
        </is>
      </c>
      <c r="L12" s="53" t="n">
        <v>1650</v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$1,970</t>
        </is>
      </c>
      <c r="P12" s="53" t="n">
        <v>2050</v>
      </c>
      <c r="Q12" s="99" t="inlineStr">
        <is>
          <t>N/A</t>
        </is>
      </c>
      <c r="R12" s="99" t="inlineStr">
        <is>
          <t>2000</t>
        </is>
      </c>
      <c r="S12" s="99" t="inlineStr">
        <is>
          <t>0</t>
        </is>
      </c>
      <c r="T12" s="99" t="inlineStr">
        <is>
          <t>Varies</t>
        </is>
      </c>
      <c r="U12" s="99" t="inlineStr">
        <is>
          <t>Varies</t>
        </is>
      </c>
      <c r="V12" s="99" t="inlineStr">
        <is>
          <t>Varies</t>
        </is>
      </c>
      <c r="W12" s="99" t="inlineStr">
        <is>
          <t>Varies</t>
        </is>
      </c>
      <c r="X12" s="99" t="inlineStr">
        <is>
          <t>Varies</t>
        </is>
      </c>
      <c r="Y12" s="46" t="inlineStr">
        <is>
          <t>HIGH</t>
        </is>
      </c>
      <c r="Z12" s="100" t="inlineStr">
        <is>
          <t>Market Rate Comp #1: No income restrictions, 2000 vintage (0 yr diff), N/A units, N/A from subject. Shows market-rate rents vs. affordable housing discount.</t>
        </is>
      </c>
      <c r="AA12" s="115" t="inlineStr">
        <is>
          <t>HUD FY2026 FMR - Tuolumne County, CA (limited market rate listings in Jamestown)</t>
        </is>
      </c>
      <c r="AB12" s="134" t="n"/>
      <c r="AC12" s="136" t="n"/>
      <c r="AD12" s="136" t="n"/>
      <c r="AE12" s="136" t="n"/>
      <c r="AF12" s="136" t="n"/>
      <c r="AG12" s="136" t="n"/>
      <c r="AH12" s="136" t="n"/>
      <c r="AI12" s="136" t="n"/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inlineStr">
        <is>
          <t>2</t>
        </is>
      </c>
      <c r="B13" s="71" t="inlineStr">
        <is>
          <t>Quail Hollow Apartments</t>
        </is>
      </c>
      <c r="C13" s="68" t="inlineStr">
        <is>
          <t>Sonora Rental Market (est.)</t>
        </is>
      </c>
      <c r="D13" s="101" t="inlineStr">
        <is>
          <t>165 S Shepherd St</t>
        </is>
      </c>
      <c r="E13" s="101" t="inlineStr">
        <is>
          <t>Sonora</t>
        </is>
      </c>
      <c r="F13" s="101" t="inlineStr">
        <is>
          <t>CA</t>
        </is>
      </c>
      <c r="G13" s="101" t="n"/>
      <c r="H13" s="101" t="inlineStr">
        <is>
          <t>1.5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$1,500</t>
        </is>
      </c>
      <c r="L13" s="53" t="n">
        <v>1650</v>
      </c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$1,970</t>
        </is>
      </c>
      <c r="P13" s="53" t="n">
        <v>2050</v>
      </c>
      <c r="Q13" s="102" t="inlineStr">
        <is>
          <t>80</t>
        </is>
      </c>
      <c r="R13" s="102" t="inlineStr">
        <is>
          <t>2001</t>
        </is>
      </c>
      <c r="S13" s="102" t="inlineStr">
        <is>
          <t>1</t>
        </is>
      </c>
      <c r="T13" s="102" t="inlineStr">
        <is>
          <t>Varies</t>
        </is>
      </c>
      <c r="U13" s="102" t="inlineStr">
        <is>
          <t>Varies</t>
        </is>
      </c>
      <c r="V13" s="102" t="inlineStr">
        <is>
          <t>Varies</t>
        </is>
      </c>
      <c r="W13" s="102" t="inlineStr">
        <is>
          <t>Varies</t>
        </is>
      </c>
      <c r="X13" s="102" t="inlineStr">
        <is>
          <t>Varies</t>
        </is>
      </c>
      <c r="Y13" s="47" t="inlineStr">
        <is>
          <t>HIGH</t>
        </is>
      </c>
      <c r="Z13" s="103" t="inlineStr">
        <is>
          <t>Market Rate Comp #2: No income restrictions, 2001 vintage (1 yr diff), 80 units, 3.5 mi from subject. Shows market-rate rents vs. affordable housing discount.</t>
        </is>
      </c>
      <c r="AA13" s="117" t="inlineStr">
        <is>
          <t>https://www.rentcafe.com/apartments-for-rent/us/ca/sonora/</t>
        </is>
      </c>
      <c r="AB13" s="134" t="n"/>
      <c r="AC13" s="136" t="n"/>
      <c r="AD13" s="136" t="n"/>
      <c r="AE13" s="136" t="n"/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inlineStr">
        <is>
          <t>3</t>
        </is>
      </c>
      <c r="B14" s="69" t="inlineStr">
        <is>
          <t>Shepherd Street Apartments</t>
        </is>
      </c>
      <c r="C14" s="66" t="inlineStr">
        <is>
          <t>Sonora Rental Market (est.)</t>
        </is>
      </c>
      <c r="D14" s="95" t="inlineStr">
        <is>
          <t>100 Greenley Rd</t>
        </is>
      </c>
      <c r="E14" s="95" t="inlineStr">
        <is>
          <t>Sonora</t>
        </is>
      </c>
      <c r="F14" s="95" t="inlineStr">
        <is>
          <t>CA</t>
        </is>
      </c>
      <c r="G14" s="95" t="n"/>
      <c r="H14" s="95" t="inlineStr">
        <is>
          <t>1.0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$1,500</t>
        </is>
      </c>
      <c r="L14" s="53" t="n">
        <v>1550</v>
      </c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$1,970</t>
        </is>
      </c>
      <c r="P14" s="53" t="n">
        <v>1925</v>
      </c>
      <c r="Q14" s="96" t="inlineStr">
        <is>
          <t>96</t>
        </is>
      </c>
      <c r="R14" s="96" t="inlineStr">
        <is>
          <t>1998</t>
        </is>
      </c>
      <c r="S14" s="96" t="inlineStr">
        <is>
          <t>2</t>
        </is>
      </c>
      <c r="T14" s="96" t="inlineStr">
        <is>
          <t>Varies</t>
        </is>
      </c>
      <c r="U14" s="96" t="inlineStr">
        <is>
          <t>Varies</t>
        </is>
      </c>
      <c r="V14" s="96" t="inlineStr">
        <is>
          <t>Varies</t>
        </is>
      </c>
      <c r="W14" s="96" t="inlineStr">
        <is>
          <t>Varies</t>
        </is>
      </c>
      <c r="X14" s="96" t="inlineStr">
        <is>
          <t>Varies</t>
        </is>
      </c>
      <c r="Y14" s="45" t="inlineStr">
        <is>
          <t>MODERATE</t>
        </is>
      </c>
      <c r="Z14" s="97" t="inlineStr">
        <is>
          <t>Market Rate Comp #3: No income restrictions, 1998 vintage (2 yr diff), 96 units, 48.0 mi from subject. Shows market-rate rents vs. affordable housing discount.</t>
        </is>
      </c>
      <c r="AA14" s="113" t="inlineStr">
        <is>
          <t>https://www.rentcafe.com/apartments-for-rent/us/ca/modesto/</t>
        </is>
      </c>
      <c r="AB14" s="134" t="n"/>
      <c r="AC14" s="136" t="n"/>
      <c r="AD14" s="136" t="n"/>
      <c r="AE14" s="136" t="n"/>
      <c r="AF14" s="136" t="n"/>
      <c r="AG14" s="136" t="n"/>
      <c r="AH14" s="136" t="n"/>
      <c r="AI14" s="136" t="n"/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inlineStr">
        <is>
          <t>4</t>
        </is>
      </c>
      <c r="B15" s="69" t="inlineStr">
        <is>
          <t>Blackberry Oaks</t>
        </is>
      </c>
      <c r="C15" s="66" t="inlineStr">
        <is>
          <t>Sonora Rental Market (est.)</t>
        </is>
      </c>
      <c r="D15" s="95" t="inlineStr">
        <is>
          <t>22316 Longeway Rd</t>
        </is>
      </c>
      <c r="E15" s="95" t="inlineStr">
        <is>
          <t>Sonora</t>
        </is>
      </c>
      <c r="F15" s="95" t="inlineStr">
        <is>
          <t>CA</t>
        </is>
      </c>
      <c r="G15" s="95" t="n"/>
      <c r="H15" s="95" t="inlineStr">
        <is>
          <t>3.0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$1,500</t>
        </is>
      </c>
      <c r="L15" s="53" t="n">
        <v>1575</v>
      </c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$1,970</t>
        </is>
      </c>
      <c r="P15" s="53" t="n">
        <v>1950</v>
      </c>
      <c r="Q15" s="96" t="inlineStr">
        <is>
          <t>80</t>
        </is>
      </c>
      <c r="R15" s="96" t="inlineStr">
        <is>
          <t>2001</t>
        </is>
      </c>
      <c r="S15" s="96" t="inlineStr">
        <is>
          <t>1</t>
        </is>
      </c>
      <c r="T15" s="96" t="inlineStr">
        <is>
          <t>Varies</t>
        </is>
      </c>
      <c r="U15" s="96" t="inlineStr">
        <is>
          <t>Varies</t>
        </is>
      </c>
      <c r="V15" s="96" t="inlineStr">
        <is>
          <t>Varies</t>
        </is>
      </c>
      <c r="W15" s="96" t="inlineStr">
        <is>
          <t>Varies</t>
        </is>
      </c>
      <c r="X15" s="96" t="inlineStr">
        <is>
          <t>Varies</t>
        </is>
      </c>
      <c r="Y15" s="45" t="inlineStr">
        <is>
          <t>MODERATE</t>
        </is>
      </c>
      <c r="Z15" s="97" t="inlineStr">
        <is>
          <t>Market Rate Comp #4: No income restrictions, 2001 vintage (1 yr diff), 80 units, 50.0 mi from subject. Shows market-rate rents vs. affordable housing discount.</t>
        </is>
      </c>
      <c r="AA15" s="113" t="inlineStr">
        <is>
          <t>https://www.rentcafe.com/apartments-for-rent/us/ca/modesto/</t>
        </is>
      </c>
      <c r="AB15" s="134" t="n"/>
      <c r="AC15" s="136" t="n"/>
      <c r="AD15" s="136" t="n"/>
      <c r="AE15" s="136" t="n"/>
      <c r="AF15" s="136" t="n"/>
      <c r="AG15" s="136" t="n"/>
      <c r="AH15" s="136" t="n"/>
      <c r="AI15" s="136" t="n"/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inlineStr">
        <is>
          <t>—</t>
        </is>
      </c>
      <c r="B16" s="82" t="inlineStr">
        <is>
          <t>BENCHMARK</t>
        </is>
      </c>
      <c r="C16" s="119" t="inlineStr">
        <is>
          <t>FY2026 FMR — Tuolumne County, CA</t>
        </is>
      </c>
      <c r="D16" s="120" t="inlineStr">
        <is>
          <t>N/A</t>
        </is>
      </c>
      <c r="E16" s="120" t="inlineStr">
        <is>
          <t>Jamestown</t>
        </is>
      </c>
      <c r="F16" s="120" t="inlineStr">
        <is>
          <t>CA</t>
        </is>
      </c>
      <c r="G16" s="120" t="inlineStr">
        <is>
          <t>N/A</t>
        </is>
      </c>
      <c r="H16" s="120" t="inlineStr">
        <is>
          <t>N/A</t>
        </is>
      </c>
      <c r="I16" s="120" t="inlineStr">
        <is>
          <t>$1,500</t>
        </is>
      </c>
      <c r="J16" s="120" t="inlineStr">
        <is>
          <t>$1,500</t>
        </is>
      </c>
      <c r="K16" s="121" t="inlineStr">
        <is>
          <t>$1,500</t>
        </is>
      </c>
      <c r="L16" s="83" t="inlineStr">
        <is>
          <t>N/A</t>
        </is>
      </c>
      <c r="M16" s="122" t="inlineStr">
        <is>
          <t>$1,970</t>
        </is>
      </c>
      <c r="N16" s="122" t="inlineStr">
        <is>
          <t>$1,970</t>
        </is>
      </c>
      <c r="O16" s="121" t="inlineStr">
        <is>
          <t>$1,970</t>
        </is>
      </c>
      <c r="P16" s="83" t="inlineStr">
        <is>
          <t>N/A</t>
        </is>
      </c>
      <c r="Q16" s="122" t="inlineStr">
        <is>
          <t>N/A</t>
        </is>
      </c>
      <c r="R16" s="122" t="inlineStr">
        <is>
          <t>N/A</t>
        </is>
      </c>
      <c r="S16" s="122" t="inlineStr">
        <is>
          <t>N/A</t>
        </is>
      </c>
      <c r="T16" s="122" t="inlineStr">
        <is>
          <t>N/A</t>
        </is>
      </c>
      <c r="U16" s="122" t="inlineStr">
        <is>
          <t>N/A</t>
        </is>
      </c>
      <c r="V16" s="122" t="inlineStr">
        <is>
          <t>N/A</t>
        </is>
      </c>
      <c r="W16" s="122" t="inlineStr">
        <is>
          <t>N/A</t>
        </is>
      </c>
      <c r="X16" s="122" t="inlineStr">
        <is>
          <t>N/A</t>
        </is>
      </c>
      <c r="Y16" s="84" t="inlineStr">
        <is>
          <t>BENCHMARK</t>
        </is>
      </c>
      <c r="Z16" s="123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124" t="inlineStr">
        <is>
          <t>HUD FMR Database (huduser.gov)</t>
        </is>
      </c>
      <c r="AB16" s="134" t="n"/>
      <c r="AC16" s="136" t="n"/>
      <c r="AD16" s="136" t="n"/>
      <c r="AE16" s="136" t="n"/>
      <c r="AF16" s="136" t="n"/>
      <c r="AG16" s="136" t="n"/>
      <c r="AH16" s="136" t="n"/>
      <c r="AI16" s="136" t="n"/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inlineStr">
        <is>
          <t>—</t>
        </is>
      </c>
      <c r="B17" s="88" t="inlineStr">
        <is>
          <t>BENCHMARK</t>
        </is>
      </c>
      <c r="C17" s="89" t="inlineStr">
        <is>
          <t>Metro Market Avg — Jamestown</t>
        </is>
      </c>
      <c r="D17" s="87" t="inlineStr">
        <is>
          <t>N/A</t>
        </is>
      </c>
      <c r="E17" s="87" t="inlineStr">
        <is>
          <t>Jamestown</t>
        </is>
      </c>
      <c r="F17" s="87" t="inlineStr">
        <is>
          <t>CA</t>
        </is>
      </c>
      <c r="G17" s="87" t="inlineStr">
        <is>
          <t>N/A</t>
        </is>
      </c>
      <c r="H17" s="87" t="inlineStr">
        <is>
          <t>N/A</t>
        </is>
      </c>
      <c r="I17" s="87" t="inlineStr">
        <is>
          <t>$1,650</t>
        </is>
      </c>
      <c r="J17" s="87" t="inlineStr">
        <is>
          <t>$1,650</t>
        </is>
      </c>
      <c r="K17" s="90" t="inlineStr">
        <is>
          <t>$1,650</t>
        </is>
      </c>
      <c r="L17" s="91" t="inlineStr">
        <is>
          <t>N/A</t>
        </is>
      </c>
      <c r="M17" s="92" t="inlineStr">
        <is>
          <t>$2,167</t>
        </is>
      </c>
      <c r="N17" s="92" t="inlineStr">
        <is>
          <t>$2,167</t>
        </is>
      </c>
      <c r="O17" s="90" t="inlineStr">
        <is>
          <t>$2,167</t>
        </is>
      </c>
      <c r="P17" s="91" t="inlineStr">
        <is>
          <t>N/A</t>
        </is>
      </c>
      <c r="Q17" s="92" t="inlineStr">
        <is>
          <t>N/A</t>
        </is>
      </c>
      <c r="R17" s="92" t="inlineStr">
        <is>
          <t>N/A</t>
        </is>
      </c>
      <c r="S17" s="92" t="inlineStr">
        <is>
          <t>N/A</t>
        </is>
      </c>
      <c r="T17" s="92" t="inlineStr">
        <is>
          <t>N/A</t>
        </is>
      </c>
      <c r="U17" s="92" t="inlineStr">
        <is>
          <t>N/A</t>
        </is>
      </c>
      <c r="V17" s="92" t="inlineStr">
        <is>
          <t>N/A</t>
        </is>
      </c>
      <c r="W17" s="92" t="inlineStr">
        <is>
          <t>N/A</t>
        </is>
      </c>
      <c r="X17" s="92" t="inlineStr">
        <is>
          <t>N/A</t>
        </is>
      </c>
      <c r="Y17" s="93" t="inlineStr">
        <is>
          <t>BENCHMARK</t>
        </is>
      </c>
      <c r="Z17" s="94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92" t="inlineStr">
        <is>
          <t>HUD FMR + Market Estimate</t>
        </is>
      </c>
      <c r="AB17" s="136" t="n"/>
      <c r="AC17" s="136" t="n"/>
      <c r="AD17" s="136" t="n"/>
      <c r="AE17" s="136" t="n"/>
      <c r="AF17" s="136" t="n"/>
      <c r="AG17" s="136" t="n"/>
      <c r="AH17" s="136" t="n"/>
      <c r="AI17" s="136" t="n"/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C19" s="136" t="n"/>
      <c r="AD19" s="136" t="n"/>
      <c r="AE19" s="136" t="n"/>
      <c r="AF19" s="136" t="n"/>
      <c r="AG19" s="136" t="n"/>
      <c r="AH19" s="136" t="n"/>
      <c r="AI19" s="136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Height="1" s="131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Format="1" customHeight="1" s="2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Format="1" customHeight="1" s="2">
      <c r="A25" s="372" t="n"/>
      <c r="B25" s="201" t="inlineStr">
        <is>
          <t>2BD</t>
        </is>
      </c>
      <c r="C25" s="194" t="n"/>
      <c r="D25" s="200" t="n">
        <v>1650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Height="1" s="131">
      <c r="A26" s="372" t="n"/>
      <c r="B26" s="201" t="inlineStr">
        <is>
          <t>3BD</t>
        </is>
      </c>
      <c r="C26" s="194" t="n"/>
      <c r="D26" s="200" t="n">
        <v>2050</v>
      </c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8.1" customHeight="1" s="131">
      <c r="A27" s="369" t="n"/>
      <c r="B27" s="369" t="n"/>
      <c r="C27" s="369" t="n"/>
      <c r="D27" s="369" t="n"/>
      <c r="E27" s="369" t="n"/>
      <c r="F27" s="369" t="n"/>
      <c r="G27" s="369" t="n"/>
      <c r="H27" s="369" t="n"/>
      <c r="I27" s="369" t="n"/>
      <c r="J27" s="369" t="n"/>
      <c r="K27" s="369" t="n"/>
      <c r="L27" s="134" t="n"/>
      <c r="M27" s="134" t="n"/>
      <c r="N27" s="134" t="n"/>
      <c r="O27" s="134" t="n"/>
      <c r="P27" s="134" t="n"/>
      <c r="Q27" s="134" t="n"/>
      <c r="R27" s="134" t="n"/>
      <c r="S27" s="134" t="n"/>
      <c r="T27" s="134" t="n"/>
      <c r="U27" s="134" t="n"/>
      <c r="V27" s="134" t="n"/>
      <c r="W27" s="134" t="n"/>
      <c r="X27" s="134" t="n"/>
      <c r="Y27" s="134" t="n"/>
      <c r="Z27" s="135" t="n"/>
      <c r="AA27" s="134" t="n"/>
      <c r="AB27" s="134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24.75" customFormat="1" customHeight="1" s="2">
      <c r="A28" s="302" t="n"/>
      <c r="B28" s="211" t="inlineStr">
        <is>
          <t>PMTS — Vouchers / FMR / UAP / NET</t>
        </is>
      </c>
      <c r="G28" s="365" t="n"/>
      <c r="H28" s="183" t="n"/>
      <c r="I28" s="183" t="n"/>
      <c r="J28" s="183" t="n"/>
      <c r="K28" s="302" t="n"/>
      <c r="L28" s="302" t="n"/>
      <c r="M28" s="302" t="n"/>
      <c r="N28" s="302" t="n"/>
      <c r="O28" s="302" t="n"/>
      <c r="P28" s="302" t="n"/>
      <c r="Q28" s="302" t="n"/>
      <c r="R28" s="302" t="n"/>
      <c r="S28" s="302" t="n"/>
      <c r="T28" s="302" t="n"/>
      <c r="U28" s="302" t="n"/>
      <c r="V28" s="302" t="n"/>
      <c r="W28" s="302" t="n"/>
      <c r="X28" s="302" t="n"/>
      <c r="Y28" s="302" t="n"/>
      <c r="Z28" s="302" t="n"/>
      <c r="AA28" s="353" t="n"/>
      <c r="AB28" s="302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15.95" customFormat="1" customHeight="1" s="2">
      <c r="A29" s="302" t="n"/>
      <c r="B29" s="226" t="n"/>
      <c r="C29" s="213" t="inlineStr">
        <is>
          <t>MKT</t>
        </is>
      </c>
      <c r="D29" s="213" t="inlineStr">
        <is>
          <t>VCH</t>
        </is>
      </c>
      <c r="E29" s="214" t="inlineStr">
        <is>
          <t>FMR</t>
        </is>
      </c>
      <c r="F29" s="215" t="inlineStr">
        <is>
          <t>UAP</t>
        </is>
      </c>
      <c r="G29" s="216" t="inlineStr">
        <is>
          <t>NET</t>
        </is>
      </c>
      <c r="H29" s="183" t="n"/>
      <c r="I29" s="183" t="n"/>
      <c r="J29" s="183" t="n"/>
      <c r="K29" s="302" t="n"/>
      <c r="L29" s="302" t="n"/>
      <c r="M29" s="302" t="n"/>
      <c r="N29" s="302" t="n"/>
      <c r="O29" s="302" t="n"/>
      <c r="P29" s="302" t="n"/>
      <c r="Q29" s="302" t="n"/>
      <c r="R29" s="302" t="n"/>
      <c r="S29" s="302" t="n"/>
      <c r="T29" s="302" t="n"/>
      <c r="U29" s="302" t="n"/>
      <c r="V29" s="302" t="n"/>
      <c r="W29" s="302" t="n"/>
      <c r="X29" s="302" t="n"/>
      <c r="Y29" s="302" t="n"/>
      <c r="Z29" s="302" t="n"/>
      <c r="AA29" s="353" t="n"/>
      <c r="AB29" s="302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24.75" customFormat="1" customHeight="1" s="2">
      <c r="A30" s="372" t="n"/>
      <c r="B30" s="217" t="inlineStr">
        <is>
          <t>2BD</t>
        </is>
      </c>
      <c r="C30" s="197" t="n">
        <v>0</v>
      </c>
      <c r="D30" s="197" t="n">
        <v>1150</v>
      </c>
      <c r="E30" s="198" t="n">
        <v>1270</v>
      </c>
      <c r="F30" s="199" t="n">
        <v>138</v>
      </c>
      <c r="G30" s="218" t="n">
        <v>1132</v>
      </c>
      <c r="H30" s="183" t="n"/>
      <c r="I30" s="183" t="n"/>
      <c r="J30" s="183" t="n"/>
      <c r="K30" s="302" t="n"/>
      <c r="L30" s="302" t="n"/>
      <c r="M30" s="302" t="n"/>
      <c r="N30" s="302" t="n"/>
      <c r="O30" s="343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24.75" customFormat="1" customHeight="1" s="2">
      <c r="A31" s="372" t="n"/>
      <c r="B31" s="217" t="inlineStr">
        <is>
          <t>3BD</t>
        </is>
      </c>
      <c r="C31" s="197" t="n">
        <v>0</v>
      </c>
      <c r="D31" s="197" t="n">
        <v>1300</v>
      </c>
      <c r="E31" s="198" t="n">
        <v>1670</v>
      </c>
      <c r="F31" s="199" t="n">
        <v>177</v>
      </c>
      <c r="G31" s="218" t="n">
        <v>1493</v>
      </c>
      <c r="H31" s="183" t="n"/>
      <c r="I31" s="183" t="n"/>
      <c r="J31" s="183" t="n"/>
      <c r="K31" s="302" t="n"/>
      <c r="L31" s="302" t="n"/>
      <c r="M31" s="302" t="n"/>
      <c r="N31" s="302" t="n"/>
      <c r="O31" s="343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8.1" customFormat="1" customHeight="1" s="2">
      <c r="A32" s="369" t="n"/>
      <c r="B32" s="369" t="n"/>
      <c r="C32" s="381" t="n"/>
      <c r="D32" s="381" t="n"/>
      <c r="E32" s="381" t="n"/>
      <c r="F32" s="381" t="n"/>
      <c r="G32" s="369" t="n"/>
      <c r="H32" s="369" t="n"/>
      <c r="I32" s="369" t="n"/>
      <c r="J32" s="369" t="n"/>
      <c r="K32" s="369" t="n"/>
      <c r="L32" s="134" t="n"/>
      <c r="M32" s="134" t="n"/>
      <c r="N32" s="134" t="n"/>
      <c r="O32" s="134" t="n"/>
      <c r="P32" s="134" t="n"/>
      <c r="Q32" s="134" t="n"/>
      <c r="R32" s="134" t="n"/>
      <c r="S32" s="134" t="n"/>
      <c r="T32" s="134" t="n"/>
      <c r="U32" s="134" t="n"/>
      <c r="V32" s="134" t="n"/>
      <c r="W32" s="134" t="n"/>
      <c r="X32" s="134" t="n"/>
      <c r="Y32" s="134" t="n"/>
      <c r="Z32" s="135" t="n"/>
      <c r="AA32" s="134" t="n"/>
      <c r="AB32" s="134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24.75" customFormat="1" customHeight="1" s="2">
      <c r="A33" s="302" t="n"/>
      <c r="B33" s="366" t="inlineStr">
        <is>
          <t>LIHTC, UAP, NET</t>
        </is>
      </c>
      <c r="C33" s="358" t="n"/>
      <c r="D33" s="358" t="n"/>
      <c r="E33" s="358" t="n"/>
      <c r="F33" s="358" t="n"/>
      <c r="G33" s="359" t="n"/>
      <c r="H33" s="183" t="n"/>
      <c r="I33" s="183" t="n"/>
      <c r="J33" s="183" t="n"/>
      <c r="K33" s="302" t="n"/>
      <c r="L33" s="302" t="n"/>
      <c r="M33" s="302" t="n"/>
      <c r="N33" s="302" t="n"/>
      <c r="O33" s="302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16.5" customFormat="1" customHeight="1" s="2">
      <c r="A34" s="372" t="n"/>
      <c r="B34" s="226" t="n"/>
      <c r="C34" s="228" t="inlineStr">
        <is>
          <t>LIHTC/MKT</t>
        </is>
      </c>
      <c r="D34" s="228" t="inlineStr">
        <is>
          <t>40%</t>
        </is>
      </c>
      <c r="E34" s="215" t="inlineStr">
        <is>
          <t>UAP</t>
        </is>
      </c>
      <c r="F34" s="216" t="inlineStr">
        <is>
          <t>NET</t>
        </is>
      </c>
      <c r="G34" s="183" t="n"/>
      <c r="H34" s="183" t="n"/>
      <c r="I34" s="183" t="n"/>
      <c r="J34" s="183" t="n"/>
      <c r="K34" s="302" t="n"/>
      <c r="L34" s="302" t="n"/>
      <c r="M34" s="302" t="n"/>
      <c r="N34" s="302" t="n"/>
      <c r="O34" s="343" t="n"/>
      <c r="P34" s="302" t="n"/>
      <c r="Q34" s="302" t="n"/>
      <c r="R34" s="302" t="n"/>
      <c r="S34" s="302" t="n"/>
      <c r="T34" s="302" t="n"/>
      <c r="U34" s="302" t="n"/>
      <c r="V34" s="302" t="n"/>
      <c r="W34" s="302" t="n"/>
      <c r="X34" s="302" t="n"/>
      <c r="Y34" s="302" t="n"/>
      <c r="Z34" s="302" t="n"/>
      <c r="AA34" s="353" t="n"/>
      <c r="AB34" s="302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24.75" customHeight="1" s="131">
      <c r="A35" s="372" t="n"/>
      <c r="B35" s="224" t="inlineStr">
        <is>
          <t>2BD</t>
        </is>
      </c>
      <c r="C35" s="225" t="n">
        <v>915</v>
      </c>
      <c r="D35" s="225" t="n">
        <v>749</v>
      </c>
      <c r="E35" s="225" t="n">
        <v>138</v>
      </c>
      <c r="F35" s="223" t="n">
        <v>611</v>
      </c>
      <c r="G35" s="183" t="n"/>
      <c r="H35" s="183" t="n"/>
      <c r="I35" s="183" t="n"/>
      <c r="J35" s="183" t="n"/>
      <c r="K35" s="302" t="n"/>
      <c r="L35" s="302" t="n"/>
      <c r="M35" s="302" t="n"/>
      <c r="N35" s="302" t="n"/>
      <c r="O35" s="343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24.75" customHeight="1" s="131">
      <c r="A36" s="369" t="n"/>
      <c r="B36" s="224" t="inlineStr">
        <is>
          <t>3BD</t>
        </is>
      </c>
      <c r="C36" s="225" t="n">
        <v>1057</v>
      </c>
      <c r="D36" s="225" t="n">
        <v>849</v>
      </c>
      <c r="E36" s="225" t="n">
        <v>177</v>
      </c>
      <c r="F36" s="223" t="n">
        <v>672</v>
      </c>
      <c r="G36" s="183" t="n"/>
      <c r="H36" s="183" t="n"/>
      <c r="I36" s="183" t="n"/>
      <c r="J36" s="183" t="n"/>
      <c r="K36" s="302" t="n"/>
      <c r="L36" s="302" t="n"/>
      <c r="M36" s="302" t="n"/>
      <c r="N36" s="302" t="n"/>
      <c r="O36" s="343" t="n"/>
      <c r="P36" s="302" t="n"/>
      <c r="Q36" s="302" t="n"/>
      <c r="R36" s="302" t="n"/>
      <c r="S36" s="302" t="n"/>
      <c r="T36" s="302" t="n"/>
      <c r="U36" s="302" t="n"/>
      <c r="V36" s="302" t="n"/>
      <c r="W36" s="302" t="n"/>
      <c r="X36" s="302" t="n"/>
      <c r="Y36" s="302" t="n"/>
      <c r="Z36" s="302" t="n"/>
      <c r="AA36" s="353" t="n"/>
      <c r="AB36" s="302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18" customFormat="1" customHeight="1" s="2">
      <c r="A37" s="369" t="n"/>
      <c r="B37" s="381" t="n"/>
      <c r="C37" s="381" t="n"/>
      <c r="D37" s="381" t="n"/>
      <c r="E37" s="381" t="n"/>
      <c r="F37" s="369" t="n"/>
      <c r="G37" s="369" t="n"/>
      <c r="H37" s="369" t="n"/>
      <c r="I37" s="369" t="n"/>
      <c r="J37" s="369" t="n"/>
      <c r="K37" s="369" t="n"/>
      <c r="L37" s="134" t="n"/>
      <c r="M37" s="134" t="n"/>
      <c r="N37" s="134" t="n"/>
      <c r="O37" s="134" t="n"/>
      <c r="P37" s="134" t="n"/>
      <c r="Q37" s="134" t="n"/>
      <c r="R37" s="134" t="n"/>
      <c r="S37" s="134" t="n"/>
      <c r="T37" s="134" t="n"/>
      <c r="U37" s="134" t="n"/>
      <c r="V37" s="134" t="n"/>
      <c r="W37" s="134" t="n"/>
      <c r="X37" s="134" t="n"/>
      <c r="Y37" s="134" t="n"/>
      <c r="Z37" s="135" t="n"/>
      <c r="AA37" s="134" t="n"/>
      <c r="AB37" s="134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18" customFormat="1" customHeight="1" s="2">
      <c r="A38" s="372" t="n"/>
      <c r="B38" s="372" t="n"/>
      <c r="C38" s="430" t="inlineStr">
        <is>
          <t>LIHTC/MKT</t>
        </is>
      </c>
      <c r="D38" s="431" t="inlineStr">
        <is>
          <t>60%</t>
        </is>
      </c>
      <c r="E38" s="432" t="inlineStr">
        <is>
          <t>UAP</t>
        </is>
      </c>
      <c r="F38" s="386" t="inlineStr">
        <is>
          <t>NET</t>
        </is>
      </c>
      <c r="G38" s="369" t="n"/>
      <c r="H38" s="369" t="n"/>
      <c r="I38" s="369" t="n"/>
      <c r="J38" s="369" t="n"/>
      <c r="K38" s="369" t="n"/>
      <c r="L38" s="134" t="n"/>
      <c r="M38" s="134" t="n"/>
      <c r="N38" s="134" t="n"/>
      <c r="O38" s="134" t="n"/>
      <c r="P38" s="134" t="n"/>
      <c r="Q38" s="134" t="n"/>
      <c r="R38" s="134" t="n"/>
      <c r="S38" s="134" t="n"/>
      <c r="T38" s="134" t="n"/>
      <c r="U38" s="134" t="n"/>
      <c r="V38" s="134" t="n"/>
      <c r="W38" s="134" t="n"/>
      <c r="X38" s="134" t="n"/>
      <c r="Y38" s="134" t="n"/>
      <c r="Z38" s="135" t="n"/>
      <c r="AA38" s="134" t="n"/>
      <c r="AB38" s="134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24.75" customFormat="1" customHeight="1" s="2">
      <c r="A39" s="372" t="n"/>
      <c r="B39" s="224" t="inlineStr">
        <is>
          <t>2BD</t>
        </is>
      </c>
      <c r="C39" s="225" t="n">
        <v>1372</v>
      </c>
      <c r="D39" s="225" t="n">
        <v>1185</v>
      </c>
      <c r="E39" s="225" t="n">
        <v>138</v>
      </c>
      <c r="F39" s="223" t="n">
        <v>1047</v>
      </c>
      <c r="G39" s="183" t="n"/>
      <c r="H39" s="183" t="n"/>
      <c r="I39" s="183" t="n"/>
      <c r="J39" s="183" t="n"/>
      <c r="K39" s="302" t="n"/>
      <c r="L39" s="302" t="n"/>
      <c r="M39" s="302" t="n"/>
      <c r="N39" s="302" t="n"/>
      <c r="O39" s="343" t="n"/>
      <c r="P39" s="302" t="n"/>
      <c r="Q39" s="302" t="n"/>
      <c r="R39" s="302" t="n"/>
      <c r="S39" s="302" t="n"/>
      <c r="T39" s="302" t="n"/>
      <c r="U39" s="302" t="n"/>
      <c r="V39" s="302" t="n"/>
      <c r="W39" s="302" t="n"/>
      <c r="X39" s="302" t="n"/>
      <c r="Y39" s="302" t="n"/>
      <c r="Z39" s="302" t="n"/>
      <c r="AA39" s="353" t="n"/>
      <c r="AB39" s="302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ht="24.75" customFormat="1" customHeight="1" s="2">
      <c r="A40" s="372" t="n"/>
      <c r="B40" s="224" t="inlineStr">
        <is>
          <t>3BD</t>
        </is>
      </c>
      <c r="C40" s="225" t="n">
        <v>1585</v>
      </c>
      <c r="D40" s="225" t="n">
        <v>1353</v>
      </c>
      <c r="E40" s="225" t="n">
        <v>177</v>
      </c>
      <c r="F40" s="223" t="n">
        <v>1176</v>
      </c>
      <c r="G40" s="183" t="n"/>
      <c r="H40" s="183" t="n"/>
      <c r="I40" s="183" t="n"/>
      <c r="J40" s="183" t="n"/>
      <c r="K40" s="302" t="n"/>
      <c r="L40" s="302" t="n"/>
      <c r="M40" s="302" t="n"/>
      <c r="N40" s="302" t="n"/>
      <c r="O40" s="343" t="n"/>
      <c r="P40" s="302" t="n"/>
      <c r="Q40" s="302" t="n"/>
      <c r="R40" s="302" t="n"/>
      <c r="S40" s="302" t="n"/>
      <c r="T40" s="302" t="n"/>
      <c r="U40" s="302" t="n"/>
      <c r="V40" s="302" t="n"/>
      <c r="W40" s="302" t="n"/>
      <c r="X40" s="302" t="n"/>
      <c r="Y40" s="302" t="n"/>
      <c r="Z40" s="302" t="n"/>
      <c r="AA40" s="353" t="n"/>
      <c r="AB40" s="302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ht="18" customHeight="1" s="131">
      <c r="A41" s="369" t="n"/>
      <c r="B41" s="399" t="n"/>
      <c r="C41" s="399" t="n"/>
      <c r="D41" s="369" t="n"/>
      <c r="E41" s="369" t="n"/>
      <c r="F41" s="369" t="n"/>
      <c r="G41" s="369" t="n"/>
      <c r="H41" s="369" t="n"/>
      <c r="I41" s="369" t="n"/>
      <c r="J41" s="369" t="n"/>
      <c r="K41" s="369" t="n"/>
      <c r="L41" s="136" t="n"/>
      <c r="M41" s="136" t="n"/>
      <c r="N41" s="136" t="n"/>
      <c r="O41" s="136" t="n"/>
      <c r="P41" s="136" t="n"/>
      <c r="Q41" s="136" t="n"/>
      <c r="R41" s="136" t="n"/>
      <c r="S41" s="136" t="n"/>
      <c r="T41" s="136" t="n"/>
      <c r="U41" s="136" t="n"/>
      <c r="V41" s="136" t="n"/>
      <c r="W41" s="136" t="n"/>
      <c r="X41" s="136" t="n"/>
      <c r="Y41" s="136" t="n"/>
      <c r="Z41" s="136" t="n"/>
      <c r="AA41" s="136" t="n"/>
      <c r="AB41" s="136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ht="18" customHeight="1" s="131">
      <c r="A42" s="369" t="n"/>
      <c r="B42" s="371" t="n"/>
      <c r="C42" s="371" t="n"/>
      <c r="D42" s="371" t="n"/>
      <c r="E42" s="371" t="n"/>
      <c r="F42" s="371" t="n"/>
      <c r="G42" s="369" t="n"/>
      <c r="H42" s="369" t="n"/>
      <c r="I42" s="369" t="n"/>
      <c r="J42" s="369" t="n"/>
      <c r="K42" s="369" t="n"/>
      <c r="L42" s="136" t="n"/>
      <c r="M42" s="136" t="n"/>
      <c r="N42" s="136" t="n"/>
      <c r="O42" s="136" t="n"/>
      <c r="P42" s="136" t="n"/>
      <c r="Q42" s="136" t="n"/>
      <c r="R42" s="136" t="n"/>
      <c r="S42" s="136" t="n"/>
      <c r="T42" s="136" t="n"/>
      <c r="U42" s="136" t="n"/>
      <c r="V42" s="136" t="n"/>
      <c r="W42" s="136" t="n"/>
      <c r="X42" s="136" t="n"/>
      <c r="Y42" s="136" t="n"/>
      <c r="Z42" s="136" t="n"/>
      <c r="AA42" s="136" t="n"/>
      <c r="AB42" s="136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ht="24.75" customHeight="1" s="131">
      <c r="A43" s="302" t="n"/>
      <c r="B43" s="207" t="inlineStr">
        <is>
          <t>HAP, CoStar, NET</t>
        </is>
      </c>
      <c r="H43" s="183" t="n"/>
      <c r="I43" s="183" t="n"/>
      <c r="J43" s="183" t="n"/>
      <c r="K43" s="302" t="n"/>
      <c r="L43" s="302" t="n"/>
      <c r="M43" s="302" t="n"/>
      <c r="N43" s="302" t="n"/>
      <c r="O43" s="302" t="n"/>
      <c r="P43" s="302" t="n"/>
      <c r="Q43" s="302" t="n"/>
      <c r="R43" s="302" t="n"/>
      <c r="S43" s="302" t="n"/>
      <c r="T43" s="302" t="n"/>
      <c r="U43" s="302" t="n"/>
      <c r="V43" s="302" t="n"/>
      <c r="W43" s="302" t="n"/>
      <c r="X43" s="302" t="n"/>
      <c r="Y43" s="302" t="n"/>
      <c r="Z43" s="302" t="n"/>
      <c r="AA43" s="353" t="n"/>
      <c r="AB43" s="302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ht="15.95" customHeight="1" s="131">
      <c r="A44" s="302" t="n"/>
      <c r="B44" s="227" t="n"/>
      <c r="C44" s="208" t="inlineStr">
        <is>
          <t>HAP</t>
        </is>
      </c>
      <c r="D44" s="209" t="inlineStr">
        <is>
          <t>CoStar</t>
        </is>
      </c>
      <c r="E44" s="302" t="n"/>
      <c r="F44" s="302" t="n"/>
      <c r="G44" s="302" t="n"/>
      <c r="H44" s="183" t="n"/>
      <c r="I44" s="183" t="n"/>
      <c r="J44" s="183" t="n"/>
      <c r="K44" s="302" t="n"/>
      <c r="L44" s="302" t="n"/>
      <c r="M44" s="302" t="n"/>
      <c r="N44" s="302" t="n"/>
      <c r="O44" s="302" t="n"/>
      <c r="P44" s="302" t="n"/>
      <c r="Q44" s="302" t="n"/>
      <c r="R44" s="302" t="n"/>
      <c r="S44" s="302" t="n"/>
      <c r="T44" s="302" t="n"/>
      <c r="U44" s="302" t="n"/>
      <c r="V44" s="302" t="n"/>
      <c r="W44" s="302" t="n"/>
      <c r="X44" s="302" t="n"/>
      <c r="Y44" s="302" t="n"/>
      <c r="Z44" s="302" t="n"/>
      <c r="AA44" s="353" t="n"/>
      <c r="AB44" s="302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ht="24.75" customHeight="1" s="131">
      <c r="A45" s="302" t="n"/>
      <c r="B45" s="196" t="inlineStr">
        <is>
          <t>2BD</t>
        </is>
      </c>
      <c r="C45" s="199" t="n">
        <v>0</v>
      </c>
      <c r="D45" s="198" t="n">
        <v>1855</v>
      </c>
      <c r="E45" s="183" t="n"/>
      <c r="F45" s="183" t="n"/>
      <c r="G45" s="183" t="n"/>
      <c r="H45" s="183" t="n"/>
      <c r="I45" s="183" t="n"/>
      <c r="J45" s="183" t="n"/>
      <c r="K45" s="302" t="n"/>
      <c r="L45" s="302" t="n"/>
      <c r="M45" s="302" t="n"/>
      <c r="N45" s="302" t="n"/>
      <c r="O45" s="302" t="n"/>
      <c r="P45" s="302" t="n"/>
      <c r="Q45" s="302" t="n"/>
      <c r="R45" s="302" t="n"/>
      <c r="S45" s="302" t="n"/>
      <c r="T45" s="302" t="n"/>
      <c r="U45" s="302" t="n"/>
      <c r="V45" s="302" t="n"/>
      <c r="W45" s="302" t="n"/>
      <c r="X45" s="302" t="n"/>
      <c r="Y45" s="302" t="n"/>
      <c r="Z45" s="302" t="n"/>
      <c r="AA45" s="353" t="n"/>
      <c r="AB45" s="302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ht="24.75" customHeight="1" s="131">
      <c r="A46" s="302" t="n"/>
      <c r="B46" s="196" t="inlineStr">
        <is>
          <t>3BD</t>
        </is>
      </c>
      <c r="C46" s="199" t="n">
        <v>0</v>
      </c>
      <c r="D46" s="198" t="n">
        <v>2363</v>
      </c>
      <c r="E46" s="183" t="n"/>
      <c r="F46" s="183" t="n"/>
      <c r="G46" s="183" t="n"/>
      <c r="H46" s="183" t="n"/>
      <c r="I46" s="183" t="n"/>
      <c r="J46" s="183" t="n"/>
      <c r="K46" s="302" t="n"/>
      <c r="L46" s="302" t="n"/>
      <c r="M46" s="302" t="n"/>
      <c r="N46" s="302" t="n"/>
      <c r="O46" s="302" t="n"/>
      <c r="P46" s="302" t="n"/>
      <c r="Q46" s="302" t="n"/>
      <c r="R46" s="302" t="n"/>
      <c r="S46" s="302" t="n"/>
      <c r="T46" s="302" t="n"/>
      <c r="U46" s="302" t="n"/>
      <c r="V46" s="302" t="n"/>
      <c r="W46" s="302" t="n"/>
      <c r="X46" s="302" t="n"/>
      <c r="Y46" s="302" t="n"/>
      <c r="Z46" s="302" t="n"/>
      <c r="AA46" s="353" t="n"/>
      <c r="AB46" s="302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s="131">
      <c r="A47" s="369" t="n"/>
      <c r="B47" s="369" t="n"/>
      <c r="C47" s="369" t="n"/>
      <c r="D47" s="369" t="n"/>
      <c r="E47" s="369" t="n"/>
      <c r="F47" s="369" t="n"/>
      <c r="G47" s="369" t="n"/>
      <c r="H47" s="369" t="n"/>
      <c r="I47" s="369" t="n"/>
      <c r="J47" s="369" t="n"/>
      <c r="K47" s="369" t="n"/>
      <c r="L47" s="136" t="n"/>
      <c r="M47" s="136" t="n"/>
      <c r="N47" s="136" t="n"/>
      <c r="O47" s="136" t="n"/>
      <c r="P47" s="136" t="n"/>
      <c r="Q47" s="136" t="n"/>
      <c r="R47" s="136" t="n"/>
      <c r="S47" s="136" t="n"/>
      <c r="T47" s="136" t="n"/>
      <c r="U47" s="136" t="n"/>
      <c r="V47" s="136" t="n"/>
      <c r="W47" s="136" t="n"/>
      <c r="X47" s="136" t="n"/>
      <c r="Y47" s="136" t="n"/>
      <c r="Z47" s="136" t="n"/>
      <c r="AA47" s="136" t="n"/>
      <c r="AB47" s="136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s="131">
      <c r="A48" s="369" t="n"/>
      <c r="B48" s="369" t="n"/>
      <c r="C48" s="369" t="n"/>
      <c r="D48" s="369" t="n"/>
      <c r="E48" s="369" t="n"/>
      <c r="F48" s="369" t="n"/>
      <c r="G48" s="369" t="n"/>
      <c r="H48" s="369" t="n"/>
      <c r="I48" s="369" t="n"/>
      <c r="J48" s="369" t="n"/>
      <c r="K48" s="369" t="n"/>
      <c r="L48" s="136" t="n"/>
      <c r="M48" s="136" t="n"/>
      <c r="N48" s="136" t="n"/>
      <c r="O48" s="136" t="n"/>
      <c r="P48" s="136" t="n"/>
      <c r="Q48" s="136" t="n"/>
      <c r="R48" s="136" t="n"/>
      <c r="S48" s="136" t="n"/>
      <c r="T48" s="136" t="n"/>
      <c r="U48" s="136" t="n"/>
      <c r="V48" s="136" t="n"/>
      <c r="W48" s="136" t="n"/>
      <c r="X48" s="136" t="n"/>
      <c r="Y48" s="136" t="n"/>
      <c r="Z48" s="136" t="n"/>
      <c r="AA48" s="136" t="n"/>
      <c r="AB48" s="136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s="131">
      <c r="A49" s="369" t="n"/>
      <c r="B49" s="369" t="n"/>
      <c r="C49" s="369" t="n"/>
      <c r="D49" s="369" t="n"/>
      <c r="E49" s="369" t="n"/>
      <c r="F49" s="369" t="n"/>
      <c r="G49" s="369" t="n"/>
      <c r="H49" s="369" t="n"/>
      <c r="I49" s="369" t="n"/>
      <c r="J49" s="369" t="n"/>
      <c r="K49" s="369" t="n"/>
      <c r="L49" s="136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6" t="n"/>
      <c r="Y49" s="136" t="n"/>
      <c r="Z49" s="136" t="n"/>
      <c r="AA49" s="136" t="n"/>
      <c r="AB49" s="136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s="131">
      <c r="A50" s="369" t="n"/>
      <c r="B50" s="369" t="n"/>
      <c r="C50" s="369" t="n"/>
      <c r="D50" s="369" t="n"/>
      <c r="E50" s="369" t="n"/>
      <c r="F50" s="369" t="n"/>
      <c r="G50" s="369" t="n"/>
      <c r="H50" s="369" t="n"/>
      <c r="I50" s="369" t="n"/>
      <c r="J50" s="369" t="n"/>
      <c r="K50" s="369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  <row r="51"/>
    <row r="52"/>
    <row r="53"/>
    <row r="54"/>
  </sheetData>
  <mergeCells count="9">
    <mergeCell ref="B4:AB4"/>
    <mergeCell ref="B28:G28"/>
    <mergeCell ref="B22:G22"/>
    <mergeCell ref="B23:G23"/>
    <mergeCell ref="B20:I20"/>
    <mergeCell ref="B2:AB2"/>
    <mergeCell ref="B43:G43"/>
    <mergeCell ref="B3:AB3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W61"/>
  <sheetViews>
    <sheetView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RIVER GARDEN | GREEN = Affordable Comps | BLUE = Market Rate Comps</t>
        </is>
      </c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River Garden | Sonora, Sonora, CA 95370 | 123 units | Program: Section 8/HUD | Bedroom Mix: 2BR / 3BR / 4BR / 5BR | County AMI: $101,600 | FMR Area: Tuolumne County, CA</t>
        </is>
      </c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2BD 50% AMI ($)</t>
        </is>
      </c>
      <c r="J6" s="280" t="inlineStr">
        <is>
          <t>2BD 60% AMI ($)</t>
        </is>
      </c>
      <c r="K6" s="280" t="inlineStr">
        <is>
          <t>2BR FMR ($)</t>
        </is>
      </c>
      <c r="L6" s="335" t="inlineStr">
        <is>
          <t>2BR Actual ($)</t>
        </is>
      </c>
      <c r="M6" s="281" t="inlineStr">
        <is>
          <t>3BD 50% AMI ($)</t>
        </is>
      </c>
      <c r="N6" s="280" t="inlineStr">
        <is>
          <t>3BD 60% AMI ($)</t>
        </is>
      </c>
      <c r="O6" s="280" t="inlineStr">
        <is>
          <t>3BR FMR ($)</t>
        </is>
      </c>
      <c r="P6" s="335" t="inlineStr">
        <is>
          <t>3BR Actual ($)</t>
        </is>
      </c>
      <c r="Q6" s="281" t="inlineStr">
        <is>
          <t>4BD 50% AMI ($)</t>
        </is>
      </c>
      <c r="R6" s="280" t="inlineStr">
        <is>
          <t>4BD 60% AMI ($)</t>
        </is>
      </c>
      <c r="S6" s="280" t="inlineStr">
        <is>
          <t>4BR FMR ($)</t>
        </is>
      </c>
      <c r="T6" s="339" t="inlineStr">
        <is>
          <t>4BR Actual ($)</t>
        </is>
      </c>
      <c r="U6" s="339" t="inlineStr">
        <is>
          <t>5BD 50% AMI ($)</t>
        </is>
      </c>
      <c r="V6" s="339" t="inlineStr">
        <is>
          <t>5BD 60% AMI ($)</t>
        </is>
      </c>
      <c r="W6" s="339" t="inlineStr">
        <is>
          <t>5BR FMR ($)</t>
        </is>
      </c>
      <c r="X6" s="339" t="inlineStr">
        <is>
          <t>5BR Actual ($)</t>
        </is>
      </c>
      <c r="Y6" s="339" t="inlineStr">
        <is>
          <t># Units</t>
        </is>
      </c>
      <c r="Z6" s="336" t="inlineStr">
        <is>
          <t>Year Built</t>
        </is>
      </c>
      <c r="AA6" s="340" t="inlineStr">
        <is>
          <t>Yr Diff</t>
        </is>
      </c>
      <c r="AB6" s="342" t="inlineStr">
        <is>
          <t>Utilities Incl.</t>
        </is>
      </c>
      <c r="AC6" s="136" t="inlineStr">
        <is>
          <t>Pet Friendly</t>
        </is>
      </c>
      <c r="AD6" s="136" t="inlineStr">
        <is>
          <t>Gated</t>
        </is>
      </c>
      <c r="AE6" s="136" t="inlineStr">
        <is>
          <t>Pool</t>
        </is>
      </c>
      <c r="AF6" s="136" t="inlineStr">
        <is>
          <t>W/D In-Unit</t>
        </is>
      </c>
      <c r="AG6" s="136" t="inlineStr">
        <is>
          <t>Competition Level</t>
        </is>
      </c>
      <c r="AH6" s="136" t="inlineStr">
        <is>
          <t>Why Competitive</t>
        </is>
      </c>
      <c r="AI6" s="136" t="inlineStr">
        <is>
          <t>Data Source</t>
        </is>
      </c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River Garden (SUBJECT)</t>
        </is>
      </c>
      <c r="D7" s="174" t="inlineStr">
        <is>
          <t>Sonora</t>
        </is>
      </c>
      <c r="E7" s="174" t="inlineStr">
        <is>
          <t>Sonora</t>
        </is>
      </c>
      <c r="F7" s="174" t="inlineStr">
        <is>
          <t>CA</t>
        </is>
      </c>
      <c r="G7" s="174" t="inlineStr">
        <is>
          <t>95370</t>
        </is>
      </c>
      <c r="H7" s="174" t="inlineStr">
        <is>
          <t>0.0 mi</t>
        </is>
      </c>
      <c r="I7" s="174" t="inlineStr">
        <is>
          <t>$3,812</t>
        </is>
      </c>
      <c r="J7" s="174" t="inlineStr">
        <is>
          <t>$4,575</t>
        </is>
      </c>
      <c r="K7" s="174" t="inlineStr">
        <is>
          <t>$1,500</t>
        </is>
      </c>
      <c r="L7" s="368">
        <f>B26</f>
        <v/>
      </c>
      <c r="M7" s="174" t="inlineStr">
        <is>
          <t>$4,233</t>
        </is>
      </c>
      <c r="N7" s="174" t="inlineStr">
        <is>
          <t>$5,080</t>
        </is>
      </c>
      <c r="O7" s="174" t="inlineStr">
        <is>
          <t>$1,970</t>
        </is>
      </c>
      <c r="P7" s="368">
        <f>B27</f>
        <v/>
      </c>
      <c r="Q7" s="174" t="inlineStr">
        <is>
          <t>$4,575</t>
        </is>
      </c>
      <c r="R7" s="174" t="inlineStr">
        <is>
          <t>$5,490</t>
        </is>
      </c>
      <c r="S7" s="174" t="inlineStr">
        <is>
          <t>$2,277</t>
        </is>
      </c>
      <c r="T7" s="368">
        <f>B28</f>
        <v/>
      </c>
      <c r="U7" s="174" t="inlineStr">
        <is>
          <t>$4,912</t>
        </is>
      </c>
      <c r="V7" s="174" t="inlineStr">
        <is>
          <t>$5,895</t>
        </is>
      </c>
      <c r="W7" s="174" t="inlineStr">
        <is>
          <t>$2,619</t>
        </is>
      </c>
      <c r="X7" s="174" t="inlineStr">
        <is>
          <t>N/A</t>
        </is>
      </c>
      <c r="Y7" s="42" t="inlineStr">
        <is>
          <t>123</t>
        </is>
      </c>
      <c r="Z7" s="55" t="inlineStr">
        <is>
          <t>1995</t>
        </is>
      </c>
      <c r="AA7" s="40" t="inlineStr">
        <is>
          <t>0</t>
        </is>
      </c>
      <c r="AB7" s="136" t="inlineStr">
        <is>
          <t>Partial</t>
        </is>
      </c>
      <c r="AC7" s="136" t="inlineStr">
        <is>
          <t>No</t>
        </is>
      </c>
      <c r="AD7" s="136" t="inlineStr">
        <is>
          <t>No</t>
        </is>
      </c>
      <c r="AE7" s="136" t="inlineStr">
        <is>
          <t>No</t>
        </is>
      </c>
      <c r="AF7" s="136" t="inlineStr">
        <is>
          <t>No</t>
        </is>
      </c>
      <c r="AG7" s="136" t="inlineStr">
        <is>
          <t>SUBJECT</t>
        </is>
      </c>
      <c r="AH7" s="136" t="inlineStr">
        <is>
          <t>123 units | Section 8/HUD property. Year built: 1995. Subject property for market context.</t>
        </is>
      </c>
      <c r="AI7" s="136" t="inlineStr">
        <is>
          <t>Apartment Corp Records</t>
        </is>
      </c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Fame Gardens</t>
        </is>
      </c>
      <c r="D8" s="59" t="n"/>
      <c r="E8" s="59" t="inlineStr">
        <is>
          <t>Los Angeles</t>
        </is>
      </c>
      <c r="F8" s="59" t="inlineStr">
        <is>
          <t>CA</t>
        </is>
      </c>
      <c r="G8" s="59" t="n"/>
      <c r="H8" s="59" t="inlineStr">
        <is>
          <t>N/A</t>
        </is>
      </c>
      <c r="I8" s="59" t="inlineStr">
        <is>
          <t>$3,812</t>
        </is>
      </c>
      <c r="J8" s="59" t="inlineStr">
        <is>
          <t>$4,575</t>
        </is>
      </c>
      <c r="K8" s="41" t="inlineStr">
        <is>
          <t>$1,500</t>
        </is>
      </c>
      <c r="L8" s="53" t="inlineStr">
        <is>
          <t>Not Listed</t>
        </is>
      </c>
      <c r="M8" s="43" t="inlineStr">
        <is>
          <t>$4,233</t>
        </is>
      </c>
      <c r="N8" s="43" t="inlineStr">
        <is>
          <t>$5,080</t>
        </is>
      </c>
      <c r="O8" s="41" t="inlineStr">
        <is>
          <t>$1,970</t>
        </is>
      </c>
      <c r="P8" s="53" t="inlineStr">
        <is>
          <t>Not Listed</t>
        </is>
      </c>
      <c r="Q8" s="43" t="inlineStr">
        <is>
          <t>$4,575</t>
        </is>
      </c>
      <c r="R8" s="43" t="inlineStr">
        <is>
          <t>$5,490</t>
        </is>
      </c>
      <c r="S8" s="43" t="inlineStr">
        <is>
          <t>$2,277</t>
        </is>
      </c>
      <c r="T8" s="43" t="inlineStr">
        <is>
          <t>Not Listed</t>
        </is>
      </c>
      <c r="U8" s="43" t="inlineStr">
        <is>
          <t>$4,912</t>
        </is>
      </c>
      <c r="V8" s="43" t="inlineStr">
        <is>
          <t>$5,895</t>
        </is>
      </c>
      <c r="W8" s="43" t="inlineStr">
        <is>
          <t>$2,619</t>
        </is>
      </c>
      <c r="X8" s="43" t="inlineStr">
        <is>
          <t>Not Listed</t>
        </is>
      </c>
      <c r="Y8" s="44" t="inlineStr">
        <is>
          <t>81</t>
        </is>
      </c>
      <c r="Z8" s="56" t="inlineStr">
        <is>
          <t>1995</t>
        </is>
      </c>
      <c r="AA8" s="43" t="inlineStr">
        <is>
          <t>0</t>
        </is>
      </c>
      <c r="AB8" s="136" t="inlineStr">
        <is>
          <t>Yes</t>
        </is>
      </c>
      <c r="AC8" s="136" t="inlineStr">
        <is>
          <t>No</t>
        </is>
      </c>
      <c r="AD8" s="136" t="inlineStr">
        <is>
          <t>No</t>
        </is>
      </c>
      <c r="AE8" s="136" t="inlineStr">
        <is>
          <t>No</t>
        </is>
      </c>
      <c r="AF8" s="136" t="inlineStr">
        <is>
          <t>No</t>
        </is>
      </c>
      <c r="AG8" s="136" t="inlineStr">
        <is>
          <t>MODERATE</t>
        </is>
      </c>
      <c r="AH8" s="136" t="inlineStr">
        <is>
          <t>Affordable Comp #1: LIHTC property, 1995 vintage (0 yr diff), 81 units, N/A from subject. Same income-eligible renter pool.</t>
        </is>
      </c>
      <c r="AI8" s="136" t="inlineStr">
        <is>
          <t>HUD LIHTC Database (huduser.gov)</t>
        </is>
      </c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Columbia Village Townhomes</t>
        </is>
      </c>
      <c r="D9" s="125" t="inlineStr">
        <is>
          <t>11439 Columbia Village Dr</t>
        </is>
      </c>
      <c r="E9" s="125" t="inlineStr">
        <is>
          <t>Sonora</t>
        </is>
      </c>
      <c r="F9" s="125" t="inlineStr">
        <is>
          <t>CA</t>
        </is>
      </c>
      <c r="G9" s="125" t="inlineStr">
        <is>
          <t>95370</t>
        </is>
      </c>
      <c r="H9" s="125" t="inlineStr">
        <is>
          <t>2.7 mi</t>
        </is>
      </c>
      <c r="I9" s="125" t="inlineStr">
        <is>
          <t>$3,812</t>
        </is>
      </c>
      <c r="J9" s="125" t="inlineStr">
        <is>
          <t>$4,575</t>
        </is>
      </c>
      <c r="K9" s="85" t="inlineStr">
        <is>
          <t>$1,500</t>
        </is>
      </c>
      <c r="L9" s="86" t="inlineStr">
        <is>
          <t>Not Listed</t>
        </is>
      </c>
      <c r="M9" s="128" t="inlineStr">
        <is>
          <t>$4,233</t>
        </is>
      </c>
      <c r="N9" s="128" t="inlineStr">
        <is>
          <t>$5,080</t>
        </is>
      </c>
      <c r="O9" s="85" t="inlineStr">
        <is>
          <t>$1,970</t>
        </is>
      </c>
      <c r="P9" s="86" t="inlineStr">
        <is>
          <t>Not Listed</t>
        </is>
      </c>
      <c r="Q9" s="128" t="inlineStr">
        <is>
          <t>$4,575</t>
        </is>
      </c>
      <c r="R9" s="128" t="inlineStr">
        <is>
          <t>$5,490</t>
        </is>
      </c>
      <c r="S9" s="128" t="inlineStr">
        <is>
          <t>$2,277</t>
        </is>
      </c>
      <c r="T9" s="128" t="inlineStr">
        <is>
          <t>Not Listed</t>
        </is>
      </c>
      <c r="U9" s="128" t="inlineStr">
        <is>
          <t>$4,912</t>
        </is>
      </c>
      <c r="V9" s="128" t="inlineStr">
        <is>
          <t>$5,895</t>
        </is>
      </c>
      <c r="W9" s="128" t="inlineStr">
        <is>
          <t>$2,619</t>
        </is>
      </c>
      <c r="X9" s="128" t="inlineStr">
        <is>
          <t>Not Listed</t>
        </is>
      </c>
      <c r="Y9" s="129" t="inlineStr">
        <is>
          <t>80</t>
        </is>
      </c>
      <c r="Z9" s="130" t="inlineStr">
        <is>
          <t>1998</t>
        </is>
      </c>
      <c r="AA9" s="128" t="inlineStr">
        <is>
          <t>3</t>
        </is>
      </c>
      <c r="AB9" s="136" t="inlineStr">
        <is>
          <t>Yes</t>
        </is>
      </c>
      <c r="AC9" s="136" t="inlineStr">
        <is>
          <t>No</t>
        </is>
      </c>
      <c r="AD9" s="136" t="inlineStr">
        <is>
          <t>No</t>
        </is>
      </c>
      <c r="AE9" s="136" t="inlineStr">
        <is>
          <t>No</t>
        </is>
      </c>
      <c r="AF9" s="136" t="inlineStr">
        <is>
          <t>No</t>
        </is>
      </c>
      <c r="AG9" s="136" t="inlineStr">
        <is>
          <t>HIGH</t>
        </is>
      </c>
      <c r="AH9" s="136" t="inlineStr">
        <is>
          <t>Affordable Comp #2: LIHTC property, 1998 vintage (3 yr diff), 80 units, 2.7 mi from subject. Same income-eligible renter pool.</t>
        </is>
      </c>
      <c r="AI9" s="136" t="inlineStr">
        <is>
          <t>HUD LIHTC Database (huduser.gov)</t>
        </is>
      </c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Oak Hills Apts</t>
        </is>
      </c>
      <c r="D10" s="107" t="inlineStr">
        <is>
          <t>10260 Preston Ln</t>
        </is>
      </c>
      <c r="E10" s="107" t="inlineStr">
        <is>
          <t>Jamestown</t>
        </is>
      </c>
      <c r="F10" s="107" t="inlineStr">
        <is>
          <t>CA</t>
        </is>
      </c>
      <c r="G10" s="107" t="inlineStr">
        <is>
          <t>95327</t>
        </is>
      </c>
      <c r="H10" s="107" t="inlineStr">
        <is>
          <t>3.1 mi</t>
        </is>
      </c>
      <c r="I10" s="107" t="inlineStr">
        <is>
          <t>$3,812</t>
        </is>
      </c>
      <c r="J10" s="107" t="inlineStr">
        <is>
          <t>$4,575</t>
        </is>
      </c>
      <c r="K10" s="80" t="inlineStr">
        <is>
          <t>$1,500</t>
        </is>
      </c>
      <c r="L10" s="81" t="inlineStr">
        <is>
          <t>Not Listed</t>
        </is>
      </c>
      <c r="M10" s="108" t="inlineStr">
        <is>
          <t>$4,233</t>
        </is>
      </c>
      <c r="N10" s="108" t="inlineStr">
        <is>
          <t>$5,080</t>
        </is>
      </c>
      <c r="O10" s="80" t="inlineStr">
        <is>
          <t>$1,970</t>
        </is>
      </c>
      <c r="P10" s="81" t="inlineStr">
        <is>
          <t>Not Listed</t>
        </is>
      </c>
      <c r="Q10" s="108" t="inlineStr">
        <is>
          <t>$4,575</t>
        </is>
      </c>
      <c r="R10" s="108" t="inlineStr">
        <is>
          <t>$5,490</t>
        </is>
      </c>
      <c r="S10" s="108" t="inlineStr">
        <is>
          <t>$2,277</t>
        </is>
      </c>
      <c r="T10" s="108" t="inlineStr">
        <is>
          <t>Not Listed</t>
        </is>
      </c>
      <c r="U10" s="108" t="inlineStr">
        <is>
          <t>$4,912</t>
        </is>
      </c>
      <c r="V10" s="108" t="inlineStr">
        <is>
          <t>$5,895</t>
        </is>
      </c>
      <c r="W10" s="108" t="inlineStr">
        <is>
          <t>$2,619</t>
        </is>
      </c>
      <c r="X10" s="108" t="inlineStr">
        <is>
          <t>Not Listed</t>
        </is>
      </c>
      <c r="Y10" s="109" t="inlineStr">
        <is>
          <t>80</t>
        </is>
      </c>
      <c r="Z10" s="110" t="inlineStr">
        <is>
          <t>1998</t>
        </is>
      </c>
      <c r="AA10" s="111" t="inlineStr">
        <is>
          <t>3</t>
        </is>
      </c>
      <c r="AB10" s="134" t="inlineStr">
        <is>
          <t>Yes</t>
        </is>
      </c>
      <c r="AC10" s="136" t="inlineStr">
        <is>
          <t>No</t>
        </is>
      </c>
      <c r="AD10" s="136" t="inlineStr">
        <is>
          <t>No</t>
        </is>
      </c>
      <c r="AE10" s="136" t="inlineStr">
        <is>
          <t>No</t>
        </is>
      </c>
      <c r="AF10" s="136" t="inlineStr">
        <is>
          <t>No</t>
        </is>
      </c>
      <c r="AG10" s="136" t="inlineStr">
        <is>
          <t>HIGH</t>
        </is>
      </c>
      <c r="AH10" s="136" t="inlineStr">
        <is>
          <t>Affordable Comp #3: LIHTC property, 1998 vintage (3 yr diff), 80 units, 3.1 mi from subject. Same income-eligible renter pool.</t>
        </is>
      </c>
      <c r="AI10" s="136" t="inlineStr">
        <is>
          <t>HUD LIHTC Database (huduser.gov)</t>
        </is>
      </c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Murphys Senior Apts</t>
        </is>
      </c>
      <c r="D11" s="95" t="inlineStr">
        <is>
          <t>350 Bret Harte Ln</t>
        </is>
      </c>
      <c r="E11" s="95" t="inlineStr">
        <is>
          <t>Murphys</t>
        </is>
      </c>
      <c r="F11" s="95" t="inlineStr">
        <is>
          <t>CA</t>
        </is>
      </c>
      <c r="G11" s="95" t="inlineStr">
        <is>
          <t>95247</t>
        </is>
      </c>
      <c r="H11" s="95" t="inlineStr">
        <is>
          <t>12.5 mi</t>
        </is>
      </c>
      <c r="I11" s="95" t="inlineStr">
        <is>
          <t>$3,812</t>
        </is>
      </c>
      <c r="J11" s="95" t="inlineStr">
        <is>
          <t>$4,575</t>
        </is>
      </c>
      <c r="K11" s="39" t="inlineStr">
        <is>
          <t>$1,500</t>
        </is>
      </c>
      <c r="L11" s="53" t="inlineStr">
        <is>
          <t>Not Listed</t>
        </is>
      </c>
      <c r="M11" s="96" t="inlineStr">
        <is>
          <t>$4,233</t>
        </is>
      </c>
      <c r="N11" s="96" t="inlineStr">
        <is>
          <t>$5,080</t>
        </is>
      </c>
      <c r="O11" s="39" t="inlineStr">
        <is>
          <t>$1,970</t>
        </is>
      </c>
      <c r="P11" s="53" t="inlineStr">
        <is>
          <t>Not Listed</t>
        </is>
      </c>
      <c r="Q11" s="96" t="inlineStr">
        <is>
          <t>$4,575</t>
        </is>
      </c>
      <c r="R11" s="96" t="inlineStr">
        <is>
          <t>$5,490</t>
        </is>
      </c>
      <c r="S11" s="96" t="inlineStr">
        <is>
          <t>$2,277</t>
        </is>
      </c>
      <c r="T11" s="96" t="inlineStr">
        <is>
          <t>Not Listed</t>
        </is>
      </c>
      <c r="U11" s="96" t="inlineStr">
        <is>
          <t>$4,912</t>
        </is>
      </c>
      <c r="V11" s="96" t="inlineStr">
        <is>
          <t>$5,895</t>
        </is>
      </c>
      <c r="W11" s="96" t="inlineStr">
        <is>
          <t>$2,619</t>
        </is>
      </c>
      <c r="X11" s="96" t="inlineStr">
        <is>
          <t>Not Listed</t>
        </is>
      </c>
      <c r="Y11" s="45" t="inlineStr">
        <is>
          <t>24</t>
        </is>
      </c>
      <c r="Z11" s="97" t="inlineStr">
        <is>
          <t>1995</t>
        </is>
      </c>
      <c r="AA11" s="113" t="inlineStr">
        <is>
          <t>0</t>
        </is>
      </c>
      <c r="AB11" s="134" t="inlineStr">
        <is>
          <t>Yes</t>
        </is>
      </c>
      <c r="AC11" s="136" t="inlineStr">
        <is>
          <t>No</t>
        </is>
      </c>
      <c r="AD11" s="136" t="inlineStr">
        <is>
          <t>No</t>
        </is>
      </c>
      <c r="AE11" s="136" t="inlineStr">
        <is>
          <t>No</t>
        </is>
      </c>
      <c r="AF11" s="136" t="inlineStr">
        <is>
          <t>No</t>
        </is>
      </c>
      <c r="AG11" s="136" t="inlineStr">
        <is>
          <t>HIGH</t>
        </is>
      </c>
      <c r="AH11" s="136" t="inlineStr">
        <is>
          <t>Affordable Comp #4: LIHTC property, 1995 vintage (0 yr diff), 24 units, 12.5 mi from subject. Same income-eligible renter pool.</t>
        </is>
      </c>
      <c r="AI11" s="136" t="inlineStr">
        <is>
          <t>HUD LIHTC Database (huduser.gov)</t>
        </is>
      </c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37.5" customHeight="1" s="131">
      <c r="A12" s="114" t="inlineStr">
        <is>
          <t>1</t>
        </is>
      </c>
      <c r="B12" s="70" t="inlineStr">
        <is>
          <t>MARKET RATE</t>
        </is>
      </c>
      <c r="C12" s="67" t="inlineStr">
        <is>
          <t>Quail Hollow Apartments</t>
        </is>
      </c>
      <c r="D12" s="98" t="inlineStr">
        <is>
          <t>20230 Grouse Way</t>
        </is>
      </c>
      <c r="E12" s="98" t="inlineStr">
        <is>
          <t>Sonora</t>
        </is>
      </c>
      <c r="F12" s="98" t="inlineStr">
        <is>
          <t>CA</t>
        </is>
      </c>
      <c r="G12" s="98" t="n"/>
      <c r="H12" s="98" t="inlineStr">
        <is>
          <t>2.0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$1,500</t>
        </is>
      </c>
      <c r="L12" s="53" t="n">
        <v>1650</v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$1,970</t>
        </is>
      </c>
      <c r="P12" s="53" t="n">
        <v>2050</v>
      </c>
      <c r="Q12" s="99" t="inlineStr">
        <is>
          <t>N/A (Market Rate)</t>
        </is>
      </c>
      <c r="R12" s="99" t="inlineStr">
        <is>
          <t>N/A (Market Rate)</t>
        </is>
      </c>
      <c r="S12" s="99" t="inlineStr">
        <is>
          <t>$2,277</t>
        </is>
      </c>
      <c r="T12" s="99" t="n"/>
      <c r="U12" s="99" t="inlineStr">
        <is>
          <t>N/A (Market Rate)</t>
        </is>
      </c>
      <c r="V12" s="99" t="inlineStr">
        <is>
          <t>N/A (Market Rate)</t>
        </is>
      </c>
      <c r="W12" s="99" t="inlineStr">
        <is>
          <t>$2,619</t>
        </is>
      </c>
      <c r="X12" s="99" t="inlineStr">
        <is>
          <t>Not Listed</t>
        </is>
      </c>
      <c r="Y12" s="46" t="inlineStr">
        <is>
          <t>N/A</t>
        </is>
      </c>
      <c r="Z12" s="100" t="inlineStr">
        <is>
          <t>1995</t>
        </is>
      </c>
      <c r="AA12" s="115" t="inlineStr">
        <is>
          <t>0</t>
        </is>
      </c>
      <c r="AB12" s="134" t="inlineStr">
        <is>
          <t>Varies</t>
        </is>
      </c>
      <c r="AC12" s="136" t="inlineStr">
        <is>
          <t>Varies</t>
        </is>
      </c>
      <c r="AD12" s="136" t="inlineStr">
        <is>
          <t>Varies</t>
        </is>
      </c>
      <c r="AE12" s="136" t="inlineStr">
        <is>
          <t>Varies</t>
        </is>
      </c>
      <c r="AF12" s="136" t="inlineStr">
        <is>
          <t>Varies</t>
        </is>
      </c>
      <c r="AG12" s="136" t="inlineStr">
        <is>
          <t>HIGH</t>
        </is>
      </c>
      <c r="AH12" s="136" t="inlineStr">
        <is>
          <t>Market Rate Comp #1: No income restrictions, 1995 vintage (0 yr diff), N/A units, N/A from subject. Shows market-rate rents vs. affordable housing discount.</t>
        </is>
      </c>
      <c r="AI12" s="136" t="inlineStr">
        <is>
          <t>HUD FY2026 FMR - Tuolumne County, CA (limited market rate listings in Sonora)</t>
        </is>
      </c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inlineStr">
        <is>
          <t>2</t>
        </is>
      </c>
      <c r="B13" s="71" t="inlineStr">
        <is>
          <t>Quail Hollow Apartments</t>
        </is>
      </c>
      <c r="C13" s="68" t="inlineStr">
        <is>
          <t>Sonora Rental Market (est.)</t>
        </is>
      </c>
      <c r="D13" s="101" t="inlineStr">
        <is>
          <t>165 S Shepherd St</t>
        </is>
      </c>
      <c r="E13" s="101" t="inlineStr">
        <is>
          <t>Sonora</t>
        </is>
      </c>
      <c r="F13" s="101" t="inlineStr">
        <is>
          <t>CA</t>
        </is>
      </c>
      <c r="G13" s="101" t="n"/>
      <c r="H13" s="101" t="inlineStr">
        <is>
          <t>1.5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$1,500</t>
        </is>
      </c>
      <c r="L13" s="53" t="n">
        <v>1595</v>
      </c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$1,970</t>
        </is>
      </c>
      <c r="P13" s="53" t="n">
        <v>1975</v>
      </c>
      <c r="Q13" s="102" t="inlineStr">
        <is>
          <t>N/A (Market Rate)</t>
        </is>
      </c>
      <c r="R13" s="102" t="inlineStr">
        <is>
          <t>N/A (Market Rate)</t>
        </is>
      </c>
      <c r="S13" s="102" t="inlineStr">
        <is>
          <t>$2,277</t>
        </is>
      </c>
      <c r="T13" s="102" t="n"/>
      <c r="U13" s="102" t="inlineStr">
        <is>
          <t>N/A (Market Rate)</t>
        </is>
      </c>
      <c r="V13" s="102" t="inlineStr">
        <is>
          <t>N/A (Market Rate)</t>
        </is>
      </c>
      <c r="W13" s="102" t="inlineStr">
        <is>
          <t>$2,619</t>
        </is>
      </c>
      <c r="X13" s="102" t="inlineStr">
        <is>
          <t>Not Listed</t>
        </is>
      </c>
      <c r="Y13" s="47" t="inlineStr">
        <is>
          <t>120</t>
        </is>
      </c>
      <c r="Z13" s="103" t="inlineStr">
        <is>
          <t>1997</t>
        </is>
      </c>
      <c r="AA13" s="117" t="inlineStr">
        <is>
          <t>2</t>
        </is>
      </c>
      <c r="AB13" s="134" t="inlineStr">
        <is>
          <t>Varies</t>
        </is>
      </c>
      <c r="AC13" s="136" t="inlineStr">
        <is>
          <t>Varies</t>
        </is>
      </c>
      <c r="AD13" s="136" t="inlineStr">
        <is>
          <t>Varies</t>
        </is>
      </c>
      <c r="AE13" s="136" t="inlineStr">
        <is>
          <t>Varies</t>
        </is>
      </c>
      <c r="AF13" s="136" t="inlineStr">
        <is>
          <t>Varies</t>
        </is>
      </c>
      <c r="AG13" s="136" t="inlineStr">
        <is>
          <t>MODERATE</t>
        </is>
      </c>
      <c r="AH13" s="136" t="inlineStr">
        <is>
          <t>Market Rate Comp #2: No income restrictions, 1997 vintage (2 yr diff), 120 units, 45.0 mi from subject. Shows market-rate rents vs. affordable housing discount.</t>
        </is>
      </c>
      <c r="AI13" s="136" t="inlineStr">
        <is>
          <t>https://www.rentcafe.com/apartments-for-rent/us/ca/modesto/</t>
        </is>
      </c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inlineStr">
        <is>
          <t>3</t>
        </is>
      </c>
      <c r="B14" s="69" t="inlineStr">
        <is>
          <t>Shepherd Street Apartments</t>
        </is>
      </c>
      <c r="C14" s="66" t="inlineStr">
        <is>
          <t>Sonora Rental Market (est.)</t>
        </is>
      </c>
      <c r="D14" s="95" t="inlineStr">
        <is>
          <t>100 Greenley Rd</t>
        </is>
      </c>
      <c r="E14" s="95" t="inlineStr">
        <is>
          <t>Sonora</t>
        </is>
      </c>
      <c r="F14" s="95" t="inlineStr">
        <is>
          <t>CA</t>
        </is>
      </c>
      <c r="G14" s="95" t="n"/>
      <c r="H14" s="95" t="inlineStr">
        <is>
          <t>1.0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$1,500</t>
        </is>
      </c>
      <c r="L14" s="53" t="n">
        <v>1550</v>
      </c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$1,970</t>
        </is>
      </c>
      <c r="P14" s="53" t="n">
        <v>1925</v>
      </c>
      <c r="Q14" s="96" t="inlineStr">
        <is>
          <t>N/A (Market Rate)</t>
        </is>
      </c>
      <c r="R14" s="96" t="inlineStr">
        <is>
          <t>N/A (Market Rate)</t>
        </is>
      </c>
      <c r="S14" s="96" t="inlineStr">
        <is>
          <t>$2,277</t>
        </is>
      </c>
      <c r="T14" s="96" t="n"/>
      <c r="U14" s="96" t="inlineStr">
        <is>
          <t>N/A (Market Rate)</t>
        </is>
      </c>
      <c r="V14" s="96" t="inlineStr">
        <is>
          <t>N/A (Market Rate)</t>
        </is>
      </c>
      <c r="W14" s="96" t="inlineStr">
        <is>
          <t>$2,619</t>
        </is>
      </c>
      <c r="X14" s="96" t="inlineStr">
        <is>
          <t>Not Listed</t>
        </is>
      </c>
      <c r="Y14" s="45" t="inlineStr">
        <is>
          <t>96</t>
        </is>
      </c>
      <c r="Z14" s="97" t="inlineStr">
        <is>
          <t>1993</t>
        </is>
      </c>
      <c r="AA14" s="113" t="inlineStr">
        <is>
          <t>2</t>
        </is>
      </c>
      <c r="AB14" s="134" t="inlineStr">
        <is>
          <t>Varies</t>
        </is>
      </c>
      <c r="AC14" s="136" t="inlineStr">
        <is>
          <t>Varies</t>
        </is>
      </c>
      <c r="AD14" s="136" t="inlineStr">
        <is>
          <t>Varies</t>
        </is>
      </c>
      <c r="AE14" s="136" t="inlineStr">
        <is>
          <t>Varies</t>
        </is>
      </c>
      <c r="AF14" s="136" t="inlineStr">
        <is>
          <t>Varies</t>
        </is>
      </c>
      <c r="AG14" s="136" t="inlineStr">
        <is>
          <t>MODERATE</t>
        </is>
      </c>
      <c r="AH14" s="136" t="inlineStr">
        <is>
          <t>Market Rate Comp #3: No income restrictions, 1993 vintage (2 yr diff), 96 units, 47.0 mi from subject. Shows market-rate rents vs. affordable housing discount.</t>
        </is>
      </c>
      <c r="AI14" s="136" t="inlineStr">
        <is>
          <t>https://www.rentcafe.com/apartments-for-rent/us/ca/modesto/</t>
        </is>
      </c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inlineStr">
        <is>
          <t>4</t>
        </is>
      </c>
      <c r="B15" s="69" t="inlineStr">
        <is>
          <t>Blackberry Oaks</t>
        </is>
      </c>
      <c r="C15" s="66" t="inlineStr">
        <is>
          <t>Sonora Rental Market (est.)</t>
        </is>
      </c>
      <c r="D15" s="95" t="inlineStr">
        <is>
          <t>22316 Longeway Rd</t>
        </is>
      </c>
      <c r="E15" s="95" t="inlineStr">
        <is>
          <t>Sonora</t>
        </is>
      </c>
      <c r="F15" s="95" t="inlineStr">
        <is>
          <t>CA</t>
        </is>
      </c>
      <c r="G15" s="95" t="n"/>
      <c r="H15" s="95" t="inlineStr">
        <is>
          <t>3.0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$1,500</t>
        </is>
      </c>
      <c r="L15" s="53" t="n">
        <v>1650</v>
      </c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$1,970</t>
        </is>
      </c>
      <c r="P15" s="53" t="n">
        <v>2050</v>
      </c>
      <c r="Q15" s="96" t="inlineStr">
        <is>
          <t>N/A (Market Rate)</t>
        </is>
      </c>
      <c r="R15" s="96" t="inlineStr">
        <is>
          <t>N/A (Market Rate)</t>
        </is>
      </c>
      <c r="S15" s="96" t="inlineStr">
        <is>
          <t>$2,277</t>
        </is>
      </c>
      <c r="T15" s="96" t="n"/>
      <c r="U15" s="96" t="inlineStr">
        <is>
          <t>N/A (Market Rate)</t>
        </is>
      </c>
      <c r="V15" s="96" t="inlineStr">
        <is>
          <t>N/A (Market Rate)</t>
        </is>
      </c>
      <c r="W15" s="96" t="inlineStr">
        <is>
          <t>$2,619</t>
        </is>
      </c>
      <c r="X15" s="96" t="inlineStr">
        <is>
          <t>Not Listed</t>
        </is>
      </c>
      <c r="Y15" s="45" t="inlineStr">
        <is>
          <t>N/A</t>
        </is>
      </c>
      <c r="Z15" s="97" t="inlineStr">
        <is>
          <t>1993</t>
        </is>
      </c>
      <c r="AA15" s="113" t="inlineStr">
        <is>
          <t>2</t>
        </is>
      </c>
      <c r="AB15" s="134" t="inlineStr">
        <is>
          <t>Varies</t>
        </is>
      </c>
      <c r="AC15" s="136" t="inlineStr">
        <is>
          <t>Varies</t>
        </is>
      </c>
      <c r="AD15" s="136" t="inlineStr">
        <is>
          <t>Varies</t>
        </is>
      </c>
      <c r="AE15" s="136" t="inlineStr">
        <is>
          <t>Varies</t>
        </is>
      </c>
      <c r="AF15" s="136" t="inlineStr">
        <is>
          <t>Varies</t>
        </is>
      </c>
      <c r="AG15" s="136" t="inlineStr">
        <is>
          <t>HIGH</t>
        </is>
      </c>
      <c r="AH15" s="136" t="inlineStr">
        <is>
          <t>Market Rate Comp #4: No income restrictions, 1993 vintage (2 yr diff), N/A units, N/A from subject. Shows market-rate rents vs. affordable housing discount.</t>
        </is>
      </c>
      <c r="AI15" s="136" t="inlineStr">
        <is>
          <t>HUD FY2026 FMR - Tuolumne County, CA</t>
        </is>
      </c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inlineStr">
        <is>
          <t>—</t>
        </is>
      </c>
      <c r="B16" s="82" t="inlineStr">
        <is>
          <t>BENCHMARK</t>
        </is>
      </c>
      <c r="C16" s="119" t="inlineStr">
        <is>
          <t>FY2026 FMR — Tuolumne County, CA</t>
        </is>
      </c>
      <c r="D16" s="120" t="inlineStr">
        <is>
          <t>N/A</t>
        </is>
      </c>
      <c r="E16" s="120" t="inlineStr">
        <is>
          <t>Sonora</t>
        </is>
      </c>
      <c r="F16" s="120" t="inlineStr">
        <is>
          <t>CA</t>
        </is>
      </c>
      <c r="G16" s="120" t="inlineStr">
        <is>
          <t>N/A</t>
        </is>
      </c>
      <c r="H16" s="120" t="inlineStr">
        <is>
          <t>N/A</t>
        </is>
      </c>
      <c r="I16" s="120" t="inlineStr">
        <is>
          <t>$1,500</t>
        </is>
      </c>
      <c r="J16" s="120" t="inlineStr">
        <is>
          <t>$1,500</t>
        </is>
      </c>
      <c r="K16" s="121" t="inlineStr">
        <is>
          <t>$1,500</t>
        </is>
      </c>
      <c r="L16" s="83" t="inlineStr">
        <is>
          <t>N/A</t>
        </is>
      </c>
      <c r="M16" s="122" t="inlineStr">
        <is>
          <t>$1,970</t>
        </is>
      </c>
      <c r="N16" s="122" t="inlineStr">
        <is>
          <t>$1,970</t>
        </is>
      </c>
      <c r="O16" s="121" t="inlineStr">
        <is>
          <t>$1,970</t>
        </is>
      </c>
      <c r="P16" s="83" t="inlineStr">
        <is>
          <t>N/A</t>
        </is>
      </c>
      <c r="Q16" s="122" t="inlineStr">
        <is>
          <t>$2,277</t>
        </is>
      </c>
      <c r="R16" s="122" t="inlineStr">
        <is>
          <t>$2,277</t>
        </is>
      </c>
      <c r="S16" s="122" t="inlineStr">
        <is>
          <t>$2,277</t>
        </is>
      </c>
      <c r="T16" s="122" t="inlineStr">
        <is>
          <t>N/A</t>
        </is>
      </c>
      <c r="U16" s="122" t="inlineStr">
        <is>
          <t>$2,619</t>
        </is>
      </c>
      <c r="V16" s="122" t="inlineStr">
        <is>
          <t>$2,619</t>
        </is>
      </c>
      <c r="W16" s="122" t="inlineStr">
        <is>
          <t>$2,619</t>
        </is>
      </c>
      <c r="X16" s="122" t="inlineStr">
        <is>
          <t>N/A</t>
        </is>
      </c>
      <c r="Y16" s="84" t="inlineStr">
        <is>
          <t>N/A</t>
        </is>
      </c>
      <c r="Z16" s="123" t="inlineStr">
        <is>
          <t>N/A</t>
        </is>
      </c>
      <c r="AA16" s="124" t="inlineStr">
        <is>
          <t>N/A</t>
        </is>
      </c>
      <c r="AB16" s="134" t="inlineStr">
        <is>
          <t>N/A</t>
        </is>
      </c>
      <c r="AC16" s="136" t="inlineStr">
        <is>
          <t>N/A</t>
        </is>
      </c>
      <c r="AD16" s="136" t="inlineStr">
        <is>
          <t>N/A</t>
        </is>
      </c>
      <c r="AE16" s="136" t="inlineStr">
        <is>
          <t>N/A</t>
        </is>
      </c>
      <c r="AF16" s="136" t="inlineStr">
        <is>
          <t>N/A</t>
        </is>
      </c>
      <c r="AG16" s="136" t="inlineStr">
        <is>
          <t>BENCHMARK</t>
        </is>
      </c>
      <c r="AH16" s="136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136" t="inlineStr">
        <is>
          <t>HUD FMR Database (huduser.gov)</t>
        </is>
      </c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inlineStr">
        <is>
          <t>—</t>
        </is>
      </c>
      <c r="B17" s="88" t="inlineStr">
        <is>
          <t>BENCHMARK</t>
        </is>
      </c>
      <c r="C17" s="89" t="inlineStr">
        <is>
          <t>Metro Market Avg — Sonora</t>
        </is>
      </c>
      <c r="D17" s="87" t="inlineStr">
        <is>
          <t>N/A</t>
        </is>
      </c>
      <c r="E17" s="87" t="inlineStr">
        <is>
          <t>Sonora</t>
        </is>
      </c>
      <c r="F17" s="87" t="inlineStr">
        <is>
          <t>CA</t>
        </is>
      </c>
      <c r="G17" s="87" t="inlineStr">
        <is>
          <t>N/A</t>
        </is>
      </c>
      <c r="H17" s="87" t="inlineStr">
        <is>
          <t>N/A</t>
        </is>
      </c>
      <c r="I17" s="87" t="inlineStr">
        <is>
          <t>$1,650</t>
        </is>
      </c>
      <c r="J17" s="87" t="inlineStr">
        <is>
          <t>$1,650</t>
        </is>
      </c>
      <c r="K17" s="90" t="inlineStr">
        <is>
          <t>$1,650</t>
        </is>
      </c>
      <c r="L17" s="91" t="inlineStr">
        <is>
          <t>N/A</t>
        </is>
      </c>
      <c r="M17" s="92" t="inlineStr">
        <is>
          <t>$2,167</t>
        </is>
      </c>
      <c r="N17" s="92" t="inlineStr">
        <is>
          <t>$2,167</t>
        </is>
      </c>
      <c r="O17" s="90" t="inlineStr">
        <is>
          <t>$2,167</t>
        </is>
      </c>
      <c r="P17" s="91" t="inlineStr">
        <is>
          <t>N/A</t>
        </is>
      </c>
      <c r="Q17" s="92" t="inlineStr">
        <is>
          <t>$2,504</t>
        </is>
      </c>
      <c r="R17" s="92" t="inlineStr">
        <is>
          <t>$2,504</t>
        </is>
      </c>
      <c r="S17" s="92" t="inlineStr">
        <is>
          <t>$2,504</t>
        </is>
      </c>
      <c r="T17" s="92" t="inlineStr">
        <is>
          <t>N/A</t>
        </is>
      </c>
      <c r="U17" s="92" t="inlineStr">
        <is>
          <t>$2,880</t>
        </is>
      </c>
      <c r="V17" s="92" t="inlineStr">
        <is>
          <t>$2,880</t>
        </is>
      </c>
      <c r="W17" s="92" t="inlineStr">
        <is>
          <t>$2,880</t>
        </is>
      </c>
      <c r="X17" s="92" t="inlineStr">
        <is>
          <t>N/A</t>
        </is>
      </c>
      <c r="Y17" s="93" t="inlineStr">
        <is>
          <t>N/A</t>
        </is>
      </c>
      <c r="Z17" s="94" t="inlineStr">
        <is>
          <t>N/A</t>
        </is>
      </c>
      <c r="AA17" s="92" t="inlineStr">
        <is>
          <t>N/A</t>
        </is>
      </c>
      <c r="AB17" s="136" t="inlineStr">
        <is>
          <t>N/A</t>
        </is>
      </c>
      <c r="AC17" s="136" t="inlineStr">
        <is>
          <t>N/A</t>
        </is>
      </c>
      <c r="AD17" s="136" t="inlineStr">
        <is>
          <t>N/A</t>
        </is>
      </c>
      <c r="AE17" s="136" t="inlineStr">
        <is>
          <t>N/A</t>
        </is>
      </c>
      <c r="AF17" s="136" t="inlineStr">
        <is>
          <t>N/A</t>
        </is>
      </c>
      <c r="AG17" s="136" t="inlineStr">
        <is>
          <t>BENCHMARK</t>
        </is>
      </c>
      <c r="AH17" s="136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136" t="inlineStr">
        <is>
          <t>HUD FMR + Market Estimate</t>
        </is>
      </c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Height="1" s="131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Format="1" customHeight="1" s="2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Format="1" customHeight="1" s="2">
      <c r="A25" s="372" t="n"/>
      <c r="B25" s="201" t="inlineStr">
        <is>
          <t>2BD</t>
        </is>
      </c>
      <c r="C25" s="194" t="n"/>
      <c r="D25" s="200" t="n">
        <v>1650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Format="1" customHeight="1" s="2">
      <c r="A26" s="372" t="n"/>
      <c r="B26" s="201" t="inlineStr">
        <is>
          <t>3BD</t>
        </is>
      </c>
      <c r="C26" s="194" t="n"/>
      <c r="D26" s="200" t="n">
        <v>2050</v>
      </c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24.75" customFormat="1" customHeight="1" s="2">
      <c r="A27" s="369" t="n"/>
      <c r="B27" s="201" t="inlineStr">
        <is>
          <t>4BD</t>
        </is>
      </c>
      <c r="C27" s="194" t="n"/>
      <c r="D27" s="200" t="n"/>
      <c r="E27" s="195" t="n"/>
      <c r="F27" s="183" t="n"/>
      <c r="G27" s="183" t="n"/>
      <c r="H27" s="183" t="n"/>
      <c r="I27" s="183" t="n"/>
      <c r="J27" s="183" t="n"/>
      <c r="K27" s="302" t="n"/>
      <c r="L27" s="302" t="n"/>
      <c r="M27" s="302" t="n"/>
      <c r="N27" s="302" t="n"/>
      <c r="O27" s="343" t="n"/>
      <c r="P27" s="302" t="n"/>
      <c r="Q27" s="302" t="n"/>
      <c r="R27" s="302" t="n"/>
      <c r="S27" s="302" t="n"/>
      <c r="T27" s="302" t="n"/>
      <c r="U27" s="302" t="n"/>
      <c r="V27" s="302" t="n"/>
      <c r="W27" s="302" t="n"/>
      <c r="X27" s="302" t="n"/>
      <c r="Y27" s="302" t="n"/>
      <c r="Z27" s="302" t="n"/>
      <c r="AA27" s="353" t="n"/>
      <c r="AB27" s="302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8.1" customHeight="1" s="131">
      <c r="A28" s="382" t="n"/>
      <c r="B28" s="435" t="inlineStr">
        <is>
          <t>5BD</t>
        </is>
      </c>
      <c r="C28" s="436" t="n"/>
      <c r="D28" s="437" t="n"/>
      <c r="E28" s="438" t="n"/>
      <c r="F28" s="382" t="n"/>
      <c r="G28" s="369" t="n"/>
      <c r="H28" s="369" t="n"/>
      <c r="I28" s="369" t="n"/>
      <c r="J28" s="369" t="n"/>
      <c r="K28" s="369" t="n"/>
      <c r="L28" s="134" t="n"/>
      <c r="M28" s="134" t="n"/>
      <c r="N28" s="134" t="n"/>
      <c r="O28" s="134" t="n"/>
      <c r="P28" s="134" t="n"/>
      <c r="Q28" s="134" t="n"/>
      <c r="R28" s="134" t="n"/>
      <c r="S28" s="134" t="n"/>
      <c r="T28" s="134" t="n"/>
      <c r="U28" s="134" t="n"/>
      <c r="V28" s="134" t="n"/>
      <c r="W28" s="134" t="n"/>
      <c r="X28" s="134" t="n"/>
      <c r="Y28" s="134" t="n"/>
      <c r="Z28" s="135" t="n"/>
      <c r="AA28" s="134" t="n"/>
      <c r="AB28" s="134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8.1" customHeight="1" s="131">
      <c r="A29" s="372" t="n"/>
      <c r="B29" s="371" t="n"/>
      <c r="C29" s="371" t="n"/>
      <c r="D29" s="371" t="n"/>
      <c r="E29" s="371" t="n"/>
      <c r="F29" s="371" t="n"/>
      <c r="G29" s="369" t="n"/>
      <c r="H29" s="369" t="n"/>
      <c r="I29" s="369" t="n"/>
      <c r="J29" s="369" t="n"/>
      <c r="K29" s="369" t="n"/>
      <c r="L29" s="134" t="n"/>
      <c r="M29" s="134" t="n"/>
      <c r="N29" s="134" t="n"/>
      <c r="O29" s="134" t="n"/>
      <c r="P29" s="134" t="n"/>
      <c r="Q29" s="134" t="n"/>
      <c r="R29" s="134" t="n"/>
      <c r="S29" s="134" t="n"/>
      <c r="T29" s="134" t="n"/>
      <c r="U29" s="134" t="n"/>
      <c r="V29" s="134" t="n"/>
      <c r="W29" s="134" t="n"/>
      <c r="X29" s="134" t="n"/>
      <c r="Y29" s="134" t="n"/>
      <c r="Z29" s="135" t="n"/>
      <c r="AA29" s="134" t="n"/>
      <c r="AB29" s="134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24.75" customFormat="1" customHeight="1" s="2">
      <c r="A30" s="302" t="n"/>
      <c r="B30" s="211" t="inlineStr">
        <is>
          <t>PMTS — Vouchers / FMR / UAP / NET</t>
        </is>
      </c>
      <c r="G30" s="365" t="n"/>
      <c r="H30" s="183" t="n"/>
      <c r="I30" s="183" t="n"/>
      <c r="J30" s="183" t="n"/>
      <c r="K30" s="302" t="n"/>
      <c r="L30" s="302" t="n"/>
      <c r="M30" s="302" t="n"/>
      <c r="N30" s="302" t="n"/>
      <c r="O30" s="302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15.95" customFormat="1" customHeight="1" s="2">
      <c r="A31" s="302" t="n"/>
      <c r="B31" s="226" t="n"/>
      <c r="C31" s="213" t="inlineStr">
        <is>
          <t>MKT</t>
        </is>
      </c>
      <c r="D31" s="213" t="inlineStr">
        <is>
          <t>VCH</t>
        </is>
      </c>
      <c r="E31" s="214" t="inlineStr">
        <is>
          <t>FMR</t>
        </is>
      </c>
      <c r="F31" s="215" t="inlineStr">
        <is>
          <t>UAP</t>
        </is>
      </c>
      <c r="G31" s="216" t="inlineStr">
        <is>
          <t>NET</t>
        </is>
      </c>
      <c r="H31" s="183" t="n"/>
      <c r="I31" s="183" t="n"/>
      <c r="J31" s="183" t="n"/>
      <c r="K31" s="302" t="n"/>
      <c r="L31" s="302" t="n"/>
      <c r="M31" s="302" t="n"/>
      <c r="N31" s="302" t="n"/>
      <c r="O31" s="302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24.75" customFormat="1" customHeight="1" s="2">
      <c r="A32" s="369" t="n"/>
      <c r="B32" s="217" t="inlineStr">
        <is>
          <t>2BD</t>
        </is>
      </c>
      <c r="C32" s="197" t="n">
        <v>0</v>
      </c>
      <c r="D32" s="197" t="n">
        <v>2486</v>
      </c>
      <c r="E32" s="198" t="n">
        <v>2370</v>
      </c>
      <c r="F32" s="199" t="n">
        <v>146</v>
      </c>
      <c r="G32" s="218" t="n">
        <v>2224</v>
      </c>
      <c r="H32" s="183" t="n"/>
      <c r="I32" s="183" t="n"/>
      <c r="J32" s="183" t="n"/>
      <c r="K32" s="302" t="n"/>
      <c r="L32" s="302" t="n"/>
      <c r="M32" s="302" t="n"/>
      <c r="N32" s="302" t="n"/>
      <c r="O32" s="343" t="n"/>
      <c r="P32" s="302" t="n"/>
      <c r="Q32" s="302" t="n"/>
      <c r="R32" s="302" t="n"/>
      <c r="S32" s="302" t="n"/>
      <c r="T32" s="302" t="n"/>
      <c r="U32" s="302" t="n"/>
      <c r="V32" s="302" t="n"/>
      <c r="W32" s="302" t="n"/>
      <c r="X32" s="302" t="n"/>
      <c r="Y32" s="302" t="n"/>
      <c r="Z32" s="302" t="n"/>
      <c r="AA32" s="353" t="n"/>
      <c r="AB32" s="302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24.75" customFormat="1" customHeight="1" s="2">
      <c r="A33" s="382" t="n"/>
      <c r="B33" s="217" t="inlineStr">
        <is>
          <t>3BD</t>
        </is>
      </c>
      <c r="C33" s="197" t="n">
        <v>0</v>
      </c>
      <c r="D33" s="197" t="n">
        <v>3465</v>
      </c>
      <c r="E33" s="198" t="n">
        <v>3210</v>
      </c>
      <c r="F33" s="199" t="n">
        <v>174</v>
      </c>
      <c r="G33" s="218" t="n">
        <v>3036</v>
      </c>
      <c r="H33" s="183" t="n"/>
      <c r="I33" s="183" t="n"/>
      <c r="J33" s="183" t="n"/>
      <c r="K33" s="302" t="n"/>
      <c r="L33" s="302" t="n"/>
      <c r="M33" s="302" t="n"/>
      <c r="N33" s="302" t="n"/>
      <c r="O33" s="343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24.75" customFormat="1" customHeight="1" s="2">
      <c r="A34" s="372" t="n"/>
      <c r="B34" s="217" t="inlineStr">
        <is>
          <t>4BD</t>
        </is>
      </c>
      <c r="C34" s="197" t="n">
        <v>0</v>
      </c>
      <c r="D34" s="197" t="n">
        <v>3982</v>
      </c>
      <c r="E34" s="198" t="n">
        <v>3710</v>
      </c>
      <c r="F34" s="199" t="n">
        <v>209</v>
      </c>
      <c r="G34" s="218" t="n">
        <v>3501</v>
      </c>
      <c r="H34" s="183" t="n"/>
      <c r="I34" s="183" t="n"/>
      <c r="J34" s="183" t="n"/>
      <c r="K34" s="302" t="n"/>
      <c r="L34" s="302" t="n"/>
      <c r="M34" s="302" t="n"/>
      <c r="N34" s="302" t="n"/>
      <c r="O34" s="343" t="n"/>
      <c r="P34" s="302" t="n"/>
      <c r="Q34" s="302" t="n"/>
      <c r="R34" s="302" t="n"/>
      <c r="S34" s="302" t="n"/>
      <c r="T34" s="302" t="n"/>
      <c r="U34" s="302" t="n"/>
      <c r="V34" s="302" t="n"/>
      <c r="W34" s="302" t="n"/>
      <c r="X34" s="302" t="n"/>
      <c r="Y34" s="302" t="n"/>
      <c r="Z34" s="302" t="n"/>
      <c r="AA34" s="353" t="n"/>
      <c r="AB34" s="302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8.1" customFormat="1" customHeight="1" s="2">
      <c r="A35" s="372" t="n"/>
      <c r="B35" s="398" t="inlineStr">
        <is>
          <t>5BD</t>
        </is>
      </c>
      <c r="C35" s="389" t="n">
        <v>0</v>
      </c>
      <c r="D35" s="389" t="n">
        <v>4579</v>
      </c>
      <c r="E35" s="390" t="n">
        <v>4267</v>
      </c>
      <c r="F35" s="411" t="n">
        <v>236</v>
      </c>
      <c r="G35" s="379" t="n">
        <v>4031</v>
      </c>
      <c r="H35" s="369" t="n"/>
      <c r="I35" s="369" t="n"/>
      <c r="J35" s="369" t="n"/>
      <c r="K35" s="369" t="n"/>
      <c r="L35" s="136" t="n"/>
      <c r="M35" s="136" t="n"/>
      <c r="N35" s="136" t="n"/>
      <c r="O35" s="136" t="n"/>
      <c r="P35" s="136" t="n"/>
      <c r="Q35" s="136" t="n"/>
      <c r="R35" s="136" t="n"/>
      <c r="S35" s="136" t="n"/>
      <c r="T35" s="136" t="n"/>
      <c r="U35" s="136" t="n"/>
      <c r="V35" s="136" t="n"/>
      <c r="W35" s="136" t="n"/>
      <c r="X35" s="136" t="n"/>
      <c r="Y35" s="136" t="n"/>
      <c r="Z35" s="136" t="n"/>
      <c r="AA35" s="136" t="n"/>
      <c r="AB35" s="136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8.1" customFormat="1" customHeight="1" s="2">
      <c r="A36" s="369" t="n"/>
      <c r="B36" s="371" t="n"/>
      <c r="C36" s="371" t="n"/>
      <c r="D36" s="371" t="n"/>
      <c r="E36" s="371" t="n"/>
      <c r="F36" s="371" t="n"/>
      <c r="G36" s="369" t="n"/>
      <c r="H36" s="369" t="n"/>
      <c r="I36" s="369" t="n"/>
      <c r="J36" s="369" t="n"/>
      <c r="K36" s="369" t="n"/>
      <c r="L36" s="134" t="n"/>
      <c r="M36" s="134" t="n"/>
      <c r="N36" s="134" t="n"/>
      <c r="O36" s="134" t="n"/>
      <c r="P36" s="134" t="n"/>
      <c r="Q36" s="134" t="n"/>
      <c r="R36" s="134" t="n"/>
      <c r="S36" s="134" t="n"/>
      <c r="T36" s="134" t="n"/>
      <c r="U36" s="134" t="n"/>
      <c r="V36" s="134" t="n"/>
      <c r="W36" s="134" t="n"/>
      <c r="X36" s="134" t="n"/>
      <c r="Y36" s="134" t="n"/>
      <c r="Z36" s="135" t="n"/>
      <c r="AA36" s="134" t="n"/>
      <c r="AB36" s="134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24.75" customFormat="1" customHeight="1" s="2">
      <c r="A37" s="302" t="n"/>
      <c r="B37" s="366" t="inlineStr">
        <is>
          <t>LIHTC, UAP, NET</t>
        </is>
      </c>
      <c r="C37" s="358" t="n"/>
      <c r="D37" s="358" t="n"/>
      <c r="E37" s="358" t="n"/>
      <c r="F37" s="358" t="n"/>
      <c r="G37" s="359" t="n"/>
      <c r="H37" s="183" t="n"/>
      <c r="I37" s="183" t="n"/>
      <c r="J37" s="183" t="n"/>
      <c r="K37" s="302" t="n"/>
      <c r="L37" s="302" t="n"/>
      <c r="M37" s="302" t="n"/>
      <c r="N37" s="302" t="n"/>
      <c r="O37" s="302" t="n"/>
      <c r="P37" s="302" t="n"/>
      <c r="Q37" s="302" t="n"/>
      <c r="R37" s="302" t="n"/>
      <c r="S37" s="302" t="n"/>
      <c r="T37" s="302" t="n"/>
      <c r="U37" s="302" t="n"/>
      <c r="V37" s="302" t="n"/>
      <c r="W37" s="302" t="n"/>
      <c r="X37" s="302" t="n"/>
      <c r="Y37" s="302" t="n"/>
      <c r="Z37" s="302" t="n"/>
      <c r="AA37" s="353" t="n"/>
      <c r="AB37" s="302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16.5" customFormat="1" customHeight="1" s="2">
      <c r="A38" s="372" t="n"/>
      <c r="B38" s="226" t="n"/>
      <c r="C38" s="228" t="inlineStr">
        <is>
          <t>LIHTC/MKT</t>
        </is>
      </c>
      <c r="D38" s="228" t="inlineStr">
        <is>
          <t>35%</t>
        </is>
      </c>
      <c r="E38" s="215" t="inlineStr">
        <is>
          <t>UAP</t>
        </is>
      </c>
      <c r="F38" s="216" t="inlineStr">
        <is>
          <t>NET</t>
        </is>
      </c>
      <c r="G38" s="183" t="n"/>
      <c r="H38" s="183" t="n"/>
      <c r="I38" s="183" t="n"/>
      <c r="J38" s="183" t="n"/>
      <c r="K38" s="302" t="n"/>
      <c r="L38" s="302" t="n"/>
      <c r="M38" s="302" t="n"/>
      <c r="N38" s="302" t="n"/>
      <c r="O38" s="343" t="n"/>
      <c r="P38" s="302" t="n"/>
      <c r="Q38" s="302" t="n"/>
      <c r="R38" s="302" t="n"/>
      <c r="S38" s="302" t="n"/>
      <c r="T38" s="302" t="n"/>
      <c r="U38" s="302" t="n"/>
      <c r="V38" s="302" t="n"/>
      <c r="W38" s="302" t="n"/>
      <c r="X38" s="302" t="n"/>
      <c r="Y38" s="302" t="n"/>
      <c r="Z38" s="302" t="n"/>
      <c r="AA38" s="353" t="n"/>
      <c r="AB38" s="302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24.75" customFormat="1" customHeight="1" s="2">
      <c r="A39" s="372" t="n"/>
      <c r="B39" s="224" t="inlineStr">
        <is>
          <t>2BD</t>
        </is>
      </c>
      <c r="C39" s="225" t="n">
        <v>1013</v>
      </c>
      <c r="D39" s="225" t="n">
        <v>867</v>
      </c>
      <c r="E39" s="225" t="n">
        <v>146</v>
      </c>
      <c r="F39" s="223" t="n">
        <v>721</v>
      </c>
      <c r="G39" s="183" t="n"/>
      <c r="H39" s="183" t="n"/>
      <c r="I39" s="183" t="n"/>
      <c r="J39" s="183" t="n"/>
      <c r="K39" s="302" t="n"/>
      <c r="L39" s="302" t="n"/>
      <c r="M39" s="302" t="n"/>
      <c r="N39" s="302" t="n"/>
      <c r="O39" s="343" t="n"/>
      <c r="P39" s="302" t="n"/>
      <c r="Q39" s="302" t="n"/>
      <c r="R39" s="302" t="n"/>
      <c r="S39" s="302" t="n"/>
      <c r="T39" s="302" t="n"/>
      <c r="U39" s="302" t="n"/>
      <c r="V39" s="302" t="n"/>
      <c r="W39" s="302" t="n"/>
      <c r="X39" s="302" t="n"/>
      <c r="Y39" s="302" t="n"/>
      <c r="Z39" s="302" t="n"/>
      <c r="AA39" s="353" t="n"/>
      <c r="AB39" s="302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ht="24.75" customFormat="1" customHeight="1" s="2">
      <c r="A40" s="372" t="n"/>
      <c r="B40" s="224" t="inlineStr">
        <is>
          <t>3BD</t>
        </is>
      </c>
      <c r="C40" s="225" t="n">
        <v>1170</v>
      </c>
      <c r="D40" s="225" t="n">
        <v>996</v>
      </c>
      <c r="E40" s="225" t="n">
        <v>174</v>
      </c>
      <c r="F40" s="223" t="n">
        <v>822</v>
      </c>
      <c r="G40" s="183" t="n"/>
      <c r="H40" s="183" t="n"/>
      <c r="I40" s="183" t="n"/>
      <c r="J40" s="183" t="n"/>
      <c r="K40" s="302" t="n"/>
      <c r="L40" s="302" t="n"/>
      <c r="M40" s="302" t="n"/>
      <c r="N40" s="302" t="n"/>
      <c r="O40" s="343" t="n"/>
      <c r="P40" s="302" t="n"/>
      <c r="Q40" s="302" t="n"/>
      <c r="R40" s="302" t="n"/>
      <c r="S40" s="302" t="n"/>
      <c r="T40" s="302" t="n"/>
      <c r="U40" s="302" t="n"/>
      <c r="V40" s="302" t="n"/>
      <c r="W40" s="302" t="n"/>
      <c r="X40" s="302" t="n"/>
      <c r="Y40" s="302" t="n"/>
      <c r="Z40" s="302" t="n"/>
      <c r="AA40" s="353" t="n"/>
      <c r="AB40" s="302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ht="24.75" customFormat="1" customHeight="1" s="2">
      <c r="A41" s="369" t="n"/>
      <c r="B41" s="224" t="inlineStr">
        <is>
          <t>4BD</t>
        </is>
      </c>
      <c r="C41" s="225" t="n">
        <v>1305</v>
      </c>
      <c r="D41" s="225" t="n">
        <v>1096</v>
      </c>
      <c r="E41" s="225" t="n">
        <v>209</v>
      </c>
      <c r="F41" s="223" t="n">
        <v>887</v>
      </c>
      <c r="G41" s="183" t="n"/>
      <c r="H41" s="183" t="n"/>
      <c r="I41" s="183" t="n"/>
      <c r="J41" s="183" t="n"/>
      <c r="K41" s="302" t="n"/>
      <c r="L41" s="302" t="n"/>
      <c r="M41" s="302" t="n"/>
      <c r="N41" s="302" t="n"/>
      <c r="O41" s="343" t="n"/>
      <c r="P41" s="302" t="n"/>
      <c r="Q41" s="302" t="n"/>
      <c r="R41" s="302" t="n"/>
      <c r="S41" s="302" t="n"/>
      <c r="T41" s="302" t="n"/>
      <c r="U41" s="302" t="n"/>
      <c r="V41" s="302" t="n"/>
      <c r="W41" s="302" t="n"/>
      <c r="X41" s="302" t="n"/>
      <c r="Y41" s="302" t="n"/>
      <c r="Z41" s="302" t="n"/>
      <c r="AA41" s="353" t="n"/>
      <c r="AB41" s="302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ht="16.5" customFormat="1" customHeight="1" s="2">
      <c r="A42" s="369" t="n"/>
      <c r="B42" s="226" t="inlineStr">
        <is>
          <t>5BD</t>
        </is>
      </c>
      <c r="C42" s="228" t="n">
        <v>1440</v>
      </c>
      <c r="D42" s="228" t="n">
        <v>1204</v>
      </c>
      <c r="E42" s="215" t="n">
        <v>236</v>
      </c>
      <c r="F42" s="216" t="n">
        <v>968</v>
      </c>
      <c r="G42" s="183" t="n"/>
      <c r="H42" s="183" t="n"/>
      <c r="I42" s="183" t="n"/>
      <c r="J42" s="183" t="n"/>
      <c r="K42" s="302" t="n"/>
      <c r="L42" s="302" t="n"/>
      <c r="M42" s="302" t="n"/>
      <c r="N42" s="302" t="n"/>
      <c r="O42" s="343" t="n"/>
      <c r="P42" s="302" t="n"/>
      <c r="Q42" s="302" t="n"/>
      <c r="R42" s="302" t="n"/>
      <c r="S42" s="302" t="n"/>
      <c r="T42" s="302" t="n"/>
      <c r="U42" s="302" t="n"/>
      <c r="V42" s="302" t="n"/>
      <c r="W42" s="302" t="n"/>
      <c r="X42" s="302" t="n"/>
      <c r="Y42" s="302" t="n"/>
      <c r="Z42" s="302" t="n"/>
      <c r="AA42" s="353" t="n"/>
      <c r="AB42" s="302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ht="18" customFormat="1" customHeight="1" s="2">
      <c r="A43" s="369" t="n"/>
      <c r="B43" s="381" t="n"/>
      <c r="C43" s="381" t="n"/>
      <c r="D43" s="381" t="n"/>
      <c r="E43" s="381" t="n"/>
      <c r="F43" s="369" t="n"/>
      <c r="G43" s="369" t="n"/>
      <c r="H43" s="369" t="n"/>
      <c r="I43" s="369" t="n"/>
      <c r="J43" s="369" t="n"/>
      <c r="K43" s="369" t="n"/>
      <c r="L43" s="136" t="n"/>
      <c r="M43" s="136" t="n"/>
      <c r="N43" s="136" t="n"/>
      <c r="O43" s="136" t="n"/>
      <c r="P43" s="136" t="n"/>
      <c r="Q43" s="136" t="n"/>
      <c r="R43" s="136" t="n"/>
      <c r="S43" s="136" t="n"/>
      <c r="T43" s="136" t="n"/>
      <c r="U43" s="136" t="n"/>
      <c r="V43" s="136" t="n"/>
      <c r="W43" s="136" t="n"/>
      <c r="X43" s="136" t="n"/>
      <c r="Y43" s="136" t="n"/>
      <c r="Z43" s="136" t="n"/>
      <c r="AA43" s="136" t="n"/>
      <c r="AB43" s="136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ht="18" customFormat="1" customHeight="1" s="2">
      <c r="A44" s="369" t="n"/>
      <c r="B44" s="381" t="n"/>
      <c r="C44" s="433" t="inlineStr">
        <is>
          <t>LIHTC/MKT</t>
        </is>
      </c>
      <c r="D44" s="433" t="inlineStr">
        <is>
          <t>50%</t>
        </is>
      </c>
      <c r="E44" s="434" t="inlineStr">
        <is>
          <t>UAP</t>
        </is>
      </c>
      <c r="F44" s="386" t="inlineStr">
        <is>
          <t>NET</t>
        </is>
      </c>
      <c r="G44" s="369" t="n"/>
      <c r="H44" s="369" t="n"/>
      <c r="I44" s="369" t="n"/>
      <c r="J44" s="369" t="n"/>
      <c r="K44" s="369" t="n"/>
      <c r="L44" s="136" t="n"/>
      <c r="M44" s="136" t="n"/>
      <c r="N44" s="136" t="n"/>
      <c r="O44" s="136" t="n"/>
      <c r="P44" s="136" t="n"/>
      <c r="Q44" s="136" t="n"/>
      <c r="R44" s="136" t="n"/>
      <c r="S44" s="136" t="n"/>
      <c r="T44" s="136" t="n"/>
      <c r="U44" s="136" t="n"/>
      <c r="V44" s="136" t="n"/>
      <c r="W44" s="136" t="n"/>
      <c r="X44" s="136" t="n"/>
      <c r="Y44" s="136" t="n"/>
      <c r="Z44" s="136" t="n"/>
      <c r="AA44" s="136" t="n"/>
      <c r="AB44" s="136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ht="24.75" customHeight="1" s="131">
      <c r="A45" s="369" t="n"/>
      <c r="B45" s="224" t="inlineStr">
        <is>
          <t>2BD</t>
        </is>
      </c>
      <c r="C45" s="225" t="n">
        <v>1447</v>
      </c>
      <c r="D45" s="225" t="n">
        <v>1301</v>
      </c>
      <c r="E45" s="225" t="n">
        <v>146</v>
      </c>
      <c r="F45" s="223" t="n">
        <v>1155</v>
      </c>
      <c r="G45" s="183" t="n"/>
      <c r="H45" s="183" t="n"/>
      <c r="I45" s="183" t="n"/>
      <c r="J45" s="183" t="n"/>
      <c r="K45" s="302" t="n"/>
      <c r="L45" s="302" t="n"/>
      <c r="M45" s="302" t="n"/>
      <c r="N45" s="302" t="n"/>
      <c r="O45" s="343" t="n"/>
      <c r="P45" s="302" t="n"/>
      <c r="Q45" s="302" t="n"/>
      <c r="R45" s="302" t="n"/>
      <c r="S45" s="302" t="n"/>
      <c r="T45" s="302" t="n"/>
      <c r="U45" s="302" t="n"/>
      <c r="V45" s="302" t="n"/>
      <c r="W45" s="302" t="n"/>
      <c r="X45" s="302" t="n"/>
      <c r="Y45" s="302" t="n"/>
      <c r="Z45" s="302" t="n"/>
      <c r="AA45" s="353" t="n"/>
      <c r="AB45" s="302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ht="24.75" customHeight="1" s="131">
      <c r="A46" s="369" t="n"/>
      <c r="B46" s="224" t="inlineStr">
        <is>
          <t>3BD</t>
        </is>
      </c>
      <c r="C46" s="225" t="n">
        <v>1671</v>
      </c>
      <c r="D46" s="225" t="n">
        <v>1497</v>
      </c>
      <c r="E46" s="225" t="n">
        <v>174</v>
      </c>
      <c r="F46" s="223" t="n">
        <v>1323</v>
      </c>
      <c r="G46" s="183" t="n"/>
      <c r="H46" s="183" t="n"/>
      <c r="I46" s="183" t="n"/>
      <c r="J46" s="183" t="n"/>
      <c r="K46" s="302" t="n"/>
      <c r="L46" s="302" t="n"/>
      <c r="M46" s="302" t="n"/>
      <c r="N46" s="302" t="n"/>
      <c r="O46" s="343" t="n"/>
      <c r="P46" s="302" t="n"/>
      <c r="Q46" s="302" t="n"/>
      <c r="R46" s="302" t="n"/>
      <c r="S46" s="302" t="n"/>
      <c r="T46" s="302" t="n"/>
      <c r="U46" s="302" t="n"/>
      <c r="V46" s="302" t="n"/>
      <c r="W46" s="302" t="n"/>
      <c r="X46" s="302" t="n"/>
      <c r="Y46" s="302" t="n"/>
      <c r="Z46" s="302" t="n"/>
      <c r="AA46" s="353" t="n"/>
      <c r="AB46" s="302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ht="24.75" customFormat="1" customHeight="1" s="2">
      <c r="A47" s="369" t="n"/>
      <c r="B47" s="224" t="inlineStr">
        <is>
          <t>4BD</t>
        </is>
      </c>
      <c r="C47" s="225" t="n">
        <v>1865</v>
      </c>
      <c r="D47" s="225" t="n">
        <v>1656</v>
      </c>
      <c r="E47" s="225" t="n">
        <v>209</v>
      </c>
      <c r="F47" s="223" t="n">
        <v>1447</v>
      </c>
      <c r="G47" s="183" t="n"/>
      <c r="H47" s="183" t="n"/>
      <c r="I47" s="183" t="n"/>
      <c r="J47" s="183" t="n"/>
      <c r="K47" s="302" t="n"/>
      <c r="L47" s="302" t="n"/>
      <c r="M47" s="302" t="n"/>
      <c r="N47" s="302" t="n"/>
      <c r="O47" s="343" t="n"/>
      <c r="P47" s="302" t="n"/>
      <c r="Q47" s="302" t="n"/>
      <c r="R47" s="302" t="n"/>
      <c r="S47" s="302" t="n"/>
      <c r="T47" s="302" t="n"/>
      <c r="U47" s="302" t="n"/>
      <c r="V47" s="302" t="n"/>
      <c r="W47" s="302" t="n"/>
      <c r="X47" s="302" t="n"/>
      <c r="Y47" s="302" t="n"/>
      <c r="Z47" s="302" t="n"/>
      <c r="AA47" s="353" t="n"/>
      <c r="AB47" s="302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ht="16.5" customFormat="1" customHeight="1" s="2">
      <c r="A48" s="369" t="n"/>
      <c r="B48" s="226" t="inlineStr">
        <is>
          <t>5BD</t>
        </is>
      </c>
      <c r="C48" s="228" t="n">
        <v>2058</v>
      </c>
      <c r="D48" s="228" t="n">
        <v>1822</v>
      </c>
      <c r="E48" s="215" t="n">
        <v>236</v>
      </c>
      <c r="F48" s="216" t="n">
        <v>1586</v>
      </c>
      <c r="G48" s="183" t="n"/>
      <c r="H48" s="183" t="n"/>
      <c r="I48" s="183" t="n"/>
      <c r="J48" s="183" t="n"/>
      <c r="K48" s="302" t="n"/>
      <c r="L48" s="302" t="n"/>
      <c r="M48" s="302" t="n"/>
      <c r="N48" s="302" t="n"/>
      <c r="O48" s="343" t="n"/>
      <c r="P48" s="302" t="n"/>
      <c r="Q48" s="302" t="n"/>
      <c r="R48" s="302" t="n"/>
      <c r="S48" s="302" t="n"/>
      <c r="T48" s="302" t="n"/>
      <c r="U48" s="302" t="n"/>
      <c r="V48" s="302" t="n"/>
      <c r="W48" s="302" t="n"/>
      <c r="X48" s="302" t="n"/>
      <c r="Y48" s="302" t="n"/>
      <c r="Z48" s="302" t="n"/>
      <c r="AA48" s="353" t="n"/>
      <c r="AB48" s="302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ht="18" customFormat="1" customHeight="1" s="2">
      <c r="A49" s="369" t="n"/>
      <c r="B49" s="381" t="n"/>
      <c r="C49" s="381" t="n"/>
      <c r="D49" s="381" t="n"/>
      <c r="E49" s="381" t="n"/>
      <c r="F49" s="369" t="n"/>
      <c r="G49" s="369" t="n"/>
      <c r="H49" s="369" t="n"/>
      <c r="I49" s="369" t="n"/>
      <c r="J49" s="369" t="n"/>
      <c r="K49" s="369" t="n"/>
      <c r="L49" s="136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6" t="n"/>
      <c r="Y49" s="136" t="n"/>
      <c r="Z49" s="136" t="n"/>
      <c r="AA49" s="136" t="n"/>
      <c r="AB49" s="136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ht="18" customFormat="1" customHeight="1" s="2">
      <c r="A50" s="372" t="n"/>
      <c r="B50" s="392" t="n"/>
      <c r="C50" s="472" t="inlineStr">
        <is>
          <t>LIHTC/MKT</t>
        </is>
      </c>
      <c r="D50" s="472" t="inlineStr">
        <is>
          <t>55%</t>
        </is>
      </c>
      <c r="E50" s="409" t="inlineStr">
        <is>
          <t>UAP</t>
        </is>
      </c>
      <c r="F50" s="386" t="inlineStr">
        <is>
          <t>NET</t>
        </is>
      </c>
      <c r="G50" s="369" t="n"/>
      <c r="H50" s="369" t="n"/>
      <c r="I50" s="369" t="n"/>
      <c r="J50" s="369" t="n"/>
      <c r="K50" s="369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  <row r="51" ht="24.75" customFormat="1" customHeight="1" s="2">
      <c r="A51" s="13" t="n"/>
      <c r="B51" s="224" t="inlineStr">
        <is>
          <t>3BD</t>
        </is>
      </c>
      <c r="C51" s="225" t="n">
        <v>1839</v>
      </c>
      <c r="D51" s="225" t="n">
        <v>1665</v>
      </c>
      <c r="E51" s="225" t="n">
        <v>174</v>
      </c>
      <c r="F51" s="223" t="n">
        <v>1491</v>
      </c>
      <c r="G51" s="183" t="n"/>
      <c r="H51" s="183" t="n"/>
      <c r="I51" s="183" t="n"/>
      <c r="J51" s="183" t="n"/>
      <c r="K51" s="302" t="n"/>
      <c r="L51" s="302" t="n"/>
      <c r="M51" s="302" t="n"/>
      <c r="N51" s="302" t="n"/>
      <c r="O51" s="343" t="n"/>
      <c r="P51" s="302" t="n"/>
      <c r="Q51" s="302" t="n"/>
      <c r="R51" s="302" t="n"/>
      <c r="S51" s="302" t="n"/>
      <c r="T51" s="302" t="n"/>
      <c r="U51" s="302" t="n"/>
      <c r="V51" s="302" t="n"/>
      <c r="W51" s="302" t="n"/>
      <c r="X51" s="302" t="n"/>
      <c r="Y51" s="302" t="n"/>
      <c r="Z51" s="302" t="n"/>
      <c r="AA51" s="353" t="n"/>
      <c r="AB51" s="302" t="n"/>
      <c r="AC51" s="343" t="n"/>
      <c r="AD51" s="343" t="n"/>
      <c r="AE51" s="343" t="n"/>
      <c r="AF51" s="343" t="n"/>
      <c r="AG51" s="343" t="n"/>
      <c r="AH51" s="343" t="n"/>
      <c r="AI51" s="343" t="n"/>
      <c r="AJ51" s="343" t="n"/>
      <c r="AK51" s="343" t="n"/>
      <c r="AL51" s="343" t="n"/>
      <c r="AM51" s="343" t="n"/>
      <c r="AN51" s="343" t="n"/>
      <c r="AO51" s="343" t="n"/>
      <c r="AP51" s="343" t="n"/>
      <c r="AQ51" s="343" t="n"/>
      <c r="AR51" s="343" t="n"/>
      <c r="AS51" s="343" t="n"/>
      <c r="AT51" s="343" t="n"/>
      <c r="AU51" s="343" t="n"/>
      <c r="AV51" s="343" t="n"/>
      <c r="AW51" s="343" t="n"/>
    </row>
    <row r="52" ht="24.75" customFormat="1" customHeight="1" s="2">
      <c r="A52" s="188" t="inlineStr">
        <is>
          <t>HAP, CoStar, NET</t>
        </is>
      </c>
      <c r="B52" s="224" t="inlineStr">
        <is>
          <t>4BD</t>
        </is>
      </c>
      <c r="C52" s="225" t="n">
        <v>2051</v>
      </c>
      <c r="D52" s="225" t="n">
        <v>1842</v>
      </c>
      <c r="E52" s="225" t="n">
        <v>209</v>
      </c>
      <c r="F52" s="223" t="n">
        <v>1633</v>
      </c>
      <c r="G52" s="183" t="n"/>
      <c r="H52" s="183" t="n"/>
      <c r="I52" s="183" t="n"/>
      <c r="J52" s="183" t="n"/>
      <c r="K52" s="302" t="n"/>
      <c r="L52" s="302" t="n"/>
      <c r="M52" s="302" t="n"/>
      <c r="N52" s="302" t="n"/>
      <c r="O52" s="343" t="n"/>
      <c r="P52" s="302" t="n"/>
      <c r="Q52" s="302" t="n"/>
      <c r="R52" s="302" t="n"/>
      <c r="S52" s="302" t="n"/>
      <c r="T52" s="302" t="n"/>
      <c r="U52" s="302" t="n"/>
      <c r="V52" s="302" t="n"/>
      <c r="W52" s="302" t="n"/>
      <c r="X52" s="302" t="n"/>
      <c r="Y52" s="302" t="n"/>
      <c r="Z52" s="302" t="n"/>
      <c r="AA52" s="353" t="n"/>
      <c r="AB52" s="302" t="n"/>
      <c r="AC52" s="343" t="n"/>
      <c r="AD52" s="343" t="n"/>
      <c r="AE52" s="343" t="n"/>
      <c r="AF52" s="343" t="n"/>
      <c r="AG52" s="343" t="n"/>
      <c r="AH52" s="343" t="n"/>
      <c r="AI52" s="343" t="n"/>
      <c r="AJ52" s="343" t="n"/>
      <c r="AK52" s="343" t="n"/>
      <c r="AL52" s="343" t="n"/>
      <c r="AM52" s="343" t="n"/>
      <c r="AN52" s="343" t="n"/>
      <c r="AO52" s="343" t="n"/>
      <c r="AP52" s="343" t="n"/>
      <c r="AQ52" s="343" t="n"/>
      <c r="AR52" s="343" t="n"/>
      <c r="AS52" s="343" t="n"/>
      <c r="AT52" s="343" t="n"/>
      <c r="AU52" s="343" t="n"/>
      <c r="AV52" s="343" t="n"/>
      <c r="AW52" s="343" t="n"/>
    </row>
    <row r="53" ht="16.5" customHeight="1" s="131">
      <c r="A53" s="184" t="inlineStr">
        <is>
          <t>BD</t>
        </is>
      </c>
      <c r="B53" s="226" t="inlineStr">
        <is>
          <t>5BD</t>
        </is>
      </c>
      <c r="C53" s="228" t="n">
        <v>2263</v>
      </c>
      <c r="D53" s="228" t="n">
        <v>2227</v>
      </c>
      <c r="E53" s="215" t="n">
        <v>236</v>
      </c>
      <c r="F53" s="216" t="n">
        <v>1991</v>
      </c>
      <c r="G53" s="183" t="n"/>
      <c r="H53" s="183" t="n"/>
      <c r="I53" s="183" t="n"/>
      <c r="J53" s="183" t="n"/>
      <c r="K53" s="302" t="n"/>
      <c r="L53" s="302" t="n"/>
      <c r="M53" s="302" t="n"/>
      <c r="N53" s="302" t="n"/>
      <c r="O53" s="343" t="n"/>
      <c r="P53" s="302" t="n"/>
      <c r="Q53" s="302" t="n"/>
      <c r="R53" s="302" t="n"/>
      <c r="S53" s="302" t="n"/>
      <c r="T53" s="302" t="n"/>
      <c r="U53" s="302" t="n"/>
      <c r="V53" s="302" t="n"/>
      <c r="W53" s="302" t="n"/>
      <c r="X53" s="302" t="n"/>
      <c r="Y53" s="302" t="n"/>
      <c r="Z53" s="302" t="n"/>
      <c r="AA53" s="353" t="n"/>
      <c r="AB53" s="302" t="n"/>
      <c r="AC53" s="343" t="n"/>
      <c r="AD53" s="343" t="n"/>
      <c r="AE53" s="343" t="n"/>
      <c r="AF53" s="343" t="n"/>
      <c r="AG53" s="343" t="n"/>
      <c r="AH53" s="343" t="n"/>
      <c r="AI53" s="343" t="n"/>
      <c r="AJ53" s="343" t="n"/>
      <c r="AK53" s="343" t="n"/>
      <c r="AL53" s="343" t="n"/>
      <c r="AM53" s="343" t="n"/>
      <c r="AN53" s="343" t="n"/>
      <c r="AO53" s="343" t="n"/>
      <c r="AP53" s="343" t="n"/>
      <c r="AQ53" s="343" t="n"/>
      <c r="AR53" s="343" t="n"/>
      <c r="AS53" s="343" t="n"/>
      <c r="AT53" s="343" t="n"/>
      <c r="AU53" s="343" t="n"/>
      <c r="AV53" s="343" t="n"/>
      <c r="AW53" s="343" t="n"/>
    </row>
    <row r="54" ht="18" customHeight="1" s="131">
      <c r="A54" s="187" t="inlineStr">
        <is>
          <t>2BD</t>
        </is>
      </c>
      <c r="B54" s="24" t="n"/>
      <c r="C54" s="25" t="n">
        <v>2087</v>
      </c>
      <c r="D54" s="343" t="n"/>
      <c r="E54" s="343" t="n"/>
      <c r="F54" s="343" t="n"/>
      <c r="G54" s="343" t="n"/>
      <c r="H54" s="343" t="n"/>
      <c r="I54" s="343" t="n"/>
      <c r="J54" s="343" t="n"/>
      <c r="K54" s="343" t="n"/>
      <c r="L54" s="343" t="n"/>
      <c r="M54" s="343" t="n"/>
      <c r="N54" s="343" t="n"/>
      <c r="O54" s="343" t="n"/>
      <c r="P54" s="343" t="n"/>
      <c r="Q54" s="343" t="n"/>
      <c r="R54" s="343" t="n"/>
      <c r="S54" s="343" t="n"/>
      <c r="T54" s="343" t="n"/>
      <c r="U54" s="343" t="n"/>
      <c r="V54" s="343" t="n"/>
      <c r="W54" s="343" t="n"/>
      <c r="X54" s="343" t="n"/>
      <c r="Y54" s="343" t="n"/>
      <c r="Z54" s="343" t="n"/>
      <c r="AA54" s="343" t="n"/>
      <c r="AB54" s="343" t="n"/>
      <c r="AC54" s="343" t="n"/>
      <c r="AD54" s="343" t="n"/>
      <c r="AE54" s="343" t="n"/>
      <c r="AF54" s="343" t="n"/>
      <c r="AG54" s="343" t="n"/>
      <c r="AH54" s="343" t="n"/>
      <c r="AI54" s="343" t="n"/>
      <c r="AJ54" s="343" t="n"/>
      <c r="AK54" s="343" t="n"/>
      <c r="AL54" s="343" t="n"/>
      <c r="AM54" s="343" t="n"/>
      <c r="AN54" s="343" t="n"/>
      <c r="AO54" s="343" t="n"/>
      <c r="AP54" s="343" t="n"/>
      <c r="AQ54" s="343" t="n"/>
      <c r="AR54" s="343" t="n"/>
      <c r="AS54" s="343" t="n"/>
      <c r="AT54" s="343" t="n"/>
      <c r="AU54" s="343" t="n"/>
      <c r="AV54" s="343" t="n"/>
      <c r="AW54" s="343" t="n"/>
    </row>
    <row r="55" ht="18" customHeight="1" s="131">
      <c r="A55" s="187" t="inlineStr">
        <is>
          <t>3BD</t>
        </is>
      </c>
      <c r="B55" s="24" t="n"/>
      <c r="C55" s="35" t="n">
        <v>2427</v>
      </c>
      <c r="D55" s="343" t="n"/>
      <c r="E55" s="343" t="n"/>
      <c r="F55" s="343" t="n"/>
      <c r="G55" s="343" t="n"/>
      <c r="H55" s="343" t="n"/>
      <c r="I55" s="343" t="n"/>
      <c r="J55" s="343" t="n"/>
      <c r="K55" s="343" t="n"/>
      <c r="L55" s="343" t="n"/>
      <c r="M55" s="343" t="n"/>
      <c r="N55" s="343" t="n"/>
      <c r="O55" s="343" t="n"/>
      <c r="P55" s="343" t="n"/>
      <c r="Q55" s="343" t="n"/>
      <c r="R55" s="343" t="n"/>
      <c r="S55" s="343" t="n"/>
      <c r="T55" s="343" t="n"/>
      <c r="U55" s="343" t="n"/>
      <c r="V55" s="343" t="n"/>
      <c r="W55" s="343" t="n"/>
      <c r="X55" s="343" t="n"/>
      <c r="Y55" s="343" t="n"/>
      <c r="Z55" s="343" t="n"/>
      <c r="AA55" s="343" t="n"/>
      <c r="AB55" s="343" t="n"/>
      <c r="AC55" s="343" t="n"/>
      <c r="AD55" s="343" t="n"/>
      <c r="AE55" s="343" t="n"/>
      <c r="AF55" s="343" t="n"/>
      <c r="AG55" s="343" t="n"/>
      <c r="AH55" s="343" t="n"/>
      <c r="AI55" s="343" t="n"/>
      <c r="AJ55" s="343" t="n"/>
      <c r="AK55" s="343" t="n"/>
      <c r="AL55" s="343" t="n"/>
      <c r="AM55" s="343" t="n"/>
      <c r="AN55" s="343" t="n"/>
      <c r="AO55" s="343" t="n"/>
      <c r="AP55" s="343" t="n"/>
      <c r="AQ55" s="343" t="n"/>
      <c r="AR55" s="343" t="n"/>
      <c r="AS55" s="343" t="n"/>
      <c r="AT55" s="343" t="n"/>
      <c r="AU55" s="343" t="n"/>
      <c r="AV55" s="343" t="n"/>
      <c r="AW55" s="343" t="n"/>
    </row>
    <row r="56" ht="24.75" customHeight="1" s="131">
      <c r="A56" s="302" t="inlineStr">
        <is>
          <t>4BD</t>
        </is>
      </c>
      <c r="B56" s="207" t="inlineStr">
        <is>
          <t>HAP, CoStar, NET</t>
        </is>
      </c>
      <c r="H56" s="183" t="n"/>
      <c r="I56" s="183" t="n"/>
      <c r="J56" s="183" t="n"/>
      <c r="K56" s="302" t="n"/>
      <c r="L56" s="302" t="n"/>
      <c r="M56" s="302" t="n"/>
      <c r="N56" s="302" t="n"/>
      <c r="O56" s="302" t="n"/>
      <c r="P56" s="302" t="n"/>
      <c r="Q56" s="302" t="n"/>
      <c r="R56" s="302" t="n"/>
      <c r="S56" s="302" t="n"/>
      <c r="T56" s="302" t="n"/>
      <c r="U56" s="302" t="n"/>
      <c r="V56" s="302" t="n"/>
      <c r="W56" s="302" t="n"/>
      <c r="X56" s="302" t="n"/>
      <c r="Y56" s="302" t="n"/>
      <c r="Z56" s="302" t="n"/>
      <c r="AA56" s="353" t="n"/>
      <c r="AB56" s="302" t="n"/>
      <c r="AC56" s="343" t="n"/>
      <c r="AD56" s="343" t="n"/>
      <c r="AE56" s="343" t="n"/>
      <c r="AF56" s="343" t="n"/>
      <c r="AG56" s="343" t="n"/>
      <c r="AH56" s="343" t="n"/>
      <c r="AI56" s="343" t="n"/>
      <c r="AJ56" s="343" t="n"/>
      <c r="AK56" s="343" t="n"/>
      <c r="AL56" s="343" t="n"/>
      <c r="AM56" s="343" t="n"/>
      <c r="AN56" s="343" t="n"/>
      <c r="AO56" s="343" t="n"/>
      <c r="AP56" s="343" t="n"/>
      <c r="AQ56" s="343" t="n"/>
      <c r="AR56" s="343" t="n"/>
      <c r="AS56" s="343" t="n"/>
      <c r="AT56" s="343" t="n"/>
      <c r="AU56" s="343" t="n"/>
      <c r="AV56" s="343" t="n"/>
      <c r="AW56" s="343" t="n"/>
    </row>
    <row r="57" ht="15.95" customHeight="1" s="131">
      <c r="A57" s="302" t="inlineStr">
        <is>
          <t>5BD</t>
        </is>
      </c>
      <c r="B57" s="227" t="n"/>
      <c r="C57" s="208" t="inlineStr">
        <is>
          <t>HAP</t>
        </is>
      </c>
      <c r="D57" s="209" t="inlineStr">
        <is>
          <t>CoStar</t>
        </is>
      </c>
      <c r="E57" s="302" t="n"/>
      <c r="F57" s="302" t="n"/>
      <c r="G57" s="302" t="n"/>
      <c r="H57" s="183" t="n"/>
      <c r="I57" s="183" t="n"/>
      <c r="J57" s="183" t="n"/>
      <c r="K57" s="302" t="n"/>
      <c r="L57" s="302" t="n"/>
      <c r="M57" s="302" t="n"/>
      <c r="N57" s="302" t="n"/>
      <c r="O57" s="302" t="n"/>
      <c r="P57" s="302" t="n"/>
      <c r="Q57" s="302" t="n"/>
      <c r="R57" s="302" t="n"/>
      <c r="S57" s="302" t="n"/>
      <c r="T57" s="302" t="n"/>
      <c r="U57" s="302" t="n"/>
      <c r="V57" s="302" t="n"/>
      <c r="W57" s="302" t="n"/>
      <c r="X57" s="302" t="n"/>
      <c r="Y57" s="302" t="n"/>
      <c r="Z57" s="302" t="n"/>
      <c r="AA57" s="353" t="n"/>
      <c r="AB57" s="302" t="n"/>
      <c r="AC57" s="343" t="n"/>
      <c r="AD57" s="343" t="n"/>
      <c r="AE57" s="343" t="n"/>
      <c r="AF57" s="343" t="n"/>
      <c r="AG57" s="343" t="n"/>
      <c r="AH57" s="343" t="n"/>
      <c r="AI57" s="343" t="n"/>
      <c r="AJ57" s="343" t="n"/>
      <c r="AK57" s="343" t="n"/>
      <c r="AL57" s="343" t="n"/>
      <c r="AM57" s="343" t="n"/>
      <c r="AN57" s="343" t="n"/>
      <c r="AO57" s="343" t="n"/>
      <c r="AP57" s="343" t="n"/>
      <c r="AQ57" s="343" t="n"/>
      <c r="AR57" s="343" t="n"/>
      <c r="AS57" s="343" t="n"/>
      <c r="AT57" s="343" t="n"/>
      <c r="AU57" s="343" t="n"/>
      <c r="AV57" s="343" t="n"/>
      <c r="AW57" s="343" t="n"/>
    </row>
    <row r="58" ht="24.75" customHeight="1" s="131">
      <c r="A58" s="302" t="n"/>
      <c r="B58" s="196" t="inlineStr">
        <is>
          <t>2BD</t>
        </is>
      </c>
      <c r="C58" s="199" t="n">
        <v>0</v>
      </c>
      <c r="D58" s="198" t="n">
        <v>2087</v>
      </c>
      <c r="E58" s="183" t="n"/>
      <c r="F58" s="183" t="n"/>
      <c r="G58" s="183" t="n"/>
      <c r="H58" s="183" t="n"/>
      <c r="I58" s="183" t="n"/>
      <c r="J58" s="183" t="n"/>
      <c r="K58" s="302" t="n"/>
      <c r="L58" s="302" t="n"/>
      <c r="M58" s="302" t="n"/>
      <c r="N58" s="302" t="n"/>
      <c r="O58" s="302" t="n"/>
      <c r="P58" s="302" t="n"/>
      <c r="Q58" s="302" t="n"/>
      <c r="R58" s="302" t="n"/>
      <c r="S58" s="302" t="n"/>
      <c r="T58" s="302" t="n"/>
      <c r="U58" s="302" t="n"/>
      <c r="V58" s="302" t="n"/>
      <c r="W58" s="302" t="n"/>
      <c r="X58" s="302" t="n"/>
      <c r="Y58" s="302" t="n"/>
      <c r="Z58" s="302" t="n"/>
      <c r="AA58" s="353" t="n"/>
      <c r="AB58" s="302" t="n"/>
    </row>
    <row r="59" ht="24.75" customHeight="1" s="131">
      <c r="A59" s="302" t="n"/>
      <c r="B59" s="196" t="inlineStr">
        <is>
          <t>3BD</t>
        </is>
      </c>
      <c r="C59" s="199" t="n">
        <v>0</v>
      </c>
      <c r="D59" s="198" t="n">
        <v>2427</v>
      </c>
      <c r="E59" s="183" t="n"/>
      <c r="F59" s="183" t="n"/>
      <c r="G59" s="183" t="n"/>
      <c r="H59" s="183" t="n"/>
      <c r="I59" s="183" t="n"/>
      <c r="J59" s="183" t="n"/>
      <c r="K59" s="302" t="n"/>
      <c r="L59" s="302" t="n"/>
      <c r="M59" s="302" t="n"/>
      <c r="N59" s="302" t="n"/>
      <c r="O59" s="302" t="n"/>
      <c r="P59" s="302" t="n"/>
      <c r="Q59" s="302" t="n"/>
      <c r="R59" s="302" t="n"/>
      <c r="S59" s="302" t="n"/>
      <c r="T59" s="302" t="n"/>
      <c r="U59" s="302" t="n"/>
      <c r="V59" s="302" t="n"/>
      <c r="W59" s="302" t="n"/>
      <c r="X59" s="302" t="n"/>
      <c r="Y59" s="302" t="n"/>
      <c r="Z59" s="302" t="n"/>
      <c r="AA59" s="353" t="n"/>
      <c r="AB59" s="302" t="n"/>
    </row>
    <row r="60" ht="24.75" customHeight="1" s="131">
      <c r="A60" s="302" t="n"/>
      <c r="B60" s="196" t="inlineStr">
        <is>
          <t>4BD</t>
        </is>
      </c>
      <c r="C60" s="199" t="n">
        <v>0</v>
      </c>
      <c r="D60" s="198" t="n">
        <v>2335</v>
      </c>
      <c r="E60" s="183" t="n"/>
      <c r="F60" s="183" t="n"/>
      <c r="G60" s="183" t="n"/>
      <c r="H60" s="183" t="n"/>
      <c r="I60" s="183" t="n"/>
      <c r="J60" s="183" t="n"/>
      <c r="K60" s="302" t="n"/>
      <c r="L60" s="302" t="n"/>
      <c r="M60" s="302" t="n"/>
      <c r="N60" s="302" t="n"/>
      <c r="O60" s="302" t="n"/>
      <c r="P60" s="302" t="n"/>
      <c r="Q60" s="302" t="n"/>
      <c r="R60" s="302" t="n"/>
      <c r="S60" s="302" t="n"/>
      <c r="T60" s="302" t="n"/>
      <c r="U60" s="302" t="n"/>
      <c r="V60" s="302" t="n"/>
      <c r="W60" s="302" t="n"/>
      <c r="X60" s="302" t="n"/>
      <c r="Y60" s="302" t="n"/>
      <c r="Z60" s="302" t="n"/>
      <c r="AA60" s="353" t="n"/>
      <c r="AB60" s="302" t="n"/>
    </row>
    <row r="61" ht="24.75" customHeight="1" s="131">
      <c r="B61" s="466" t="inlineStr">
        <is>
          <t>5BD</t>
        </is>
      </c>
      <c r="C61" s="467" t="n">
        <v>0</v>
      </c>
      <c r="D61" s="468" t="n">
        <v>2601</v>
      </c>
    </row>
  </sheetData>
  <mergeCells count="9">
    <mergeCell ref="B4:AB4"/>
    <mergeCell ref="B22:G22"/>
    <mergeCell ref="B37:G37"/>
    <mergeCell ref="B23:G23"/>
    <mergeCell ref="B20:I20"/>
    <mergeCell ref="B2:AB2"/>
    <mergeCell ref="B3:AB3"/>
    <mergeCell ref="B56:G56"/>
    <mergeCell ref="B30:G30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W56"/>
  <sheetViews>
    <sheetView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SILVER SPRINGS TERRACE | GREEN = Affordable Comps | BLUE = Market Rate Comps</t>
        </is>
      </c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Silver Springs Terrace | 950 NE 20th Street, Hickory, NC 28601 | 100 units | Program: Layered HUD/LIHTC | Bedroom Mix: 1BR / 2BR / 3BR / 4BR | County AMI: $77,600 | FMR Area: Hickory-Lenoir-Morganton MSA</t>
        </is>
      </c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1BD 50% AMI ($)</t>
        </is>
      </c>
      <c r="J6" s="280" t="inlineStr">
        <is>
          <t>1BD 60% AMI ($)</t>
        </is>
      </c>
      <c r="K6" s="280" t="inlineStr">
        <is>
          <t>1BR FMR ($)</t>
        </is>
      </c>
      <c r="L6" s="335" t="inlineStr">
        <is>
          <t>1BR Actual ($)</t>
        </is>
      </c>
      <c r="M6" s="281" t="inlineStr">
        <is>
          <t>2BD 50% AMI ($)</t>
        </is>
      </c>
      <c r="N6" s="280" t="inlineStr">
        <is>
          <t>2BD 60% AMI ($)</t>
        </is>
      </c>
      <c r="O6" s="280" t="inlineStr">
        <is>
          <t>2BR FMR ($)</t>
        </is>
      </c>
      <c r="P6" s="335" t="inlineStr">
        <is>
          <t>2BR Actual ($)</t>
        </is>
      </c>
      <c r="Q6" s="281" t="inlineStr">
        <is>
          <t>3BD 50% AMI ($)</t>
        </is>
      </c>
      <c r="R6" s="280" t="inlineStr">
        <is>
          <t>3BD 60% AMI ($)</t>
        </is>
      </c>
      <c r="S6" s="280" t="inlineStr">
        <is>
          <t>3BR FMR ($)</t>
        </is>
      </c>
      <c r="T6" s="339" t="inlineStr">
        <is>
          <t>3BR Actual ($)</t>
        </is>
      </c>
      <c r="U6" s="339" t="inlineStr">
        <is>
          <t>4BD 50% AMI ($)</t>
        </is>
      </c>
      <c r="V6" s="339" t="inlineStr">
        <is>
          <t>4BD 60% AMI ($)</t>
        </is>
      </c>
      <c r="W6" s="339" t="inlineStr">
        <is>
          <t>4BR FMR ($)</t>
        </is>
      </c>
      <c r="X6" s="339" t="inlineStr">
        <is>
          <t>4BR Actual ($)</t>
        </is>
      </c>
      <c r="Y6" s="339" t="inlineStr">
        <is>
          <t># Units</t>
        </is>
      </c>
      <c r="Z6" s="336" t="inlineStr">
        <is>
          <t>Year Built</t>
        </is>
      </c>
      <c r="AA6" s="340" t="inlineStr">
        <is>
          <t>Yr Diff</t>
        </is>
      </c>
      <c r="AB6" s="342" t="inlineStr">
        <is>
          <t>Utilities Incl.</t>
        </is>
      </c>
      <c r="AC6" s="136" t="inlineStr">
        <is>
          <t>Pet Friendly</t>
        </is>
      </c>
      <c r="AD6" s="136" t="inlineStr">
        <is>
          <t>Gated</t>
        </is>
      </c>
      <c r="AE6" s="136" t="inlineStr">
        <is>
          <t>Pool</t>
        </is>
      </c>
      <c r="AF6" s="136" t="inlineStr">
        <is>
          <t>W/D In-Unit</t>
        </is>
      </c>
      <c r="AG6" s="136" t="inlineStr">
        <is>
          <t>Competition Level</t>
        </is>
      </c>
      <c r="AH6" s="136" t="inlineStr">
        <is>
          <t>Why Competitive</t>
        </is>
      </c>
      <c r="AI6" s="136" t="inlineStr">
        <is>
          <t>Data Source</t>
        </is>
      </c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Silver Springs Terrace (SUBJECT)</t>
        </is>
      </c>
      <c r="D7" s="174" t="inlineStr">
        <is>
          <t>950 NE 20th Street</t>
        </is>
      </c>
      <c r="E7" s="174" t="inlineStr">
        <is>
          <t>Hickory</t>
        </is>
      </c>
      <c r="F7" s="174" t="inlineStr">
        <is>
          <t>NC</t>
        </is>
      </c>
      <c r="G7" s="174" t="inlineStr">
        <is>
          <t>28601</t>
        </is>
      </c>
      <c r="H7" s="174" t="inlineStr">
        <is>
          <t>0.0 mi</t>
        </is>
      </c>
      <c r="I7" s="174" t="inlineStr">
        <is>
          <t>$2,426</t>
        </is>
      </c>
      <c r="J7" s="174" t="inlineStr">
        <is>
          <t>$2,912</t>
        </is>
      </c>
      <c r="K7" s="174" t="inlineStr">
        <is>
          <t>$663</t>
        </is>
      </c>
      <c r="L7" s="368">
        <f>B26</f>
        <v/>
      </c>
      <c r="M7" s="174" t="inlineStr">
        <is>
          <t>$2,912</t>
        </is>
      </c>
      <c r="N7" s="174" t="inlineStr">
        <is>
          <t>$3,495</t>
        </is>
      </c>
      <c r="O7" s="174" t="inlineStr">
        <is>
          <t>$908</t>
        </is>
      </c>
      <c r="P7" s="368">
        <f>B27</f>
        <v/>
      </c>
      <c r="Q7" s="174" t="inlineStr">
        <is>
          <t>$3,233</t>
        </is>
      </c>
      <c r="R7" s="174" t="inlineStr">
        <is>
          <t>$3,880</t>
        </is>
      </c>
      <c r="S7" s="174" t="inlineStr">
        <is>
          <t>$1,372</t>
        </is>
      </c>
      <c r="T7" s="368">
        <f>B28</f>
        <v/>
      </c>
      <c r="U7" s="174" t="inlineStr">
        <is>
          <t>$3,495</t>
        </is>
      </c>
      <c r="V7" s="174" t="inlineStr">
        <is>
          <t>$4,195</t>
        </is>
      </c>
      <c r="W7" s="174" t="inlineStr">
        <is>
          <t>$1,586</t>
        </is>
      </c>
      <c r="X7" s="174" t="inlineStr">
        <is>
          <t>N/A</t>
        </is>
      </c>
      <c r="Y7" s="42" t="inlineStr">
        <is>
          <t>100</t>
        </is>
      </c>
      <c r="Z7" s="55" t="inlineStr">
        <is>
          <t>1971</t>
        </is>
      </c>
      <c r="AA7" s="40" t="inlineStr">
        <is>
          <t>0</t>
        </is>
      </c>
      <c r="AB7" s="136" t="inlineStr">
        <is>
          <t>Yes</t>
        </is>
      </c>
      <c r="AC7" s="136" t="inlineStr">
        <is>
          <t>No</t>
        </is>
      </c>
      <c r="AD7" s="136" t="inlineStr">
        <is>
          <t>No</t>
        </is>
      </c>
      <c r="AE7" s="136" t="inlineStr">
        <is>
          <t>No</t>
        </is>
      </c>
      <c r="AF7" s="136" t="inlineStr">
        <is>
          <t>No</t>
        </is>
      </c>
      <c r="AG7" s="136" t="inlineStr">
        <is>
          <t>SUBJECT</t>
        </is>
      </c>
      <c r="AH7" s="136" t="inlineStr">
        <is>
          <t>100 units | Layered HUD/LIHTC property. Year built: 1971. Subject property for market context.</t>
        </is>
      </c>
      <c r="AI7" s="136" t="inlineStr">
        <is>
          <t>Apartment Corp Records</t>
        </is>
      </c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Catawba Valley Homes</t>
        </is>
      </c>
      <c r="D8" s="59" t="inlineStr">
        <is>
          <t>1200 9th Ave Dr NW</t>
        </is>
      </c>
      <c r="E8" s="59" t="inlineStr">
        <is>
          <t>Hickory</t>
        </is>
      </c>
      <c r="F8" s="59" t="inlineStr">
        <is>
          <t>NC</t>
        </is>
      </c>
      <c r="G8" s="59" t="inlineStr">
        <is>
          <t>28601</t>
        </is>
      </c>
      <c r="H8" s="59" t="inlineStr">
        <is>
          <t>2.5 mi</t>
        </is>
      </c>
      <c r="I8" s="59" t="inlineStr">
        <is>
          <t>$2,426</t>
        </is>
      </c>
      <c r="J8" s="59" t="inlineStr">
        <is>
          <t>$2,912</t>
        </is>
      </c>
      <c r="K8" s="41" t="inlineStr">
        <is>
          <t>$663</t>
        </is>
      </c>
      <c r="L8" s="53" t="inlineStr">
        <is>
          <t>Not Listed</t>
        </is>
      </c>
      <c r="M8" s="43" t="inlineStr">
        <is>
          <t>$2,912</t>
        </is>
      </c>
      <c r="N8" s="43" t="inlineStr">
        <is>
          <t>$3,495</t>
        </is>
      </c>
      <c r="O8" s="41" t="inlineStr">
        <is>
          <t>$908</t>
        </is>
      </c>
      <c r="P8" s="53" t="inlineStr">
        <is>
          <t>Not Listed</t>
        </is>
      </c>
      <c r="Q8" s="43" t="inlineStr">
        <is>
          <t>$3,233</t>
        </is>
      </c>
      <c r="R8" s="43" t="inlineStr">
        <is>
          <t>$3,880</t>
        </is>
      </c>
      <c r="S8" s="43" t="inlineStr">
        <is>
          <t>$1,372</t>
        </is>
      </c>
      <c r="T8" s="43" t="inlineStr">
        <is>
          <t>Not Listed</t>
        </is>
      </c>
      <c r="U8" s="43" t="inlineStr">
        <is>
          <t>$3,495</t>
        </is>
      </c>
      <c r="V8" s="43" t="inlineStr">
        <is>
          <t>$4,195</t>
        </is>
      </c>
      <c r="W8" s="43" t="inlineStr">
        <is>
          <t>$1,586</t>
        </is>
      </c>
      <c r="X8" s="43" t="inlineStr">
        <is>
          <t>Not Listed</t>
        </is>
      </c>
      <c r="Y8" s="44" t="inlineStr">
        <is>
          <t>96</t>
        </is>
      </c>
      <c r="Z8" s="56" t="inlineStr">
        <is>
          <t>1972</t>
        </is>
      </c>
      <c r="AA8" s="43" t="inlineStr">
        <is>
          <t>1</t>
        </is>
      </c>
      <c r="AB8" s="136" t="inlineStr">
        <is>
          <t>Yes</t>
        </is>
      </c>
      <c r="AC8" s="136" t="inlineStr">
        <is>
          <t>No</t>
        </is>
      </c>
      <c r="AD8" s="136" t="inlineStr">
        <is>
          <t>No</t>
        </is>
      </c>
      <c r="AE8" s="136" t="inlineStr">
        <is>
          <t>No</t>
        </is>
      </c>
      <c r="AF8" s="136" t="inlineStr">
        <is>
          <t>No</t>
        </is>
      </c>
      <c r="AG8" s="136" t="inlineStr">
        <is>
          <t>HIGH</t>
        </is>
      </c>
      <c r="AH8" s="136" t="inlineStr">
        <is>
          <t>Affordable Comp #1: Section 8/HUD property, 1972 vintage (1 yr diff), 96 units, 2.5 mi from subject. Same income-eligible renter pool.</t>
        </is>
      </c>
      <c r="AI8" s="136" t="inlineStr">
        <is>
          <t>HUD Multifamily Assisted Housing</t>
        </is>
      </c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Lenoir Housing Authority - Granite Falls Homes</t>
        </is>
      </c>
      <c r="D9" s="125" t="inlineStr">
        <is>
          <t>300 Pennton Ave SW</t>
        </is>
      </c>
      <c r="E9" s="125" t="inlineStr">
        <is>
          <t>Lenoir</t>
        </is>
      </c>
      <c r="F9" s="125" t="inlineStr">
        <is>
          <t>NC</t>
        </is>
      </c>
      <c r="G9" s="125" t="inlineStr">
        <is>
          <t>28645</t>
        </is>
      </c>
      <c r="H9" s="125" t="inlineStr">
        <is>
          <t>22.0 mi</t>
        </is>
      </c>
      <c r="I9" s="125" t="inlineStr">
        <is>
          <t>$2,426</t>
        </is>
      </c>
      <c r="J9" s="125" t="inlineStr">
        <is>
          <t>$2,912</t>
        </is>
      </c>
      <c r="K9" s="85" t="inlineStr">
        <is>
          <t>$663</t>
        </is>
      </c>
      <c r="L9" s="86" t="inlineStr">
        <is>
          <t>Not Listed</t>
        </is>
      </c>
      <c r="M9" s="128" t="inlineStr">
        <is>
          <t>$2,912</t>
        </is>
      </c>
      <c r="N9" s="128" t="inlineStr">
        <is>
          <t>$3,495</t>
        </is>
      </c>
      <c r="O9" s="85" t="inlineStr">
        <is>
          <t>$908</t>
        </is>
      </c>
      <c r="P9" s="86" t="inlineStr">
        <is>
          <t>Not Listed</t>
        </is>
      </c>
      <c r="Q9" s="128" t="inlineStr">
        <is>
          <t>$3,233</t>
        </is>
      </c>
      <c r="R9" s="128" t="inlineStr">
        <is>
          <t>$3,880</t>
        </is>
      </c>
      <c r="S9" s="128" t="inlineStr">
        <is>
          <t>$1,372</t>
        </is>
      </c>
      <c r="T9" s="128" t="inlineStr">
        <is>
          <t>Not Listed</t>
        </is>
      </c>
      <c r="U9" s="128" t="inlineStr">
        <is>
          <t>$3,495</t>
        </is>
      </c>
      <c r="V9" s="128" t="inlineStr">
        <is>
          <t>$4,195</t>
        </is>
      </c>
      <c r="W9" s="128" t="inlineStr">
        <is>
          <t>$1,586</t>
        </is>
      </c>
      <c r="X9" s="128" t="inlineStr">
        <is>
          <t>Not Listed</t>
        </is>
      </c>
      <c r="Y9" s="129" t="inlineStr">
        <is>
          <t>100</t>
        </is>
      </c>
      <c r="Z9" s="130" t="inlineStr">
        <is>
          <t>1970</t>
        </is>
      </c>
      <c r="AA9" s="128" t="inlineStr">
        <is>
          <t>1</t>
        </is>
      </c>
      <c r="AB9" s="136" t="inlineStr">
        <is>
          <t>Yes</t>
        </is>
      </c>
      <c r="AC9" s="136" t="inlineStr">
        <is>
          <t>No</t>
        </is>
      </c>
      <c r="AD9" s="136" t="inlineStr">
        <is>
          <t>No</t>
        </is>
      </c>
      <c r="AE9" s="136" t="inlineStr">
        <is>
          <t>No</t>
        </is>
      </c>
      <c r="AF9" s="136" t="inlineStr">
        <is>
          <t>No</t>
        </is>
      </c>
      <c r="AG9" s="136" t="inlineStr">
        <is>
          <t>MODERATE-HIGH</t>
        </is>
      </c>
      <c r="AH9" s="136" t="inlineStr">
        <is>
          <t>Affordable Comp #2: Public Housing/HUD property, 1970 vintage (1 yr diff), 100 units, 22.0 mi from subject. Same income-eligible renter pool.</t>
        </is>
      </c>
      <c r="AI9" s="136" t="inlineStr">
        <is>
          <t>Lenoir Housing Authority</t>
        </is>
      </c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Statesville Manor Apartments</t>
        </is>
      </c>
      <c r="D10" s="107" t="inlineStr">
        <is>
          <t>500 Davie Ave</t>
        </is>
      </c>
      <c r="E10" s="107" t="inlineStr">
        <is>
          <t>Statesville</t>
        </is>
      </c>
      <c r="F10" s="107" t="inlineStr">
        <is>
          <t>NC</t>
        </is>
      </c>
      <c r="G10" s="107" t="inlineStr">
        <is>
          <t>28677</t>
        </is>
      </c>
      <c r="H10" s="107" t="inlineStr">
        <is>
          <t>28.0 mi</t>
        </is>
      </c>
      <c r="I10" s="107" t="inlineStr">
        <is>
          <t>$2,426</t>
        </is>
      </c>
      <c r="J10" s="107" t="inlineStr">
        <is>
          <t>$2,912</t>
        </is>
      </c>
      <c r="K10" s="80" t="inlineStr">
        <is>
          <t>$663</t>
        </is>
      </c>
      <c r="L10" s="81" t="inlineStr">
        <is>
          <t>Not Listed</t>
        </is>
      </c>
      <c r="M10" s="108" t="inlineStr">
        <is>
          <t>$2,912</t>
        </is>
      </c>
      <c r="N10" s="108" t="inlineStr">
        <is>
          <t>$3,495</t>
        </is>
      </c>
      <c r="O10" s="80" t="inlineStr">
        <is>
          <t>$908</t>
        </is>
      </c>
      <c r="P10" s="81" t="inlineStr">
        <is>
          <t>Not Listed</t>
        </is>
      </c>
      <c r="Q10" s="108" t="inlineStr">
        <is>
          <t>$3,233</t>
        </is>
      </c>
      <c r="R10" s="108" t="inlineStr">
        <is>
          <t>$3,880</t>
        </is>
      </c>
      <c r="S10" s="108" t="inlineStr">
        <is>
          <t>$1,372</t>
        </is>
      </c>
      <c r="T10" s="108" t="inlineStr">
        <is>
          <t>Not Listed</t>
        </is>
      </c>
      <c r="U10" s="108" t="inlineStr">
        <is>
          <t>$3,495</t>
        </is>
      </c>
      <c r="V10" s="108" t="inlineStr">
        <is>
          <t>$4,195</t>
        </is>
      </c>
      <c r="W10" s="108" t="inlineStr">
        <is>
          <t>$1,586</t>
        </is>
      </c>
      <c r="X10" s="108" t="inlineStr">
        <is>
          <t>Not Listed</t>
        </is>
      </c>
      <c r="Y10" s="109" t="inlineStr">
        <is>
          <t>108</t>
        </is>
      </c>
      <c r="Z10" s="110" t="inlineStr">
        <is>
          <t>1973</t>
        </is>
      </c>
      <c r="AA10" s="111" t="inlineStr">
        <is>
          <t>2</t>
        </is>
      </c>
      <c r="AB10" s="134" t="inlineStr">
        <is>
          <t>Yes</t>
        </is>
      </c>
      <c r="AC10" s="136" t="inlineStr">
        <is>
          <t>No</t>
        </is>
      </c>
      <c r="AD10" s="136" t="inlineStr">
        <is>
          <t>No</t>
        </is>
      </c>
      <c r="AE10" s="136" t="inlineStr">
        <is>
          <t>No</t>
        </is>
      </c>
      <c r="AF10" s="136" t="inlineStr">
        <is>
          <t>No</t>
        </is>
      </c>
      <c r="AG10" s="136" t="inlineStr">
        <is>
          <t>MODERATE-HIGH</t>
        </is>
      </c>
      <c r="AH10" s="136" t="inlineStr">
        <is>
          <t>Affordable Comp #3: Section 8/HUD property, 1973 vintage (2 yr diff), 108 units, 28.0 mi from subject. Same income-eligible renter pool.</t>
        </is>
      </c>
      <c r="AI10" s="136" t="inlineStr">
        <is>
          <t>HUD Multifamily Assisted Housing</t>
        </is>
      </c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Hickory Housing Authority - Ridgeview Homes</t>
        </is>
      </c>
      <c r="D11" s="95" t="inlineStr">
        <is>
          <t>400 Ridgeview Rd NE</t>
        </is>
      </c>
      <c r="E11" s="95" t="inlineStr">
        <is>
          <t>Hickory</t>
        </is>
      </c>
      <c r="F11" s="95" t="inlineStr">
        <is>
          <t>NC</t>
        </is>
      </c>
      <c r="G11" s="95" t="inlineStr">
        <is>
          <t>28601</t>
        </is>
      </c>
      <c r="H11" s="95" t="inlineStr">
        <is>
          <t>1.8 mi</t>
        </is>
      </c>
      <c r="I11" s="95" t="inlineStr">
        <is>
          <t>$2,426</t>
        </is>
      </c>
      <c r="J11" s="95" t="inlineStr">
        <is>
          <t>$2,912</t>
        </is>
      </c>
      <c r="K11" s="39" t="inlineStr">
        <is>
          <t>$663</t>
        </is>
      </c>
      <c r="L11" s="53" t="inlineStr">
        <is>
          <t>Not Listed</t>
        </is>
      </c>
      <c r="M11" s="96" t="inlineStr">
        <is>
          <t>$2,912</t>
        </is>
      </c>
      <c r="N11" s="96" t="inlineStr">
        <is>
          <t>$3,495</t>
        </is>
      </c>
      <c r="O11" s="39" t="inlineStr">
        <is>
          <t>$908</t>
        </is>
      </c>
      <c r="P11" s="53" t="inlineStr">
        <is>
          <t>Not Listed</t>
        </is>
      </c>
      <c r="Q11" s="96" t="inlineStr">
        <is>
          <t>$3,233</t>
        </is>
      </c>
      <c r="R11" s="96" t="inlineStr">
        <is>
          <t>$3,880</t>
        </is>
      </c>
      <c r="S11" s="96" t="inlineStr">
        <is>
          <t>$1,372</t>
        </is>
      </c>
      <c r="T11" s="96" t="inlineStr">
        <is>
          <t>Not Listed</t>
        </is>
      </c>
      <c r="U11" s="96" t="inlineStr">
        <is>
          <t>$3,495</t>
        </is>
      </c>
      <c r="V11" s="96" t="inlineStr">
        <is>
          <t>$4,195</t>
        </is>
      </c>
      <c r="W11" s="96" t="inlineStr">
        <is>
          <t>$1,586</t>
        </is>
      </c>
      <c r="X11" s="96" t="inlineStr">
        <is>
          <t>Not Listed</t>
        </is>
      </c>
      <c r="Y11" s="45" t="inlineStr">
        <is>
          <t>96</t>
        </is>
      </c>
      <c r="Z11" s="97" t="inlineStr">
        <is>
          <t>1970</t>
        </is>
      </c>
      <c r="AA11" s="113" t="inlineStr">
        <is>
          <t>1</t>
        </is>
      </c>
      <c r="AB11" s="134" t="inlineStr">
        <is>
          <t>Yes</t>
        </is>
      </c>
      <c r="AC11" s="136" t="inlineStr">
        <is>
          <t>No</t>
        </is>
      </c>
      <c r="AD11" s="136" t="inlineStr">
        <is>
          <t>No</t>
        </is>
      </c>
      <c r="AE11" s="136" t="inlineStr">
        <is>
          <t>No</t>
        </is>
      </c>
      <c r="AF11" s="136" t="inlineStr">
        <is>
          <t>No</t>
        </is>
      </c>
      <c r="AG11" s="136" t="inlineStr">
        <is>
          <t>HIGH</t>
        </is>
      </c>
      <c r="AH11" s="136" t="inlineStr">
        <is>
          <t>Affordable Comp #4: Public Housing/HUD property, 1970 vintage (1 yr diff), 96 units, 1.8 mi from subject. Same income-eligible renter pool.</t>
        </is>
      </c>
      <c r="AI11" s="136" t="inlineStr">
        <is>
          <t>Hickory Housing Authority</t>
        </is>
      </c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37.5" customHeight="1" s="131">
      <c r="A12" s="114" t="inlineStr">
        <is>
          <t>1</t>
        </is>
      </c>
      <c r="B12" s="70" t="inlineStr">
        <is>
          <t>MARKET RATE</t>
        </is>
      </c>
      <c r="C12" s="67" t="inlineStr">
        <is>
          <t>Hickory Trace Village</t>
        </is>
      </c>
      <c r="D12" s="98" t="inlineStr">
        <is>
          <t>1250 5th St NE</t>
        </is>
      </c>
      <c r="E12" s="98" t="inlineStr">
        <is>
          <t>Hickory</t>
        </is>
      </c>
      <c r="F12" s="98" t="inlineStr">
        <is>
          <t>NC</t>
        </is>
      </c>
      <c r="G12" s="98" t="n"/>
      <c r="H12" s="98" t="inlineStr">
        <is>
          <t>0.5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$663</t>
        </is>
      </c>
      <c r="L12" s="53" t="n">
        <v>979</v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$908</t>
        </is>
      </c>
      <c r="P12" s="53" t="n">
        <v>1240</v>
      </c>
      <c r="Q12" s="99" t="inlineStr">
        <is>
          <t>N/A (Market Rate)</t>
        </is>
      </c>
      <c r="R12" s="99" t="inlineStr">
        <is>
          <t>N/A (Market Rate)</t>
        </is>
      </c>
      <c r="S12" s="99" t="inlineStr">
        <is>
          <t>$1,372</t>
        </is>
      </c>
      <c r="T12" s="99" t="n">
        <v>1440</v>
      </c>
      <c r="U12" s="99" t="inlineStr">
        <is>
          <t>N/A (Market Rate)</t>
        </is>
      </c>
      <c r="V12" s="99" t="inlineStr">
        <is>
          <t>N/A (Market Rate)</t>
        </is>
      </c>
      <c r="W12" s="99" t="inlineStr">
        <is>
          <t>$1,586</t>
        </is>
      </c>
      <c r="X12" s="99" t="inlineStr">
        <is>
          <t>$1,650</t>
        </is>
      </c>
      <c r="Y12" s="46" t="inlineStr">
        <is>
          <t>N/A</t>
        </is>
      </c>
      <c r="Z12" s="100" t="inlineStr">
        <is>
          <t>1971</t>
        </is>
      </c>
      <c r="AA12" s="115" t="inlineStr">
        <is>
          <t>0</t>
        </is>
      </c>
      <c r="AB12" s="134" t="inlineStr">
        <is>
          <t>Varies</t>
        </is>
      </c>
      <c r="AC12" s="136" t="inlineStr">
        <is>
          <t>Varies</t>
        </is>
      </c>
      <c r="AD12" s="136" t="inlineStr">
        <is>
          <t>Varies</t>
        </is>
      </c>
      <c r="AE12" s="136" t="inlineStr">
        <is>
          <t>Varies</t>
        </is>
      </c>
      <c r="AF12" s="136" t="inlineStr">
        <is>
          <t>Varies</t>
        </is>
      </c>
      <c r="AG12" s="136" t="inlineStr">
        <is>
          <t>HIGH</t>
        </is>
      </c>
      <c r="AH12" s="136" t="inlineStr">
        <is>
          <t>Market Rate Comp #1: No income restrictions, 1971 vintage (0 yr diff), N/A units, N/A from subject. Shows market-rate rents vs. affordable housing discount.</t>
        </is>
      </c>
      <c r="AI12" s="136" t="inlineStr">
        <is>
          <t>HUD FY2026 FMR - Catawba County, NC (limited market rate listings for 1961-1981 vintage)</t>
        </is>
      </c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inlineStr">
        <is>
          <t>2</t>
        </is>
      </c>
      <c r="B13" s="71" t="inlineStr">
        <is>
          <t>Hickory Trace Village Apartments</t>
        </is>
      </c>
      <c r="C13" s="68" t="inlineStr">
        <is>
          <t>Apartments on 20th</t>
        </is>
      </c>
      <c r="D13" s="101" t="inlineStr">
        <is>
          <t>1755 20th Ave Dr NE</t>
        </is>
      </c>
      <c r="E13" s="101" t="inlineStr">
        <is>
          <t>Hickory</t>
        </is>
      </c>
      <c r="F13" s="101" t="inlineStr">
        <is>
          <t>NC</t>
        </is>
      </c>
      <c r="G13" s="101" t="n"/>
      <c r="H13" s="101" t="inlineStr">
        <is>
          <t>1.2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$663</t>
        </is>
      </c>
      <c r="L13" s="53" t="n">
        <v>1000</v>
      </c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$908</t>
        </is>
      </c>
      <c r="P13" s="53" t="n">
        <v>1350</v>
      </c>
      <c r="Q13" s="102" t="inlineStr">
        <is>
          <t>N/A (Market Rate)</t>
        </is>
      </c>
      <c r="R13" s="102" t="inlineStr">
        <is>
          <t>N/A (Market Rate)</t>
        </is>
      </c>
      <c r="S13" s="102" t="inlineStr">
        <is>
          <t>$1,372</t>
        </is>
      </c>
      <c r="T13" s="102" t="n"/>
      <c r="U13" s="102" t="inlineStr">
        <is>
          <t>N/A (Market Rate)</t>
        </is>
      </c>
      <c r="V13" s="102" t="inlineStr">
        <is>
          <t>N/A (Market Rate)</t>
        </is>
      </c>
      <c r="W13" s="102" t="inlineStr">
        <is>
          <t>$1,586</t>
        </is>
      </c>
      <c r="X13" s="102" t="inlineStr">
        <is>
          <t>$1,650</t>
        </is>
      </c>
      <c r="Y13" s="47" t="inlineStr">
        <is>
          <t>N/A</t>
        </is>
      </c>
      <c r="Z13" s="103" t="inlineStr">
        <is>
          <t>1975</t>
        </is>
      </c>
      <c r="AA13" s="117" t="inlineStr">
        <is>
          <t>4</t>
        </is>
      </c>
      <c r="AB13" s="134" t="inlineStr">
        <is>
          <t>Varies</t>
        </is>
      </c>
      <c r="AC13" s="136" t="inlineStr">
        <is>
          <t>Varies</t>
        </is>
      </c>
      <c r="AD13" s="136" t="inlineStr">
        <is>
          <t>Varies</t>
        </is>
      </c>
      <c r="AE13" s="136" t="inlineStr">
        <is>
          <t>Varies</t>
        </is>
      </c>
      <c r="AF13" s="136" t="inlineStr">
        <is>
          <t>Varies</t>
        </is>
      </c>
      <c r="AG13" s="136" t="inlineStr">
        <is>
          <t>HIGH</t>
        </is>
      </c>
      <c r="AH13" s="136" t="inlineStr">
        <is>
          <t>Market Rate Comp #2: No income restrictions, 1975 vintage (4 yr diff), N/A units, N/A from subject. Shows market-rate rents vs. affordable housing discount.</t>
        </is>
      </c>
      <c r="AI13" s="136" t="inlineStr">
        <is>
          <t>HUD FY2026 FMR - Catawba County, NC</t>
        </is>
      </c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inlineStr">
        <is>
          <t>3</t>
        </is>
      </c>
      <c r="B14" s="69" t="inlineStr">
        <is>
          <t>Apartments on 20th</t>
        </is>
      </c>
      <c r="C14" s="66" t="inlineStr">
        <is>
          <t>29 North</t>
        </is>
      </c>
      <c r="D14" s="95" t="inlineStr">
        <is>
          <t>112 29th Ave Dr NW</t>
        </is>
      </c>
      <c r="E14" s="95" t="inlineStr">
        <is>
          <t>Hickory</t>
        </is>
      </c>
      <c r="F14" s="95" t="inlineStr">
        <is>
          <t>NC</t>
        </is>
      </c>
      <c r="G14" s="95" t="n"/>
      <c r="H14" s="95" t="inlineStr">
        <is>
          <t>2.0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$663</t>
        </is>
      </c>
      <c r="L14" s="53" t="n">
        <v>1285</v>
      </c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$908</t>
        </is>
      </c>
      <c r="P14" s="53" t="n">
        <v>1530</v>
      </c>
      <c r="Q14" s="96" t="inlineStr">
        <is>
          <t>N/A (Market Rate)</t>
        </is>
      </c>
      <c r="R14" s="96" t="inlineStr">
        <is>
          <t>N/A (Market Rate)</t>
        </is>
      </c>
      <c r="S14" s="96" t="inlineStr">
        <is>
          <t>$1,372</t>
        </is>
      </c>
      <c r="T14" s="96" t="n">
        <v>1875</v>
      </c>
      <c r="U14" s="96" t="inlineStr">
        <is>
          <t>N/A (Market Rate)</t>
        </is>
      </c>
      <c r="V14" s="96" t="inlineStr">
        <is>
          <t>N/A (Market Rate)</t>
        </is>
      </c>
      <c r="W14" s="96" t="inlineStr">
        <is>
          <t>$1,586</t>
        </is>
      </c>
      <c r="X14" s="96" t="inlineStr">
        <is>
          <t>$1,650</t>
        </is>
      </c>
      <c r="Y14" s="45" t="inlineStr">
        <is>
          <t>N/A</t>
        </is>
      </c>
      <c r="Z14" s="97" t="inlineStr">
        <is>
          <t>1968</t>
        </is>
      </c>
      <c r="AA14" s="113" t="inlineStr">
        <is>
          <t>3</t>
        </is>
      </c>
      <c r="AB14" s="134" t="inlineStr">
        <is>
          <t>Varies</t>
        </is>
      </c>
      <c r="AC14" s="136" t="inlineStr">
        <is>
          <t>Varies</t>
        </is>
      </c>
      <c r="AD14" s="136" t="inlineStr">
        <is>
          <t>Varies</t>
        </is>
      </c>
      <c r="AE14" s="136" t="inlineStr">
        <is>
          <t>Varies</t>
        </is>
      </c>
      <c r="AF14" s="136" t="inlineStr">
        <is>
          <t>Varies</t>
        </is>
      </c>
      <c r="AG14" s="136" t="inlineStr">
        <is>
          <t>HIGH</t>
        </is>
      </c>
      <c r="AH14" s="136" t="inlineStr">
        <is>
          <t>Market Rate Comp #3: No income restrictions, 1968 vintage (3 yr diff), N/A units, N/A from subject. Shows market-rate rents vs. affordable housing discount.</t>
        </is>
      </c>
      <c r="AI14" s="136" t="inlineStr">
        <is>
          <t>HUD FY2026 FMR - Catawba County, NC</t>
        </is>
      </c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inlineStr">
        <is>
          <t>4</t>
        </is>
      </c>
      <c r="B15" s="69" t="inlineStr">
        <is>
          <t>Redwood Hickory</t>
        </is>
      </c>
      <c r="C15" s="66" t="inlineStr">
        <is>
          <t>Hawks Landing</t>
        </is>
      </c>
      <c r="D15" s="95" t="inlineStr">
        <is>
          <t>2778 2nd St NE</t>
        </is>
      </c>
      <c r="E15" s="95" t="inlineStr">
        <is>
          <t>Hickory</t>
        </is>
      </c>
      <c r="F15" s="95" t="inlineStr">
        <is>
          <t>NC</t>
        </is>
      </c>
      <c r="G15" s="95" t="n"/>
      <c r="H15" s="95" t="inlineStr">
        <is>
          <t>1.8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$663</t>
        </is>
      </c>
      <c r="L15" s="53" t="n">
        <v>1391</v>
      </c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$908</t>
        </is>
      </c>
      <c r="P15" s="53" t="n">
        <v>1510</v>
      </c>
      <c r="Q15" s="96" t="inlineStr">
        <is>
          <t>N/A (Market Rate)</t>
        </is>
      </c>
      <c r="R15" s="96" t="inlineStr">
        <is>
          <t>N/A (Market Rate)</t>
        </is>
      </c>
      <c r="S15" s="96" t="inlineStr">
        <is>
          <t>$1,372</t>
        </is>
      </c>
      <c r="T15" s="96" t="n">
        <v>1672</v>
      </c>
      <c r="U15" s="96" t="inlineStr">
        <is>
          <t>N/A (Market Rate)</t>
        </is>
      </c>
      <c r="V15" s="96" t="inlineStr">
        <is>
          <t>N/A (Market Rate)</t>
        </is>
      </c>
      <c r="W15" s="96" t="inlineStr">
        <is>
          <t>$1,586</t>
        </is>
      </c>
      <c r="X15" s="96" t="inlineStr">
        <is>
          <t>$1,650</t>
        </is>
      </c>
      <c r="Y15" s="45" t="inlineStr">
        <is>
          <t>N/A</t>
        </is>
      </c>
      <c r="Z15" s="97" t="inlineStr">
        <is>
          <t>1973</t>
        </is>
      </c>
      <c r="AA15" s="113" t="inlineStr">
        <is>
          <t>2</t>
        </is>
      </c>
      <c r="AB15" s="134" t="inlineStr">
        <is>
          <t>Varies</t>
        </is>
      </c>
      <c r="AC15" s="136" t="inlineStr">
        <is>
          <t>Varies</t>
        </is>
      </c>
      <c r="AD15" s="136" t="inlineStr">
        <is>
          <t>Varies</t>
        </is>
      </c>
      <c r="AE15" s="136" t="inlineStr">
        <is>
          <t>Varies</t>
        </is>
      </c>
      <c r="AF15" s="136" t="inlineStr">
        <is>
          <t>Varies</t>
        </is>
      </c>
      <c r="AG15" s="136" t="inlineStr">
        <is>
          <t>HIGH</t>
        </is>
      </c>
      <c r="AH15" s="136" t="inlineStr">
        <is>
          <t>Market Rate Comp #4: No income restrictions, 1973 vintage (2 yr diff), N/A units, N/A from subject. Shows market-rate rents vs. affordable housing discount.</t>
        </is>
      </c>
      <c r="AI15" s="136" t="inlineStr">
        <is>
          <t>HUD FY2026 FMR - Catawba County, NC</t>
        </is>
      </c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inlineStr">
        <is>
          <t>—</t>
        </is>
      </c>
      <c r="B16" s="82" t="inlineStr">
        <is>
          <t>BENCHMARK</t>
        </is>
      </c>
      <c r="C16" s="119" t="inlineStr">
        <is>
          <t>FY2026 FMR — Hickory-Lenoir-Morganton MSA</t>
        </is>
      </c>
      <c r="D16" s="120" t="inlineStr">
        <is>
          <t>N/A</t>
        </is>
      </c>
      <c r="E16" s="120" t="inlineStr">
        <is>
          <t>Hickory</t>
        </is>
      </c>
      <c r="F16" s="120" t="inlineStr">
        <is>
          <t>NC</t>
        </is>
      </c>
      <c r="G16" s="120" t="inlineStr">
        <is>
          <t>N/A</t>
        </is>
      </c>
      <c r="H16" s="120" t="inlineStr">
        <is>
          <t>N/A</t>
        </is>
      </c>
      <c r="I16" s="120" t="inlineStr">
        <is>
          <t>$663</t>
        </is>
      </c>
      <c r="J16" s="120" t="inlineStr">
        <is>
          <t>$663</t>
        </is>
      </c>
      <c r="K16" s="121" t="inlineStr">
        <is>
          <t>$663</t>
        </is>
      </c>
      <c r="L16" s="83" t="inlineStr">
        <is>
          <t>N/A</t>
        </is>
      </c>
      <c r="M16" s="122" t="inlineStr">
        <is>
          <t>$908</t>
        </is>
      </c>
      <c r="N16" s="122" t="inlineStr">
        <is>
          <t>$908</t>
        </is>
      </c>
      <c r="O16" s="121" t="inlineStr">
        <is>
          <t>$908</t>
        </is>
      </c>
      <c r="P16" s="83" t="inlineStr">
        <is>
          <t>N/A</t>
        </is>
      </c>
      <c r="Q16" s="122" t="inlineStr">
        <is>
          <t>$1,372</t>
        </is>
      </c>
      <c r="R16" s="122" t="inlineStr">
        <is>
          <t>$1,372</t>
        </is>
      </c>
      <c r="S16" s="122" t="inlineStr">
        <is>
          <t>$1,372</t>
        </is>
      </c>
      <c r="T16" s="122" t="inlineStr">
        <is>
          <t>N/A</t>
        </is>
      </c>
      <c r="U16" s="122" t="inlineStr">
        <is>
          <t>$1,586</t>
        </is>
      </c>
      <c r="V16" s="122" t="inlineStr">
        <is>
          <t>$1,586</t>
        </is>
      </c>
      <c r="W16" s="122" t="inlineStr">
        <is>
          <t>$1,586</t>
        </is>
      </c>
      <c r="X16" s="122" t="inlineStr">
        <is>
          <t>N/A</t>
        </is>
      </c>
      <c r="Y16" s="84" t="inlineStr">
        <is>
          <t>N/A</t>
        </is>
      </c>
      <c r="Z16" s="123" t="inlineStr">
        <is>
          <t>N/A</t>
        </is>
      </c>
      <c r="AA16" s="124" t="inlineStr">
        <is>
          <t>N/A</t>
        </is>
      </c>
      <c r="AB16" s="134" t="inlineStr">
        <is>
          <t>N/A</t>
        </is>
      </c>
      <c r="AC16" s="136" t="inlineStr">
        <is>
          <t>N/A</t>
        </is>
      </c>
      <c r="AD16" s="136" t="inlineStr">
        <is>
          <t>N/A</t>
        </is>
      </c>
      <c r="AE16" s="136" t="inlineStr">
        <is>
          <t>N/A</t>
        </is>
      </c>
      <c r="AF16" s="136" t="inlineStr">
        <is>
          <t>N/A</t>
        </is>
      </c>
      <c r="AG16" s="136" t="inlineStr">
        <is>
          <t>BENCHMARK</t>
        </is>
      </c>
      <c r="AH16" s="136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136" t="inlineStr">
        <is>
          <t>HUD FMR Database (huduser.gov)</t>
        </is>
      </c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inlineStr">
        <is>
          <t>—</t>
        </is>
      </c>
      <c r="B17" s="88" t="inlineStr">
        <is>
          <t>BENCHMARK</t>
        </is>
      </c>
      <c r="C17" s="89" t="inlineStr">
        <is>
          <t>Metro Market Avg — Hickory</t>
        </is>
      </c>
      <c r="D17" s="87" t="inlineStr">
        <is>
          <t>N/A</t>
        </is>
      </c>
      <c r="E17" s="87" t="inlineStr">
        <is>
          <t>Hickory</t>
        </is>
      </c>
      <c r="F17" s="87" t="inlineStr">
        <is>
          <t>NC</t>
        </is>
      </c>
      <c r="G17" s="87" t="inlineStr">
        <is>
          <t>N/A</t>
        </is>
      </c>
      <c r="H17" s="87" t="inlineStr">
        <is>
          <t>N/A</t>
        </is>
      </c>
      <c r="I17" s="87" t="inlineStr">
        <is>
          <t>$729</t>
        </is>
      </c>
      <c r="J17" s="87" t="inlineStr">
        <is>
          <t>$729</t>
        </is>
      </c>
      <c r="K17" s="90" t="inlineStr">
        <is>
          <t>$729</t>
        </is>
      </c>
      <c r="L17" s="91" t="inlineStr">
        <is>
          <t>N/A</t>
        </is>
      </c>
      <c r="M17" s="92" t="inlineStr">
        <is>
          <t>$998</t>
        </is>
      </c>
      <c r="N17" s="92" t="inlineStr">
        <is>
          <t>$998</t>
        </is>
      </c>
      <c r="O17" s="90" t="inlineStr">
        <is>
          <t>$998</t>
        </is>
      </c>
      <c r="P17" s="91" t="inlineStr">
        <is>
          <t>N/A</t>
        </is>
      </c>
      <c r="Q17" s="92" t="inlineStr">
        <is>
          <t>$1,509</t>
        </is>
      </c>
      <c r="R17" s="92" t="inlineStr">
        <is>
          <t>$1,509</t>
        </is>
      </c>
      <c r="S17" s="92" t="inlineStr">
        <is>
          <t>$1,509</t>
        </is>
      </c>
      <c r="T17" s="92" t="inlineStr">
        <is>
          <t>N/A</t>
        </is>
      </c>
      <c r="U17" s="92" t="inlineStr">
        <is>
          <t>$1,744</t>
        </is>
      </c>
      <c r="V17" s="92" t="inlineStr">
        <is>
          <t>$1,744</t>
        </is>
      </c>
      <c r="W17" s="92" t="inlineStr">
        <is>
          <t>$1,744</t>
        </is>
      </c>
      <c r="X17" s="92" t="inlineStr">
        <is>
          <t>N/A</t>
        </is>
      </c>
      <c r="Y17" s="93" t="inlineStr">
        <is>
          <t>N/A</t>
        </is>
      </c>
      <c r="Z17" s="94" t="inlineStr">
        <is>
          <t>N/A</t>
        </is>
      </c>
      <c r="AA17" s="92" t="inlineStr">
        <is>
          <t>N/A</t>
        </is>
      </c>
      <c r="AB17" s="136" t="inlineStr">
        <is>
          <t>N/A</t>
        </is>
      </c>
      <c r="AC17" s="136" t="inlineStr">
        <is>
          <t>N/A</t>
        </is>
      </c>
      <c r="AD17" s="136" t="inlineStr">
        <is>
          <t>N/A</t>
        </is>
      </c>
      <c r="AE17" s="136" t="inlineStr">
        <is>
          <t>N/A</t>
        </is>
      </c>
      <c r="AF17" s="136" t="inlineStr">
        <is>
          <t>N/A</t>
        </is>
      </c>
      <c r="AG17" s="136" t="inlineStr">
        <is>
          <t>BENCHMARK</t>
        </is>
      </c>
      <c r="AH17" s="136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136" t="inlineStr">
        <is>
          <t>HUD FMR + Market Estimate</t>
        </is>
      </c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Height="1" s="131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Format="1" customHeight="1" s="2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Format="1" customHeight="1" s="2">
      <c r="A25" s="372" t="n"/>
      <c r="B25" s="201" t="inlineStr">
        <is>
          <t>1BD</t>
        </is>
      </c>
      <c r="C25" s="194" t="n"/>
      <c r="D25" s="200" t="n">
        <v>979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Format="1" customHeight="1" s="2">
      <c r="A26" s="372" t="n"/>
      <c r="B26" s="201" t="inlineStr">
        <is>
          <t>2BD</t>
        </is>
      </c>
      <c r="C26" s="194" t="n"/>
      <c r="D26" s="200" t="n">
        <v>1240</v>
      </c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24.75" customFormat="1" customHeight="1" s="2">
      <c r="A27" s="369" t="n"/>
      <c r="B27" s="201" t="inlineStr">
        <is>
          <t>3BD</t>
        </is>
      </c>
      <c r="C27" s="194" t="n"/>
      <c r="D27" s="200" t="n">
        <v>1440</v>
      </c>
      <c r="E27" s="195" t="n"/>
      <c r="F27" s="183" t="n"/>
      <c r="G27" s="183" t="n"/>
      <c r="H27" s="183" t="n"/>
      <c r="I27" s="183" t="n"/>
      <c r="J27" s="183" t="n"/>
      <c r="K27" s="302" t="n"/>
      <c r="L27" s="302" t="n"/>
      <c r="M27" s="302" t="n"/>
      <c r="N27" s="302" t="n"/>
      <c r="O27" s="343" t="n"/>
      <c r="P27" s="302" t="n"/>
      <c r="Q27" s="302" t="n"/>
      <c r="R27" s="302" t="n"/>
      <c r="S27" s="302" t="n"/>
      <c r="T27" s="302" t="n"/>
      <c r="U27" s="302" t="n"/>
      <c r="V27" s="302" t="n"/>
      <c r="W27" s="302" t="n"/>
      <c r="X27" s="302" t="n"/>
      <c r="Y27" s="302" t="n"/>
      <c r="Z27" s="302" t="n"/>
      <c r="AA27" s="353" t="n"/>
      <c r="AB27" s="302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24.75" customHeight="1" s="131">
      <c r="A28" s="382" t="n"/>
      <c r="B28" s="201" t="inlineStr">
        <is>
          <t>4BD</t>
        </is>
      </c>
      <c r="C28" s="194" t="n"/>
      <c r="D28" s="200" t="n">
        <v>1650</v>
      </c>
      <c r="E28" s="195" t="n"/>
      <c r="F28" s="183" t="n"/>
      <c r="G28" s="183" t="n"/>
      <c r="H28" s="183" t="n"/>
      <c r="I28" s="183" t="n"/>
      <c r="J28" s="183" t="n"/>
      <c r="K28" s="302" t="n"/>
      <c r="L28" s="302" t="n"/>
      <c r="M28" s="302" t="n"/>
      <c r="N28" s="302" t="n"/>
      <c r="O28" s="343" t="n"/>
      <c r="P28" s="302" t="n"/>
      <c r="Q28" s="302" t="n"/>
      <c r="R28" s="302" t="n"/>
      <c r="S28" s="302" t="n"/>
      <c r="T28" s="302" t="n"/>
      <c r="U28" s="302" t="n"/>
      <c r="V28" s="302" t="n"/>
      <c r="W28" s="302" t="n"/>
      <c r="X28" s="302" t="n"/>
      <c r="Y28" s="302" t="n"/>
      <c r="Z28" s="302" t="n"/>
      <c r="AA28" s="353" t="n"/>
      <c r="AB28" s="302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8.1" customHeight="1" s="131">
      <c r="A29" s="372" t="n"/>
      <c r="B29" s="371" t="n"/>
      <c r="C29" s="371" t="n"/>
      <c r="D29" s="371" t="n"/>
      <c r="E29" s="371" t="n"/>
      <c r="F29" s="371" t="n"/>
      <c r="G29" s="369" t="n"/>
      <c r="H29" s="369" t="n"/>
      <c r="I29" s="369" t="n"/>
      <c r="J29" s="369" t="n"/>
      <c r="K29" s="369" t="n"/>
      <c r="L29" s="134" t="n"/>
      <c r="M29" s="134" t="n"/>
      <c r="N29" s="134" t="n"/>
      <c r="O29" s="134" t="n"/>
      <c r="P29" s="134" t="n"/>
      <c r="Q29" s="134" t="n"/>
      <c r="R29" s="134" t="n"/>
      <c r="S29" s="134" t="n"/>
      <c r="T29" s="134" t="n"/>
      <c r="U29" s="134" t="n"/>
      <c r="V29" s="134" t="n"/>
      <c r="W29" s="134" t="n"/>
      <c r="X29" s="134" t="n"/>
      <c r="Y29" s="134" t="n"/>
      <c r="Z29" s="135" t="n"/>
      <c r="AA29" s="134" t="n"/>
      <c r="AB29" s="134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24.75" customFormat="1" customHeight="1" s="2">
      <c r="A30" s="302" t="n"/>
      <c r="B30" s="211" t="inlineStr">
        <is>
          <t>PMTS — Vouchers / FMR / UAP / NET</t>
        </is>
      </c>
      <c r="G30" s="365" t="n"/>
      <c r="H30" s="183" t="n"/>
      <c r="I30" s="183" t="n"/>
      <c r="J30" s="183" t="n"/>
      <c r="K30" s="302" t="n"/>
      <c r="L30" s="302" t="n"/>
      <c r="M30" s="302" t="n"/>
      <c r="N30" s="302" t="n"/>
      <c r="O30" s="302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15.95" customFormat="1" customHeight="1" s="2">
      <c r="A31" s="302" t="n"/>
      <c r="B31" s="226" t="n"/>
      <c r="C31" s="213" t="inlineStr">
        <is>
          <t>MKT</t>
        </is>
      </c>
      <c r="D31" s="213" t="inlineStr">
        <is>
          <t>VCH</t>
        </is>
      </c>
      <c r="E31" s="214" t="inlineStr">
        <is>
          <t>FMR</t>
        </is>
      </c>
      <c r="F31" s="215" t="inlineStr">
        <is>
          <t>UAP</t>
        </is>
      </c>
      <c r="G31" s="216" t="inlineStr">
        <is>
          <t>NET</t>
        </is>
      </c>
      <c r="H31" s="183" t="n"/>
      <c r="I31" s="183" t="n"/>
      <c r="J31" s="183" t="n"/>
      <c r="K31" s="302" t="n"/>
      <c r="L31" s="302" t="n"/>
      <c r="M31" s="302" t="n"/>
      <c r="N31" s="302" t="n"/>
      <c r="O31" s="302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24.75" customFormat="1" customHeight="1" s="2">
      <c r="A32" s="369" t="n"/>
      <c r="B32" s="217" t="inlineStr">
        <is>
          <t>1BD</t>
        </is>
      </c>
      <c r="C32" s="197" t="n">
        <v>0</v>
      </c>
      <c r="D32" s="197" t="n">
        <v>981</v>
      </c>
      <c r="E32" s="198" t="n">
        <v>930</v>
      </c>
      <c r="F32" s="199" t="n">
        <v>83</v>
      </c>
      <c r="G32" s="218" t="n">
        <v>847</v>
      </c>
      <c r="H32" s="183" t="n"/>
      <c r="I32" s="183" t="n"/>
      <c r="J32" s="183" t="n"/>
      <c r="K32" s="302" t="n"/>
      <c r="L32" s="302" t="n"/>
      <c r="M32" s="302" t="n"/>
      <c r="N32" s="302" t="n"/>
      <c r="O32" s="343" t="n"/>
      <c r="P32" s="302" t="n"/>
      <c r="Q32" s="302" t="n"/>
      <c r="R32" s="302" t="n"/>
      <c r="S32" s="302" t="n"/>
      <c r="T32" s="302" t="n"/>
      <c r="U32" s="302" t="n"/>
      <c r="V32" s="302" t="n"/>
      <c r="W32" s="302" t="n"/>
      <c r="X32" s="302" t="n"/>
      <c r="Y32" s="302" t="n"/>
      <c r="Z32" s="302" t="n"/>
      <c r="AA32" s="353" t="n"/>
      <c r="AB32" s="302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24.75" customFormat="1" customHeight="1" s="2">
      <c r="A33" s="382" t="n"/>
      <c r="B33" s="217" t="inlineStr">
        <is>
          <t>2BD</t>
        </is>
      </c>
      <c r="C33" s="197" t="n">
        <v>0</v>
      </c>
      <c r="D33" s="197" t="n">
        <v>1250</v>
      </c>
      <c r="E33" s="198" t="n">
        <v>1140</v>
      </c>
      <c r="F33" s="199" t="n">
        <v>115</v>
      </c>
      <c r="G33" s="218" t="n">
        <v>1025</v>
      </c>
      <c r="H33" s="183" t="n"/>
      <c r="I33" s="183" t="n"/>
      <c r="J33" s="183" t="n"/>
      <c r="K33" s="302" t="n"/>
      <c r="L33" s="302" t="n"/>
      <c r="M33" s="302" t="n"/>
      <c r="N33" s="302" t="n"/>
      <c r="O33" s="343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24.75" customFormat="1" customHeight="1" s="2">
      <c r="A34" s="372" t="n"/>
      <c r="B34" s="217" t="inlineStr">
        <is>
          <t>3BD</t>
        </is>
      </c>
      <c r="C34" s="197" t="n">
        <v>0</v>
      </c>
      <c r="D34" s="197" t="n">
        <v>1500</v>
      </c>
      <c r="E34" s="198" t="n">
        <v>1450</v>
      </c>
      <c r="F34" s="199" t="n">
        <v>134</v>
      </c>
      <c r="G34" s="218" t="n">
        <v>1316</v>
      </c>
      <c r="H34" s="183" t="n"/>
      <c r="I34" s="183" t="n"/>
      <c r="J34" s="183" t="n"/>
      <c r="K34" s="302" t="n"/>
      <c r="L34" s="302" t="n"/>
      <c r="M34" s="302" t="n"/>
      <c r="N34" s="302" t="n"/>
      <c r="O34" s="343" t="n"/>
      <c r="P34" s="302" t="n"/>
      <c r="Q34" s="302" t="n"/>
      <c r="R34" s="302" t="n"/>
      <c r="S34" s="302" t="n"/>
      <c r="T34" s="302" t="n"/>
      <c r="U34" s="302" t="n"/>
      <c r="V34" s="302" t="n"/>
      <c r="W34" s="302" t="n"/>
      <c r="X34" s="302" t="n"/>
      <c r="Y34" s="302" t="n"/>
      <c r="Z34" s="302" t="n"/>
      <c r="AA34" s="353" t="n"/>
      <c r="AB34" s="302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24.75" customFormat="1" customHeight="1" s="2">
      <c r="A35" s="372" t="n"/>
      <c r="B35" s="217" t="inlineStr">
        <is>
          <t>4BD</t>
        </is>
      </c>
      <c r="C35" s="197" t="n">
        <v>0</v>
      </c>
      <c r="D35" s="197" t="n">
        <v>1650</v>
      </c>
      <c r="E35" s="198" t="n">
        <v>1710</v>
      </c>
      <c r="F35" s="199" t="n">
        <v>151</v>
      </c>
      <c r="G35" s="218" t="n">
        <v>1559</v>
      </c>
      <c r="H35" s="183" t="n"/>
      <c r="I35" s="183" t="n"/>
      <c r="J35" s="183" t="n"/>
      <c r="K35" s="302" t="n"/>
      <c r="L35" s="302" t="n"/>
      <c r="M35" s="302" t="n"/>
      <c r="N35" s="302" t="n"/>
      <c r="O35" s="343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8.1" customHeight="1" s="131">
      <c r="A36" s="369" t="n"/>
      <c r="B36" s="371" t="n"/>
      <c r="C36" s="371" t="n"/>
      <c r="D36" s="371" t="n"/>
      <c r="E36" s="371" t="n"/>
      <c r="F36" s="371" t="n"/>
      <c r="G36" s="369" t="n"/>
      <c r="H36" s="369" t="n"/>
      <c r="I36" s="369" t="n"/>
      <c r="J36" s="369" t="n"/>
      <c r="K36" s="369" t="n"/>
      <c r="L36" s="134" t="n"/>
      <c r="M36" s="134" t="n"/>
      <c r="N36" s="134" t="n"/>
      <c r="O36" s="134" t="n"/>
      <c r="P36" s="134" t="n"/>
      <c r="Q36" s="134" t="n"/>
      <c r="R36" s="134" t="n"/>
      <c r="S36" s="134" t="n"/>
      <c r="T36" s="134" t="n"/>
      <c r="U36" s="134" t="n"/>
      <c r="V36" s="134" t="n"/>
      <c r="W36" s="134" t="n"/>
      <c r="X36" s="134" t="n"/>
      <c r="Y36" s="134" t="n"/>
      <c r="Z36" s="135" t="n"/>
      <c r="AA36" s="134" t="n"/>
      <c r="AB36" s="134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24.75" customHeight="1" s="131">
      <c r="A37" s="302" t="n"/>
      <c r="B37" s="366" t="inlineStr">
        <is>
          <t>LIHTC, UAP, NET</t>
        </is>
      </c>
      <c r="C37" s="358" t="n"/>
      <c r="D37" s="358" t="n"/>
      <c r="E37" s="358" t="n"/>
      <c r="F37" s="358" t="n"/>
      <c r="G37" s="359" t="n"/>
      <c r="H37" s="183" t="n"/>
      <c r="I37" s="183" t="n"/>
      <c r="J37" s="183" t="n"/>
      <c r="K37" s="302" t="n"/>
      <c r="L37" s="302" t="n"/>
      <c r="M37" s="302" t="n"/>
      <c r="N37" s="302" t="n"/>
      <c r="O37" s="302" t="n"/>
      <c r="P37" s="302" t="n"/>
      <c r="Q37" s="302" t="n"/>
      <c r="R37" s="302" t="n"/>
      <c r="S37" s="302" t="n"/>
      <c r="T37" s="302" t="n"/>
      <c r="U37" s="302" t="n"/>
      <c r="V37" s="302" t="n"/>
      <c r="W37" s="302" t="n"/>
      <c r="X37" s="302" t="n"/>
      <c r="Y37" s="302" t="n"/>
      <c r="Z37" s="302" t="n"/>
      <c r="AA37" s="353" t="n"/>
      <c r="AB37" s="302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16.5" customFormat="1" customHeight="1" s="2">
      <c r="A38" s="372" t="n"/>
      <c r="B38" s="226" t="n"/>
      <c r="C38" s="228" t="inlineStr">
        <is>
          <t>LIHTC/MKT</t>
        </is>
      </c>
      <c r="D38" s="228" t="inlineStr">
        <is>
          <t>60%</t>
        </is>
      </c>
      <c r="E38" s="215" t="inlineStr">
        <is>
          <t>UAP</t>
        </is>
      </c>
      <c r="F38" s="216" t="inlineStr">
        <is>
          <t>NET</t>
        </is>
      </c>
      <c r="G38" s="183" t="n"/>
      <c r="H38" s="183" t="n"/>
      <c r="I38" s="183" t="n"/>
      <c r="J38" s="183" t="n"/>
      <c r="K38" s="302" t="n"/>
      <c r="L38" s="302" t="n"/>
      <c r="M38" s="302" t="n"/>
      <c r="N38" s="302" t="n"/>
      <c r="O38" s="343" t="n"/>
      <c r="P38" s="302" t="n"/>
      <c r="Q38" s="302" t="n"/>
      <c r="R38" s="302" t="n"/>
      <c r="S38" s="302" t="n"/>
      <c r="T38" s="302" t="n"/>
      <c r="U38" s="302" t="n"/>
      <c r="V38" s="302" t="n"/>
      <c r="W38" s="302" t="n"/>
      <c r="X38" s="302" t="n"/>
      <c r="Y38" s="302" t="n"/>
      <c r="Z38" s="302" t="n"/>
      <c r="AA38" s="353" t="n"/>
      <c r="AB38" s="302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24.75" customFormat="1" customHeight="1" s="2">
      <c r="A39" s="372" t="n"/>
      <c r="B39" s="224" t="inlineStr">
        <is>
          <t>1BD</t>
        </is>
      </c>
      <c r="C39" s="225" t="n">
        <v>888</v>
      </c>
      <c r="D39" s="225" t="n">
        <v>564</v>
      </c>
      <c r="E39" s="225" t="n">
        <v>83</v>
      </c>
      <c r="F39" s="223" t="n">
        <v>481</v>
      </c>
      <c r="G39" s="183" t="n"/>
      <c r="H39" s="183" t="n"/>
      <c r="I39" s="183" t="n"/>
      <c r="J39" s="183" t="n"/>
      <c r="K39" s="302" t="n"/>
      <c r="L39" s="302" t="n"/>
      <c r="M39" s="302" t="n"/>
      <c r="N39" s="302" t="n"/>
      <c r="O39" s="343" t="n"/>
      <c r="P39" s="302" t="n"/>
      <c r="Q39" s="302" t="n"/>
      <c r="R39" s="302" t="n"/>
      <c r="S39" s="302" t="n"/>
      <c r="T39" s="302" t="n"/>
      <c r="U39" s="302" t="n"/>
      <c r="V39" s="302" t="n"/>
      <c r="W39" s="302" t="n"/>
      <c r="X39" s="302" t="n"/>
      <c r="Y39" s="302" t="n"/>
      <c r="Z39" s="302" t="n"/>
      <c r="AA39" s="353" t="n"/>
      <c r="AB39" s="302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ht="24.75" customFormat="1" customHeight="1" s="2">
      <c r="A40" s="372" t="n"/>
      <c r="B40" s="224" t="inlineStr">
        <is>
          <t>2BD</t>
        </is>
      </c>
      <c r="C40" s="225" t="n">
        <v>1066</v>
      </c>
      <c r="D40" s="225" t="n">
        <v>643</v>
      </c>
      <c r="E40" s="225" t="n">
        <v>115</v>
      </c>
      <c r="F40" s="223" t="n">
        <v>528</v>
      </c>
      <c r="G40" s="183" t="n"/>
      <c r="H40" s="183" t="n"/>
      <c r="I40" s="183" t="n"/>
      <c r="J40" s="183" t="n"/>
      <c r="K40" s="302" t="n"/>
      <c r="L40" s="302" t="n"/>
      <c r="M40" s="302" t="n"/>
      <c r="N40" s="302" t="n"/>
      <c r="O40" s="343" t="n"/>
      <c r="P40" s="302" t="n"/>
      <c r="Q40" s="302" t="n"/>
      <c r="R40" s="302" t="n"/>
      <c r="S40" s="302" t="n"/>
      <c r="T40" s="302" t="n"/>
      <c r="U40" s="302" t="n"/>
      <c r="V40" s="302" t="n"/>
      <c r="W40" s="302" t="n"/>
      <c r="X40" s="302" t="n"/>
      <c r="Y40" s="302" t="n"/>
      <c r="Z40" s="302" t="n"/>
      <c r="AA40" s="353" t="n"/>
      <c r="AB40" s="302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ht="24.75" customFormat="1" customHeight="1" s="2">
      <c r="A41" s="369" t="n"/>
      <c r="B41" s="224" t="inlineStr">
        <is>
          <t>3BD</t>
        </is>
      </c>
      <c r="C41" s="225" t="n">
        <v>1233</v>
      </c>
      <c r="D41" s="225" t="n">
        <v>774</v>
      </c>
      <c r="E41" s="225" t="n">
        <v>134</v>
      </c>
      <c r="F41" s="223" t="n">
        <v>640</v>
      </c>
      <c r="G41" s="183" t="n"/>
      <c r="H41" s="183" t="n"/>
      <c r="I41" s="183" t="n"/>
      <c r="J41" s="183" t="n"/>
      <c r="K41" s="302" t="n"/>
      <c r="L41" s="302" t="n"/>
      <c r="M41" s="302" t="n"/>
      <c r="N41" s="302" t="n"/>
      <c r="O41" s="343" t="n"/>
      <c r="P41" s="302" t="n"/>
      <c r="Q41" s="302" t="n"/>
      <c r="R41" s="302" t="n"/>
      <c r="S41" s="302" t="n"/>
      <c r="T41" s="302" t="n"/>
      <c r="U41" s="302" t="n"/>
      <c r="V41" s="302" t="n"/>
      <c r="W41" s="302" t="n"/>
      <c r="X41" s="302" t="n"/>
      <c r="Y41" s="302" t="n"/>
      <c r="Z41" s="302" t="n"/>
      <c r="AA41" s="353" t="n"/>
      <c r="AB41" s="302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ht="24.75" customFormat="1" customHeight="1" s="2">
      <c r="A42" s="369" t="n"/>
      <c r="B42" s="224" t="inlineStr">
        <is>
          <t>4BD</t>
        </is>
      </c>
      <c r="C42" s="225" t="n">
        <v>1375</v>
      </c>
      <c r="D42" s="225" t="n">
        <v>866</v>
      </c>
      <c r="E42" s="225" t="n">
        <v>151</v>
      </c>
      <c r="F42" s="223" t="n">
        <v>715</v>
      </c>
      <c r="G42" s="183" t="n"/>
      <c r="H42" s="183" t="n"/>
      <c r="I42" s="183" t="n"/>
      <c r="J42" s="183" t="n"/>
      <c r="K42" s="302" t="n"/>
      <c r="L42" s="302" t="n"/>
      <c r="M42" s="302" t="n"/>
      <c r="N42" s="302" t="n"/>
      <c r="O42" s="343" t="n"/>
      <c r="P42" s="302" t="n"/>
      <c r="Q42" s="302" t="n"/>
      <c r="R42" s="302" t="n"/>
      <c r="S42" s="302" t="n"/>
      <c r="T42" s="302" t="n"/>
      <c r="U42" s="302" t="n"/>
      <c r="V42" s="302" t="n"/>
      <c r="W42" s="302" t="n"/>
      <c r="X42" s="302" t="n"/>
      <c r="Y42" s="302" t="n"/>
      <c r="Z42" s="302" t="n"/>
      <c r="AA42" s="353" t="n"/>
      <c r="AB42" s="302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ht="18" customFormat="1" customHeight="1" s="2">
      <c r="A43" s="369" t="n"/>
      <c r="B43" s="371" t="n"/>
      <c r="C43" s="371" t="n"/>
      <c r="D43" s="371" t="n"/>
      <c r="E43" s="371" t="n"/>
      <c r="F43" s="371" t="n"/>
      <c r="G43" s="369" t="n"/>
      <c r="H43" s="369" t="n"/>
      <c r="I43" s="369" t="n"/>
      <c r="J43" s="369" t="n"/>
      <c r="K43" s="369" t="n"/>
      <c r="L43" s="136" t="n"/>
      <c r="M43" s="136" t="n"/>
      <c r="N43" s="136" t="n"/>
      <c r="O43" s="136" t="n"/>
      <c r="P43" s="136" t="n"/>
      <c r="Q43" s="136" t="n"/>
      <c r="R43" s="136" t="n"/>
      <c r="S43" s="136" t="n"/>
      <c r="T43" s="136" t="n"/>
      <c r="U43" s="136" t="n"/>
      <c r="V43" s="136" t="n"/>
      <c r="W43" s="136" t="n"/>
      <c r="X43" s="136" t="n"/>
      <c r="Y43" s="136" t="n"/>
      <c r="Z43" s="136" t="n"/>
      <c r="AA43" s="136" t="n"/>
      <c r="AB43" s="136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ht="18" customHeight="1" s="131">
      <c r="A44" s="369" t="n"/>
      <c r="B44" s="369" t="n"/>
      <c r="C44" s="369" t="n"/>
      <c r="D44" s="369" t="n"/>
      <c r="E44" s="369" t="n"/>
      <c r="F44" s="369" t="n"/>
      <c r="G44" s="369" t="n"/>
      <c r="H44" s="369" t="n"/>
      <c r="I44" s="369" t="n"/>
      <c r="J44" s="369" t="n"/>
      <c r="K44" s="369" t="n"/>
      <c r="L44" s="136" t="n"/>
      <c r="M44" s="136" t="n"/>
      <c r="N44" s="136" t="n"/>
      <c r="O44" s="136" t="n"/>
      <c r="P44" s="136" t="n"/>
      <c r="Q44" s="136" t="n"/>
      <c r="R44" s="136" t="n"/>
      <c r="S44" s="136" t="n"/>
      <c r="T44" s="136" t="n"/>
      <c r="U44" s="136" t="n"/>
      <c r="V44" s="136" t="n"/>
      <c r="W44" s="136" t="n"/>
      <c r="X44" s="136" t="n"/>
      <c r="Y44" s="136" t="n"/>
      <c r="Z44" s="136" t="n"/>
      <c r="AA44" s="136" t="n"/>
      <c r="AB44" s="136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ht="24.75" customHeight="1" s="131">
      <c r="A45" s="302" t="n"/>
      <c r="B45" s="207" t="inlineStr">
        <is>
          <t>HAP, CoStar, NET</t>
        </is>
      </c>
      <c r="H45" s="183" t="n"/>
      <c r="I45" s="183" t="n"/>
      <c r="J45" s="183" t="n"/>
      <c r="K45" s="302" t="n"/>
      <c r="L45" s="302" t="n"/>
      <c r="M45" s="302" t="n"/>
      <c r="N45" s="302" t="n"/>
      <c r="O45" s="302" t="n"/>
      <c r="P45" s="302" t="n"/>
      <c r="Q45" s="302" t="n"/>
      <c r="R45" s="302" t="n"/>
      <c r="S45" s="302" t="n"/>
      <c r="T45" s="302" t="n"/>
      <c r="U45" s="302" t="n"/>
      <c r="V45" s="302" t="n"/>
      <c r="W45" s="302" t="n"/>
      <c r="X45" s="302" t="n"/>
      <c r="Y45" s="302" t="n"/>
      <c r="Z45" s="302" t="n"/>
      <c r="AA45" s="353" t="n"/>
      <c r="AB45" s="302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ht="15.95" customHeight="1" s="131">
      <c r="A46" s="302" t="n"/>
      <c r="B46" s="227" t="n"/>
      <c r="C46" s="208" t="inlineStr">
        <is>
          <t>HAP</t>
        </is>
      </c>
      <c r="D46" s="209" t="inlineStr">
        <is>
          <t>CoStar</t>
        </is>
      </c>
      <c r="E46" s="302" t="n"/>
      <c r="F46" s="302" t="n"/>
      <c r="G46" s="302" t="n"/>
      <c r="H46" s="183" t="n"/>
      <c r="I46" s="183" t="n"/>
      <c r="J46" s="183" t="n"/>
      <c r="K46" s="302" t="n"/>
      <c r="L46" s="302" t="n"/>
      <c r="M46" s="302" t="n"/>
      <c r="N46" s="302" t="n"/>
      <c r="O46" s="302" t="n"/>
      <c r="P46" s="302" t="n"/>
      <c r="Q46" s="302" t="n"/>
      <c r="R46" s="302" t="n"/>
      <c r="S46" s="302" t="n"/>
      <c r="T46" s="302" t="n"/>
      <c r="U46" s="302" t="n"/>
      <c r="V46" s="302" t="n"/>
      <c r="W46" s="302" t="n"/>
      <c r="X46" s="302" t="n"/>
      <c r="Y46" s="302" t="n"/>
      <c r="Z46" s="302" t="n"/>
      <c r="AA46" s="353" t="n"/>
      <c r="AB46" s="302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ht="24.75" customHeight="1" s="131">
      <c r="A47" s="302" t="n"/>
      <c r="B47" s="196" t="inlineStr">
        <is>
          <t>1BD</t>
        </is>
      </c>
      <c r="C47" s="199" t="n">
        <v>901</v>
      </c>
      <c r="D47" s="198" t="n">
        <v>1083</v>
      </c>
      <c r="E47" s="183" t="n"/>
      <c r="F47" s="183" t="n"/>
      <c r="G47" s="183" t="n"/>
      <c r="H47" s="183" t="n"/>
      <c r="I47" s="183" t="n"/>
      <c r="J47" s="183" t="n"/>
      <c r="K47" s="302" t="n"/>
      <c r="L47" s="302" t="n"/>
      <c r="M47" s="302" t="n"/>
      <c r="N47" s="302" t="n"/>
      <c r="O47" s="302" t="n"/>
      <c r="P47" s="302" t="n"/>
      <c r="Q47" s="302" t="n"/>
      <c r="R47" s="302" t="n"/>
      <c r="S47" s="302" t="n"/>
      <c r="T47" s="302" t="n"/>
      <c r="U47" s="302" t="n"/>
      <c r="V47" s="302" t="n"/>
      <c r="W47" s="302" t="n"/>
      <c r="X47" s="302" t="n"/>
      <c r="Y47" s="302" t="n"/>
      <c r="Z47" s="302" t="n"/>
      <c r="AA47" s="353" t="n"/>
      <c r="AB47" s="302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ht="24.75" customHeight="1" s="131">
      <c r="A48" s="302" t="n"/>
      <c r="B48" s="196" t="inlineStr">
        <is>
          <t>2BD</t>
        </is>
      </c>
      <c r="C48" s="199" t="n">
        <v>1003</v>
      </c>
      <c r="D48" s="198" t="n">
        <v>1365</v>
      </c>
      <c r="E48" s="183" t="n"/>
      <c r="F48" s="183" t="n"/>
      <c r="G48" s="183" t="n"/>
      <c r="H48" s="183" t="n"/>
      <c r="I48" s="183" t="n"/>
      <c r="J48" s="183" t="n"/>
      <c r="K48" s="302" t="n"/>
      <c r="L48" s="302" t="n"/>
      <c r="M48" s="302" t="n"/>
      <c r="N48" s="302" t="n"/>
      <c r="O48" s="302" t="n"/>
      <c r="P48" s="302" t="n"/>
      <c r="Q48" s="302" t="n"/>
      <c r="R48" s="302" t="n"/>
      <c r="S48" s="302" t="n"/>
      <c r="T48" s="302" t="n"/>
      <c r="U48" s="302" t="n"/>
      <c r="V48" s="302" t="n"/>
      <c r="W48" s="302" t="n"/>
      <c r="X48" s="302" t="n"/>
      <c r="Y48" s="302" t="n"/>
      <c r="Z48" s="302" t="n"/>
      <c r="AA48" s="353" t="n"/>
      <c r="AB48" s="302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ht="24.75" customHeight="1" s="131">
      <c r="A49" s="302" t="n"/>
      <c r="B49" s="196" t="inlineStr">
        <is>
          <t>3BD</t>
        </is>
      </c>
      <c r="C49" s="199" t="n">
        <v>1302</v>
      </c>
      <c r="D49" s="198" t="n">
        <v>1587</v>
      </c>
      <c r="E49" s="183" t="n"/>
      <c r="F49" s="183" t="n"/>
      <c r="G49" s="183" t="n"/>
      <c r="H49" s="183" t="n"/>
      <c r="I49" s="183" t="n"/>
      <c r="J49" s="183" t="n"/>
      <c r="K49" s="302" t="n"/>
      <c r="L49" s="302" t="n"/>
      <c r="M49" s="302" t="n"/>
      <c r="N49" s="302" t="n"/>
      <c r="O49" s="302" t="n"/>
      <c r="P49" s="302" t="n"/>
      <c r="Q49" s="302" t="n"/>
      <c r="R49" s="302" t="n"/>
      <c r="S49" s="302" t="n"/>
      <c r="T49" s="302" t="n"/>
      <c r="U49" s="302" t="n"/>
      <c r="V49" s="302" t="n"/>
      <c r="W49" s="302" t="n"/>
      <c r="X49" s="302" t="n"/>
      <c r="Y49" s="302" t="n"/>
      <c r="Z49" s="302" t="n"/>
      <c r="AA49" s="353" t="n"/>
      <c r="AB49" s="302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ht="24.75" customHeight="1" s="131">
      <c r="A50" s="302" t="n"/>
      <c r="B50" s="196" t="inlineStr">
        <is>
          <t>4BD</t>
        </is>
      </c>
      <c r="C50" s="199" t="n">
        <v>1375</v>
      </c>
      <c r="D50" s="198" t="n">
        <v>1953</v>
      </c>
      <c r="E50" s="183" t="n"/>
      <c r="F50" s="183" t="n"/>
      <c r="G50" s="183" t="n"/>
      <c r="H50" s="183" t="n"/>
      <c r="I50" s="183" t="n"/>
      <c r="J50" s="183" t="n"/>
      <c r="K50" s="302" t="n"/>
      <c r="L50" s="302" t="n"/>
      <c r="M50" s="302" t="n"/>
      <c r="N50" s="302" t="n"/>
      <c r="O50" s="302" t="n"/>
      <c r="P50" s="302" t="n"/>
      <c r="Q50" s="302" t="n"/>
      <c r="R50" s="302" t="n"/>
      <c r="S50" s="302" t="n"/>
      <c r="T50" s="302" t="n"/>
      <c r="U50" s="302" t="n"/>
      <c r="V50" s="302" t="n"/>
      <c r="W50" s="302" t="n"/>
      <c r="X50" s="302" t="n"/>
      <c r="Y50" s="302" t="n"/>
      <c r="Z50" s="302" t="n"/>
      <c r="AA50" s="353" t="n"/>
      <c r="AB50" s="302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  <row r="51"/>
    <row r="52"/>
    <row r="53"/>
    <row r="54"/>
    <row r="55"/>
    <row r="56"/>
  </sheetData>
  <mergeCells count="9">
    <mergeCell ref="B4:AB4"/>
    <mergeCell ref="B22:G22"/>
    <mergeCell ref="B37:G37"/>
    <mergeCell ref="B45:G45"/>
    <mergeCell ref="B20:I20"/>
    <mergeCell ref="B2:AB2"/>
    <mergeCell ref="B23:G23"/>
    <mergeCell ref="B3:AB3"/>
    <mergeCell ref="B30:G30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1.28515625" customWidth="1" style="131" min="1" max="1"/>
    <col width="8.5703125" customWidth="1" style="131" min="2" max="2"/>
    <col width="20.140625" customWidth="1" style="131" min="3" max="3"/>
    <col width="37.140625" customWidth="1" style="131" min="4" max="4"/>
    <col width="41" customWidth="1" style="131" min="5" max="5"/>
    <col width="14.28515625" customWidth="1" style="131" min="6" max="6"/>
    <col width="17.5703125" customWidth="1" style="131" min="7" max="7"/>
    <col width="7.140625" customWidth="1" style="131" min="8" max="8"/>
    <col width="13.140625" customWidth="1" style="131" min="9" max="9"/>
    <col width="17.28515625" customWidth="1" style="131" min="10" max="10"/>
    <col width="18.7109375" customWidth="1" style="131" min="11" max="11"/>
    <col hidden="1" width="9.28515625" customWidth="1" style="131" min="12" max="12"/>
    <col width="14" customWidth="1" style="131" min="13" max="13"/>
    <col width="17.85546875" customWidth="1" style="131" min="14" max="14"/>
    <col width="16.7109375" customWidth="1" style="131" min="15" max="15"/>
    <col hidden="1" width="9.28515625" customWidth="1" style="131" min="16" max="16"/>
    <col width="13.140625" customWidth="1" style="131" min="17" max="17"/>
    <col width="7" customWidth="1" style="131" min="18" max="18"/>
    <col width="7.28515625" customWidth="1" style="131" min="19" max="19"/>
    <col width="7" customWidth="1" style="131" min="20" max="20"/>
    <col width="9.42578125" customWidth="1" style="131" min="21" max="21"/>
    <col width="10.5703125" customWidth="1" style="131" min="22" max="22"/>
    <col width="5.7109375" customWidth="1" style="131" min="23" max="23"/>
    <col width="4.85546875" customWidth="1" style="131" min="24" max="24"/>
    <col width="9.28515625" customWidth="1" style="131" min="25" max="25"/>
    <col width="14.28515625" customWidth="1" style="131" min="26" max="26"/>
    <col width="53.7109375" customWidth="1" style="131" min="27" max="27"/>
    <col width="64.140625" customWidth="1" style="131" min="28" max="28"/>
    <col width="9.140625" customWidth="1" style="131" min="29" max="49"/>
    <col width="13" customWidth="1" style="131" min="30" max="30"/>
    <col width="9.140625" customWidth="1" style="131" min="51" max="51"/>
    <col width="9.140625" customWidth="1" style="131" min="52" max="52"/>
  </cols>
  <sheetData>
    <row r="1" ht="21.75" customHeight="1" s="131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5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  <c r="AJ1" s="134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</row>
    <row r="2" ht="24" customFormat="1" customHeight="1" s="2">
      <c r="A2" s="132" t="n"/>
      <c r="B2" s="360" t="n"/>
      <c r="C2" s="344" t="n"/>
      <c r="D2" s="344" t="n"/>
      <c r="E2" s="344" t="n"/>
      <c r="F2" s="344" t="n"/>
      <c r="G2" s="344" t="n"/>
      <c r="H2" s="344" t="n"/>
      <c r="I2" s="344" t="n"/>
      <c r="J2" s="344" t="n"/>
      <c r="K2" s="344" t="n"/>
      <c r="L2" s="344" t="n"/>
      <c r="M2" s="344" t="n"/>
      <c r="N2" s="344" t="n"/>
      <c r="O2" s="344" t="n"/>
      <c r="P2" s="344" t="n"/>
      <c r="Q2" s="344" t="n"/>
      <c r="R2" s="344" t="n"/>
      <c r="S2" s="344" t="n"/>
      <c r="T2" s="344" t="n"/>
      <c r="U2" s="344" t="n"/>
      <c r="V2" s="344" t="n"/>
      <c r="W2" s="344" t="n"/>
      <c r="X2" s="344" t="n"/>
      <c r="Y2" s="344" t="n"/>
      <c r="Z2" s="344" t="n"/>
      <c r="AA2" s="344" t="n"/>
      <c r="AB2" s="361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  <c r="AO2" s="136" t="n"/>
      <c r="AP2" s="136" t="n"/>
      <c r="AQ2" s="136" t="n"/>
      <c r="AR2" s="136" t="n"/>
      <c r="AS2" s="136" t="n"/>
      <c r="AT2" s="136" t="n"/>
      <c r="AU2" s="136" t="n"/>
      <c r="AV2" s="136" t="n"/>
      <c r="AW2" s="136" t="n"/>
    </row>
    <row r="3" ht="20.25" customHeight="1" s="131">
      <c r="A3" s="177" t="inlineStr">
        <is>
          <t>COMPETITIVE RENT ANALYSIS — THOMASVILLE CHURCH HOMES | GREEN = Affordable Comps | BLUE = Market Rate Comps</t>
        </is>
      </c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</row>
    <row r="4" ht="69" customHeight="1" s="131">
      <c r="A4" s="176" t="inlineStr">
        <is>
          <t>SUBJECT: Thomasville Church Homes | 904 Doak Street, Thomasville, NC 27360 | 100 units | Program: Section 8/HUD | Bedroom Mix: 1BR / 2BR / 3BR / 4BR | County AMI: $80,300 | FMR Area: High Point-Thomasville MSA</t>
        </is>
      </c>
      <c r="AJ4" s="136" t="n"/>
      <c r="AK4" s="136" t="n"/>
      <c r="AL4" s="136" t="n"/>
      <c r="AM4" s="136" t="n"/>
      <c r="AN4" s="136" t="n"/>
      <c r="AO4" s="136" t="n"/>
      <c r="AP4" s="136" t="n"/>
      <c r="AQ4" s="136" t="n"/>
      <c r="AR4" s="136" t="n"/>
      <c r="AS4" s="136" t="n"/>
      <c r="AT4" s="136" t="n"/>
      <c r="AU4" s="136" t="n"/>
      <c r="AV4" s="136" t="n"/>
      <c r="AW4" s="136" t="n"/>
    </row>
    <row r="5" ht="30" customHeight="1" s="131">
      <c r="A5" s="30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J5" s="136" t="n"/>
      <c r="AK5" s="136" t="n"/>
      <c r="AL5" s="136" t="n"/>
      <c r="AM5" s="136" t="n"/>
      <c r="AN5" s="136" t="n"/>
      <c r="AO5" s="136" t="n"/>
      <c r="AP5" s="136" t="n"/>
      <c r="AQ5" s="136" t="n"/>
      <c r="AR5" s="136" t="n"/>
      <c r="AS5" s="136" t="n"/>
      <c r="AT5" s="136" t="n"/>
      <c r="AU5" s="136" t="n"/>
      <c r="AV5" s="136" t="n"/>
      <c r="AW5" s="136" t="n"/>
    </row>
    <row r="6" ht="26.25" customHeight="1" s="131">
      <c r="A6" s="337" t="inlineStr">
        <is>
          <t>Rank</t>
        </is>
      </c>
      <c r="B6" s="334" t="inlineStr">
        <is>
          <t>Type</t>
        </is>
      </c>
      <c r="C6" s="280" t="inlineStr">
        <is>
          <t>Property Name</t>
        </is>
      </c>
      <c r="D6" s="280" t="inlineStr">
        <is>
          <t>Address</t>
        </is>
      </c>
      <c r="E6" s="280" t="inlineStr">
        <is>
          <t>City</t>
        </is>
      </c>
      <c r="F6" s="279" t="inlineStr">
        <is>
          <t>State</t>
        </is>
      </c>
      <c r="G6" s="279" t="inlineStr">
        <is>
          <t>ZIP</t>
        </is>
      </c>
      <c r="H6" s="279" t="inlineStr">
        <is>
          <t>Distance (mi)</t>
        </is>
      </c>
      <c r="I6" s="279" t="inlineStr">
        <is>
          <t>1BD 50% AMI ($)</t>
        </is>
      </c>
      <c r="J6" s="280" t="inlineStr">
        <is>
          <t>1BD 60% AMI ($)</t>
        </is>
      </c>
      <c r="K6" s="280" t="inlineStr">
        <is>
          <t>1BR FMR ($)</t>
        </is>
      </c>
      <c r="L6" s="335" t="inlineStr">
        <is>
          <t>1BR Actual ($)</t>
        </is>
      </c>
      <c r="M6" s="281" t="inlineStr">
        <is>
          <t>2BD 50% AMI ($)</t>
        </is>
      </c>
      <c r="N6" s="280" t="inlineStr">
        <is>
          <t>2BD 60% AMI ($)</t>
        </is>
      </c>
      <c r="O6" s="280" t="inlineStr">
        <is>
          <t>2BR FMR ($)</t>
        </is>
      </c>
      <c r="P6" s="335" t="inlineStr">
        <is>
          <t>2BR Actual ($)</t>
        </is>
      </c>
      <c r="Q6" s="281" t="inlineStr">
        <is>
          <t>3BD 50% AMI ($)</t>
        </is>
      </c>
      <c r="R6" s="280" t="inlineStr">
        <is>
          <t>3BD 60% AMI ($)</t>
        </is>
      </c>
      <c r="S6" s="280" t="inlineStr">
        <is>
          <t>3BR FMR ($)</t>
        </is>
      </c>
      <c r="T6" s="339" t="inlineStr">
        <is>
          <t>3BR Actual ($)</t>
        </is>
      </c>
      <c r="U6" s="339" t="inlineStr">
        <is>
          <t>4BD 50% AMI ($)</t>
        </is>
      </c>
      <c r="V6" s="339" t="inlineStr">
        <is>
          <t>4BD 60% AMI ($)</t>
        </is>
      </c>
      <c r="W6" s="339" t="inlineStr">
        <is>
          <t>4BR FMR ($)</t>
        </is>
      </c>
      <c r="X6" s="339" t="inlineStr">
        <is>
          <t>4BR Actual ($)</t>
        </is>
      </c>
      <c r="Y6" s="339" t="inlineStr">
        <is>
          <t># Units</t>
        </is>
      </c>
      <c r="Z6" s="336" t="inlineStr">
        <is>
          <t>Year Built</t>
        </is>
      </c>
      <c r="AA6" s="340" t="inlineStr">
        <is>
          <t>Yr Diff</t>
        </is>
      </c>
      <c r="AB6" s="342" t="inlineStr">
        <is>
          <t>Utilities Incl.</t>
        </is>
      </c>
      <c r="AC6" s="136" t="inlineStr">
        <is>
          <t>Pet Friendly</t>
        </is>
      </c>
      <c r="AD6" s="136" t="inlineStr">
        <is>
          <t>Gated</t>
        </is>
      </c>
      <c r="AE6" s="136" t="inlineStr">
        <is>
          <t>Pool</t>
        </is>
      </c>
      <c r="AF6" s="136" t="inlineStr">
        <is>
          <t>W/D In-Unit</t>
        </is>
      </c>
      <c r="AG6" s="136" t="inlineStr">
        <is>
          <t>Competition Level</t>
        </is>
      </c>
      <c r="AH6" s="136" t="inlineStr">
        <is>
          <t>Why Competitive</t>
        </is>
      </c>
      <c r="AI6" s="136" t="inlineStr">
        <is>
          <t>Data Source</t>
        </is>
      </c>
      <c r="AJ6" s="136" t="n"/>
      <c r="AK6" s="136" t="n"/>
      <c r="AL6" s="136" t="n"/>
      <c r="AM6" s="136" t="n"/>
      <c r="AN6" s="136" t="n"/>
      <c r="AO6" s="136" t="n"/>
      <c r="AP6" s="136" t="n"/>
      <c r="AQ6" s="136" t="n"/>
      <c r="AR6" s="136" t="n"/>
      <c r="AS6" s="136" t="n"/>
      <c r="AT6" s="136" t="n"/>
      <c r="AU6" s="136" t="n"/>
      <c r="AV6" s="136" t="n"/>
      <c r="AW6" s="136" t="n"/>
    </row>
    <row r="7" ht="26.25" customHeight="1" s="131">
      <c r="A7" s="367" t="inlineStr">
        <is>
          <t>★</t>
        </is>
      </c>
      <c r="B7" s="174" t="inlineStr">
        <is>
          <t>SUBJECT</t>
        </is>
      </c>
      <c r="C7" s="174" t="inlineStr">
        <is>
          <t>Thomasville Church Homes (SUBJECT)</t>
        </is>
      </c>
      <c r="D7" s="174" t="inlineStr">
        <is>
          <t>904 Doak Street</t>
        </is>
      </c>
      <c r="E7" s="174" t="inlineStr">
        <is>
          <t>Thomasville</t>
        </is>
      </c>
      <c r="F7" s="174" t="inlineStr">
        <is>
          <t>NC</t>
        </is>
      </c>
      <c r="G7" s="174" t="inlineStr">
        <is>
          <t>27360</t>
        </is>
      </c>
      <c r="H7" s="174" t="inlineStr">
        <is>
          <t>0.0 mi</t>
        </is>
      </c>
      <c r="I7" s="174" t="inlineStr">
        <is>
          <t>$2,512</t>
        </is>
      </c>
      <c r="J7" s="174" t="inlineStr">
        <is>
          <t>$3,015</t>
        </is>
      </c>
      <c r="K7" s="174" t="inlineStr">
        <is>
          <t>$704</t>
        </is>
      </c>
      <c r="L7" s="368">
        <f>B26</f>
        <v/>
      </c>
      <c r="M7" s="174" t="inlineStr">
        <is>
          <t>$3,012</t>
        </is>
      </c>
      <c r="N7" s="174" t="inlineStr">
        <is>
          <t>$3,615</t>
        </is>
      </c>
      <c r="O7" s="174" t="inlineStr">
        <is>
          <t>$964</t>
        </is>
      </c>
      <c r="P7" s="368">
        <f>B27</f>
        <v/>
      </c>
      <c r="Q7" s="174" t="inlineStr">
        <is>
          <t>$3,345</t>
        </is>
      </c>
      <c r="R7" s="174" t="inlineStr">
        <is>
          <t>$4,015</t>
        </is>
      </c>
      <c r="S7" s="174" t="inlineStr">
        <is>
          <t>$1,448</t>
        </is>
      </c>
      <c r="T7" s="368">
        <f>B28</f>
        <v/>
      </c>
      <c r="U7" s="174" t="inlineStr">
        <is>
          <t>$3,616</t>
        </is>
      </c>
      <c r="V7" s="174" t="inlineStr">
        <is>
          <t>$4,340</t>
        </is>
      </c>
      <c r="W7" s="174" t="inlineStr">
        <is>
          <t>$1,673</t>
        </is>
      </c>
      <c r="X7" s="174" t="inlineStr">
        <is>
          <t>N/A</t>
        </is>
      </c>
      <c r="Y7" s="42" t="inlineStr">
        <is>
          <t>100</t>
        </is>
      </c>
      <c r="Z7" s="55" t="inlineStr">
        <is>
          <t>1975</t>
        </is>
      </c>
      <c r="AA7" s="40" t="inlineStr">
        <is>
          <t>0</t>
        </is>
      </c>
      <c r="AB7" s="136" t="inlineStr">
        <is>
          <t>Yes</t>
        </is>
      </c>
      <c r="AC7" s="136" t="inlineStr">
        <is>
          <t>No</t>
        </is>
      </c>
      <c r="AD7" s="136" t="inlineStr">
        <is>
          <t>No</t>
        </is>
      </c>
      <c r="AE7" s="136" t="inlineStr">
        <is>
          <t>No</t>
        </is>
      </c>
      <c r="AF7" s="136" t="inlineStr">
        <is>
          <t>No</t>
        </is>
      </c>
      <c r="AG7" s="136" t="inlineStr">
        <is>
          <t>SUBJECT</t>
        </is>
      </c>
      <c r="AH7" s="136" t="inlineStr">
        <is>
          <t>100 units | Section 8/HUD property. Year built: 1975. Subject property for market context.</t>
        </is>
      </c>
      <c r="AI7" s="136" t="inlineStr">
        <is>
          <t>Apartment Corp Records</t>
        </is>
      </c>
      <c r="AJ7" s="136" t="n"/>
      <c r="AK7" s="136" t="n"/>
      <c r="AL7" s="136" t="n"/>
      <c r="AM7" s="136" t="n"/>
      <c r="AN7" s="136" t="n"/>
      <c r="AO7" s="136" t="n"/>
      <c r="AP7" s="136" t="n"/>
      <c r="AQ7" s="136" t="n"/>
      <c r="AR7" s="136" t="n"/>
      <c r="AS7" s="136" t="n"/>
      <c r="AT7" s="136" t="n"/>
      <c r="AU7" s="136" t="n"/>
      <c r="AV7" s="136" t="n"/>
      <c r="AW7" s="136" t="n"/>
    </row>
    <row r="8" ht="24.75" customHeight="1" s="131">
      <c r="A8" s="59" t="inlineStr">
        <is>
          <t>1</t>
        </is>
      </c>
      <c r="B8" s="61" t="inlineStr">
        <is>
          <t>AFFORDABLE</t>
        </is>
      </c>
      <c r="C8" s="64" t="inlineStr">
        <is>
          <t>High Point Housing Authority - Southside Homes</t>
        </is>
      </c>
      <c r="D8" s="59" t="inlineStr">
        <is>
          <t>1000 S Main St</t>
        </is>
      </c>
      <c r="E8" s="59" t="inlineStr">
        <is>
          <t>High Point</t>
        </is>
      </c>
      <c r="F8" s="59" t="inlineStr">
        <is>
          <t>NC</t>
        </is>
      </c>
      <c r="G8" s="59" t="inlineStr">
        <is>
          <t>27260</t>
        </is>
      </c>
      <c r="H8" s="59" t="inlineStr">
        <is>
          <t>12.0 mi</t>
        </is>
      </c>
      <c r="I8" s="59" t="inlineStr">
        <is>
          <t>$2,512</t>
        </is>
      </c>
      <c r="J8" s="59" t="inlineStr">
        <is>
          <t>$3,015</t>
        </is>
      </c>
      <c r="K8" s="41" t="inlineStr">
        <is>
          <t>$704</t>
        </is>
      </c>
      <c r="L8" s="53" t="inlineStr">
        <is>
          <t>Not Listed</t>
        </is>
      </c>
      <c r="M8" s="43" t="inlineStr">
        <is>
          <t>$3,012</t>
        </is>
      </c>
      <c r="N8" s="43" t="inlineStr">
        <is>
          <t>$3,615</t>
        </is>
      </c>
      <c r="O8" s="41" t="inlineStr">
        <is>
          <t>$964</t>
        </is>
      </c>
      <c r="P8" s="53" t="inlineStr">
        <is>
          <t>Not Listed</t>
        </is>
      </c>
      <c r="Q8" s="43" t="inlineStr">
        <is>
          <t>$3,345</t>
        </is>
      </c>
      <c r="R8" s="43" t="inlineStr">
        <is>
          <t>$4,015</t>
        </is>
      </c>
      <c r="S8" s="43" t="inlineStr">
        <is>
          <t>$1,448</t>
        </is>
      </c>
      <c r="T8" s="43" t="inlineStr">
        <is>
          <t>Not Listed</t>
        </is>
      </c>
      <c r="U8" s="43" t="inlineStr">
        <is>
          <t>$3,616</t>
        </is>
      </c>
      <c r="V8" s="43" t="inlineStr">
        <is>
          <t>$4,340</t>
        </is>
      </c>
      <c r="W8" s="43" t="inlineStr">
        <is>
          <t>$1,673</t>
        </is>
      </c>
      <c r="X8" s="43" t="inlineStr">
        <is>
          <t>Not Listed</t>
        </is>
      </c>
      <c r="Y8" s="44" t="inlineStr">
        <is>
          <t>100</t>
        </is>
      </c>
      <c r="Z8" s="56" t="inlineStr">
        <is>
          <t>1975</t>
        </is>
      </c>
      <c r="AA8" s="43" t="inlineStr">
        <is>
          <t>0</t>
        </is>
      </c>
      <c r="AB8" s="136" t="inlineStr">
        <is>
          <t>Yes</t>
        </is>
      </c>
      <c r="AC8" s="136" t="inlineStr">
        <is>
          <t>No</t>
        </is>
      </c>
      <c r="AD8" s="136" t="inlineStr">
        <is>
          <t>No</t>
        </is>
      </c>
      <c r="AE8" s="136" t="inlineStr">
        <is>
          <t>No</t>
        </is>
      </c>
      <c r="AF8" s="136" t="inlineStr">
        <is>
          <t>No</t>
        </is>
      </c>
      <c r="AG8" s="136" t="inlineStr">
        <is>
          <t>HIGH</t>
        </is>
      </c>
      <c r="AH8" s="136" t="inlineStr">
        <is>
          <t>Affordable Comp #1: Section 8/HUD property, 1975 vintage (0 yr diff), 100 units, 12.0 mi from subject. Same income-eligible renter pool.</t>
        </is>
      </c>
      <c r="AI8" s="136" t="inlineStr">
        <is>
          <t>High Point Housing Authority</t>
        </is>
      </c>
      <c r="AJ8" s="136" t="n"/>
      <c r="AK8" s="136" t="n"/>
      <c r="AL8" s="136" t="n"/>
      <c r="AM8" s="136" t="n"/>
      <c r="AN8" s="136" t="n"/>
      <c r="AO8" s="136" t="n"/>
      <c r="AP8" s="136" t="n"/>
      <c r="AQ8" s="136" t="n"/>
      <c r="AR8" s="136" t="n"/>
      <c r="AS8" s="136" t="n"/>
      <c r="AT8" s="136" t="n"/>
      <c r="AU8" s="136" t="n"/>
      <c r="AV8" s="136" t="n"/>
      <c r="AW8" s="136" t="n"/>
    </row>
    <row r="9" ht="29.25" customHeight="1" s="131">
      <c r="A9" s="125" t="inlineStr">
        <is>
          <t>2</t>
        </is>
      </c>
      <c r="B9" s="126" t="inlineStr">
        <is>
          <t>AFFORDABLE</t>
        </is>
      </c>
      <c r="C9" s="127" t="inlineStr">
        <is>
          <t>Lexington Manor Apartments</t>
        </is>
      </c>
      <c r="D9" s="125" t="inlineStr">
        <is>
          <t>600 W Center St Ext</t>
        </is>
      </c>
      <c r="E9" s="125" t="inlineStr">
        <is>
          <t>Lexington</t>
        </is>
      </c>
      <c r="F9" s="125" t="inlineStr">
        <is>
          <t>NC</t>
        </is>
      </c>
      <c r="G9" s="125" t="inlineStr">
        <is>
          <t>27292</t>
        </is>
      </c>
      <c r="H9" s="125" t="inlineStr">
        <is>
          <t>10.5 mi</t>
        </is>
      </c>
      <c r="I9" s="125" t="inlineStr">
        <is>
          <t>$2,512</t>
        </is>
      </c>
      <c r="J9" s="125" t="inlineStr">
        <is>
          <t>$3,015</t>
        </is>
      </c>
      <c r="K9" s="85" t="inlineStr">
        <is>
          <t>$704</t>
        </is>
      </c>
      <c r="L9" s="86" t="inlineStr">
        <is>
          <t>Not Listed</t>
        </is>
      </c>
      <c r="M9" s="128" t="inlineStr">
        <is>
          <t>$3,012</t>
        </is>
      </c>
      <c r="N9" s="128" t="inlineStr">
        <is>
          <t>$3,615</t>
        </is>
      </c>
      <c r="O9" s="85" t="inlineStr">
        <is>
          <t>$964</t>
        </is>
      </c>
      <c r="P9" s="86" t="inlineStr">
        <is>
          <t>Not Listed</t>
        </is>
      </c>
      <c r="Q9" s="128" t="inlineStr">
        <is>
          <t>$3,345</t>
        </is>
      </c>
      <c r="R9" s="128" t="inlineStr">
        <is>
          <t>$4,015</t>
        </is>
      </c>
      <c r="S9" s="128" t="inlineStr">
        <is>
          <t>$1,448</t>
        </is>
      </c>
      <c r="T9" s="128" t="inlineStr">
        <is>
          <t>Not Listed</t>
        </is>
      </c>
      <c r="U9" s="128" t="inlineStr">
        <is>
          <t>$3,616</t>
        </is>
      </c>
      <c r="V9" s="128" t="inlineStr">
        <is>
          <t>$4,340</t>
        </is>
      </c>
      <c r="W9" s="128" t="inlineStr">
        <is>
          <t>$1,673</t>
        </is>
      </c>
      <c r="X9" s="128" t="inlineStr">
        <is>
          <t>Not Listed</t>
        </is>
      </c>
      <c r="Y9" s="129" t="inlineStr">
        <is>
          <t>96</t>
        </is>
      </c>
      <c r="Z9" s="130" t="inlineStr">
        <is>
          <t>1976</t>
        </is>
      </c>
      <c r="AA9" s="128" t="inlineStr">
        <is>
          <t>1</t>
        </is>
      </c>
      <c r="AB9" s="136" t="inlineStr">
        <is>
          <t>Yes</t>
        </is>
      </c>
      <c r="AC9" s="136" t="inlineStr">
        <is>
          <t>No</t>
        </is>
      </c>
      <c r="AD9" s="136" t="inlineStr">
        <is>
          <t>No</t>
        </is>
      </c>
      <c r="AE9" s="136" t="inlineStr">
        <is>
          <t>No</t>
        </is>
      </c>
      <c r="AF9" s="136" t="inlineStr">
        <is>
          <t>No</t>
        </is>
      </c>
      <c r="AG9" s="136" t="inlineStr">
        <is>
          <t>HIGH</t>
        </is>
      </c>
      <c r="AH9" s="136" t="inlineStr">
        <is>
          <t>Affordable Comp #2: Section 8/HUD property, 1976 vintage (1 yr diff), 96 units, 10.5 mi from subject. Same income-eligible renter pool.</t>
        </is>
      </c>
      <c r="AI9" s="136" t="inlineStr">
        <is>
          <t>HUD Multifamily Assisted Housing</t>
        </is>
      </c>
      <c r="AJ9" s="136" t="n"/>
      <c r="AK9" s="136" t="n"/>
      <c r="AL9" s="136" t="n"/>
      <c r="AM9" s="136" t="n"/>
      <c r="AN9" s="136" t="n"/>
      <c r="AO9" s="136" t="n"/>
      <c r="AP9" s="136" t="n"/>
      <c r="AQ9" s="136" t="n"/>
      <c r="AR9" s="136" t="n"/>
      <c r="AS9" s="136" t="n"/>
      <c r="AT9" s="136" t="n"/>
      <c r="AU9" s="136" t="n"/>
      <c r="AV9" s="136" t="n"/>
      <c r="AW9" s="136" t="n"/>
    </row>
    <row r="10" ht="26.25" customHeight="1" s="131">
      <c r="A10" s="104" t="inlineStr">
        <is>
          <t>3</t>
        </is>
      </c>
      <c r="B10" s="105" t="inlineStr">
        <is>
          <t>AFFORDABLE</t>
        </is>
      </c>
      <c r="C10" s="106" t="inlineStr">
        <is>
          <t>Asheboro Gardens</t>
        </is>
      </c>
      <c r="D10" s="107" t="inlineStr">
        <is>
          <t>400 Sunset Ave</t>
        </is>
      </c>
      <c r="E10" s="107" t="inlineStr">
        <is>
          <t>Asheboro</t>
        </is>
      </c>
      <c r="F10" s="107" t="inlineStr">
        <is>
          <t>NC</t>
        </is>
      </c>
      <c r="G10" s="107" t="inlineStr">
        <is>
          <t>27203</t>
        </is>
      </c>
      <c r="H10" s="107" t="inlineStr">
        <is>
          <t>28.0 mi</t>
        </is>
      </c>
      <c r="I10" s="107" t="inlineStr">
        <is>
          <t>$2,512</t>
        </is>
      </c>
      <c r="J10" s="107" t="inlineStr">
        <is>
          <t>$3,015</t>
        </is>
      </c>
      <c r="K10" s="80" t="inlineStr">
        <is>
          <t>$704</t>
        </is>
      </c>
      <c r="L10" s="81" t="inlineStr">
        <is>
          <t>Not Listed</t>
        </is>
      </c>
      <c r="M10" s="108" t="inlineStr">
        <is>
          <t>$3,012</t>
        </is>
      </c>
      <c r="N10" s="108" t="inlineStr">
        <is>
          <t>$3,615</t>
        </is>
      </c>
      <c r="O10" s="80" t="inlineStr">
        <is>
          <t>$964</t>
        </is>
      </c>
      <c r="P10" s="81" t="inlineStr">
        <is>
          <t>Not Listed</t>
        </is>
      </c>
      <c r="Q10" s="108" t="inlineStr">
        <is>
          <t>$3,345</t>
        </is>
      </c>
      <c r="R10" s="108" t="inlineStr">
        <is>
          <t>$4,015</t>
        </is>
      </c>
      <c r="S10" s="108" t="inlineStr">
        <is>
          <t>$1,448</t>
        </is>
      </c>
      <c r="T10" s="108" t="inlineStr">
        <is>
          <t>Not Listed</t>
        </is>
      </c>
      <c r="U10" s="108" t="inlineStr">
        <is>
          <t>$3,616</t>
        </is>
      </c>
      <c r="V10" s="108" t="inlineStr">
        <is>
          <t>$4,340</t>
        </is>
      </c>
      <c r="W10" s="108" t="inlineStr">
        <is>
          <t>$1,673</t>
        </is>
      </c>
      <c r="X10" s="108" t="inlineStr">
        <is>
          <t>Not Listed</t>
        </is>
      </c>
      <c r="Y10" s="109" t="inlineStr">
        <is>
          <t>104</t>
        </is>
      </c>
      <c r="Z10" s="110" t="inlineStr">
        <is>
          <t>1974</t>
        </is>
      </c>
      <c r="AA10" s="111" t="inlineStr">
        <is>
          <t>1</t>
        </is>
      </c>
      <c r="AB10" s="134" t="inlineStr">
        <is>
          <t>Yes</t>
        </is>
      </c>
      <c r="AC10" s="136" t="inlineStr">
        <is>
          <t>No</t>
        </is>
      </c>
      <c r="AD10" s="136" t="inlineStr">
        <is>
          <t>No</t>
        </is>
      </c>
      <c r="AE10" s="136" t="inlineStr">
        <is>
          <t>No</t>
        </is>
      </c>
      <c r="AF10" s="136" t="inlineStr">
        <is>
          <t>No</t>
        </is>
      </c>
      <c r="AG10" s="136" t="inlineStr">
        <is>
          <t>MODERATE-HIGH</t>
        </is>
      </c>
      <c r="AH10" s="136" t="inlineStr">
        <is>
          <t>Affordable Comp #3: Section 8/HUD property, 1974 vintage (1 yr diff), 104 units, 28.0 mi from subject. Same income-eligible renter pool.</t>
        </is>
      </c>
      <c r="AI10" s="136" t="inlineStr">
        <is>
          <t>HUD Multifamily Assisted Housing</t>
        </is>
      </c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</row>
    <row r="11" ht="37.5" customHeight="1" s="131">
      <c r="A11" s="112" t="inlineStr">
        <is>
          <t>4</t>
        </is>
      </c>
      <c r="B11" s="69" t="inlineStr">
        <is>
          <t>AFFORDABLE</t>
        </is>
      </c>
      <c r="C11" s="66" t="inlineStr">
        <is>
          <t>Thomasville Housing Authority - Sunrise Homes</t>
        </is>
      </c>
      <c r="D11" s="95" t="inlineStr">
        <is>
          <t>200 Sunrise Dr</t>
        </is>
      </c>
      <c r="E11" s="95" t="inlineStr">
        <is>
          <t>Thomasville</t>
        </is>
      </c>
      <c r="F11" s="95" t="inlineStr">
        <is>
          <t>NC</t>
        </is>
      </c>
      <c r="G11" s="95" t="inlineStr">
        <is>
          <t>27360</t>
        </is>
      </c>
      <c r="H11" s="95" t="inlineStr">
        <is>
          <t>1.5 mi</t>
        </is>
      </c>
      <c r="I11" s="95" t="inlineStr">
        <is>
          <t>$2,512</t>
        </is>
      </c>
      <c r="J11" s="95" t="inlineStr">
        <is>
          <t>$3,015</t>
        </is>
      </c>
      <c r="K11" s="39" t="inlineStr">
        <is>
          <t>$704</t>
        </is>
      </c>
      <c r="L11" s="53" t="inlineStr">
        <is>
          <t>Not Listed</t>
        </is>
      </c>
      <c r="M11" s="96" t="inlineStr">
        <is>
          <t>$3,012</t>
        </is>
      </c>
      <c r="N11" s="96" t="inlineStr">
        <is>
          <t>$3,615</t>
        </is>
      </c>
      <c r="O11" s="39" t="inlineStr">
        <is>
          <t>$964</t>
        </is>
      </c>
      <c r="P11" s="53" t="inlineStr">
        <is>
          <t>Not Listed</t>
        </is>
      </c>
      <c r="Q11" s="96" t="inlineStr">
        <is>
          <t>$3,345</t>
        </is>
      </c>
      <c r="R11" s="96" t="inlineStr">
        <is>
          <t>$4,015</t>
        </is>
      </c>
      <c r="S11" s="96" t="inlineStr">
        <is>
          <t>$1,448</t>
        </is>
      </c>
      <c r="T11" s="96" t="inlineStr">
        <is>
          <t>Not Listed</t>
        </is>
      </c>
      <c r="U11" s="96" t="inlineStr">
        <is>
          <t>$3,616</t>
        </is>
      </c>
      <c r="V11" s="96" t="inlineStr">
        <is>
          <t>$4,340</t>
        </is>
      </c>
      <c r="W11" s="96" t="inlineStr">
        <is>
          <t>$1,673</t>
        </is>
      </c>
      <c r="X11" s="96" t="inlineStr">
        <is>
          <t>Not Listed</t>
        </is>
      </c>
      <c r="Y11" s="45" t="inlineStr">
        <is>
          <t>96</t>
        </is>
      </c>
      <c r="Z11" s="97" t="inlineStr">
        <is>
          <t>1976</t>
        </is>
      </c>
      <c r="AA11" s="113" t="inlineStr">
        <is>
          <t>1</t>
        </is>
      </c>
      <c r="AB11" s="134" t="inlineStr">
        <is>
          <t>Yes</t>
        </is>
      </c>
      <c r="AC11" s="136" t="inlineStr">
        <is>
          <t>No</t>
        </is>
      </c>
      <c r="AD11" s="136" t="inlineStr">
        <is>
          <t>No</t>
        </is>
      </c>
      <c r="AE11" s="136" t="inlineStr">
        <is>
          <t>No</t>
        </is>
      </c>
      <c r="AF11" s="136" t="inlineStr">
        <is>
          <t>No</t>
        </is>
      </c>
      <c r="AG11" s="136" t="inlineStr">
        <is>
          <t>HIGH</t>
        </is>
      </c>
      <c r="AH11" s="136" t="inlineStr">
        <is>
          <t>Affordable Comp #4: Public Housing/HUD property, 1976 vintage (1 yr diff), 96 units, 1.5 mi from subject. Same income-eligible renter pool.</t>
        </is>
      </c>
      <c r="AI11" s="136" t="inlineStr">
        <is>
          <t>Thomasville Housing Authority</t>
        </is>
      </c>
      <c r="AJ11" s="136" t="n"/>
      <c r="AK11" s="136" t="n"/>
      <c r="AL11" s="136" t="n"/>
      <c r="AM11" s="136" t="n"/>
      <c r="AN11" s="136" t="n"/>
      <c r="AO11" s="136" t="n"/>
      <c r="AP11" s="136" t="n"/>
      <c r="AQ11" s="136" t="n"/>
      <c r="AR11" s="136" t="n"/>
      <c r="AS11" s="136" t="n"/>
      <c r="AT11" s="136" t="n"/>
      <c r="AU11" s="136" t="n"/>
      <c r="AV11" s="136" t="n"/>
      <c r="AW11" s="136" t="n"/>
    </row>
    <row r="12" ht="37.5" customHeight="1" s="131">
      <c r="A12" s="114" t="inlineStr">
        <is>
          <t>1</t>
        </is>
      </c>
      <c r="B12" s="70" t="inlineStr">
        <is>
          <t>MARKET RATE</t>
        </is>
      </c>
      <c r="C12" s="67" t="inlineStr">
        <is>
          <t>Southgate Gardens</t>
        </is>
      </c>
      <c r="D12" s="98" t="inlineStr">
        <is>
          <t>205 Arthur Dr</t>
        </is>
      </c>
      <c r="E12" s="98" t="inlineStr">
        <is>
          <t>Thomasville</t>
        </is>
      </c>
      <c r="F12" s="98" t="inlineStr">
        <is>
          <t>NC</t>
        </is>
      </c>
      <c r="G12" s="98" t="n"/>
      <c r="H12" s="98" t="inlineStr">
        <is>
          <t>0.5 mi</t>
        </is>
      </c>
      <c r="I12" s="98" t="inlineStr">
        <is>
          <t>N/A (Market Rate)</t>
        </is>
      </c>
      <c r="J12" s="98" t="inlineStr">
        <is>
          <t>N/A (Market Rate)</t>
        </is>
      </c>
      <c r="K12" s="39" t="inlineStr">
        <is>
          <t>$704</t>
        </is>
      </c>
      <c r="L12" s="53" t="n">
        <v>850</v>
      </c>
      <c r="M12" s="99" t="inlineStr">
        <is>
          <t>N/A (Market Rate)</t>
        </is>
      </c>
      <c r="N12" s="99" t="inlineStr">
        <is>
          <t>N/A (Market Rate)</t>
        </is>
      </c>
      <c r="O12" s="39" t="inlineStr">
        <is>
          <t>$964</t>
        </is>
      </c>
      <c r="P12" s="53" t="n">
        <v>955</v>
      </c>
      <c r="Q12" s="99" t="inlineStr">
        <is>
          <t>N/A (Market Rate)</t>
        </is>
      </c>
      <c r="R12" s="99" t="inlineStr">
        <is>
          <t>N/A (Market Rate)</t>
        </is>
      </c>
      <c r="S12" s="99" t="inlineStr">
        <is>
          <t>$1,448</t>
        </is>
      </c>
      <c r="T12" s="99" t="n">
        <v>1165</v>
      </c>
      <c r="U12" s="99" t="inlineStr">
        <is>
          <t>N/A (Market Rate)</t>
        </is>
      </c>
      <c r="V12" s="99" t="inlineStr">
        <is>
          <t>N/A (Market Rate)</t>
        </is>
      </c>
      <c r="W12" s="99" t="inlineStr">
        <is>
          <t>$1,673</t>
        </is>
      </c>
      <c r="X12" s="99" t="inlineStr">
        <is>
          <t>$1,700</t>
        </is>
      </c>
      <c r="Y12" s="46" t="inlineStr">
        <is>
          <t>N/A</t>
        </is>
      </c>
      <c r="Z12" s="100" t="inlineStr">
        <is>
          <t>1975</t>
        </is>
      </c>
      <c r="AA12" s="115" t="inlineStr">
        <is>
          <t>0</t>
        </is>
      </c>
      <c r="AB12" s="134" t="inlineStr">
        <is>
          <t>Varies</t>
        </is>
      </c>
      <c r="AC12" s="136" t="inlineStr">
        <is>
          <t>Varies</t>
        </is>
      </c>
      <c r="AD12" s="136" t="inlineStr">
        <is>
          <t>Varies</t>
        </is>
      </c>
      <c r="AE12" s="136" t="inlineStr">
        <is>
          <t>Varies</t>
        </is>
      </c>
      <c r="AF12" s="136" t="inlineStr">
        <is>
          <t>Varies</t>
        </is>
      </c>
      <c r="AG12" s="136" t="inlineStr">
        <is>
          <t>HIGH</t>
        </is>
      </c>
      <c r="AH12" s="136" t="inlineStr">
        <is>
          <t>Market Rate Comp #1: No income restrictions, 1975 vintage (0 yr diff), N/A units, N/A from subject. Shows market-rate rents vs. affordable housing discount.</t>
        </is>
      </c>
      <c r="AI12" s="136" t="inlineStr">
        <is>
          <t>HUD FY2026 FMR - Davidson County, NC (limited market rate listings for 1965-1985 vintage)</t>
        </is>
      </c>
      <c r="AJ12" s="136" t="n"/>
      <c r="AK12" s="136" t="n"/>
      <c r="AL12" s="136" t="n"/>
      <c r="AM12" s="136" t="n"/>
      <c r="AN12" s="136" t="n"/>
      <c r="AO12" s="136" t="n"/>
      <c r="AP12" s="136" t="n"/>
      <c r="AQ12" s="136" t="n"/>
      <c r="AR12" s="136" t="n"/>
      <c r="AS12" s="136" t="n"/>
      <c r="AT12" s="136" t="n"/>
      <c r="AU12" s="136" t="n"/>
      <c r="AV12" s="136" t="n"/>
      <c r="AW12" s="136" t="n"/>
    </row>
    <row r="13" ht="37.5" customHeight="1" s="131">
      <c r="A13" s="116" t="inlineStr">
        <is>
          <t>2</t>
        </is>
      </c>
      <c r="B13" s="71" t="inlineStr">
        <is>
          <t>Southgate Gardens</t>
        </is>
      </c>
      <c r="C13" s="68" t="inlineStr">
        <is>
          <t>Lionchase Apartments</t>
        </is>
      </c>
      <c r="D13" s="101" t="inlineStr">
        <is>
          <t>1311 Blair St</t>
        </is>
      </c>
      <c r="E13" s="101" t="inlineStr">
        <is>
          <t>Thomasville</t>
        </is>
      </c>
      <c r="F13" s="101" t="inlineStr">
        <is>
          <t>NC</t>
        </is>
      </c>
      <c r="G13" s="101" t="n"/>
      <c r="H13" s="101" t="inlineStr">
        <is>
          <t>0.8 mi</t>
        </is>
      </c>
      <c r="I13" s="101" t="inlineStr">
        <is>
          <t>N/A (Market Rate)</t>
        </is>
      </c>
      <c r="J13" s="101" t="inlineStr">
        <is>
          <t>N/A (Market Rate)</t>
        </is>
      </c>
      <c r="K13" s="39" t="inlineStr">
        <is>
          <t>$704</t>
        </is>
      </c>
      <c r="L13" s="53" t="n"/>
      <c r="M13" s="102" t="inlineStr">
        <is>
          <t>N/A (Market Rate)</t>
        </is>
      </c>
      <c r="N13" s="102" t="inlineStr">
        <is>
          <t>N/A (Market Rate)</t>
        </is>
      </c>
      <c r="O13" s="39" t="inlineStr">
        <is>
          <t>$964</t>
        </is>
      </c>
      <c r="P13" s="53" t="n">
        <v>1099</v>
      </c>
      <c r="Q13" s="102" t="inlineStr">
        <is>
          <t>N/A (Market Rate)</t>
        </is>
      </c>
      <c r="R13" s="102" t="inlineStr">
        <is>
          <t>N/A (Market Rate)</t>
        </is>
      </c>
      <c r="S13" s="102" t="inlineStr">
        <is>
          <t>$1,448</t>
        </is>
      </c>
      <c r="T13" s="102" t="n"/>
      <c r="U13" s="102" t="inlineStr">
        <is>
          <t>N/A (Market Rate)</t>
        </is>
      </c>
      <c r="V13" s="102" t="inlineStr">
        <is>
          <t>N/A (Market Rate)</t>
        </is>
      </c>
      <c r="W13" s="102" t="inlineStr">
        <is>
          <t>$1,673</t>
        </is>
      </c>
      <c r="X13" s="102" t="inlineStr">
        <is>
          <t>$1,725</t>
        </is>
      </c>
      <c r="Y13" s="47" t="inlineStr">
        <is>
          <t>80</t>
        </is>
      </c>
      <c r="Z13" s="103" t="inlineStr">
        <is>
          <t>1978</t>
        </is>
      </c>
      <c r="AA13" s="117" t="inlineStr">
        <is>
          <t>3</t>
        </is>
      </c>
      <c r="AB13" s="134" t="inlineStr">
        <is>
          <t>Varies</t>
        </is>
      </c>
      <c r="AC13" s="136" t="inlineStr">
        <is>
          <t>Varies</t>
        </is>
      </c>
      <c r="AD13" s="136" t="inlineStr">
        <is>
          <t>Varies</t>
        </is>
      </c>
      <c r="AE13" s="136" t="inlineStr">
        <is>
          <t>Varies</t>
        </is>
      </c>
      <c r="AF13" s="136" t="inlineStr">
        <is>
          <t>Varies</t>
        </is>
      </c>
      <c r="AG13" s="136" t="inlineStr">
        <is>
          <t>HIGH</t>
        </is>
      </c>
      <c r="AH13" s="136" t="inlineStr">
        <is>
          <t>Market Rate Comp #2: No income restrictions, 1978 vintage (3 yr diff), 80 units, 15.0 mi from subject. Shows market-rate rents vs. affordable housing discount.</t>
        </is>
      </c>
      <c r="AI13" s="136" t="inlineStr">
        <is>
          <t>https://www.rentcafe.com/apartments-for-rent/us/nc/high-point/</t>
        </is>
      </c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</row>
    <row r="14" ht="37.5" customHeight="1" s="131">
      <c r="A14" s="112" t="inlineStr">
        <is>
          <t>3</t>
        </is>
      </c>
      <c r="B14" s="69" t="inlineStr">
        <is>
          <t>Lionchase Apartments</t>
        </is>
      </c>
      <c r="C14" s="66" t="inlineStr">
        <is>
          <t>Holly Hill Townhomes</t>
        </is>
      </c>
      <c r="D14" s="95" t="inlineStr">
        <is>
          <t>50 W Holly Hill Dr</t>
        </is>
      </c>
      <c r="E14" s="95" t="inlineStr">
        <is>
          <t>Thomasville</t>
        </is>
      </c>
      <c r="F14" s="95" t="inlineStr">
        <is>
          <t>NC</t>
        </is>
      </c>
      <c r="G14" s="95" t="n"/>
      <c r="H14" s="95" t="inlineStr">
        <is>
          <t>1.0 mi</t>
        </is>
      </c>
      <c r="I14" s="95" t="inlineStr">
        <is>
          <t>N/A (Market Rate)</t>
        </is>
      </c>
      <c r="J14" s="95" t="inlineStr">
        <is>
          <t>N/A (Market Rate)</t>
        </is>
      </c>
      <c r="K14" s="39" t="inlineStr">
        <is>
          <t>$704</t>
        </is>
      </c>
      <c r="L14" s="53" t="n"/>
      <c r="M14" s="96" t="inlineStr">
        <is>
          <t>N/A (Market Rate)</t>
        </is>
      </c>
      <c r="N14" s="96" t="inlineStr">
        <is>
          <t>N/A (Market Rate)</t>
        </is>
      </c>
      <c r="O14" s="39" t="inlineStr">
        <is>
          <t>$964</t>
        </is>
      </c>
      <c r="P14" s="53" t="n">
        <v>1200</v>
      </c>
      <c r="Q14" s="96" t="inlineStr">
        <is>
          <t>N/A (Market Rate)</t>
        </is>
      </c>
      <c r="R14" s="96" t="inlineStr">
        <is>
          <t>N/A (Market Rate)</t>
        </is>
      </c>
      <c r="S14" s="96" t="inlineStr">
        <is>
          <t>$1,448</t>
        </is>
      </c>
      <c r="T14" s="96" t="n"/>
      <c r="U14" s="96" t="inlineStr">
        <is>
          <t>N/A (Market Rate)</t>
        </is>
      </c>
      <c r="V14" s="96" t="inlineStr">
        <is>
          <t>N/A (Market Rate)</t>
        </is>
      </c>
      <c r="W14" s="96" t="inlineStr">
        <is>
          <t>$1,673</t>
        </is>
      </c>
      <c r="X14" s="96" t="inlineStr">
        <is>
          <t>$1,750</t>
        </is>
      </c>
      <c r="Y14" s="45" t="inlineStr">
        <is>
          <t>96</t>
        </is>
      </c>
      <c r="Z14" s="97" t="inlineStr">
        <is>
          <t>1972</t>
        </is>
      </c>
      <c r="AA14" s="113" t="inlineStr">
        <is>
          <t>3</t>
        </is>
      </c>
      <c r="AB14" s="134" t="inlineStr">
        <is>
          <t>Varies</t>
        </is>
      </c>
      <c r="AC14" s="136" t="inlineStr">
        <is>
          <t>Varies</t>
        </is>
      </c>
      <c r="AD14" s="136" t="inlineStr">
        <is>
          <t>Varies</t>
        </is>
      </c>
      <c r="AE14" s="136" t="inlineStr">
        <is>
          <t>Varies</t>
        </is>
      </c>
      <c r="AF14" s="136" t="inlineStr">
        <is>
          <t>Varies</t>
        </is>
      </c>
      <c r="AG14" s="136" t="inlineStr">
        <is>
          <t>MODERATE-HIGH</t>
        </is>
      </c>
      <c r="AH14" s="136" t="inlineStr">
        <is>
          <t>Market Rate Comp #3: No income restrictions, 1972 vintage (3 yr diff), 96 units, 22.0 mi from subject. Shows market-rate rents vs. affordable housing discount.</t>
        </is>
      </c>
      <c r="AI14" s="136" t="inlineStr">
        <is>
          <t>https://www.rentcafe.com/apartments-for-rent/us/nc/greensboro/</t>
        </is>
      </c>
      <c r="AJ14" s="136" t="n"/>
      <c r="AK14" s="136" t="n"/>
      <c r="AL14" s="136" t="n"/>
      <c r="AM14" s="136" t="n"/>
      <c r="AN14" s="136" t="n"/>
      <c r="AO14" s="136" t="n"/>
      <c r="AP14" s="136" t="n"/>
      <c r="AQ14" s="136" t="n"/>
      <c r="AR14" s="136" t="n"/>
      <c r="AS14" s="136" t="n"/>
      <c r="AT14" s="136" t="n"/>
      <c r="AU14" s="136" t="n"/>
      <c r="AV14" s="136" t="n"/>
      <c r="AW14" s="136" t="n"/>
    </row>
    <row r="15" ht="40.5" customHeight="1" s="131">
      <c r="A15" s="112" t="inlineStr">
        <is>
          <t>4</t>
        </is>
      </c>
      <c r="B15" s="69" t="inlineStr">
        <is>
          <t>Creekside at Kennedy Mill</t>
        </is>
      </c>
      <c r="C15" s="66" t="inlineStr">
        <is>
          <t>Creekside at Kennedy Mill</t>
        </is>
      </c>
      <c r="D15" s="95" t="inlineStr">
        <is>
          <t>219 Dorothy St</t>
        </is>
      </c>
      <c r="E15" s="95" t="inlineStr">
        <is>
          <t>High Point</t>
        </is>
      </c>
      <c r="F15" s="95" t="inlineStr">
        <is>
          <t>NC</t>
        </is>
      </c>
      <c r="G15" s="95" t="n"/>
      <c r="H15" s="95" t="inlineStr">
        <is>
          <t>12.0 mi</t>
        </is>
      </c>
      <c r="I15" s="95" t="inlineStr">
        <is>
          <t>N/A (Market Rate)</t>
        </is>
      </c>
      <c r="J15" s="95" t="inlineStr">
        <is>
          <t>N/A (Market Rate)</t>
        </is>
      </c>
      <c r="K15" s="39" t="inlineStr">
        <is>
          <t>$704</t>
        </is>
      </c>
      <c r="L15" s="53" t="n"/>
      <c r="M15" s="96" t="inlineStr">
        <is>
          <t>N/A (Market Rate)</t>
        </is>
      </c>
      <c r="N15" s="96" t="inlineStr">
        <is>
          <t>N/A (Market Rate)</t>
        </is>
      </c>
      <c r="O15" s="39" t="inlineStr">
        <is>
          <t>$964</t>
        </is>
      </c>
      <c r="P15" s="53" t="n">
        <v>999</v>
      </c>
      <c r="Q15" s="96" t="inlineStr">
        <is>
          <t>N/A (Market Rate)</t>
        </is>
      </c>
      <c r="R15" s="96" t="inlineStr">
        <is>
          <t>N/A (Market Rate)</t>
        </is>
      </c>
      <c r="S15" s="96" t="inlineStr">
        <is>
          <t>$1,448</t>
        </is>
      </c>
      <c r="T15" s="96" t="n"/>
      <c r="U15" s="96" t="inlineStr">
        <is>
          <t>N/A (Market Rate)</t>
        </is>
      </c>
      <c r="V15" s="96" t="inlineStr">
        <is>
          <t>N/A (Market Rate)</t>
        </is>
      </c>
      <c r="W15" s="96" t="inlineStr">
        <is>
          <t>$1,673</t>
        </is>
      </c>
      <c r="X15" s="96" t="inlineStr">
        <is>
          <t>$1,725</t>
        </is>
      </c>
      <c r="Y15" s="45" t="inlineStr">
        <is>
          <t>80</t>
        </is>
      </c>
      <c r="Z15" s="97" t="inlineStr">
        <is>
          <t>1977</t>
        </is>
      </c>
      <c r="AA15" s="113" t="inlineStr">
        <is>
          <t>2</t>
        </is>
      </c>
      <c r="AB15" s="134" t="inlineStr">
        <is>
          <t>Varies</t>
        </is>
      </c>
      <c r="AC15" s="136" t="inlineStr">
        <is>
          <t>Varies</t>
        </is>
      </c>
      <c r="AD15" s="136" t="inlineStr">
        <is>
          <t>Varies</t>
        </is>
      </c>
      <c r="AE15" s="136" t="inlineStr">
        <is>
          <t>Varies</t>
        </is>
      </c>
      <c r="AF15" s="136" t="inlineStr">
        <is>
          <t>Varies</t>
        </is>
      </c>
      <c r="AG15" s="136" t="inlineStr">
        <is>
          <t>MODERATE-HIGH</t>
        </is>
      </c>
      <c r="AH15" s="136" t="inlineStr">
        <is>
          <t>Market Rate Comp #4: No income restrictions, 1977 vintage (2 yr diff), 80 units, 16.0 mi from subject. Shows market-rate rents vs. affordable housing discount.</t>
        </is>
      </c>
      <c r="AI15" s="136" t="inlineStr">
        <is>
          <t>https://www.rentcafe.com/apartments-for-rent/us/nc/high-point/</t>
        </is>
      </c>
      <c r="AJ15" s="136" t="n"/>
      <c r="AK15" s="136" t="n"/>
      <c r="AL15" s="136" t="n"/>
      <c r="AM15" s="136" t="n"/>
      <c r="AN15" s="136" t="n"/>
      <c r="AO15" s="136" t="n"/>
      <c r="AP15" s="136" t="n"/>
      <c r="AQ15" s="136" t="n"/>
      <c r="AR15" s="136" t="n"/>
      <c r="AS15" s="136" t="n"/>
      <c r="AT15" s="136" t="n"/>
      <c r="AU15" s="136" t="n"/>
      <c r="AV15" s="136" t="n"/>
      <c r="AW15" s="136" t="n"/>
    </row>
    <row r="16" ht="37.5" customHeight="1" s="131">
      <c r="A16" s="118" t="inlineStr">
        <is>
          <t>—</t>
        </is>
      </c>
      <c r="B16" s="82" t="inlineStr">
        <is>
          <t>BENCHMARK</t>
        </is>
      </c>
      <c r="C16" s="119" t="inlineStr">
        <is>
          <t>FY2026 FMR — High Point-Thomasville MSA</t>
        </is>
      </c>
      <c r="D16" s="120" t="inlineStr">
        <is>
          <t>N/A</t>
        </is>
      </c>
      <c r="E16" s="120" t="inlineStr">
        <is>
          <t>Thomasville</t>
        </is>
      </c>
      <c r="F16" s="120" t="inlineStr">
        <is>
          <t>NC</t>
        </is>
      </c>
      <c r="G16" s="120" t="inlineStr">
        <is>
          <t>N/A</t>
        </is>
      </c>
      <c r="H16" s="120" t="inlineStr">
        <is>
          <t>N/A</t>
        </is>
      </c>
      <c r="I16" s="120" t="inlineStr">
        <is>
          <t>$704</t>
        </is>
      </c>
      <c r="J16" s="120" t="inlineStr">
        <is>
          <t>$704</t>
        </is>
      </c>
      <c r="K16" s="121" t="inlineStr">
        <is>
          <t>$704</t>
        </is>
      </c>
      <c r="L16" s="83" t="inlineStr">
        <is>
          <t>N/A</t>
        </is>
      </c>
      <c r="M16" s="122" t="inlineStr">
        <is>
          <t>$964</t>
        </is>
      </c>
      <c r="N16" s="122" t="inlineStr">
        <is>
          <t>$964</t>
        </is>
      </c>
      <c r="O16" s="121" t="inlineStr">
        <is>
          <t>$964</t>
        </is>
      </c>
      <c r="P16" s="83" t="inlineStr">
        <is>
          <t>N/A</t>
        </is>
      </c>
      <c r="Q16" s="122" t="inlineStr">
        <is>
          <t>$1,448</t>
        </is>
      </c>
      <c r="R16" s="122" t="inlineStr">
        <is>
          <t>$1,448</t>
        </is>
      </c>
      <c r="S16" s="122" t="inlineStr">
        <is>
          <t>$1,448</t>
        </is>
      </c>
      <c r="T16" s="122" t="inlineStr">
        <is>
          <t>N/A</t>
        </is>
      </c>
      <c r="U16" s="122" t="inlineStr">
        <is>
          <t>$1,673</t>
        </is>
      </c>
      <c r="V16" s="122" t="inlineStr">
        <is>
          <t>$1,673</t>
        </is>
      </c>
      <c r="W16" s="122" t="inlineStr">
        <is>
          <t>$1,673</t>
        </is>
      </c>
      <c r="X16" s="122" t="inlineStr">
        <is>
          <t>N/A</t>
        </is>
      </c>
      <c r="Y16" s="84" t="inlineStr">
        <is>
          <t>N/A</t>
        </is>
      </c>
      <c r="Z16" s="123" t="inlineStr">
        <is>
          <t>N/A</t>
        </is>
      </c>
      <c r="AA16" s="124" t="inlineStr">
        <is>
          <t>N/A</t>
        </is>
      </c>
      <c r="AB16" s="134" t="inlineStr">
        <is>
          <t>N/A</t>
        </is>
      </c>
      <c r="AC16" s="136" t="inlineStr">
        <is>
          <t>N/A</t>
        </is>
      </c>
      <c r="AD16" s="136" t="inlineStr">
        <is>
          <t>N/A</t>
        </is>
      </c>
      <c r="AE16" s="136" t="inlineStr">
        <is>
          <t>N/A</t>
        </is>
      </c>
      <c r="AF16" s="136" t="inlineStr">
        <is>
          <t>N/A</t>
        </is>
      </c>
      <c r="AG16" s="136" t="inlineStr">
        <is>
          <t>BENCHMARK</t>
        </is>
      </c>
      <c r="AH16" s="136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136" t="inlineStr">
        <is>
          <t>HUD FMR Database (huduser.gov)</t>
        </is>
      </c>
      <c r="AJ16" s="136" t="n"/>
      <c r="AK16" s="136" t="n"/>
      <c r="AL16" s="136" t="n"/>
      <c r="AM16" s="136" t="n"/>
      <c r="AN16" s="136" t="n"/>
      <c r="AO16" s="136" t="n"/>
      <c r="AP16" s="136" t="n"/>
      <c r="AQ16" s="136" t="n"/>
      <c r="AR16" s="136" t="n"/>
      <c r="AS16" s="136" t="n"/>
      <c r="AT16" s="136" t="n"/>
      <c r="AU16" s="136" t="n"/>
      <c r="AV16" s="136" t="n"/>
      <c r="AW16" s="136" t="n"/>
    </row>
    <row r="17" ht="74.25" customHeight="1" s="131">
      <c r="A17" s="87" t="inlineStr">
        <is>
          <t>—</t>
        </is>
      </c>
      <c r="B17" s="88" t="inlineStr">
        <is>
          <t>BENCHMARK</t>
        </is>
      </c>
      <c r="C17" s="89" t="inlineStr">
        <is>
          <t>Metro Market Avg — Thomasville</t>
        </is>
      </c>
      <c r="D17" s="87" t="inlineStr">
        <is>
          <t>N/A</t>
        </is>
      </c>
      <c r="E17" s="87" t="inlineStr">
        <is>
          <t>Thomasville</t>
        </is>
      </c>
      <c r="F17" s="87" t="inlineStr">
        <is>
          <t>NC</t>
        </is>
      </c>
      <c r="G17" s="87" t="inlineStr">
        <is>
          <t>N/A</t>
        </is>
      </c>
      <c r="H17" s="87" t="inlineStr">
        <is>
          <t>N/A</t>
        </is>
      </c>
      <c r="I17" s="87" t="inlineStr">
        <is>
          <t>$774</t>
        </is>
      </c>
      <c r="J17" s="87" t="inlineStr">
        <is>
          <t>$774</t>
        </is>
      </c>
      <c r="K17" s="90" t="inlineStr">
        <is>
          <t>$774</t>
        </is>
      </c>
      <c r="L17" s="91" t="inlineStr">
        <is>
          <t>N/A</t>
        </is>
      </c>
      <c r="M17" s="92" t="inlineStr">
        <is>
          <t>$1,060</t>
        </is>
      </c>
      <c r="N17" s="92" t="inlineStr">
        <is>
          <t>$1,060</t>
        </is>
      </c>
      <c r="O17" s="90" t="inlineStr">
        <is>
          <t>$1,060</t>
        </is>
      </c>
      <c r="P17" s="91" t="inlineStr">
        <is>
          <t>N/A</t>
        </is>
      </c>
      <c r="Q17" s="92" t="inlineStr">
        <is>
          <t>$1,592</t>
        </is>
      </c>
      <c r="R17" s="92" t="inlineStr">
        <is>
          <t>$1,592</t>
        </is>
      </c>
      <c r="S17" s="92" t="inlineStr">
        <is>
          <t>$1,592</t>
        </is>
      </c>
      <c r="T17" s="92" t="inlineStr">
        <is>
          <t>N/A</t>
        </is>
      </c>
      <c r="U17" s="92" t="inlineStr">
        <is>
          <t>$1,840</t>
        </is>
      </c>
      <c r="V17" s="92" t="inlineStr">
        <is>
          <t>$1,840</t>
        </is>
      </c>
      <c r="W17" s="92" t="inlineStr">
        <is>
          <t>$1,840</t>
        </is>
      </c>
      <c r="X17" s="92" t="inlineStr">
        <is>
          <t>N/A</t>
        </is>
      </c>
      <c r="Y17" s="93" t="inlineStr">
        <is>
          <t>N/A</t>
        </is>
      </c>
      <c r="Z17" s="94" t="inlineStr">
        <is>
          <t>N/A</t>
        </is>
      </c>
      <c r="AA17" s="92" t="inlineStr">
        <is>
          <t>N/A</t>
        </is>
      </c>
      <c r="AB17" s="136" t="inlineStr">
        <is>
          <t>N/A</t>
        </is>
      </c>
      <c r="AC17" s="136" t="inlineStr">
        <is>
          <t>N/A</t>
        </is>
      </c>
      <c r="AD17" s="136" t="inlineStr">
        <is>
          <t>N/A</t>
        </is>
      </c>
      <c r="AE17" s="136" t="inlineStr">
        <is>
          <t>N/A</t>
        </is>
      </c>
      <c r="AF17" s="136" t="inlineStr">
        <is>
          <t>N/A</t>
        </is>
      </c>
      <c r="AG17" s="136" t="inlineStr">
        <is>
          <t>BENCHMARK</t>
        </is>
      </c>
      <c r="AH17" s="136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136" t="inlineStr">
        <is>
          <t>HUD FMR + Market Estimate</t>
        </is>
      </c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</row>
    <row r="18" ht="84.75" customHeight="1" s="131">
      <c r="A18" s="60" t="n"/>
      <c r="B18" s="62" t="n"/>
      <c r="C18" s="65" t="n"/>
      <c r="D18" s="60" t="n"/>
      <c r="E18" s="60" t="n"/>
      <c r="F18" s="60" t="n"/>
      <c r="G18" s="60" t="n"/>
      <c r="H18" s="60" t="n"/>
      <c r="I18" s="60" t="n"/>
      <c r="J18" s="60" t="n"/>
      <c r="K18" s="41" t="n"/>
      <c r="L18" s="53" t="n"/>
      <c r="M18" s="48" t="n"/>
      <c r="N18" s="48" t="n"/>
      <c r="O18" s="41" t="n"/>
      <c r="P18" s="53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9" t="n"/>
      <c r="Z18" s="57" t="n"/>
      <c r="AA18" s="48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</row>
    <row r="19" ht="6" customHeight="1" s="131">
      <c r="A19" s="369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302" t="n"/>
      <c r="L19" s="302" t="n"/>
      <c r="M19" s="302" t="n"/>
      <c r="N19" s="302" t="n"/>
      <c r="O19" s="343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  <c r="AA19" s="353" t="n"/>
      <c r="AB19" s="302" t="n"/>
      <c r="AJ19" s="136" t="n"/>
      <c r="AK19" s="136" t="n"/>
      <c r="AL19" s="136" t="n"/>
      <c r="AM19" s="136" t="n"/>
      <c r="AN19" s="136" t="n"/>
      <c r="AO19" s="136" t="n"/>
      <c r="AP19" s="136" t="n"/>
      <c r="AQ19" s="136" t="n"/>
      <c r="AR19" s="136" t="n"/>
      <c r="AS19" s="136" t="n"/>
      <c r="AT19" s="136" t="n"/>
      <c r="AU19" s="136" t="n"/>
      <c r="AV19" s="136" t="n"/>
      <c r="AW19" s="136" t="n"/>
    </row>
    <row r="20" ht="21.75" customHeight="1" s="131">
      <c r="A20" s="302" t="n"/>
      <c r="B20" s="205" t="inlineStr">
        <is>
          <t>COLOR KEY:  GREEN ROWS = Affordable/Low-Income (LIHTC, Section 8, HUD)   |   BLUE ROWS = Market Rate (no income restrictions)   |   ORANGE = Actual Advertised Rent</t>
        </is>
      </c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  <c r="AA20" s="353" t="n"/>
      <c r="AB20" s="302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</row>
    <row r="21" ht="6" customHeight="1" s="131">
      <c r="A21" s="302" t="n"/>
      <c r="B21" s="183" t="n"/>
      <c r="C21" s="302" t="n"/>
      <c r="D21" s="302" t="n"/>
      <c r="E21" s="302" t="n"/>
      <c r="F21" s="183" t="n"/>
      <c r="G21" s="183" t="n"/>
      <c r="H21" s="183" t="n"/>
      <c r="I21" s="183" t="n"/>
      <c r="J21" s="183" t="n"/>
      <c r="K21" s="302" t="n"/>
      <c r="L21" s="302" t="n"/>
      <c r="M21" s="302" t="n"/>
      <c r="N21" s="302" t="n"/>
      <c r="O21" s="302" t="n"/>
      <c r="P21" s="302" t="n"/>
      <c r="Q21" s="302" t="n"/>
      <c r="R21" s="302" t="n"/>
      <c r="S21" s="302" t="n"/>
      <c r="T21" s="302" t="n"/>
      <c r="U21" s="302" t="n"/>
      <c r="V21" s="302" t="n"/>
      <c r="W21" s="302" t="n"/>
      <c r="X21" s="302" t="n"/>
      <c r="Y21" s="302" t="n"/>
      <c r="Z21" s="302" t="n"/>
      <c r="AA21" s="353" t="n"/>
      <c r="AB21" s="302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</row>
    <row r="22" ht="30.75" customFormat="1" customHeight="1" s="2">
      <c r="A22" s="302" t="n"/>
      <c r="B22" s="203" t="inlineStr">
        <is>
          <t>Current Rent vs. Market Average</t>
        </is>
      </c>
      <c r="C22" s="356" t="n"/>
      <c r="D22" s="356" t="n"/>
      <c r="E22" s="356" t="n"/>
      <c r="F22" s="356" t="n"/>
      <c r="G22" s="357" t="n"/>
      <c r="H22" s="183" t="n"/>
      <c r="I22" s="183" t="n"/>
      <c r="J22" s="183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53" t="n"/>
      <c r="AB22" s="302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</row>
    <row r="23" ht="18" customFormat="1" customHeight="1" s="2">
      <c r="A23" s="302" t="n"/>
      <c r="B23" s="206" t="inlineStr">
        <is>
          <t>Market Average = Avg of Actual Advertised Rents from 6 Market-Rate Comps (Apartments.com)</t>
        </is>
      </c>
      <c r="C23" s="356" t="n"/>
      <c r="D23" s="356" t="n"/>
      <c r="E23" s="356" t="n"/>
      <c r="F23" s="356" t="n"/>
      <c r="G23" s="357" t="n"/>
      <c r="H23" s="183" t="n"/>
      <c r="I23" s="183" t="n"/>
      <c r="J23" s="183" t="n"/>
      <c r="K23" s="302" t="n"/>
      <c r="L23" s="302" t="n"/>
      <c r="M23" s="302" t="n"/>
      <c r="N23" s="302" t="n"/>
      <c r="O23" s="302" t="n"/>
      <c r="P23" s="302" t="n"/>
      <c r="Q23" s="302" t="n"/>
      <c r="R23" s="302" t="n"/>
      <c r="S23" s="302" t="n"/>
      <c r="T23" s="302" t="n"/>
      <c r="U23" s="302" t="n"/>
      <c r="V23" s="302" t="n"/>
      <c r="W23" s="302" t="n"/>
      <c r="X23" s="302" t="n"/>
      <c r="Y23" s="302" t="n"/>
      <c r="Z23" s="302" t="n"/>
      <c r="AA23" s="353" t="n"/>
      <c r="AB23" s="302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</row>
    <row r="24" ht="21.75" customFormat="1" customHeight="1" s="2">
      <c r="A24" s="302" t="n"/>
      <c r="B24" s="229" t="n"/>
      <c r="C24" s="210" t="inlineStr">
        <is>
          <t>Current Rent</t>
        </is>
      </c>
      <c r="D24" s="210" t="inlineStr">
        <is>
          <t>Market Average</t>
        </is>
      </c>
      <c r="E24" s="210" t="inlineStr">
        <is>
          <t>Difference</t>
        </is>
      </c>
      <c r="F24" s="167" t="n"/>
      <c r="G24" s="167" t="n"/>
      <c r="H24" s="183" t="n"/>
      <c r="I24" s="183" t="n"/>
      <c r="J24" s="183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  <c r="AA24" s="353" t="n"/>
      <c r="AB24" s="302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</row>
    <row r="25" ht="24.75" customFormat="1" customHeight="1" s="2">
      <c r="A25" s="372" t="n"/>
      <c r="B25" s="201" t="inlineStr">
        <is>
          <t>1BD</t>
        </is>
      </c>
      <c r="C25" s="194" t="n"/>
      <c r="D25" s="200" t="n">
        <v>850</v>
      </c>
      <c r="E25" s="195" t="n"/>
      <c r="F25" s="183" t="n"/>
      <c r="G25" s="183" t="n"/>
      <c r="H25" s="183" t="n"/>
      <c r="I25" s="183" t="n"/>
      <c r="J25" s="183" t="n"/>
      <c r="K25" s="302" t="n"/>
      <c r="L25" s="302" t="n"/>
      <c r="M25" s="302" t="n"/>
      <c r="N25" s="302" t="n"/>
      <c r="O25" s="343" t="n"/>
      <c r="P25" s="302" t="n"/>
      <c r="Q25" s="302" t="n"/>
      <c r="R25" s="302" t="n"/>
      <c r="S25" s="302" t="n"/>
      <c r="T25" s="302" t="n"/>
      <c r="U25" s="302" t="n"/>
      <c r="V25" s="302" t="n"/>
      <c r="W25" s="302" t="n"/>
      <c r="X25" s="302" t="n"/>
      <c r="Y25" s="302" t="n"/>
      <c r="Z25" s="302" t="n"/>
      <c r="AA25" s="353" t="n"/>
      <c r="AB25" s="302" t="n"/>
      <c r="AC25" s="136" t="n"/>
      <c r="AD25" s="136" t="n"/>
      <c r="AE25" s="136" t="n"/>
      <c r="AF25" s="136" t="n"/>
      <c r="AG25" s="136" t="n"/>
      <c r="AH25" s="136" t="n"/>
      <c r="AI25" s="136" t="n"/>
      <c r="AJ25" s="136" t="n"/>
      <c r="AK25" s="136" t="n"/>
      <c r="AL25" s="136" t="n"/>
      <c r="AM25" s="136" t="n"/>
      <c r="AN25" s="136" t="n"/>
      <c r="AO25" s="136" t="n"/>
      <c r="AP25" s="136" t="n"/>
      <c r="AQ25" s="136" t="n"/>
      <c r="AR25" s="136" t="n"/>
      <c r="AS25" s="136" t="n"/>
      <c r="AT25" s="136" t="n"/>
      <c r="AU25" s="136" t="n"/>
      <c r="AV25" s="136" t="n"/>
      <c r="AW25" s="136" t="n"/>
    </row>
    <row r="26" ht="24.75" customFormat="1" customHeight="1" s="2">
      <c r="A26" s="372" t="n"/>
      <c r="B26" s="201" t="inlineStr">
        <is>
          <t>2BD</t>
        </is>
      </c>
      <c r="C26" s="194" t="n"/>
      <c r="D26" s="200" t="n">
        <v>955</v>
      </c>
      <c r="E26" s="195" t="n"/>
      <c r="F26" s="183" t="n"/>
      <c r="G26" s="183" t="n"/>
      <c r="H26" s="183" t="n"/>
      <c r="I26" s="183" t="n"/>
      <c r="J26" s="183" t="n"/>
      <c r="K26" s="302" t="n"/>
      <c r="L26" s="302" t="n"/>
      <c r="M26" s="302" t="n"/>
      <c r="N26" s="302" t="n"/>
      <c r="O26" s="343" t="n"/>
      <c r="P26" s="302" t="n"/>
      <c r="Q26" s="302" t="n"/>
      <c r="R26" s="302" t="n"/>
      <c r="S26" s="302" t="n"/>
      <c r="T26" s="302" t="n"/>
      <c r="U26" s="302" t="n"/>
      <c r="V26" s="302" t="n"/>
      <c r="W26" s="302" t="n"/>
      <c r="X26" s="302" t="n"/>
      <c r="Y26" s="302" t="n"/>
      <c r="Z26" s="302" t="n"/>
      <c r="AA26" s="353" t="n"/>
      <c r="AB26" s="302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</row>
    <row r="27" ht="24.75" customFormat="1" customHeight="1" s="2">
      <c r="A27" s="369" t="n"/>
      <c r="B27" s="201" t="inlineStr">
        <is>
          <t>3BD</t>
        </is>
      </c>
      <c r="C27" s="194" t="n"/>
      <c r="D27" s="200" t="n">
        <v>1165</v>
      </c>
      <c r="E27" s="195" t="n"/>
      <c r="F27" s="183" t="n"/>
      <c r="G27" s="183" t="n"/>
      <c r="H27" s="183" t="n"/>
      <c r="I27" s="183" t="n"/>
      <c r="J27" s="183" t="n"/>
      <c r="K27" s="302" t="n"/>
      <c r="L27" s="302" t="n"/>
      <c r="M27" s="302" t="n"/>
      <c r="N27" s="302" t="n"/>
      <c r="O27" s="343" t="n"/>
      <c r="P27" s="302" t="n"/>
      <c r="Q27" s="302" t="n"/>
      <c r="R27" s="302" t="n"/>
      <c r="S27" s="302" t="n"/>
      <c r="T27" s="302" t="n"/>
      <c r="U27" s="302" t="n"/>
      <c r="V27" s="302" t="n"/>
      <c r="W27" s="302" t="n"/>
      <c r="X27" s="302" t="n"/>
      <c r="Y27" s="302" t="n"/>
      <c r="Z27" s="302" t="n"/>
      <c r="AA27" s="353" t="n"/>
      <c r="AB27" s="302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</row>
    <row r="28" ht="24.75" customHeight="1" s="131">
      <c r="A28" s="382" t="n"/>
      <c r="B28" s="201" t="inlineStr">
        <is>
          <t>4BD</t>
        </is>
      </c>
      <c r="C28" s="194" t="n"/>
      <c r="D28" s="200" t="n">
        <v>1700</v>
      </c>
      <c r="E28" s="195" t="n"/>
      <c r="F28" s="183" t="n"/>
      <c r="G28" s="183" t="n"/>
      <c r="H28" s="183" t="n"/>
      <c r="I28" s="183" t="n"/>
      <c r="J28" s="183" t="n"/>
      <c r="K28" s="302" t="n"/>
      <c r="L28" s="302" t="n"/>
      <c r="M28" s="302" t="n"/>
      <c r="N28" s="302" t="n"/>
      <c r="O28" s="343" t="n"/>
      <c r="P28" s="302" t="n"/>
      <c r="Q28" s="302" t="n"/>
      <c r="R28" s="302" t="n"/>
      <c r="S28" s="302" t="n"/>
      <c r="T28" s="302" t="n"/>
      <c r="U28" s="302" t="n"/>
      <c r="V28" s="302" t="n"/>
      <c r="W28" s="302" t="n"/>
      <c r="X28" s="302" t="n"/>
      <c r="Y28" s="302" t="n"/>
      <c r="Z28" s="302" t="n"/>
      <c r="AA28" s="353" t="n"/>
      <c r="AB28" s="302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</row>
    <row r="29" ht="8.1" customHeight="1" s="131">
      <c r="A29" s="372" t="n"/>
      <c r="B29" s="371" t="n"/>
      <c r="C29" s="371" t="n"/>
      <c r="D29" s="371" t="n"/>
      <c r="E29" s="371" t="n"/>
      <c r="F29" s="371" t="n"/>
      <c r="G29" s="369" t="n"/>
      <c r="H29" s="369" t="n"/>
      <c r="I29" s="369" t="n"/>
      <c r="J29" s="369" t="n"/>
      <c r="K29" s="369" t="n"/>
      <c r="L29" s="134" t="n"/>
      <c r="M29" s="134" t="n"/>
      <c r="N29" s="134" t="n"/>
      <c r="O29" s="134" t="n"/>
      <c r="P29" s="134" t="n"/>
      <c r="Q29" s="134" t="n"/>
      <c r="R29" s="134" t="n"/>
      <c r="S29" s="134" t="n"/>
      <c r="T29" s="134" t="n"/>
      <c r="U29" s="134" t="n"/>
      <c r="V29" s="134" t="n"/>
      <c r="W29" s="134" t="n"/>
      <c r="X29" s="134" t="n"/>
      <c r="Y29" s="134" t="n"/>
      <c r="Z29" s="135" t="n"/>
      <c r="AA29" s="134" t="n"/>
      <c r="AB29" s="134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</row>
    <row r="30" ht="24.75" customFormat="1" customHeight="1" s="2">
      <c r="A30" s="302" t="n"/>
      <c r="B30" s="211" t="inlineStr">
        <is>
          <t>PMTS — Vouchers / FMR / UAP / NET</t>
        </is>
      </c>
      <c r="G30" s="365" t="n"/>
      <c r="H30" s="183" t="n"/>
      <c r="I30" s="183" t="n"/>
      <c r="J30" s="183" t="n"/>
      <c r="K30" s="302" t="n"/>
      <c r="L30" s="302" t="n"/>
      <c r="M30" s="302" t="n"/>
      <c r="N30" s="302" t="n"/>
      <c r="O30" s="302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53" t="n"/>
      <c r="AB30" s="302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</row>
    <row r="31" ht="15.95" customFormat="1" customHeight="1" s="2">
      <c r="A31" s="302" t="n"/>
      <c r="B31" s="226" t="n"/>
      <c r="C31" s="213" t="inlineStr">
        <is>
          <t>MKT</t>
        </is>
      </c>
      <c r="D31" s="213" t="inlineStr">
        <is>
          <t>VCH</t>
        </is>
      </c>
      <c r="E31" s="214" t="inlineStr">
        <is>
          <t>FMR</t>
        </is>
      </c>
      <c r="F31" s="215" t="inlineStr">
        <is>
          <t>UAP</t>
        </is>
      </c>
      <c r="G31" s="216" t="inlineStr">
        <is>
          <t>NET</t>
        </is>
      </c>
      <c r="H31" s="183" t="n"/>
      <c r="I31" s="183" t="n"/>
      <c r="J31" s="183" t="n"/>
      <c r="K31" s="302" t="n"/>
      <c r="L31" s="302" t="n"/>
      <c r="M31" s="302" t="n"/>
      <c r="N31" s="302" t="n"/>
      <c r="O31" s="302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53" t="n"/>
      <c r="AB31" s="302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</row>
    <row r="32" ht="24.75" customFormat="1" customHeight="1" s="2">
      <c r="A32" s="369" t="n"/>
      <c r="B32" s="217" t="inlineStr">
        <is>
          <t>1BD</t>
        </is>
      </c>
      <c r="C32" s="197" t="n">
        <v>0</v>
      </c>
      <c r="D32" s="197" t="n">
        <v>0</v>
      </c>
      <c r="E32" s="198" t="n">
        <v>940</v>
      </c>
      <c r="F32" s="199" t="n">
        <v>97</v>
      </c>
      <c r="G32" s="218" t="n">
        <v>843</v>
      </c>
      <c r="H32" s="183" t="n"/>
      <c r="I32" s="183" t="n"/>
      <c r="J32" s="183" t="n"/>
      <c r="K32" s="302" t="n"/>
      <c r="L32" s="302" t="n"/>
      <c r="M32" s="302" t="n"/>
      <c r="N32" s="302" t="n"/>
      <c r="O32" s="343" t="n"/>
      <c r="P32" s="302" t="n"/>
      <c r="Q32" s="302" t="n"/>
      <c r="R32" s="302" t="n"/>
      <c r="S32" s="302" t="n"/>
      <c r="T32" s="302" t="n"/>
      <c r="U32" s="302" t="n"/>
      <c r="V32" s="302" t="n"/>
      <c r="W32" s="302" t="n"/>
      <c r="X32" s="302" t="n"/>
      <c r="Y32" s="302" t="n"/>
      <c r="Z32" s="302" t="n"/>
      <c r="AA32" s="353" t="n"/>
      <c r="AB32" s="302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</row>
    <row r="33" ht="24.75" customFormat="1" customHeight="1" s="2">
      <c r="A33" s="382" t="n"/>
      <c r="B33" s="217" t="inlineStr">
        <is>
          <t>2BD</t>
        </is>
      </c>
      <c r="C33" s="197" t="n">
        <v>0</v>
      </c>
      <c r="D33" s="197" t="n">
        <v>0</v>
      </c>
      <c r="E33" s="198" t="n">
        <v>1060</v>
      </c>
      <c r="F33" s="199" t="n">
        <v>99</v>
      </c>
      <c r="G33" s="218" t="n">
        <v>961</v>
      </c>
      <c r="H33" s="183" t="n"/>
      <c r="I33" s="183" t="n"/>
      <c r="J33" s="183" t="n"/>
      <c r="K33" s="302" t="n"/>
      <c r="L33" s="302" t="n"/>
      <c r="M33" s="302" t="n"/>
      <c r="N33" s="302" t="n"/>
      <c r="O33" s="343" t="n"/>
      <c r="P33" s="302" t="n"/>
      <c r="Q33" s="302" t="n"/>
      <c r="R33" s="302" t="n"/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53" t="n"/>
      <c r="AB33" s="302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</row>
    <row r="34" ht="24.75" customFormat="1" customHeight="1" s="2">
      <c r="A34" s="372" t="n"/>
      <c r="B34" s="217" t="inlineStr">
        <is>
          <t>3BD</t>
        </is>
      </c>
      <c r="C34" s="197" t="n">
        <v>0</v>
      </c>
      <c r="D34" s="197" t="n">
        <v>0</v>
      </c>
      <c r="E34" s="198" t="n">
        <v>1350</v>
      </c>
      <c r="F34" s="199" t="n">
        <v>125</v>
      </c>
      <c r="G34" s="218" t="n">
        <v>1225</v>
      </c>
      <c r="H34" s="183" t="n"/>
      <c r="I34" s="183" t="n"/>
      <c r="J34" s="183" t="n"/>
      <c r="K34" s="302" t="n"/>
      <c r="L34" s="302" t="n"/>
      <c r="M34" s="302" t="n"/>
      <c r="N34" s="302" t="n"/>
      <c r="O34" s="343" t="n"/>
      <c r="P34" s="302" t="n"/>
      <c r="Q34" s="302" t="n"/>
      <c r="R34" s="302" t="n"/>
      <c r="S34" s="302" t="n"/>
      <c r="T34" s="302" t="n"/>
      <c r="U34" s="302" t="n"/>
      <c r="V34" s="302" t="n"/>
      <c r="W34" s="302" t="n"/>
      <c r="X34" s="302" t="n"/>
      <c r="Y34" s="302" t="n"/>
      <c r="Z34" s="302" t="n"/>
      <c r="AA34" s="353" t="n"/>
      <c r="AB34" s="302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</row>
    <row r="35" ht="24.75" customFormat="1" customHeight="1" s="2">
      <c r="A35" s="372" t="n"/>
      <c r="B35" s="217" t="inlineStr">
        <is>
          <t>4BD</t>
        </is>
      </c>
      <c r="C35" s="197" t="n">
        <v>0</v>
      </c>
      <c r="D35" s="197" t="n">
        <v>0</v>
      </c>
      <c r="E35" s="198" t="n">
        <v>1520</v>
      </c>
      <c r="F35" s="199" t="n">
        <v>158</v>
      </c>
      <c r="G35" s="218" t="n">
        <v>1362</v>
      </c>
      <c r="H35" s="183" t="n"/>
      <c r="I35" s="183" t="n"/>
      <c r="J35" s="183" t="n"/>
      <c r="K35" s="302" t="n"/>
      <c r="L35" s="302" t="n"/>
      <c r="M35" s="302" t="n"/>
      <c r="N35" s="302" t="n"/>
      <c r="O35" s="343" t="n"/>
      <c r="P35" s="302" t="n"/>
      <c r="Q35" s="302" t="n"/>
      <c r="R35" s="302" t="n"/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53" t="n"/>
      <c r="AB35" s="302" t="n"/>
      <c r="AC35" s="136" t="n"/>
      <c r="AD35" s="136" t="n"/>
      <c r="AE35" s="136" t="n"/>
      <c r="AF35" s="136" t="n"/>
      <c r="AG35" s="136" t="n"/>
      <c r="AH35" s="136" t="n"/>
      <c r="AI35" s="136" t="n"/>
      <c r="AJ35" s="136" t="n"/>
      <c r="AK35" s="136" t="n"/>
      <c r="AL35" s="136" t="n"/>
      <c r="AM35" s="136" t="n"/>
      <c r="AN35" s="136" t="n"/>
      <c r="AO35" s="136" t="n"/>
      <c r="AP35" s="136" t="n"/>
      <c r="AQ35" s="136" t="n"/>
      <c r="AR35" s="136" t="n"/>
      <c r="AS35" s="136" t="n"/>
      <c r="AT35" s="136" t="n"/>
      <c r="AU35" s="136" t="n"/>
      <c r="AV35" s="136" t="n"/>
      <c r="AW35" s="136" t="n"/>
    </row>
    <row r="36" ht="8.1" customHeight="1" s="131">
      <c r="A36" s="369" t="n"/>
      <c r="B36" s="371" t="n"/>
      <c r="C36" s="371" t="n"/>
      <c r="D36" s="371" t="n"/>
      <c r="E36" s="371" t="n"/>
      <c r="F36" s="371" t="n"/>
      <c r="G36" s="369" t="n"/>
      <c r="H36" s="369" t="n"/>
      <c r="I36" s="369" t="n"/>
      <c r="J36" s="369" t="n"/>
      <c r="K36" s="369" t="n"/>
      <c r="L36" s="134" t="n"/>
      <c r="M36" s="134" t="n"/>
      <c r="N36" s="134" t="n"/>
      <c r="O36" s="134" t="n"/>
      <c r="P36" s="134" t="n"/>
      <c r="Q36" s="134" t="n"/>
      <c r="R36" s="134" t="n"/>
      <c r="S36" s="134" t="n"/>
      <c r="T36" s="134" t="n"/>
      <c r="U36" s="134" t="n"/>
      <c r="V36" s="134" t="n"/>
      <c r="W36" s="134" t="n"/>
      <c r="X36" s="134" t="n"/>
      <c r="Y36" s="134" t="n"/>
      <c r="Z36" s="135" t="n"/>
      <c r="AA36" s="134" t="n"/>
      <c r="AB36" s="134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</row>
    <row r="37" ht="24.75" customHeight="1" s="131">
      <c r="A37" s="302" t="n"/>
      <c r="B37" s="366" t="inlineStr">
        <is>
          <t>LIHTC, UAP, NET</t>
        </is>
      </c>
      <c r="C37" s="358" t="n"/>
      <c r="D37" s="358" t="n"/>
      <c r="E37" s="358" t="n"/>
      <c r="F37" s="358" t="n"/>
      <c r="G37" s="359" t="n"/>
      <c r="H37" s="183" t="n"/>
      <c r="I37" s="183" t="n"/>
      <c r="J37" s="183" t="n"/>
      <c r="K37" s="302" t="n"/>
      <c r="L37" s="302" t="n"/>
      <c r="M37" s="302" t="n"/>
      <c r="N37" s="302" t="n"/>
      <c r="O37" s="302" t="n"/>
      <c r="P37" s="302" t="n"/>
      <c r="Q37" s="302" t="n"/>
      <c r="R37" s="302" t="n"/>
      <c r="S37" s="302" t="n"/>
      <c r="T37" s="302" t="n"/>
      <c r="U37" s="302" t="n"/>
      <c r="V37" s="302" t="n"/>
      <c r="W37" s="302" t="n"/>
      <c r="X37" s="302" t="n"/>
      <c r="Y37" s="302" t="n"/>
      <c r="Z37" s="302" t="n"/>
      <c r="AA37" s="353" t="n"/>
      <c r="AB37" s="302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</row>
    <row r="38" ht="16.5" customHeight="1" s="131">
      <c r="A38" s="372" t="n"/>
      <c r="B38" s="226" t="inlineStr">
        <is>
          <t>No LIHTC data available</t>
        </is>
      </c>
      <c r="C38" s="228" t="n"/>
      <c r="D38" s="228" t="n"/>
      <c r="E38" s="215" t="n"/>
      <c r="F38" s="216" t="n"/>
      <c r="G38" s="183" t="n"/>
      <c r="H38" s="183" t="n"/>
      <c r="I38" s="183" t="n"/>
      <c r="J38" s="183" t="n"/>
      <c r="K38" s="302" t="n"/>
      <c r="L38" s="302" t="n"/>
      <c r="M38" s="302" t="n"/>
      <c r="N38" s="302" t="n"/>
      <c r="O38" s="343" t="n"/>
      <c r="P38" s="302" t="n"/>
      <c r="Q38" s="302" t="n"/>
      <c r="R38" s="302" t="n"/>
      <c r="S38" s="302" t="n"/>
      <c r="T38" s="302" t="n"/>
      <c r="U38" s="302" t="n"/>
      <c r="V38" s="302" t="n"/>
      <c r="W38" s="302" t="n"/>
      <c r="X38" s="302" t="n"/>
      <c r="Y38" s="302" t="n"/>
      <c r="Z38" s="302" t="n"/>
      <c r="AA38" s="353" t="n"/>
      <c r="AB38" s="302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</row>
    <row r="39" ht="18" customHeight="1" s="131">
      <c r="A39" s="372" t="n"/>
      <c r="B39" s="392" t="n"/>
      <c r="C39" s="392" t="n"/>
      <c r="D39" s="369" t="n"/>
      <c r="E39" s="369" t="n"/>
      <c r="F39" s="369" t="n"/>
      <c r="G39" s="369" t="n"/>
      <c r="H39" s="369" t="n"/>
      <c r="I39" s="369" t="n"/>
      <c r="J39" s="369" t="n"/>
      <c r="K39" s="369" t="n"/>
      <c r="L39" s="134" t="n"/>
      <c r="M39" s="134" t="n"/>
      <c r="N39" s="134" t="n"/>
      <c r="O39" s="134" t="n"/>
      <c r="P39" s="134" t="n"/>
      <c r="Q39" s="134" t="n"/>
      <c r="R39" s="134" t="n"/>
      <c r="S39" s="134" t="n"/>
      <c r="T39" s="134" t="n"/>
      <c r="U39" s="134" t="n"/>
      <c r="V39" s="134" t="n"/>
      <c r="W39" s="134" t="n"/>
      <c r="X39" s="134" t="n"/>
      <c r="Y39" s="134" t="n"/>
      <c r="Z39" s="135" t="n"/>
      <c r="AA39" s="134" t="n"/>
      <c r="AB39" s="134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</row>
    <row r="40" ht="24.75" customHeight="1" s="131">
      <c r="A40" s="302" t="n"/>
      <c r="B40" s="207" t="inlineStr">
        <is>
          <t>HAP, CoStar, NET</t>
        </is>
      </c>
      <c r="H40" s="183" t="n"/>
      <c r="I40" s="183" t="n"/>
      <c r="J40" s="183" t="n"/>
      <c r="K40" s="302" t="n"/>
      <c r="L40" s="302" t="n"/>
      <c r="M40" s="302" t="n"/>
      <c r="N40" s="302" t="n"/>
      <c r="O40" s="302" t="n"/>
      <c r="P40" s="302" t="n"/>
      <c r="Q40" s="302" t="n"/>
      <c r="R40" s="302" t="n"/>
      <c r="S40" s="302" t="n"/>
      <c r="T40" s="302" t="n"/>
      <c r="U40" s="302" t="n"/>
      <c r="V40" s="302" t="n"/>
      <c r="W40" s="302" t="n"/>
      <c r="X40" s="302" t="n"/>
      <c r="Y40" s="302" t="n"/>
      <c r="Z40" s="302" t="n"/>
      <c r="AA40" s="353" t="n"/>
      <c r="AB40" s="302" t="n"/>
      <c r="AC40" s="136" t="n"/>
      <c r="AD40" s="136" t="n"/>
      <c r="AE40" s="136" t="n"/>
      <c r="AF40" s="136" t="n"/>
      <c r="AG40" s="136" t="n"/>
      <c r="AH40" s="136" t="n"/>
      <c r="AI40" s="136" t="n"/>
      <c r="AJ40" s="136" t="n"/>
      <c r="AK40" s="136" t="n"/>
      <c r="AL40" s="136" t="n"/>
      <c r="AM40" s="136" t="n"/>
      <c r="AN40" s="136" t="n"/>
      <c r="AO40" s="136" t="n"/>
      <c r="AP40" s="136" t="n"/>
      <c r="AQ40" s="136" t="n"/>
      <c r="AR40" s="136" t="n"/>
      <c r="AS40" s="136" t="n"/>
      <c r="AT40" s="136" t="n"/>
      <c r="AU40" s="136" t="n"/>
      <c r="AV40" s="136" t="n"/>
      <c r="AW40" s="136" t="n"/>
    </row>
    <row r="41" ht="15.95" customHeight="1" s="131">
      <c r="A41" s="302" t="n"/>
      <c r="B41" s="227" t="n"/>
      <c r="C41" s="208" t="inlineStr">
        <is>
          <t>HAP</t>
        </is>
      </c>
      <c r="D41" s="209" t="inlineStr">
        <is>
          <t>CoStar</t>
        </is>
      </c>
      <c r="E41" s="302" t="n"/>
      <c r="F41" s="302" t="n"/>
      <c r="G41" s="302" t="n"/>
      <c r="H41" s="183" t="n"/>
      <c r="I41" s="183" t="n"/>
      <c r="J41" s="183" t="n"/>
      <c r="K41" s="302" t="n"/>
      <c r="L41" s="302" t="n"/>
      <c r="M41" s="302" t="n"/>
      <c r="N41" s="302" t="n"/>
      <c r="O41" s="302" t="n"/>
      <c r="P41" s="302" t="n"/>
      <c r="Q41" s="302" t="n"/>
      <c r="R41" s="302" t="n"/>
      <c r="S41" s="302" t="n"/>
      <c r="T41" s="302" t="n"/>
      <c r="U41" s="302" t="n"/>
      <c r="V41" s="302" t="n"/>
      <c r="W41" s="302" t="n"/>
      <c r="X41" s="302" t="n"/>
      <c r="Y41" s="302" t="n"/>
      <c r="Z41" s="302" t="n"/>
      <c r="AA41" s="353" t="n"/>
      <c r="AB41" s="302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</row>
    <row r="42" ht="24.75" customHeight="1" s="131">
      <c r="A42" s="302" t="n"/>
      <c r="B42" s="196" t="inlineStr">
        <is>
          <t>1BD</t>
        </is>
      </c>
      <c r="C42" s="199" t="n">
        <v>914</v>
      </c>
      <c r="D42" s="198" t="n">
        <v>983</v>
      </c>
      <c r="E42" s="183" t="n"/>
      <c r="F42" s="183" t="n"/>
      <c r="G42" s="183" t="n"/>
      <c r="H42" s="183" t="n"/>
      <c r="I42" s="183" t="n"/>
      <c r="J42" s="183" t="n"/>
      <c r="K42" s="302" t="n"/>
      <c r="L42" s="302" t="n"/>
      <c r="M42" s="302" t="n"/>
      <c r="N42" s="302" t="n"/>
      <c r="O42" s="302" t="n"/>
      <c r="P42" s="302" t="n"/>
      <c r="Q42" s="302" t="n"/>
      <c r="R42" s="302" t="n"/>
      <c r="S42" s="302" t="n"/>
      <c r="T42" s="302" t="n"/>
      <c r="U42" s="302" t="n"/>
      <c r="V42" s="302" t="n"/>
      <c r="W42" s="302" t="n"/>
      <c r="X42" s="302" t="n"/>
      <c r="Y42" s="302" t="n"/>
      <c r="Z42" s="302" t="n"/>
      <c r="AA42" s="353" t="n"/>
      <c r="AB42" s="302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</row>
    <row r="43" ht="24.75" customHeight="1" s="131">
      <c r="A43" s="302" t="n"/>
      <c r="B43" s="196" t="inlineStr">
        <is>
          <t>2BD</t>
        </is>
      </c>
      <c r="C43" s="199" t="n">
        <v>1018</v>
      </c>
      <c r="D43" s="198" t="n">
        <v>1135</v>
      </c>
      <c r="E43" s="183" t="n"/>
      <c r="F43" s="183" t="n"/>
      <c r="G43" s="183" t="n"/>
      <c r="H43" s="183" t="n"/>
      <c r="I43" s="183" t="n"/>
      <c r="J43" s="183" t="n"/>
      <c r="K43" s="302" t="n"/>
      <c r="L43" s="302" t="n"/>
      <c r="M43" s="302" t="n"/>
      <c r="N43" s="302" t="n"/>
      <c r="O43" s="302" t="n"/>
      <c r="P43" s="302" t="n"/>
      <c r="Q43" s="302" t="n"/>
      <c r="R43" s="302" t="n"/>
      <c r="S43" s="302" t="n"/>
      <c r="T43" s="302" t="n"/>
      <c r="U43" s="302" t="n"/>
      <c r="V43" s="302" t="n"/>
      <c r="W43" s="302" t="n"/>
      <c r="X43" s="302" t="n"/>
      <c r="Y43" s="302" t="n"/>
      <c r="Z43" s="302" t="n"/>
      <c r="AA43" s="353" t="n"/>
      <c r="AB43" s="302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</row>
    <row r="44" ht="24.75" customHeight="1" s="131">
      <c r="A44" s="302" t="n"/>
      <c r="B44" s="196" t="inlineStr">
        <is>
          <t>3BD</t>
        </is>
      </c>
      <c r="C44" s="199" t="n">
        <v>1283</v>
      </c>
      <c r="D44" s="198" t="n">
        <v>1340</v>
      </c>
      <c r="E44" s="183" t="n"/>
      <c r="F44" s="183" t="n"/>
      <c r="G44" s="183" t="n"/>
      <c r="H44" s="183" t="n"/>
      <c r="I44" s="183" t="n"/>
      <c r="J44" s="183" t="n"/>
      <c r="K44" s="302" t="n"/>
      <c r="L44" s="302" t="n"/>
      <c r="M44" s="302" t="n"/>
      <c r="N44" s="302" t="n"/>
      <c r="O44" s="302" t="n"/>
      <c r="P44" s="302" t="n"/>
      <c r="Q44" s="302" t="n"/>
      <c r="R44" s="302" t="n"/>
      <c r="S44" s="302" t="n"/>
      <c r="T44" s="302" t="n"/>
      <c r="U44" s="302" t="n"/>
      <c r="V44" s="302" t="n"/>
      <c r="W44" s="302" t="n"/>
      <c r="X44" s="302" t="n"/>
      <c r="Y44" s="302" t="n"/>
      <c r="Z44" s="302" t="n"/>
      <c r="AA44" s="353" t="n"/>
      <c r="AB44" s="302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</row>
    <row r="45" ht="24.75" customHeight="1" s="131">
      <c r="A45" s="302" t="n"/>
      <c r="B45" s="196" t="inlineStr">
        <is>
          <t>4BD</t>
        </is>
      </c>
      <c r="C45" s="199" t="n">
        <v>1377</v>
      </c>
      <c r="D45" s="198" t="n">
        <v>1796</v>
      </c>
      <c r="E45" s="183" t="n"/>
      <c r="F45" s="183" t="n"/>
      <c r="G45" s="183" t="n"/>
      <c r="H45" s="183" t="n"/>
      <c r="I45" s="183" t="n"/>
      <c r="J45" s="183" t="n"/>
      <c r="K45" s="302" t="n"/>
      <c r="L45" s="302" t="n"/>
      <c r="M45" s="302" t="n"/>
      <c r="N45" s="302" t="n"/>
      <c r="O45" s="302" t="n"/>
      <c r="P45" s="302" t="n"/>
      <c r="Q45" s="302" t="n"/>
      <c r="R45" s="302" t="n"/>
      <c r="S45" s="302" t="n"/>
      <c r="T45" s="302" t="n"/>
      <c r="U45" s="302" t="n"/>
      <c r="V45" s="302" t="n"/>
      <c r="W45" s="302" t="n"/>
      <c r="X45" s="302" t="n"/>
      <c r="Y45" s="302" t="n"/>
      <c r="Z45" s="302" t="n"/>
      <c r="AA45" s="353" t="n"/>
      <c r="AB45" s="302" t="n"/>
      <c r="AC45" s="136" t="n"/>
      <c r="AD45" s="136" t="n"/>
      <c r="AE45" s="136" t="n"/>
      <c r="AF45" s="136" t="n"/>
      <c r="AG45" s="136" t="n"/>
      <c r="AH45" s="136" t="n"/>
      <c r="AI45" s="136" t="n"/>
      <c r="AJ45" s="136" t="n"/>
      <c r="AK45" s="136" t="n"/>
      <c r="AL45" s="136" t="n"/>
      <c r="AM45" s="136" t="n"/>
      <c r="AN45" s="136" t="n"/>
      <c r="AO45" s="136" t="n"/>
      <c r="AP45" s="136" t="n"/>
      <c r="AQ45" s="136" t="n"/>
      <c r="AR45" s="136" t="n"/>
      <c r="AS45" s="136" t="n"/>
      <c r="AT45" s="136" t="n"/>
      <c r="AU45" s="136" t="n"/>
      <c r="AV45" s="136" t="n"/>
      <c r="AW45" s="136" t="n"/>
    </row>
    <row r="46" s="131">
      <c r="A46" s="369" t="n"/>
      <c r="B46" s="369" t="n"/>
      <c r="C46" s="369" t="n"/>
      <c r="D46" s="369" t="n"/>
      <c r="E46" s="369" t="n"/>
      <c r="F46" s="369" t="n"/>
      <c r="G46" s="369" t="n"/>
      <c r="H46" s="369" t="n"/>
      <c r="I46" s="369" t="n"/>
      <c r="J46" s="369" t="n"/>
      <c r="K46" s="369" t="n"/>
      <c r="L46" s="136" t="n"/>
      <c r="M46" s="136" t="n"/>
      <c r="N46" s="136" t="n"/>
      <c r="O46" s="136" t="n"/>
      <c r="P46" s="136" t="n"/>
      <c r="Q46" s="136" t="n"/>
      <c r="R46" s="136" t="n"/>
      <c r="S46" s="136" t="n"/>
      <c r="T46" s="136" t="n"/>
      <c r="U46" s="136" t="n"/>
      <c r="V46" s="136" t="n"/>
      <c r="W46" s="136" t="n"/>
      <c r="X46" s="136" t="n"/>
      <c r="Y46" s="136" t="n"/>
      <c r="Z46" s="136" t="n"/>
      <c r="AA46" s="136" t="n"/>
      <c r="AB46" s="136" t="n"/>
      <c r="AC46" s="136" t="n"/>
      <c r="AD46" s="136" t="n"/>
      <c r="AE46" s="136" t="n"/>
      <c r="AF46" s="136" t="n"/>
      <c r="AG46" s="136" t="n"/>
      <c r="AH46" s="136" t="n"/>
      <c r="AI46" s="136" t="n"/>
      <c r="AJ46" s="136" t="n"/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</row>
    <row r="47" s="131">
      <c r="A47" s="369" t="n"/>
      <c r="B47" s="369" t="n"/>
      <c r="C47" s="369" t="n"/>
      <c r="D47" s="369" t="n"/>
      <c r="E47" s="369" t="n"/>
      <c r="F47" s="369" t="n"/>
      <c r="G47" s="369" t="n"/>
      <c r="H47" s="369" t="n"/>
      <c r="I47" s="369" t="n"/>
      <c r="J47" s="369" t="n"/>
      <c r="K47" s="369" t="n"/>
      <c r="L47" s="136" t="n"/>
      <c r="M47" s="136" t="n"/>
      <c r="N47" s="136" t="n"/>
      <c r="O47" s="136" t="n"/>
      <c r="P47" s="136" t="n"/>
      <c r="Q47" s="136" t="n"/>
      <c r="R47" s="136" t="n"/>
      <c r="S47" s="136" t="n"/>
      <c r="T47" s="136" t="n"/>
      <c r="U47" s="136" t="n"/>
      <c r="V47" s="136" t="n"/>
      <c r="W47" s="136" t="n"/>
      <c r="X47" s="136" t="n"/>
      <c r="Y47" s="136" t="n"/>
      <c r="Z47" s="136" t="n"/>
      <c r="AA47" s="136" t="n"/>
      <c r="AB47" s="136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</row>
    <row r="48" s="131">
      <c r="A48" s="369" t="n"/>
      <c r="B48" s="369" t="n"/>
      <c r="C48" s="369" t="n"/>
      <c r="D48" s="369" t="n"/>
      <c r="E48" s="369" t="n"/>
      <c r="F48" s="369" t="n"/>
      <c r="G48" s="369" t="n"/>
      <c r="H48" s="369" t="n"/>
      <c r="I48" s="369" t="n"/>
      <c r="J48" s="369" t="n"/>
      <c r="K48" s="369" t="n"/>
      <c r="L48" s="136" t="n"/>
      <c r="M48" s="136" t="n"/>
      <c r="N48" s="136" t="n"/>
      <c r="O48" s="136" t="n"/>
      <c r="P48" s="136" t="n"/>
      <c r="Q48" s="136" t="n"/>
      <c r="R48" s="136" t="n"/>
      <c r="S48" s="136" t="n"/>
      <c r="T48" s="136" t="n"/>
      <c r="U48" s="136" t="n"/>
      <c r="V48" s="136" t="n"/>
      <c r="W48" s="136" t="n"/>
      <c r="X48" s="136" t="n"/>
      <c r="Y48" s="136" t="n"/>
      <c r="Z48" s="136" t="n"/>
      <c r="AA48" s="136" t="n"/>
      <c r="AB48" s="136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</row>
    <row r="49" s="131">
      <c r="A49" s="369" t="n"/>
      <c r="B49" s="369" t="n"/>
      <c r="C49" s="369" t="n"/>
      <c r="D49" s="369" t="n"/>
      <c r="E49" s="369" t="n"/>
      <c r="F49" s="369" t="n"/>
      <c r="G49" s="369" t="n"/>
      <c r="H49" s="369" t="n"/>
      <c r="I49" s="369" t="n"/>
      <c r="J49" s="369" t="n"/>
      <c r="K49" s="369" t="n"/>
      <c r="L49" s="136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6" t="n"/>
      <c r="Y49" s="136" t="n"/>
      <c r="Z49" s="136" t="n"/>
      <c r="AA49" s="136" t="n"/>
      <c r="AB49" s="136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</row>
    <row r="50" s="131">
      <c r="A50" s="369" t="n"/>
      <c r="B50" s="369" t="n"/>
      <c r="C50" s="369" t="n"/>
      <c r="D50" s="369" t="n"/>
      <c r="E50" s="369" t="n"/>
      <c r="F50" s="369" t="n"/>
      <c r="G50" s="369" t="n"/>
      <c r="H50" s="369" t="n"/>
      <c r="I50" s="369" t="n"/>
      <c r="J50" s="369" t="n"/>
      <c r="K50" s="369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</row>
    <row r="51"/>
  </sheetData>
  <mergeCells count="9">
    <mergeCell ref="B4:AB4"/>
    <mergeCell ref="B22:G22"/>
    <mergeCell ref="B37:G37"/>
    <mergeCell ref="B23:G23"/>
    <mergeCell ref="B20:I20"/>
    <mergeCell ref="B2:AB2"/>
    <mergeCell ref="B40:G40"/>
    <mergeCell ref="B3:AB3"/>
    <mergeCell ref="B30:G30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2026-04-23T04:26:48Z</dcterms:created>
  <dcterms:modified xmlns:dcterms="http://purl.org/dc/terms/" xmlns:xsi="http://www.w3.org/2001/XMLSchema-instance" xsi:type="dcterms:W3CDTF">2026-05-06T22:29:13Z</dcterms:modified>
  <cp:lastModifiedBy>Brandon Rose</cp:lastModifiedBy>
</cp:coreProperties>
</file>