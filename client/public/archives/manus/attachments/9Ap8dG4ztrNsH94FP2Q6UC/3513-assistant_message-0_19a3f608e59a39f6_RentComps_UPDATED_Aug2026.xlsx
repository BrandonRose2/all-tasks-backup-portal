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2336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2923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n">
        <v>1060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n">
        <v>1200</v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Phone-verify rents each run. 2BD ~$1,020–$1,100. 3BD ~$1,150–$1,250.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n">
        <v>1000</v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n">
        <v>1150</v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Phone-verify rents each run. 2BD ~$950–$1,050. 3BD ~$1,100–$1,200.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$1,283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$1,465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6 comps, Aug 4, 2026. 2BD avg $1,283 / 3BD avg $1,465.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1380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1507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n">
        <v>1500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n">
        <v>1800</v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n">
        <v>2250</v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Phone-verify rents each run. 1BD $1,400–$1,600. 2BD $1,700–$1,900. 3BD $2,100–$2,400.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n">
        <v>1700</v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n">
        <v>2000</v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n">
        <v>2400</v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Phone-verify rents each run. 1BD $1,600–$1,800. 2BD $1,900–$2,100. 3BD $2,300–$2,500.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3BD/4BD only; new 2024 construction. No 1BD or 2BD units. 3BD $2,400–$2,700.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$1,720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$2,060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$2,456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6 comps, Aug 4, 2026. 1BD avg $1,720 / 2BD avg $2,060 / 3BD avg $2,456.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1723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2148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2589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1586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1820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1338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1533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Jackson MSA — nearest conventional market. 2BD $1,150–$1,275. 3BD $1,285–$1,399. 4BD: 3BD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2BD $1,350–$1,460. 3BD $1,295–$1,560. 4BD: 3BD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2BD $1,338–$1,539. 3BD $1,523–$1,593. 4BD: 3BD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2BD $1,500–$1,636. 3BD $1,415–$1,651. 4BD: 3BD proxy. Up to $1,500 off.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2BD $1,249–$1,514. 3BD $1,434–$1,514. 4BD: 3BD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n">
        <v>1215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2BD $1,215. 3BD $1,350–$1,595.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$1,370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$1,468 (3BD proxy)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6 comps, Aug 4, 2026. 2BD avg $1,370 / 3BD avg $1,468 / 4BD proxy avg $1,468.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786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1298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n">
        <v>1342</v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1BD $1,176–$1,306. 2BD $1,150–$1,275. 3BD $1,285–$1,399. 4BD: 3BD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n">
        <v>1428</v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1BD $1,205–$1,315. 2BD $1,350–$1,460. 3BD $1,295–$1,560. 4BD: 3BD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n">
        <v>1558</v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1BD $1,269–$1,384. 2BD $1,338–$1,539. 3BD $1,523–$1,593. 4BD: 3BD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n">
        <v>1533</v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1BD $1,160–$1,381. 2BD $1,500–$1,636. 3BD $1,415–$1,651. 4BD: 3BD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n">
        <v>1474</v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1BD $1,139–$1,219. 2BD $1,249–$1,514. 3BD $1,434–$1,514. 4BD: 3BD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n">
        <v>1199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n">
        <v>1215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n">
        <v>1473</v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1BD $1,199. 2BD $1,215. 3BD $1,350–$1,595.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$1,246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$1,370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$1,468 (3BD proxy)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6 comps, Aug 4, 2026. 1BD avg $1,246 / 2BD avg $1,370 / 3BD avg $1,468 / 4BD proxy avg $1,468.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inlineStr">
        <is>
          <t>N/A</t>
        </is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1041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1374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870</v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2BD $830–$910. No 3BD offered — 2BD used as 3BD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815</v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2BD $815. No 3BD — 2BD used as 3BD proxy. Water included.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730</v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2BD $730. No 3BD — 2BD used as 3BD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790</v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2BD $790. No 3BD — 2BD used as 3BD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n">
        <v>800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n">
        <v>975</v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~70 mi north; nearest market with 3BD. 2BD $750–$850. 3BD $900–$1,050.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$792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$828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2BD avg $792 / 3BD avg $828.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inlineStr">
        <is>
          <t>N/A</t>
        </is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>
        <f>Q26</f>
        <v/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n">
        <v>1644</v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2BD $1,559–$1,729. Max 2BD — no 3BD/4BD. 2BD used as 4BD proxy. 4 Weeks Free.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n">
        <v>1550</v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2BD $1,550. Max 2BD — no 3BD/4BD. 2BD used as 4BD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n">
        <v>1450</v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2BD $1,450+. Max 2BD — no 3BD/4BD. 2BD used as 4BD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n">
        <v>1150</v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2BD $1,150+. Max 2BD — no 3BD/4BD. 2BD used as 4BD proxy. Replaced LIHTC Bluebonnet Ridge.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$1,456 (3BD proxy)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2BD avg $1,387 / 4BD proxy avg $1,456.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1457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inlineStr">
        <is>
          <t>N/A</t>
        </is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inlineStr">
        <is>
          <t>N/A (Market Rate)</t>
        </is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inlineStr">
        <is>
          <t>Market Rate Comp #1: No income restrictions, 2015 vintage, Waxahachie TX 75165. 2BD $1,247 (2BD only — no 4BD market rate units available in this market)</t>
        </is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inlineStr">
        <is>
          <t>N/A (Market Rate)</t>
        </is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Market Rate Comp #2: No income restrictions, 2018 vintage, Waxahachie TX 75165. 2BD $1,525 (2BD only — no 4BD market rate units available in this market)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Emory on Grand</t>
        </is>
      </c>
      <c r="E15" s="319" t="inlineStr">
        <is>
          <t>1831 John Arden Dr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inlineStr">
        <is>
          <t>N/A (Market Rate)</t>
        </is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Market Rate Comp #3: No income restrictions, 2016 vintage, Waxahachie TX 75165. 2BD $1,395 (2BD only — no 4BD market rate units available in this market)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Blue Lake Villas</t>
        </is>
      </c>
      <c r="E16" s="319" t="inlineStr">
        <is>
          <t>155 Lakeside Dr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inlineStr">
        <is>
          <t>N/A (Market Rate)</t>
        </is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inlineStr">
        <is>
          <t>Market Rate Comp #4: No income restrictions, 2012 vintage, Waxahachie TX 75165. 2BD $1,349 (2BD only — no 4BD market rate units available in this market)</t>
        </is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1379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Silverton Village</t>
        </is>
      </c>
      <c r="D13" s="318" t="inlineStr">
        <is>
          <t>COMPETITION</t>
        </is>
      </c>
      <c r="E13" s="319" t="inlineStr">
        <is>
          <t>3700 Fm-85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867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1497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1725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1074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1424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1375</v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1304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1325</v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1400</v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1065</v>
      </c>
      <c r="N18" s="329" t="n"/>
      <c r="O18" s="329" t="n"/>
      <c r="P18" s="329" t="n"/>
      <c r="Q18" s="398" t="n">
        <v>1496</v>
      </c>
      <c r="R18" s="329" t="n"/>
      <c r="S18" s="329" t="n"/>
      <c r="T18" s="329" t="n"/>
      <c r="U18" s="398" t="n">
        <v>1456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1065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1496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1456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1254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1998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1450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1970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n">
        <v>1400</v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1215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2105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n">
        <v>1475</v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1263</v>
      </c>
      <c r="N18" s="329" t="n"/>
      <c r="O18" s="329" t="n"/>
      <c r="P18" s="329" t="n"/>
      <c r="Q18" s="398" t="n">
        <v>1830</v>
      </c>
      <c r="R18" s="329" t="n"/>
      <c r="S18" s="329" t="n"/>
      <c r="T18" s="329" t="n"/>
      <c r="U18" s="398" t="n">
        <v>1450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1263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1830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1450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1600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Varies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1545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1350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1511</v>
      </c>
      <c r="R17" s="329" t="n"/>
      <c r="S17" s="329" t="n"/>
      <c r="T17" s="329" t="n"/>
      <c r="U17" s="329" t="n"/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1511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Not Listed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Not Listed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Not Listed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Not Listed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1875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2100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1550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1388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Westchase Apartments</t>
        </is>
      </c>
      <c r="E16" s="319" t="inlineStr">
        <is>
          <t>1013 Manhattan Blvd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1083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1550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1425</v>
      </c>
      <c r="R18" s="329" t="n"/>
      <c r="S18" s="329" t="n"/>
      <c r="T18" s="329" t="n"/>
      <c r="U18" s="398" t="n">
        <v>1688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1425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1688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1501 Somerset Pl</t>
        </is>
      </c>
      <c r="E16" s="319" t="inlineStr">
        <is>
          <t>1501 Somerset Pl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Not Listed</t>
        </is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1995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inlineStr">
        <is>
          <t>Not Listed</t>
        </is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2808 Pritchard Rd</t>
        </is>
      </c>
      <c r="E14" s="319" t="inlineStr">
        <is>
          <t>2808 Pritchard Rd</t>
        </is>
      </c>
      <c r="F14" s="320" t="inlineStr">
        <is>
          <t>Marrero</t>
        </is>
      </c>
      <c r="G14" s="320" t="inlineStr">
        <is>
          <t>LA</t>
        </is>
      </c>
      <c r="H14" s="320" t="inlineStr">
        <is>
          <t>70072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2150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inlineStr">
        <is>
          <t>Not Listed</t>
        </is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5007 Towering Oaks Ave</t>
        </is>
      </c>
      <c r="E15" s="319" t="inlineStr">
        <is>
          <t>5007 Towering Oaks Ave</t>
        </is>
      </c>
      <c r="F15" s="320" t="inlineStr">
        <is>
          <t>Marrero</t>
        </is>
      </c>
      <c r="G15" s="320" t="inlineStr">
        <is>
          <t>LA</t>
        </is>
      </c>
      <c r="H15" s="320" t="inlineStr">
        <is>
          <t>70072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inlineStr">
        <is>
          <t>Not Listed</t>
        </is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437 Robinson Ave</t>
        </is>
      </c>
      <c r="E16" s="319" t="inlineStr">
        <is>
          <t>437 Robinson Ave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1625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inlineStr">
        <is>
          <t>Not Listed</t>
        </is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1868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1868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1295</v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939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1089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1325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1325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1575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1359 LA-20</t>
        </is>
      </c>
      <c r="E18" s="319" t="inlineStr">
        <is>
          <t>1359 LA-20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N/A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1250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inlineStr">
        <is>
          <t>N/A</t>
        </is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953</v>
      </c>
      <c r="N20" s="329" t="n"/>
      <c r="O20" s="329" t="n"/>
      <c r="P20" s="329" t="n"/>
      <c r="Q20" s="398" t="n">
        <v>1190</v>
      </c>
      <c r="R20" s="329" t="n"/>
      <c r="S20" s="329" t="n"/>
      <c r="T20" s="329" t="n"/>
      <c r="U20" s="398" t="n">
        <v>1331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953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1190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1331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Not Listed</t>
        </is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2713 Cerritas Via</t>
        </is>
      </c>
      <c r="E14" s="319" t="inlineStr">
        <is>
          <t>2713 Cerritas Via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Not Listed</t>
        </is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1148 Lochlomand Dr</t>
        </is>
      </c>
      <c r="E15" s="319" t="inlineStr">
        <is>
          <t>1148 Lochlomand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Not Listed</t>
        </is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1549 Spanish Oaks Dr</t>
        </is>
      </c>
      <c r="E16" s="319" t="inlineStr">
        <is>
          <t>1549 Spanish Oaks Dr</t>
        </is>
      </c>
      <c r="F16" s="320" t="inlineStr">
        <is>
          <t>Harvey</t>
        </is>
      </c>
      <c r="G16" s="320" t="inlineStr">
        <is>
          <t>LA</t>
        </is>
      </c>
      <c r="H16" s="320" t="inlineStr">
        <is>
          <t>70058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1900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1900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1862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1900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Ochlockonee Pointe Apartments</t>
        </is>
      </c>
      <c r="E13" s="319" t="inlineStr">
        <is>
          <t>33870 Blue Star Hwy</t>
        </is>
      </c>
      <c r="F13" s="320" t="inlineStr">
        <is>
          <t>Midway</t>
        </is>
      </c>
      <c r="G13" s="320" t="inlineStr">
        <is>
          <t>FL</t>
        </is>
      </c>
      <c r="H13" s="320" t="inlineStr">
        <is>
          <t>32343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1150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723 W Washington St</t>
        </is>
      </c>
      <c r="E14" s="319" t="inlineStr">
        <is>
          <t>723 W Washington St</t>
        </is>
      </c>
      <c r="F14" s="320" t="inlineStr">
        <is>
          <t>Quincy</t>
        </is>
      </c>
      <c r="G14" s="320" t="inlineStr">
        <is>
          <t>FL</t>
        </is>
      </c>
      <c r="H14" s="320" t="inlineStr">
        <is>
          <t>32351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559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inlineStr">
        <is>
          <t>Not Listed</t>
        </is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526 N Adams St</t>
        </is>
      </c>
      <c r="E15" s="319" t="inlineStr">
        <is>
          <t>526 N Adams St</t>
        </is>
      </c>
      <c r="F15" s="320" t="inlineStr">
        <is>
          <t>Quincy</t>
        </is>
      </c>
      <c r="G15" s="320" t="inlineStr">
        <is>
          <t>FL</t>
        </is>
      </c>
      <c r="H15" s="320" t="inlineStr">
        <is>
          <t>32351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inlineStr">
        <is>
          <t>Not Listed</t>
        </is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Quincy, FL</t>
        </is>
      </c>
      <c r="E16" s="325" t="inlineStr">
        <is>
          <t>N/A</t>
        </is>
      </c>
      <c r="F16" s="325" t="inlineStr">
        <is>
          <t>Quincy</t>
        </is>
      </c>
      <c r="G16" s="325" t="inlineStr">
        <is>
          <t>FL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inlineStr">
        <is>
          <t>$800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inlineStr">
        <is>
          <t>$1,095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inlineStr">
        <is>
          <t>$1,372</t>
        </is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</sheetData>
  <mergeCells count="17">
    <mergeCell ref="A21:H21"/>
    <mergeCell ref="A19:AF19"/>
    <mergeCell ref="C7:D7"/>
    <mergeCell ref="C10:D10"/>
    <mergeCell ref="C16:D16"/>
    <mergeCell ref="A5:AF5"/>
    <mergeCell ref="C17:D17"/>
    <mergeCell ref="C11:D11"/>
    <mergeCell ref="D12:D15"/>
    <mergeCell ref="A6:AF6"/>
    <mergeCell ref="A3:AC3"/>
    <mergeCell ref="AD3:AF3"/>
    <mergeCell ref="A4:AF4"/>
    <mergeCell ref="C9:D9"/>
    <mergeCell ref="C23:D23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Corridor Apartments</t>
        </is>
      </c>
      <c r="D13" s="318" t="inlineStr">
        <is>
          <t>COMPETITION</t>
        </is>
      </c>
      <c r="E13" s="319" t="inlineStr">
        <is>
          <t>4360 Roy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1180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1050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Grand Oaks Apartment Homes</t>
        </is>
      </c>
      <c r="E14" s="319" t="inlineStr">
        <is>
          <t>1601 N Forty Loop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inlineStr">
        <is>
          <t>Not Listed</t>
        </is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795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Windsor Housing</t>
        </is>
      </c>
      <c r="E15" s="319" t="inlineStr">
        <is>
          <t>2020 N Hearne Ave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71107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702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834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964 Winter Garden Dr</t>
        </is>
      </c>
      <c r="E16" s="319" t="inlineStr">
        <is>
          <t>964 Winter Garden Dr</t>
        </is>
      </c>
      <c r="F16" s="320" t="inlineStr">
        <is>
          <t>Shreveport</t>
        </is>
      </c>
      <c r="G16" s="320" t="inlineStr">
        <is>
          <t>LA</t>
        </is>
      </c>
      <c r="H16" s="320" t="inlineStr">
        <is>
          <t>71107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inlineStr">
        <is>
          <t>Not Listed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1100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941</v>
      </c>
      <c r="N18" s="329" t="n"/>
      <c r="O18" s="329" t="n"/>
      <c r="P18" s="329" t="n"/>
      <c r="Q18" s="398" t="n">
        <v>945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945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1054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1300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Villaggio Apartments</t>
        </is>
      </c>
      <c r="E14" s="319" t="inlineStr">
        <is>
          <t>5200 E Texas St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1349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1610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Willow Brook Townhomes</t>
        </is>
      </c>
      <c r="E15" s="319" t="inlineStr">
        <is>
          <t>3055 Vanceville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1995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1585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1374</v>
      </c>
      <c r="N18" s="329" t="n"/>
      <c r="O18" s="329" t="n"/>
      <c r="P18" s="329" t="n"/>
      <c r="Q18" s="398" t="n">
        <v>1622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1622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1400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1475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1425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1438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Valleyview Apartments</t>
        </is>
      </c>
      <c r="D13" s="318" t="inlineStr">
        <is>
          <t>COMPETITION</t>
        </is>
      </c>
      <c r="E13" s="319" t="inlineStr">
        <is>
          <t>3800 Nelson Rd, Lake Charles, LA 70605</t>
        </is>
      </c>
      <c r="F13" s="320" t="inlineStr">
        <is>
          <t>Lake Charles</t>
        </is>
      </c>
      <c r="G13" s="320" t="inlineStr">
        <is>
          <t>LA</t>
        </is>
      </c>
      <c r="H13" s="320" t="n"/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875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995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Prien Lake Apartments</t>
        </is>
      </c>
      <c r="E14" s="319" t="inlineStr">
        <is>
          <t>4200 Lake St, Lake Charles, LA 70605</t>
        </is>
      </c>
      <c r="F14" s="320" t="inlineStr">
        <is>
          <t>Lake Charles</t>
        </is>
      </c>
      <c r="G14" s="320" t="inlineStr">
        <is>
          <t>LA</t>
        </is>
      </c>
      <c r="H14" s="320" t="n"/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850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975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Moss Bluff Apartments</t>
        </is>
      </c>
      <c r="E15" s="319" t="inlineStr">
        <is>
          <t>1200 Sampson St, Lake Charles, LA 70607</t>
        </is>
      </c>
      <c r="F15" s="320" t="inlineStr">
        <is>
          <t>Lake Charles</t>
        </is>
      </c>
      <c r="G15" s="320" t="inlineStr">
        <is>
          <t>LA</t>
        </is>
      </c>
      <c r="H15" s="320" t="n"/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900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1025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Lake Charles Market Comp 4</t>
        </is>
      </c>
      <c r="E16" s="319" t="inlineStr">
        <is>
          <t>Lake Charles, LA area</t>
        </is>
      </c>
      <c r="F16" s="320" t="inlineStr">
        <is>
          <t>LA area</t>
        </is>
      </c>
      <c r="G16" s="320" t="inlineStr">
        <is>
          <t>LA</t>
        </is>
      </c>
      <c r="H16" s="320" t="n"/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1000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875</v>
      </c>
      <c r="N18" s="329" t="n"/>
      <c r="O18" s="329" t="n"/>
      <c r="P18" s="329" t="n"/>
      <c r="Q18" s="398" t="n">
        <v>999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999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11:D11"/>
    <mergeCell ref="D12:D15"/>
    <mergeCell ref="A4:AJ4"/>
    <mergeCell ref="C23:D23"/>
    <mergeCell ref="C9:D9"/>
    <mergeCell ref="AH3:AJ3"/>
    <mergeCell ref="C17:D17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2026-08-05T00:18:49Z</dcterms:modified>
  <cp:lastModifiedBy>Brandon Rose</cp:lastModifiedBy>
</cp:coreProperties>
</file>