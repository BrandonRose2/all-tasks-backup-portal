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  <font/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3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  <xf numFmtId="0" fontId="23" fillId="20" borderId="10" applyAlignment="1" pivotButton="0" quotePrefix="0" xfId="0">
      <alignment horizontal="center" vertical="center"/>
    </xf>
    <xf numFmtId="0" fontId="22" fillId="0" borderId="9" pivotButton="0" quotePrefix="0" xfId="0"/>
    <xf numFmtId="0" fontId="24" fillId="28" borderId="10" applyAlignment="1" pivotButton="0" quotePrefix="0" xfId="0">
      <alignment horizontal="center" vertical="center"/>
    </xf>
    <xf numFmtId="0" fontId="23" fillId="28" borderId="10" applyAlignment="1" pivotButton="0" quotePrefix="0" xfId="0">
      <alignment horizontal="center" vertical="center"/>
    </xf>
    <xf numFmtId="0" fontId="25" fillId="29" borderId="10" applyAlignment="1" pivotButton="0" quotePrefix="0" xfId="0">
      <alignment horizontal="center" vertical="center"/>
    </xf>
    <xf numFmtId="164" fontId="26" fillId="30" borderId="10" applyAlignment="1" pivotButton="0" quotePrefix="0" xfId="0">
      <alignment horizontal="center" vertical="center"/>
    </xf>
    <xf numFmtId="164" fontId="25" fillId="31" borderId="10" applyAlignment="1" pivotButton="0" quotePrefix="0" xfId="0">
      <alignment horizontal="center" vertical="center"/>
    </xf>
    <xf numFmtId="164" fontId="25" fillId="32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2BD 50% AMI ($)</t>
        </is>
      </c>
      <c r="J4" s="2" t="inlineStr">
        <is>
          <t>2BD 60% AMI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3BD 50% AMI ($)</t>
        </is>
      </c>
      <c r="N4" s="2" t="inlineStr">
        <is>
          <t>3BD 60% AMI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Addison Skyway Marina</t>
        </is>
      </c>
      <c r="D10" s="21" t="inlineStr">
        <is>
          <t>3951 34th St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inlineStr">
        <is>
          <t>33711</t>
        </is>
      </c>
      <c r="H10" s="21" t="inlineStr">
        <is>
          <t>0.8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$2,446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$2,947</t>
        </is>
      </c>
      <c r="Q10" s="21" t="n">
        <v>308</v>
      </c>
      <c r="R10" s="21" t="n">
        <v>2021</v>
      </c>
      <c r="S10" s="21" t="n">
        <v>47</v>
      </c>
      <c r="T10" s="21" t="inlineStr">
        <is>
          <t>No</t>
        </is>
      </c>
      <c r="U10" s="21" t="inlineStr">
        <is>
          <t>Yes</t>
        </is>
      </c>
      <c r="V10" s="21" t="inlineStr">
        <is>
          <t>Yes</t>
        </is>
      </c>
      <c r="W10" s="21" t="inlineStr">
        <is>
          <t>Yes</t>
        </is>
      </c>
      <c r="X10" s="21" t="inlineStr">
        <is>
          <t>Yes</t>
        </is>
      </c>
      <c r="Y10" s="23" t="inlineStr">
        <is>
          <t>HIGH</t>
        </is>
      </c>
      <c r="Z10" s="22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A10" s="21" t="inlineStr">
        <is>
          <t>https://www.apartments.com/the-addison-skyway-marina-saint-petersburg-fl/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Marina Walk Apartments</t>
        </is>
      </c>
      <c r="D11" s="24" t="inlineStr">
        <is>
          <t>3680 46th Ave S, St. Petersburg, FL 33711</t>
        </is>
      </c>
      <c r="E11" s="24" t="inlineStr">
        <is>
          <t>St. Petersburg</t>
        </is>
      </c>
      <c r="F11" s="24" t="inlineStr">
        <is>
          <t>FL</t>
        </is>
      </c>
      <c r="G11" s="24" t="inlineStr">
        <is>
          <t>33711</t>
        </is>
      </c>
      <c r="H11" s="24" t="inlineStr">
        <is>
          <t>1.1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$2,600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N/A</t>
        </is>
      </c>
      <c r="Q11" s="24" t="n">
        <v>245</v>
      </c>
      <c r="R11" s="24" t="n">
        <v>2021</v>
      </c>
      <c r="S11" s="24" t="n">
        <v>47</v>
      </c>
      <c r="T11" s="24" t="inlineStr">
        <is>
          <t>No</t>
        </is>
      </c>
      <c r="U11" s="24" t="inlineStr">
        <is>
          <t>Yes</t>
        </is>
      </c>
      <c r="V11" s="24" t="inlineStr">
        <is>
          <t>No</t>
        </is>
      </c>
      <c r="W11" s="24" t="inlineStr">
        <is>
          <t>Yes</t>
        </is>
      </c>
      <c r="X11" s="24" t="inlineStr">
        <is>
          <t>Yes</t>
        </is>
      </c>
      <c r="Y11" s="26" t="inlineStr">
        <is>
          <t>HIGH</t>
        </is>
      </c>
      <c r="Z11" s="25" t="inlineStr">
        <is>
          <t>Market Rate Comp #2: No income restrictions, 2021 vintage (47 yr diff), 245 units, 1.1 mi from subject. Same zip 33711. 8-story waterfront complex. 2BD $2,600 / 3BD not available.</t>
        </is>
      </c>
      <c r="AA11" s="24" t="inlineStr">
        <is>
          <t>https://www.apartments.com/marina-walk-apartments-saint-petersburg-fl/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Flagler Pointe Apartments</t>
        </is>
      </c>
      <c r="D12" s="27" t="inlineStr">
        <is>
          <t>2540 Roy Hanna Dr S, St. Petersburg, FL 33712</t>
        </is>
      </c>
      <c r="E12" s="27" t="inlineStr">
        <is>
          <t>St. Petersburg</t>
        </is>
      </c>
      <c r="F12" s="27" t="inlineStr">
        <is>
          <t>FL</t>
        </is>
      </c>
      <c r="G12" s="27" t="inlineStr">
        <is>
          <t>33712</t>
        </is>
      </c>
      <c r="H12" s="27" t="inlineStr">
        <is>
          <t>1.9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$1,890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$2,150</t>
        </is>
      </c>
      <c r="Q12" s="27" t="inlineStr">
        <is>
          <t>N/A</t>
        </is>
      </c>
      <c r="R12" s="27" t="n">
        <v>1974</v>
      </c>
      <c r="S12" s="27" t="n">
        <v>0</v>
      </c>
      <c r="T12" s="27" t="inlineStr">
        <is>
          <t>No</t>
        </is>
      </c>
      <c r="U12" s="27" t="inlineStr">
        <is>
          <t>Yes</t>
        </is>
      </c>
      <c r="V12" s="27" t="inlineStr">
        <is>
          <t>No</t>
        </is>
      </c>
      <c r="W12" s="27" t="inlineStr">
        <is>
          <t>Yes</t>
        </is>
      </c>
      <c r="X12" s="27" t="inlineStr">
        <is>
          <t>No</t>
        </is>
      </c>
      <c r="Y12" s="29" t="inlineStr">
        <is>
          <t>HIGH</t>
        </is>
      </c>
      <c r="Z12" s="28" t="inlineStr">
        <is>
          <t>Market Rate Comp #3: No income restrictions, 1974 vintage (0 yr diff), 1.9 mi from subject in adjacent zip 33712. Most comparable vintage to subject. 2BD $1,890 / 3BD $2,150.</t>
        </is>
      </c>
      <c r="AA12" s="27" t="inlineStr">
        <is>
          <t>https://www.apartments.com/flagler-pointe-apartments-saint-petersburg-fl/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Sur Club</t>
        </is>
      </c>
      <c r="D13" s="21" t="inlineStr">
        <is>
          <t>3301 32nd Ave S, St. Petersburg, FL 33712</t>
        </is>
      </c>
      <c r="E13" s="21" t="inlineStr">
        <is>
          <t>St. Petersburg</t>
        </is>
      </c>
      <c r="F13" s="21" t="inlineStr">
        <is>
          <t>FL</t>
        </is>
      </c>
      <c r="G13" s="21" t="inlineStr">
        <is>
          <t>33712</t>
        </is>
      </c>
      <c r="H13" s="21" t="inlineStr">
        <is>
          <t>1.5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$2,250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N/A</t>
        </is>
      </c>
      <c r="Q13" s="21" t="n">
        <v>296</v>
      </c>
      <c r="R13" s="21" t="n">
        <v>2021</v>
      </c>
      <c r="S13" s="21" t="n">
        <v>47</v>
      </c>
      <c r="T13" s="21" t="inlineStr">
        <is>
          <t>No</t>
        </is>
      </c>
      <c r="U13" s="21" t="inlineStr">
        <is>
          <t>Yes</t>
        </is>
      </c>
      <c r="V13" s="21" t="inlineStr">
        <is>
          <t>No</t>
        </is>
      </c>
      <c r="W13" s="21" t="inlineStr">
        <is>
          <t>Yes</t>
        </is>
      </c>
      <c r="X13" s="21" t="inlineStr">
        <is>
          <t>Yes</t>
        </is>
      </c>
      <c r="Y13" s="23" t="inlineStr">
        <is>
          <t>HIGH</t>
        </is>
      </c>
      <c r="Z13" s="22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A13" s="21" t="inlineStr">
        <is>
          <t>https://www.apartments.com/sur-club-saint-petersburg-fl/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 (Live, Apr 2026)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$2,296</t>
        </is>
      </c>
      <c r="J15" s="30" t="inlineStr">
        <is>
          <t>$2,296</t>
        </is>
      </c>
      <c r="K15" s="12" t="inlineStr">
        <is>
          <t>$2,296</t>
        </is>
      </c>
      <c r="L15" s="13" t="inlineStr">
        <is>
          <t>$2,296</t>
        </is>
      </c>
      <c r="M15" s="30" t="inlineStr">
        <is>
          <t>$2,548</t>
        </is>
      </c>
      <c r="N15" s="30" t="inlineStr">
        <is>
          <t>$2,548</t>
        </is>
      </c>
      <c r="O15" s="12" t="inlineStr">
        <is>
          <t>$2,548</t>
        </is>
      </c>
      <c r="P15" s="13" t="inlineStr">
        <is>
          <t>$2,548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Live Market Average for St. Petersburg (33711), calculated from 4 market-rate comps as of Apr 30, 2026. 2BD avg: $2,296 (Addison $2,446, Marina Walk $2,600, Flagler Pointe $1,890, Sur Club $2,250). 3BD avg: $2,548 (Addison $2,947, Flagler Pointe $2,150 — only 2 comps with 3BD available).</t>
        </is>
      </c>
      <c r="AA15" s="30" t="inlineStr">
        <is>
          <t>Apartments.com live data, Apr 30, 2026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A19" s="83" t="inlineStr">
        <is>
          <t>Current Rent vs. Market Average</t>
        </is>
      </c>
      <c r="B19" s="91" t="n"/>
      <c r="C19" s="91" t="n"/>
      <c r="D19" s="92" t="n"/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</row>
    <row r="20">
      <c r="A20" s="85" t="inlineStr">
        <is>
          <t>Market Average = Avg of Actual Rents from all comparables</t>
        </is>
      </c>
      <c r="B20" s="91" t="n"/>
      <c r="C20" s="91" t="n"/>
      <c r="D20" s="92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</row>
    <row r="21">
      <c r="A21" s="86" t="inlineStr"/>
      <c r="B21" s="86" t="inlineStr">
        <is>
          <t>Current Rent</t>
        </is>
      </c>
      <c r="C21" s="86" t="inlineStr">
        <is>
          <t>Market Average</t>
        </is>
      </c>
      <c r="D21" s="86" t="inlineStr">
        <is>
          <t>Difference</t>
        </is>
      </c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</row>
    <row r="22">
      <c r="A22" s="87" t="inlineStr">
        <is>
          <t>2BD</t>
        </is>
      </c>
      <c r="B22" s="88" t="n"/>
      <c r="C22" s="89" t="n">
        <v>2296</v>
      </c>
      <c r="D22" s="90">
        <f>IF(B22="","",C22-B22)</f>
        <v/>
      </c>
    </row>
    <row r="23">
      <c r="A23" s="87" t="inlineStr">
        <is>
          <t>3BD</t>
        </is>
      </c>
      <c r="B23" s="88" t="n"/>
      <c r="C23" s="89" t="n">
        <v>2548</v>
      </c>
      <c r="D23" s="90">
        <f>IF(B23="","",C23-B23)</f>
        <v/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</row>
    <row r="38">
      <c r="A38" s="79" t="inlineStr">
        <is>
          <t>3BD</t>
        </is>
      </c>
      <c r="B38" s="81" t="n">
        <v>1918</v>
      </c>
      <c r="C38" s="82" t="n">
        <v>1944</v>
      </c>
    </row>
  </sheetData>
  <mergeCells count="9">
    <mergeCell ref="A24:F24"/>
    <mergeCell ref="A30:E30"/>
    <mergeCell ref="A17:AA17"/>
    <mergeCell ref="A3:AA3"/>
    <mergeCell ref="A20:D20"/>
    <mergeCell ref="A2:AA2"/>
    <mergeCell ref="A19:D19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2BD 50% AMI ($)</t>
        </is>
      </c>
      <c r="J4" s="2" t="inlineStr">
        <is>
          <t>2BD 60% AMI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3BD 50% AMI ($)</t>
        </is>
      </c>
      <c r="N4" s="2" t="inlineStr">
        <is>
          <t>3BD 60% AMI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Ochlockonee Pointe Apartments</t>
        </is>
      </c>
      <c r="D10" s="21" t="inlineStr">
        <is>
          <t>33870 Blue Star Hwy, Midway, FL 32343</t>
        </is>
      </c>
      <c r="E10" s="21" t="inlineStr">
        <is>
          <t>Midway</t>
        </is>
      </c>
      <c r="F10" s="21" t="inlineStr">
        <is>
          <t>FL</t>
        </is>
      </c>
      <c r="G10" s="21" t="inlineStr">
        <is>
          <t>32343</t>
        </is>
      </c>
      <c r="H10" s="21" t="inlineStr">
        <is>
          <t>32.0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$970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$1,150</t>
        </is>
      </c>
      <c r="Q10" s="21" t="n">
        <v>96</v>
      </c>
      <c r="R10" s="21" t="n">
        <v>2007</v>
      </c>
      <c r="S10" s="21" t="n">
        <v>36</v>
      </c>
      <c r="T10" s="21" t="inlineStr">
        <is>
          <t>Partial</t>
        </is>
      </c>
      <c r="U10" s="21" t="inlineStr">
        <is>
          <t>Yes</t>
        </is>
      </c>
      <c r="V10" s="21" t="inlineStr">
        <is>
          <t>No</t>
        </is>
      </c>
      <c r="W10" s="21" t="inlineStr">
        <is>
          <t>Yes</t>
        </is>
      </c>
      <c r="X10" s="21" t="inlineStr">
        <is>
          <t>No</t>
        </is>
      </c>
      <c r="Y10" s="36" t="inlineStr">
        <is>
          <t>MODERATE</t>
        </is>
      </c>
      <c r="Z10" s="22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0" s="21" t="inlineStr">
        <is>
          <t>https://www.apartments.com/ochlockonee-pointe-apartments-midway-fl/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Blairstone Apartment Homes</t>
        </is>
      </c>
      <c r="D11" s="24" t="inlineStr">
        <is>
          <t>501 Blairstone Rd, Tallahassee, FL 32301</t>
        </is>
      </c>
      <c r="E11" s="24" t="inlineStr">
        <is>
          <t>Tallahassee</t>
        </is>
      </c>
      <c r="F11" s="24" t="inlineStr">
        <is>
          <t>FL</t>
        </is>
      </c>
      <c r="G11" s="24" t="inlineStr">
        <is>
          <t>32301</t>
        </is>
      </c>
      <c r="H11" s="24" t="inlineStr">
        <is>
          <t>27.0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$1,410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$1,560</t>
        </is>
      </c>
      <c r="Q11" s="24" t="n">
        <v>376</v>
      </c>
      <c r="R11" s="24" t="n">
        <v>1988</v>
      </c>
      <c r="S11" s="24" t="n">
        <v>17</v>
      </c>
      <c r="T11" s="24" t="inlineStr">
        <is>
          <t>No</t>
        </is>
      </c>
      <c r="U11" s="24" t="inlineStr">
        <is>
          <t>Yes</t>
        </is>
      </c>
      <c r="V11" s="24" t="inlineStr">
        <is>
          <t>No</t>
        </is>
      </c>
      <c r="W11" s="24" t="inlineStr">
        <is>
          <t>Yes</t>
        </is>
      </c>
      <c r="X11" s="24" t="inlineStr">
        <is>
          <t>Yes</t>
        </is>
      </c>
      <c r="Y11" s="37" t="inlineStr">
        <is>
          <t>MODERATE</t>
        </is>
      </c>
      <c r="Z11" s="25" t="inlineStr">
        <is>
          <t>Market Rate Comp #2: No income restrictions, 1988 vintage (17 yr diff), 376 units, 27.0 mi from subject in Tallahassee (Leon County). 2BD $1,410 / 3BD $1,560.</t>
        </is>
      </c>
      <c r="AA11" s="24" t="inlineStr">
        <is>
          <t>https://www.apartments.com/blairstone-apartment-homes-tallahassee-fl/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Arbor Landing at Lake Jackson</t>
        </is>
      </c>
      <c r="D12" s="27" t="inlineStr">
        <is>
          <t>4910 N Monroe St, Tallahassee, FL 32303</t>
        </is>
      </c>
      <c r="E12" s="27" t="inlineStr">
        <is>
          <t>Tallahassee</t>
        </is>
      </c>
      <c r="F12" s="27" t="inlineStr">
        <is>
          <t>FL</t>
        </is>
      </c>
      <c r="G12" s="27" t="inlineStr">
        <is>
          <t>32303</t>
        </is>
      </c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$1,599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$1,699</t>
        </is>
      </c>
      <c r="Q12" s="27" t="n">
        <v>312</v>
      </c>
      <c r="R12" s="27" t="n">
        <v>2013</v>
      </c>
      <c r="S12" s="27" t="n">
        <v>42</v>
      </c>
      <c r="T12" s="27" t="inlineStr">
        <is>
          <t>No</t>
        </is>
      </c>
      <c r="U12" s="27" t="inlineStr">
        <is>
          <t>Yes</t>
        </is>
      </c>
      <c r="V12" s="27" t="inlineStr">
        <is>
          <t>No</t>
        </is>
      </c>
      <c r="W12" s="27" t="inlineStr">
        <is>
          <t>Yes</t>
        </is>
      </c>
      <c r="X12" s="27" t="inlineStr">
        <is>
          <t>Yes</t>
        </is>
      </c>
      <c r="Y12" s="38" t="inlineStr">
        <is>
          <t>MODERATE</t>
        </is>
      </c>
      <c r="Z12" s="28" t="inlineStr">
        <is>
          <t>Market Rate Comp #3: No income restrictions, 2013 vintage (42 yr diff), 312 units, 30.0 mi from subject in Tallahassee (Lake Jackson neighborhood). 2BD $1,599 / 3BD $1,699.</t>
        </is>
      </c>
      <c r="AA12" s="27" t="inlineStr">
        <is>
          <t>https://www.apartments.com/arbor-landing-at-lake-jackson-tallahassee-fl/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Jefferson Pines</t>
        </is>
      </c>
      <c r="D13" s="21" t="inlineStr">
        <is>
          <t>24 Parkway Pines Ct, Monticello, FL 32344</t>
        </is>
      </c>
      <c r="E13" s="21" t="inlineStr">
        <is>
          <t>Monticello</t>
        </is>
      </c>
      <c r="F13" s="21" t="inlineStr">
        <is>
          <t>FL</t>
        </is>
      </c>
      <c r="G13" s="21" t="inlineStr">
        <is>
          <t>32344</t>
        </is>
      </c>
      <c r="H13" s="21" t="inlineStr">
        <is>
          <t>1.0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N/A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$1,299</t>
        </is>
      </c>
      <c r="Q13" s="21" t="n">
        <v>67</v>
      </c>
      <c r="R13" s="21" t="n">
        <v>1998</v>
      </c>
      <c r="S13" s="21" t="n">
        <v>27</v>
      </c>
      <c r="T13" s="21" t="inlineStr">
        <is>
          <t>No</t>
        </is>
      </c>
      <c r="U13" s="21" t="inlineStr">
        <is>
          <t>No</t>
        </is>
      </c>
      <c r="V13" s="21" t="inlineStr">
        <is>
          <t>No</t>
        </is>
      </c>
      <c r="W13" s="21" t="inlineStr">
        <is>
          <t>No</t>
        </is>
      </c>
      <c r="X13" s="21" t="inlineStr">
        <is>
          <t>No</t>
        </is>
      </c>
      <c r="Y13" s="39" t="inlineStr">
        <is>
          <t>HIGH</t>
        </is>
      </c>
      <c r="Z13" s="22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3" s="21" t="inlineStr">
        <is>
          <t>https://www.apartments.com/jefferson-pines-monticello-fl/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Monticello/Tallahassee (Live, Apr 2026)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$1,380</t>
        </is>
      </c>
      <c r="J15" s="30" t="inlineStr">
        <is>
          <t>$1,380</t>
        </is>
      </c>
      <c r="K15" s="12" t="inlineStr">
        <is>
          <t>$1,380</t>
        </is>
      </c>
      <c r="L15" s="13" t="inlineStr">
        <is>
          <t>$1,380</t>
        </is>
      </c>
      <c r="M15" s="30" t="inlineStr">
        <is>
          <t>$1,427</t>
        </is>
      </c>
      <c r="N15" s="30" t="inlineStr">
        <is>
          <t>$1,427</t>
        </is>
      </c>
      <c r="O15" s="12" t="inlineStr">
        <is>
          <t>$1,427</t>
        </is>
      </c>
      <c r="P15" s="13" t="inlineStr">
        <is>
          <t>$1,427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Live Market Average for Monticello/Tallahassee metro, calculated from 4 market-rate comps as of Apr 30, 2026. 2BD avg: $1,380 (Ochlockonee Pointe $970, Blairstone $1,410, Arbor Landing $1,599, Arbor Station $1,539). 3BD avg: $1,427 (Ochlockonee Pointe $1,150, Blairstone $1,560, Arbor Landing $1,699, Jefferson Pines $1,299).</t>
        </is>
      </c>
      <c r="AA15" s="30" t="inlineStr">
        <is>
          <t>Apartments.com live data, Apr 30, 2026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A19" s="83" t="inlineStr">
        <is>
          <t>Current Rent vs. Market Average</t>
        </is>
      </c>
      <c r="B19" s="91" t="n"/>
      <c r="C19" s="91" t="n"/>
      <c r="D19" s="92" t="n"/>
      <c r="E19" s="84" t="n"/>
      <c r="F19" s="84" t="n"/>
      <c r="G19" s="84" t="n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</row>
    <row r="20">
      <c r="A20" s="85" t="inlineStr">
        <is>
          <t>Market Average = Avg of Actual Rents from all comparables</t>
        </is>
      </c>
      <c r="B20" s="91" t="n"/>
      <c r="C20" s="91" t="n"/>
      <c r="D20" s="92" t="n"/>
      <c r="E20" s="84" t="n"/>
      <c r="F20" s="84" t="n"/>
      <c r="G20" s="84" t="n"/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</row>
    <row r="21">
      <c r="A21" s="86" t="inlineStr"/>
      <c r="B21" s="86" t="inlineStr">
        <is>
          <t>Current Rent</t>
        </is>
      </c>
      <c r="C21" s="86" t="inlineStr">
        <is>
          <t>Market Average</t>
        </is>
      </c>
      <c r="D21" s="86" t="inlineStr">
        <is>
          <t>Difference</t>
        </is>
      </c>
      <c r="E21" s="84" t="n"/>
      <c r="F21" s="84" t="n"/>
      <c r="G21" s="84" t="n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</row>
    <row r="22">
      <c r="A22" s="87" t="inlineStr">
        <is>
          <t>2BD</t>
        </is>
      </c>
      <c r="B22" s="88" t="n"/>
      <c r="C22" s="89" t="n">
        <v>1380</v>
      </c>
      <c r="D22" s="90">
        <f>IF(B22="","",C22-B22)</f>
        <v/>
      </c>
    </row>
    <row r="23">
      <c r="A23" s="87" t="inlineStr">
        <is>
          <t>3BD</t>
        </is>
      </c>
      <c r="B23" s="88" t="n"/>
      <c r="C23" s="89" t="n">
        <v>1427</v>
      </c>
      <c r="D23" s="90">
        <f>IF(B23="","",C23-B23)</f>
        <v/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</sheetData>
  <mergeCells count="8">
    <mergeCell ref="A24:F24"/>
    <mergeCell ref="A17:AA17"/>
    <mergeCell ref="A3:AA3"/>
    <mergeCell ref="A20:D20"/>
    <mergeCell ref="A2:AA2"/>
    <mergeCell ref="A30:C30"/>
    <mergeCell ref="A19:D19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10" customWidth="1" style="65" min="17" max="19"/>
    <col hidden="1" width="13" customWidth="1" style="65" min="19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1BD 50% AMI ($)</t>
        </is>
      </c>
      <c r="J4" s="2" t="inlineStr">
        <is>
          <t>1BD 60% AMI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2BD 50% AMI ($)</t>
        </is>
      </c>
      <c r="N4" s="2" t="inlineStr">
        <is>
          <t>2BD 60% AMI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3BD 50% AMI ($)</t>
        </is>
      </c>
      <c r="R4" s="2" t="inlineStr">
        <is>
          <t>3BD 60% AMI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Sherbondy Villas</t>
        </is>
      </c>
      <c r="D10" s="21" t="inlineStr">
        <is>
          <t>200 S Perviz Ave, Opa Locka, FL 33054</t>
        </is>
      </c>
      <c r="E10" s="21" t="inlineStr">
        <is>
          <t>Opa Locka</t>
        </is>
      </c>
      <c r="F10" s="21" t="inlineStr">
        <is>
          <t>FL</t>
        </is>
      </c>
      <c r="G10" s="21" t="inlineStr">
        <is>
          <t>33054</t>
        </is>
      </c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$1,400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N/A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N/A</t>
        </is>
      </c>
      <c r="U10" s="21" t="n">
        <v>32</v>
      </c>
      <c r="V10" s="21" t="n">
        <v>1967</v>
      </c>
      <c r="W10" s="21" t="n">
        <v>1</v>
      </c>
      <c r="X10" s="21" t="inlineStr">
        <is>
          <t>No</t>
        </is>
      </c>
      <c r="Y10" s="21" t="inlineStr">
        <is>
          <t>No</t>
        </is>
      </c>
      <c r="Z10" s="21" t="inlineStr">
        <is>
          <t>No</t>
        </is>
      </c>
      <c r="AA10" s="21" t="inlineStr">
        <is>
          <t>No</t>
        </is>
      </c>
      <c r="AB10" s="21" t="inlineStr">
        <is>
          <t>No</t>
        </is>
      </c>
      <c r="AC10" s="23" t="inlineStr">
        <is>
          <t>HIGH</t>
        </is>
      </c>
      <c r="AD10" s="22" t="inlineStr">
        <is>
          <t>Market Rate Comp #1: No income restrictions, 1967 vintage (1 yr diff), 32 units, 1.2 mi from subject. 1BD only; shows local market-rate 1BD rent.</t>
        </is>
      </c>
      <c r="AE10" s="21" t="inlineStr">
        <is>
          <t>https://www.apartments.com/sherbondy-villas-opa-locka-fl/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Wellspring Apartments</t>
        </is>
      </c>
      <c r="D11" s="24" t="inlineStr">
        <is>
          <t>14701 NW 27th Ave, Opa Locka, FL 33054</t>
        </is>
      </c>
      <c r="E11" s="24" t="inlineStr">
        <is>
          <t>Opa Locka</t>
        </is>
      </c>
      <c r="F11" s="24" t="inlineStr">
        <is>
          <t>FL</t>
        </is>
      </c>
      <c r="G11" s="24" t="inlineStr">
        <is>
          <t>33054</t>
        </is>
      </c>
      <c r="H11" s="24" t="inlineStr">
        <is>
          <t>1.8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$1,989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$2,440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N/A</t>
        </is>
      </c>
      <c r="U11" s="24" t="inlineStr">
        <is>
          <t>N/A</t>
        </is>
      </c>
      <c r="V11" s="24" t="n">
        <v>2024</v>
      </c>
      <c r="W11" s="24" t="n">
        <v>56</v>
      </c>
      <c r="X11" s="24" t="inlineStr">
        <is>
          <t>No</t>
        </is>
      </c>
      <c r="Y11" s="24" t="inlineStr">
        <is>
          <t>Yes</t>
        </is>
      </c>
      <c r="Z11" s="24" t="inlineStr">
        <is>
          <t>No</t>
        </is>
      </c>
      <c r="AA11" s="24" t="inlineStr">
        <is>
          <t>Yes</t>
        </is>
      </c>
      <c r="AB11" s="24" t="inlineStr">
        <is>
          <t>No</t>
        </is>
      </c>
      <c r="AC11" s="26" t="inlineStr">
        <is>
          <t>HIGH</t>
        </is>
      </c>
      <c r="AD11" s="25" t="inlineStr">
        <is>
          <t>Market Rate Comp #2: No income restrictions, 2024 vintage (new senior community), 1BD $1,989 / 2BD $2,440. Located 1.8 mi from subject in same zip 33054.</t>
        </is>
      </c>
      <c r="AE11" s="24" t="inlineStr">
        <is>
          <t>https://www.apartments.com/wellspring-apartments-opa-locka-fl/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Individual Units — 33054 (2BD avg)</t>
        </is>
      </c>
      <c r="D12" s="27" t="inlineStr">
        <is>
          <t>Various addresses, Opa Locka, FL 33054</t>
        </is>
      </c>
      <c r="E12" s="27" t="inlineStr">
        <is>
          <t>Opa Locka</t>
        </is>
      </c>
      <c r="F12" s="27" t="inlineStr">
        <is>
          <t>FL</t>
        </is>
      </c>
      <c r="G12" s="27" t="inlineStr">
        <is>
          <t>33054</t>
        </is>
      </c>
      <c r="H12" s="27" t="inlineStr">
        <is>
          <t>&lt; 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$2,598</t>
        </is>
      </c>
      <c r="U12" s="27" t="inlineStr">
        <is>
          <t>N/A</t>
        </is>
      </c>
      <c r="V12" s="27" t="inlineStr">
        <is>
          <t>Various</t>
        </is>
      </c>
      <c r="W12" s="27" t="inlineStr">
        <is>
          <t>N/A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2" s="27" t="inlineStr">
        <is>
          <t>https://www.apartments.com/opa-locka-fl-33054/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Oak Enclave</t>
        </is>
      </c>
      <c r="D13" s="21" t="inlineStr">
        <is>
          <t>2301 NW 167th St, Miami Gardens, FL 33056</t>
        </is>
      </c>
      <c r="E13" s="21" t="inlineStr">
        <is>
          <t>Miami Gardens</t>
        </is>
      </c>
      <c r="F13" s="21" t="inlineStr">
        <is>
          <t>FL</t>
        </is>
      </c>
      <c r="G13" s="21" t="inlineStr">
        <is>
          <t>33056</t>
        </is>
      </c>
      <c r="H13" s="21" t="inlineStr">
        <is>
          <t>3.1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$2,240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$2,670</t>
        </is>
      </c>
      <c r="U13" s="21" t="inlineStr">
        <is>
          <t>N/A</t>
        </is>
      </c>
      <c r="V13" s="21" t="inlineStr">
        <is>
          <t>N/A</t>
        </is>
      </c>
      <c r="W13" s="21" t="inlineStr">
        <is>
          <t>N/A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Yes</t>
        </is>
      </c>
      <c r="AB13" s="21" t="inlineStr">
        <is>
          <t>No</t>
        </is>
      </c>
      <c r="AC13" s="23" t="inlineStr">
        <is>
          <t>HIGH</t>
        </is>
      </c>
      <c r="AD13" s="22" t="inlineStr">
        <is>
          <t>Market Rate Comp #4: No income restrictions, luxury complex, 3.1 mi from subject in adjacent zip 33056 (Miami Gardens). 1BD $2,000 / 2BD $2,240 / 3BD $2,670. Shows premium end of market.</t>
        </is>
      </c>
      <c r="AE13" s="21" t="inlineStr">
        <is>
          <t>https://www.apartments.com/oak-enclave-miami-gardens-fl/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 (Live, Apr 2026)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$1,672</t>
        </is>
      </c>
      <c r="J15" s="30" t="inlineStr">
        <is>
          <t>$1,672</t>
        </is>
      </c>
      <c r="K15" s="12" t="inlineStr">
        <is>
          <t>$1,672</t>
        </is>
      </c>
      <c r="L15" s="13" t="inlineStr">
        <is>
          <t>$1,672</t>
        </is>
      </c>
      <c r="M15" s="30" t="inlineStr">
        <is>
          <t>$2,079</t>
        </is>
      </c>
      <c r="N15" s="30" t="inlineStr">
        <is>
          <t>$2,079</t>
        </is>
      </c>
      <c r="O15" s="12" t="inlineStr">
        <is>
          <t>$2,079</t>
        </is>
      </c>
      <c r="P15" s="13" t="inlineStr">
        <is>
          <t>$2,079</t>
        </is>
      </c>
      <c r="Q15" s="30" t="inlineStr">
        <is>
          <t>$2,697</t>
        </is>
      </c>
      <c r="R15" s="30" t="inlineStr">
        <is>
          <t>$2,697</t>
        </is>
      </c>
      <c r="S15" s="12" t="inlineStr">
        <is>
          <t>$2,697</t>
        </is>
      </c>
      <c r="T15" s="13" t="inlineStr">
        <is>
          <t>$2,697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15" s="30" t="inlineStr">
        <is>
          <t>Apartments.com live data, Apr 30, 2026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</sheetData>
  <mergeCells count="6">
    <mergeCell ref="A24:F24"/>
    <mergeCell ref="A17:AA17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7">
    <mergeCell ref="A24:F24"/>
    <mergeCell ref="A42:C42"/>
    <mergeCell ref="A17:AA17"/>
    <mergeCell ref="A30:E30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7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885</v>
      </c>
      <c r="C34" s="82" t="n">
        <v>826</v>
      </c>
    </row>
    <row r="35">
      <c r="A35" s="79" t="inlineStr">
        <is>
          <t>3BD</t>
        </is>
      </c>
      <c r="B35" s="81" t="n">
        <v>1015</v>
      </c>
      <c r="C35" s="82" t="n">
        <v>895</v>
      </c>
    </row>
    <row r="36">
      <c r="A36" s="75" t="inlineStr">
        <is>
          <t>4BD</t>
        </is>
      </c>
      <c r="B36" s="81" t="n">
        <v>1085</v>
      </c>
      <c r="C36" s="82" t="n">
        <v>1131</v>
      </c>
    </row>
    <row r="37">
      <c r="A37" s="79" t="inlineStr">
        <is>
          <t>5BD</t>
        </is>
      </c>
      <c r="B37" s="81" t="n">
        <v>1180</v>
      </c>
      <c r="C37" s="82" t="n">
        <v>1474</v>
      </c>
    </row>
  </sheetData>
  <mergeCells count="6">
    <mergeCell ref="A24:F24"/>
    <mergeCell ref="A2:AI2"/>
    <mergeCell ref="A32:C3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1027</v>
      </c>
      <c r="C33" s="82" t="n">
        <v>943</v>
      </c>
    </row>
    <row r="34">
      <c r="A34" s="79" t="inlineStr">
        <is>
          <t>2BD</t>
        </is>
      </c>
      <c r="B34" s="81" t="n">
        <v>1115</v>
      </c>
      <c r="C34" s="82" t="n">
        <v>1063</v>
      </c>
    </row>
    <row r="35">
      <c r="A35" s="75" t="inlineStr">
        <is>
          <t>3BD</t>
        </is>
      </c>
      <c r="B35" s="81" t="n">
        <v>1233</v>
      </c>
      <c r="C35" s="82" t="n">
        <v>1219</v>
      </c>
    </row>
    <row r="36">
      <c r="A36" s="79" t="inlineStr">
        <is>
          <t>4BD</t>
        </is>
      </c>
      <c r="B36" s="81" t="n">
        <v>1380</v>
      </c>
      <c r="C36" s="82" t="n">
        <v>1131</v>
      </c>
    </row>
  </sheetData>
  <mergeCells count="6">
    <mergeCell ref="A24:F24"/>
    <mergeCell ref="A2:AI2"/>
    <mergeCell ref="A31:C31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0</v>
      </c>
      <c r="C33" s="82" t="n">
        <v>762</v>
      </c>
    </row>
    <row r="34">
      <c r="A34" s="79" t="inlineStr">
        <is>
          <t>2BD</t>
        </is>
      </c>
      <c r="B34" s="81" t="n">
        <v>886</v>
      </c>
      <c r="C34" s="82" t="n">
        <v>829</v>
      </c>
    </row>
    <row r="35">
      <c r="A35" s="75" t="inlineStr">
        <is>
          <t>3BD</t>
        </is>
      </c>
      <c r="B35" s="81" t="n">
        <v>0</v>
      </c>
      <c r="C35" s="82" t="n">
        <v>901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1464</v>
      </c>
    </row>
    <row r="40">
      <c r="A40" s="79" t="inlineStr">
        <is>
          <t>3BD</t>
        </is>
      </c>
      <c r="B40" s="81" t="n">
        <v>0</v>
      </c>
      <c r="C40" s="82" t="n">
        <v>1736</v>
      </c>
    </row>
  </sheetData>
  <mergeCells count="7">
    <mergeCell ref="A24:F24"/>
    <mergeCell ref="A17:AA17"/>
    <mergeCell ref="A3:AA3"/>
    <mergeCell ref="A37:C37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7">
    <mergeCell ref="A24:F24"/>
    <mergeCell ref="A17:AA17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41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1368</v>
      </c>
    </row>
    <row r="41">
      <c r="A41" s="79" t="inlineStr">
        <is>
          <t>4BD</t>
        </is>
      </c>
      <c r="B41" s="81" t="n">
        <v>0</v>
      </c>
      <c r="C41" s="82" t="n">
        <v>1766</v>
      </c>
    </row>
  </sheetData>
  <mergeCells count="7">
    <mergeCell ref="A24:F24"/>
    <mergeCell ref="A30:E30"/>
    <mergeCell ref="A17:AA17"/>
    <mergeCell ref="A3:AA3"/>
    <mergeCell ref="A2:AA2"/>
    <mergeCell ref="A1:AA1"/>
    <mergeCell ref="A38:C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1537</v>
      </c>
    </row>
    <row r="43">
      <c r="A43" s="79" t="inlineStr">
        <is>
          <t>4BD</t>
        </is>
      </c>
      <c r="B43" s="81" t="n">
        <v>0</v>
      </c>
      <c r="C43" s="82" t="n">
        <v>1840</v>
      </c>
    </row>
  </sheetData>
  <mergeCells count="7">
    <mergeCell ref="A17:AA17"/>
    <mergeCell ref="A3:AA3"/>
    <mergeCell ref="A2:AA2"/>
    <mergeCell ref="A40:C40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2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1248</v>
      </c>
    </row>
    <row r="41">
      <c r="A41" s="79" t="inlineStr">
        <is>
          <t>2BD</t>
        </is>
      </c>
      <c r="B41" s="81" t="n">
        <v>0</v>
      </c>
      <c r="C41" s="82" t="n">
        <v>1463</v>
      </c>
    </row>
    <row r="42">
      <c r="A42" s="75" t="inlineStr">
        <is>
          <t>3BD</t>
        </is>
      </c>
      <c r="B42" s="81" t="n">
        <v>0</v>
      </c>
      <c r="C42" s="82" t="n">
        <v>1798</v>
      </c>
    </row>
  </sheetData>
  <mergeCells count="7">
    <mergeCell ref="A24:F24"/>
    <mergeCell ref="A2:AE2"/>
    <mergeCell ref="A1:AE1"/>
    <mergeCell ref="A38:C38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1061</v>
      </c>
      <c r="C28" s="82" t="n">
        <v>1122</v>
      </c>
    </row>
    <row r="29">
      <c r="A29" s="79" t="inlineStr">
        <is>
          <t>2BD</t>
        </is>
      </c>
      <c r="B29" s="81" t="n">
        <v>1211</v>
      </c>
      <c r="C29" s="82" t="n">
        <v>1332</v>
      </c>
    </row>
    <row r="30">
      <c r="A30" s="75" t="inlineStr">
        <is>
          <t>3BD</t>
        </is>
      </c>
      <c r="B30" s="81" t="n">
        <v>1552</v>
      </c>
      <c r="C30" s="82" t="n">
        <v>1548</v>
      </c>
    </row>
  </sheetData>
  <mergeCells count="6">
    <mergeCell ref="A2:AE2"/>
    <mergeCell ref="A1:AE1"/>
    <mergeCell ref="A17:AE17"/>
    <mergeCell ref="A20:F20"/>
    <mergeCell ref="A26:C26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2BD</t>
        </is>
      </c>
      <c r="B28" s="81" t="n">
        <v>1515</v>
      </c>
      <c r="C28" s="82" t="n">
        <v>1315</v>
      </c>
    </row>
    <row r="29">
      <c r="A29" s="79" t="inlineStr">
        <is>
          <t>2BD HC</t>
        </is>
      </c>
      <c r="B29" s="81" t="n">
        <v>1570</v>
      </c>
      <c r="C29" s="82" t="n">
        <v>1315</v>
      </c>
    </row>
    <row r="30">
      <c r="A30" s="75" t="inlineStr">
        <is>
          <t>2BD TH</t>
        </is>
      </c>
      <c r="B30" s="81" t="n">
        <v>1720</v>
      </c>
      <c r="C30" s="82" t="n">
        <v>1315</v>
      </c>
    </row>
    <row r="31">
      <c r="A31" s="79" t="inlineStr">
        <is>
          <t>3BD</t>
        </is>
      </c>
      <c r="B31" s="81" t="n">
        <v>1845</v>
      </c>
      <c r="C31" s="82" t="n">
        <v>1630</v>
      </c>
    </row>
  </sheetData>
  <mergeCells count="6">
    <mergeCell ref="A17:AA17"/>
    <mergeCell ref="A3:AA3"/>
    <mergeCell ref="A2:AA2"/>
    <mergeCell ref="A20:F20"/>
    <mergeCell ref="A1:AA1"/>
    <mergeCell ref="A26:C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1172</v>
      </c>
      <c r="C30" s="82" t="n">
        <v>1929</v>
      </c>
    </row>
    <row r="31">
      <c r="A31" s="79" t="inlineStr">
        <is>
          <t>2BD</t>
        </is>
      </c>
      <c r="B31" s="81" t="n">
        <v>1500</v>
      </c>
      <c r="C31" s="82" t="n">
        <v>2232</v>
      </c>
    </row>
    <row r="32">
      <c r="A32" s="75" t="inlineStr">
        <is>
          <t>3BD</t>
        </is>
      </c>
      <c r="B32" s="81" t="n">
        <v>1747</v>
      </c>
      <c r="C32" s="82" t="n">
        <v>2508</v>
      </c>
    </row>
    <row r="33">
      <c r="A33" s="79" t="inlineStr">
        <is>
          <t>4BD</t>
        </is>
      </c>
      <c r="B33" s="81" t="n">
        <v>2042</v>
      </c>
      <c r="C33" s="82" t="n">
        <v>2894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1095</v>
      </c>
    </row>
    <row r="35">
      <c r="A35" s="79" t="inlineStr">
        <is>
          <t>2BD</t>
        </is>
      </c>
      <c r="B35" s="81" t="n">
        <v>0</v>
      </c>
      <c r="C35" s="82" t="n">
        <v>1415</v>
      </c>
    </row>
    <row r="36">
      <c r="A36" s="75" t="inlineStr">
        <is>
          <t>3BD</t>
        </is>
      </c>
      <c r="B36" s="81" t="n">
        <v>0</v>
      </c>
      <c r="C36" s="82" t="n">
        <v>1655</v>
      </c>
    </row>
  </sheetData>
  <mergeCells count="6">
    <mergeCell ref="A2:AE2"/>
    <mergeCell ref="A32:C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1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1451</v>
      </c>
    </row>
    <row r="40">
      <c r="A40" s="79" t="inlineStr">
        <is>
          <t>3BD</t>
        </is>
      </c>
      <c r="B40" s="81" t="n">
        <v>0</v>
      </c>
      <c r="C40" s="82" t="n">
        <v>1614</v>
      </c>
    </row>
    <row r="41">
      <c r="A41" s="75" t="inlineStr">
        <is>
          <t>4BD</t>
        </is>
      </c>
      <c r="B41" s="81" t="n">
        <v>0</v>
      </c>
      <c r="C41" s="82" t="n">
        <v>1727</v>
      </c>
    </row>
  </sheetData>
  <mergeCells count="7">
    <mergeCell ref="A17:AA17"/>
    <mergeCell ref="A3:AA3"/>
    <mergeCell ref="A37:C37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4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1451</v>
      </c>
    </row>
    <row r="43">
      <c r="A43" s="79" t="inlineStr">
        <is>
          <t>3BD</t>
        </is>
      </c>
      <c r="B43" s="81" t="n">
        <v>0</v>
      </c>
      <c r="C43" s="82" t="n">
        <v>1614</v>
      </c>
    </row>
    <row r="44">
      <c r="A44" s="75" t="inlineStr">
        <is>
          <t>4BD</t>
        </is>
      </c>
      <c r="B44" s="81" t="n">
        <v>0</v>
      </c>
      <c r="C44" s="82" t="n">
        <v>1727</v>
      </c>
    </row>
  </sheetData>
  <mergeCells count="7">
    <mergeCell ref="A2:AE2"/>
    <mergeCell ref="A33:E33"/>
    <mergeCell ref="A1:AE1"/>
    <mergeCell ref="A40:C40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0</v>
      </c>
      <c r="C29" s="82" t="n">
        <v>926</v>
      </c>
    </row>
    <row r="30">
      <c r="A30" s="79" t="inlineStr">
        <is>
          <t>2BD</t>
        </is>
      </c>
      <c r="B30" s="81" t="n">
        <v>0</v>
      </c>
      <c r="C30" s="82" t="n">
        <v>1116</v>
      </c>
    </row>
    <row r="31">
      <c r="A31" s="75" t="inlineStr">
        <is>
          <t>3BD</t>
        </is>
      </c>
      <c r="B31" s="81" t="n">
        <v>0</v>
      </c>
      <c r="C31" s="82" t="n">
        <v>1224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6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0</v>
      </c>
      <c r="C34" s="82" t="n">
        <v>1451</v>
      </c>
    </row>
    <row r="35">
      <c r="A35" s="79" t="inlineStr">
        <is>
          <t>3BD</t>
        </is>
      </c>
      <c r="B35" s="81" t="n">
        <v>0</v>
      </c>
      <c r="C35" s="82" t="n">
        <v>1614</v>
      </c>
    </row>
    <row r="36">
      <c r="A36" s="75" t="inlineStr">
        <is>
          <t>4BD</t>
        </is>
      </c>
      <c r="B36" s="81" t="n">
        <v>0</v>
      </c>
      <c r="C36" s="82" t="n">
        <v>1727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1BD</t>
        </is>
      </c>
      <c r="B36" s="81" t="n">
        <v>0</v>
      </c>
      <c r="C36" s="82" t="n">
        <v>939</v>
      </c>
    </row>
    <row r="37">
      <c r="A37" s="79" t="inlineStr">
        <is>
          <t>2BD</t>
        </is>
      </c>
      <c r="B37" s="81" t="n">
        <v>0</v>
      </c>
      <c r="C37" s="82" t="n">
        <v>1289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2BD</t>
        </is>
      </c>
      <c r="B36" s="81" t="n">
        <v>0</v>
      </c>
      <c r="C36" s="82" t="n">
        <v>891</v>
      </c>
    </row>
    <row r="37">
      <c r="A37" s="79" t="inlineStr">
        <is>
          <t>3BD</t>
        </is>
      </c>
      <c r="B37" s="81" t="n">
        <v>0</v>
      </c>
      <c r="C37" s="82" t="n">
        <v>1039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3BD</t>
        </is>
      </c>
      <c r="B34" s="81" t="n">
        <v>0</v>
      </c>
      <c r="C34" s="82" t="n">
        <v>1267</v>
      </c>
    </row>
    <row r="35">
      <c r="A35" s="79" t="inlineStr">
        <is>
          <t>4BD</t>
        </is>
      </c>
      <c r="B35" s="81" t="n">
        <v>0</v>
      </c>
      <c r="C35" s="82" t="n">
        <v>850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2BD</t>
        </is>
      </c>
      <c r="B33" s="81" t="n">
        <v>1050</v>
      </c>
      <c r="C33" s="82" t="n">
        <v>937</v>
      </c>
    </row>
    <row r="34">
      <c r="A34" s="79" t="inlineStr">
        <is>
          <t>3BD</t>
        </is>
      </c>
      <c r="B34" s="81" t="n">
        <v>1350</v>
      </c>
      <c r="C34" s="82" t="n">
        <v>1096</v>
      </c>
    </row>
  </sheetData>
  <mergeCells count="7">
    <mergeCell ref="A17:AA17"/>
    <mergeCell ref="A3:AA3"/>
    <mergeCell ref="A26:E26"/>
    <mergeCell ref="A31:C31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1184</v>
      </c>
    </row>
    <row r="39">
      <c r="A39" s="79" t="inlineStr">
        <is>
          <t>2BD</t>
        </is>
      </c>
      <c r="B39" s="81" t="n">
        <v>0</v>
      </c>
      <c r="C39" s="82" t="n">
        <v>1326</v>
      </c>
    </row>
    <row r="40">
      <c r="A40" s="75" t="inlineStr">
        <is>
          <t>3BD</t>
        </is>
      </c>
      <c r="B40" s="81" t="n">
        <v>0</v>
      </c>
      <c r="C40" s="82" t="n">
        <v>1530</v>
      </c>
    </row>
    <row r="41">
      <c r="A41" s="79" t="inlineStr">
        <is>
          <t>4BD</t>
        </is>
      </c>
      <c r="B41" s="81" t="n">
        <v>0</v>
      </c>
      <c r="C41" s="82" t="n">
        <v>1253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1142</v>
      </c>
    </row>
    <row r="39">
      <c r="A39" s="79" t="inlineStr">
        <is>
          <t>2BD</t>
        </is>
      </c>
      <c r="B39" s="81" t="n">
        <v>0</v>
      </c>
      <c r="C39" s="82" t="n">
        <v>1377</v>
      </c>
    </row>
    <row r="40">
      <c r="A40" s="75" t="inlineStr">
        <is>
          <t>3BD</t>
        </is>
      </c>
      <c r="B40" s="81" t="n">
        <v>0</v>
      </c>
      <c r="C40" s="82" t="n">
        <v>1458</v>
      </c>
    </row>
    <row r="41">
      <c r="A41" s="79" t="inlineStr">
        <is>
          <t>4BD</t>
        </is>
      </c>
      <c r="B41" s="81" t="n">
        <v>0</v>
      </c>
      <c r="C41" s="82" t="n">
        <v>1486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1205</v>
      </c>
    </row>
    <row r="39">
      <c r="A39" s="79" t="inlineStr">
        <is>
          <t>2BD</t>
        </is>
      </c>
      <c r="B39" s="81" t="n">
        <v>0</v>
      </c>
      <c r="C39" s="82" t="n">
        <v>1461</v>
      </c>
    </row>
    <row r="40">
      <c r="A40" s="75" t="inlineStr">
        <is>
          <t>3BD</t>
        </is>
      </c>
      <c r="B40" s="81" t="n">
        <v>0</v>
      </c>
      <c r="C40" s="82" t="n">
        <v>1579</v>
      </c>
    </row>
    <row r="41">
      <c r="A41" s="79" t="inlineStr">
        <is>
          <t>4BD</t>
        </is>
      </c>
      <c r="B41" s="81" t="n">
        <v>0</v>
      </c>
      <c r="C41" s="82" t="n">
        <v>1599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3374</v>
      </c>
      <c r="C29" s="82" t="n">
        <v>1731</v>
      </c>
    </row>
    <row r="30">
      <c r="A30" s="79" t="inlineStr">
        <is>
          <t>2BD</t>
        </is>
      </c>
      <c r="B30" s="81" t="n">
        <v>3979</v>
      </c>
      <c r="C30" s="82" t="n">
        <v>2242</v>
      </c>
    </row>
    <row r="31">
      <c r="A31" s="75" t="inlineStr">
        <is>
          <t>3BD</t>
        </is>
      </c>
      <c r="B31" s="81" t="n">
        <v>4973</v>
      </c>
      <c r="C31" s="82" t="n">
        <v>2816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2793</v>
      </c>
      <c r="C28" s="82" t="n">
        <v>2258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1389</v>
      </c>
      <c r="C28" s="82" t="n">
        <v>1287</v>
      </c>
    </row>
    <row r="29">
      <c r="A29" s="79" t="inlineStr">
        <is>
          <t>2BD</t>
        </is>
      </c>
      <c r="B29" s="81" t="n">
        <v>1842</v>
      </c>
      <c r="C29" s="82" t="n">
        <v>1682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1612</v>
      </c>
      <c r="C28" s="82" t="n">
        <v>963</v>
      </c>
    </row>
    <row r="29">
      <c r="A29" s="79" t="inlineStr">
        <is>
          <t>1BD</t>
        </is>
      </c>
      <c r="B29" s="81" t="n">
        <v>1769</v>
      </c>
      <c r="C29" s="82" t="n">
        <v>1057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1296</v>
      </c>
    </row>
    <row r="35">
      <c r="A35" s="79" t="inlineStr">
        <is>
          <t>2BD</t>
        </is>
      </c>
      <c r="B35" s="81" t="n">
        <v>0</v>
      </c>
      <c r="C35" s="82" t="n">
        <v>1618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1261</v>
      </c>
    </row>
    <row r="39">
      <c r="A39" s="79" t="inlineStr">
        <is>
          <t>2BD</t>
        </is>
      </c>
      <c r="B39" s="81" t="n">
        <v>0</v>
      </c>
      <c r="C39" s="82" t="n">
        <v>1442</v>
      </c>
    </row>
  </sheetData>
  <mergeCells count="7">
    <mergeCell ref="A24:F24"/>
    <mergeCell ref="A30:E30"/>
    <mergeCell ref="A17:AA17"/>
    <mergeCell ref="A36:C36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2005</v>
      </c>
    </row>
    <row r="41">
      <c r="A41" s="79" t="inlineStr">
        <is>
          <t>3BD</t>
        </is>
      </c>
      <c r="B41" s="81" t="n">
        <v>0</v>
      </c>
      <c r="C41" s="82" t="n">
        <v>2360</v>
      </c>
    </row>
    <row r="42">
      <c r="A42" s="75" t="inlineStr">
        <is>
          <t>4BD</t>
        </is>
      </c>
      <c r="B42" s="81" t="n">
        <v>0</v>
      </c>
      <c r="C42" s="82" t="n">
        <v>2682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1203</v>
      </c>
    </row>
    <row r="35">
      <c r="A35" s="79" t="inlineStr">
        <is>
          <t>2BD</t>
        </is>
      </c>
      <c r="B35" s="81" t="n">
        <v>0</v>
      </c>
      <c r="C35" s="82" t="n">
        <v>1335</v>
      </c>
    </row>
  </sheetData>
  <mergeCells count="7">
    <mergeCell ref="A2:AE2"/>
    <mergeCell ref="A26:E26"/>
    <mergeCell ref="A32:C3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0</v>
      </c>
      <c r="C37" s="82" t="n">
        <v>1855</v>
      </c>
    </row>
    <row r="38">
      <c r="A38" s="79" t="inlineStr">
        <is>
          <t>3BD</t>
        </is>
      </c>
      <c r="B38" s="81" t="n">
        <v>0</v>
      </c>
      <c r="C38" s="82" t="n">
        <v>2363</v>
      </c>
    </row>
  </sheetData>
  <mergeCells count="7">
    <mergeCell ref="A17:AA17"/>
    <mergeCell ref="A3:AA3"/>
    <mergeCell ref="A26:E26"/>
    <mergeCell ref="A2:AA2"/>
    <mergeCell ref="A35:C35"/>
    <mergeCell ref="A20:F20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  <row r="45">
      <c r="A45" s="66" t="inlineStr">
        <is>
          <t>HAP, CoStar, NET</t>
        </is>
      </c>
      <c r="B45" s="67" t="n"/>
      <c r="C45" s="68" t="n"/>
    </row>
    <row r="46">
      <c r="A46" s="69" t="inlineStr"/>
      <c r="B46" s="73" t="inlineStr">
        <is>
          <t>HAP</t>
        </is>
      </c>
      <c r="C46" s="70" t="inlineStr">
        <is>
          <t>CoStar</t>
        </is>
      </c>
    </row>
    <row r="47">
      <c r="A47" s="75" t="inlineStr">
        <is>
          <t>2BD</t>
        </is>
      </c>
      <c r="B47" s="81" t="n">
        <v>0</v>
      </c>
      <c r="C47" s="82" t="n">
        <v>2087</v>
      </c>
    </row>
    <row r="48">
      <c r="A48" s="79" t="inlineStr">
        <is>
          <t>3BD</t>
        </is>
      </c>
      <c r="B48" s="81" t="n">
        <v>0</v>
      </c>
      <c r="C48" s="82" t="n">
        <v>2427</v>
      </c>
    </row>
    <row r="49">
      <c r="A49" s="75" t="inlineStr">
        <is>
          <t>4BD</t>
        </is>
      </c>
      <c r="B49" s="81" t="n">
        <v>0</v>
      </c>
      <c r="C49" s="82" t="n">
        <v>2335</v>
      </c>
    </row>
    <row r="50">
      <c r="A50" s="79" t="inlineStr">
        <is>
          <t>5BD</t>
        </is>
      </c>
      <c r="B50" s="81" t="n">
        <v>0</v>
      </c>
      <c r="C50" s="82" t="n">
        <v>2601</v>
      </c>
    </row>
  </sheetData>
  <mergeCells count="7">
    <mergeCell ref="A2:AI2"/>
    <mergeCell ref="A45:C45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901</v>
      </c>
      <c r="C38" s="82" t="n">
        <v>1083</v>
      </c>
    </row>
    <row r="39">
      <c r="A39" s="79" t="inlineStr">
        <is>
          <t>2BD</t>
        </is>
      </c>
      <c r="B39" s="81" t="n">
        <v>1003</v>
      </c>
      <c r="C39" s="82" t="n">
        <v>1365</v>
      </c>
    </row>
    <row r="40">
      <c r="A40" s="75" t="inlineStr">
        <is>
          <t>3BD</t>
        </is>
      </c>
      <c r="B40" s="81" t="n">
        <v>1302</v>
      </c>
      <c r="C40" s="82" t="n">
        <v>1587</v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2026-04-30T22:02:15Z</dcterms:modified>
  <cp:lastModifiedBy>Brandon Rose</cp:lastModifiedBy>
</cp:coreProperties>
</file>