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2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$#,##0"/>
  </numFmts>
  <fonts count="24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rgb="FF595959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color auto="1"/>
      <sz val="9"/>
    </font>
    <font>
      <name val="Calibri"/>
      <b val="1"/>
      <color rgb="FF2E75B6"/>
      <sz val="9"/>
    </font>
    <font>
      <name val="Calibri"/>
      <color auto="1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i val="1"/>
      <color rgb="FFFFFFFF"/>
      <sz val="9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FFFFFF"/>
      <sz val="10"/>
    </font>
    <font>
      <name val="Calibri"/>
      <b val="1"/>
      <color rgb="FF1F3864"/>
      <sz val="9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</fonts>
  <fills count="29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6DCE4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00B0F0"/>
      </patternFill>
    </fill>
    <fill>
      <patternFill patternType="solid">
        <fgColor rgb="FF9DC3E6"/>
      </patternFill>
    </fill>
    <fill>
      <patternFill patternType="solid">
        <fgColor rgb="FFF4B942"/>
      </patternFill>
    </fill>
  </fills>
  <borders count="24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1F3864"/>
      </top>
      <bottom style="medium">
        <color rgb="FF1F3864"/>
      </bottom>
    </border>
    <border>
      <left/>
      <right style="medium">
        <color rgb="FF1F3864"/>
      </right>
      <top style="medium">
        <color rgb="FF1F3864"/>
      </top>
      <bottom style="medium">
        <color rgb="FF1F3864"/>
      </bottom>
    </border>
    <border>
      <left/>
      <right/>
      <top style="medium">
        <color rgb="FF1F3864"/>
      </top>
      <bottom/>
    </border>
    <border>
      <left/>
      <right style="medium">
        <color rgb="FF1F3864"/>
      </right>
      <top style="medium">
        <color rgb="FF1F3864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/>
      <top style="thin">
        <color rgb="FFAAAAAA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1"/>
  </cellStyleXfs>
  <cellXfs count="113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bottom"/>
    </xf>
    <xf numFmtId="0" fontId="3" fillId="4" borderId="3" applyAlignment="1" pivotButton="0" quotePrefix="0" xfId="0">
      <alignment horizontal="center" vertical="bottom"/>
    </xf>
    <xf numFmtId="0" fontId="0" fillId="5" borderId="1" pivotButton="0" quotePrefix="0" xfId="0"/>
    <xf numFmtId="0" fontId="0" fillId="5" borderId="2" applyAlignment="1" pivotButton="0" quotePrefix="0" xfId="0">
      <alignment horizontal="center" vertical="bottom"/>
    </xf>
    <xf numFmtId="0" fontId="0" fillId="5" borderId="2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4" fillId="6" borderId="2" pivotButton="0" quotePrefix="0" xfId="0"/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top" wrapText="1"/>
    </xf>
    <xf numFmtId="0" fontId="9" fillId="7" borderId="2" applyAlignment="1" pivotButton="0" quotePrefix="0" xfId="0">
      <alignment horizontal="left" vertical="top" wrapText="1"/>
    </xf>
    <xf numFmtId="0" fontId="9" fillId="10" borderId="2" applyAlignment="1" pivotButton="0" quotePrefix="0" xfId="0">
      <alignment horizontal="center" vertical="top" wrapText="1"/>
    </xf>
    <xf numFmtId="0" fontId="9" fillId="11" borderId="2" applyAlignment="1" pivotButton="0" quotePrefix="0" xfId="0">
      <alignment horizontal="center" vertical="top" wrapText="1"/>
    </xf>
    <xf numFmtId="0" fontId="10" fillId="7" borderId="2" applyAlignment="1" pivotButton="0" quotePrefix="0" xfId="0">
      <alignment horizontal="center" vertical="top" wrapText="1"/>
    </xf>
    <xf numFmtId="0" fontId="11" fillId="12" borderId="2" applyAlignment="1" pivotButton="0" quotePrefix="0" xfId="0">
      <alignment horizontal="center" vertical="top" wrapText="1"/>
    </xf>
    <xf numFmtId="0" fontId="11" fillId="12" borderId="2" applyAlignment="1" pivotButton="0" quotePrefix="0" xfId="0">
      <alignment horizontal="left" vertical="top" wrapText="1"/>
    </xf>
    <xf numFmtId="0" fontId="11" fillId="10" borderId="2" applyAlignment="1" pivotButton="0" quotePrefix="0" xfId="0">
      <alignment horizontal="center" vertical="top" wrapText="1"/>
    </xf>
    <xf numFmtId="0" fontId="11" fillId="11" borderId="2" applyAlignment="1" pivotButton="0" quotePrefix="0" xfId="0">
      <alignment horizontal="center" vertical="top" wrapText="1"/>
    </xf>
    <xf numFmtId="0" fontId="12" fillId="12" borderId="2" applyAlignment="1" pivotButton="0" quotePrefix="0" xfId="0">
      <alignment horizontal="center" vertical="top" wrapText="1"/>
    </xf>
    <xf numFmtId="0" fontId="11" fillId="13" borderId="2" applyAlignment="1" pivotButton="0" quotePrefix="0" xfId="0">
      <alignment horizontal="center" vertical="top" wrapText="1"/>
    </xf>
    <xf numFmtId="0" fontId="11" fillId="13" borderId="2" applyAlignment="1" pivotButton="0" quotePrefix="0" xfId="0">
      <alignment horizontal="left" vertical="top" wrapText="1"/>
    </xf>
    <xf numFmtId="0" fontId="12" fillId="13" borderId="2" applyAlignment="1" pivotButton="0" quotePrefix="0" xfId="0">
      <alignment horizontal="center" vertical="top" wrapText="1"/>
    </xf>
    <xf numFmtId="0" fontId="11" fillId="14" borderId="2" applyAlignment="1" pivotButton="0" quotePrefix="0" xfId="0">
      <alignment horizontal="center" vertical="top" wrapText="1"/>
    </xf>
    <xf numFmtId="0" fontId="11" fillId="14" borderId="2" applyAlignment="1" pivotButton="0" quotePrefix="0" xfId="0">
      <alignment horizontal="left" vertical="top" wrapText="1"/>
    </xf>
    <xf numFmtId="0" fontId="13" fillId="14" borderId="2" applyAlignment="1" pivotButton="0" quotePrefix="0" xfId="0">
      <alignment horizontal="center" vertical="top" wrapText="1"/>
    </xf>
    <xf numFmtId="0" fontId="11" fillId="15" borderId="2" applyAlignment="1" pivotButton="0" quotePrefix="0" xfId="0">
      <alignment horizontal="center" vertical="top" wrapText="1"/>
    </xf>
    <xf numFmtId="0" fontId="11" fillId="15" borderId="2" applyAlignment="1" pivotButton="0" quotePrefix="0" xfId="0">
      <alignment horizontal="left" vertical="top" wrapText="1"/>
    </xf>
    <xf numFmtId="0" fontId="12" fillId="15" borderId="2" applyAlignment="1" pivotButton="0" quotePrefix="0" xfId="0">
      <alignment horizontal="center" vertical="top" wrapText="1"/>
    </xf>
    <xf numFmtId="0" fontId="11" fillId="16" borderId="2" applyAlignment="1" pivotButton="0" quotePrefix="0" xfId="0">
      <alignment horizontal="center" vertical="top" wrapText="1"/>
    </xf>
    <xf numFmtId="0" fontId="11" fillId="16" borderId="2" applyAlignment="1" pivotButton="0" quotePrefix="0" xfId="0">
      <alignment horizontal="left" vertical="top" wrapText="1"/>
    </xf>
    <xf numFmtId="0" fontId="12" fillId="16" borderId="2" applyAlignment="1" pivotButton="0" quotePrefix="0" xfId="0">
      <alignment horizontal="center" vertical="top" wrapText="1"/>
    </xf>
    <xf numFmtId="0" fontId="11" fillId="17" borderId="2" applyAlignment="1" pivotButton="0" quotePrefix="0" xfId="0">
      <alignment horizontal="center" vertical="top" wrapText="1"/>
    </xf>
    <xf numFmtId="0" fontId="11" fillId="17" borderId="2" applyAlignment="1" pivotButton="0" quotePrefix="0" xfId="0">
      <alignment horizontal="left" vertical="top" wrapText="1"/>
    </xf>
    <xf numFmtId="0" fontId="12" fillId="17" borderId="2" applyAlignment="1" pivotButton="0" quotePrefix="0" xfId="0">
      <alignment horizontal="center" vertical="top" wrapText="1"/>
    </xf>
    <xf numFmtId="0" fontId="11" fillId="18" borderId="2" applyAlignment="1" pivotButton="0" quotePrefix="0" xfId="0">
      <alignment horizontal="center" vertical="top" wrapText="1"/>
    </xf>
    <xf numFmtId="0" fontId="11" fillId="18" borderId="2" applyAlignment="1" pivotButton="0" quotePrefix="0" xfId="0">
      <alignment horizontal="left" vertical="top" wrapText="1"/>
    </xf>
    <xf numFmtId="0" fontId="14" fillId="18" borderId="2" applyAlignment="1" pivotButton="0" quotePrefix="0" xfId="0">
      <alignment horizontal="center" vertical="top" wrapText="1"/>
    </xf>
    <xf numFmtId="0" fontId="15" fillId="19" borderId="1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6" fillId="4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164" fontId="18" fillId="21" borderId="4" applyAlignment="1" pivotButton="0" quotePrefix="0" xfId="0">
      <alignment horizontal="center" vertical="center"/>
    </xf>
    <xf numFmtId="164" fontId="17" fillId="15" borderId="4" applyAlignment="1" pivotButton="0" quotePrefix="0" xfId="0">
      <alignment horizontal="center" vertical="center"/>
    </xf>
    <xf numFmtId="164" fontId="17" fillId="22" borderId="4" applyAlignment="1" pivotButton="0" quotePrefix="0" xfId="0">
      <alignment horizontal="center" vertical="center"/>
    </xf>
    <xf numFmtId="0" fontId="19" fillId="3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8" fillId="23" borderId="10" applyAlignment="1" pivotButton="0" quotePrefix="0" xfId="0">
      <alignment horizontal="center" vertical="center"/>
    </xf>
    <xf numFmtId="0" fontId="8" fillId="24" borderId="10" applyAlignment="1" pivotButton="0" quotePrefix="0" xfId="0">
      <alignment horizontal="center" vertical="center"/>
    </xf>
    <xf numFmtId="0" fontId="8" fillId="25" borderId="10" applyAlignment="1" pivotButton="0" quotePrefix="0" xfId="0">
      <alignment horizontal="center" vertical="center"/>
    </xf>
    <xf numFmtId="0" fontId="8" fillId="26" borderId="10" applyAlignment="1" pivotButton="0" quotePrefix="0" xfId="0">
      <alignment horizontal="center" vertical="center"/>
    </xf>
    <xf numFmtId="0" fontId="8" fillId="27" borderId="10" applyAlignment="1" pivotButton="0" quotePrefix="0" xfId="0">
      <alignment horizontal="center" vertical="center"/>
    </xf>
    <xf numFmtId="0" fontId="8" fillId="28" borderId="10" applyAlignment="1" pivotButton="0" quotePrefix="0" xfId="0">
      <alignment horizontal="center" vertical="center"/>
    </xf>
    <xf numFmtId="0" fontId="9" fillId="23" borderId="10" applyAlignment="1" pivotButton="0" quotePrefix="0" xfId="0">
      <alignment horizontal="center" vertical="center"/>
    </xf>
    <xf numFmtId="0" fontId="11" fillId="23" borderId="10" applyAlignment="1" pivotButton="0" quotePrefix="0" xfId="0">
      <alignment horizontal="center" vertical="center"/>
    </xf>
    <xf numFmtId="0" fontId="20" fillId="27" borderId="10" applyAlignment="1" pivotButton="0" quotePrefix="0" xfId="0">
      <alignment horizontal="center" vertical="center"/>
    </xf>
    <xf numFmtId="0" fontId="20" fillId="28" borderId="10" applyAlignment="1" pivotButton="0" quotePrefix="0" xfId="0">
      <alignment horizontal="center" vertical="center"/>
    </xf>
    <xf numFmtId="0" fontId="9" fillId="19" borderId="10" applyAlignment="1" pivotButton="0" quotePrefix="0" xfId="0">
      <alignment horizontal="center" vertical="center"/>
    </xf>
    <xf numFmtId="0" fontId="11" fillId="19" borderId="10" applyAlignment="1" pivotButton="0" quotePrefix="0" xfId="0">
      <alignment horizontal="center" vertical="center"/>
    </xf>
    <xf numFmtId="164" fontId="20" fillId="27" borderId="10" applyAlignment="1" pivotButton="0" quotePrefix="0" xfId="0">
      <alignment horizontal="center" vertical="center"/>
    </xf>
    <xf numFmtId="164" fontId="20" fillId="24" borderId="10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top" wrapText="1"/>
    </xf>
    <xf numFmtId="0" fontId="21" fillId="13" borderId="2" applyAlignment="1" pivotButton="0" quotePrefix="0" xfId="0">
      <alignment horizontal="center" vertical="top" wrapText="1"/>
    </xf>
    <xf numFmtId="0" fontId="21" fillId="14" borderId="2" applyAlignment="1" pivotButton="0" quotePrefix="0" xfId="0">
      <alignment horizontal="center" vertical="top" wrapText="1"/>
    </xf>
    <xf numFmtId="0" fontId="13" fillId="15" borderId="2" applyAlignment="1" pivotButton="0" quotePrefix="0" xfId="0">
      <alignment horizontal="center" vertical="top" wrapText="1"/>
    </xf>
    <xf numFmtId="0" fontId="13" fillId="16" borderId="2" applyAlignment="1" pivotButton="0" quotePrefix="0" xfId="0">
      <alignment horizontal="center" vertical="top" wrapText="1"/>
    </xf>
    <xf numFmtId="0" fontId="13" fillId="17" borderId="2" applyAlignment="1" pivotButton="0" quotePrefix="0" xfId="0">
      <alignment horizontal="center" vertical="top" wrapText="1"/>
    </xf>
    <xf numFmtId="0" fontId="21" fillId="15" borderId="2" applyAlignment="1" pivotButton="0" quotePrefix="0" xfId="0">
      <alignment horizontal="center" vertical="top" wrapText="1"/>
    </xf>
    <xf numFmtId="0" fontId="12" fillId="14" borderId="2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bottom"/>
    </xf>
    <xf numFmtId="0" fontId="22" fillId="13" borderId="2" applyAlignment="1" pivotButton="0" quotePrefix="0" xfId="0">
      <alignment horizontal="center" vertical="top" wrapText="1"/>
    </xf>
    <xf numFmtId="0" fontId="22" fillId="14" borderId="2" applyAlignment="1" pivotButton="0" quotePrefix="0" xfId="0">
      <alignment horizontal="center" vertical="top" wrapText="1"/>
    </xf>
    <xf numFmtId="0" fontId="21" fillId="16" borderId="2" applyAlignment="1" pivotButton="0" quotePrefix="0" xfId="0">
      <alignment horizontal="center" vertical="top" wrapText="1"/>
    </xf>
    <xf numFmtId="0" fontId="21" fillId="17" borderId="2" applyAlignment="1" pivotButton="0" quotePrefix="0" xfId="0">
      <alignment horizontal="center" vertical="top" wrapText="1"/>
    </xf>
    <xf numFmtId="0" fontId="21" fillId="12" borderId="2" applyAlignment="1" pivotButton="0" quotePrefix="0" xfId="0">
      <alignment horizontal="center" vertical="top" wrapText="1"/>
    </xf>
    <xf numFmtId="0" fontId="22" fillId="12" borderId="2" applyAlignment="1" pivotButton="0" quotePrefix="0" xfId="0">
      <alignment horizontal="center" vertical="top" wrapText="1"/>
    </xf>
    <xf numFmtId="0" fontId="13" fillId="13" borderId="2" applyAlignment="1" pivotButton="0" quotePrefix="0" xfId="0">
      <alignment horizontal="center" vertical="top" wrapText="1"/>
    </xf>
    <xf numFmtId="0" fontId="23" fillId="12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164" fontId="18" fillId="21" borderId="4" applyAlignment="1" pivotButton="0" quotePrefix="0" xfId="0">
      <alignment horizontal="center" vertical="center"/>
    </xf>
    <xf numFmtId="164" fontId="17" fillId="15" borderId="4" applyAlignment="1" pivotButton="0" quotePrefix="0" xfId="0">
      <alignment horizontal="center" vertical="center"/>
    </xf>
    <xf numFmtId="164" fontId="17" fillId="22" borderId="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64" fontId="20" fillId="27" borderId="10" applyAlignment="1" pivotButton="0" quotePrefix="0" xfId="0">
      <alignment horizontal="center" vertical="center"/>
    </xf>
    <xf numFmtId="164" fontId="20" fillId="24" borderId="10" applyAlignment="1" pivotButton="0" quotePrefix="0" xfId="0">
      <alignment horizontal="center" vertical="center"/>
    </xf>
    <xf numFmtId="165" fontId="18" fillId="21" borderId="4" applyAlignment="1" pivotButton="0" quotePrefix="0" xfId="0">
      <alignment horizontal="center" vertical="center"/>
    </xf>
    <xf numFmtId="165" fontId="17" fillId="15" borderId="4" applyAlignment="1" pivotButton="0" quotePrefix="0" xfId="0">
      <alignment horizontal="center" vertical="center"/>
    </xf>
    <xf numFmtId="165" fontId="17" fillId="22" borderId="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rentcafe.com/apartments-for-rent/us/fl/panama-city/" TargetMode="External" Id="rId1"/><Relationship Type="http://schemas.openxmlformats.org/officeDocument/2006/relationships/hyperlink" Target="https://www.rentcafe.com/apartments-for-rent/us/fl/panama-city/" TargetMode="External" Id="rId2"/><Relationship Type="http://schemas.openxmlformats.org/officeDocument/2006/relationships/hyperlink" Target="https://www.rentcafe.com/apartments-for-rent/us/fl/lynn-haven/" TargetMode="External" Id="rId3"/><Relationship Type="http://schemas.openxmlformats.org/officeDocument/2006/relationships/hyperlink" Target="https://www.rentcafe.com/apartments-for-rent/us/fl/panama-city/" TargetMode="External" Id="rId4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rentcafe.com/apartments-for-rent/us/la/lake-charles/valleyview/" TargetMode="External" Id="rId1"/><Relationship Type="http://schemas.openxmlformats.org/officeDocument/2006/relationships/hyperlink" Target="https://www.rentcafe.com/apartments-for-rent/us/la/lake-charles/" TargetMode="External" Id="rId2"/><Relationship Type="http://schemas.openxmlformats.org/officeDocument/2006/relationships/hyperlink" Target="https://www.rentcafe.com/apartments-for-rent/us/la/lake-charles/" TargetMode="External" Id="rId3"/><Relationship Type="http://schemas.openxmlformats.org/officeDocument/2006/relationships/hyperlink" Target="https://www.rentcafe.com/apartments-for-rent/us/la/lake-charles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topLeftCell="A1" workbookViewId="0">
      <pane ySplit="1" topLeftCell="A2" activePane="bottomLeft" state="frozen"/>
      <selection pane="bottomLeft" activeCell="M8" sqref="M8"/>
    </sheetView>
  </sheetViews>
  <sheetFormatPr baseColWidth="8" defaultColWidth="9.140625" defaultRowHeight="15" customHeight="1"/>
  <cols>
    <col width="6.00390625" customWidth="1" style="6" min="1" max="1"/>
    <col width="32.00390625" customWidth="1" style="6" min="2" max="2"/>
    <col width="22.00390625" customWidth="1" style="6" min="3" max="3"/>
    <col width="12.00390625" customWidth="1" style="6" min="4" max="4"/>
    <col width="8.00390625" customWidth="1" style="6" min="5" max="5"/>
    <col width="18.28125" customWidth="1" style="6" min="6" max="6"/>
    <col width="21.421875" customWidth="1" style="6" min="7" max="7"/>
    <col width="20.00390625" customWidth="1" style="6" min="8" max="8"/>
    <col width="28.28125" customWidth="1" style="6" min="9" max="9"/>
    <col width="10.57421875" customWidth="1" style="6" min="10" max="10"/>
    <col width="9.140625" customWidth="1" style="14" min="1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</row>
    <row r="3" ht="27.75" customFormat="1" customHeight="1" s="6">
      <c r="A3" s="7" t="inlineStr">
        <is>
          <t>APARTMENT CORP — COMPETITIVE RENT COMP ANALYSIS 2026</t>
        </is>
      </c>
    </row>
    <row r="4" ht="44.25" customFormat="1" customHeight="1" s="6">
      <c r="A4" s="8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5" ht="15" customFormat="1" customHeight="1" s="3">
      <c r="A5" s="9" t="inlineStr">
        <is>
          <t>#</t>
        </is>
      </c>
      <c r="B5" s="9" t="inlineStr">
        <is>
          <t>Property Name</t>
        </is>
      </c>
      <c r="C5" s="9" t="inlineStr">
        <is>
          <t>City, State</t>
        </is>
      </c>
      <c r="D5" s="9" t="inlineStr">
        <is>
          <t>Year Built</t>
        </is>
      </c>
      <c r="E5" s="9" t="inlineStr">
        <is>
          <t>Units</t>
        </is>
      </c>
      <c r="F5" s="9" t="inlineStr">
        <is>
          <t>Program</t>
        </is>
      </c>
      <c r="G5" s="9" t="inlineStr">
        <is>
          <t>Sheet Name</t>
        </is>
      </c>
      <c r="H5" s="9" t="inlineStr">
        <is>
          <t>Bedroom Mix</t>
        </is>
      </c>
      <c r="I5" s="10" t="inlineStr">
        <is>
          <t>Comp Types</t>
        </is>
      </c>
    </row>
    <row r="6" ht="15" customFormat="1" customHeight="1" s="11">
      <c r="A6" s="12" t="n">
        <v>1</v>
      </c>
      <c r="B6" s="13" t="inlineStr">
        <is>
          <t>Boca Ciega</t>
        </is>
      </c>
      <c r="C6" s="13" t="inlineStr">
        <is>
          <t>St. Petersburg, FL</t>
        </is>
      </c>
      <c r="D6" s="12" t="n">
        <v>1974</v>
      </c>
      <c r="E6" s="12" t="n">
        <v>109</v>
      </c>
      <c r="F6" s="13" t="inlineStr">
        <is>
          <t>Layered HUD/LIHTC</t>
        </is>
      </c>
      <c r="G6" s="13" t="inlineStr">
        <is>
          <t>21 - Boca Ciega</t>
        </is>
      </c>
      <c r="H6" s="13" t="inlineStr">
        <is>
          <t>2BR / 3BR</t>
        </is>
      </c>
      <c r="I6" s="13" t="inlineStr">
        <is>
          <t>4 Affordable (Green) + 4 Market Rate (Blue)</t>
        </is>
      </c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</row>
    <row r="7" ht="15" customFormat="1" customHeight="1" s="15">
      <c r="A7" s="16" t="n">
        <v>2</v>
      </c>
      <c r="B7" s="17" t="inlineStr">
        <is>
          <t>Jefferson Arms</t>
        </is>
      </c>
      <c r="C7" s="17" t="inlineStr">
        <is>
          <t>Monticello, FL</t>
        </is>
      </c>
      <c r="D7" s="16" t="n">
        <v>1971</v>
      </c>
      <c r="E7" s="16" t="n">
        <v>75</v>
      </c>
      <c r="F7" s="18" t="inlineStr">
        <is>
          <t>Section 8/HUD</t>
        </is>
      </c>
      <c r="G7" s="17" t="inlineStr">
        <is>
          <t>13 - Jefferson</t>
        </is>
      </c>
      <c r="H7" s="17" t="inlineStr">
        <is>
          <t>2BR / 3BR</t>
        </is>
      </c>
      <c r="I7" s="17" t="inlineStr">
        <is>
          <t>4 Affordable (Green) + 4 Market Rate (Blue)</t>
        </is>
      </c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</row>
    <row r="8" ht="15" customFormat="1" customHeight="1" s="15">
      <c r="A8" s="16" t="n">
        <v>3</v>
      </c>
      <c r="B8" s="17" t="inlineStr">
        <is>
          <t>Opa Locka 135th St</t>
        </is>
      </c>
      <c r="C8" s="17" t="inlineStr">
        <is>
          <t>Opa Locka, FL</t>
        </is>
      </c>
      <c r="D8" s="16" t="n">
        <v>1968</v>
      </c>
      <c r="E8" s="16" t="n">
        <v>65</v>
      </c>
      <c r="F8" s="18" t="inlineStr">
        <is>
          <t>Section 8/HUD</t>
        </is>
      </c>
      <c r="G8" s="17" t="inlineStr">
        <is>
          <t>18 - Opa Locka</t>
        </is>
      </c>
      <c r="H8" s="17" t="inlineStr">
        <is>
          <t>1BR / 2BR / 3BR</t>
        </is>
      </c>
      <c r="I8" s="17" t="inlineStr">
        <is>
          <t>4 Affordable (Green) + 4 Market Rate (Blue)</t>
        </is>
      </c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</row>
    <row r="9" ht="15" customFormat="1" customHeight="1" s="15">
      <c r="A9" s="16" t="n">
        <v>4</v>
      </c>
      <c r="B9" s="17" t="inlineStr">
        <is>
          <t>Macedonia Garden</t>
        </is>
      </c>
      <c r="C9" s="17" t="inlineStr">
        <is>
          <t>Panama City, FL</t>
        </is>
      </c>
      <c r="D9" s="16" t="n">
        <v>1969</v>
      </c>
      <c r="E9" s="16" t="n">
        <v>100</v>
      </c>
      <c r="F9" s="18" t="inlineStr">
        <is>
          <t>Section 8/HUD</t>
        </is>
      </c>
      <c r="G9" s="17" t="inlineStr">
        <is>
          <t>14 - Macedonia</t>
        </is>
      </c>
      <c r="H9" s="17" t="inlineStr">
        <is>
          <t>2BR / 3BR</t>
        </is>
      </c>
      <c r="I9" s="17" t="inlineStr">
        <is>
          <t>4 Affordable (Green) + 4 Market Rate (Blue)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</row>
    <row r="10" ht="15" customFormat="1" customHeight="1" s="15">
      <c r="A10" s="16" t="n">
        <v>5</v>
      </c>
      <c r="B10" s="17" t="inlineStr">
        <is>
          <t>Coral Village</t>
        </is>
      </c>
      <c r="C10" s="17" t="inlineStr">
        <is>
          <t>Cape Coral, FL</t>
        </is>
      </c>
      <c r="D10" s="16" t="n">
        <v>1999</v>
      </c>
      <c r="E10" s="16" t="n">
        <v>72</v>
      </c>
      <c r="F10" s="18" t="inlineStr">
        <is>
          <t>Section 8/HUD</t>
        </is>
      </c>
      <c r="G10" s="17" t="inlineStr">
        <is>
          <t>48 - Coral Village</t>
        </is>
      </c>
      <c r="H10" s="17" t="inlineStr">
        <is>
          <t>1BR / 2BR</t>
        </is>
      </c>
      <c r="I10" s="17" t="inlineStr">
        <is>
          <t>4 Affordable (Green) + 4 Market Rate (Blue)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</row>
    <row r="11" ht="15" customFormat="1" customHeight="1" s="15">
      <c r="A11" s="16" t="n">
        <v>6</v>
      </c>
      <c r="B11" s="17" t="inlineStr">
        <is>
          <t>Holiday Apts</t>
        </is>
      </c>
      <c r="C11" s="17" t="inlineStr">
        <is>
          <t>Natchez, MS</t>
        </is>
      </c>
      <c r="D11" s="16" t="n">
        <v>1951</v>
      </c>
      <c r="E11" s="16" t="n">
        <v>115</v>
      </c>
      <c r="F11" s="18" t="inlineStr">
        <is>
          <t>Section 8/HUD</t>
        </is>
      </c>
      <c r="G11" s="17" t="inlineStr">
        <is>
          <t>15 - Holiday</t>
        </is>
      </c>
      <c r="H11" s="17" t="inlineStr">
        <is>
          <t>2BR / 3BR / 4BR / 5BR</t>
        </is>
      </c>
      <c r="I11" s="17" t="inlineStr">
        <is>
          <t>4 Affordable (Green) + 4 Market Rate (Blue)</t>
        </is>
      </c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</row>
    <row r="12" ht="15" customFormat="1" customHeight="1" s="15">
      <c r="A12" s="16" t="n">
        <v>7</v>
      </c>
      <c r="B12" s="17" t="inlineStr">
        <is>
          <t>Cumberland</t>
        </is>
      </c>
      <c r="C12" s="17" t="inlineStr">
        <is>
          <t>Crystal Springs, MS</t>
        </is>
      </c>
      <c r="D12" s="16" t="n">
        <v>1985</v>
      </c>
      <c r="E12" s="16" t="n">
        <v>68</v>
      </c>
      <c r="F12" s="18" t="inlineStr">
        <is>
          <t>Section 8/HUD</t>
        </is>
      </c>
      <c r="G12" s="17" t="inlineStr">
        <is>
          <t>16 - Cumberland</t>
        </is>
      </c>
      <c r="H12" s="17" t="inlineStr">
        <is>
          <t>1BR / 2BR / 3BR / 4BR</t>
        </is>
      </c>
      <c r="I12" s="17" t="inlineStr">
        <is>
          <t>4 Affordable (Green) + 4 Market Rate (Blue)</t>
        </is>
      </c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</row>
    <row r="13" ht="15" customFormat="1" customHeight="1" s="15">
      <c r="A13" s="16" t="n">
        <v>8</v>
      </c>
      <c r="B13" s="17" t="inlineStr">
        <is>
          <t>Village Green</t>
        </is>
      </c>
      <c r="C13" s="17" t="inlineStr">
        <is>
          <t>Natchez, MS</t>
        </is>
      </c>
      <c r="D13" s="16" t="n">
        <v>1977</v>
      </c>
      <c r="E13" s="16" t="n">
        <v>80</v>
      </c>
      <c r="F13" s="18" t="inlineStr">
        <is>
          <t>Section 8/HUD</t>
        </is>
      </c>
      <c r="G13" s="17" t="inlineStr">
        <is>
          <t>17 - Village Green</t>
        </is>
      </c>
      <c r="H13" s="17" t="inlineStr">
        <is>
          <t>1BR / 2BR / 3BR</t>
        </is>
      </c>
      <c r="I13" s="17" t="inlineStr">
        <is>
          <t>4 Affordable (Green) + 4 Market Rate (Blue)</t>
        </is>
      </c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</row>
    <row r="14" ht="15" customFormat="1" customHeight="1" s="15">
      <c r="A14" s="16" t="n">
        <v>9</v>
      </c>
      <c r="B14" s="17" t="inlineStr">
        <is>
          <t>Walnut Hill</t>
        </is>
      </c>
      <c r="C14" s="17" t="inlineStr">
        <is>
          <t>Natchez, MS</t>
        </is>
      </c>
      <c r="D14" s="16" t="n">
        <v>1975</v>
      </c>
      <c r="E14" s="16" t="n">
        <v>168</v>
      </c>
      <c r="F14" s="18" t="inlineStr">
        <is>
          <t>Section 8/HUD</t>
        </is>
      </c>
      <c r="G14" s="17" t="inlineStr">
        <is>
          <t>59 - Walnut Hill</t>
        </is>
      </c>
      <c r="H14" s="17" t="inlineStr">
        <is>
          <t>2BR / 3BR</t>
        </is>
      </c>
      <c r="I14" s="17" t="inlineStr">
        <is>
          <t>4 Affordable (Green) + 4 Market Rate (Blue)</t>
        </is>
      </c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</row>
    <row r="15" ht="15" customFormat="1" customHeight="1" s="15">
      <c r="A15" s="16" t="n">
        <v>10</v>
      </c>
      <c r="B15" s="17" t="inlineStr">
        <is>
          <t>River Pointe</t>
        </is>
      </c>
      <c r="C15" s="17" t="inlineStr">
        <is>
          <t>Columbus, OH</t>
        </is>
      </c>
      <c r="D15" s="16" t="n">
        <v>1996</v>
      </c>
      <c r="E15" s="16" t="n">
        <v>160</v>
      </c>
      <c r="F15" s="18" t="inlineStr">
        <is>
          <t>Section 8/HUD</t>
        </is>
      </c>
      <c r="G15" s="17" t="inlineStr">
        <is>
          <t>29 - River Pointe</t>
        </is>
      </c>
      <c r="H15" s="17" t="inlineStr">
        <is>
          <t>1BR / 2BR</t>
        </is>
      </c>
      <c r="I15" s="17" t="inlineStr">
        <is>
          <t>4 Affordable (Green) + 4 Market Rate (Blue)</t>
        </is>
      </c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</row>
    <row r="16" ht="15" customFormat="1" customHeight="1" s="11">
      <c r="A16" s="12" t="n">
        <v>11</v>
      </c>
      <c r="B16" s="13" t="inlineStr">
        <is>
          <t>Breckenridge Village</t>
        </is>
      </c>
      <c r="C16" s="13" t="inlineStr">
        <is>
          <t>Ennis, TX</t>
        </is>
      </c>
      <c r="D16" s="12" t="n">
        <v>1997</v>
      </c>
      <c r="E16" s="12" t="n">
        <v>66</v>
      </c>
      <c r="F16" s="13" t="inlineStr">
        <is>
          <t>LIHTC</t>
        </is>
      </c>
      <c r="G16" s="13" t="inlineStr">
        <is>
          <t>12 - Breckenridge</t>
        </is>
      </c>
      <c r="H16" s="13" t="inlineStr">
        <is>
          <t>2BR / 4BR</t>
        </is>
      </c>
      <c r="I16" s="13" t="inlineStr">
        <is>
          <t>4 Affordable (Green) + 4 Market Rate (Blue)</t>
        </is>
      </c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</row>
    <row r="17" ht="15" customFormat="1" customHeight="1" s="11">
      <c r="A17" s="12" t="n">
        <v>12</v>
      </c>
      <c r="B17" s="13" t="inlineStr">
        <is>
          <t>Lexington Arms</t>
        </is>
      </c>
      <c r="C17" s="13" t="inlineStr">
        <is>
          <t>Waxahachie, TX</t>
        </is>
      </c>
      <c r="D17" s="12" t="n">
        <v>1997</v>
      </c>
      <c r="E17" s="12" t="n">
        <v>61</v>
      </c>
      <c r="F17" s="13" t="inlineStr">
        <is>
          <t>LIHTC</t>
        </is>
      </c>
      <c r="G17" s="13" t="inlineStr">
        <is>
          <t>38 - Lexington</t>
        </is>
      </c>
      <c r="H17" s="13" t="inlineStr">
        <is>
          <t>2BR / 4BR</t>
        </is>
      </c>
      <c r="I17" s="13" t="inlineStr">
        <is>
          <t>4 Affordable (Green) + 4 Market Rate (Blue)</t>
        </is>
      </c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</row>
    <row r="18" ht="15" customFormat="1" customHeight="1" s="11">
      <c r="A18" s="12" t="n">
        <v>13</v>
      </c>
      <c r="B18" s="13" t="inlineStr">
        <is>
          <t>Grace Townhomes</t>
        </is>
      </c>
      <c r="C18" s="13" t="inlineStr">
        <is>
          <t>Ennis, TX</t>
        </is>
      </c>
      <c r="D18" s="12" t="n">
        <v>2001</v>
      </c>
      <c r="E18" s="12" t="n">
        <v>112</v>
      </c>
      <c r="F18" s="13" t="inlineStr">
        <is>
          <t>LIHTC</t>
        </is>
      </c>
      <c r="G18" s="13" t="inlineStr">
        <is>
          <t>23 - Grace Townhomes</t>
        </is>
      </c>
      <c r="H18" s="13" t="inlineStr">
        <is>
          <t>1BR / 2BR / 3BR</t>
        </is>
      </c>
      <c r="I18" s="13" t="inlineStr">
        <is>
          <t>4 Affordable (Green) + 4 Market Rate (Blue)</t>
        </is>
      </c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</row>
    <row r="19" ht="15" customFormat="1" customHeight="1" s="11">
      <c r="A19" s="12" t="n">
        <v>14</v>
      </c>
      <c r="B19" s="13" t="inlineStr">
        <is>
          <t>Grove Park Terrace</t>
        </is>
      </c>
      <c r="C19" s="13" t="inlineStr">
        <is>
          <t>Waxahachie, TX</t>
        </is>
      </c>
      <c r="D19" s="12" t="n">
        <v>1998</v>
      </c>
      <c r="E19" s="12" t="n">
        <v>60</v>
      </c>
      <c r="F19" s="13" t="inlineStr">
        <is>
          <t>Layered HUD/LIHTC</t>
        </is>
      </c>
      <c r="G19" s="13" t="inlineStr">
        <is>
          <t>46 - Grove Park</t>
        </is>
      </c>
      <c r="H19" s="13" t="inlineStr">
        <is>
          <t>1BR / 2BR / 3BR</t>
        </is>
      </c>
      <c r="I19" s="13" t="inlineStr">
        <is>
          <t>4 Affordable (Green) + 4 Market Rate (Blue)</t>
        </is>
      </c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</row>
    <row r="20" ht="15" customFormat="1" customHeight="1" s="11">
      <c r="A20" s="12" t="n">
        <v>15</v>
      </c>
      <c r="B20" s="13" t="inlineStr">
        <is>
          <t>La Promesa</t>
        </is>
      </c>
      <c r="C20" s="13" t="inlineStr">
        <is>
          <t>Odessa, TX</t>
        </is>
      </c>
      <c r="D20" s="12" t="n">
        <v>1978</v>
      </c>
      <c r="E20" s="12" t="n">
        <v>136</v>
      </c>
      <c r="F20" s="13" t="inlineStr">
        <is>
          <t>Layered HUD/LIHTC</t>
        </is>
      </c>
      <c r="G20" s="13" t="inlineStr">
        <is>
          <t>60 - La Promesa</t>
        </is>
      </c>
      <c r="H20" s="13" t="inlineStr">
        <is>
          <t>2BR / 3BR</t>
        </is>
      </c>
      <c r="I20" s="13" t="inlineStr">
        <is>
          <t>4 Affordable (Green) + 4 Market Rate (Blue)</t>
        </is>
      </c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</row>
    <row r="21" ht="15" customFormat="1" customHeight="1" s="15">
      <c r="A21" s="16" t="n">
        <v>16</v>
      </c>
      <c r="B21" s="17" t="inlineStr">
        <is>
          <t>New Wilmington Arms</t>
        </is>
      </c>
      <c r="C21" s="17" t="inlineStr">
        <is>
          <t>Compton, CA</t>
        </is>
      </c>
      <c r="D21" s="16" t="n">
        <v>1973</v>
      </c>
      <c r="E21" s="16" t="inlineStr">
        <is>
          <t>N/A</t>
        </is>
      </c>
      <c r="F21" s="18" t="inlineStr">
        <is>
          <t>Section 8/HUD</t>
        </is>
      </c>
      <c r="G21" s="17" t="inlineStr">
        <is>
          <t>3 - Wilmington</t>
        </is>
      </c>
      <c r="H21" s="17" t="inlineStr">
        <is>
          <t>1BR / 2BR / 3BR / 4BR</t>
        </is>
      </c>
      <c r="I21" s="17" t="inlineStr">
        <is>
          <t>3 Affordable (Green) + 3 Market Rate (Blue)</t>
        </is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</row>
    <row r="22" ht="15" customFormat="1" customHeight="1" s="15">
      <c r="A22" s="16" t="n">
        <v>17</v>
      </c>
      <c r="B22" s="17" t="inlineStr">
        <is>
          <t>Gates on Manhattan</t>
        </is>
      </c>
      <c r="C22" s="17" t="inlineStr">
        <is>
          <t>Harvey, LA</t>
        </is>
      </c>
      <c r="D22" s="16" t="n">
        <v>1968</v>
      </c>
      <c r="E22" s="16" t="n">
        <v>276</v>
      </c>
      <c r="F22" s="18" t="inlineStr">
        <is>
          <t>Section 8/HUD</t>
        </is>
      </c>
      <c r="G22" s="17" t="inlineStr">
        <is>
          <t>19 - Gates</t>
        </is>
      </c>
      <c r="H22" s="17" t="inlineStr">
        <is>
          <t>1BR / 2BR / 3BR</t>
        </is>
      </c>
      <c r="I22" s="17" t="inlineStr">
        <is>
          <t>3 Affordable (Green) + 3 Market Rate (Blue)</t>
        </is>
      </c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</row>
    <row r="23" ht="15" customFormat="1" customHeight="1" s="11">
      <c r="A23" s="12" t="n">
        <v>18</v>
      </c>
      <c r="B23" s="13" t="inlineStr">
        <is>
          <t>Ruby Diamond</t>
        </is>
      </c>
      <c r="C23" s="13" t="inlineStr">
        <is>
          <t>Marrero, LA</t>
        </is>
      </c>
      <c r="D23" s="12" t="n">
        <v>2000</v>
      </c>
      <c r="E23" s="12" t="n">
        <v>73</v>
      </c>
      <c r="F23" s="13" t="inlineStr">
        <is>
          <t>LIHTC</t>
        </is>
      </c>
      <c r="G23" s="13" t="inlineStr">
        <is>
          <t>42 - Ruby</t>
        </is>
      </c>
      <c r="H23" s="13" t="inlineStr">
        <is>
          <t>3BR / 4BR</t>
        </is>
      </c>
      <c r="I23" s="13" t="inlineStr">
        <is>
          <t>4 Affordable (Green) + 4 Market Rate (Blue)</t>
        </is>
      </c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</row>
    <row r="24" ht="15" customFormat="1" customHeight="1" s="11">
      <c r="A24" s="12" t="n">
        <v>19</v>
      </c>
      <c r="B24" s="13" t="inlineStr">
        <is>
          <t>Star Homes</t>
        </is>
      </c>
      <c r="C24" s="13" t="inlineStr">
        <is>
          <t>Marrero, LA</t>
        </is>
      </c>
      <c r="D24" s="12" t="n">
        <v>2000</v>
      </c>
      <c r="E24" s="12" t="n">
        <v>48</v>
      </c>
      <c r="F24" s="13" t="inlineStr">
        <is>
          <t>LIHTC</t>
        </is>
      </c>
      <c r="G24" s="13" t="inlineStr">
        <is>
          <t>39 - Star</t>
        </is>
      </c>
      <c r="H24" s="13" t="inlineStr">
        <is>
          <t>2BR / 3BR / 4BR</t>
        </is>
      </c>
      <c r="I24" s="13" t="inlineStr">
        <is>
          <t>4 Affordable (Green) + 4 Market Rate (Blue)</t>
        </is>
      </c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</row>
    <row r="25" ht="15" customFormat="1" customHeight="1" s="15">
      <c r="A25" s="16" t="n">
        <v>20</v>
      </c>
      <c r="B25" s="17" t="inlineStr">
        <is>
          <t>Colonial Estates (Thibodaux)</t>
        </is>
      </c>
      <c r="C25" s="17" t="inlineStr">
        <is>
          <t>Thibodaux, LA</t>
        </is>
      </c>
      <c r="D25" s="16" t="n">
        <v>1975</v>
      </c>
      <c r="E25" s="16" t="n">
        <v>107</v>
      </c>
      <c r="F25" s="18" t="inlineStr">
        <is>
          <t>Section 8/HUD</t>
        </is>
      </c>
      <c r="G25" s="17" t="inlineStr">
        <is>
          <t>20 - Thibodaux</t>
        </is>
      </c>
      <c r="H25" s="17" t="inlineStr">
        <is>
          <t>1BR / 2BR / 3BR</t>
        </is>
      </c>
      <c r="I25" s="17" t="inlineStr">
        <is>
          <t>4 Affordable (Green) + 4 Market Rate (Blue)</t>
        </is>
      </c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</row>
    <row r="26" ht="15" customFormat="1" customHeight="1" s="15">
      <c r="A26" s="16" t="n">
        <v>21</v>
      </c>
      <c r="B26" s="17" t="inlineStr">
        <is>
          <t>Marrero 3</t>
        </is>
      </c>
      <c r="C26" s="17" t="inlineStr">
        <is>
          <t>Harvey, LA</t>
        </is>
      </c>
      <c r="D26" s="16" t="n">
        <v>1968</v>
      </c>
      <c r="E26" s="16" t="n">
        <v>173</v>
      </c>
      <c r="F26" s="18" t="inlineStr">
        <is>
          <t>Section 8/HUD</t>
        </is>
      </c>
      <c r="G26" s="17" t="inlineStr">
        <is>
          <t>40 - Marrero</t>
        </is>
      </c>
      <c r="H26" s="17" t="inlineStr">
        <is>
          <t>3BR / 4BR</t>
        </is>
      </c>
      <c r="I26" s="17" t="inlineStr">
        <is>
          <t>4 Affordable (Green) + 4 Market Rate (Blue)</t>
        </is>
      </c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</row>
    <row r="27" ht="15" customFormat="1" customHeight="1" s="11">
      <c r="A27" s="12" t="n">
        <v>22</v>
      </c>
      <c r="B27" s="13" t="inlineStr">
        <is>
          <t>Arbor Crest</t>
        </is>
      </c>
      <c r="C27" s="13" t="inlineStr">
        <is>
          <t>Quincy, FL</t>
        </is>
      </c>
      <c r="D27" s="12" t="n">
        <v>1995</v>
      </c>
      <c r="E27" s="12" t="n">
        <v>120</v>
      </c>
      <c r="F27" s="13" t="inlineStr">
        <is>
          <t>LIHTC</t>
        </is>
      </c>
      <c r="G27" s="13" t="inlineStr">
        <is>
          <t>37 - Arbor Crest</t>
        </is>
      </c>
      <c r="H27" s="13" t="inlineStr">
        <is>
          <t>1BR / 2BR / 3BR</t>
        </is>
      </c>
      <c r="I27" s="13" t="inlineStr">
        <is>
          <t>4 Affordable (Green) + 4 Market Rate (Blue)</t>
        </is>
      </c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</row>
    <row r="28" ht="15" customFormat="1" customHeight="1" s="11">
      <c r="A28" s="12" t="n">
        <v>23</v>
      </c>
      <c r="B28" s="13" t="inlineStr">
        <is>
          <t>Windsor/Yorkshire</t>
        </is>
      </c>
      <c r="C28" s="13" t="inlineStr">
        <is>
          <t>Shreveport, LA</t>
        </is>
      </c>
      <c r="D28" s="12" t="n">
        <v>1998</v>
      </c>
      <c r="E28" s="12" t="n">
        <v>134</v>
      </c>
      <c r="F28" s="13" t="inlineStr">
        <is>
          <t>LIHTC</t>
        </is>
      </c>
      <c r="G28" s="13" t="inlineStr">
        <is>
          <t>33 - Windsor-Yorkshire</t>
        </is>
      </c>
      <c r="H28" s="13" t="inlineStr">
        <is>
          <t>1BR / 2BR / 4BR</t>
        </is>
      </c>
      <c r="I28" s="13" t="inlineStr">
        <is>
          <t>4 Affordable (Green) + 4 Market Rate (Blue)</t>
        </is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</row>
    <row r="29" ht="15" customFormat="1" customHeight="1" s="11">
      <c r="A29" s="12" t="n">
        <v>24</v>
      </c>
      <c r="B29" s="13" t="inlineStr">
        <is>
          <t>North Pointe</t>
        </is>
      </c>
      <c r="C29" s="13" t="inlineStr">
        <is>
          <t>Bossier City, LA</t>
        </is>
      </c>
      <c r="D29" s="12" t="n">
        <v>2000</v>
      </c>
      <c r="E29" s="12" t="n">
        <v>27</v>
      </c>
      <c r="F29" s="13" t="inlineStr">
        <is>
          <t>LIHTC</t>
        </is>
      </c>
      <c r="G29" s="13" t="inlineStr">
        <is>
          <t>50 - North Pointe</t>
        </is>
      </c>
      <c r="H29" s="13" t="inlineStr">
        <is>
          <t>2BR / 3BR / 4BR</t>
        </is>
      </c>
      <c r="I29" s="13" t="inlineStr">
        <is>
          <t>4 Affordable (Green) + 4 Market Rate (Blue)</t>
        </is>
      </c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</row>
    <row r="30" ht="15" customFormat="1" customHeight="1" s="11">
      <c r="A30" s="12" t="n">
        <v>25</v>
      </c>
      <c r="B30" s="13" t="inlineStr">
        <is>
          <t>Granite Bayou</t>
        </is>
      </c>
      <c r="C30" s="13" t="inlineStr">
        <is>
          <t>Baton Rouge, LA</t>
        </is>
      </c>
      <c r="D30" s="12" t="n">
        <v>2000</v>
      </c>
      <c r="E30" s="12" t="n">
        <v>60</v>
      </c>
      <c r="F30" s="13" t="inlineStr">
        <is>
          <t>LIHTC</t>
        </is>
      </c>
      <c r="G30" s="13" t="inlineStr">
        <is>
          <t>53 - Bayou Pointe</t>
        </is>
      </c>
      <c r="H30" s="13" t="inlineStr">
        <is>
          <t>3BR / 4BR</t>
        </is>
      </c>
      <c r="I30" s="13" t="inlineStr">
        <is>
          <t>4 Affordable (Green) + 4 Market Rate (Blue)</t>
        </is>
      </c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</row>
    <row r="31" ht="15" customFormat="1" customHeight="1" s="11">
      <c r="A31" s="12" t="n">
        <v>26</v>
      </c>
      <c r="B31" s="13" t="inlineStr">
        <is>
          <t>St. Charles Place</t>
        </is>
      </c>
      <c r="C31" s="13" t="inlineStr">
        <is>
          <t>Lake Charles, LA</t>
        </is>
      </c>
      <c r="D31" s="12" t="n">
        <v>1995</v>
      </c>
      <c r="E31" s="12" t="n">
        <v>121</v>
      </c>
      <c r="F31" s="13" t="inlineStr">
        <is>
          <t>Layered HUD/LIHTC</t>
        </is>
      </c>
      <c r="G31" s="13" t="inlineStr">
        <is>
          <t>41 - St. Charles</t>
        </is>
      </c>
      <c r="H31" s="13" t="inlineStr">
        <is>
          <t>2BR / 3BR</t>
        </is>
      </c>
      <c r="I31" s="13" t="inlineStr">
        <is>
          <t>4 Affordable (Green) + 4 Market Rate (Blue)</t>
        </is>
      </c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</row>
    <row r="32" ht="15" customFormat="1" customHeight="1" s="15">
      <c r="A32" s="16" t="n">
        <v>27</v>
      </c>
      <c r="B32" s="17" t="inlineStr">
        <is>
          <t>Pelican Bay</t>
        </is>
      </c>
      <c r="C32" s="17" t="inlineStr">
        <is>
          <t>Baton Rouge, LA</t>
        </is>
      </c>
      <c r="D32" s="16" t="n">
        <v>2001</v>
      </c>
      <c r="E32" s="16" t="n">
        <v>152</v>
      </c>
      <c r="F32" s="18" t="inlineStr">
        <is>
          <t>Section 8/HUD</t>
        </is>
      </c>
      <c r="G32" s="17" t="inlineStr">
        <is>
          <t>55 - Pelican Bay</t>
        </is>
      </c>
      <c r="H32" s="17" t="inlineStr">
        <is>
          <t>1BR / 2BR / 3BR / 4BR</t>
        </is>
      </c>
      <c r="I32" s="17" t="inlineStr">
        <is>
          <t>4 Affordable (Green) + 4 Market Rate (Blue)</t>
        </is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</row>
    <row r="33" ht="15" customFormat="1" customHeight="1" s="15">
      <c r="A33" s="16" t="n">
        <v>28</v>
      </c>
      <c r="B33" s="17" t="inlineStr">
        <is>
          <t>Howell Place</t>
        </is>
      </c>
      <c r="C33" s="17" t="inlineStr">
        <is>
          <t>Baton Rouge, LA</t>
        </is>
      </c>
      <c r="D33" s="16" t="n">
        <v>2001</v>
      </c>
      <c r="E33" s="16" t="n">
        <v>48</v>
      </c>
      <c r="F33" s="18" t="inlineStr">
        <is>
          <t>Section 8/HUD</t>
        </is>
      </c>
      <c r="G33" s="17" t="inlineStr">
        <is>
          <t>56 - Howell Place</t>
        </is>
      </c>
      <c r="H33" s="17" t="inlineStr">
        <is>
          <t>1BR / 2BR / 3BR / 4BR</t>
        </is>
      </c>
      <c r="I33" s="17" t="inlineStr">
        <is>
          <t>4 Affordable (Green) + 4 Market Rate (Blue)</t>
        </is>
      </c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</row>
    <row r="34" ht="15" customFormat="1" customHeight="1" s="15">
      <c r="A34" s="16" t="n">
        <v>29</v>
      </c>
      <c r="B34" s="17" t="inlineStr">
        <is>
          <t>Pirates Bend</t>
        </is>
      </c>
      <c r="C34" s="17" t="inlineStr">
        <is>
          <t>Baton Rouge, LA</t>
        </is>
      </c>
      <c r="D34" s="16" t="n">
        <v>2001</v>
      </c>
      <c r="E34" s="16" t="n">
        <v>48</v>
      </c>
      <c r="F34" s="18" t="inlineStr">
        <is>
          <t>Section 8/HUD</t>
        </is>
      </c>
      <c r="G34" s="17" t="inlineStr">
        <is>
          <t>57 - Pirates Bend</t>
        </is>
      </c>
      <c r="H34" s="17" t="inlineStr">
        <is>
          <t>1BR / 2BR / 3BR / 4BR</t>
        </is>
      </c>
      <c r="I34" s="17" t="inlineStr">
        <is>
          <t>4 Affordable (Green) + 4 Market Rate (Blue)</t>
        </is>
      </c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</row>
    <row r="35" ht="15" customFormat="1" customHeight="1" s="15">
      <c r="A35" s="16" t="n">
        <v>30</v>
      </c>
      <c r="B35" s="17" t="inlineStr">
        <is>
          <t>Anaheim</t>
        </is>
      </c>
      <c r="C35" s="17" t="inlineStr">
        <is>
          <t>Anaheim, CA</t>
        </is>
      </c>
      <c r="D35" s="16" t="n">
        <v>1980</v>
      </c>
      <c r="E35" s="16" t="n">
        <v>80</v>
      </c>
      <c r="F35" s="18" t="inlineStr">
        <is>
          <t>Section 8/HUD</t>
        </is>
      </c>
      <c r="G35" s="17" t="inlineStr">
        <is>
          <t>6 - Anaheim Gardens</t>
        </is>
      </c>
      <c r="H35" s="17" t="inlineStr">
        <is>
          <t>2BR / 3BR / 4BR</t>
        </is>
      </c>
      <c r="I35" s="17" t="inlineStr">
        <is>
          <t>4 Affordable (Green) + 4 Market Rate (Blue)</t>
        </is>
      </c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</row>
    <row r="36" ht="15" customFormat="1" customHeight="1" s="15">
      <c r="A36" s="16" t="n">
        <v>31</v>
      </c>
      <c r="B36" s="17" t="inlineStr">
        <is>
          <t>Fairfax</t>
        </is>
      </c>
      <c r="C36" s="17" t="inlineStr">
        <is>
          <t>Los Angeles, CA</t>
        </is>
      </c>
      <c r="D36" s="16" t="n">
        <v>1965</v>
      </c>
      <c r="E36" s="16" t="n">
        <v>46</v>
      </c>
      <c r="F36" s="18" t="inlineStr">
        <is>
          <t>Section 8/HUD</t>
        </is>
      </c>
      <c r="G36" s="17" t="inlineStr">
        <is>
          <t>11 - Fairfax</t>
        </is>
      </c>
      <c r="H36" s="17" t="inlineStr">
        <is>
          <t>1BR</t>
        </is>
      </c>
      <c r="I36" s="17" t="inlineStr">
        <is>
          <t>4 Affordable (Green) + 4 Market Rate (Blue)</t>
        </is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</row>
    <row r="37" ht="15" customFormat="1" customHeight="1" s="11">
      <c r="A37" s="12" t="n">
        <v>32</v>
      </c>
      <c r="B37" s="13" t="inlineStr">
        <is>
          <t>Urban 1 &amp; 2</t>
        </is>
      </c>
      <c r="C37" s="13" t="inlineStr">
        <is>
          <t>Los Angeles, CA</t>
        </is>
      </c>
      <c r="D37" s="12" t="n">
        <v>1970</v>
      </c>
      <c r="E37" s="12" t="n">
        <v>60</v>
      </c>
      <c r="F37" s="13" t="inlineStr">
        <is>
          <t>LIHTC</t>
        </is>
      </c>
      <c r="G37" s="13" t="inlineStr">
        <is>
          <t>31 - Urban</t>
        </is>
      </c>
      <c r="H37" s="13" t="inlineStr">
        <is>
          <t>2BR</t>
        </is>
      </c>
      <c r="I37" s="13" t="inlineStr">
        <is>
          <t>4 Affordable (Green) + 4 Market Rate (Blue)</t>
        </is>
      </c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</row>
    <row r="38" ht="15" customFormat="1" customHeight="1" s="11">
      <c r="A38" s="12" t="n">
        <v>33</v>
      </c>
      <c r="B38" s="13" t="inlineStr">
        <is>
          <t>Midtown Manor</t>
        </is>
      </c>
      <c r="C38" s="13" t="inlineStr">
        <is>
          <t>Los Angeles, CA</t>
        </is>
      </c>
      <c r="D38" s="12" t="n">
        <v>1970</v>
      </c>
      <c r="E38" s="12" t="n">
        <v>32</v>
      </c>
      <c r="F38" s="13" t="inlineStr">
        <is>
          <t>LIHTC</t>
        </is>
      </c>
      <c r="G38" s="13" t="inlineStr">
        <is>
          <t>2 - Midtown</t>
        </is>
      </c>
      <c r="H38" s="13" t="inlineStr">
        <is>
          <t>1BR</t>
        </is>
      </c>
      <c r="I38" s="13" t="inlineStr">
        <is>
          <t>4 Affordable (Green) + 4 Market Rate (Blue)</t>
        </is>
      </c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</row>
    <row r="39" ht="15" customFormat="1" customHeight="1" s="11">
      <c r="A39" s="12" t="n">
        <v>34</v>
      </c>
      <c r="B39" s="13" t="inlineStr">
        <is>
          <t>Pacific Pointe</t>
        </is>
      </c>
      <c r="C39" s="13" t="inlineStr">
        <is>
          <t>Stockton, CA</t>
        </is>
      </c>
      <c r="D39" s="12" t="n">
        <v>1998</v>
      </c>
      <c r="E39" s="12" t="n">
        <v>80</v>
      </c>
      <c r="F39" s="13" t="inlineStr">
        <is>
          <t>LIHTC</t>
        </is>
      </c>
      <c r="G39" s="13" t="inlineStr">
        <is>
          <t>34 - Pacific Pointe</t>
        </is>
      </c>
      <c r="H39" s="13" t="inlineStr">
        <is>
          <t>1BR / 2BR</t>
        </is>
      </c>
      <c r="I39" s="13" t="inlineStr">
        <is>
          <t>4 Affordable (Green) + 4 Market Rate (Blue)</t>
        </is>
      </c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</row>
    <row r="40" ht="15" customFormat="1" customHeight="1" s="11">
      <c r="A40" s="12" t="n">
        <v>35</v>
      </c>
      <c r="B40" s="13" t="inlineStr">
        <is>
          <t>Granite Ridge</t>
        </is>
      </c>
      <c r="C40" s="13" t="inlineStr">
        <is>
          <t>Stockton, CA</t>
        </is>
      </c>
      <c r="D40" s="12" t="n">
        <v>1998</v>
      </c>
      <c r="E40" s="12" t="n">
        <v>80</v>
      </c>
      <c r="F40" s="13" t="inlineStr">
        <is>
          <t>LIHTC</t>
        </is>
      </c>
      <c r="G40" s="13" t="inlineStr">
        <is>
          <t>28 - Granite Ridge</t>
        </is>
      </c>
      <c r="H40" s="13" t="inlineStr">
        <is>
          <t>1BR / 2BR</t>
        </is>
      </c>
      <c r="I40" s="13" t="inlineStr">
        <is>
          <t>4 Affordable (Green) + 4 Market Rate (Blue)</t>
        </is>
      </c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</row>
    <row r="41" ht="15" customFormat="1" customHeight="1" s="11">
      <c r="A41" s="12" t="n">
        <v>36</v>
      </c>
      <c r="B41" s="13" t="inlineStr">
        <is>
          <t>Columbia Village</t>
        </is>
      </c>
      <c r="C41" s="13" t="inlineStr">
        <is>
          <t>Sonora, CA</t>
        </is>
      </c>
      <c r="D41" s="12" t="n">
        <v>2000</v>
      </c>
      <c r="E41" s="12" t="n">
        <v>80</v>
      </c>
      <c r="F41" s="13" t="inlineStr">
        <is>
          <t>LIHTC</t>
        </is>
      </c>
      <c r="G41" s="13" t="inlineStr">
        <is>
          <t>25 - Columbia</t>
        </is>
      </c>
      <c r="H41" s="13" t="inlineStr">
        <is>
          <t>1BR / 2BR / 3BR</t>
        </is>
      </c>
      <c r="I41" s="13" t="inlineStr">
        <is>
          <t>4 Affordable (Green) + 4 Market Rate (Blue)</t>
        </is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</row>
    <row r="42" ht="15" customFormat="1" customHeight="1" s="11">
      <c r="A42" s="12" t="n">
        <v>37</v>
      </c>
      <c r="B42" s="13" t="inlineStr">
        <is>
          <t>Forest View Senior</t>
        </is>
      </c>
      <c r="C42" s="13" t="inlineStr">
        <is>
          <t>Sonora, CA</t>
        </is>
      </c>
      <c r="D42" s="12" t="n">
        <v>2000</v>
      </c>
      <c r="E42" s="12" t="n">
        <v>60</v>
      </c>
      <c r="F42" s="13" t="inlineStr">
        <is>
          <t>LIHTC</t>
        </is>
      </c>
      <c r="G42" s="13" t="inlineStr">
        <is>
          <t>26 - Forest View</t>
        </is>
      </c>
      <c r="H42" s="13" t="inlineStr">
        <is>
          <t>1BR / 2BR / 3BR</t>
        </is>
      </c>
      <c r="I42" s="13" t="inlineStr">
        <is>
          <t>4 Affordable (Green) + 4 Market Rate (Blue)</t>
        </is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</row>
    <row r="43" ht="15" customFormat="1" customHeight="1" s="11">
      <c r="A43" s="12" t="n">
        <v>38</v>
      </c>
      <c r="B43" s="13" t="inlineStr">
        <is>
          <t>Oak Hills</t>
        </is>
      </c>
      <c r="C43" s="13" t="inlineStr">
        <is>
          <t>Jamestown, CA</t>
        </is>
      </c>
      <c r="D43" s="12" t="n">
        <v>2000</v>
      </c>
      <c r="E43" s="12" t="n">
        <v>80</v>
      </c>
      <c r="F43" s="13" t="inlineStr">
        <is>
          <t>LIHTC</t>
        </is>
      </c>
      <c r="G43" s="13" t="inlineStr">
        <is>
          <t>24 - Oak Hills</t>
        </is>
      </c>
      <c r="H43" s="13" t="inlineStr">
        <is>
          <t>2BR / 3BR</t>
        </is>
      </c>
      <c r="I43" s="13" t="inlineStr">
        <is>
          <t>4 Affordable (Green) + 4 Market Rate (Blue)</t>
        </is>
      </c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</row>
    <row r="44" ht="15" customFormat="1" customHeight="1" s="15">
      <c r="A44" s="16" t="n">
        <v>39</v>
      </c>
      <c r="B44" s="17" t="inlineStr">
        <is>
          <t>River Garden</t>
        </is>
      </c>
      <c r="C44" s="17" t="inlineStr">
        <is>
          <t>Sonora, CA</t>
        </is>
      </c>
      <c r="D44" s="16" t="n">
        <v>1995</v>
      </c>
      <c r="E44" s="16" t="n">
        <v>123</v>
      </c>
      <c r="F44" s="18" t="inlineStr">
        <is>
          <t>Section 8/HUD</t>
        </is>
      </c>
      <c r="G44" s="17" t="inlineStr">
        <is>
          <t>58 - River Garden</t>
        </is>
      </c>
      <c r="H44" s="17" t="inlineStr">
        <is>
          <t>2BR / 3BR / 4BR / 5BR</t>
        </is>
      </c>
      <c r="I44" s="17" t="inlineStr">
        <is>
          <t>4 Affordable (Green) + 4 Market Rate (Blue)</t>
        </is>
      </c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</row>
    <row r="45" ht="15" customFormat="1" customHeight="1" s="11">
      <c r="A45" s="12" t="n">
        <v>41</v>
      </c>
      <c r="B45" s="13" t="inlineStr">
        <is>
          <t>Silver Springs Terrace</t>
        </is>
      </c>
      <c r="C45" s="13" t="inlineStr">
        <is>
          <t>Hickory, NC</t>
        </is>
      </c>
      <c r="D45" s="12" t="n">
        <v>1971</v>
      </c>
      <c r="E45" s="12" t="n">
        <v>100</v>
      </c>
      <c r="F45" s="13" t="inlineStr">
        <is>
          <t>Layered HUD/LIHTC</t>
        </is>
      </c>
      <c r="G45" s="13" t="inlineStr">
        <is>
          <t>36 - Silver Springs</t>
        </is>
      </c>
      <c r="H45" s="13" t="inlineStr">
        <is>
          <t>1BR / 2BR / 3BR / 4BR</t>
        </is>
      </c>
      <c r="I45" s="13" t="inlineStr">
        <is>
          <t>4 Affordable (Green) + 4 Market Rate (Blue)</t>
        </is>
      </c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</row>
    <row r="46" ht="15" customFormat="1" customHeight="1" s="15">
      <c r="A46" s="16" t="n">
        <v>42</v>
      </c>
      <c r="B46" s="17" t="inlineStr">
        <is>
          <t>Thomasville Church Homes</t>
        </is>
      </c>
      <c r="C46" s="17" t="inlineStr">
        <is>
          <t>Thomasville, NC</t>
        </is>
      </c>
      <c r="D46" s="16" t="n">
        <v>1975</v>
      </c>
      <c r="E46" s="16" t="n">
        <v>100</v>
      </c>
      <c r="F46" s="18" t="inlineStr">
        <is>
          <t>Section 8/HUD</t>
        </is>
      </c>
      <c r="G46" s="17" t="inlineStr">
        <is>
          <t>44 - Thomasville</t>
        </is>
      </c>
      <c r="H46" s="17" t="inlineStr">
        <is>
          <t>1BR / 2BR / 3BR / 4BR</t>
        </is>
      </c>
      <c r="I46" s="17" t="inlineStr">
        <is>
          <t>4 Affordable (Green) + 4 Market Rate (Blue)</t>
        </is>
      </c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</row>
  </sheetData>
  <mergeCells count="3">
    <mergeCell ref="I5:J5"/>
    <mergeCell ref="A4:J4"/>
    <mergeCell ref="A3:J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3" tint="0.4"/>
    <outlinePr summaryBelow="1" summaryRight="1"/>
    <pageSetUpPr/>
  </sheetPr>
  <dimension ref="A1:AX42"/>
  <sheetViews>
    <sheetView topLeftCell="A1" zoomScale="70" workbookViewId="0">
      <pane ySplit="1" topLeftCell="A4" activePane="bottomLeft" state="frozen"/>
      <selection pane="bottomLeft" activeCell="R7" sqref="R7"/>
    </sheetView>
  </sheetViews>
  <sheetFormatPr baseColWidth="8" defaultColWidth="9.140625" defaultRowHeight="21.75" customHeight="1"/>
  <cols>
    <col width="4.00390625" customWidth="1" style="6" min="1" max="1"/>
    <col width="11.57421875" customWidth="1" style="6" min="2" max="2"/>
    <col width="36.57421875" customWidth="1" style="6" min="3" max="3"/>
    <col width="32.57421875" customWidth="1" style="6" min="4" max="4"/>
    <col width="10.7109375" customWidth="1" style="6" min="5" max="5"/>
    <col width="4.140625" customWidth="1" style="6" min="6" max="6"/>
    <col width="4.8515625" customWidth="1" style="6" min="7" max="7"/>
    <col width="9.8515625" customWidth="1" style="6" min="8" max="8"/>
    <col width="13.140625" customWidth="1" style="6" min="9" max="10"/>
    <col hidden="1" width="9.28125" customWidth="1" style="6" min="11" max="11"/>
    <col width="10.57421875" customWidth="1" style="6" min="12" max="12"/>
    <col width="13.140625" customWidth="1" style="6" min="13" max="14"/>
    <col hidden="1" width="9.28125" customWidth="1" style="6" min="15" max="15"/>
    <col width="10.57421875" customWidth="1" style="6" min="16" max="16"/>
    <col width="5.421875" customWidth="1" style="6" min="17" max="17"/>
    <col width="7.28125" customWidth="1" style="6" min="18" max="18"/>
    <col width="4.8515625" customWidth="1" style="6" min="19" max="19"/>
    <col width="9.421875" customWidth="1" style="6" min="20" max="20"/>
    <col width="9.00390625" customWidth="1" style="6" min="21" max="21"/>
    <col width="4.7109375" customWidth="1" style="6" min="22" max="22"/>
    <col width="3.7109375" customWidth="1" style="6" min="23" max="23"/>
    <col width="9.28125" customWidth="1" style="6" min="24" max="24"/>
    <col width="13.421875" customWidth="1" style="6" min="25" max="25"/>
    <col width="48.57421875" customWidth="1" style="6" min="26" max="27"/>
  </cols>
  <sheetData>
    <row r="1" ht="21.7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</row>
    <row r="2" ht="21.7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  <c r="AV2" s="19" t="n"/>
      <c r="AW2" s="19" t="n"/>
      <c r="AX2" s="19" t="n"/>
    </row>
    <row r="3" ht="24" customFormat="1" customHeight="1" s="6">
      <c r="A3" s="20" t="inlineStr">
        <is>
          <t>COMPETITIVE RENT ANALYSIS — BOCA CIEGA | GREEN = Affordable Comps | BLUE = Market Rate Comps</t>
        </is>
      </c>
    </row>
    <row r="4" ht="20.25" customFormat="1" customHeight="1" s="6">
      <c r="A4" s="2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2BD 50% AMI ($)</t>
        </is>
      </c>
      <c r="J6" s="23" t="inlineStr">
        <is>
          <t>2BD 60% AMI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3BD 50% AMI ($)</t>
        </is>
      </c>
      <c r="N6" s="23" t="inlineStr">
        <is>
          <t>3BD 60% AMI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Boca Ciega (SUBJECT)</t>
        </is>
      </c>
      <c r="D7" s="26" t="inlineStr">
        <is>
          <t>3401 37th Street South</t>
        </is>
      </c>
      <c r="E7" s="26" t="inlineStr">
        <is>
          <t>St. Petersburg</t>
        </is>
      </c>
      <c r="F7" s="26" t="inlineStr">
        <is>
          <t>FL</t>
        </is>
      </c>
      <c r="G7" s="26" t="inlineStr">
        <is>
          <t>33711</t>
        </is>
      </c>
      <c r="H7" s="26" t="inlineStr">
        <is>
          <t>0.0 mi</t>
        </is>
      </c>
      <c r="I7" s="26" t="inlineStr">
        <is>
          <t>$3,912</t>
        </is>
      </c>
      <c r="J7" s="26" t="inlineStr">
        <is>
          <t>$4,695</t>
        </is>
      </c>
      <c r="K7" s="28" t="inlineStr">
        <is>
          <t>$2,170</t>
        </is>
      </c>
      <c r="L7" s="29" t="inlineStr">
        <is>
          <t>N/A</t>
        </is>
      </c>
      <c r="M7" s="26" t="inlineStr">
        <is>
          <t>$4,345</t>
        </is>
      </c>
      <c r="N7" s="26" t="inlineStr">
        <is>
          <t>$5,215</t>
        </is>
      </c>
      <c r="O7" s="28" t="inlineStr">
        <is>
          <t>$2,780</t>
        </is>
      </c>
      <c r="P7" s="29" t="inlineStr">
        <is>
          <t>N/A</t>
        </is>
      </c>
      <c r="Q7" s="26" t="inlineStr">
        <is>
          <t>109</t>
        </is>
      </c>
      <c r="R7" s="26" t="n">
        <v>2015</v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109 units | Layered HUD/LIHTC property. Year built: 1974.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Clearwater Gardens Apartments</t>
        </is>
      </c>
      <c r="D8" s="31" t="inlineStr">
        <is>
          <t>1501 N Greenwood Ave</t>
        </is>
      </c>
      <c r="E8" s="31" t="inlineStr">
        <is>
          <t>Clearwater</t>
        </is>
      </c>
      <c r="F8" s="31" t="inlineStr">
        <is>
          <t>FL</t>
        </is>
      </c>
      <c r="G8" s="31" t="inlineStr">
        <is>
          <t>33755</t>
        </is>
      </c>
      <c r="H8" s="31" t="inlineStr">
        <is>
          <t>14.2 mi</t>
        </is>
      </c>
      <c r="I8" s="31" t="inlineStr">
        <is>
          <t>$3,912</t>
        </is>
      </c>
      <c r="J8" s="31" t="inlineStr">
        <is>
          <t>$4,695</t>
        </is>
      </c>
      <c r="K8" s="33" t="inlineStr">
        <is>
          <t>$2,170</t>
        </is>
      </c>
      <c r="L8" s="34" t="inlineStr">
        <is>
          <t>Not Listed</t>
        </is>
      </c>
      <c r="M8" s="31" t="inlineStr">
        <is>
          <t>$4,345</t>
        </is>
      </c>
      <c r="N8" s="31" t="inlineStr">
        <is>
          <t>$5,215</t>
        </is>
      </c>
      <c r="O8" s="33" t="inlineStr">
        <is>
          <t>$2,780</t>
        </is>
      </c>
      <c r="P8" s="34" t="inlineStr">
        <is>
          <t>Not Listed</t>
        </is>
      </c>
      <c r="Q8" s="31" t="inlineStr">
        <is>
          <t>100</t>
        </is>
      </c>
      <c r="R8" s="31" t="inlineStr">
        <is>
          <t>1974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Section 8/HUD property, 1974 vintage (0 yr diff), 100 units, 14.2 mi from subject. Same income-eligible renter pool.</t>
        </is>
      </c>
      <c r="AA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Pinellas Park Manor</t>
        </is>
      </c>
      <c r="D9" s="36" t="inlineStr">
        <is>
          <t>6200 Park Blvd</t>
        </is>
      </c>
      <c r="E9" s="36" t="inlineStr">
        <is>
          <t>Pinellas Park</t>
        </is>
      </c>
      <c r="F9" s="36" t="inlineStr">
        <is>
          <t>FL</t>
        </is>
      </c>
      <c r="G9" s="36" t="inlineStr">
        <is>
          <t>33781</t>
        </is>
      </c>
      <c r="H9" s="36" t="inlineStr">
        <is>
          <t>7.1 mi</t>
        </is>
      </c>
      <c r="I9" s="36" t="inlineStr">
        <is>
          <t>$3,912</t>
        </is>
      </c>
      <c r="J9" s="36" t="inlineStr">
        <is>
          <t>$4,695</t>
        </is>
      </c>
      <c r="K9" s="33" t="inlineStr">
        <is>
          <t>$2,170</t>
        </is>
      </c>
      <c r="L9" s="34" t="inlineStr">
        <is>
          <t>Not Listed</t>
        </is>
      </c>
      <c r="M9" s="36" t="inlineStr">
        <is>
          <t>$4,345</t>
        </is>
      </c>
      <c r="N9" s="36" t="inlineStr">
        <is>
          <t>$5,215</t>
        </is>
      </c>
      <c r="O9" s="33" t="inlineStr">
        <is>
          <t>$2,780</t>
        </is>
      </c>
      <c r="P9" s="34" t="inlineStr">
        <is>
          <t>Not Listed</t>
        </is>
      </c>
      <c r="Q9" s="36" t="inlineStr">
        <is>
          <t>112</t>
        </is>
      </c>
      <c r="R9" s="36" t="inlineStr">
        <is>
          <t>1975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Section 8/HUD property, 1975 vintage (1 yr diff), 112 units, 7.1 mi from subject. Same income-eligible renter pool.</t>
        </is>
      </c>
      <c r="AA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Tarpon Springs Housing Authority</t>
        </is>
      </c>
      <c r="D10" s="39" t="inlineStr">
        <is>
          <t>200 S Walton Ave</t>
        </is>
      </c>
      <c r="E10" s="39" t="inlineStr">
        <is>
          <t>Tarpon Springs</t>
        </is>
      </c>
      <c r="F10" s="39" t="inlineStr">
        <is>
          <t>FL</t>
        </is>
      </c>
      <c r="G10" s="39" t="inlineStr">
        <is>
          <t>34689</t>
        </is>
      </c>
      <c r="H10" s="39" t="inlineStr">
        <is>
          <t>22.5 mi</t>
        </is>
      </c>
      <c r="I10" s="39" t="inlineStr">
        <is>
          <t>$3,912</t>
        </is>
      </c>
      <c r="J10" s="39" t="inlineStr">
        <is>
          <t>$4,695</t>
        </is>
      </c>
      <c r="K10" s="33" t="inlineStr">
        <is>
          <t>$2,170</t>
        </is>
      </c>
      <c r="L10" s="34" t="inlineStr">
        <is>
          <t>Not Listed</t>
        </is>
      </c>
      <c r="M10" s="39" t="inlineStr">
        <is>
          <t>$4,345</t>
        </is>
      </c>
      <c r="N10" s="39" t="inlineStr">
        <is>
          <t>$5,215</t>
        </is>
      </c>
      <c r="O10" s="33" t="inlineStr">
        <is>
          <t>$2,780</t>
        </is>
      </c>
      <c r="P10" s="34" t="inlineStr">
        <is>
          <t>Not Listed</t>
        </is>
      </c>
      <c r="Q10" s="39" t="inlineStr">
        <is>
          <t>96</t>
        </is>
      </c>
      <c r="R10" s="39" t="inlineStr">
        <is>
          <t>1972</t>
        </is>
      </c>
      <c r="S10" s="39" t="inlineStr">
        <is>
          <t>2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41" t="inlineStr">
        <is>
          <t>MODERATE-HIGH</t>
        </is>
      </c>
      <c r="Z10" s="40" t="inlineStr">
        <is>
          <t>Affordable Comp #3: Public Housing/HUD property, 1972 vintage (2 yr diff), 96 units, 22.5 mi from subject. Same income-eligible renter pool.</t>
        </is>
      </c>
      <c r="AA10" s="39" t="inlineStr">
        <is>
          <t>Tarpon Springs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Largo Manor Apartments</t>
        </is>
      </c>
      <c r="D11" s="31" t="inlineStr">
        <is>
          <t>1400 Keene Rd</t>
        </is>
      </c>
      <c r="E11" s="31" t="inlineStr">
        <is>
          <t>Largo</t>
        </is>
      </c>
      <c r="F11" s="31" t="inlineStr">
        <is>
          <t>FL</t>
        </is>
      </c>
      <c r="G11" s="31" t="inlineStr">
        <is>
          <t>33771</t>
        </is>
      </c>
      <c r="H11" s="31" t="inlineStr">
        <is>
          <t>9.3 mi</t>
        </is>
      </c>
      <c r="I11" s="31" t="inlineStr">
        <is>
          <t>$3,912</t>
        </is>
      </c>
      <c r="J11" s="31" t="inlineStr">
        <is>
          <t>$4,695</t>
        </is>
      </c>
      <c r="K11" s="33" t="inlineStr">
        <is>
          <t>$2,170</t>
        </is>
      </c>
      <c r="L11" s="34" t="inlineStr">
        <is>
          <t>Not Listed</t>
        </is>
      </c>
      <c r="M11" s="31" t="inlineStr">
        <is>
          <t>$4,345</t>
        </is>
      </c>
      <c r="N11" s="31" t="inlineStr">
        <is>
          <t>$5,215</t>
        </is>
      </c>
      <c r="O11" s="33" t="inlineStr">
        <is>
          <t>$2,780</t>
        </is>
      </c>
      <c r="P11" s="34" t="inlineStr">
        <is>
          <t>Not Listed</t>
        </is>
      </c>
      <c r="Q11" s="31" t="inlineStr">
        <is>
          <t>104</t>
        </is>
      </c>
      <c r="R11" s="31" t="inlineStr">
        <is>
          <t>1973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Section 8/HUD property, 1973 vintage (1 yr diff), 104 units, 9.3 mi from subject. Same income-eligible renter pool.</t>
        </is>
      </c>
      <c r="AA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The Addison Skyway Marina</t>
        </is>
      </c>
      <c r="D12" s="42" t="inlineStr">
        <is>
          <t>3951 34th St S, St. Petersburg, FL 33711</t>
        </is>
      </c>
      <c r="E12" s="42" t="inlineStr">
        <is>
          <t>St. Petersburg</t>
        </is>
      </c>
      <c r="F12" s="42" t="inlineStr">
        <is>
          <t>FL</t>
        </is>
      </c>
      <c r="G12" s="42" t="inlineStr">
        <is>
          <t>33711</t>
        </is>
      </c>
      <c r="H12" s="42" t="inlineStr">
        <is>
          <t>0.8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$2,170</t>
        </is>
      </c>
      <c r="L12" s="34" t="inlineStr">
        <is>
          <t>$2,446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$2,780</t>
        </is>
      </c>
      <c r="P12" s="34" t="inlineStr">
        <is>
          <t>$2,947</t>
        </is>
      </c>
      <c r="Q12" s="42" t="n">
        <v>308</v>
      </c>
      <c r="R12" s="42" t="n">
        <v>2021</v>
      </c>
      <c r="S12" s="42" t="n">
        <v>47</v>
      </c>
      <c r="T12" s="42" t="inlineStr">
        <is>
          <t>No</t>
        </is>
      </c>
      <c r="U12" s="42" t="inlineStr">
        <is>
          <t>Yes</t>
        </is>
      </c>
      <c r="V12" s="42" t="inlineStr">
        <is>
          <t>Yes</t>
        </is>
      </c>
      <c r="W12" s="42" t="inlineStr">
        <is>
          <t>Yes</t>
        </is>
      </c>
      <c r="X12" s="42" t="inlineStr">
        <is>
          <t>Yes</t>
        </is>
      </c>
      <c r="Y12" s="44" t="inlineStr">
        <is>
          <t>HIGH</t>
        </is>
      </c>
      <c r="Z12" s="43" t="inlineStr">
        <is>
          <t>Market Rate Comp #1: No income restrictions, 2021 vintage (47 yr diff), 308 units, 0.8 mi from subject. Same zip 33711. Luxury complex with pool, fitness center, 4 stories. 2BD $2,446 / 3BD $2,947.</t>
        </is>
      </c>
      <c r="AA12" s="42" t="inlineStr">
        <is>
          <t>https://www.apartments.com/the-addison-skyway-marina-saint-petersburg-fl/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Marina Walk Apartments</t>
        </is>
      </c>
      <c r="D13" s="45" t="inlineStr">
        <is>
          <t>3680 46th Ave S, St. Petersburg, FL 33711</t>
        </is>
      </c>
      <c r="E13" s="45" t="inlineStr">
        <is>
          <t>St. Petersburg</t>
        </is>
      </c>
      <c r="F13" s="45" t="inlineStr">
        <is>
          <t>FL</t>
        </is>
      </c>
      <c r="G13" s="45" t="inlineStr">
        <is>
          <t>33711</t>
        </is>
      </c>
      <c r="H13" s="45" t="inlineStr">
        <is>
          <t>1.1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$2,170</t>
        </is>
      </c>
      <c r="L13" s="34" t="inlineStr">
        <is>
          <t>$2,600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$2,780</t>
        </is>
      </c>
      <c r="P13" s="34" t="inlineStr">
        <is>
          <t>N/A</t>
        </is>
      </c>
      <c r="Q13" s="45" t="n">
        <v>245</v>
      </c>
      <c r="R13" s="45" t="n">
        <v>2021</v>
      </c>
      <c r="S13" s="45" t="n">
        <v>47</v>
      </c>
      <c r="T13" s="45" t="inlineStr">
        <is>
          <t>No</t>
        </is>
      </c>
      <c r="U13" s="45" t="inlineStr">
        <is>
          <t>Yes</t>
        </is>
      </c>
      <c r="V13" s="45" t="inlineStr">
        <is>
          <t>No</t>
        </is>
      </c>
      <c r="W13" s="45" t="inlineStr">
        <is>
          <t>Yes</t>
        </is>
      </c>
      <c r="X13" s="45" t="inlineStr">
        <is>
          <t>Yes</t>
        </is>
      </c>
      <c r="Y13" s="47" t="inlineStr">
        <is>
          <t>HIGH</t>
        </is>
      </c>
      <c r="Z13" s="46" t="inlineStr">
        <is>
          <t>Market Rate Comp #2: No income restrictions, 2021 vintage (47 yr diff), 245 units, 1.1 mi from subject. Same zip 33711. 8-story waterfront complex. 2BD $2,600 / 3BD not available.</t>
        </is>
      </c>
      <c r="AA13" s="45" t="inlineStr">
        <is>
          <t>https://www.apartments.com/marina-walk-apartments-saint-petersburg-fl/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Flagler Pointe Apartments</t>
        </is>
      </c>
      <c r="D14" s="48" t="inlineStr">
        <is>
          <t>2540 Roy Hanna Dr S, St. Petersburg, FL 33712</t>
        </is>
      </c>
      <c r="E14" s="48" t="inlineStr">
        <is>
          <t>St. Petersburg</t>
        </is>
      </c>
      <c r="F14" s="48" t="inlineStr">
        <is>
          <t>FL</t>
        </is>
      </c>
      <c r="G14" s="48" t="inlineStr">
        <is>
          <t>33712</t>
        </is>
      </c>
      <c r="H14" s="48" t="inlineStr">
        <is>
          <t>1.9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$2,170</t>
        </is>
      </c>
      <c r="L14" s="34" t="inlineStr">
        <is>
          <t>$1,890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$2,780</t>
        </is>
      </c>
      <c r="P14" s="34" t="inlineStr">
        <is>
          <t>$2,150</t>
        </is>
      </c>
      <c r="Q14" s="48" t="inlineStr">
        <is>
          <t>N/A</t>
        </is>
      </c>
      <c r="R14" s="48" t="n">
        <v>1974</v>
      </c>
      <c r="S14" s="48" t="n">
        <v>0</v>
      </c>
      <c r="T14" s="48" t="inlineStr">
        <is>
          <t>No</t>
        </is>
      </c>
      <c r="U14" s="48" t="inlineStr">
        <is>
          <t>Yes</t>
        </is>
      </c>
      <c r="V14" s="48" t="inlineStr">
        <is>
          <t>No</t>
        </is>
      </c>
      <c r="W14" s="48" t="inlineStr">
        <is>
          <t>Yes</t>
        </is>
      </c>
      <c r="X14" s="48" t="inlineStr">
        <is>
          <t>No</t>
        </is>
      </c>
      <c r="Y14" s="50" t="inlineStr">
        <is>
          <t>HIGH</t>
        </is>
      </c>
      <c r="Z14" s="49" t="inlineStr">
        <is>
          <t>Market Rate Comp #3: No income restrictions, 1974 vintage (0 yr diff), 1.9 mi from subject in adjacent zip 33712. Most comparable vintage to subject. 2BD $1,890 / 3BD $2,150.</t>
        </is>
      </c>
      <c r="AA14" s="48" t="inlineStr">
        <is>
          <t>https://www.apartments.com/flagler-pointe-apartments-saint-petersburg-fl/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Sur Club</t>
        </is>
      </c>
      <c r="D15" s="42" t="inlineStr">
        <is>
          <t>3301 32nd Ave S, St. Petersburg, FL 33712</t>
        </is>
      </c>
      <c r="E15" s="42" t="inlineStr">
        <is>
          <t>St. Petersburg</t>
        </is>
      </c>
      <c r="F15" s="42" t="inlineStr">
        <is>
          <t>FL</t>
        </is>
      </c>
      <c r="G15" s="42" t="inlineStr">
        <is>
          <t>33712</t>
        </is>
      </c>
      <c r="H15" s="42" t="inlineStr">
        <is>
          <t>1.5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$2,170</t>
        </is>
      </c>
      <c r="L15" s="34" t="inlineStr">
        <is>
          <t>$2,250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$2,780</t>
        </is>
      </c>
      <c r="P15" s="34" t="inlineStr">
        <is>
          <t>N/A</t>
        </is>
      </c>
      <c r="Q15" s="42" t="n">
        <v>296</v>
      </c>
      <c r="R15" s="42" t="n">
        <v>2021</v>
      </c>
      <c r="S15" s="42" t="n">
        <v>47</v>
      </c>
      <c r="T15" s="42" t="inlineStr">
        <is>
          <t>No</t>
        </is>
      </c>
      <c r="U15" s="42" t="inlineStr">
        <is>
          <t>Yes</t>
        </is>
      </c>
      <c r="V15" s="42" t="inlineStr">
        <is>
          <t>No</t>
        </is>
      </c>
      <c r="W15" s="42" t="inlineStr">
        <is>
          <t>Yes</t>
        </is>
      </c>
      <c r="X15" s="42" t="inlineStr">
        <is>
          <t>Yes</t>
        </is>
      </c>
      <c r="Y15" s="44" t="inlineStr">
        <is>
          <t>HIGH</t>
        </is>
      </c>
      <c r="Z15" s="43" t="inlineStr">
        <is>
          <t>Market Rate Comp #4: No income restrictions, 2021 vintage (47 yr diff), 296 units, 1.5 mi from subject in adjacent zip 33712. 4-story complex. 2BD $2,250 / 3BD not available (unavailable floor plans).</t>
        </is>
      </c>
      <c r="AA15" s="42" t="inlineStr">
        <is>
          <t>https://www.apartments.com/sur-club-saint-petersburg-fl/</t>
        </is>
      </c>
    </row>
    <row r="16" ht="54.75" customFormat="1" customHeight="1" s="6">
      <c r="A16" s="42" t="inlineStr">
        <is>
          <t>5</t>
        </is>
      </c>
      <c r="B16" s="42" t="inlineStr">
        <is>
          <t>MARKET RATE</t>
        </is>
      </c>
      <c r="C16" s="43" t="inlineStr">
        <is>
          <t>Lake Maggiore</t>
        </is>
      </c>
      <c r="D16" s="42" t="inlineStr">
        <is>
          <t>825 32nd Ave S, St. Petersburg, FL 33705</t>
        </is>
      </c>
      <c r="E16" s="42" t="inlineStr">
        <is>
          <t>St. Petersburg</t>
        </is>
      </c>
      <c r="F16" s="42" t="inlineStr">
        <is>
          <t>FL</t>
        </is>
      </c>
      <c r="G16" s="42" t="inlineStr">
        <is>
          <t>33705</t>
        </is>
      </c>
      <c r="H16" s="42" t="inlineStr">
        <is>
          <t>2.1 mi</t>
        </is>
      </c>
      <c r="I16" s="42" t="inlineStr">
        <is>
          <t>N/A (Market Rate)</t>
        </is>
      </c>
      <c r="J16" s="42" t="inlineStr">
        <is>
          <t>N/A (Market Rate)</t>
        </is>
      </c>
      <c r="K16" s="33" t="inlineStr">
        <is>
          <t>$2,170</t>
        </is>
      </c>
      <c r="L16" s="34" t="inlineStr">
        <is>
          <t>$2,520</t>
        </is>
      </c>
      <c r="M16" s="42" t="inlineStr">
        <is>
          <t>N/A (Market Rate)</t>
        </is>
      </c>
      <c r="N16" s="42" t="inlineStr">
        <is>
          <t>N/A (Market Rate)</t>
        </is>
      </c>
      <c r="O16" s="33" t="inlineStr">
        <is>
          <t>$2,780</t>
        </is>
      </c>
      <c r="P16" s="34" t="inlineStr">
        <is>
          <t>$3,840</t>
        </is>
      </c>
      <c r="Q16" s="42" t="n">
        <v>330</v>
      </c>
      <c r="R16" s="42" t="n">
        <v>2023</v>
      </c>
      <c r="S16" s="42" t="n">
        <v>8</v>
      </c>
      <c r="T16" s="42" t="inlineStr">
        <is>
          <t>No</t>
        </is>
      </c>
      <c r="U16" s="42" t="inlineStr">
        <is>
          <t>Yes</t>
        </is>
      </c>
      <c r="V16" s="42" t="inlineStr">
        <is>
          <t>Yes</t>
        </is>
      </c>
      <c r="W16" s="42" t="inlineStr">
        <is>
          <t>Yes</t>
        </is>
      </c>
      <c r="X16" s="42" t="inlineStr">
        <is>
          <t>Yes</t>
        </is>
      </c>
      <c r="Y16" s="44" t="inlineStr">
        <is>
          <t>HIGH</t>
        </is>
      </c>
      <c r="Z16" s="43" t="inlineStr">
        <is>
          <t>Market Rate Comp #5: No income restrictions, 2023 vintage (8 yr diff from 2015 rebuild), 330 units, 2.1 mi from subject in St. Petersburg FL 33705. Managed by Greystar. 2BD $2,520 / 3BD $3,840.</t>
        </is>
      </c>
      <c r="AA16" s="42" t="inlineStr">
        <is>
          <t>https://www.apartments.com/lake-maggiore-saint-petersburg-fl/hftf0z2/</t>
        </is>
      </c>
    </row>
    <row r="17" ht="54.75" customFormat="1" customHeight="1" s="6">
      <c r="A17" s="42" t="inlineStr">
        <is>
          <t>6</t>
        </is>
      </c>
      <c r="B17" s="42" t="inlineStr">
        <is>
          <t>MARKET RATE</t>
        </is>
      </c>
      <c r="C17" s="43" t="inlineStr">
        <is>
          <t>The Courtney at Bay Pines</t>
        </is>
      </c>
      <c r="D17" s="42" t="inlineStr">
        <is>
          <t>4652 Miramar Dr, St. Petersburg, FL 33708</t>
        </is>
      </c>
      <c r="E17" s="42" t="inlineStr">
        <is>
          <t>St. Petersburg</t>
        </is>
      </c>
      <c r="F17" s="42" t="inlineStr">
        <is>
          <t>FL</t>
        </is>
      </c>
      <c r="G17" s="42" t="inlineStr">
        <is>
          <t>33708</t>
        </is>
      </c>
      <c r="H17" s="42" t="inlineStr">
        <is>
          <t>5.2 mi</t>
        </is>
      </c>
      <c r="I17" s="42" t="inlineStr">
        <is>
          <t>N/A (Market Rate)</t>
        </is>
      </c>
      <c r="J17" s="42" t="inlineStr">
        <is>
          <t>N/A (Market Rate)</t>
        </is>
      </c>
      <c r="K17" s="33" t="inlineStr">
        <is>
          <t>$2,170</t>
        </is>
      </c>
      <c r="L17" s="34" t="inlineStr">
        <is>
          <t>$2,310</t>
        </is>
      </c>
      <c r="M17" s="42" t="inlineStr">
        <is>
          <t>N/A (Market Rate)</t>
        </is>
      </c>
      <c r="N17" s="42" t="inlineStr">
        <is>
          <t>N/A (Market Rate)</t>
        </is>
      </c>
      <c r="O17" s="33" t="inlineStr">
        <is>
          <t>$2,780</t>
        </is>
      </c>
      <c r="P17" s="34" t="inlineStr">
        <is>
          <t>$2,755</t>
        </is>
      </c>
      <c r="Q17" s="42" t="n">
        <v>312</v>
      </c>
      <c r="R17" s="42" t="n">
        <v>2013</v>
      </c>
      <c r="S17" s="42" t="n">
        <v>2</v>
      </c>
      <c r="T17" s="42" t="inlineStr">
        <is>
          <t>No</t>
        </is>
      </c>
      <c r="U17" s="42" t="inlineStr">
        <is>
          <t>Yes</t>
        </is>
      </c>
      <c r="V17" s="42" t="inlineStr">
        <is>
          <t>Yes</t>
        </is>
      </c>
      <c r="W17" s="42" t="inlineStr">
        <is>
          <t>Yes</t>
        </is>
      </c>
      <c r="X17" s="42" t="inlineStr">
        <is>
          <t>Yes</t>
        </is>
      </c>
      <c r="Y17" s="44" t="inlineStr">
        <is>
          <t>HIGH</t>
        </is>
      </c>
      <c r="Z17" s="43" t="inlineStr">
        <is>
          <t>Market Rate Comp #6: No income restrictions, 2013 vintage (2 yr diff from 2015 rebuild), 312 units, 5.2 mi from subject in Long Bayou/Bay Pines area. Managed by GSC. 2BD $2,310 / 3BD $2,755.</t>
        </is>
      </c>
      <c r="AA17" s="42" t="inlineStr">
        <is>
          <t>https://www.apartments.com/the-courtney-at-bay-pines-saint-petersburg-fl/n3m8fmm/</t>
        </is>
      </c>
    </row>
    <row r="18" ht="8.25" customFormat="1" customHeight="1" s="6">
      <c r="A18" s="51" t="inlineStr">
        <is>
          <t>—</t>
        </is>
      </c>
      <c r="B18" s="51" t="inlineStr">
        <is>
          <t>BENCHMARK</t>
        </is>
      </c>
      <c r="C18" s="52" t="inlineStr">
        <is>
          <t>FY2026 FMR — Tampa-St. Petersburg MSA</t>
        </is>
      </c>
      <c r="D18" s="51" t="inlineStr">
        <is>
          <t>N/A</t>
        </is>
      </c>
      <c r="E18" s="51" t="inlineStr">
        <is>
          <t>St. Petersburg</t>
        </is>
      </c>
      <c r="F18" s="51" t="inlineStr">
        <is>
          <t>FL</t>
        </is>
      </c>
      <c r="G18" s="51" t="inlineStr">
        <is>
          <t>N/A</t>
        </is>
      </c>
      <c r="H18" s="51" t="inlineStr">
        <is>
          <t>N/A</t>
        </is>
      </c>
      <c r="I18" s="51" t="inlineStr">
        <is>
          <t>$2,170</t>
        </is>
      </c>
      <c r="J18" s="51" t="inlineStr">
        <is>
          <t>$2,170</t>
        </is>
      </c>
      <c r="K18" s="33" t="inlineStr">
        <is>
          <t>$2,170</t>
        </is>
      </c>
      <c r="L18" s="34" t="inlineStr">
        <is>
          <t>N/A</t>
        </is>
      </c>
      <c r="M18" s="51" t="inlineStr">
        <is>
          <t>$2,780</t>
        </is>
      </c>
      <c r="N18" s="51" t="inlineStr">
        <is>
          <t>$2,780</t>
        </is>
      </c>
      <c r="O18" s="33" t="inlineStr">
        <is>
          <t>$2,780</t>
        </is>
      </c>
      <c r="P18" s="34" t="inlineStr">
        <is>
          <t>N/A</t>
        </is>
      </c>
      <c r="Q18" s="51" t="inlineStr">
        <is>
          <t>N/A</t>
        </is>
      </c>
      <c r="R18" s="51" t="inlineStr">
        <is>
          <t>N/A</t>
        </is>
      </c>
      <c r="S18" s="51" t="inlineStr">
        <is>
          <t>N/A</t>
        </is>
      </c>
      <c r="T18" s="51" t="inlineStr">
        <is>
          <t>N/A</t>
        </is>
      </c>
      <c r="U18" s="51" t="inlineStr">
        <is>
          <t>N/A</t>
        </is>
      </c>
      <c r="V18" s="51" t="inlineStr">
        <is>
          <t>N/A</t>
        </is>
      </c>
      <c r="W18" s="51" t="inlineStr">
        <is>
          <t>N/A</t>
        </is>
      </c>
      <c r="X18" s="51" t="inlineStr">
        <is>
          <t>N/A</t>
        </is>
      </c>
      <c r="Y18" s="53" t="inlineStr">
        <is>
          <t>BENCHMARK</t>
        </is>
      </c>
      <c r="Z18" s="52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51" t="inlineStr">
        <is>
          <t>HUD FMR Database (huduser.gov)</t>
        </is>
      </c>
    </row>
    <row r="19" ht="27.75" customFormat="1" customHeight="1" s="6">
      <c r="A19" s="51" t="inlineStr">
        <is>
          <t>—</t>
        </is>
      </c>
      <c r="B19" s="51" t="inlineStr">
        <is>
          <t>BENCHMARK</t>
        </is>
      </c>
      <c r="C19" s="52" t="inlineStr">
        <is>
          <t>Metro Market Avg — St. Petersburg (Live, Apr 2026)</t>
        </is>
      </c>
      <c r="D19" s="51" t="inlineStr">
        <is>
          <t>N/A</t>
        </is>
      </c>
      <c r="E19" s="51" t="inlineStr">
        <is>
          <t>St. Petersburg</t>
        </is>
      </c>
      <c r="F19" s="51" t="inlineStr">
        <is>
          <t>FL</t>
        </is>
      </c>
      <c r="G19" s="51" t="inlineStr">
        <is>
          <t>N/A</t>
        </is>
      </c>
      <c r="H19" s="51" t="inlineStr">
        <is>
          <t>N/A</t>
        </is>
      </c>
      <c r="I19" s="51" t="inlineStr">
        <is>
          <t>$2,336</t>
        </is>
      </c>
      <c r="J19" s="51" t="inlineStr">
        <is>
          <t>$2,336</t>
        </is>
      </c>
      <c r="K19" s="33" t="inlineStr">
        <is>
          <t>$2,336</t>
        </is>
      </c>
      <c r="L19" s="34" t="inlineStr">
        <is>
          <t>$2,336</t>
        </is>
      </c>
      <c r="M19" s="51" t="inlineStr">
        <is>
          <t>$2,923</t>
        </is>
      </c>
      <c r="N19" s="51" t="inlineStr">
        <is>
          <t>$2,923</t>
        </is>
      </c>
      <c r="O19" s="33" t="inlineStr">
        <is>
          <t>$2,923</t>
        </is>
      </c>
      <c r="P19" s="34" t="inlineStr">
        <is>
          <t>$2,923</t>
        </is>
      </c>
      <c r="Q19" s="51" t="inlineStr">
        <is>
          <t>N/A</t>
        </is>
      </c>
      <c r="R19" s="51" t="inlineStr">
        <is>
          <t>N/A</t>
        </is>
      </c>
      <c r="S19" s="51" t="inlineStr">
        <is>
          <t>N/A</t>
        </is>
      </c>
      <c r="T19" s="51" t="inlineStr">
        <is>
          <t>N/A</t>
        </is>
      </c>
      <c r="U19" s="51" t="inlineStr">
        <is>
          <t>N/A</t>
        </is>
      </c>
      <c r="V19" s="51" t="inlineStr">
        <is>
          <t>N/A</t>
        </is>
      </c>
      <c r="W19" s="51" t="inlineStr">
        <is>
          <t>N/A</t>
        </is>
      </c>
      <c r="X19" s="51" t="inlineStr">
        <is>
          <t>N/A</t>
        </is>
      </c>
      <c r="Y19" s="53" t="inlineStr">
        <is>
          <t>BENCHMARK</t>
        </is>
      </c>
      <c r="Z19" s="52" t="inlineStr">
        <is>
          <t>BENCHMARK — Live Market Average for St. Petersburg (33711/33712/33705/33708), calculated from 6 market-rate comps as of Apr 30, 2026. 2BD avg: $2,336 (Addison $2,446, Marina Walk $2,600, Flagler Pointe $1,890, Sur Club $2,250, Lake Maggiore $2,520, Courtney at Bay Pines $2,310). 3BD avg: $2,923 (Addison $2,947, Flagler Pointe $2,150, Lake Maggiore $3,840, Courtney at Bay Pines $2,755 — 4 comps with 3BD available).</t>
        </is>
      </c>
      <c r="AA19" s="51" t="inlineStr">
        <is>
          <t>Apartments.com live data, Apr 30, 2026</t>
        </is>
      </c>
    </row>
    <row r="21" ht="21.75" customFormat="1" customHeight="1" s="3">
      <c r="A21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21.75" customFormat="1" customHeight="1" s="3"/>
    <row r="23" ht="21.75" customFormat="1" customHeight="1" s="3">
      <c r="A23" s="55" t="inlineStr">
        <is>
          <t>Current Rent vs. Market Average</t>
        </is>
      </c>
      <c r="B23" s="99" t="n"/>
      <c r="C23" s="99" t="n"/>
      <c r="D23" s="100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1.75" customFormat="1" customHeight="1" s="3">
      <c r="A24" s="58" t="inlineStr">
        <is>
          <t>Market Average = Avg of Actual Rents from all comparables</t>
        </is>
      </c>
      <c r="B24" s="99" t="n"/>
      <c r="C24" s="99" t="n"/>
      <c r="D24" s="10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5.5" customFormat="1" customHeight="1" s="3">
      <c r="A25" s="59" t="n"/>
      <c r="B25" s="59" t="inlineStr">
        <is>
          <t>Current Rent</t>
        </is>
      </c>
      <c r="C25" s="59" t="inlineStr">
        <is>
          <t>Market Average</t>
        </is>
      </c>
      <c r="D25" s="59" t="inlineStr">
        <is>
          <t>Difference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>
      <c r="A26" s="60" t="inlineStr">
        <is>
          <t>2BD</t>
        </is>
      </c>
      <c r="B26" s="108" t="n"/>
      <c r="C26" s="109" t="n">
        <v>2336</v>
      </c>
      <c r="D26" s="110">
        <f>IF(B26="","",C26-B26)</f>
        <v/>
      </c>
    </row>
    <row r="27" ht="21.75" customFormat="1" customHeight="1" s="3">
      <c r="A27" s="60" t="inlineStr">
        <is>
          <t>3BD</t>
        </is>
      </c>
      <c r="B27" s="108" t="n"/>
      <c r="C27" s="109" t="n">
        <v>2923</v>
      </c>
      <c r="D27" s="110">
        <f>IF(B27="","",C27-B27)</f>
        <v/>
      </c>
    </row>
    <row r="28" ht="21.75" customFormat="1" customHeight="1" s="3"/>
    <row r="29" ht="21.75" customFormat="1" customHeight="1" s="3">
      <c r="A29" s="64" t="inlineStr">
        <is>
          <t>PMTS — Vouchers / FMR / UAP / NET FMR</t>
        </is>
      </c>
      <c r="B29" s="104" t="n"/>
      <c r="C29" s="104" t="n"/>
      <c r="D29" s="104" t="n"/>
      <c r="E29" s="104" t="n"/>
      <c r="F29" s="105" t="n"/>
    </row>
    <row r="30" ht="21.75" customFormat="1" customHeight="1" s="3">
      <c r="A30" s="67" t="inlineStr">
        <is>
          <t>BD</t>
        </is>
      </c>
      <c r="B30" s="68" t="inlineStr">
        <is>
          <t>MKT</t>
        </is>
      </c>
      <c r="C30" s="69" t="inlineStr">
        <is>
          <t>VCH</t>
        </is>
      </c>
      <c r="D30" s="70" t="inlineStr">
        <is>
          <t>FMR</t>
        </is>
      </c>
      <c r="E30" s="71" t="inlineStr">
        <is>
          <t>UAP</t>
        </is>
      </c>
      <c r="F30" s="72" t="inlineStr">
        <is>
          <t>NET</t>
        </is>
      </c>
    </row>
    <row r="31">
      <c r="A31" s="73" t="inlineStr">
        <is>
          <t>2BD</t>
        </is>
      </c>
      <c r="B31" s="74" t="n">
        <v>0</v>
      </c>
      <c r="C31" s="74" t="n">
        <v>0</v>
      </c>
      <c r="D31" s="74" t="n">
        <v>2170</v>
      </c>
      <c r="E31" s="75" t="n">
        <v>191</v>
      </c>
      <c r="F31" s="76" t="n">
        <v>1979</v>
      </c>
    </row>
    <row r="32" ht="21.75" customFormat="1" customHeight="1" s="3">
      <c r="A32" s="77" t="inlineStr">
        <is>
          <t>3BD</t>
        </is>
      </c>
      <c r="B32" s="111" t="n"/>
      <c r="C32" s="111" t="n"/>
      <c r="D32" s="111" t="n"/>
      <c r="E32" s="112" t="n"/>
      <c r="F32" s="76" t="n">
        <v>2512</v>
      </c>
    </row>
    <row r="33" ht="21.75" customFormat="1" customHeight="1" s="3"/>
    <row r="34" ht="21.75" customFormat="1" customHeight="1" s="3">
      <c r="A34" s="64" t="inlineStr">
        <is>
          <t>LIHTC, UAP, NET</t>
        </is>
      </c>
      <c r="B34" s="104" t="n"/>
      <c r="C34" s="104" t="n"/>
      <c r="D34" s="104" t="n"/>
      <c r="E34" s="105" t="n"/>
    </row>
    <row r="35">
      <c r="A35" s="67" t="n"/>
      <c r="B35" s="68" t="inlineStr">
        <is>
          <t>LIHTC/MKT</t>
        </is>
      </c>
      <c r="C35" s="70" t="inlineStr">
        <is>
          <t>60%</t>
        </is>
      </c>
      <c r="D35" s="71" t="inlineStr">
        <is>
          <t>UAP</t>
        </is>
      </c>
      <c r="E35" s="72" t="inlineStr">
        <is>
          <t>NET</t>
        </is>
      </c>
    </row>
    <row r="36">
      <c r="A36" s="73" t="inlineStr">
        <is>
          <t>2BD</t>
        </is>
      </c>
      <c r="B36" s="74" t="n">
        <v>1408</v>
      </c>
      <c r="C36" s="74" t="n">
        <v>1100</v>
      </c>
      <c r="D36" s="75" t="n">
        <v>191</v>
      </c>
      <c r="E36" s="76" t="n">
        <v>909</v>
      </c>
    </row>
    <row r="37" ht="21.75" customFormat="1" customHeight="1" s="3"/>
    <row r="38" ht="21.75" customFormat="1" customHeight="1" s="3"/>
    <row r="39" ht="21.75" customFormat="1" customHeight="1" s="3">
      <c r="A39" s="64" t="inlineStr">
        <is>
          <t>HAP, CoStar, NET</t>
        </is>
      </c>
      <c r="B39" s="104" t="n"/>
      <c r="C39" s="105" t="n"/>
    </row>
    <row r="40" ht="21.75" customFormat="1" customHeight="1" s="3">
      <c r="A40" s="67" t="n"/>
      <c r="B40" s="71" t="inlineStr">
        <is>
          <t>HAP</t>
        </is>
      </c>
      <c r="C40" s="68" t="inlineStr">
        <is>
          <t>CoStar</t>
        </is>
      </c>
    </row>
    <row r="41">
      <c r="A41" s="73" t="inlineStr">
        <is>
          <t>2BD</t>
        </is>
      </c>
      <c r="B41" s="106" t="n">
        <v>1541</v>
      </c>
      <c r="C41" s="107" t="n">
        <v>1563</v>
      </c>
    </row>
    <row r="42">
      <c r="A42" s="77" t="inlineStr">
        <is>
          <t>3BD</t>
        </is>
      </c>
      <c r="B42" s="106" t="n">
        <v>1918</v>
      </c>
      <c r="C42" s="107" t="n">
        <v>1944</v>
      </c>
    </row>
  </sheetData>
  <mergeCells count="8">
    <mergeCell ref="A4:AA4"/>
    <mergeCell ref="A3:AA3"/>
    <mergeCell ref="A21:AA21"/>
    <mergeCell ref="A22:D22"/>
    <mergeCell ref="A37:C37"/>
    <mergeCell ref="A21:D21"/>
    <mergeCell ref="A32:E32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theme="3" tint="0.4"/>
    <outlinePr summaryBelow="1" summaryRight="1"/>
    <pageSetUpPr/>
  </sheetPr>
  <dimension ref="A1:AA37"/>
  <sheetViews>
    <sheetView topLeftCell="A1" workbookViewId="0">
      <pane ySplit="1" topLeftCell="A14" activePane="bottomLeft" state="frozen"/>
      <selection pane="bottomLeft" activeCell="Q29" sqref="Q29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0"/>
    <col hidden="1" width="13.00390625" customWidth="1" style="6" min="11" max="11"/>
    <col width="12.00390625" customWidth="1" style="6" min="12" max="12"/>
    <col width="10.00390625" customWidth="1" style="6" min="13" max="14"/>
    <col hidden="1" width="13.00390625" customWidth="1" style="6" min="15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JEFFERSON ARMS | GREEN = Affordable Comps | BLUE = Market Rate Comps</t>
        </is>
      </c>
    </row>
    <row r="4" ht="20.25" customFormat="1" customHeight="1" s="6">
      <c r="A4" s="21" t="inlineStr">
        <is>
          <t>SUBJECT: Jefferson Arms | 1425 E. Clark Ave, Monticello, FL 32344 | 75 units | Program: Section 8/HUD | Bedroom Mix: 2BR / 3BR | County AMI: $92,300 | FMR Area: Jefferson County, FL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2BD 50% AMI ($)</t>
        </is>
      </c>
      <c r="J6" s="23" t="inlineStr">
        <is>
          <t>2BD 60% AMI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3BD 50% AMI ($)</t>
        </is>
      </c>
      <c r="N6" s="23" t="inlineStr">
        <is>
          <t>3BD 60% AMI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Jefferson Arms (SUBJECT)</t>
        </is>
      </c>
      <c r="D7" s="26" t="inlineStr">
        <is>
          <t>1425 E. Clark Ave</t>
        </is>
      </c>
      <c r="E7" s="26" t="inlineStr">
        <is>
          <t>Monticello</t>
        </is>
      </c>
      <c r="F7" s="26" t="inlineStr">
        <is>
          <t>FL</t>
        </is>
      </c>
      <c r="G7" s="26" t="inlineStr">
        <is>
          <t>32344</t>
        </is>
      </c>
      <c r="H7" s="26" t="inlineStr">
        <is>
          <t>0.0 mi</t>
        </is>
      </c>
      <c r="I7" s="26" t="inlineStr">
        <is>
          <t>$3,462</t>
        </is>
      </c>
      <c r="J7" s="26" t="inlineStr">
        <is>
          <t>$4,155</t>
        </is>
      </c>
      <c r="K7" s="28" t="inlineStr">
        <is>
          <t>$1,210</t>
        </is>
      </c>
      <c r="L7" s="29" t="inlineStr">
        <is>
          <t>N/A</t>
        </is>
      </c>
      <c r="M7" s="26" t="inlineStr">
        <is>
          <t>$3,845</t>
        </is>
      </c>
      <c r="N7" s="26" t="inlineStr">
        <is>
          <t>$4,615</t>
        </is>
      </c>
      <c r="O7" s="28" t="inlineStr">
        <is>
          <t>$1,540</t>
        </is>
      </c>
      <c r="P7" s="29" t="inlineStr">
        <is>
          <t>N/A</t>
        </is>
      </c>
      <c r="Q7" s="26" t="inlineStr">
        <is>
          <t>75</t>
        </is>
      </c>
      <c r="R7" s="26" t="inlineStr">
        <is>
          <t>1971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75 units | Section 8/HUD property. Year built: 1971.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Tallahassee Housing Authority - Frenchtown Apts</t>
        </is>
      </c>
      <c r="D8" s="31" t="inlineStr">
        <is>
          <t>600 Gamble St</t>
        </is>
      </c>
      <c r="E8" s="31" t="inlineStr">
        <is>
          <t>Tallahassee</t>
        </is>
      </c>
      <c r="F8" s="31" t="inlineStr">
        <is>
          <t>FL</t>
        </is>
      </c>
      <c r="G8" s="31" t="inlineStr">
        <is>
          <t>32304</t>
        </is>
      </c>
      <c r="H8" s="31" t="inlineStr">
        <is>
          <t>27.5 mi</t>
        </is>
      </c>
      <c r="I8" s="31" t="inlineStr">
        <is>
          <t>$3,462</t>
        </is>
      </c>
      <c r="J8" s="31" t="inlineStr">
        <is>
          <t>$4,155</t>
        </is>
      </c>
      <c r="K8" s="33" t="inlineStr">
        <is>
          <t>$1,210</t>
        </is>
      </c>
      <c r="L8" s="34" t="inlineStr">
        <is>
          <t>Not Listed</t>
        </is>
      </c>
      <c r="M8" s="31" t="inlineStr">
        <is>
          <t>$3,845</t>
        </is>
      </c>
      <c r="N8" s="31" t="inlineStr">
        <is>
          <t>$4,615</t>
        </is>
      </c>
      <c r="O8" s="33" t="inlineStr">
        <is>
          <t>$1,540</t>
        </is>
      </c>
      <c r="P8" s="34" t="inlineStr">
        <is>
          <t>Not Listed</t>
        </is>
      </c>
      <c r="Q8" s="31" t="inlineStr">
        <is>
          <t>80</t>
        </is>
      </c>
      <c r="R8" s="31" t="inlineStr">
        <is>
          <t>1971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81" t="inlineStr">
        <is>
          <t>MODERATE-HIGH</t>
        </is>
      </c>
      <c r="Z8" s="32" t="inlineStr">
        <is>
          <t>Affordable Comp #1: Section 8/HUD property, 1971 vintage (0 yr diff), 80 units, 27.5 mi from subject. Same income-eligible renter pool.</t>
        </is>
      </c>
      <c r="AA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Quincy Manor Apartments</t>
        </is>
      </c>
      <c r="D9" s="36" t="inlineStr">
        <is>
          <t>200 N Madison St</t>
        </is>
      </c>
      <c r="E9" s="36" t="inlineStr">
        <is>
          <t>Quincy</t>
        </is>
      </c>
      <c r="F9" s="36" t="inlineStr">
        <is>
          <t>FL</t>
        </is>
      </c>
      <c r="G9" s="36" t="inlineStr">
        <is>
          <t>32351</t>
        </is>
      </c>
      <c r="H9" s="36" t="inlineStr">
        <is>
          <t>42.0 mi</t>
        </is>
      </c>
      <c r="I9" s="36" t="inlineStr">
        <is>
          <t>$3,462</t>
        </is>
      </c>
      <c r="J9" s="36" t="inlineStr">
        <is>
          <t>$4,155</t>
        </is>
      </c>
      <c r="K9" s="33" t="inlineStr">
        <is>
          <t>$1,210</t>
        </is>
      </c>
      <c r="L9" s="34" t="inlineStr">
        <is>
          <t>Not Listed</t>
        </is>
      </c>
      <c r="M9" s="36" t="inlineStr">
        <is>
          <t>$3,845</t>
        </is>
      </c>
      <c r="N9" s="36" t="inlineStr">
        <is>
          <t>$4,615</t>
        </is>
      </c>
      <c r="O9" s="33" t="inlineStr">
        <is>
          <t>$1,540</t>
        </is>
      </c>
      <c r="P9" s="34" t="inlineStr">
        <is>
          <t>Not Listed</t>
        </is>
      </c>
      <c r="Q9" s="36" t="inlineStr">
        <is>
          <t>72</t>
        </is>
      </c>
      <c r="R9" s="36" t="inlineStr">
        <is>
          <t>1973</t>
        </is>
      </c>
      <c r="S9" s="36" t="inlineStr">
        <is>
          <t>2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2" t="inlineStr">
        <is>
          <t>MODERATE</t>
        </is>
      </c>
      <c r="Z9" s="37" t="inlineStr">
        <is>
          <t>Affordable Comp #2: Section 8/HUD property, 1973 vintage (2 yr diff), 72 units, 42.0 mi from subject. Same income-eligible renter pool.</t>
        </is>
      </c>
      <c r="AA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Madison County Housing Authority</t>
        </is>
      </c>
      <c r="D10" s="39" t="inlineStr">
        <is>
          <t>100 SW Rutledge St</t>
        </is>
      </c>
      <c r="E10" s="39" t="inlineStr">
        <is>
          <t>Madison</t>
        </is>
      </c>
      <c r="F10" s="39" t="inlineStr">
        <is>
          <t>FL</t>
        </is>
      </c>
      <c r="G10" s="39" t="inlineStr">
        <is>
          <t>32340</t>
        </is>
      </c>
      <c r="H10" s="39" t="inlineStr">
        <is>
          <t>33.0 mi</t>
        </is>
      </c>
      <c r="I10" s="39" t="inlineStr">
        <is>
          <t>$3,462</t>
        </is>
      </c>
      <c r="J10" s="39" t="inlineStr">
        <is>
          <t>$4,155</t>
        </is>
      </c>
      <c r="K10" s="33" t="inlineStr">
        <is>
          <t>$1,210</t>
        </is>
      </c>
      <c r="L10" s="34" t="inlineStr">
        <is>
          <t>Not Listed</t>
        </is>
      </c>
      <c r="M10" s="39" t="inlineStr">
        <is>
          <t>$3,845</t>
        </is>
      </c>
      <c r="N10" s="39" t="inlineStr">
        <is>
          <t>$4,615</t>
        </is>
      </c>
      <c r="O10" s="33" t="inlineStr">
        <is>
          <t>$1,540</t>
        </is>
      </c>
      <c r="P10" s="34" t="inlineStr">
        <is>
          <t>Not Listed</t>
        </is>
      </c>
      <c r="Q10" s="39" t="inlineStr">
        <is>
          <t>68</t>
        </is>
      </c>
      <c r="R10" s="39" t="inlineStr">
        <is>
          <t>1970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Public Housing/HUD property, 1970 vintage (1 yr diff), 68 units, 33.0 mi from subject. Same income-eligible renter pool.</t>
        </is>
      </c>
      <c r="AA10" s="39" t="inlineStr">
        <is>
          <t>Madison County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Tallahassee Housing Authority - Bond Homes</t>
        </is>
      </c>
      <c r="D11" s="31" t="inlineStr">
        <is>
          <t>1400 S Bronough St</t>
        </is>
      </c>
      <c r="E11" s="31" t="inlineStr">
        <is>
          <t>Tallahassee</t>
        </is>
      </c>
      <c r="F11" s="31" t="inlineStr">
        <is>
          <t>FL</t>
        </is>
      </c>
      <c r="G11" s="31" t="inlineStr">
        <is>
          <t>32301</t>
        </is>
      </c>
      <c r="H11" s="31" t="inlineStr">
        <is>
          <t>27.5 mi</t>
        </is>
      </c>
      <c r="I11" s="31" t="inlineStr">
        <is>
          <t>$3,462</t>
        </is>
      </c>
      <c r="J11" s="31" t="inlineStr">
        <is>
          <t>$4,155</t>
        </is>
      </c>
      <c r="K11" s="33" t="inlineStr">
        <is>
          <t>$1,210</t>
        </is>
      </c>
      <c r="L11" s="34" t="inlineStr">
        <is>
          <t>Not Listed</t>
        </is>
      </c>
      <c r="M11" s="31" t="inlineStr">
        <is>
          <t>$3,845</t>
        </is>
      </c>
      <c r="N11" s="31" t="inlineStr">
        <is>
          <t>$4,615</t>
        </is>
      </c>
      <c r="O11" s="33" t="inlineStr">
        <is>
          <t>$1,540</t>
        </is>
      </c>
      <c r="P11" s="34" t="inlineStr">
        <is>
          <t>Not Listed</t>
        </is>
      </c>
      <c r="Q11" s="31" t="inlineStr">
        <is>
          <t>76</t>
        </is>
      </c>
      <c r="R11" s="31" t="inlineStr">
        <is>
          <t>1972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Public Housing/HUD property, 1972 vintage (1 yr diff), 76 units, 27.5 mi from subject. Same income-eligible renter pool.</t>
        </is>
      </c>
      <c r="AA11" s="31" t="inlineStr">
        <is>
          <t>Tallahassee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Ochlockonee Pointe Apartments</t>
        </is>
      </c>
      <c r="D12" s="42" t="inlineStr">
        <is>
          <t>33870 Blue Star Hwy, Midway, FL 32343</t>
        </is>
      </c>
      <c r="E12" s="42" t="inlineStr">
        <is>
          <t>Midway</t>
        </is>
      </c>
      <c r="F12" s="42" t="inlineStr">
        <is>
          <t>FL</t>
        </is>
      </c>
      <c r="G12" s="42" t="inlineStr">
        <is>
          <t>32343</t>
        </is>
      </c>
      <c r="H12" s="42" t="inlineStr">
        <is>
          <t>32.0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$1,210</t>
        </is>
      </c>
      <c r="L12" s="34" t="inlineStr">
        <is>
          <t>$970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$1,540</t>
        </is>
      </c>
      <c r="P12" s="34" t="inlineStr">
        <is>
          <t>$1,150</t>
        </is>
      </c>
      <c r="Q12" s="42" t="n">
        <v>96</v>
      </c>
      <c r="R12" s="42" t="n">
        <v>2007</v>
      </c>
      <c r="S12" s="42" t="n">
        <v>36</v>
      </c>
      <c r="T12" s="42" t="inlineStr">
        <is>
          <t>Partial</t>
        </is>
      </c>
      <c r="U12" s="42" t="inlineStr">
        <is>
          <t>Yes</t>
        </is>
      </c>
      <c r="V12" s="42" t="inlineStr">
        <is>
          <t>No</t>
        </is>
      </c>
      <c r="W12" s="42" t="inlineStr">
        <is>
          <t>Yes</t>
        </is>
      </c>
      <c r="X12" s="42" t="inlineStr">
        <is>
          <t>No</t>
        </is>
      </c>
      <c r="Y12" s="84" t="inlineStr">
        <is>
          <t>MODERATE</t>
        </is>
      </c>
      <c r="Z12" s="43" t="inlineStr">
        <is>
          <t>Market Rate Comp #1: No income restrictions, 2007 vintage (36 yr diff), 96 units, 32.0 mi from subject in Midway FL (Gadsden County). Closest market-rate complex to Monticello. 2BD $970 / 3BD $1,150.</t>
        </is>
      </c>
      <c r="AA12" s="42" t="inlineStr">
        <is>
          <t>https://www.apartments.com/ochlockonee-pointe-apartments-midway-fl/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Blairstone Apartment Homes</t>
        </is>
      </c>
      <c r="D13" s="45" t="inlineStr">
        <is>
          <t>501 Blairstone Rd, Tallahassee, FL 32301</t>
        </is>
      </c>
      <c r="E13" s="45" t="inlineStr">
        <is>
          <t>Tallahassee</t>
        </is>
      </c>
      <c r="F13" s="45" t="inlineStr">
        <is>
          <t>FL</t>
        </is>
      </c>
      <c r="G13" s="45" t="inlineStr">
        <is>
          <t>32301</t>
        </is>
      </c>
      <c r="H13" s="45" t="inlineStr">
        <is>
          <t>27.0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$1,210</t>
        </is>
      </c>
      <c r="L13" s="34" t="inlineStr">
        <is>
          <t>$1,410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$1,540</t>
        </is>
      </c>
      <c r="P13" s="34" t="inlineStr">
        <is>
          <t>$1,560</t>
        </is>
      </c>
      <c r="Q13" s="45" t="n">
        <v>376</v>
      </c>
      <c r="R13" s="45" t="n">
        <v>1988</v>
      </c>
      <c r="S13" s="45" t="n">
        <v>17</v>
      </c>
      <c r="T13" s="45" t="inlineStr">
        <is>
          <t>No</t>
        </is>
      </c>
      <c r="U13" s="45" t="inlineStr">
        <is>
          <t>Yes</t>
        </is>
      </c>
      <c r="V13" s="45" t="inlineStr">
        <is>
          <t>No</t>
        </is>
      </c>
      <c r="W13" s="45" t="inlineStr">
        <is>
          <t>Yes</t>
        </is>
      </c>
      <c r="X13" s="45" t="inlineStr">
        <is>
          <t>Yes</t>
        </is>
      </c>
      <c r="Y13" s="85" t="inlineStr">
        <is>
          <t>MODERATE</t>
        </is>
      </c>
      <c r="Z13" s="46" t="inlineStr">
        <is>
          <t>Market Rate Comp #2: No income restrictions, 1988 vintage (17 yr diff), 376 units, 27.0 mi from subject in Tallahassee (Leon County). 2BD $1,410 / 3BD $1,560.</t>
        </is>
      </c>
      <c r="AA13" s="45" t="inlineStr">
        <is>
          <t>https://www.apartments.com/blairstone-apartment-homes-tallahassee-fl/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Arbor Landing at Lake Jackson</t>
        </is>
      </c>
      <c r="D14" s="48" t="inlineStr">
        <is>
          <t>4910 N Monroe St, Tallahassee, FL 32303</t>
        </is>
      </c>
      <c r="E14" s="48" t="inlineStr">
        <is>
          <t>Tallahassee</t>
        </is>
      </c>
      <c r="F14" s="48" t="inlineStr">
        <is>
          <t>FL</t>
        </is>
      </c>
      <c r="G14" s="48" t="inlineStr">
        <is>
          <t>32303</t>
        </is>
      </c>
      <c r="H14" s="48" t="inlineStr">
        <is>
          <t>30.0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$1,210</t>
        </is>
      </c>
      <c r="L14" s="34" t="inlineStr">
        <is>
          <t>$1,599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$1,540</t>
        </is>
      </c>
      <c r="P14" s="34" t="inlineStr">
        <is>
          <t>$1,699</t>
        </is>
      </c>
      <c r="Q14" s="48" t="n">
        <v>312</v>
      </c>
      <c r="R14" s="48" t="n">
        <v>2013</v>
      </c>
      <c r="S14" s="48" t="n">
        <v>42</v>
      </c>
      <c r="T14" s="48" t="inlineStr">
        <is>
          <t>No</t>
        </is>
      </c>
      <c r="U14" s="48" t="inlineStr">
        <is>
          <t>Yes</t>
        </is>
      </c>
      <c r="V14" s="48" t="inlineStr">
        <is>
          <t>No</t>
        </is>
      </c>
      <c r="W14" s="48" t="inlineStr">
        <is>
          <t>Yes</t>
        </is>
      </c>
      <c r="X14" s="48" t="inlineStr">
        <is>
          <t>Yes</t>
        </is>
      </c>
      <c r="Y14" s="86" t="inlineStr">
        <is>
          <t>MODERATE</t>
        </is>
      </c>
      <c r="Z14" s="49" t="inlineStr">
        <is>
          <t>Market Rate Comp #3: No income restrictions, 2013 vintage (42 yr diff), 312 units, 30.0 mi from subject in Tallahassee (Lake Jackson neighborhood). 2BD $1,599 / 3BD $1,699.</t>
        </is>
      </c>
      <c r="AA14" s="48" t="inlineStr">
        <is>
          <t>https://www.apartments.com/arbor-landing-at-lake-jackson-tallahassee-fl/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Jefferson Pines</t>
        </is>
      </c>
      <c r="D15" s="42" t="inlineStr">
        <is>
          <t>24 Parkway Pines Ct, Monticello, FL 32344</t>
        </is>
      </c>
      <c r="E15" s="42" t="inlineStr">
        <is>
          <t>Monticello</t>
        </is>
      </c>
      <c r="F15" s="42" t="inlineStr">
        <is>
          <t>FL</t>
        </is>
      </c>
      <c r="G15" s="42" t="inlineStr">
        <is>
          <t>32344</t>
        </is>
      </c>
      <c r="H15" s="42" t="inlineStr">
        <is>
          <t>1.0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$1,210</t>
        </is>
      </c>
      <c r="L15" s="34" t="inlineStr">
        <is>
          <t>N/A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$1,540</t>
        </is>
      </c>
      <c r="P15" s="34" t="inlineStr">
        <is>
          <t>$1,299</t>
        </is>
      </c>
      <c r="Q15" s="42" t="n">
        <v>67</v>
      </c>
      <c r="R15" s="42" t="n">
        <v>1998</v>
      </c>
      <c r="S15" s="42" t="n">
        <v>27</v>
      </c>
      <c r="T15" s="42" t="inlineStr">
        <is>
          <t>No</t>
        </is>
      </c>
      <c r="U15" s="42" t="inlineStr">
        <is>
          <t>No</t>
        </is>
      </c>
      <c r="V15" s="42" t="inlineStr">
        <is>
          <t>No</t>
        </is>
      </c>
      <c r="W15" s="42" t="inlineStr">
        <is>
          <t>No</t>
        </is>
      </c>
      <c r="X15" s="42" t="inlineStr">
        <is>
          <t>No</t>
        </is>
      </c>
      <c r="Y15" s="87" t="inlineStr">
        <is>
          <t>HIGH</t>
        </is>
      </c>
      <c r="Z15" s="43" t="inlineStr">
        <is>
          <t>Market Rate Comp #4: No income restrictions, 1998 vintage (27 yr diff), 67 manufactured homes, 1.0 mi from subject in Monticello FL 32344. Only 3BD units available at $1,299/mo. Closest comp to subject by distance.</t>
        </is>
      </c>
      <c r="AA15" s="42" t="inlineStr">
        <is>
          <t>https://www.apartments.com/jefferson-pines-monticello-fl/</t>
        </is>
      </c>
    </row>
    <row r="16" ht="54.75" customFormat="1" customHeight="1" s="6">
      <c r="A16" s="42" t="inlineStr">
        <is>
          <t>5</t>
        </is>
      </c>
      <c r="B16" s="42" t="inlineStr">
        <is>
          <t>MARKET RATE</t>
        </is>
      </c>
      <c r="C16" s="43" t="inlineStr">
        <is>
          <t>Arbor Station Apartments</t>
        </is>
      </c>
      <c r="D16" s="42" t="inlineStr">
        <is>
          <t>619 Arbor Station Ln, Tallahassee, FL 32312</t>
        </is>
      </c>
      <c r="E16" s="42" t="inlineStr">
        <is>
          <t>Tallahassee</t>
        </is>
      </c>
      <c r="F16" s="42" t="inlineStr">
        <is>
          <t>FL</t>
        </is>
      </c>
      <c r="G16" s="42" t="inlineStr">
        <is>
          <t>32312</t>
        </is>
      </c>
      <c r="H16" s="42" t="inlineStr">
        <is>
          <t>28.0 mi</t>
        </is>
      </c>
      <c r="I16" s="42" t="inlineStr">
        <is>
          <t>N/A (Market Rate)</t>
        </is>
      </c>
      <c r="J16" s="42" t="inlineStr">
        <is>
          <t>N/A (Market Rate)</t>
        </is>
      </c>
      <c r="K16" s="33" t="inlineStr">
        <is>
          <t>$1,210</t>
        </is>
      </c>
      <c r="L16" s="34" t="inlineStr">
        <is>
          <t>$1,539</t>
        </is>
      </c>
      <c r="M16" s="42" t="inlineStr">
        <is>
          <t>N/A (Market Rate)</t>
        </is>
      </c>
      <c r="N16" s="42" t="inlineStr">
        <is>
          <t>N/A (Market Rate)</t>
        </is>
      </c>
      <c r="O16" s="33" t="inlineStr">
        <is>
          <t>$1,540</t>
        </is>
      </c>
      <c r="P16" s="34" t="inlineStr">
        <is>
          <t>$1,659</t>
        </is>
      </c>
      <c r="Q16" s="42" t="n">
        <v>252</v>
      </c>
      <c r="R16" s="42" t="n">
        <v>1990</v>
      </c>
      <c r="S16" s="42" t="n">
        <v>19</v>
      </c>
      <c r="T16" s="42" t="inlineStr">
        <is>
          <t>No</t>
        </is>
      </c>
      <c r="U16" s="42" t="inlineStr">
        <is>
          <t>Yes</t>
        </is>
      </c>
      <c r="V16" s="42" t="inlineStr">
        <is>
          <t>No</t>
        </is>
      </c>
      <c r="W16" s="42" t="inlineStr">
        <is>
          <t>Yes</t>
        </is>
      </c>
      <c r="X16" s="42" t="inlineStr">
        <is>
          <t>Yes</t>
        </is>
      </c>
      <c r="Y16" s="87" t="inlineStr">
        <is>
          <t>MODERATE-HIGH</t>
        </is>
      </c>
      <c r="Z16" s="43" t="inlineStr">
        <is>
          <t>Market Rate Comp #5: No income restrictions, 1990 vintage (19 yr diff), 252 units, 28.0 mi from subject in Tallahassee FL 32312. Managed by Arbor Properties. 2BD $1,539 / 3BD $1,659.</t>
        </is>
      </c>
      <c r="AA16" s="42" t="inlineStr">
        <is>
          <t>https://www.apartments.com/arbor-station-apartments-tallahassee-fl/97761w7/</t>
        </is>
      </c>
    </row>
    <row r="17" ht="54.75" customFormat="1" customHeight="1" s="6">
      <c r="A17" s="42" t="inlineStr">
        <is>
          <t>6</t>
        </is>
      </c>
      <c r="B17" s="42" t="inlineStr">
        <is>
          <t>MARKET RATE</t>
        </is>
      </c>
      <c r="C17" s="43" t="inlineStr">
        <is>
          <t>Capital Place at Southwood</t>
        </is>
      </c>
      <c r="D17" s="42" t="inlineStr">
        <is>
          <t>2300 Bluff Oak Way, Tallahassee, FL 32311</t>
        </is>
      </c>
      <c r="E17" s="42" t="inlineStr">
        <is>
          <t>Tallahassee</t>
        </is>
      </c>
      <c r="F17" s="42" t="inlineStr">
        <is>
          <t>FL</t>
        </is>
      </c>
      <c r="G17" s="42" t="inlineStr">
        <is>
          <t>32311</t>
        </is>
      </c>
      <c r="H17" s="42" t="inlineStr">
        <is>
          <t>30.0 mi</t>
        </is>
      </c>
      <c r="I17" s="42" t="inlineStr">
        <is>
          <t>N/A (Market Rate)</t>
        </is>
      </c>
      <c r="J17" s="42" t="inlineStr">
        <is>
          <t>N/A (Market Rate)</t>
        </is>
      </c>
      <c r="K17" s="33" t="inlineStr">
        <is>
          <t>$1,210</t>
        </is>
      </c>
      <c r="L17" s="34" t="inlineStr">
        <is>
          <t>N/A</t>
        </is>
      </c>
      <c r="M17" s="42" t="inlineStr">
        <is>
          <t>N/A (Market Rate)</t>
        </is>
      </c>
      <c r="N17" s="42" t="inlineStr">
        <is>
          <t>N/A (Market Rate)</t>
        </is>
      </c>
      <c r="O17" s="33" t="inlineStr">
        <is>
          <t>$1,540</t>
        </is>
      </c>
      <c r="P17" s="34" t="inlineStr">
        <is>
          <t>$1,675</t>
        </is>
      </c>
      <c r="Q17" s="42" t="n">
        <v>288</v>
      </c>
      <c r="R17" s="42" t="n">
        <v>2013</v>
      </c>
      <c r="S17" s="42" t="n">
        <v>42</v>
      </c>
      <c r="T17" s="42" t="inlineStr">
        <is>
          <t>No</t>
        </is>
      </c>
      <c r="U17" s="42" t="inlineStr">
        <is>
          <t>Yes</t>
        </is>
      </c>
      <c r="V17" s="42" t="inlineStr">
        <is>
          <t>Yes</t>
        </is>
      </c>
      <c r="W17" s="42" t="inlineStr">
        <is>
          <t>Yes</t>
        </is>
      </c>
      <c r="X17" s="42" t="inlineStr">
        <is>
          <t>Yes</t>
        </is>
      </c>
      <c r="Y17" s="87" t="inlineStr">
        <is>
          <t>MODERATE-HIGH</t>
        </is>
      </c>
      <c r="Z17" s="43" t="inlineStr">
        <is>
          <t>Market Rate Comp #6: No income restrictions, 2013 vintage (42 yr diff), 288 units, 30.0 mi from subject in Southwood Tallahassee FL 32311. Managed by Greystar. 2BD N/A (unavailable) / 3BD $1,675.</t>
        </is>
      </c>
      <c r="AA17" s="42" t="inlineStr">
        <is>
          <t>https://www.apartments.com/capital-place-at-southwood-tallahassee-fl/tmn7gk8/</t>
        </is>
      </c>
    </row>
    <row r="18" ht="8.25" customFormat="1" customHeight="1" s="6">
      <c r="A18" s="51" t="inlineStr">
        <is>
          <t>—</t>
        </is>
      </c>
      <c r="B18" s="51" t="inlineStr">
        <is>
          <t>BENCHMARK</t>
        </is>
      </c>
      <c r="C18" s="52" t="inlineStr">
        <is>
          <t>FY2026 FMR — Jefferson County, FL</t>
        </is>
      </c>
      <c r="D18" s="51" t="inlineStr">
        <is>
          <t>N/A</t>
        </is>
      </c>
      <c r="E18" s="51" t="inlineStr">
        <is>
          <t>Monticello</t>
        </is>
      </c>
      <c r="F18" s="51" t="inlineStr">
        <is>
          <t>FL</t>
        </is>
      </c>
      <c r="G18" s="51" t="inlineStr">
        <is>
          <t>N/A</t>
        </is>
      </c>
      <c r="H18" s="51" t="inlineStr">
        <is>
          <t>N/A</t>
        </is>
      </c>
      <c r="I18" s="51" t="inlineStr">
        <is>
          <t>$1,210</t>
        </is>
      </c>
      <c r="J18" s="51" t="inlineStr">
        <is>
          <t>$1,210</t>
        </is>
      </c>
      <c r="K18" s="33" t="inlineStr">
        <is>
          <t>$1,210</t>
        </is>
      </c>
      <c r="L18" s="34" t="inlineStr">
        <is>
          <t>N/A</t>
        </is>
      </c>
      <c r="M18" s="51" t="inlineStr">
        <is>
          <t>$1,540</t>
        </is>
      </c>
      <c r="N18" s="51" t="inlineStr">
        <is>
          <t>$1,540</t>
        </is>
      </c>
      <c r="O18" s="33" t="inlineStr">
        <is>
          <t>$1,540</t>
        </is>
      </c>
      <c r="P18" s="34" t="inlineStr">
        <is>
          <t>N/A</t>
        </is>
      </c>
      <c r="Q18" s="51" t="inlineStr">
        <is>
          <t>N/A</t>
        </is>
      </c>
      <c r="R18" s="51" t="inlineStr">
        <is>
          <t>N/A</t>
        </is>
      </c>
      <c r="S18" s="51" t="inlineStr">
        <is>
          <t>N/A</t>
        </is>
      </c>
      <c r="T18" s="51" t="inlineStr">
        <is>
          <t>N/A</t>
        </is>
      </c>
      <c r="U18" s="51" t="inlineStr">
        <is>
          <t>N/A</t>
        </is>
      </c>
      <c r="V18" s="51" t="inlineStr">
        <is>
          <t>N/A</t>
        </is>
      </c>
      <c r="W18" s="51" t="inlineStr">
        <is>
          <t>N/A</t>
        </is>
      </c>
      <c r="X18" s="51" t="inlineStr">
        <is>
          <t>N/A</t>
        </is>
      </c>
      <c r="Y18" s="53" t="inlineStr">
        <is>
          <t>BENCHMARK</t>
        </is>
      </c>
      <c r="Z18" s="52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51" t="inlineStr">
        <is>
          <t>HUD FMR Database (huduser.gov)</t>
        </is>
      </c>
    </row>
    <row r="19" ht="27.75" customFormat="1" customHeight="1" s="6">
      <c r="A19" s="51" t="inlineStr">
        <is>
          <t>—</t>
        </is>
      </c>
      <c r="B19" s="51" t="inlineStr">
        <is>
          <t>BENCHMARK</t>
        </is>
      </c>
      <c r="C19" s="52" t="inlineStr">
        <is>
          <t>Metro Market Avg — Monticello/Tallahassee (Live, Apr 2026)</t>
        </is>
      </c>
      <c r="D19" s="51" t="inlineStr">
        <is>
          <t>N/A</t>
        </is>
      </c>
      <c r="E19" s="51" t="inlineStr">
        <is>
          <t>Monticello</t>
        </is>
      </c>
      <c r="F19" s="51" t="inlineStr">
        <is>
          <t>FL</t>
        </is>
      </c>
      <c r="G19" s="51" t="inlineStr">
        <is>
          <t>N/A</t>
        </is>
      </c>
      <c r="H19" s="51" t="inlineStr">
        <is>
          <t>N/A</t>
        </is>
      </c>
      <c r="I19" s="51" t="inlineStr">
        <is>
          <t>$1,380</t>
        </is>
      </c>
      <c r="J19" s="51" t="inlineStr">
        <is>
          <t>$1,380</t>
        </is>
      </c>
      <c r="K19" s="33" t="inlineStr">
        <is>
          <t>$1,380</t>
        </is>
      </c>
      <c r="L19" s="34" t="inlineStr">
        <is>
          <t>$1,380</t>
        </is>
      </c>
      <c r="M19" s="51" t="inlineStr">
        <is>
          <t>$1,507</t>
        </is>
      </c>
      <c r="N19" s="51" t="inlineStr">
        <is>
          <t>$1,507</t>
        </is>
      </c>
      <c r="O19" s="33" t="inlineStr">
        <is>
          <t>$1,507</t>
        </is>
      </c>
      <c r="P19" s="34" t="inlineStr">
        <is>
          <t>$1,507</t>
        </is>
      </c>
      <c r="Q19" s="51" t="inlineStr">
        <is>
          <t>N/A</t>
        </is>
      </c>
      <c r="R19" s="51" t="inlineStr">
        <is>
          <t>N/A</t>
        </is>
      </c>
      <c r="S19" s="51" t="inlineStr">
        <is>
          <t>N/A</t>
        </is>
      </c>
      <c r="T19" s="51" t="inlineStr">
        <is>
          <t>N/A</t>
        </is>
      </c>
      <c r="U19" s="51" t="inlineStr">
        <is>
          <t>N/A</t>
        </is>
      </c>
      <c r="V19" s="51" t="inlineStr">
        <is>
          <t>N/A</t>
        </is>
      </c>
      <c r="W19" s="51" t="inlineStr">
        <is>
          <t>N/A</t>
        </is>
      </c>
      <c r="X19" s="51" t="inlineStr">
        <is>
          <t>N/A</t>
        </is>
      </c>
      <c r="Y19" s="53" t="inlineStr">
        <is>
          <t>BENCHMARK</t>
        </is>
      </c>
      <c r="Z19" s="52" t="inlineStr">
        <is>
          <t>BENCHMARK — Live Market Average for Monticello/Tallahassee metro, calculated from 6 market-rate comps as of Apr 30, 2026. 2BD avg: $1,380 (Ochlockonee Pointe $970, Blairstone $1,410, Arbor Landing $1,599, Arbor Station $1,539 — Jefferson Pines and Capital Place at Southwood have no 2BD available). 3BD avg: $1,507 (Ochlockonee Pointe $1,150, Blairstone $1,560, Arbor Landing $1,699, Jefferson Pines $1,299, Arbor Station $1,659, Capital Place $1,675).</t>
        </is>
      </c>
      <c r="AA19" s="51" t="inlineStr">
        <is>
          <t>Apartments.com live data, Apr 30, 2026</t>
        </is>
      </c>
    </row>
    <row r="21" ht="15" customFormat="1" customHeight="1" s="3">
      <c r="A21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/>
    <row r="23" ht="15" customFormat="1" customHeight="1" s="3">
      <c r="A23" s="55" t="inlineStr">
        <is>
          <t>Current Rent vs. Market Average</t>
        </is>
      </c>
      <c r="B23" s="99" t="n"/>
      <c r="C23" s="99" t="n"/>
      <c r="D23" s="100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15" customFormat="1" customHeight="1" s="3">
      <c r="A24" s="58" t="inlineStr">
        <is>
          <t>Market Average = Avg of Actual Rents from all comparables</t>
        </is>
      </c>
      <c r="B24" s="99" t="n"/>
      <c r="C24" s="99" t="n"/>
      <c r="D24" s="10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15" customFormat="1" customHeight="1" s="3">
      <c r="A25" s="59" t="n"/>
      <c r="B25" s="59" t="inlineStr">
        <is>
          <t>Current Rent</t>
        </is>
      </c>
      <c r="C25" s="59" t="inlineStr">
        <is>
          <t>Market Average</t>
        </is>
      </c>
      <c r="D25" s="59" t="inlineStr">
        <is>
          <t>Difference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15" customFormat="1" customHeight="1" s="3">
      <c r="A26" s="60" t="inlineStr">
        <is>
          <t>2BD</t>
        </is>
      </c>
      <c r="B26" s="108" t="n"/>
      <c r="C26" s="109" t="n">
        <v>1380</v>
      </c>
      <c r="D26" s="110">
        <f>IF(B26="","",C26-B26)</f>
        <v/>
      </c>
    </row>
    <row r="27" ht="15" customFormat="1" customHeight="1" s="3">
      <c r="A27" s="60" t="inlineStr">
        <is>
          <t>3BD</t>
        </is>
      </c>
      <c r="B27" s="108" t="n"/>
      <c r="C27" s="109" t="n">
        <v>1507</v>
      </c>
      <c r="D27" s="110">
        <f>IF(B27="","",C27-B27)</f>
        <v/>
      </c>
    </row>
    <row r="28" ht="15" customFormat="1" customHeight="1" s="3">
      <c r="A28" s="64" t="inlineStr">
        <is>
          <t>PMTS — Vouchers / FMR / UAP / NET FMR</t>
        </is>
      </c>
      <c r="B28" s="104" t="n"/>
      <c r="C28" s="104" t="n"/>
      <c r="D28" s="104" t="n"/>
      <c r="E28" s="104" t="n"/>
      <c r="F28" s="105" t="n"/>
    </row>
    <row r="29" ht="15" customFormat="1" customHeight="1" s="3">
      <c r="A29" s="67" t="inlineStr">
        <is>
          <t>BD</t>
        </is>
      </c>
      <c r="B29" s="68" t="inlineStr">
        <is>
          <t>MKT</t>
        </is>
      </c>
      <c r="C29" s="69" t="inlineStr">
        <is>
          <t>VCH</t>
        </is>
      </c>
      <c r="D29" s="70" t="inlineStr">
        <is>
          <t>FMR</t>
        </is>
      </c>
      <c r="E29" s="71" t="inlineStr">
        <is>
          <t>UAP</t>
        </is>
      </c>
      <c r="F29" s="72" t="inlineStr">
        <is>
          <t>NET</t>
        </is>
      </c>
    </row>
    <row r="30">
      <c r="A30" s="73" t="inlineStr">
        <is>
          <t>2BD</t>
        </is>
      </c>
      <c r="B30" s="74" t="n">
        <v>0</v>
      </c>
      <c r="C30" s="74" t="n">
        <v>0</v>
      </c>
      <c r="D30" s="74" t="n">
        <v>1210</v>
      </c>
      <c r="E30" s="75" t="n">
        <v>177</v>
      </c>
      <c r="F30" s="76" t="n">
        <v>1033</v>
      </c>
    </row>
    <row r="31">
      <c r="A31" s="77" t="inlineStr">
        <is>
          <t>3BD</t>
        </is>
      </c>
      <c r="B31" s="78" t="n">
        <v>0</v>
      </c>
      <c r="C31" s="78" t="n">
        <v>0</v>
      </c>
      <c r="D31" s="78" t="n">
        <v>1540</v>
      </c>
      <c r="E31" s="75" t="n">
        <v>232</v>
      </c>
      <c r="F31" s="76" t="n">
        <v>1308</v>
      </c>
    </row>
    <row r="32" ht="15" customFormat="1" customHeight="1" s="3"/>
    <row r="33" ht="15" customFormat="1" customHeight="1" s="3"/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>
      <c r="A36" s="73" t="inlineStr">
        <is>
          <t>2BD</t>
        </is>
      </c>
      <c r="B36" s="106" t="n">
        <v>970</v>
      </c>
      <c r="C36" s="107" t="n">
        <v>1375</v>
      </c>
    </row>
    <row r="37">
      <c r="A37" s="77" t="inlineStr">
        <is>
          <t>3BD</t>
        </is>
      </c>
      <c r="B37" s="106" t="n">
        <v>1096</v>
      </c>
      <c r="C37" s="107" t="n">
        <v>1548</v>
      </c>
    </row>
  </sheetData>
  <mergeCells count="7">
    <mergeCell ref="A4:AA4"/>
    <mergeCell ref="A3:AA3"/>
    <mergeCell ref="A21:AA21"/>
    <mergeCell ref="A22:D22"/>
    <mergeCell ref="A32:C32"/>
    <mergeCell ref="A21:D21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3" tint="0.4"/>
    <outlinePr summaryBelow="1" summaryRight="1"/>
    <pageSetUpPr/>
  </sheetPr>
  <dimension ref="A1:AE39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0"/>
    <col hidden="1" width="13.00390625" customWidth="1" style="6" min="11" max="11"/>
    <col width="12.00390625" customWidth="1" style="6" min="12" max="12"/>
    <col width="10.00390625" customWidth="1" style="6" min="13" max="14"/>
    <col hidden="1" width="13.00390625" customWidth="1" style="6" min="15" max="15"/>
    <col width="12.00390625" customWidth="1" style="6" min="16" max="16"/>
    <col width="10.00390625" customWidth="1" style="6" min="17" max="18"/>
    <col hidden="1" width="13.00390625" customWidth="1" style="6" min="19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OPA LOCKA 135TH ST | GREEN = Affordable Comps | BLUE = Market Rate Comps</t>
        </is>
      </c>
    </row>
    <row r="4" ht="20.25" customFormat="1" customHeight="1" s="6">
      <c r="A4" s="2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1BD 50% AMI ($)</t>
        </is>
      </c>
      <c r="J6" s="23" t="inlineStr">
        <is>
          <t>1BD 60% AMI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2BD 50% AMI ($)</t>
        </is>
      </c>
      <c r="N6" s="23" t="inlineStr">
        <is>
          <t>2BD 60% AMI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3BD 50% AMI ($)</t>
        </is>
      </c>
      <c r="R6" s="23" t="inlineStr">
        <is>
          <t>3BD 60% AMI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Opa Locka 135th St (SUBJECT)</t>
        </is>
      </c>
      <c r="D7" s="26" t="inlineStr">
        <is>
          <t>2860 NW 135th Street</t>
        </is>
      </c>
      <c r="E7" s="26" t="inlineStr">
        <is>
          <t>Opa Locka</t>
        </is>
      </c>
      <c r="F7" s="26" t="inlineStr">
        <is>
          <t>FL</t>
        </is>
      </c>
      <c r="G7" s="26" t="inlineStr">
        <is>
          <t>33054</t>
        </is>
      </c>
      <c r="H7" s="26" t="inlineStr">
        <is>
          <t>0.0 mi</t>
        </is>
      </c>
      <c r="I7" s="26" t="inlineStr">
        <is>
          <t>$3,872</t>
        </is>
      </c>
      <c r="J7" s="26" t="inlineStr">
        <is>
          <t>$4,647</t>
        </is>
      </c>
      <c r="K7" s="28" t="inlineStr">
        <is>
          <t>$1,736</t>
        </is>
      </c>
      <c r="L7" s="29" t="inlineStr">
        <is>
          <t>N/A</t>
        </is>
      </c>
      <c r="M7" s="26" t="inlineStr">
        <is>
          <t>$4,645</t>
        </is>
      </c>
      <c r="N7" s="26" t="inlineStr">
        <is>
          <t>$5,575</t>
        </is>
      </c>
      <c r="O7" s="28" t="inlineStr">
        <is>
          <t>$2,376</t>
        </is>
      </c>
      <c r="P7" s="29" t="inlineStr">
        <is>
          <t>N/A</t>
        </is>
      </c>
      <c r="Q7" s="26" t="inlineStr">
        <is>
          <t>$5,162</t>
        </is>
      </c>
      <c r="R7" s="26" t="inlineStr">
        <is>
          <t>$6,195</t>
        </is>
      </c>
      <c r="S7" s="28" t="inlineStr">
        <is>
          <t>$3,044</t>
        </is>
      </c>
      <c r="T7" s="29" t="inlineStr">
        <is>
          <t>N/A</t>
        </is>
      </c>
      <c r="U7" s="26" t="inlineStr">
        <is>
          <t>65</t>
        </is>
      </c>
      <c r="V7" s="26" t="inlineStr">
        <is>
          <t>1968</t>
        </is>
      </c>
      <c r="W7" s="26" t="inlineStr">
        <is>
          <t>0</t>
        </is>
      </c>
      <c r="X7" s="26" t="inlineStr">
        <is>
          <t>Yes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65 units | Section 8/HUD property. Year built: 1968.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Liberty City Manor</t>
        </is>
      </c>
      <c r="D8" s="31" t="inlineStr">
        <is>
          <t>6200 NW 7th Ave</t>
        </is>
      </c>
      <c r="E8" s="31" t="inlineStr">
        <is>
          <t>Miami</t>
        </is>
      </c>
      <c r="F8" s="31" t="inlineStr">
        <is>
          <t>FL</t>
        </is>
      </c>
      <c r="G8" s="31" t="inlineStr">
        <is>
          <t>33150</t>
        </is>
      </c>
      <c r="H8" s="31" t="inlineStr">
        <is>
          <t>8.5 mi</t>
        </is>
      </c>
      <c r="I8" s="31" t="inlineStr">
        <is>
          <t>$3,872</t>
        </is>
      </c>
      <c r="J8" s="31" t="inlineStr">
        <is>
          <t>$4,647</t>
        </is>
      </c>
      <c r="K8" s="33" t="inlineStr">
        <is>
          <t>$1,736</t>
        </is>
      </c>
      <c r="L8" s="34" t="inlineStr">
        <is>
          <t>Not Listed</t>
        </is>
      </c>
      <c r="M8" s="31" t="inlineStr">
        <is>
          <t>$4,645</t>
        </is>
      </c>
      <c r="N8" s="31" t="inlineStr">
        <is>
          <t>$5,575</t>
        </is>
      </c>
      <c r="O8" s="33" t="inlineStr">
        <is>
          <t>$2,376</t>
        </is>
      </c>
      <c r="P8" s="34" t="inlineStr">
        <is>
          <t>Not Listed</t>
        </is>
      </c>
      <c r="Q8" s="31" t="inlineStr">
        <is>
          <t>$5,162</t>
        </is>
      </c>
      <c r="R8" s="31" t="inlineStr">
        <is>
          <t>$6,195</t>
        </is>
      </c>
      <c r="S8" s="33" t="inlineStr">
        <is>
          <t>$3,044</t>
        </is>
      </c>
      <c r="T8" s="34" t="inlineStr">
        <is>
          <t>Not Listed</t>
        </is>
      </c>
      <c r="U8" s="31" t="inlineStr">
        <is>
          <t>64</t>
        </is>
      </c>
      <c r="V8" s="31" t="inlineStr">
        <is>
          <t>1968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Section 8/HUD property, 1968 vintage (0 yr diff), 64 units, 8.5 mi from subject. Same income-eligible renter pool.</t>
        </is>
      </c>
      <c r="AE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Hialeah Gardens Apartments</t>
        </is>
      </c>
      <c r="D9" s="36" t="inlineStr">
        <is>
          <t>1200 W 68th St</t>
        </is>
      </c>
      <c r="E9" s="36" t="inlineStr">
        <is>
          <t>Hialeah</t>
        </is>
      </c>
      <c r="F9" s="36" t="inlineStr">
        <is>
          <t>FL</t>
        </is>
      </c>
      <c r="G9" s="36" t="inlineStr">
        <is>
          <t>33012</t>
        </is>
      </c>
      <c r="H9" s="36" t="inlineStr">
        <is>
          <t>5.2 mi</t>
        </is>
      </c>
      <c r="I9" s="36" t="inlineStr">
        <is>
          <t>$3,872</t>
        </is>
      </c>
      <c r="J9" s="36" t="inlineStr">
        <is>
          <t>$4,647</t>
        </is>
      </c>
      <c r="K9" s="33" t="inlineStr">
        <is>
          <t>$1,736</t>
        </is>
      </c>
      <c r="L9" s="34" t="inlineStr">
        <is>
          <t>$3,200</t>
        </is>
      </c>
      <c r="M9" s="36" t="inlineStr">
        <is>
          <t>$4,645</t>
        </is>
      </c>
      <c r="N9" s="36" t="inlineStr">
        <is>
          <t>$5,575</t>
        </is>
      </c>
      <c r="O9" s="33" t="inlineStr">
        <is>
          <t>$2,376</t>
        </is>
      </c>
      <c r="P9" s="34" t="inlineStr">
        <is>
          <t>$3,896</t>
        </is>
      </c>
      <c r="Q9" s="36" t="inlineStr">
        <is>
          <t>$5,162</t>
        </is>
      </c>
      <c r="R9" s="36" t="inlineStr">
        <is>
          <t>$6,195</t>
        </is>
      </c>
      <c r="S9" s="33" t="inlineStr">
        <is>
          <t>$3,044</t>
        </is>
      </c>
      <c r="T9" s="34" t="inlineStr">
        <is>
          <t>$4,686</t>
        </is>
      </c>
      <c r="U9" s="36" t="inlineStr">
        <is>
          <t>72</t>
        </is>
      </c>
      <c r="V9" s="36" t="inlineStr">
        <is>
          <t>1970</t>
        </is>
      </c>
      <c r="W9" s="36" t="inlineStr">
        <is>
          <t>2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Section 8/HUD property, 1970 vintage (2 yr diff), 72 units, 5.2 mi from subject. Same income-eligible renter pool.</t>
        </is>
      </c>
      <c r="AE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Carol City Manor</t>
        </is>
      </c>
      <c r="D10" s="39" t="inlineStr">
        <is>
          <t>18800 NW 27th Ave</t>
        </is>
      </c>
      <c r="E10" s="39" t="inlineStr">
        <is>
          <t>Miami Gardens</t>
        </is>
      </c>
      <c r="F10" s="39" t="inlineStr">
        <is>
          <t>FL</t>
        </is>
      </c>
      <c r="G10" s="39" t="inlineStr">
        <is>
          <t>33056</t>
        </is>
      </c>
      <c r="H10" s="39" t="inlineStr">
        <is>
          <t>4.1 mi</t>
        </is>
      </c>
      <c r="I10" s="39" t="inlineStr">
        <is>
          <t>$3,872</t>
        </is>
      </c>
      <c r="J10" s="39" t="inlineStr">
        <is>
          <t>$4,647</t>
        </is>
      </c>
      <c r="K10" s="33" t="inlineStr">
        <is>
          <t>$1,736</t>
        </is>
      </c>
      <c r="L10" s="34" t="inlineStr">
        <is>
          <t>Not Listed</t>
        </is>
      </c>
      <c r="M10" s="39" t="inlineStr">
        <is>
          <t>$4,645</t>
        </is>
      </c>
      <c r="N10" s="39" t="inlineStr">
        <is>
          <t>$5,575</t>
        </is>
      </c>
      <c r="O10" s="33" t="inlineStr">
        <is>
          <t>$2,376</t>
        </is>
      </c>
      <c r="P10" s="34" t="inlineStr">
        <is>
          <t>Not Listed</t>
        </is>
      </c>
      <c r="Q10" s="39" t="inlineStr">
        <is>
          <t>$5,162</t>
        </is>
      </c>
      <c r="R10" s="39" t="inlineStr">
        <is>
          <t>$6,195</t>
        </is>
      </c>
      <c r="S10" s="33" t="inlineStr">
        <is>
          <t>$3,044</t>
        </is>
      </c>
      <c r="T10" s="34" t="inlineStr">
        <is>
          <t>Not Listed</t>
        </is>
      </c>
      <c r="U10" s="39" t="inlineStr">
        <is>
          <t>60</t>
        </is>
      </c>
      <c r="V10" s="39" t="inlineStr">
        <is>
          <t>1967</t>
        </is>
      </c>
      <c r="W10" s="39" t="inlineStr">
        <is>
          <t>1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Section 8/HUD property, 1967 vintage (1 yr diff), 60 units, 4.1 mi from subject. Same income-eligible renter pool.</t>
        </is>
      </c>
      <c r="AE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North Miami Housing Authority - Arch Creek Apts</t>
        </is>
      </c>
      <c r="D11" s="31" t="inlineStr">
        <is>
          <t>1800 NE 135th St</t>
        </is>
      </c>
      <c r="E11" s="31" t="inlineStr">
        <is>
          <t>North Miami</t>
        </is>
      </c>
      <c r="F11" s="31" t="inlineStr">
        <is>
          <t>FL</t>
        </is>
      </c>
      <c r="G11" s="31" t="inlineStr">
        <is>
          <t>33161</t>
        </is>
      </c>
      <c r="H11" s="31" t="inlineStr">
        <is>
          <t>6.8 mi</t>
        </is>
      </c>
      <c r="I11" s="31" t="inlineStr">
        <is>
          <t>$3,872</t>
        </is>
      </c>
      <c r="J11" s="31" t="inlineStr">
        <is>
          <t>$4,647</t>
        </is>
      </c>
      <c r="K11" s="33" t="inlineStr">
        <is>
          <t>$1,736</t>
        </is>
      </c>
      <c r="L11" s="34" t="inlineStr">
        <is>
          <t>Not Listed</t>
        </is>
      </c>
      <c r="M11" s="31" t="inlineStr">
        <is>
          <t>$4,645</t>
        </is>
      </c>
      <c r="N11" s="31" t="inlineStr">
        <is>
          <t>$5,575</t>
        </is>
      </c>
      <c r="O11" s="33" t="inlineStr">
        <is>
          <t>$2,376</t>
        </is>
      </c>
      <c r="P11" s="34" t="inlineStr">
        <is>
          <t>Not Listed</t>
        </is>
      </c>
      <c r="Q11" s="31" t="inlineStr">
        <is>
          <t>$5,162</t>
        </is>
      </c>
      <c r="R11" s="31" t="inlineStr">
        <is>
          <t>$6,195</t>
        </is>
      </c>
      <c r="S11" s="33" t="inlineStr">
        <is>
          <t>$3,044</t>
        </is>
      </c>
      <c r="T11" s="34" t="inlineStr">
        <is>
          <t>Not Listed</t>
        </is>
      </c>
      <c r="U11" s="31" t="inlineStr">
        <is>
          <t>68</t>
        </is>
      </c>
      <c r="V11" s="31" t="inlineStr">
        <is>
          <t>1969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Public Housing/HUD property, 1969 vintage (1 yr diff), 68 units, 6.8 mi from subject. Same income-eligible renter pool.</t>
        </is>
      </c>
      <c r="AE11" s="31" t="inlineStr">
        <is>
          <t>North Miami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Sherbondy Villas</t>
        </is>
      </c>
      <c r="D12" s="42" t="inlineStr">
        <is>
          <t>200 S Perviz Ave, Opa Locka, FL 33054</t>
        </is>
      </c>
      <c r="E12" s="42" t="inlineStr">
        <is>
          <t>Opa Locka</t>
        </is>
      </c>
      <c r="F12" s="42" t="inlineStr">
        <is>
          <t>FL</t>
        </is>
      </c>
      <c r="G12" s="42" t="inlineStr">
        <is>
          <t>33054</t>
        </is>
      </c>
      <c r="H12" s="42" t="inlineStr">
        <is>
          <t>1.2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$1,736</t>
        </is>
      </c>
      <c r="L12" s="34" t="inlineStr">
        <is>
          <t>$1,400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$2,376</t>
        </is>
      </c>
      <c r="P12" s="34" t="inlineStr">
        <is>
          <t>N/A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$3,044</t>
        </is>
      </c>
      <c r="T12" s="34" t="inlineStr">
        <is>
          <t>N/A</t>
        </is>
      </c>
      <c r="U12" s="42" t="n">
        <v>32</v>
      </c>
      <c r="V12" s="42" t="n">
        <v>1967</v>
      </c>
      <c r="W12" s="42" t="n">
        <v>1</v>
      </c>
      <c r="X12" s="42" t="inlineStr">
        <is>
          <t>No</t>
        </is>
      </c>
      <c r="Y12" s="42" t="inlineStr">
        <is>
          <t>No</t>
        </is>
      </c>
      <c r="Z12" s="42" t="inlineStr">
        <is>
          <t>No</t>
        </is>
      </c>
      <c r="AA12" s="42" t="inlineStr">
        <is>
          <t>No</t>
        </is>
      </c>
      <c r="AB12" s="42" t="inlineStr">
        <is>
          <t>No</t>
        </is>
      </c>
      <c r="AC12" s="44" t="inlineStr">
        <is>
          <t>HIGH</t>
        </is>
      </c>
      <c r="AD12" s="43" t="inlineStr">
        <is>
          <t>Market Rate Comp #1: No income restrictions, 1967 vintage (1 yr diff), 32 units, 1.2 mi from subject. 1BD only; shows local market-rate 1BD rent.</t>
        </is>
      </c>
      <c r="AE12" s="42" t="inlineStr">
        <is>
          <t>https://www.apartments.com/sherbondy-villas-opa-locka-fl/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Wellspring Apartments</t>
        </is>
      </c>
      <c r="D13" s="45" t="inlineStr">
        <is>
          <t>14701 NW 27th Ave, Opa Locka, FL 33054</t>
        </is>
      </c>
      <c r="E13" s="45" t="inlineStr">
        <is>
          <t>Opa Locka</t>
        </is>
      </c>
      <c r="F13" s="45" t="inlineStr">
        <is>
          <t>FL</t>
        </is>
      </c>
      <c r="G13" s="45" t="inlineStr">
        <is>
          <t>33054</t>
        </is>
      </c>
      <c r="H13" s="45" t="inlineStr">
        <is>
          <t>1.8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$1,736</t>
        </is>
      </c>
      <c r="L13" s="34" t="inlineStr">
        <is>
          <t>$1,989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$2,376</t>
        </is>
      </c>
      <c r="P13" s="34" t="inlineStr">
        <is>
          <t>$2,440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$3,044</t>
        </is>
      </c>
      <c r="T13" s="34" t="inlineStr">
        <is>
          <t>N/A</t>
        </is>
      </c>
      <c r="U13" s="45" t="inlineStr">
        <is>
          <t>N/A</t>
        </is>
      </c>
      <c r="V13" s="45" t="n">
        <v>2024</v>
      </c>
      <c r="W13" s="45" t="n">
        <v>56</v>
      </c>
      <c r="X13" s="45" t="inlineStr">
        <is>
          <t>No</t>
        </is>
      </c>
      <c r="Y13" s="45" t="inlineStr">
        <is>
          <t>Yes</t>
        </is>
      </c>
      <c r="Z13" s="45" t="inlineStr">
        <is>
          <t>No</t>
        </is>
      </c>
      <c r="AA13" s="45" t="inlineStr">
        <is>
          <t>Yes</t>
        </is>
      </c>
      <c r="AB13" s="45" t="inlineStr">
        <is>
          <t>No</t>
        </is>
      </c>
      <c r="AC13" s="47" t="inlineStr">
        <is>
          <t>HIGH</t>
        </is>
      </c>
      <c r="AD13" s="46" t="inlineStr">
        <is>
          <t>Market Rate Comp #2: No income restrictions, 2024 vintage (new senior community), 1BD $1,989 / 2BD $2,440. Located 1.8 mi from subject in same zip 33054.</t>
        </is>
      </c>
      <c r="AE13" s="45" t="inlineStr">
        <is>
          <t>https://www.apartments.com/wellspring-apartments-opa-locka-fl/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Individual Units — 33054 (2BD avg)</t>
        </is>
      </c>
      <c r="D14" s="48" t="inlineStr">
        <is>
          <t>Various addresses, Opa Locka, FL 33054</t>
        </is>
      </c>
      <c r="E14" s="48" t="inlineStr">
        <is>
          <t>Opa Locka</t>
        </is>
      </c>
      <c r="F14" s="48" t="inlineStr">
        <is>
          <t>FL</t>
        </is>
      </c>
      <c r="G14" s="48" t="inlineStr">
        <is>
          <t>33054</t>
        </is>
      </c>
      <c r="H14" s="48" t="inlineStr">
        <is>
          <t>&lt; 3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$1,736</t>
        </is>
      </c>
      <c r="L14" s="34" t="inlineStr">
        <is>
          <t>$1,300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$2,376</t>
        </is>
      </c>
      <c r="P14" s="34" t="inlineStr">
        <is>
          <t>$1,760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$3,044</t>
        </is>
      </c>
      <c r="T14" s="34" t="inlineStr">
        <is>
          <t>$2,598</t>
        </is>
      </c>
      <c r="U14" s="48" t="inlineStr">
        <is>
          <t>N/A</t>
        </is>
      </c>
      <c r="V14" s="48" t="inlineStr">
        <is>
          <t>Various</t>
        </is>
      </c>
      <c r="W14" s="48" t="inlineStr">
        <is>
          <t>N/A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Aggregated individual unit listings in zip 33054 (Apartments.com/Zillow). 1BD avg of 4 units: $1,300. 2BD avg of 4 units: $1,760 (14100 NW 24th Ct $1,670, 1851 Ali Baba Ave $1,650, 4Plex $1,850, 1920 NW 151st St $1,975 → avg $1,786 rounded). 3BD avg of 4 units: $2,598 (2290 NW 136th Ter $2,400, 16340 NW 17th Ct $2,795, 2508 Superior St $2,800, 14162 NW 17th Ave $2,900 → avg $2,724 rounded).</t>
        </is>
      </c>
      <c r="AE14" s="48" t="inlineStr">
        <is>
          <t>https://www.apartments.com/opa-locka-fl-33054/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Oak Enclave</t>
        </is>
      </c>
      <c r="D15" s="42" t="inlineStr">
        <is>
          <t>2301 NW 167th St, Miami Gardens, FL 33056</t>
        </is>
      </c>
      <c r="E15" s="42" t="inlineStr">
        <is>
          <t>Miami Gardens</t>
        </is>
      </c>
      <c r="F15" s="42" t="inlineStr">
        <is>
          <t>FL</t>
        </is>
      </c>
      <c r="G15" s="42" t="inlineStr">
        <is>
          <t>33056</t>
        </is>
      </c>
      <c r="H15" s="42" t="inlineStr">
        <is>
          <t>3.1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$1,736</t>
        </is>
      </c>
      <c r="L15" s="34" t="inlineStr">
        <is>
          <t>$2,000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$2,376</t>
        </is>
      </c>
      <c r="P15" s="34" t="inlineStr">
        <is>
          <t>$2,240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$3,044</t>
        </is>
      </c>
      <c r="T15" s="34" t="inlineStr">
        <is>
          <t>$2,670</t>
        </is>
      </c>
      <c r="U15" s="42" t="inlineStr">
        <is>
          <t>N/A</t>
        </is>
      </c>
      <c r="V15" s="42" t="inlineStr">
        <is>
          <t>N/A</t>
        </is>
      </c>
      <c r="W15" s="42" t="inlineStr">
        <is>
          <t>N/A</t>
        </is>
      </c>
      <c r="X15" s="42" t="inlineStr">
        <is>
          <t>No</t>
        </is>
      </c>
      <c r="Y15" s="42" t="inlineStr">
        <is>
          <t>Yes</t>
        </is>
      </c>
      <c r="Z15" s="42" t="inlineStr">
        <is>
          <t>Yes</t>
        </is>
      </c>
      <c r="AA15" s="42" t="inlineStr">
        <is>
          <t>Yes</t>
        </is>
      </c>
      <c r="AB15" s="42" t="inlineStr">
        <is>
          <t>No</t>
        </is>
      </c>
      <c r="AC15" s="44" t="inlineStr">
        <is>
          <t>HIGH</t>
        </is>
      </c>
      <c r="AD15" s="43" t="inlineStr">
        <is>
          <t>Market Rate Comp #4: No income restrictions, luxury complex, 3.1 mi from subject in adjacent zip 33056 (Miami Gardens). 1BD $2,000 / 2BD $2,240 / 3BD $2,670. Shows premium end of market.</t>
        </is>
      </c>
      <c r="AE15" s="42" t="inlineStr">
        <is>
          <t>https://www.apartments.com/oak-enclave-miami-gardens-fl/</t>
        </is>
      </c>
    </row>
    <row r="16" ht="54.75" customFormat="1" customHeight="1" s="6">
      <c r="A16" s="42" t="inlineStr">
        <is>
          <t>5</t>
        </is>
      </c>
      <c r="B16" s="42" t="inlineStr">
        <is>
          <t>MARKET RATE</t>
        </is>
      </c>
      <c r="C16" s="43" t="inlineStr">
        <is>
          <t>Emerald Bay</t>
        </is>
      </c>
      <c r="D16" s="42" t="inlineStr">
        <is>
          <t>8570 W 40th Ave, Hialeah, FL 33018</t>
        </is>
      </c>
      <c r="E16" s="42" t="inlineStr">
        <is>
          <t>Hialeah</t>
        </is>
      </c>
      <c r="F16" s="42" t="inlineStr">
        <is>
          <t>FL</t>
        </is>
      </c>
      <c r="G16" s="42" t="inlineStr">
        <is>
          <t>33018</t>
        </is>
      </c>
      <c r="H16" s="42" t="inlineStr">
        <is>
          <t>4.2 mi</t>
        </is>
      </c>
      <c r="I16" s="42" t="inlineStr">
        <is>
          <t>N/A (Market Rate)</t>
        </is>
      </c>
      <c r="J16" s="42" t="inlineStr">
        <is>
          <t>N/A (Market Rate)</t>
        </is>
      </c>
      <c r="K16" s="33" t="inlineStr">
        <is>
          <t>$1,736</t>
        </is>
      </c>
      <c r="L16" s="34" t="inlineStr">
        <is>
          <t>$2,250</t>
        </is>
      </c>
      <c r="M16" s="42" t="inlineStr">
        <is>
          <t>N/A (Market Rate)</t>
        </is>
      </c>
      <c r="N16" s="42" t="inlineStr">
        <is>
          <t>N/A (Market Rate)</t>
        </is>
      </c>
      <c r="O16" s="33" t="inlineStr">
        <is>
          <t>$2,376</t>
        </is>
      </c>
      <c r="P16" s="34" t="inlineStr">
        <is>
          <t>$2,650</t>
        </is>
      </c>
      <c r="Q16" s="42" t="inlineStr">
        <is>
          <t>N/A (Market Rate)</t>
        </is>
      </c>
      <c r="R16" s="42" t="inlineStr">
        <is>
          <t>N/A (Market Rate)</t>
        </is>
      </c>
      <c r="S16" s="33" t="inlineStr">
        <is>
          <t>$3,044</t>
        </is>
      </c>
      <c r="T16" s="34" t="inlineStr">
        <is>
          <t>$2,950</t>
        </is>
      </c>
      <c r="U16" s="42" t="n">
        <v>311</v>
      </c>
      <c r="V16" s="42" t="n">
        <v>2023</v>
      </c>
      <c r="W16" s="42" t="n">
        <v>52</v>
      </c>
      <c r="X16" s="42" t="inlineStr">
        <is>
          <t>No</t>
        </is>
      </c>
      <c r="Y16" s="42" t="inlineStr">
        <is>
          <t>Yes</t>
        </is>
      </c>
      <c r="Z16" s="42" t="inlineStr">
        <is>
          <t>Yes</t>
        </is>
      </c>
      <c r="AA16" s="42" t="inlineStr">
        <is>
          <t>Yes</t>
        </is>
      </c>
      <c r="AB16" s="42" t="inlineStr">
        <is>
          <t>Yes</t>
        </is>
      </c>
      <c r="AC16" s="44" t="inlineStr">
        <is>
          <t>HIGH</t>
        </is>
      </c>
      <c r="AD16" s="43" t="inlineStr">
        <is>
          <t>Market Rate Comp #5: No income restrictions, 2023 vintage (52 yr diff), 311 units, 4.2 mi from subject in Hialeah FL 33018. Managed by Greystar. 1BD $2,250 / 2BD $2,650 / 3BD $2,950.</t>
        </is>
      </c>
      <c r="AE16" s="42" t="inlineStr">
        <is>
          <t>https://www.apartments.com/emerald-bay-hialeah-fl/r1y8qg1/</t>
        </is>
      </c>
    </row>
    <row r="17" ht="54.75" customFormat="1" customHeight="1" s="6">
      <c r="A17" s="42" t="inlineStr">
        <is>
          <t>6</t>
        </is>
      </c>
      <c r="B17" s="42" t="inlineStr">
        <is>
          <t>MARKET RATE</t>
        </is>
      </c>
      <c r="C17" s="43" t="inlineStr">
        <is>
          <t>Ecco Lofts</t>
        </is>
      </c>
      <c r="D17" s="42" t="inlineStr">
        <is>
          <t>1453 W 29th St, Hialeah, FL 33012</t>
        </is>
      </c>
      <c r="E17" s="42" t="inlineStr">
        <is>
          <t>Hialeah</t>
        </is>
      </c>
      <c r="F17" s="42" t="inlineStr">
        <is>
          <t>FL</t>
        </is>
      </c>
      <c r="G17" s="42" t="inlineStr">
        <is>
          <t>33012</t>
        </is>
      </c>
      <c r="H17" s="42" t="inlineStr">
        <is>
          <t>5.8 mi</t>
        </is>
      </c>
      <c r="I17" s="42" t="inlineStr">
        <is>
          <t>N/A (Market Rate)</t>
        </is>
      </c>
      <c r="J17" s="42" t="inlineStr">
        <is>
          <t>N/A (Market Rate)</t>
        </is>
      </c>
      <c r="K17" s="33" t="inlineStr">
        <is>
          <t>$1,736</t>
        </is>
      </c>
      <c r="L17" s="34" t="inlineStr">
        <is>
          <t>$2,175</t>
        </is>
      </c>
      <c r="M17" s="42" t="inlineStr">
        <is>
          <t>N/A (Market Rate)</t>
        </is>
      </c>
      <c r="N17" s="42" t="inlineStr">
        <is>
          <t>N/A (Market Rate)</t>
        </is>
      </c>
      <c r="O17" s="33" t="inlineStr">
        <is>
          <t>$2,376</t>
        </is>
      </c>
      <c r="P17" s="34" t="inlineStr">
        <is>
          <t>$2,395</t>
        </is>
      </c>
      <c r="Q17" s="42" t="inlineStr">
        <is>
          <t>N/A (Market Rate)</t>
        </is>
      </c>
      <c r="R17" s="42" t="inlineStr">
        <is>
          <t>N/A (Market Rate)</t>
        </is>
      </c>
      <c r="S17" s="33" t="inlineStr">
        <is>
          <t>$3,044</t>
        </is>
      </c>
      <c r="T17" s="34" t="inlineStr">
        <is>
          <t>N/A</t>
        </is>
      </c>
      <c r="U17" s="42" t="n">
        <v>60</v>
      </c>
      <c r="V17" s="42" t="n">
        <v>2025</v>
      </c>
      <c r="W17" s="42" t="n">
        <v>54</v>
      </c>
      <c r="X17" s="42" t="inlineStr">
        <is>
          <t>No</t>
        </is>
      </c>
      <c r="Y17" s="42" t="inlineStr">
        <is>
          <t>No</t>
        </is>
      </c>
      <c r="Z17" s="42" t="inlineStr">
        <is>
          <t>No</t>
        </is>
      </c>
      <c r="AA17" s="42" t="inlineStr">
        <is>
          <t>No</t>
        </is>
      </c>
      <c r="AB17" s="42" t="inlineStr">
        <is>
          <t>No</t>
        </is>
      </c>
      <c r="AC17" s="44" t="inlineStr">
        <is>
          <t>HIGH</t>
        </is>
      </c>
      <c r="AD17" s="43" t="inlineStr">
        <is>
          <t>Market Rate Comp #6: No income restrictions, 2025 vintage (54 yr diff), 60 units, 5.8 mi from subject in Hialeah FL 33012. Managed by Prestige Companies. 1BD $2,175 / 2BD $2,395 / 3BD N/A.</t>
        </is>
      </c>
      <c r="AE17" s="42" t="inlineStr">
        <is>
          <t>https://www.apartments.com/ecco-lofts-hialeah-fl/184yfc5/</t>
        </is>
      </c>
    </row>
    <row r="18" ht="8.25" customFormat="1" customHeight="1" s="6">
      <c r="A18" s="51" t="inlineStr">
        <is>
          <t>—</t>
        </is>
      </c>
      <c r="B18" s="51" t="inlineStr">
        <is>
          <t>BENCHMARK</t>
        </is>
      </c>
      <c r="C18" s="52" t="inlineStr">
        <is>
          <t>FY2026 FMR — Miami-Dade County</t>
        </is>
      </c>
      <c r="D18" s="51" t="inlineStr">
        <is>
          <t>N/A</t>
        </is>
      </c>
      <c r="E18" s="51" t="inlineStr">
        <is>
          <t>Opa Locka</t>
        </is>
      </c>
      <c r="F18" s="51" t="inlineStr">
        <is>
          <t>FL</t>
        </is>
      </c>
      <c r="G18" s="51" t="inlineStr">
        <is>
          <t>N/A</t>
        </is>
      </c>
      <c r="H18" s="51" t="inlineStr">
        <is>
          <t>N/A</t>
        </is>
      </c>
      <c r="I18" s="51" t="inlineStr">
        <is>
          <t>$1,736</t>
        </is>
      </c>
      <c r="J18" s="51" t="inlineStr">
        <is>
          <t>$1,736</t>
        </is>
      </c>
      <c r="K18" s="33" t="inlineStr">
        <is>
          <t>$1,736</t>
        </is>
      </c>
      <c r="L18" s="34" t="inlineStr">
        <is>
          <t>N/A</t>
        </is>
      </c>
      <c r="M18" s="51" t="inlineStr">
        <is>
          <t>$2,376</t>
        </is>
      </c>
      <c r="N18" s="51" t="inlineStr">
        <is>
          <t>$2,376</t>
        </is>
      </c>
      <c r="O18" s="33" t="inlineStr">
        <is>
          <t>$2,376</t>
        </is>
      </c>
      <c r="P18" s="34" t="inlineStr">
        <is>
          <t>N/A</t>
        </is>
      </c>
      <c r="Q18" s="51" t="inlineStr">
        <is>
          <t>$3,044</t>
        </is>
      </c>
      <c r="R18" s="51" t="inlineStr">
        <is>
          <t>$3,044</t>
        </is>
      </c>
      <c r="S18" s="33" t="inlineStr">
        <is>
          <t>$3,044</t>
        </is>
      </c>
      <c r="T18" s="34" t="inlineStr">
        <is>
          <t>N/A</t>
        </is>
      </c>
      <c r="U18" s="51" t="inlineStr">
        <is>
          <t>N/A</t>
        </is>
      </c>
      <c r="V18" s="51" t="inlineStr">
        <is>
          <t>N/A</t>
        </is>
      </c>
      <c r="W18" s="51" t="inlineStr">
        <is>
          <t>N/A</t>
        </is>
      </c>
      <c r="X18" s="51" t="inlineStr">
        <is>
          <t>N/A</t>
        </is>
      </c>
      <c r="Y18" s="51" t="inlineStr">
        <is>
          <t>N/A</t>
        </is>
      </c>
      <c r="Z18" s="51" t="inlineStr">
        <is>
          <t>N/A</t>
        </is>
      </c>
      <c r="AA18" s="51" t="inlineStr">
        <is>
          <t>N/A</t>
        </is>
      </c>
      <c r="AB18" s="51" t="inlineStr">
        <is>
          <t>N/A</t>
        </is>
      </c>
      <c r="AC18" s="53" t="inlineStr">
        <is>
          <t>BENCHMARK</t>
        </is>
      </c>
      <c r="AD18" s="52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51" t="inlineStr">
        <is>
          <t>HUD FMR Database (huduser.gov)</t>
        </is>
      </c>
    </row>
    <row r="19" ht="27.75" customFormat="1" customHeight="1" s="6">
      <c r="A19" s="51" t="inlineStr">
        <is>
          <t>—</t>
        </is>
      </c>
      <c r="B19" s="51" t="inlineStr">
        <is>
          <t>BENCHMARK</t>
        </is>
      </c>
      <c r="C19" s="52" t="inlineStr">
        <is>
          <t>Metro Market Avg — Opa Locka (Live, Apr 2026)</t>
        </is>
      </c>
      <c r="D19" s="51" t="inlineStr">
        <is>
          <t>N/A</t>
        </is>
      </c>
      <c r="E19" s="51" t="inlineStr">
        <is>
          <t>Opa Locka</t>
        </is>
      </c>
      <c r="F19" s="51" t="inlineStr">
        <is>
          <t>FL</t>
        </is>
      </c>
      <c r="G19" s="51" t="inlineStr">
        <is>
          <t>N/A</t>
        </is>
      </c>
      <c r="H19" s="51" t="inlineStr">
        <is>
          <t>N/A</t>
        </is>
      </c>
      <c r="I19" s="51" t="inlineStr">
        <is>
          <t>$1,852</t>
        </is>
      </c>
      <c r="J19" s="51" t="inlineStr">
        <is>
          <t>$1,852</t>
        </is>
      </c>
      <c r="K19" s="33" t="inlineStr">
        <is>
          <t>$1,852</t>
        </is>
      </c>
      <c r="L19" s="34" t="inlineStr">
        <is>
          <t>$1,852</t>
        </is>
      </c>
      <c r="M19" s="51" t="inlineStr">
        <is>
          <t>$2,297</t>
        </is>
      </c>
      <c r="N19" s="51" t="inlineStr">
        <is>
          <t>$2,297</t>
        </is>
      </c>
      <c r="O19" s="33" t="inlineStr">
        <is>
          <t>$2,297</t>
        </is>
      </c>
      <c r="P19" s="34" t="inlineStr">
        <is>
          <t>$2,297</t>
        </is>
      </c>
      <c r="Q19" s="51" t="inlineStr">
        <is>
          <t>$2,739</t>
        </is>
      </c>
      <c r="R19" s="51" t="inlineStr">
        <is>
          <t>$2,739</t>
        </is>
      </c>
      <c r="S19" s="33" t="inlineStr">
        <is>
          <t>$2,739</t>
        </is>
      </c>
      <c r="T19" s="34" t="inlineStr">
        <is>
          <t>$2,739</t>
        </is>
      </c>
      <c r="U19" s="51" t="inlineStr">
        <is>
          <t>N/A</t>
        </is>
      </c>
      <c r="V19" s="51" t="inlineStr">
        <is>
          <t>N/A</t>
        </is>
      </c>
      <c r="W19" s="51" t="inlineStr">
        <is>
          <t>N/A</t>
        </is>
      </c>
      <c r="X19" s="51" t="inlineStr">
        <is>
          <t>N/A</t>
        </is>
      </c>
      <c r="Y19" s="51" t="inlineStr">
        <is>
          <t>N/A</t>
        </is>
      </c>
      <c r="Z19" s="51" t="inlineStr">
        <is>
          <t>BENCHMARK — Live Market Average for Opa Locka (33054) and adjacent areas, calculated from 6 market-rate comps as of Apr 30, 2026. 1BD avg: $1,852 (Sherbondy Villas $1,400, Wellspring $1,989, Individual Units $1,300, Oak Enclave $2,000, Emerald Bay $2,250, Ecco Lofts $2,175). 2BD avg: $2,297 (Wellspring $2,440, Individual Units $1,760, Oak Enclave $2,240, Emerald Bay $2,650, Ecco Lofts $2,395 — Sherbondy Villas has no 2BD). 3BD avg: $2,739 (Individual Units $2,598, Oak Enclave $2,670, Emerald Bay $2,950 — 3 comps with 3BD available).</t>
        </is>
      </c>
      <c r="AA19" s="51" t="inlineStr">
        <is>
          <t>N/A</t>
        </is>
      </c>
      <c r="AB19" s="51" t="inlineStr">
        <is>
          <t>N/A</t>
        </is>
      </c>
      <c r="AC19" s="53" t="inlineStr">
        <is>
          <t>BENCHMARK</t>
        </is>
      </c>
      <c r="AD19" s="52" t="inlineStr">
        <is>
          <t>BENCHMARK — Live Market Average for Opa Locka (33054), calculated from 4 market-rate comps as of Apr 30, 2026. 1BD avg: $1,672 (Sherbondy $1,400, Wellspring $1,989, Individual $1,300, Oak Enclave $2,000). 2BD avg: $2,079 (Wellspring $2,440, Individual units $1,786, Oak Enclave $2,240, 4Plex $1,850). 3BD avg: $2,697 (Individual units $2,724, Oak Enclave $2,670).</t>
        </is>
      </c>
      <c r="AE19" s="51" t="inlineStr">
        <is>
          <t>Apartments.com live data, Apr 30, 2026</t>
        </is>
      </c>
    </row>
    <row r="21" ht="15" customFormat="1" customHeight="1" s="3">
      <c r="A21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/>
    <row r="23" ht="15" customFormat="1" customHeight="1" s="3">
      <c r="C23" s="89" t="inlineStr">
        <is>
          <t>50% AMI</t>
        </is>
      </c>
      <c r="D23" s="89" t="inlineStr">
        <is>
          <t>UAP</t>
        </is>
      </c>
      <c r="E23" s="89" t="inlineStr">
        <is>
          <t>Section 8 Rent</t>
        </is>
      </c>
    </row>
    <row r="24">
      <c r="B24" s="6" t="n">
        <v>2</v>
      </c>
      <c r="C24" s="89" t="n">
        <v>1292</v>
      </c>
      <c r="D24" s="89" t="n">
        <v>454</v>
      </c>
      <c r="E24" s="89" t="n">
        <v>1400</v>
      </c>
    </row>
    <row r="25">
      <c r="B25" s="6" t="n">
        <v>3</v>
      </c>
      <c r="C25" s="89" t="n">
        <v>1641</v>
      </c>
      <c r="D25" s="89" t="n">
        <v>454</v>
      </c>
      <c r="E25" s="89" t="n">
        <v>1641</v>
      </c>
    </row>
    <row r="26" ht="15" customFormat="1" customHeight="1" s="3"/>
    <row r="27" ht="15" customFormat="1" customHeight="1" s="3"/>
    <row r="28" ht="15" customFormat="1" customHeight="1" s="3">
      <c r="A28" s="64" t="inlineStr">
        <is>
          <t>PMTS — Vouchers / FMR / UAP / NET FMR</t>
        </is>
      </c>
      <c r="B28" s="104" t="n"/>
      <c r="C28" s="104" t="n"/>
      <c r="D28" s="104" t="n"/>
      <c r="E28" s="104" t="n"/>
      <c r="F28" s="105" t="n"/>
    </row>
    <row r="29" ht="15" customFormat="1" customHeight="1" s="3">
      <c r="A29" s="67" t="inlineStr">
        <is>
          <t>BD</t>
        </is>
      </c>
      <c r="B29" s="68" t="inlineStr">
        <is>
          <t>MKT</t>
        </is>
      </c>
      <c r="C29" s="69" t="inlineStr">
        <is>
          <t>VCH</t>
        </is>
      </c>
      <c r="D29" s="70" t="inlineStr">
        <is>
          <t>FMR</t>
        </is>
      </c>
      <c r="E29" s="71" t="inlineStr">
        <is>
          <t>UAP</t>
        </is>
      </c>
      <c r="F29" s="72" t="inlineStr">
        <is>
          <t>NET</t>
        </is>
      </c>
    </row>
    <row r="30" ht="15" customFormat="1" customHeight="1" s="3">
      <c r="A30" s="73" t="inlineStr">
        <is>
          <t>1BD</t>
        </is>
      </c>
      <c r="B30" s="74" t="n">
        <v>0</v>
      </c>
      <c r="C30" s="74" t="n">
        <v>0</v>
      </c>
      <c r="D30" s="74" t="n">
        <v>1470</v>
      </c>
      <c r="E30" s="75" t="n">
        <v>0</v>
      </c>
      <c r="F30" s="76" t="n">
        <v>1470</v>
      </c>
    </row>
    <row r="31">
      <c r="A31" s="77" t="inlineStr">
        <is>
          <t>2BD</t>
        </is>
      </c>
      <c r="B31" s="78" t="n">
        <v>1900</v>
      </c>
      <c r="C31" s="78" t="n">
        <v>0</v>
      </c>
      <c r="D31" s="78" t="n">
        <v>1800</v>
      </c>
      <c r="E31" s="75" t="n">
        <v>0</v>
      </c>
      <c r="F31" s="76" t="n">
        <v>1800</v>
      </c>
    </row>
    <row r="32">
      <c r="A32" s="73" t="inlineStr">
        <is>
          <t>3BD</t>
        </is>
      </c>
      <c r="B32" s="74" t="n">
        <v>0</v>
      </c>
      <c r="C32" s="74" t="n">
        <v>0</v>
      </c>
      <c r="D32" s="74" t="n">
        <v>2320</v>
      </c>
      <c r="E32" s="75" t="n">
        <v>0</v>
      </c>
      <c r="F32" s="76" t="n">
        <v>2320</v>
      </c>
    </row>
    <row r="33" ht="15" customFormat="1" customHeight="1" s="3"/>
    <row r="34" ht="15" customFormat="1" customHeight="1" s="3"/>
    <row r="35" ht="15" customFormat="1" customHeight="1" s="3">
      <c r="A35" s="64" t="inlineStr">
        <is>
          <t>HAP, CoStar, NET</t>
        </is>
      </c>
      <c r="B35" s="104" t="n"/>
      <c r="C35" s="105" t="n"/>
    </row>
    <row r="36" ht="15" customFormat="1" customHeight="1" s="3">
      <c r="A36" s="67" t="n"/>
      <c r="B36" s="71" t="inlineStr">
        <is>
          <t>HAP</t>
        </is>
      </c>
      <c r="C36" s="68" t="inlineStr">
        <is>
          <t>CoStar</t>
        </is>
      </c>
    </row>
    <row r="37" ht="15" customFormat="1" customHeight="1" s="3">
      <c r="A37" s="73" t="inlineStr">
        <is>
          <t>1BD</t>
        </is>
      </c>
      <c r="B37" s="106" t="n">
        <v>1365</v>
      </c>
      <c r="C37" s="107" t="n">
        <v>1443</v>
      </c>
    </row>
    <row r="38">
      <c r="A38" s="77" t="inlineStr">
        <is>
          <t>2BD</t>
        </is>
      </c>
      <c r="B38" s="106" t="n">
        <v>1501</v>
      </c>
      <c r="C38" s="107" t="n">
        <v>1665</v>
      </c>
    </row>
    <row r="39">
      <c r="A39" s="73" t="inlineStr">
        <is>
          <t>3BD</t>
        </is>
      </c>
      <c r="B39" s="106" t="n">
        <v>1750</v>
      </c>
      <c r="C39" s="107" t="n">
        <v>1705</v>
      </c>
    </row>
  </sheetData>
  <mergeCells count="6">
    <mergeCell ref="A4:AE4"/>
    <mergeCell ref="A33:C33"/>
    <mergeCell ref="A5:AE5"/>
    <mergeCell ref="A26:F26"/>
    <mergeCell ref="A3:AE3"/>
    <mergeCell ref="A21:AE21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3" tint="0.4"/>
    <outlinePr summaryBelow="1" summaryRight="1"/>
    <pageSetUpPr/>
  </sheetPr>
  <dimension ref="A1:AX35"/>
  <sheetViews>
    <sheetView topLeftCell="D1" zoomScale="70" workbookViewId="0">
      <pane ySplit="1" topLeftCell="A4" activePane="bottomLeft" state="frozen"/>
      <selection pane="bottomLeft" activeCell="R7" sqref="R7"/>
    </sheetView>
  </sheetViews>
  <sheetFormatPr baseColWidth="8" defaultColWidth="9.140625" defaultRowHeight="21.75" customHeight="1"/>
  <cols>
    <col width="4.00390625" customWidth="1" style="6" min="1" max="1"/>
    <col width="10.28125" customWidth="1" style="6" min="2" max="2"/>
    <col width="33.421875" customWidth="1" style="6" min="3" max="3"/>
    <col width="30.7109375" customWidth="1" style="6" min="4" max="4"/>
    <col width="13.7109375" customWidth="1" style="6" min="5" max="5"/>
    <col width="4.140625" customWidth="1" style="6" min="6" max="6"/>
    <col width="4.8515625" customWidth="1" style="6" min="7" max="7"/>
    <col width="9.8515625" customWidth="1" style="6" min="8" max="8"/>
    <col width="13.140625" customWidth="1" style="6" min="9" max="10"/>
    <col width="9.28125" customWidth="1" style="6" min="11" max="11"/>
    <col width="10.57421875" customWidth="1" style="6" min="12" max="12"/>
    <col width="13.140625" customWidth="1" style="6" min="13" max="14"/>
    <col width="9.28125" customWidth="1" style="6" min="15" max="15"/>
    <col width="10.57421875" customWidth="1" style="6" min="16" max="16"/>
    <col width="5.421875" customWidth="1" style="6" min="17" max="17"/>
    <col width="7.28125" customWidth="1" style="6" min="18" max="18"/>
    <col width="4.8515625" customWidth="1" style="6" min="19" max="19"/>
    <col width="9.421875" customWidth="1" style="6" min="20" max="20"/>
    <col width="9.00390625" customWidth="1" style="6" min="21" max="21"/>
    <col width="4.7109375" customWidth="1" style="6" min="22" max="23"/>
    <col width="9.28125" customWidth="1" style="6" min="24" max="24"/>
    <col width="13.421875" customWidth="1" style="6" min="25" max="25"/>
    <col width="48.57421875" customWidth="1" style="6" min="26" max="26"/>
    <col width="47.28125" customWidth="1" style="6" min="27" max="27"/>
  </cols>
  <sheetData>
    <row r="1" ht="21.7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MACEDONIA GARDEN | GREEN = Affordable Comps | BLUE = Market Rate Comps</t>
        </is>
      </c>
    </row>
    <row r="4" ht="20.25" customFormat="1" customHeight="1" s="6">
      <c r="A4" s="2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Macedonia Garden (SUBJECT)</t>
        </is>
      </c>
      <c r="D7" s="26" t="inlineStr">
        <is>
          <t>1722 W 17th Street</t>
        </is>
      </c>
      <c r="E7" s="26" t="inlineStr">
        <is>
          <t>Panama City</t>
        </is>
      </c>
      <c r="F7" s="26" t="inlineStr">
        <is>
          <t>FL</t>
        </is>
      </c>
      <c r="G7" s="26" t="inlineStr">
        <is>
          <t>32405</t>
        </is>
      </c>
      <c r="H7" s="26" t="inlineStr">
        <is>
          <t>0.0 mi</t>
        </is>
      </c>
      <c r="I7" s="26" t="inlineStr">
        <is>
          <t>$3,529</t>
        </is>
      </c>
      <c r="J7" s="26" t="inlineStr">
        <is>
          <t>$4,235</t>
        </is>
      </c>
      <c r="K7" s="28" t="inlineStr">
        <is>
          <t>$1,426</t>
        </is>
      </c>
      <c r="L7" s="29" t="inlineStr">
        <is>
          <t>N/A</t>
        </is>
      </c>
      <c r="M7" s="26" t="inlineStr">
        <is>
          <t>$3,920</t>
        </is>
      </c>
      <c r="N7" s="26" t="inlineStr">
        <is>
          <t>$4,705</t>
        </is>
      </c>
      <c r="O7" s="28" t="inlineStr">
        <is>
          <t>$1,818</t>
        </is>
      </c>
      <c r="P7" s="29" t="inlineStr">
        <is>
          <t>N/A</t>
        </is>
      </c>
      <c r="Q7" s="26" t="inlineStr">
        <is>
          <t>100</t>
        </is>
      </c>
      <c r="R7" s="26" t="n">
        <v>2022</v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100 units | Section 8/HUD property. Year built: 1969.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Bay County Housing Authority - Millville Homes</t>
        </is>
      </c>
      <c r="D8" s="31" t="inlineStr">
        <is>
          <t>2200 W 11th St</t>
        </is>
      </c>
      <c r="E8" s="31" t="inlineStr">
        <is>
          <t>Panama City</t>
        </is>
      </c>
      <c r="F8" s="31" t="inlineStr">
        <is>
          <t>FL</t>
        </is>
      </c>
      <c r="G8" s="31" t="inlineStr">
        <is>
          <t>32401</t>
        </is>
      </c>
      <c r="H8" s="31" t="inlineStr">
        <is>
          <t>3.2 mi</t>
        </is>
      </c>
      <c r="I8" s="31" t="inlineStr">
        <is>
          <t>$3,529</t>
        </is>
      </c>
      <c r="J8" s="31" t="inlineStr">
        <is>
          <t>$4,235</t>
        </is>
      </c>
      <c r="K8" s="33" t="inlineStr">
        <is>
          <t>$1,426</t>
        </is>
      </c>
      <c r="L8" s="34" t="inlineStr">
        <is>
          <t>Not Listed</t>
        </is>
      </c>
      <c r="M8" s="31" t="inlineStr">
        <is>
          <t>$3,920</t>
        </is>
      </c>
      <c r="N8" s="31" t="inlineStr">
        <is>
          <t>$4,705</t>
        </is>
      </c>
      <c r="O8" s="33" t="inlineStr">
        <is>
          <t>$1,818</t>
        </is>
      </c>
      <c r="P8" s="34" t="inlineStr">
        <is>
          <t>Not Listed</t>
        </is>
      </c>
      <c r="Q8" s="31" t="inlineStr">
        <is>
          <t>100</t>
        </is>
      </c>
      <c r="R8" s="31" t="inlineStr">
        <is>
          <t>1969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Public Housing/HUD property, 1969 vintage (0 yr diff), 100 units, 3.2 mi from subject. Same income-eligible renter pool.</t>
        </is>
      </c>
      <c r="AA8" s="31" t="inlineStr">
        <is>
          <t>Bay County Housing Authority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Pensacola Housing Authority - Attucks Court</t>
        </is>
      </c>
      <c r="D9" s="36" t="inlineStr">
        <is>
          <t>600 N Hayne St</t>
        </is>
      </c>
      <c r="E9" s="36" t="inlineStr">
        <is>
          <t>Pensacola</t>
        </is>
      </c>
      <c r="F9" s="36" t="inlineStr">
        <is>
          <t>FL</t>
        </is>
      </c>
      <c r="G9" s="36" t="inlineStr">
        <is>
          <t>32501</t>
        </is>
      </c>
      <c r="H9" s="36" t="inlineStr">
        <is>
          <t>95.0 mi</t>
        </is>
      </c>
      <c r="I9" s="36" t="inlineStr">
        <is>
          <t>$3,529</t>
        </is>
      </c>
      <c r="J9" s="36" t="inlineStr">
        <is>
          <t>$4,235</t>
        </is>
      </c>
      <c r="K9" s="33" t="inlineStr">
        <is>
          <t>$1,426</t>
        </is>
      </c>
      <c r="L9" s="34" t="inlineStr">
        <is>
          <t>Not Listed</t>
        </is>
      </c>
      <c r="M9" s="36" t="inlineStr">
        <is>
          <t>$3,920</t>
        </is>
      </c>
      <c r="N9" s="36" t="inlineStr">
        <is>
          <t>$4,705</t>
        </is>
      </c>
      <c r="O9" s="33" t="inlineStr">
        <is>
          <t>$1,818</t>
        </is>
      </c>
      <c r="P9" s="34" t="inlineStr">
        <is>
          <t>Not Listed</t>
        </is>
      </c>
      <c r="Q9" s="36" t="inlineStr">
        <is>
          <t>96</t>
        </is>
      </c>
      <c r="R9" s="36" t="inlineStr">
        <is>
          <t>1970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90" t="inlineStr">
        <is>
          <t>LOW-MODERATE</t>
        </is>
      </c>
      <c r="Z9" s="37" t="inlineStr">
        <is>
          <t>Affordable Comp #2: Public Housing/HUD property, 1970 vintage (1 yr diff), 96 units, 95.0 mi from subject. Same income-eligible renter pool.</t>
        </is>
      </c>
      <c r="AA9" s="36" t="inlineStr">
        <is>
          <t>Pensacola Housing Authority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Tallahassee Housing Authority - Bond Homes</t>
        </is>
      </c>
      <c r="D10" s="39" t="inlineStr">
        <is>
          <t>1400 S Bronough St</t>
        </is>
      </c>
      <c r="E10" s="39" t="inlineStr">
        <is>
          <t>Tallahassee</t>
        </is>
      </c>
      <c r="F10" s="39" t="inlineStr">
        <is>
          <t>FL</t>
        </is>
      </c>
      <c r="G10" s="39" t="inlineStr">
        <is>
          <t>32301</t>
        </is>
      </c>
      <c r="H10" s="39" t="inlineStr">
        <is>
          <t>100.0 mi</t>
        </is>
      </c>
      <c r="I10" s="39" t="inlineStr">
        <is>
          <t>$3,529</t>
        </is>
      </c>
      <c r="J10" s="39" t="inlineStr">
        <is>
          <t>$4,235</t>
        </is>
      </c>
      <c r="K10" s="33" t="inlineStr">
        <is>
          <t>$1,426</t>
        </is>
      </c>
      <c r="L10" s="34" t="inlineStr">
        <is>
          <t>Not Listed</t>
        </is>
      </c>
      <c r="M10" s="39" t="inlineStr">
        <is>
          <t>$3,920</t>
        </is>
      </c>
      <c r="N10" s="39" t="inlineStr">
        <is>
          <t>$4,705</t>
        </is>
      </c>
      <c r="O10" s="33" t="inlineStr">
        <is>
          <t>$1,818</t>
        </is>
      </c>
      <c r="P10" s="34" t="inlineStr">
        <is>
          <t>Not Listed</t>
        </is>
      </c>
      <c r="Q10" s="39" t="inlineStr">
        <is>
          <t>104</t>
        </is>
      </c>
      <c r="R10" s="39" t="inlineStr">
        <is>
          <t>1968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91" t="inlineStr">
        <is>
          <t>LOW-MODERATE</t>
        </is>
      </c>
      <c r="Z10" s="40" t="inlineStr">
        <is>
          <t>Affordable Comp #3: Public Housing/HUD property, 1968 vintage (1 yr diff), 104 units, 100.0 mi from subject. Same income-eligible renter pool.</t>
        </is>
      </c>
      <c r="AA10" s="39" t="inlineStr">
        <is>
          <t>Tallahassee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Panama City Beach Housing Authority</t>
        </is>
      </c>
      <c r="D11" s="31" t="inlineStr">
        <is>
          <t>800 Thomas Dr</t>
        </is>
      </c>
      <c r="E11" s="31" t="inlineStr">
        <is>
          <t>Panama City Beach</t>
        </is>
      </c>
      <c r="F11" s="31" t="inlineStr">
        <is>
          <t>FL</t>
        </is>
      </c>
      <c r="G11" s="31" t="inlineStr">
        <is>
          <t>32408</t>
        </is>
      </c>
      <c r="H11" s="31" t="inlineStr">
        <is>
          <t>8.5 mi</t>
        </is>
      </c>
      <c r="I11" s="31" t="inlineStr">
        <is>
          <t>$3,529</t>
        </is>
      </c>
      <c r="J11" s="31" t="inlineStr">
        <is>
          <t>$4,235</t>
        </is>
      </c>
      <c r="K11" s="33" t="inlineStr">
        <is>
          <t>$1,426</t>
        </is>
      </c>
      <c r="L11" s="34" t="inlineStr">
        <is>
          <t>Not Listed</t>
        </is>
      </c>
      <c r="M11" s="31" t="inlineStr">
        <is>
          <t>$3,920</t>
        </is>
      </c>
      <c r="N11" s="31" t="inlineStr">
        <is>
          <t>$4,705</t>
        </is>
      </c>
      <c r="O11" s="33" t="inlineStr">
        <is>
          <t>$1,818</t>
        </is>
      </c>
      <c r="P11" s="34" t="inlineStr">
        <is>
          <t>Not Listed</t>
        </is>
      </c>
      <c r="Q11" s="31" t="inlineStr">
        <is>
          <t>88</t>
        </is>
      </c>
      <c r="R11" s="31" t="inlineStr">
        <is>
          <t>1970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Section 8/HUD property, 1970 vintage (1 yr diff), 88 units, 8.5 mi from subject. Same income-eligible renter pool.</t>
        </is>
      </c>
      <c r="AA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Bay Breeze Apartments</t>
        </is>
      </c>
      <c r="D12" s="42" t="inlineStr">
        <is>
          <t>2300 W 15th St, Panama City, FL 32401</t>
        </is>
      </c>
      <c r="E12" s="42" t="inlineStr">
        <is>
          <t>Panama City</t>
        </is>
      </c>
      <c r="F12" s="42" t="inlineStr">
        <is>
          <t>FL</t>
        </is>
      </c>
      <c r="G12" s="42" t="n"/>
      <c r="H12" s="42" t="inlineStr">
        <is>
          <t>2.3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$1,426</t>
        </is>
      </c>
      <c r="L12" s="34" t="inlineStr">
        <is>
          <t>$1,050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$1,818</t>
        </is>
      </c>
      <c r="P12" s="34" t="inlineStr">
        <is>
          <t>$1,350</t>
        </is>
      </c>
      <c r="Q12" s="42" t="inlineStr">
        <is>
          <t>88</t>
        </is>
      </c>
      <c r="R12" s="42" t="inlineStr">
        <is>
          <t>1972</t>
        </is>
      </c>
      <c r="S12" s="42" t="inlineStr">
        <is>
          <t>3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1972 vintage (3 yr diff), 88 units, 2.3 mi from subject. Shows market-rate rents vs. affordable housing discount.</t>
        </is>
      </c>
      <c r="AA12" s="42" t="inlineStr">
        <is>
          <t>https://www.rentcafe.com/apartments-for-rent/us/fl/panama-city/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Cove Apartments</t>
        </is>
      </c>
      <c r="D13" s="45" t="inlineStr">
        <is>
          <t>1800 E 4th St, Panama City, FL 32401</t>
        </is>
      </c>
      <c r="E13" s="45" t="inlineStr">
        <is>
          <t>Panama City</t>
        </is>
      </c>
      <c r="F13" s="45" t="inlineStr">
        <is>
          <t>FL</t>
        </is>
      </c>
      <c r="G13" s="45" t="n"/>
      <c r="H13" s="45" t="inlineStr">
        <is>
          <t>3.1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$1,426</t>
        </is>
      </c>
      <c r="L13" s="34" t="inlineStr">
        <is>
          <t>$1,025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$1,818</t>
        </is>
      </c>
      <c r="P13" s="34" t="inlineStr">
        <is>
          <t>$1,300</t>
        </is>
      </c>
      <c r="Q13" s="45" t="inlineStr">
        <is>
          <t>72</t>
        </is>
      </c>
      <c r="R13" s="45" t="inlineStr">
        <is>
          <t>1968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1968 vintage (1 yr diff), 72 units, 3.1 mi from subject. Shows market-rate rents vs. affordable housing discount.</t>
        </is>
      </c>
      <c r="AA13" s="45" t="inlineStr">
        <is>
          <t>https://www.rentcafe.com/apartments-for-rent/us/fl/panama-city/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Magnolia Terrace Apartments</t>
        </is>
      </c>
      <c r="D14" s="48" t="inlineStr">
        <is>
          <t>3400 Minnesota Ave, Lynn Haven, FL 32444</t>
        </is>
      </c>
      <c r="E14" s="48" t="inlineStr">
        <is>
          <t>Lynn Haven</t>
        </is>
      </c>
      <c r="F14" s="48" t="inlineStr">
        <is>
          <t>FL</t>
        </is>
      </c>
      <c r="G14" s="48" t="n"/>
      <c r="H14" s="48" t="inlineStr">
        <is>
          <t>5.5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$1,426</t>
        </is>
      </c>
      <c r="L14" s="34" t="inlineStr">
        <is>
          <t>$1,100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$1,818</t>
        </is>
      </c>
      <c r="P14" s="34" t="inlineStr">
        <is>
          <t>$1,400</t>
        </is>
      </c>
      <c r="Q14" s="48" t="inlineStr">
        <is>
          <t>100</t>
        </is>
      </c>
      <c r="R14" s="48" t="inlineStr">
        <is>
          <t>1975</t>
        </is>
      </c>
      <c r="S14" s="48" t="inlineStr">
        <is>
          <t>6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1975 vintage (6 yr diff), 100 units, 5.5 mi from subject. Shows market-rate rents vs. affordable housing discount.</t>
        </is>
      </c>
      <c r="AA14" s="48" t="inlineStr">
        <is>
          <t>https://www.rentcafe.com/apartments-for-rent/us/fl/lynn-haven/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Parker Apartments</t>
        </is>
      </c>
      <c r="D15" s="42" t="inlineStr">
        <is>
          <t>2100 E 23rd St, Panama City, FL 32405</t>
        </is>
      </c>
      <c r="E15" s="42" t="inlineStr">
        <is>
          <t>Panama City</t>
        </is>
      </c>
      <c r="F15" s="42" t="inlineStr">
        <is>
          <t>FL</t>
        </is>
      </c>
      <c r="G15" s="42" t="n"/>
      <c r="H15" s="42" t="inlineStr">
        <is>
          <t>4.2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$1,426</t>
        </is>
      </c>
      <c r="L15" s="34" t="inlineStr">
        <is>
          <t>$1,075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$1,818</t>
        </is>
      </c>
      <c r="P15" s="34" t="inlineStr">
        <is>
          <t>$1,375</t>
        </is>
      </c>
      <c r="Q15" s="42" t="inlineStr">
        <is>
          <t>56</t>
        </is>
      </c>
      <c r="R15" s="42" t="inlineStr">
        <is>
          <t>1971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1971 vintage (2 yr diff), 56 units, 4.2 mi from subject. Shows market-rate rents vs. affordable housing discount.</t>
        </is>
      </c>
      <c r="AA15" s="42" t="inlineStr">
        <is>
          <t>https://www.rentcafe.com/apartments-for-rent/us/fl/panama-city/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Panama City, FL MSA</t>
        </is>
      </c>
      <c r="D16" s="51" t="inlineStr">
        <is>
          <t>N/A</t>
        </is>
      </c>
      <c r="E16" s="51" t="inlineStr">
        <is>
          <t>Panama City</t>
        </is>
      </c>
      <c r="F16" s="51" t="inlineStr">
        <is>
          <t>FL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$1,426</t>
        </is>
      </c>
      <c r="J16" s="51" t="inlineStr">
        <is>
          <t>$1,426</t>
        </is>
      </c>
      <c r="K16" s="33" t="inlineStr">
        <is>
          <t>$1,426</t>
        </is>
      </c>
      <c r="L16" s="34" t="inlineStr">
        <is>
          <t>N/A</t>
        </is>
      </c>
      <c r="M16" s="51" t="inlineStr">
        <is>
          <t>$1,818</t>
        </is>
      </c>
      <c r="N16" s="51" t="inlineStr">
        <is>
          <t>$1,818</t>
        </is>
      </c>
      <c r="O16" s="33" t="inlineStr">
        <is>
          <t>$1,818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Panama City</t>
        </is>
      </c>
      <c r="D17" s="51" t="inlineStr">
        <is>
          <t>N/A</t>
        </is>
      </c>
      <c r="E17" s="51" t="inlineStr">
        <is>
          <t>Panama City</t>
        </is>
      </c>
      <c r="F17" s="51" t="inlineStr">
        <is>
          <t>FL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$1,568</t>
        </is>
      </c>
      <c r="J17" s="51" t="inlineStr">
        <is>
          <t>$1,568</t>
        </is>
      </c>
      <c r="K17" s="33" t="inlineStr">
        <is>
          <t>$1,568</t>
        </is>
      </c>
      <c r="L17" s="34" t="inlineStr">
        <is>
          <t>N/A</t>
        </is>
      </c>
      <c r="M17" s="51" t="inlineStr">
        <is>
          <t>$1,999</t>
        </is>
      </c>
      <c r="N17" s="51" t="inlineStr">
        <is>
          <t>$1,999</t>
        </is>
      </c>
      <c r="O17" s="33" t="inlineStr">
        <is>
          <t>$1,999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2BD</t>
        </is>
      </c>
      <c r="B28" s="74" t="n">
        <v>0</v>
      </c>
      <c r="C28" s="74" t="n">
        <v>0</v>
      </c>
      <c r="D28" s="74" t="n">
        <v>1620</v>
      </c>
      <c r="E28" s="75" t="n">
        <v>127</v>
      </c>
      <c r="F28" s="76" t="n">
        <v>1493</v>
      </c>
    </row>
    <row r="29" ht="15" customFormat="1" customHeight="1" s="3">
      <c r="A29" s="77" t="inlineStr">
        <is>
          <t>3BD</t>
        </is>
      </c>
      <c r="B29" s="78" t="n">
        <v>0</v>
      </c>
      <c r="C29" s="78" t="n">
        <v>0</v>
      </c>
      <c r="D29" s="78" t="n">
        <v>2150</v>
      </c>
      <c r="E29" s="75" t="n">
        <v>150</v>
      </c>
      <c r="F29" s="76" t="n">
        <v>2000</v>
      </c>
    </row>
    <row r="32" ht="15" customFormat="1" customHeight="1" s="3">
      <c r="A32" s="64" t="inlineStr">
        <is>
          <t>HAP, CoStar, NET</t>
        </is>
      </c>
      <c r="B32" s="104" t="n"/>
      <c r="C32" s="105" t="n"/>
    </row>
    <row r="33" ht="15" customFormat="1" customHeight="1" s="3">
      <c r="A33" s="67" t="n"/>
      <c r="B33" s="71" t="inlineStr">
        <is>
          <t>HAP</t>
        </is>
      </c>
      <c r="C33" s="68" t="inlineStr">
        <is>
          <t>CoStar</t>
        </is>
      </c>
    </row>
    <row r="34" ht="15" customFormat="1" customHeight="1" s="3">
      <c r="A34" s="73" t="inlineStr">
        <is>
          <t>2BD</t>
        </is>
      </c>
      <c r="B34" s="106" t="n">
        <v>1390</v>
      </c>
      <c r="C34" s="107" t="n">
        <v>1401</v>
      </c>
    </row>
    <row r="35" ht="15" customFormat="1" customHeight="1" s="3">
      <c r="A35" s="77" t="inlineStr">
        <is>
          <t>3BD</t>
        </is>
      </c>
      <c r="B35" s="106" t="n">
        <v>1545</v>
      </c>
      <c r="C35" s="107" t="n">
        <v>1614</v>
      </c>
    </row>
  </sheetData>
  <mergeCells count="6">
    <mergeCell ref="A4:AA4"/>
    <mergeCell ref="A3:AA3"/>
    <mergeCell ref="A32:C32"/>
    <mergeCell ref="A19:AA19"/>
    <mergeCell ref="A26:F26"/>
    <mergeCell ref="A5:AA5"/>
  </mergeCells>
  <hyperlinks>
    <hyperlink xmlns:r="http://schemas.openxmlformats.org/officeDocument/2006/relationships" ref="AA12" display="https://www.rentcafe.com/apartments-for-rent/us/fl/panama-city/" r:id="rId1"/>
    <hyperlink xmlns:r="http://schemas.openxmlformats.org/officeDocument/2006/relationships" ref="AA13" display="https://www.rentcafe.com/apartments-for-rent/us/fl/panama-city/" r:id="rId2"/>
    <hyperlink xmlns:r="http://schemas.openxmlformats.org/officeDocument/2006/relationships" ref="AA14" display="https://www.rentcafe.com/apartments-for-rent/us/fl/lynn-haven/" r:id="rId3"/>
    <hyperlink xmlns:r="http://schemas.openxmlformats.org/officeDocument/2006/relationships" ref="AA15" display="https://www.rentcafe.com/apartments-for-rent/us/fl/panama-city/" r:id="rId4"/>
  </hyperlink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theme="3" tint="0.4"/>
    <outlinePr summaryBelow="1" summaryRight="1"/>
    <pageSetUpPr/>
  </sheetPr>
  <dimension ref="A1:AA47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CORAL VILLAGE | GREEN = Affordable Comps | BLUE = Market Rate Comps</t>
        </is>
      </c>
    </row>
    <row r="4" ht="20.25" customFormat="1" customHeight="1" s="6">
      <c r="A4" s="21" t="inlineStr">
        <is>
          <t>SUBJECT: Coral Village | Cape Coral, Cape Coral, FL 33990 | 72 units | Program: Section 8/HUD | Bedroom Mix: 1BR / 2BR | County AMI: $92,500 | FMR Area: Cape Coral-Fort Myers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Coral Village (SUBJECT)</t>
        </is>
      </c>
      <c r="D7" s="26" t="inlineStr">
        <is>
          <t>Cape Coral</t>
        </is>
      </c>
      <c r="E7" s="26" t="inlineStr">
        <is>
          <t>Cape Coral</t>
        </is>
      </c>
      <c r="F7" s="26" t="inlineStr">
        <is>
          <t>FL</t>
        </is>
      </c>
      <c r="G7" s="26" t="inlineStr">
        <is>
          <t>33990</t>
        </is>
      </c>
      <c r="H7" s="26" t="inlineStr">
        <is>
          <t>0.0 mi</t>
        </is>
      </c>
      <c r="I7" s="26" t="inlineStr">
        <is>
          <t>$3,193</t>
        </is>
      </c>
      <c r="J7" s="26" t="inlineStr">
        <is>
          <t>$3,832</t>
        </is>
      </c>
      <c r="K7" s="28" t="inlineStr">
        <is>
          <t>$1,371</t>
        </is>
      </c>
      <c r="L7" s="29" t="inlineStr">
        <is>
          <t>N/A</t>
        </is>
      </c>
      <c r="M7" s="26" t="inlineStr">
        <is>
          <t>$3,829</t>
        </is>
      </c>
      <c r="N7" s="26" t="inlineStr">
        <is>
          <t>$4,595</t>
        </is>
      </c>
      <c r="O7" s="28" t="inlineStr">
        <is>
          <t>$1,876</t>
        </is>
      </c>
      <c r="P7" s="29" t="inlineStr">
        <is>
          <t>N/A</t>
        </is>
      </c>
      <c r="Q7" s="26" t="inlineStr">
        <is>
          <t>72</t>
        </is>
      </c>
      <c r="R7" s="26" t="inlineStr">
        <is>
          <t>1999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Yes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72 units | Section 8/HUD property. Year built: 1999.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Brittany Ii</t>
        </is>
      </c>
      <c r="D8" s="31" t="inlineStr">
        <is>
          <t>4050 Winkler Ave Ext</t>
        </is>
      </c>
      <c r="E8" s="31" t="inlineStr">
        <is>
          <t>Fort Myers</t>
        </is>
      </c>
      <c r="F8" s="31" t="inlineStr">
        <is>
          <t>FL</t>
        </is>
      </c>
      <c r="G8" s="31" t="inlineStr">
        <is>
          <t>33916</t>
        </is>
      </c>
      <c r="H8" s="31" t="inlineStr">
        <is>
          <t>8.0 mi</t>
        </is>
      </c>
      <c r="I8" s="31" t="inlineStr">
        <is>
          <t>$3,193</t>
        </is>
      </c>
      <c r="J8" s="31" t="inlineStr">
        <is>
          <t>$3,832</t>
        </is>
      </c>
      <c r="K8" s="33" t="inlineStr">
        <is>
          <t>$1,371</t>
        </is>
      </c>
      <c r="L8" s="34" t="inlineStr">
        <is>
          <t>Not Listed</t>
        </is>
      </c>
      <c r="M8" s="31" t="inlineStr">
        <is>
          <t>$3,829</t>
        </is>
      </c>
      <c r="N8" s="31" t="inlineStr">
        <is>
          <t>$4,595</t>
        </is>
      </c>
      <c r="O8" s="33" t="inlineStr">
        <is>
          <t>$1,876</t>
        </is>
      </c>
      <c r="P8" s="34" t="inlineStr">
        <is>
          <t>Not Listed</t>
        </is>
      </c>
      <c r="Q8" s="31" t="inlineStr">
        <is>
          <t>112</t>
        </is>
      </c>
      <c r="R8" s="31" t="inlineStr">
        <is>
          <t>2000</t>
        </is>
      </c>
      <c r="S8" s="31" t="inlineStr">
        <is>
          <t>1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2000 vintage (1 yr diff), 112 units, 8.0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Brittany</t>
        </is>
      </c>
      <c r="D9" s="36" t="inlineStr">
        <is>
          <t>4054 Winkler Ave</t>
        </is>
      </c>
      <c r="E9" s="36" t="inlineStr">
        <is>
          <t>Fort Myers</t>
        </is>
      </c>
      <c r="F9" s="36" t="inlineStr">
        <is>
          <t>FL</t>
        </is>
      </c>
      <c r="G9" s="36" t="inlineStr">
        <is>
          <t>33916</t>
        </is>
      </c>
      <c r="H9" s="36" t="inlineStr">
        <is>
          <t>7.9 mi</t>
        </is>
      </c>
      <c r="I9" s="36" t="inlineStr">
        <is>
          <t>$3,193</t>
        </is>
      </c>
      <c r="J9" s="36" t="inlineStr">
        <is>
          <t>$3,832</t>
        </is>
      </c>
      <c r="K9" s="33" t="inlineStr">
        <is>
          <t>$1,371</t>
        </is>
      </c>
      <c r="L9" s="34" t="inlineStr">
        <is>
          <t>Not Listed</t>
        </is>
      </c>
      <c r="M9" s="36" t="inlineStr">
        <is>
          <t>$3,829</t>
        </is>
      </c>
      <c r="N9" s="36" t="inlineStr">
        <is>
          <t>$4,595</t>
        </is>
      </c>
      <c r="O9" s="33" t="inlineStr">
        <is>
          <t>$1,876</t>
        </is>
      </c>
      <c r="P9" s="34" t="inlineStr">
        <is>
          <t>Not Listed</t>
        </is>
      </c>
      <c r="Q9" s="36" t="inlineStr">
        <is>
          <t>208</t>
        </is>
      </c>
      <c r="R9" s="36" t="inlineStr">
        <is>
          <t>1999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1999 vintage (0 yr diff), 208 units, 7.9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Crossings At Cape Coral</t>
        </is>
      </c>
      <c r="D10" s="39" t="inlineStr">
        <is>
          <t>1150 Hancock Crk Blvd</t>
        </is>
      </c>
      <c r="E10" s="39" t="inlineStr">
        <is>
          <t>Cape Coral</t>
        </is>
      </c>
      <c r="F10" s="39" t="inlineStr">
        <is>
          <t>FL</t>
        </is>
      </c>
      <c r="G10" s="39" t="inlineStr">
        <is>
          <t>33909</t>
        </is>
      </c>
      <c r="H10" s="39" t="inlineStr">
        <is>
          <t>7.7 mi</t>
        </is>
      </c>
      <c r="I10" s="39" t="inlineStr">
        <is>
          <t>$3,193</t>
        </is>
      </c>
      <c r="J10" s="39" t="inlineStr">
        <is>
          <t>$3,832</t>
        </is>
      </c>
      <c r="K10" s="33" t="inlineStr">
        <is>
          <t>$1,371</t>
        </is>
      </c>
      <c r="L10" s="34" t="inlineStr">
        <is>
          <t>Not Listed</t>
        </is>
      </c>
      <c r="M10" s="39" t="inlineStr">
        <is>
          <t>$3,829</t>
        </is>
      </c>
      <c r="N10" s="39" t="inlineStr">
        <is>
          <t>$4,595</t>
        </is>
      </c>
      <c r="O10" s="33" t="inlineStr">
        <is>
          <t>$1,876</t>
        </is>
      </c>
      <c r="P10" s="34" t="inlineStr">
        <is>
          <t>$1,224</t>
        </is>
      </c>
      <c r="Q10" s="39" t="inlineStr">
        <is>
          <t>168</t>
        </is>
      </c>
      <c r="R10" s="39" t="inlineStr">
        <is>
          <t>2000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2000 vintage (1 yr diff), 168 units, 7.7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Westchase</t>
        </is>
      </c>
      <c r="D11" s="31" t="inlineStr">
        <is>
          <t>3810 Metro Pkwy</t>
        </is>
      </c>
      <c r="E11" s="31" t="inlineStr">
        <is>
          <t>Ft Myers</t>
        </is>
      </c>
      <c r="F11" s="31" t="inlineStr">
        <is>
          <t>FL</t>
        </is>
      </c>
      <c r="G11" s="31" t="inlineStr">
        <is>
          <t>33916</t>
        </is>
      </c>
      <c r="H11" s="31" t="inlineStr">
        <is>
          <t>6.8 mi</t>
        </is>
      </c>
      <c r="I11" s="31" t="inlineStr">
        <is>
          <t>$3,193</t>
        </is>
      </c>
      <c r="J11" s="31" t="inlineStr">
        <is>
          <t>$3,832</t>
        </is>
      </c>
      <c r="K11" s="33" t="inlineStr">
        <is>
          <t>$1,371</t>
        </is>
      </c>
      <c r="L11" s="34" t="inlineStr">
        <is>
          <t>Not Listed</t>
        </is>
      </c>
      <c r="M11" s="31" t="inlineStr">
        <is>
          <t>$3,829</t>
        </is>
      </c>
      <c r="N11" s="31" t="inlineStr">
        <is>
          <t>$4,595</t>
        </is>
      </c>
      <c r="O11" s="33" t="inlineStr">
        <is>
          <t>$1,876</t>
        </is>
      </c>
      <c r="P11" s="34" t="inlineStr">
        <is>
          <t>Not Listed</t>
        </is>
      </c>
      <c r="Q11" s="31" t="inlineStr">
        <is>
          <t>352</t>
        </is>
      </c>
      <c r="R11" s="31" t="inlineStr">
        <is>
          <t>1999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LIHTC property, 1999 vintage (0 yr diff), 352 units, 6.8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Arborwood Preserve Apartments</t>
        </is>
      </c>
      <c r="D12" s="42" t="inlineStr">
        <is>
          <t>11621 Arborwood Preserve Blvd, Fort Myers, FL 33913</t>
        </is>
      </c>
      <c r="E12" s="42" t="inlineStr">
        <is>
          <t>Fort Myers</t>
        </is>
      </c>
      <c r="F12" s="42" t="inlineStr">
        <is>
          <t>FL</t>
        </is>
      </c>
      <c r="G12" s="42" t="n"/>
      <c r="H12" s="42" t="inlineStr">
        <is>
          <t>12.5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$1,371</t>
        </is>
      </c>
      <c r="L12" s="34" t="inlineStr">
        <is>
          <t>$1,350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$1,876</t>
        </is>
      </c>
      <c r="P12" s="34" t="inlineStr">
        <is>
          <t>$1,650</t>
        </is>
      </c>
      <c r="Q12" s="42" t="inlineStr">
        <is>
          <t>300</t>
        </is>
      </c>
      <c r="R12" s="42" t="inlineStr">
        <is>
          <t>2000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2000 vintage (1 yr diff), 300 units, 12.5 mi from subject. Shows market-rate rents vs. affordable housing discount.</t>
        </is>
      </c>
      <c r="AA12" s="42" t="inlineStr">
        <is>
          <t>https://www.rentcafe.com/apartments-for-rent/us/fl/fort-myers/arborwood-preserve/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Palmetto Point Apartments</t>
        </is>
      </c>
      <c r="D13" s="45" t="inlineStr">
        <is>
          <t>1900 SE 16th Pl, Cape Coral, FL 33990</t>
        </is>
      </c>
      <c r="E13" s="45" t="inlineStr">
        <is>
          <t>Cape Coral</t>
        </is>
      </c>
      <c r="F13" s="45" t="inlineStr">
        <is>
          <t>FL</t>
        </is>
      </c>
      <c r="G13" s="45" t="n"/>
      <c r="H13" s="45" t="inlineStr">
        <is>
          <t>3.2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$1,371</t>
        </is>
      </c>
      <c r="L13" s="34" t="inlineStr">
        <is>
          <t>$1,275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$1,876</t>
        </is>
      </c>
      <c r="P13" s="34" t="inlineStr">
        <is>
          <t>$1,575</t>
        </is>
      </c>
      <c r="Q13" s="45" t="inlineStr">
        <is>
          <t>148</t>
        </is>
      </c>
      <c r="R13" s="45" t="inlineStr">
        <is>
          <t>1998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1998 vintage (1 yr diff), 148 units, 3.2 mi from subject. Shows market-rate rents vs. affordable housing discount.</t>
        </is>
      </c>
      <c r="AA13" s="45" t="inlineStr">
        <is>
          <t>https://www.rentcafe.com/apartments-for-rent/us/fl/cape-coral/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Oasis At Surfside Apartments</t>
        </is>
      </c>
      <c r="D14" s="48" t="inlineStr">
        <is>
          <t>2828 SW Pine Island Rd, Cape Coral, FL 33991</t>
        </is>
      </c>
      <c r="E14" s="48" t="inlineStr">
        <is>
          <t>Cape Coral</t>
        </is>
      </c>
      <c r="F14" s="48" t="inlineStr">
        <is>
          <t>FL</t>
        </is>
      </c>
      <c r="G14" s="48" t="n"/>
      <c r="H14" s="48" t="inlineStr">
        <is>
          <t>4.8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$1,371</t>
        </is>
      </c>
      <c r="L14" s="34" t="inlineStr">
        <is>
          <t>$1,395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$1,876</t>
        </is>
      </c>
      <c r="P14" s="34" t="inlineStr">
        <is>
          <t>$1,695</t>
        </is>
      </c>
      <c r="Q14" s="48" t="inlineStr">
        <is>
          <t>200</t>
        </is>
      </c>
      <c r="R14" s="48" t="inlineStr">
        <is>
          <t>2002</t>
        </is>
      </c>
      <c r="S14" s="48" t="inlineStr">
        <is>
          <t>3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2002 vintage (3 yr diff), 200 units, 4.8 mi from subject. Shows market-rate rents vs. affordable housing discount.</t>
        </is>
      </c>
      <c r="AA14" s="48" t="inlineStr">
        <is>
          <t>https://www.rentcafe.com/apartments-for-rent/us/fl/cape-coral/oasis-at-surfside/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Cape Coral Market Apartments</t>
        </is>
      </c>
      <c r="D15" s="42" t="inlineStr">
        <is>
          <t>3200 Del Prado Blvd S, Cape Coral, FL 33904</t>
        </is>
      </c>
      <c r="E15" s="42" t="inlineStr">
        <is>
          <t>Cape Coral</t>
        </is>
      </c>
      <c r="F15" s="42" t="inlineStr">
        <is>
          <t>FL</t>
        </is>
      </c>
      <c r="G15" s="42" t="n"/>
      <c r="H15" s="42" t="inlineStr">
        <is>
          <t>6.1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$1,371</t>
        </is>
      </c>
      <c r="L15" s="34" t="inlineStr">
        <is>
          <t>$1,325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$1,876</t>
        </is>
      </c>
      <c r="P15" s="34" t="inlineStr">
        <is>
          <t>$1,625</t>
        </is>
      </c>
      <c r="Q15" s="42" t="inlineStr">
        <is>
          <t>112</t>
        </is>
      </c>
      <c r="R15" s="42" t="inlineStr">
        <is>
          <t>2001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2001 vintage (2 yr diff), 112 units, 6.1 mi from subject. Shows market-rate rents vs. affordable housing discount.</t>
        </is>
      </c>
      <c r="AA15" s="42" t="inlineStr">
        <is>
          <t>https://www.rentcafe.com/apartments-for-rent/us/fl/cape-coral/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Cape Coral-Fort Myers MSA</t>
        </is>
      </c>
      <c r="D16" s="51" t="inlineStr">
        <is>
          <t>N/A</t>
        </is>
      </c>
      <c r="E16" s="51" t="inlineStr">
        <is>
          <t>Cape Coral</t>
        </is>
      </c>
      <c r="F16" s="51" t="inlineStr">
        <is>
          <t>FL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$1,371</t>
        </is>
      </c>
      <c r="J16" s="51" t="inlineStr">
        <is>
          <t>$1,371</t>
        </is>
      </c>
      <c r="K16" s="33" t="inlineStr">
        <is>
          <t>$1,371</t>
        </is>
      </c>
      <c r="L16" s="34" t="inlineStr">
        <is>
          <t>N/A</t>
        </is>
      </c>
      <c r="M16" s="51" t="inlineStr">
        <is>
          <t>$1,876</t>
        </is>
      </c>
      <c r="N16" s="51" t="inlineStr">
        <is>
          <t>$1,876</t>
        </is>
      </c>
      <c r="O16" s="33" t="inlineStr">
        <is>
          <t>$1,876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Cape Coral</t>
        </is>
      </c>
      <c r="D17" s="51" t="inlineStr">
        <is>
          <t>N/A</t>
        </is>
      </c>
      <c r="E17" s="51" t="inlineStr">
        <is>
          <t>Cape Coral</t>
        </is>
      </c>
      <c r="F17" s="51" t="inlineStr">
        <is>
          <t>FL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$1,508</t>
        </is>
      </c>
      <c r="J17" s="51" t="inlineStr">
        <is>
          <t>$1,508</t>
        </is>
      </c>
      <c r="K17" s="33" t="inlineStr">
        <is>
          <t>$1,508</t>
        </is>
      </c>
      <c r="L17" s="34" t="inlineStr">
        <is>
          <t>N/A</t>
        </is>
      </c>
      <c r="M17" s="51" t="inlineStr">
        <is>
          <t>$2,063</t>
        </is>
      </c>
      <c r="N17" s="51" t="inlineStr">
        <is>
          <t>$2,063</t>
        </is>
      </c>
      <c r="O17" s="33" t="inlineStr">
        <is>
          <t>$2,063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1375</v>
      </c>
      <c r="C28" s="74" t="n">
        <v>1425</v>
      </c>
      <c r="D28" s="74" t="n">
        <v>1650</v>
      </c>
      <c r="E28" s="75" t="n">
        <v>89</v>
      </c>
      <c r="F28" s="76" t="n">
        <v>1561</v>
      </c>
    </row>
    <row r="29" ht="15" customFormat="1" customHeight="1" s="3">
      <c r="A29" s="77" t="inlineStr">
        <is>
          <t>2BD</t>
        </is>
      </c>
      <c r="B29" s="78" t="n">
        <v>0</v>
      </c>
      <c r="C29" s="78" t="n">
        <v>1625</v>
      </c>
      <c r="D29" s="78" t="n">
        <v>2040</v>
      </c>
      <c r="E29" s="75" t="n">
        <v>115</v>
      </c>
      <c r="F29" s="76" t="n">
        <v>1925</v>
      </c>
    </row>
    <row r="32" ht="15" customFormat="1" customHeight="1" s="3">
      <c r="A32" s="64" t="inlineStr">
        <is>
          <t>LIHTC, UAP, NET</t>
        </is>
      </c>
      <c r="B32" s="104" t="n"/>
      <c r="C32" s="104" t="n"/>
      <c r="D32" s="104" t="n"/>
      <c r="E32" s="105" t="n"/>
    </row>
    <row r="33" ht="15" customFormat="1" customHeight="1" s="3">
      <c r="A33" s="67" t="n"/>
      <c r="B33" s="68" t="inlineStr">
        <is>
          <t>LIHTC/MKT</t>
        </is>
      </c>
      <c r="C33" s="70" t="inlineStr">
        <is>
          <t>35%</t>
        </is>
      </c>
      <c r="D33" s="71" t="inlineStr">
        <is>
          <t>UAP</t>
        </is>
      </c>
      <c r="E33" s="72" t="inlineStr">
        <is>
          <t>NET</t>
        </is>
      </c>
    </row>
    <row r="34" ht="15" customFormat="1" customHeight="1" s="3">
      <c r="A34" s="73" t="inlineStr">
        <is>
          <t>1BD</t>
        </is>
      </c>
      <c r="B34" s="74" t="n">
        <v>670</v>
      </c>
      <c r="C34" s="74" t="n">
        <v>525</v>
      </c>
      <c r="D34" s="75" t="n">
        <v>89</v>
      </c>
      <c r="E34" s="76" t="n">
        <v>436</v>
      </c>
    </row>
    <row r="35" ht="15" customFormat="1" customHeight="1" s="3">
      <c r="A35" s="77" t="inlineStr">
        <is>
          <t>2BD</t>
        </is>
      </c>
      <c r="B35" s="78" t="n">
        <v>804</v>
      </c>
      <c r="C35" s="78" t="n">
        <v>621</v>
      </c>
      <c r="D35" s="75" t="n">
        <v>115</v>
      </c>
      <c r="E35" s="76" t="n">
        <v>506</v>
      </c>
    </row>
    <row r="36" ht="15" customFormat="1" customHeight="1" s="3">
      <c r="A36" s="67" t="n"/>
      <c r="B36" s="68" t="inlineStr">
        <is>
          <t>LIHTC/MKT</t>
        </is>
      </c>
      <c r="C36" s="70" t="inlineStr">
        <is>
          <t>50%</t>
        </is>
      </c>
      <c r="D36" s="71" t="inlineStr">
        <is>
          <t>UAP</t>
        </is>
      </c>
      <c r="E36" s="72" t="inlineStr">
        <is>
          <t>NET</t>
        </is>
      </c>
    </row>
    <row r="37" ht="15" customFormat="1" customHeight="1" s="3">
      <c r="A37" s="73" t="inlineStr">
        <is>
          <t>1BD</t>
        </is>
      </c>
      <c r="B37" s="74" t="n">
        <v>958</v>
      </c>
      <c r="C37" s="74" t="n">
        <v>788</v>
      </c>
      <c r="D37" s="75" t="n">
        <v>89</v>
      </c>
      <c r="E37" s="76" t="n">
        <v>699</v>
      </c>
    </row>
    <row r="38" ht="15" customFormat="1" customHeight="1" s="3">
      <c r="A38" s="77" t="inlineStr">
        <is>
          <t>2BD</t>
        </is>
      </c>
      <c r="B38" s="78" t="n">
        <v>1148</v>
      </c>
      <c r="C38" s="78" t="n">
        <v>937</v>
      </c>
      <c r="D38" s="75" t="n">
        <v>115</v>
      </c>
      <c r="E38" s="76" t="n">
        <v>822</v>
      </c>
    </row>
    <row r="39" ht="15" customFormat="1" customHeight="1" s="3">
      <c r="A39" s="67" t="n"/>
      <c r="B39" s="68" t="inlineStr">
        <is>
          <t>LIHTC/MKT</t>
        </is>
      </c>
      <c r="C39" s="70" t="inlineStr">
        <is>
          <t>60%</t>
        </is>
      </c>
      <c r="D39" s="71" t="inlineStr">
        <is>
          <t>UAP</t>
        </is>
      </c>
      <c r="E39" s="72" t="inlineStr">
        <is>
          <t>NET</t>
        </is>
      </c>
    </row>
    <row r="40" ht="15" customFormat="1" customHeight="1" s="3">
      <c r="A40" s="73" t="inlineStr">
        <is>
          <t>1BD</t>
        </is>
      </c>
      <c r="B40" s="74" t="n">
        <v>1149</v>
      </c>
      <c r="C40" s="74" t="n">
        <v>964</v>
      </c>
      <c r="D40" s="75" t="n">
        <v>89</v>
      </c>
      <c r="E40" s="76" t="n">
        <v>875</v>
      </c>
    </row>
    <row r="41" ht="15" customFormat="1" customHeight="1" s="3">
      <c r="A41" s="77" t="inlineStr">
        <is>
          <t>2BD</t>
        </is>
      </c>
      <c r="B41" s="78" t="n">
        <v>1378</v>
      </c>
      <c r="C41" s="78" t="n">
        <v>1148</v>
      </c>
      <c r="D41" s="75" t="n">
        <v>115</v>
      </c>
      <c r="E41" s="76" t="n">
        <v>1033</v>
      </c>
    </row>
    <row r="44" ht="15" customFormat="1" customHeight="1" s="3">
      <c r="A44" s="64" t="inlineStr">
        <is>
          <t>HAP, CoStar, NET</t>
        </is>
      </c>
      <c r="B44" s="104" t="n"/>
      <c r="C44" s="105" t="n"/>
    </row>
    <row r="45" ht="15" customFormat="1" customHeight="1" s="3">
      <c r="A45" s="67" t="n"/>
      <c r="B45" s="71" t="inlineStr">
        <is>
          <t>HAP</t>
        </is>
      </c>
      <c r="C45" s="68" t="inlineStr">
        <is>
          <t>CoStar</t>
        </is>
      </c>
    </row>
    <row r="46" ht="15" customFormat="1" customHeight="1" s="3">
      <c r="A46" s="73" t="inlineStr">
        <is>
          <t>1BD</t>
        </is>
      </c>
      <c r="B46" s="106" t="n">
        <v>1469</v>
      </c>
      <c r="C46" s="107" t="n">
        <v>1470</v>
      </c>
    </row>
    <row r="47" ht="15" customFormat="1" customHeight="1" s="3">
      <c r="A47" s="77" t="inlineStr">
        <is>
          <t>2BD</t>
        </is>
      </c>
      <c r="B47" s="106" t="n">
        <v>1821</v>
      </c>
      <c r="C47" s="107" t="n">
        <v>1790</v>
      </c>
    </row>
  </sheetData>
  <mergeCells count="7">
    <mergeCell ref="A4:AA4"/>
    <mergeCell ref="A44:C44"/>
    <mergeCell ref="A3:AA3"/>
    <mergeCell ref="A32:E32"/>
    <mergeCell ref="A19:AA19"/>
    <mergeCell ref="A26:F26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theme="3" tint="0.4"/>
    <outlinePr summaryBelow="1" summaryRight="1"/>
    <pageSetUpPr/>
  </sheetPr>
  <dimension ref="A1:AX39"/>
  <sheetViews>
    <sheetView topLeftCell="A1" zoomScale="59" workbookViewId="0">
      <pane ySplit="1" topLeftCell="A11" activePane="bottomLeft" state="frozen"/>
      <selection pane="bottomLeft" activeCell="A3" sqref="A3:AI3"/>
    </sheetView>
  </sheetViews>
  <sheetFormatPr baseColWidth="8" defaultColWidth="9.140625" defaultRowHeight="21.75" customHeight="1"/>
  <cols>
    <col width="4.00390625" customWidth="1" style="6" min="1" max="1"/>
    <col width="22.421875" customWidth="1" style="6" min="2" max="2"/>
    <col width="38.8515625" customWidth="1" style="6" min="3" max="3"/>
    <col width="18.8515625" customWidth="1" style="6" min="4" max="4"/>
    <col width="12.7109375" customWidth="1" style="6" min="5" max="5"/>
    <col width="4.140625" customWidth="1" style="6" min="6" max="6"/>
    <col width="4.8515625" customWidth="1" style="6" min="7" max="7"/>
    <col width="9.8515625" customWidth="1" style="6" min="8" max="8"/>
    <col width="13.140625" customWidth="1" style="6" min="9" max="10"/>
    <col width="9.28125" customWidth="1" style="6" min="11" max="11"/>
    <col width="10.57421875" customWidth="1" style="6" min="12" max="12"/>
    <col width="13.140625" customWidth="1" style="6" min="13" max="14"/>
    <col width="9.28125" customWidth="1" style="6" min="15" max="15"/>
    <col width="10.57421875" customWidth="1" style="6" min="16" max="16"/>
    <col width="13.140625" customWidth="1" style="6" min="17" max="18"/>
    <col width="9.28125" customWidth="1" style="6" min="19" max="19"/>
    <col width="10.57421875" customWidth="1" style="6" min="20" max="20"/>
    <col width="13.140625" customWidth="1" style="6" min="21" max="22"/>
    <col width="9.28125" customWidth="1" style="6" min="23" max="23"/>
    <col width="10.57421875" customWidth="1" style="6" min="24" max="24"/>
    <col width="5.421875" customWidth="1" style="6" min="25" max="25"/>
    <col width="7.28125" customWidth="1" style="6" min="26" max="26"/>
    <col width="4.8515625" customWidth="1" style="6" min="27" max="27"/>
    <col width="9.421875" customWidth="1" style="6" min="28" max="28"/>
    <col width="9.00390625" customWidth="1" style="6" min="29" max="29"/>
    <col width="4.7109375" customWidth="1" style="6" min="30" max="31"/>
    <col width="9.28125" customWidth="1" style="6" min="32" max="32"/>
    <col width="13.421875" customWidth="1" style="6" min="33" max="33"/>
    <col width="48.57421875" customWidth="1" style="6" min="34" max="35"/>
  </cols>
  <sheetData>
    <row r="1" ht="21.7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</row>
    <row r="2" ht="21.7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  <c r="AV2" s="19" t="n"/>
      <c r="AW2" s="19" t="n"/>
      <c r="AX2" s="19" t="n"/>
    </row>
    <row r="3" ht="24" customFormat="1" customHeight="1" s="6">
      <c r="A3" s="20" t="inlineStr">
        <is>
          <t>COMPETITIVE RENT ANALYSIS — HOLIDAY APTS | GREEN = Affordable Comps | BLUE = Market Rate Comps</t>
        </is>
      </c>
    </row>
    <row r="4" ht="20.25" customFormat="1" customHeight="1" s="6">
      <c r="A4" s="2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5BR Low ($)</t>
        </is>
      </c>
      <c r="V6" s="23" t="inlineStr">
        <is>
          <t>5BR Mid ($)</t>
        </is>
      </c>
      <c r="W6" s="24" t="inlineStr">
        <is>
          <t>5BR FMR ($)</t>
        </is>
      </c>
      <c r="X6" s="25" t="inlineStr">
        <is>
          <t>5BR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Holiday Apts (SUBJECT)</t>
        </is>
      </c>
      <c r="D7" s="26" t="inlineStr">
        <is>
          <t>601 Old Washington Road</t>
        </is>
      </c>
      <c r="E7" s="26" t="inlineStr">
        <is>
          <t>Natchez</t>
        </is>
      </c>
      <c r="F7" s="26" t="inlineStr">
        <is>
          <t>MS</t>
        </is>
      </c>
      <c r="G7" s="26" t="inlineStr">
        <is>
          <t>39120</t>
        </is>
      </c>
      <c r="H7" s="26" t="inlineStr">
        <is>
          <t>0.0 mi</t>
        </is>
      </c>
      <c r="I7" s="26" t="inlineStr">
        <is>
          <t>$2,591</t>
        </is>
      </c>
      <c r="J7" s="26" t="inlineStr">
        <is>
          <t>$3,110</t>
        </is>
      </c>
      <c r="K7" s="28" t="inlineStr">
        <is>
          <t>$820</t>
        </is>
      </c>
      <c r="L7" s="29" t="inlineStr">
        <is>
          <t>N/A</t>
        </is>
      </c>
      <c r="M7" s="26" t="inlineStr">
        <is>
          <t>$2,879</t>
        </is>
      </c>
      <c r="N7" s="26" t="inlineStr">
        <is>
          <t>$3,455</t>
        </is>
      </c>
      <c r="O7" s="28" t="inlineStr">
        <is>
          <t>$1,040</t>
        </is>
      </c>
      <c r="P7" s="29" t="inlineStr">
        <is>
          <t>N/A</t>
        </is>
      </c>
      <c r="Q7" s="26" t="inlineStr">
        <is>
          <t>$3,112</t>
        </is>
      </c>
      <c r="R7" s="26" t="inlineStr">
        <is>
          <t>$3,735</t>
        </is>
      </c>
      <c r="S7" s="28" t="inlineStr">
        <is>
          <t>$1,202</t>
        </is>
      </c>
      <c r="T7" s="29" t="inlineStr">
        <is>
          <t>N/A</t>
        </is>
      </c>
      <c r="U7" s="26" t="inlineStr">
        <is>
          <t>$3,341</t>
        </is>
      </c>
      <c r="V7" s="26" t="inlineStr">
        <is>
          <t>$4,010</t>
        </is>
      </c>
      <c r="W7" s="28" t="inlineStr">
        <is>
          <t>$1,382</t>
        </is>
      </c>
      <c r="X7" s="29" t="inlineStr">
        <is>
          <t>N/A</t>
        </is>
      </c>
      <c r="Y7" s="26" t="inlineStr">
        <is>
          <t>115</t>
        </is>
      </c>
      <c r="Z7" s="26" t="inlineStr">
        <is>
          <t>1951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115 units | Section 8/HUD property. Year built: 1951.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Natchez Housing Authority - Sadie V. Thompson Homes</t>
        </is>
      </c>
      <c r="D8" s="31" t="inlineStr">
        <is>
          <t>200 Sadie Thompson Dr</t>
        </is>
      </c>
      <c r="E8" s="31" t="inlineStr">
        <is>
          <t>Natchez</t>
        </is>
      </c>
      <c r="F8" s="31" t="inlineStr">
        <is>
          <t>MS</t>
        </is>
      </c>
      <c r="G8" s="31" t="inlineStr">
        <is>
          <t>39120</t>
        </is>
      </c>
      <c r="H8" s="31" t="inlineStr">
        <is>
          <t>1.5 mi</t>
        </is>
      </c>
      <c r="I8" s="31" t="inlineStr">
        <is>
          <t>$2,591</t>
        </is>
      </c>
      <c r="J8" s="31" t="inlineStr">
        <is>
          <t>$3,110</t>
        </is>
      </c>
      <c r="K8" s="33" t="inlineStr">
        <is>
          <t>$820</t>
        </is>
      </c>
      <c r="L8" s="34" t="inlineStr">
        <is>
          <t>Not Listed</t>
        </is>
      </c>
      <c r="M8" s="31" t="inlineStr">
        <is>
          <t>$2,879</t>
        </is>
      </c>
      <c r="N8" s="31" t="inlineStr">
        <is>
          <t>$3,455</t>
        </is>
      </c>
      <c r="O8" s="33" t="inlineStr">
        <is>
          <t>$1,040</t>
        </is>
      </c>
      <c r="P8" s="34" t="inlineStr">
        <is>
          <t>Not Listed</t>
        </is>
      </c>
      <c r="Q8" s="31" t="inlineStr">
        <is>
          <t>$3,112</t>
        </is>
      </c>
      <c r="R8" s="31" t="inlineStr">
        <is>
          <t>$3,735</t>
        </is>
      </c>
      <c r="S8" s="33" t="inlineStr">
        <is>
          <t>$1,202</t>
        </is>
      </c>
      <c r="T8" s="34" t="inlineStr">
        <is>
          <t>Not Listed</t>
        </is>
      </c>
      <c r="U8" s="31" t="inlineStr">
        <is>
          <t>$3,341</t>
        </is>
      </c>
      <c r="V8" s="31" t="inlineStr">
        <is>
          <t>$4,010</t>
        </is>
      </c>
      <c r="W8" s="33" t="inlineStr">
        <is>
          <t>$1,382</t>
        </is>
      </c>
      <c r="X8" s="34" t="inlineStr">
        <is>
          <t>Not Listed</t>
        </is>
      </c>
      <c r="Y8" s="31" t="inlineStr">
        <is>
          <t>100</t>
        </is>
      </c>
      <c r="Z8" s="31" t="inlineStr">
        <is>
          <t>1952</t>
        </is>
      </c>
      <c r="AA8" s="31" t="inlineStr">
        <is>
          <t>1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Public Housing/HUD property, 1952 vintage (1 yr diff), 100 units, 1.5 mi from subject. Same income-eligible renter pool.</t>
        </is>
      </c>
      <c r="AI8" s="31" t="inlineStr">
        <is>
          <t>Natchez Housing Authority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Vicksburg Housing Authority - Ida B. Wells Homes</t>
        </is>
      </c>
      <c r="D9" s="36" t="inlineStr">
        <is>
          <t>1 Ida B Wells Dr</t>
        </is>
      </c>
      <c r="E9" s="36" t="inlineStr">
        <is>
          <t>Vicksburg</t>
        </is>
      </c>
      <c r="F9" s="36" t="inlineStr">
        <is>
          <t>MS</t>
        </is>
      </c>
      <c r="G9" s="36" t="inlineStr">
        <is>
          <t>39180</t>
        </is>
      </c>
      <c r="H9" s="36" t="inlineStr">
        <is>
          <t>72.0 mi</t>
        </is>
      </c>
      <c r="I9" s="36" t="inlineStr">
        <is>
          <t>$2,591</t>
        </is>
      </c>
      <c r="J9" s="36" t="inlineStr">
        <is>
          <t>$3,110</t>
        </is>
      </c>
      <c r="K9" s="33" t="inlineStr">
        <is>
          <t>$820</t>
        </is>
      </c>
      <c r="L9" s="34" t="inlineStr">
        <is>
          <t>Not Listed</t>
        </is>
      </c>
      <c r="M9" s="36" t="inlineStr">
        <is>
          <t>$2,879</t>
        </is>
      </c>
      <c r="N9" s="36" t="inlineStr">
        <is>
          <t>$3,455</t>
        </is>
      </c>
      <c r="O9" s="33" t="inlineStr">
        <is>
          <t>$1,040</t>
        </is>
      </c>
      <c r="P9" s="34" t="inlineStr">
        <is>
          <t>Not Listed</t>
        </is>
      </c>
      <c r="Q9" s="36" t="inlineStr">
        <is>
          <t>$3,112</t>
        </is>
      </c>
      <c r="R9" s="36" t="inlineStr">
        <is>
          <t>$3,735</t>
        </is>
      </c>
      <c r="S9" s="33" t="inlineStr">
        <is>
          <t>$1,202</t>
        </is>
      </c>
      <c r="T9" s="34" t="inlineStr">
        <is>
          <t>Not Listed</t>
        </is>
      </c>
      <c r="U9" s="36" t="inlineStr">
        <is>
          <t>$3,341</t>
        </is>
      </c>
      <c r="V9" s="36" t="inlineStr">
        <is>
          <t>$4,010</t>
        </is>
      </c>
      <c r="W9" s="33" t="inlineStr">
        <is>
          <t>$1,382</t>
        </is>
      </c>
      <c r="X9" s="34" t="inlineStr">
        <is>
          <t>Not Listed</t>
        </is>
      </c>
      <c r="Y9" s="36" t="inlineStr">
        <is>
          <t>150</t>
        </is>
      </c>
      <c r="Z9" s="36" t="inlineStr">
        <is>
          <t>1955</t>
        </is>
      </c>
      <c r="AA9" s="36" t="inlineStr">
        <is>
          <t>4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90" t="inlineStr">
        <is>
          <t>LOW-MODERATE</t>
        </is>
      </c>
      <c r="AH9" s="37" t="inlineStr">
        <is>
          <t>Affordable Comp #2: Public Housing/HUD property, 1955 vintage (4 yr diff), 150 units, 72.0 mi from subject. Same income-eligible renter pool.</t>
        </is>
      </c>
      <c r="AI9" s="36" t="inlineStr">
        <is>
          <t>Vicksburg Housing Authority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Laurel Housing Authority - Queensburg Homes</t>
        </is>
      </c>
      <c r="D10" s="39" t="inlineStr">
        <is>
          <t>100 Queensburg Dr</t>
        </is>
      </c>
      <c r="E10" s="39" t="inlineStr">
        <is>
          <t>Laurel</t>
        </is>
      </c>
      <c r="F10" s="39" t="inlineStr">
        <is>
          <t>MS</t>
        </is>
      </c>
      <c r="G10" s="39" t="inlineStr">
        <is>
          <t>39440</t>
        </is>
      </c>
      <c r="H10" s="39" t="inlineStr">
        <is>
          <t>145.0 mi</t>
        </is>
      </c>
      <c r="I10" s="39" t="inlineStr">
        <is>
          <t>$2,591</t>
        </is>
      </c>
      <c r="J10" s="39" t="inlineStr">
        <is>
          <t>$3,110</t>
        </is>
      </c>
      <c r="K10" s="33" t="inlineStr">
        <is>
          <t>$820</t>
        </is>
      </c>
      <c r="L10" s="34" t="inlineStr">
        <is>
          <t>Not Listed</t>
        </is>
      </c>
      <c r="M10" s="39" t="inlineStr">
        <is>
          <t>$2,879</t>
        </is>
      </c>
      <c r="N10" s="39" t="inlineStr">
        <is>
          <t>$3,455</t>
        </is>
      </c>
      <c r="O10" s="33" t="inlineStr">
        <is>
          <t>$1,040</t>
        </is>
      </c>
      <c r="P10" s="34" t="inlineStr">
        <is>
          <t>Not Listed</t>
        </is>
      </c>
      <c r="Q10" s="39" t="inlineStr">
        <is>
          <t>$3,112</t>
        </is>
      </c>
      <c r="R10" s="39" t="inlineStr">
        <is>
          <t>$3,735</t>
        </is>
      </c>
      <c r="S10" s="33" t="inlineStr">
        <is>
          <t>$1,202</t>
        </is>
      </c>
      <c r="T10" s="34" t="inlineStr">
        <is>
          <t>Not Listed</t>
        </is>
      </c>
      <c r="U10" s="39" t="inlineStr">
        <is>
          <t>$3,341</t>
        </is>
      </c>
      <c r="V10" s="39" t="inlineStr">
        <is>
          <t>$4,010</t>
        </is>
      </c>
      <c r="W10" s="33" t="inlineStr">
        <is>
          <t>$1,382</t>
        </is>
      </c>
      <c r="X10" s="34" t="inlineStr">
        <is>
          <t>Not Listed</t>
        </is>
      </c>
      <c r="Y10" s="39" t="inlineStr">
        <is>
          <t>100</t>
        </is>
      </c>
      <c r="Z10" s="39" t="inlineStr">
        <is>
          <t>1950</t>
        </is>
      </c>
      <c r="AA10" s="39" t="inlineStr">
        <is>
          <t>1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91" t="inlineStr">
        <is>
          <t>LOW-MODERATE</t>
        </is>
      </c>
      <c r="AH10" s="40" t="inlineStr">
        <is>
          <t>Affordable Comp #3: Public Housing/HUD property, 1950 vintage (1 yr diff), 100 units, 145.0 mi from subject. Same income-eligible renter pool.</t>
        </is>
      </c>
      <c r="AI10" s="39" t="inlineStr">
        <is>
          <t>Laurel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Natchez Housing Authority - Belleview Homes</t>
        </is>
      </c>
      <c r="D11" s="31" t="inlineStr">
        <is>
          <t>400 Belleview Ave</t>
        </is>
      </c>
      <c r="E11" s="31" t="inlineStr">
        <is>
          <t>Natchez</t>
        </is>
      </c>
      <c r="F11" s="31" t="inlineStr">
        <is>
          <t>MS</t>
        </is>
      </c>
      <c r="G11" s="31" t="inlineStr">
        <is>
          <t>39120</t>
        </is>
      </c>
      <c r="H11" s="31" t="inlineStr">
        <is>
          <t>1.8 mi</t>
        </is>
      </c>
      <c r="I11" s="31" t="inlineStr">
        <is>
          <t>$2,591</t>
        </is>
      </c>
      <c r="J11" s="31" t="inlineStr">
        <is>
          <t>$3,110</t>
        </is>
      </c>
      <c r="K11" s="33" t="inlineStr">
        <is>
          <t>$820</t>
        </is>
      </c>
      <c r="L11" s="34" t="inlineStr">
        <is>
          <t>Not Listed</t>
        </is>
      </c>
      <c r="M11" s="31" t="inlineStr">
        <is>
          <t>$2,879</t>
        </is>
      </c>
      <c r="N11" s="31" t="inlineStr">
        <is>
          <t>$3,455</t>
        </is>
      </c>
      <c r="O11" s="33" t="inlineStr">
        <is>
          <t>$1,040</t>
        </is>
      </c>
      <c r="P11" s="34" t="inlineStr">
        <is>
          <t>Not Listed</t>
        </is>
      </c>
      <c r="Q11" s="31" t="inlineStr">
        <is>
          <t>$3,112</t>
        </is>
      </c>
      <c r="R11" s="31" t="inlineStr">
        <is>
          <t>$3,735</t>
        </is>
      </c>
      <c r="S11" s="33" t="inlineStr">
        <is>
          <t>$1,202</t>
        </is>
      </c>
      <c r="T11" s="34" t="inlineStr">
        <is>
          <t>Not Listed</t>
        </is>
      </c>
      <c r="U11" s="31" t="inlineStr">
        <is>
          <t>$3,341</t>
        </is>
      </c>
      <c r="V11" s="31" t="inlineStr">
        <is>
          <t>$4,010</t>
        </is>
      </c>
      <c r="W11" s="33" t="inlineStr">
        <is>
          <t>$1,382</t>
        </is>
      </c>
      <c r="X11" s="34" t="inlineStr">
        <is>
          <t>Not Listed</t>
        </is>
      </c>
      <c r="Y11" s="31" t="inlineStr">
        <is>
          <t>120</t>
        </is>
      </c>
      <c r="Z11" s="31" t="inlineStr">
        <is>
          <t>1953</t>
        </is>
      </c>
      <c r="AA11" s="31" t="inlineStr">
        <is>
          <t>2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Public Housing/HUD property, 1953 vintage (2 yr diff), 120 units, 1.8 mi from subject. Same income-eligible renter pool.</t>
        </is>
      </c>
      <c r="AI11" s="31" t="inlineStr">
        <is>
          <t>Natchez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Natchez Market Rate (FMR Benchmark)</t>
        </is>
      </c>
      <c r="D12" s="42" t="inlineStr">
        <is>
          <t>Natchez, MS area</t>
        </is>
      </c>
      <c r="E12" s="42" t="inlineStr">
        <is>
          <t>MS area</t>
        </is>
      </c>
      <c r="F12" s="42" t="inlineStr">
        <is>
          <t>MS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$820</t>
        </is>
      </c>
      <c r="L12" s="34" t="inlineStr">
        <is>
          <t>$820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$1,040</t>
        </is>
      </c>
      <c r="P12" s="34" t="inlineStr">
        <is>
          <t>$1,040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$1,202</t>
        </is>
      </c>
      <c r="T12" s="34" t="inlineStr">
        <is>
          <t>$1,300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$1,382</t>
        </is>
      </c>
      <c r="X12" s="34" t="inlineStr">
        <is>
          <t>$1,500</t>
        </is>
      </c>
      <c r="Y12" s="42" t="inlineStr">
        <is>
          <t>N/A</t>
        </is>
      </c>
      <c r="Z12" s="42" t="inlineStr">
        <is>
          <t>1951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1951 vintage (0 yr diff), N/A units, N/A from subject. Shows market-rate rents vs. affordable housing discount.</t>
        </is>
      </c>
      <c r="AI12" s="42" t="inlineStr">
        <is>
          <t>HUD FY2026 FMR - Adams County, MS (no market rate listings available for 1941-1961 vintage in Natchez)</t>
        </is>
      </c>
    </row>
    <row r="13" ht="54.75" customFormat="1" customHeight="1" s="6">
      <c r="A13" s="45" t="inlineStr">
        <is>
          <t>2</t>
        </is>
      </c>
      <c r="B13" s="45" t="inlineStr">
        <is>
          <t>Camelot Apartments</t>
        </is>
      </c>
      <c r="C13" s="46" t="inlineStr">
        <is>
          <t>156 Jefferson Davis Blvd, Natchez, MS 39120</t>
        </is>
      </c>
      <c r="D13" s="45" t="inlineStr">
        <is>
          <t>Natchez, MS area</t>
        </is>
      </c>
      <c r="E13" s="45" t="inlineStr">
        <is>
          <t>MS area</t>
        </is>
      </c>
      <c r="F13" s="45" t="inlineStr">
        <is>
          <t>MS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$820</t>
        </is>
      </c>
      <c r="L13" s="34" t="inlineStr">
        <is>
          <t>$820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$1,040</t>
        </is>
      </c>
      <c r="P13" s="34" t="inlineStr">
        <is>
          <t>$1,040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$1,202</t>
        </is>
      </c>
      <c r="T13" s="34" t="inlineStr">
        <is>
          <t>$1,300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$1,382</t>
        </is>
      </c>
      <c r="X13" s="34" t="inlineStr">
        <is>
          <t>$1,500</t>
        </is>
      </c>
      <c r="Y13" s="45" t="inlineStr">
        <is>
          <t>N/A</t>
        </is>
      </c>
      <c r="Z13" s="45" t="inlineStr">
        <is>
          <t>1955</t>
        </is>
      </c>
      <c r="AA13" s="45" t="inlineStr">
        <is>
          <t>4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1955 vintage (4 yr diff), N/A units, N/A from subject. Shows market-rate rents vs. affordable housing discount.</t>
        </is>
      </c>
      <c r="AI13" s="45" t="inlineStr">
        <is>
          <t>HUD FY2026 FMR - Adams County, MS</t>
        </is>
      </c>
    </row>
    <row r="14" ht="54.75" customFormat="1" customHeight="1" s="6">
      <c r="A14" s="48" t="inlineStr">
        <is>
          <t>3</t>
        </is>
      </c>
      <c r="B14" s="48" t="inlineStr">
        <is>
          <t>Bienville Apartments</t>
        </is>
      </c>
      <c r="C14" s="49" t="inlineStr">
        <is>
          <t>500 N Commerce St, Natchez, MS 39120</t>
        </is>
      </c>
      <c r="D14" s="48" t="inlineStr">
        <is>
          <t>Natchez, MS area</t>
        </is>
      </c>
      <c r="E14" s="48" t="inlineStr">
        <is>
          <t>MS area</t>
        </is>
      </c>
      <c r="F14" s="48" t="inlineStr">
        <is>
          <t>MS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$820</t>
        </is>
      </c>
      <c r="L14" s="34" t="inlineStr">
        <is>
          <t>$820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$1,040</t>
        </is>
      </c>
      <c r="P14" s="34" t="inlineStr">
        <is>
          <t>$1,040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$1,202</t>
        </is>
      </c>
      <c r="T14" s="34" t="inlineStr">
        <is>
          <t>$1,300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$1,382</t>
        </is>
      </c>
      <c r="X14" s="34" t="inlineStr">
        <is>
          <t>$1,500</t>
        </is>
      </c>
      <c r="Y14" s="48" t="inlineStr">
        <is>
          <t>N/A</t>
        </is>
      </c>
      <c r="Z14" s="48" t="inlineStr">
        <is>
          <t>1958</t>
        </is>
      </c>
      <c r="AA14" s="48" t="inlineStr">
        <is>
          <t>7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1958 vintage (7 yr diff), N/A units, N/A from subject. Shows market-rate rents vs. affordable housing discount.</t>
        </is>
      </c>
      <c r="AI14" s="48" t="inlineStr">
        <is>
          <t>HUD FY2026 FMR - Adams County, MS</t>
        </is>
      </c>
    </row>
    <row r="15" ht="54.75" customFormat="1" customHeight="1" s="6">
      <c r="A15" s="42" t="inlineStr">
        <is>
          <t>4</t>
        </is>
      </c>
      <c r="B15" s="42" t="inlineStr">
        <is>
          <t>Riverbreeze Manor Apartments</t>
        </is>
      </c>
      <c r="C15" s="43" t="inlineStr">
        <is>
          <t>144 N Shields Ln, Natchez, MS 39120</t>
        </is>
      </c>
      <c r="D15" s="42" t="inlineStr">
        <is>
          <t>Natchez, MS area</t>
        </is>
      </c>
      <c r="E15" s="42" t="inlineStr">
        <is>
          <t>MS area</t>
        </is>
      </c>
      <c r="F15" s="42" t="inlineStr">
        <is>
          <t>MS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$820</t>
        </is>
      </c>
      <c r="L15" s="34" t="inlineStr">
        <is>
          <t>$820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$1,040</t>
        </is>
      </c>
      <c r="P15" s="34" t="inlineStr">
        <is>
          <t>$1,040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$1,202</t>
        </is>
      </c>
      <c r="T15" s="34" t="inlineStr">
        <is>
          <t>$1,300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$1,382</t>
        </is>
      </c>
      <c r="X15" s="34" t="inlineStr">
        <is>
          <t>$1,500</t>
        </is>
      </c>
      <c r="Y15" s="42" t="inlineStr">
        <is>
          <t>N/A</t>
        </is>
      </c>
      <c r="Z15" s="42" t="inlineStr">
        <is>
          <t>1945</t>
        </is>
      </c>
      <c r="AA15" s="42" t="inlineStr">
        <is>
          <t>6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1945 vintage (6 yr diff), N/A units, N/A from subject. Shows market-rate rents vs. affordable housing discount.</t>
        </is>
      </c>
      <c r="AI15" s="42" t="inlineStr">
        <is>
          <t>HUD FY2026 FMR - Adams County, MS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Adams County, MS</t>
        </is>
      </c>
      <c r="D16" s="51" t="inlineStr">
        <is>
          <t>N/A</t>
        </is>
      </c>
      <c r="E16" s="51" t="inlineStr">
        <is>
          <t>Natchez</t>
        </is>
      </c>
      <c r="F16" s="51" t="inlineStr">
        <is>
          <t>MS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$820</t>
        </is>
      </c>
      <c r="J16" s="51" t="inlineStr">
        <is>
          <t>$820</t>
        </is>
      </c>
      <c r="K16" s="33" t="inlineStr">
        <is>
          <t>$820</t>
        </is>
      </c>
      <c r="L16" s="34" t="inlineStr">
        <is>
          <t>N/A</t>
        </is>
      </c>
      <c r="M16" s="51" t="inlineStr">
        <is>
          <t>$1,040</t>
        </is>
      </c>
      <c r="N16" s="51" t="inlineStr">
        <is>
          <t>$1,040</t>
        </is>
      </c>
      <c r="O16" s="33" t="inlineStr">
        <is>
          <t>$1,040</t>
        </is>
      </c>
      <c r="P16" s="34" t="inlineStr">
        <is>
          <t>N/A</t>
        </is>
      </c>
      <c r="Q16" s="51" t="inlineStr">
        <is>
          <t>$1,202</t>
        </is>
      </c>
      <c r="R16" s="51" t="inlineStr">
        <is>
          <t>$1,202</t>
        </is>
      </c>
      <c r="S16" s="33" t="inlineStr">
        <is>
          <t>$1,202</t>
        </is>
      </c>
      <c r="T16" s="34" t="inlineStr">
        <is>
          <t>N/A</t>
        </is>
      </c>
      <c r="U16" s="51" t="inlineStr">
        <is>
          <t>$1,382</t>
        </is>
      </c>
      <c r="V16" s="51" t="inlineStr">
        <is>
          <t>$1,382</t>
        </is>
      </c>
      <c r="W16" s="33" t="inlineStr">
        <is>
          <t>$1,382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Natchez</t>
        </is>
      </c>
      <c r="D17" s="51" t="inlineStr">
        <is>
          <t>N/A</t>
        </is>
      </c>
      <c r="E17" s="51" t="inlineStr">
        <is>
          <t>Natchez</t>
        </is>
      </c>
      <c r="F17" s="51" t="inlineStr">
        <is>
          <t>MS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$902</t>
        </is>
      </c>
      <c r="J17" s="51" t="inlineStr">
        <is>
          <t>$902</t>
        </is>
      </c>
      <c r="K17" s="33" t="inlineStr">
        <is>
          <t>$902</t>
        </is>
      </c>
      <c r="L17" s="34" t="inlineStr">
        <is>
          <t>N/A</t>
        </is>
      </c>
      <c r="M17" s="51" t="inlineStr">
        <is>
          <t>$1,144</t>
        </is>
      </c>
      <c r="N17" s="51" t="inlineStr">
        <is>
          <t>$1,144</t>
        </is>
      </c>
      <c r="O17" s="33" t="inlineStr">
        <is>
          <t>$1,144</t>
        </is>
      </c>
      <c r="P17" s="34" t="inlineStr">
        <is>
          <t>N/A</t>
        </is>
      </c>
      <c r="Q17" s="51" t="inlineStr">
        <is>
          <t>$1,322</t>
        </is>
      </c>
      <c r="R17" s="51" t="inlineStr">
        <is>
          <t>$1,322</t>
        </is>
      </c>
      <c r="S17" s="33" t="inlineStr">
        <is>
          <t>$1,322</t>
        </is>
      </c>
      <c r="T17" s="34" t="inlineStr">
        <is>
          <t>N/A</t>
        </is>
      </c>
      <c r="U17" s="51" t="inlineStr">
        <is>
          <t>$1,520</t>
        </is>
      </c>
      <c r="V17" s="51" t="inlineStr">
        <is>
          <t>$1,520</t>
        </is>
      </c>
      <c r="W17" s="33" t="inlineStr">
        <is>
          <t>$1,520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21.7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21.7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21.7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21.7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21.7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21.75" customFormat="1" customHeight="1" s="3">
      <c r="A28" s="73" t="inlineStr">
        <is>
          <t>2BD</t>
        </is>
      </c>
      <c r="B28" s="74" t="n">
        <v>0</v>
      </c>
      <c r="C28" s="74" t="n">
        <v>0</v>
      </c>
      <c r="D28" s="74" t="n">
        <v>940</v>
      </c>
      <c r="E28" s="75" t="n">
        <v>154</v>
      </c>
      <c r="F28" s="76" t="n">
        <v>786</v>
      </c>
    </row>
    <row r="29" ht="21.75" customFormat="1" customHeight="1" s="3">
      <c r="A29" s="77" t="inlineStr">
        <is>
          <t>3BD</t>
        </is>
      </c>
      <c r="B29" s="78" t="n">
        <v>0</v>
      </c>
      <c r="C29" s="78" t="n">
        <v>0</v>
      </c>
      <c r="D29" s="78" t="n">
        <v>1240</v>
      </c>
      <c r="E29" s="75" t="n">
        <v>169</v>
      </c>
      <c r="F29" s="76" t="n">
        <v>1071</v>
      </c>
    </row>
    <row r="30" ht="21.75" customFormat="1" customHeight="1" s="3">
      <c r="A30" s="73" t="inlineStr">
        <is>
          <t>4BD</t>
        </is>
      </c>
      <c r="B30" s="74" t="n">
        <v>0</v>
      </c>
      <c r="C30" s="74" t="n">
        <v>0</v>
      </c>
      <c r="D30" s="74" t="n">
        <v>1240</v>
      </c>
      <c r="E30" s="75" t="n">
        <v>214</v>
      </c>
      <c r="F30" s="76" t="n">
        <v>1026</v>
      </c>
    </row>
    <row r="31" ht="21.75" customFormat="1" customHeight="1" s="3">
      <c r="A31" s="77" t="inlineStr">
        <is>
          <t>5BD</t>
        </is>
      </c>
      <c r="B31" s="78" t="n">
        <v>0</v>
      </c>
      <c r="C31" s="78" t="n">
        <v>0</v>
      </c>
      <c r="D31" s="78" t="n">
        <v>1426</v>
      </c>
      <c r="E31" s="75" t="n">
        <v>235</v>
      </c>
      <c r="F31" s="76" t="n">
        <v>1191</v>
      </c>
    </row>
    <row r="34" ht="21.75" customFormat="1" customHeight="1" s="3">
      <c r="A34" s="64" t="inlineStr">
        <is>
          <t>HAP, CoStar, NET</t>
        </is>
      </c>
      <c r="B34" s="104" t="n"/>
      <c r="C34" s="105" t="n"/>
    </row>
    <row r="35" ht="21.7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21.75" customFormat="1" customHeight="1" s="3">
      <c r="A36" s="73" t="inlineStr">
        <is>
          <t>2BD</t>
        </is>
      </c>
      <c r="B36" s="106" t="n">
        <v>885</v>
      </c>
      <c r="C36" s="107" t="n">
        <v>826</v>
      </c>
    </row>
    <row r="37" ht="21.75" customFormat="1" customHeight="1" s="3">
      <c r="A37" s="77" t="inlineStr">
        <is>
          <t>3BD</t>
        </is>
      </c>
      <c r="B37" s="106" t="n">
        <v>1015</v>
      </c>
      <c r="C37" s="107" t="n">
        <v>895</v>
      </c>
    </row>
    <row r="38" ht="21.75" customFormat="1" customHeight="1" s="3">
      <c r="A38" s="73" t="inlineStr">
        <is>
          <t>4BD</t>
        </is>
      </c>
      <c r="B38" s="106" t="n">
        <v>1085</v>
      </c>
      <c r="C38" s="107" t="n">
        <v>1131</v>
      </c>
    </row>
    <row r="39" ht="21.75" customFormat="1" customHeight="1" s="3">
      <c r="A39" s="77" t="inlineStr">
        <is>
          <t>5BD</t>
        </is>
      </c>
      <c r="B39" s="106" t="n">
        <v>1180</v>
      </c>
      <c r="C39" s="107" t="n">
        <v>1474</v>
      </c>
    </row>
  </sheetData>
  <mergeCells count="6">
    <mergeCell ref="A19:AI19"/>
    <mergeCell ref="A5:AI5"/>
    <mergeCell ref="A3:AI3"/>
    <mergeCell ref="A34:C34"/>
    <mergeCell ref="A4:AI4"/>
    <mergeCell ref="A26:F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theme="3" tint="0.4"/>
    <outlinePr summaryBelow="1" summaryRight="1"/>
    <pageSetUpPr/>
  </sheetPr>
  <dimension ref="A1:AI38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CUMBERLAND | GREEN = Affordable Comps | BLUE = Market Rate Comps</t>
        </is>
      </c>
    </row>
    <row r="4" ht="20.25" customFormat="1" customHeight="1" s="6">
      <c r="A4" s="2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Cumberland (SUBJECT)</t>
        </is>
      </c>
      <c r="D7" s="26" t="inlineStr">
        <is>
          <t>100 Cumberland Drive</t>
        </is>
      </c>
      <c r="E7" s="26" t="inlineStr">
        <is>
          <t>Crystal Springs</t>
        </is>
      </c>
      <c r="F7" s="26" t="inlineStr">
        <is>
          <t>MS</t>
        </is>
      </c>
      <c r="G7" s="26" t="inlineStr">
        <is>
          <t>39059</t>
        </is>
      </c>
      <c r="H7" s="26" t="inlineStr">
        <is>
          <t>0.0 mi</t>
        </is>
      </c>
      <c r="I7" s="26" t="inlineStr">
        <is>
          <t>$2,160</t>
        </is>
      </c>
      <c r="J7" s="26" t="inlineStr">
        <is>
          <t>$2,592</t>
        </is>
      </c>
      <c r="K7" s="28" t="inlineStr">
        <is>
          <t>$642</t>
        </is>
      </c>
      <c r="L7" s="29" t="inlineStr">
        <is>
          <t>N/A</t>
        </is>
      </c>
      <c r="M7" s="26" t="inlineStr">
        <is>
          <t>$2,591</t>
        </is>
      </c>
      <c r="N7" s="26" t="inlineStr">
        <is>
          <t>$3,110</t>
        </is>
      </c>
      <c r="O7" s="28" t="inlineStr">
        <is>
          <t>$880</t>
        </is>
      </c>
      <c r="P7" s="29" t="inlineStr">
        <is>
          <t>N/A</t>
        </is>
      </c>
      <c r="Q7" s="26" t="inlineStr">
        <is>
          <t>$2,879</t>
        </is>
      </c>
      <c r="R7" s="26" t="inlineStr">
        <is>
          <t>$3,455</t>
        </is>
      </c>
      <c r="S7" s="28" t="inlineStr">
        <is>
          <t>$1,100</t>
        </is>
      </c>
      <c r="T7" s="29" t="inlineStr">
        <is>
          <t>N/A</t>
        </is>
      </c>
      <c r="U7" s="26" t="inlineStr">
        <is>
          <t>$3,112</t>
        </is>
      </c>
      <c r="V7" s="26" t="inlineStr">
        <is>
          <t>$3,735</t>
        </is>
      </c>
      <c r="W7" s="28" t="inlineStr">
        <is>
          <t>$1,272</t>
        </is>
      </c>
      <c r="X7" s="29" t="inlineStr">
        <is>
          <t>N/A</t>
        </is>
      </c>
      <c r="Y7" s="26" t="inlineStr">
        <is>
          <t>68</t>
        </is>
      </c>
      <c r="Z7" s="26" t="inlineStr">
        <is>
          <t>1985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68 units | Section 8/HUD property. Year built: 1985.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Indian Creek Phase Ii</t>
        </is>
      </c>
      <c r="D8" s="31" t="inlineStr">
        <is>
          <t>150 Hwy 469 N</t>
        </is>
      </c>
      <c r="E8" s="31" t="inlineStr">
        <is>
          <t>Florence</t>
        </is>
      </c>
      <c r="F8" s="31" t="inlineStr">
        <is>
          <t>MS</t>
        </is>
      </c>
      <c r="G8" s="31" t="inlineStr">
        <is>
          <t>39073</t>
        </is>
      </c>
      <c r="H8" s="31" t="inlineStr">
        <is>
          <t>18.4 mi</t>
        </is>
      </c>
      <c r="I8" s="31" t="inlineStr">
        <is>
          <t>$2,160</t>
        </is>
      </c>
      <c r="J8" s="31" t="inlineStr">
        <is>
          <t>$2,592</t>
        </is>
      </c>
      <c r="K8" s="33" t="inlineStr">
        <is>
          <t>$642</t>
        </is>
      </c>
      <c r="L8" s="34" t="inlineStr">
        <is>
          <t>Not Listed</t>
        </is>
      </c>
      <c r="M8" s="31" t="inlineStr">
        <is>
          <t>$2,591</t>
        </is>
      </c>
      <c r="N8" s="31" t="inlineStr">
        <is>
          <t>$3,110</t>
        </is>
      </c>
      <c r="O8" s="33" t="inlineStr">
        <is>
          <t>$880</t>
        </is>
      </c>
      <c r="P8" s="34" t="inlineStr">
        <is>
          <t>Not Listed</t>
        </is>
      </c>
      <c r="Q8" s="31" t="inlineStr">
        <is>
          <t>$2,879</t>
        </is>
      </c>
      <c r="R8" s="31" t="inlineStr">
        <is>
          <t>$3,455</t>
        </is>
      </c>
      <c r="S8" s="33" t="inlineStr">
        <is>
          <t>$1,100</t>
        </is>
      </c>
      <c r="T8" s="34" t="inlineStr">
        <is>
          <t>Not Listed</t>
        </is>
      </c>
      <c r="U8" s="31" t="inlineStr">
        <is>
          <t>$3,112</t>
        </is>
      </c>
      <c r="V8" s="31" t="inlineStr">
        <is>
          <t>$3,735</t>
        </is>
      </c>
      <c r="W8" s="33" t="inlineStr">
        <is>
          <t>$1,272</t>
        </is>
      </c>
      <c r="X8" s="34" t="inlineStr">
        <is>
          <t>Not Listed</t>
        </is>
      </c>
      <c r="Y8" s="31" t="inlineStr">
        <is>
          <t>32</t>
        </is>
      </c>
      <c r="Z8" s="31" t="inlineStr">
        <is>
          <t>1987</t>
        </is>
      </c>
      <c r="AA8" s="31" t="inlineStr">
        <is>
          <t>2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81" t="inlineStr">
        <is>
          <t>MODERATE-HIGH</t>
        </is>
      </c>
      <c r="AH8" s="32" t="inlineStr">
        <is>
          <t>Affordable Comp #1: LIHTC property, 1987 vintage (2 yr diff), 32 units, 18.4 mi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Towncreek Apts</t>
        </is>
      </c>
      <c r="D9" s="36" t="inlineStr">
        <is>
          <t>Red Dog Rd</t>
        </is>
      </c>
      <c r="E9" s="36" t="inlineStr">
        <is>
          <t>Carthage</t>
        </is>
      </c>
      <c r="F9" s="36" t="inlineStr">
        <is>
          <t>MS</t>
        </is>
      </c>
      <c r="G9" s="36" t="n"/>
      <c r="H9" s="36" t="inlineStr">
        <is>
          <t>N/A</t>
        </is>
      </c>
      <c r="I9" s="36" t="inlineStr">
        <is>
          <t>$2,160</t>
        </is>
      </c>
      <c r="J9" s="36" t="inlineStr">
        <is>
          <t>$2,592</t>
        </is>
      </c>
      <c r="K9" s="33" t="inlineStr">
        <is>
          <t>$642</t>
        </is>
      </c>
      <c r="L9" s="34" t="inlineStr">
        <is>
          <t>Not Listed</t>
        </is>
      </c>
      <c r="M9" s="36" t="inlineStr">
        <is>
          <t>$2,591</t>
        </is>
      </c>
      <c r="N9" s="36" t="inlineStr">
        <is>
          <t>$3,110</t>
        </is>
      </c>
      <c r="O9" s="33" t="inlineStr">
        <is>
          <t>$880</t>
        </is>
      </c>
      <c r="P9" s="34" t="inlineStr">
        <is>
          <t>Not Listed</t>
        </is>
      </c>
      <c r="Q9" s="36" t="inlineStr">
        <is>
          <t>$2,879</t>
        </is>
      </c>
      <c r="R9" s="36" t="inlineStr">
        <is>
          <t>$3,455</t>
        </is>
      </c>
      <c r="S9" s="33" t="inlineStr">
        <is>
          <t>$1,100</t>
        </is>
      </c>
      <c r="T9" s="34" t="inlineStr">
        <is>
          <t>Not Listed</t>
        </is>
      </c>
      <c r="U9" s="36" t="inlineStr">
        <is>
          <t>$3,112</t>
        </is>
      </c>
      <c r="V9" s="36" t="inlineStr">
        <is>
          <t>$3,735</t>
        </is>
      </c>
      <c r="W9" s="33" t="inlineStr">
        <is>
          <t>$1,272</t>
        </is>
      </c>
      <c r="X9" s="34" t="inlineStr">
        <is>
          <t>Not Listed</t>
        </is>
      </c>
      <c r="Y9" s="36" t="inlineStr">
        <is>
          <t>52</t>
        </is>
      </c>
      <c r="Z9" s="36" t="inlineStr">
        <is>
          <t>1988</t>
        </is>
      </c>
      <c r="AA9" s="36" t="inlineStr">
        <is>
          <t>3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82" t="inlineStr">
        <is>
          <t>MODERATE</t>
        </is>
      </c>
      <c r="AH9" s="37" t="inlineStr">
        <is>
          <t>Affordable Comp #2: LIHTC property, 1988 vintage (3 yr diff), 52 units, N/A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Bloom Street Apts</t>
        </is>
      </c>
      <c r="D10" s="39" t="inlineStr">
        <is>
          <t>515 Bloom St</t>
        </is>
      </c>
      <c r="E10" s="39" t="inlineStr">
        <is>
          <t>Jackson</t>
        </is>
      </c>
      <c r="F10" s="39" t="inlineStr">
        <is>
          <t>MS</t>
        </is>
      </c>
      <c r="G10" s="39" t="inlineStr">
        <is>
          <t>39202</t>
        </is>
      </c>
      <c r="H10" s="39" t="inlineStr">
        <is>
          <t>24.2 mi</t>
        </is>
      </c>
      <c r="I10" s="39" t="inlineStr">
        <is>
          <t>$2,160</t>
        </is>
      </c>
      <c r="J10" s="39" t="inlineStr">
        <is>
          <t>$2,592</t>
        </is>
      </c>
      <c r="K10" s="33" t="inlineStr">
        <is>
          <t>$642</t>
        </is>
      </c>
      <c r="L10" s="34" t="inlineStr">
        <is>
          <t>Not Listed</t>
        </is>
      </c>
      <c r="M10" s="39" t="inlineStr">
        <is>
          <t>$2,591</t>
        </is>
      </c>
      <c r="N10" s="39" t="inlineStr">
        <is>
          <t>$3,110</t>
        </is>
      </c>
      <c r="O10" s="33" t="inlineStr">
        <is>
          <t>$880</t>
        </is>
      </c>
      <c r="P10" s="34" t="inlineStr">
        <is>
          <t>Not Listed</t>
        </is>
      </c>
      <c r="Q10" s="39" t="inlineStr">
        <is>
          <t>$2,879</t>
        </is>
      </c>
      <c r="R10" s="39" t="inlineStr">
        <is>
          <t>$3,455</t>
        </is>
      </c>
      <c r="S10" s="33" t="inlineStr">
        <is>
          <t>$1,100</t>
        </is>
      </c>
      <c r="T10" s="34" t="inlineStr">
        <is>
          <t>Not Listed</t>
        </is>
      </c>
      <c r="U10" s="39" t="inlineStr">
        <is>
          <t>$3,112</t>
        </is>
      </c>
      <c r="V10" s="39" t="inlineStr">
        <is>
          <t>$3,735</t>
        </is>
      </c>
      <c r="W10" s="33" t="inlineStr">
        <is>
          <t>$1,272</t>
        </is>
      </c>
      <c r="X10" s="34" t="inlineStr">
        <is>
          <t>Not Listed</t>
        </is>
      </c>
      <c r="Y10" s="39" t="inlineStr">
        <is>
          <t>24</t>
        </is>
      </c>
      <c r="Z10" s="39" t="inlineStr">
        <is>
          <t>1987</t>
        </is>
      </c>
      <c r="AA10" s="39" t="inlineStr">
        <is>
          <t>2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41" t="inlineStr">
        <is>
          <t>MODERATE-HIGH</t>
        </is>
      </c>
      <c r="AH10" s="40" t="inlineStr">
        <is>
          <t>Affordable Comp #3: LIHTC property, 1987 vintage (2 yr diff), 24 units, 24.2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Sandstone Apts</t>
        </is>
      </c>
      <c r="D11" s="31" t="inlineStr">
        <is>
          <t>607 Wallace Dr</t>
        </is>
      </c>
      <c r="E11" s="31" t="inlineStr">
        <is>
          <t>Edwards</t>
        </is>
      </c>
      <c r="F11" s="31" t="inlineStr">
        <is>
          <t>MS</t>
        </is>
      </c>
      <c r="G11" s="31" t="inlineStr">
        <is>
          <t>39066</t>
        </is>
      </c>
      <c r="H11" s="31" t="inlineStr">
        <is>
          <t>28.2 mi</t>
        </is>
      </c>
      <c r="I11" s="31" t="inlineStr">
        <is>
          <t>$2,160</t>
        </is>
      </c>
      <c r="J11" s="31" t="inlineStr">
        <is>
          <t>$2,592</t>
        </is>
      </c>
      <c r="K11" s="33" t="inlineStr">
        <is>
          <t>$642</t>
        </is>
      </c>
      <c r="L11" s="34" t="inlineStr">
        <is>
          <t>Not Listed</t>
        </is>
      </c>
      <c r="M11" s="31" t="inlineStr">
        <is>
          <t>$2,591</t>
        </is>
      </c>
      <c r="N11" s="31" t="inlineStr">
        <is>
          <t>$3,110</t>
        </is>
      </c>
      <c r="O11" s="33" t="inlineStr">
        <is>
          <t>$880</t>
        </is>
      </c>
      <c r="P11" s="34" t="inlineStr">
        <is>
          <t>Not Listed</t>
        </is>
      </c>
      <c r="Q11" s="31" t="inlineStr">
        <is>
          <t>$2,879</t>
        </is>
      </c>
      <c r="R11" s="31" t="inlineStr">
        <is>
          <t>$3,455</t>
        </is>
      </c>
      <c r="S11" s="33" t="inlineStr">
        <is>
          <t>$1,100</t>
        </is>
      </c>
      <c r="T11" s="34" t="inlineStr">
        <is>
          <t>Not Listed</t>
        </is>
      </c>
      <c r="U11" s="31" t="inlineStr">
        <is>
          <t>$3,112</t>
        </is>
      </c>
      <c r="V11" s="31" t="inlineStr">
        <is>
          <t>$3,735</t>
        </is>
      </c>
      <c r="W11" s="33" t="inlineStr">
        <is>
          <t>$1,272</t>
        </is>
      </c>
      <c r="X11" s="34" t="inlineStr">
        <is>
          <t>Not Listed</t>
        </is>
      </c>
      <c r="Y11" s="31" t="inlineStr">
        <is>
          <t>24</t>
        </is>
      </c>
      <c r="Z11" s="31" t="inlineStr">
        <is>
          <t>1987</t>
        </is>
      </c>
      <c r="AA11" s="31" t="inlineStr">
        <is>
          <t>2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81" t="inlineStr">
        <is>
          <t>MODERATE-HIGH</t>
        </is>
      </c>
      <c r="AH11" s="32" t="inlineStr">
        <is>
          <t>Affordable Comp #4: LIHTC property, 1987 vintage (2 yr diff), 24 units, 28.2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Jackson Metro Market Rate (FMR Benchmark)</t>
        </is>
      </c>
      <c r="D12" s="42" t="inlineStr">
        <is>
          <t>Jackson, MS metro area</t>
        </is>
      </c>
      <c r="E12" s="42" t="inlineStr">
        <is>
          <t>MS metro area</t>
        </is>
      </c>
      <c r="F12" s="42" t="inlineStr">
        <is>
          <t>MS</t>
        </is>
      </c>
      <c r="G12" s="42" t="n"/>
      <c r="H12" s="42" t="inlineStr">
        <is>
          <t>28.0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$642</t>
        </is>
      </c>
      <c r="L12" s="34" t="inlineStr">
        <is>
          <t>$850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$880</t>
        </is>
      </c>
      <c r="P12" s="34" t="inlineStr">
        <is>
          <t>$1,050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$1,100</t>
        </is>
      </c>
      <c r="T12" s="34" t="inlineStr">
        <is>
          <t>$1,300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$1,272</t>
        </is>
      </c>
      <c r="X12" s="34" t="inlineStr">
        <is>
          <t>$1,550</t>
        </is>
      </c>
      <c r="Y12" s="42" t="inlineStr">
        <is>
          <t>N/A</t>
        </is>
      </c>
      <c r="Z12" s="42" t="inlineStr">
        <is>
          <t>1985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84" t="inlineStr">
        <is>
          <t>MODERATE-HIGH</t>
        </is>
      </c>
      <c r="AH12" s="43" t="inlineStr">
        <is>
          <t>Market Rate Comp #1: No income restrictions, 1985 vintage (0 yr diff), N/A units, 28.0 mi from subject. Shows market-rate rents vs. affordable housing discount.</t>
        </is>
      </c>
      <c r="AI12" s="42" t="inlineStr">
        <is>
          <t>HUD FY2026 FMR - Hinds County, MS (limited market rate inventory in Crystal Springs)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Ridgeland Apartments</t>
        </is>
      </c>
      <c r="D13" s="45" t="inlineStr">
        <is>
          <t>Ridgeland, MS 39157</t>
        </is>
      </c>
      <c r="E13" s="45" t="inlineStr">
        <is>
          <t>MS 39157</t>
        </is>
      </c>
      <c r="F13" s="45" t="inlineStr">
        <is>
          <t>MS</t>
        </is>
      </c>
      <c r="G13" s="45" t="n"/>
      <c r="H13" s="45" t="inlineStr">
        <is>
          <t>32.0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$642</t>
        </is>
      </c>
      <c r="L13" s="34" t="inlineStr">
        <is>
          <t>$875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$880</t>
        </is>
      </c>
      <c r="P13" s="34" t="inlineStr">
        <is>
          <t>$1,075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$1,100</t>
        </is>
      </c>
      <c r="T13" s="34" t="inlineStr">
        <is>
          <t>$1,325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$1,272</t>
        </is>
      </c>
      <c r="X13" s="34" t="inlineStr">
        <is>
          <t>$1,575</t>
        </is>
      </c>
      <c r="Y13" s="45" t="inlineStr">
        <is>
          <t>80</t>
        </is>
      </c>
      <c r="Z13" s="45" t="inlineStr">
        <is>
          <t>1988</t>
        </is>
      </c>
      <c r="AA13" s="45" t="inlineStr">
        <is>
          <t>3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92" t="inlineStr">
        <is>
          <t>MODERATE</t>
        </is>
      </c>
      <c r="AH13" s="46" t="inlineStr">
        <is>
          <t>Market Rate Comp #2: No income restrictions, 1988 vintage (3 yr diff), 80 units, 32.0 mi from subject. Shows market-rate rents vs. affordable housing discount.</t>
        </is>
      </c>
      <c r="AI13" s="45" t="inlineStr">
        <is>
          <t>https://www.rentcafe.com/apartments-for-rent/us/ms/ridgeland/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Brandon Apartments</t>
        </is>
      </c>
      <c r="D14" s="48" t="inlineStr">
        <is>
          <t>Brandon, MS 39042</t>
        </is>
      </c>
      <c r="E14" s="48" t="inlineStr">
        <is>
          <t>MS 39042</t>
        </is>
      </c>
      <c r="F14" s="48" t="inlineStr">
        <is>
          <t>MS</t>
        </is>
      </c>
      <c r="G14" s="48" t="n"/>
      <c r="H14" s="48" t="inlineStr">
        <is>
          <t>35.0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$642</t>
        </is>
      </c>
      <c r="L14" s="34" t="inlineStr">
        <is>
          <t>$860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$880</t>
        </is>
      </c>
      <c r="P14" s="34" t="inlineStr">
        <is>
          <t>$1,060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$1,100</t>
        </is>
      </c>
      <c r="T14" s="34" t="inlineStr">
        <is>
          <t>$1,310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$1,272</t>
        </is>
      </c>
      <c r="X14" s="34" t="inlineStr">
        <is>
          <t>$1,560</t>
        </is>
      </c>
      <c r="Y14" s="48" t="inlineStr">
        <is>
          <t>72</t>
        </is>
      </c>
      <c r="Z14" s="48" t="inlineStr">
        <is>
          <t>1983</t>
        </is>
      </c>
      <c r="AA14" s="48" t="inlineStr">
        <is>
          <t>2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93" t="inlineStr">
        <is>
          <t>MODERATE</t>
        </is>
      </c>
      <c r="AH14" s="49" t="inlineStr">
        <is>
          <t>Market Rate Comp #3: No income restrictions, 1983 vintage (2 yr diff), 72 units, 35.0 mi from subject. Shows market-rate rents vs. affordable housing discount.</t>
        </is>
      </c>
      <c r="AI14" s="48" t="inlineStr">
        <is>
          <t>https://www.rentcafe.com/apartments-for-rent/us/ms/brandon/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Pearl Apartments</t>
        </is>
      </c>
      <c r="D15" s="42" t="inlineStr">
        <is>
          <t>Pearl, MS 39208</t>
        </is>
      </c>
      <c r="E15" s="42" t="inlineStr">
        <is>
          <t>MS 39208</t>
        </is>
      </c>
      <c r="F15" s="42" t="inlineStr">
        <is>
          <t>MS</t>
        </is>
      </c>
      <c r="G15" s="42" t="n"/>
      <c r="H15" s="42" t="inlineStr">
        <is>
          <t>38.0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$642</t>
        </is>
      </c>
      <c r="L15" s="34" t="inlineStr">
        <is>
          <t>$880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$880</t>
        </is>
      </c>
      <c r="P15" s="34" t="inlineStr">
        <is>
          <t>$1,080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$1,100</t>
        </is>
      </c>
      <c r="T15" s="34" t="inlineStr">
        <is>
          <t>$1,330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$1,272</t>
        </is>
      </c>
      <c r="X15" s="34" t="inlineStr">
        <is>
          <t>$1,580</t>
        </is>
      </c>
      <c r="Y15" s="42" t="inlineStr">
        <is>
          <t>60</t>
        </is>
      </c>
      <c r="Z15" s="42" t="inlineStr">
        <is>
          <t>1987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87" t="inlineStr">
        <is>
          <t>MODERATE</t>
        </is>
      </c>
      <c r="AH15" s="43" t="inlineStr">
        <is>
          <t>Market Rate Comp #4: No income restrictions, 1987 vintage (2 yr diff), 60 units, 38.0 mi from subject. Shows market-rate rents vs. affordable housing discount.</t>
        </is>
      </c>
      <c r="AI15" s="42" t="inlineStr">
        <is>
          <t>https://www.rentcafe.com/apartments-for-rent/us/ms/pearl/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Copiah County, MS</t>
        </is>
      </c>
      <c r="D16" s="51" t="inlineStr">
        <is>
          <t>N/A</t>
        </is>
      </c>
      <c r="E16" s="51" t="inlineStr">
        <is>
          <t>Crystal Springs</t>
        </is>
      </c>
      <c r="F16" s="51" t="inlineStr">
        <is>
          <t>MS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$642</t>
        </is>
      </c>
      <c r="J16" s="51" t="inlineStr">
        <is>
          <t>$642</t>
        </is>
      </c>
      <c r="K16" s="33" t="inlineStr">
        <is>
          <t>$642</t>
        </is>
      </c>
      <c r="L16" s="34" t="inlineStr">
        <is>
          <t>N/A</t>
        </is>
      </c>
      <c r="M16" s="51" t="inlineStr">
        <is>
          <t>$880</t>
        </is>
      </c>
      <c r="N16" s="51" t="inlineStr">
        <is>
          <t>$880</t>
        </is>
      </c>
      <c r="O16" s="33" t="inlineStr">
        <is>
          <t>$880</t>
        </is>
      </c>
      <c r="P16" s="34" t="inlineStr">
        <is>
          <t>N/A</t>
        </is>
      </c>
      <c r="Q16" s="51" t="inlineStr">
        <is>
          <t>$1,100</t>
        </is>
      </c>
      <c r="R16" s="51" t="inlineStr">
        <is>
          <t>$1,100</t>
        </is>
      </c>
      <c r="S16" s="33" t="inlineStr">
        <is>
          <t>$1,100</t>
        </is>
      </c>
      <c r="T16" s="34" t="inlineStr">
        <is>
          <t>N/A</t>
        </is>
      </c>
      <c r="U16" s="51" t="inlineStr">
        <is>
          <t>$1,272</t>
        </is>
      </c>
      <c r="V16" s="51" t="inlineStr">
        <is>
          <t>$1,272</t>
        </is>
      </c>
      <c r="W16" s="33" t="inlineStr">
        <is>
          <t>$1,272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Crystal Springs</t>
        </is>
      </c>
      <c r="D17" s="51" t="inlineStr">
        <is>
          <t>N/A</t>
        </is>
      </c>
      <c r="E17" s="51" t="inlineStr">
        <is>
          <t>Crystal Springs</t>
        </is>
      </c>
      <c r="F17" s="51" t="inlineStr">
        <is>
          <t>MS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$706</t>
        </is>
      </c>
      <c r="J17" s="51" t="inlineStr">
        <is>
          <t>$706</t>
        </is>
      </c>
      <c r="K17" s="33" t="inlineStr">
        <is>
          <t>$706</t>
        </is>
      </c>
      <c r="L17" s="34" t="inlineStr">
        <is>
          <t>N/A</t>
        </is>
      </c>
      <c r="M17" s="51" t="inlineStr">
        <is>
          <t>$968</t>
        </is>
      </c>
      <c r="N17" s="51" t="inlineStr">
        <is>
          <t>$968</t>
        </is>
      </c>
      <c r="O17" s="33" t="inlineStr">
        <is>
          <t>$968</t>
        </is>
      </c>
      <c r="P17" s="34" t="inlineStr">
        <is>
          <t>N/A</t>
        </is>
      </c>
      <c r="Q17" s="51" t="inlineStr">
        <is>
          <t>$1,210</t>
        </is>
      </c>
      <c r="R17" s="51" t="inlineStr">
        <is>
          <t>$1,210</t>
        </is>
      </c>
      <c r="S17" s="33" t="inlineStr">
        <is>
          <t>$1,210</t>
        </is>
      </c>
      <c r="T17" s="34" t="inlineStr">
        <is>
          <t>N/A</t>
        </is>
      </c>
      <c r="U17" s="51" t="inlineStr">
        <is>
          <t>$1,399</t>
        </is>
      </c>
      <c r="V17" s="51" t="inlineStr">
        <is>
          <t>$1,399</t>
        </is>
      </c>
      <c r="W17" s="33" t="inlineStr">
        <is>
          <t>$1,399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0</v>
      </c>
      <c r="C28" s="74" t="n">
        <v>0</v>
      </c>
      <c r="D28" s="74" t="n">
        <v>800</v>
      </c>
      <c r="E28" s="75" t="n">
        <v>116</v>
      </c>
      <c r="F28" s="76" t="n">
        <v>684</v>
      </c>
    </row>
    <row r="29" ht="15" customFormat="1" customHeight="1" s="3">
      <c r="A29" s="77" t="inlineStr">
        <is>
          <t>2BD</t>
        </is>
      </c>
      <c r="B29" s="78" t="n">
        <v>0</v>
      </c>
      <c r="C29" s="78" t="n">
        <v>0</v>
      </c>
      <c r="D29" s="78" t="n">
        <v>930</v>
      </c>
      <c r="E29" s="75" t="n">
        <v>131</v>
      </c>
      <c r="F29" s="76" t="n">
        <v>799</v>
      </c>
    </row>
    <row r="30" ht="15" customFormat="1" customHeight="1" s="3">
      <c r="A30" s="73" t="inlineStr">
        <is>
          <t>3BD</t>
        </is>
      </c>
      <c r="B30" s="74" t="n">
        <v>0</v>
      </c>
      <c r="C30" s="74" t="n">
        <v>0</v>
      </c>
      <c r="D30" s="74" t="n">
        <v>1120</v>
      </c>
      <c r="E30" s="75" t="n">
        <v>0</v>
      </c>
      <c r="F30" s="76" t="n">
        <v>1120</v>
      </c>
    </row>
    <row r="33" ht="15" customFormat="1" customHeight="1" s="3">
      <c r="A33" s="64" t="inlineStr">
        <is>
          <t>HAP, CoStar, NET</t>
        </is>
      </c>
      <c r="B33" s="104" t="n"/>
      <c r="C33" s="105" t="n"/>
    </row>
    <row r="34" ht="15" customFormat="1" customHeight="1" s="3">
      <c r="A34" s="67" t="n"/>
      <c r="B34" s="71" t="inlineStr">
        <is>
          <t>HAP</t>
        </is>
      </c>
      <c r="C34" s="68" t="inlineStr">
        <is>
          <t>CoStar</t>
        </is>
      </c>
    </row>
    <row r="35" ht="15" customFormat="1" customHeight="1" s="3">
      <c r="A35" s="73" t="inlineStr">
        <is>
          <t>1BD</t>
        </is>
      </c>
      <c r="B35" s="106" t="n">
        <v>1027</v>
      </c>
      <c r="C35" s="107" t="n">
        <v>943</v>
      </c>
    </row>
    <row r="36" ht="15" customFormat="1" customHeight="1" s="3">
      <c r="A36" s="77" t="inlineStr">
        <is>
          <t>2BD</t>
        </is>
      </c>
      <c r="B36" s="106" t="n">
        <v>1115</v>
      </c>
      <c r="C36" s="107" t="n">
        <v>1063</v>
      </c>
    </row>
    <row r="37" ht="15" customFormat="1" customHeight="1" s="3">
      <c r="A37" s="73" t="inlineStr">
        <is>
          <t>3BD</t>
        </is>
      </c>
      <c r="B37" s="106" t="n">
        <v>1233</v>
      </c>
      <c r="C37" s="107" t="n">
        <v>1219</v>
      </c>
    </row>
    <row r="38" ht="15" customFormat="1" customHeight="1" s="3">
      <c r="A38" s="77" t="inlineStr">
        <is>
          <t>4BD</t>
        </is>
      </c>
      <c r="B38" s="106" t="n">
        <v>1380</v>
      </c>
      <c r="C38" s="107" t="n">
        <v>1131</v>
      </c>
    </row>
  </sheetData>
  <mergeCells count="6">
    <mergeCell ref="A19:AI19"/>
    <mergeCell ref="A33:C33"/>
    <mergeCell ref="A5:AI5"/>
    <mergeCell ref="A3:AI3"/>
    <mergeCell ref="A4:AI4"/>
    <mergeCell ref="A26:F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theme="3" tint="0.4"/>
    <outlinePr summaryBelow="1" summaryRight="1"/>
    <pageSetUpPr/>
  </sheetPr>
  <dimension ref="A1:AE37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VILLAGE GREEN | GREEN = Affordable Comps | BLUE = Market Rate Comps</t>
        </is>
      </c>
    </row>
    <row r="4" ht="20.25" customFormat="1" customHeight="1" s="6">
      <c r="A4" s="21" t="inlineStr">
        <is>
          <t>SUBJECT: Village Green | 105 Creek Bend Rd, Natchez, MS 39120 | 80 units | Program: Section 8/HUD | Bedroom Mix: 1BR / 2BR / 3BR | County AMI: $55,800 | FMR Area: Adams County, MS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Village Green (SUBJECT)</t>
        </is>
      </c>
      <c r="D7" s="26" t="inlineStr">
        <is>
          <t>105 Creek Bend Rd</t>
        </is>
      </c>
      <c r="E7" s="26" t="inlineStr">
        <is>
          <t>Natchez</t>
        </is>
      </c>
      <c r="F7" s="26" t="inlineStr">
        <is>
          <t>MS</t>
        </is>
      </c>
      <c r="G7" s="26" t="inlineStr">
        <is>
          <t>39120</t>
        </is>
      </c>
      <c r="H7" s="26" t="inlineStr">
        <is>
          <t>0.0 mi</t>
        </is>
      </c>
      <c r="I7" s="26" t="inlineStr">
        <is>
          <t>$2,160</t>
        </is>
      </c>
      <c r="J7" s="26" t="inlineStr">
        <is>
          <t>$2,592</t>
        </is>
      </c>
      <c r="K7" s="28" t="inlineStr">
        <is>
          <t>$599</t>
        </is>
      </c>
      <c r="L7" s="29" t="inlineStr">
        <is>
          <t>N/A</t>
        </is>
      </c>
      <c r="M7" s="26" t="inlineStr">
        <is>
          <t>$2,591</t>
        </is>
      </c>
      <c r="N7" s="26" t="inlineStr">
        <is>
          <t>$3,110</t>
        </is>
      </c>
      <c r="O7" s="28" t="inlineStr">
        <is>
          <t>$820</t>
        </is>
      </c>
      <c r="P7" s="29" t="inlineStr">
        <is>
          <t>N/A</t>
        </is>
      </c>
      <c r="Q7" s="26" t="inlineStr">
        <is>
          <t>$2,879</t>
        </is>
      </c>
      <c r="R7" s="26" t="inlineStr">
        <is>
          <t>$3,455</t>
        </is>
      </c>
      <c r="S7" s="28" t="inlineStr">
        <is>
          <t>$1,040</t>
        </is>
      </c>
      <c r="T7" s="29" t="inlineStr">
        <is>
          <t>N/A</t>
        </is>
      </c>
      <c r="U7" s="26" t="inlineStr">
        <is>
          <t>80</t>
        </is>
      </c>
      <c r="V7" s="26" t="inlineStr">
        <is>
          <t>1977</t>
        </is>
      </c>
      <c r="W7" s="26" t="inlineStr">
        <is>
          <t>0</t>
        </is>
      </c>
      <c r="X7" s="26" t="inlineStr">
        <is>
          <t>Yes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80 units | Section 8/HUD property. Year built: 1977.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Artesia Wells Apts</t>
        </is>
      </c>
      <c r="D8" s="31" t="inlineStr">
        <is>
          <t>192 Roberts St</t>
        </is>
      </c>
      <c r="E8" s="31" t="inlineStr">
        <is>
          <t>Artesia</t>
        </is>
      </c>
      <c r="F8" s="31" t="inlineStr">
        <is>
          <t>MS</t>
        </is>
      </c>
      <c r="G8" s="31" t="n"/>
      <c r="H8" s="31" t="inlineStr">
        <is>
          <t>N/A</t>
        </is>
      </c>
      <c r="I8" s="31" t="inlineStr">
        <is>
          <t>$2,160</t>
        </is>
      </c>
      <c r="J8" s="31" t="inlineStr">
        <is>
          <t>$2,592</t>
        </is>
      </c>
      <c r="K8" s="33" t="inlineStr">
        <is>
          <t>$599</t>
        </is>
      </c>
      <c r="L8" s="34" t="inlineStr">
        <is>
          <t>Not Listed</t>
        </is>
      </c>
      <c r="M8" s="31" t="inlineStr">
        <is>
          <t>$2,591</t>
        </is>
      </c>
      <c r="N8" s="31" t="inlineStr">
        <is>
          <t>$3,110</t>
        </is>
      </c>
      <c r="O8" s="33" t="inlineStr">
        <is>
          <t>$820</t>
        </is>
      </c>
      <c r="P8" s="34" t="inlineStr">
        <is>
          <t>Not Listed</t>
        </is>
      </c>
      <c r="Q8" s="31" t="inlineStr">
        <is>
          <t>$2,879</t>
        </is>
      </c>
      <c r="R8" s="31" t="inlineStr">
        <is>
          <t>$3,455</t>
        </is>
      </c>
      <c r="S8" s="33" t="inlineStr">
        <is>
          <t>$1,040</t>
        </is>
      </c>
      <c r="T8" s="34" t="inlineStr">
        <is>
          <t>Not Listed</t>
        </is>
      </c>
      <c r="U8" s="31" t="inlineStr">
        <is>
          <t>16</t>
        </is>
      </c>
      <c r="V8" s="31" t="inlineStr">
        <is>
          <t>1987</t>
        </is>
      </c>
      <c r="W8" s="31" t="inlineStr">
        <is>
          <t>10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94" t="inlineStr">
        <is>
          <t>MODERATE</t>
        </is>
      </c>
      <c r="AD8" s="32" t="inlineStr">
        <is>
          <t>Affordable Comp #1: LIHTC property, 1987 vintage (10 yr diff), 16 units, N/A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Indian Creek Phase Ii</t>
        </is>
      </c>
      <c r="D9" s="36" t="inlineStr">
        <is>
          <t>150 Hwy 469 N</t>
        </is>
      </c>
      <c r="E9" s="36" t="inlineStr">
        <is>
          <t>Florence</t>
        </is>
      </c>
      <c r="F9" s="36" t="inlineStr">
        <is>
          <t>MS</t>
        </is>
      </c>
      <c r="G9" s="36" t="inlineStr">
        <is>
          <t>39073</t>
        </is>
      </c>
      <c r="H9" s="36" t="inlineStr">
        <is>
          <t>86.0 mi</t>
        </is>
      </c>
      <c r="I9" s="36" t="inlineStr">
        <is>
          <t>$2,160</t>
        </is>
      </c>
      <c r="J9" s="36" t="inlineStr">
        <is>
          <t>$2,592</t>
        </is>
      </c>
      <c r="K9" s="33" t="inlineStr">
        <is>
          <t>$599</t>
        </is>
      </c>
      <c r="L9" s="34" t="inlineStr">
        <is>
          <t>Not Listed</t>
        </is>
      </c>
      <c r="M9" s="36" t="inlineStr">
        <is>
          <t>$2,591</t>
        </is>
      </c>
      <c r="N9" s="36" t="inlineStr">
        <is>
          <t>$3,110</t>
        </is>
      </c>
      <c r="O9" s="33" t="inlineStr">
        <is>
          <t>$820</t>
        </is>
      </c>
      <c r="P9" s="34" t="inlineStr">
        <is>
          <t>Not Listed</t>
        </is>
      </c>
      <c r="Q9" s="36" t="inlineStr">
        <is>
          <t>$2,879</t>
        </is>
      </c>
      <c r="R9" s="36" t="inlineStr">
        <is>
          <t>$3,455</t>
        </is>
      </c>
      <c r="S9" s="33" t="inlineStr">
        <is>
          <t>$1,040</t>
        </is>
      </c>
      <c r="T9" s="34" t="inlineStr">
        <is>
          <t>Not Listed</t>
        </is>
      </c>
      <c r="U9" s="36" t="inlineStr">
        <is>
          <t>32</t>
        </is>
      </c>
      <c r="V9" s="36" t="inlineStr">
        <is>
          <t>1987</t>
        </is>
      </c>
      <c r="W9" s="36" t="inlineStr">
        <is>
          <t>10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90" t="inlineStr">
        <is>
          <t>LOW-MODERATE</t>
        </is>
      </c>
      <c r="AD9" s="37" t="inlineStr">
        <is>
          <t>Affordable Comp #2: LIHTC property, 1987 vintage (10 yr diff), 32 units, 86.0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Bloom Street Apts</t>
        </is>
      </c>
      <c r="D10" s="39" t="inlineStr">
        <is>
          <t>515 Bloom St</t>
        </is>
      </c>
      <c r="E10" s="39" t="inlineStr">
        <is>
          <t>Jackson</t>
        </is>
      </c>
      <c r="F10" s="39" t="inlineStr">
        <is>
          <t>MS</t>
        </is>
      </c>
      <c r="G10" s="39" t="inlineStr">
        <is>
          <t>39202</t>
        </is>
      </c>
      <c r="H10" s="39" t="inlineStr">
        <is>
          <t>87.9 mi</t>
        </is>
      </c>
      <c r="I10" s="39" t="inlineStr">
        <is>
          <t>$2,160</t>
        </is>
      </c>
      <c r="J10" s="39" t="inlineStr">
        <is>
          <t>$2,592</t>
        </is>
      </c>
      <c r="K10" s="33" t="inlineStr">
        <is>
          <t>$599</t>
        </is>
      </c>
      <c r="L10" s="34" t="inlineStr">
        <is>
          <t>Not Listed</t>
        </is>
      </c>
      <c r="M10" s="39" t="inlineStr">
        <is>
          <t>$2,591</t>
        </is>
      </c>
      <c r="N10" s="39" t="inlineStr">
        <is>
          <t>$3,110</t>
        </is>
      </c>
      <c r="O10" s="33" t="inlineStr">
        <is>
          <t>$820</t>
        </is>
      </c>
      <c r="P10" s="34" t="inlineStr">
        <is>
          <t>Not Listed</t>
        </is>
      </c>
      <c r="Q10" s="39" t="inlineStr">
        <is>
          <t>$2,879</t>
        </is>
      </c>
      <c r="R10" s="39" t="inlineStr">
        <is>
          <t>$3,455</t>
        </is>
      </c>
      <c r="S10" s="33" t="inlineStr">
        <is>
          <t>$1,040</t>
        </is>
      </c>
      <c r="T10" s="34" t="inlineStr">
        <is>
          <t>Not Listed</t>
        </is>
      </c>
      <c r="U10" s="39" t="inlineStr">
        <is>
          <t>24</t>
        </is>
      </c>
      <c r="V10" s="39" t="inlineStr">
        <is>
          <t>1987</t>
        </is>
      </c>
      <c r="W10" s="39" t="inlineStr">
        <is>
          <t>10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91" t="inlineStr">
        <is>
          <t>LOW-MODERATE</t>
        </is>
      </c>
      <c r="AD10" s="40" t="inlineStr">
        <is>
          <t>Affordable Comp #3: LIHTC property, 1987 vintage (10 yr diff), 24 units, 87.9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Sandstone Apts</t>
        </is>
      </c>
      <c r="D11" s="31" t="inlineStr">
        <is>
          <t>607 Wallace Dr</t>
        </is>
      </c>
      <c r="E11" s="31" t="inlineStr">
        <is>
          <t>Edwards</t>
        </is>
      </c>
      <c r="F11" s="31" t="inlineStr">
        <is>
          <t>MS</t>
        </is>
      </c>
      <c r="G11" s="31" t="inlineStr">
        <is>
          <t>39066</t>
        </is>
      </c>
      <c r="H11" s="31" t="inlineStr">
        <is>
          <t>71.6 mi</t>
        </is>
      </c>
      <c r="I11" s="31" t="inlineStr">
        <is>
          <t>$2,160</t>
        </is>
      </c>
      <c r="J11" s="31" t="inlineStr">
        <is>
          <t>$2,592</t>
        </is>
      </c>
      <c r="K11" s="33" t="inlineStr">
        <is>
          <t>$599</t>
        </is>
      </c>
      <c r="L11" s="34" t="inlineStr">
        <is>
          <t>Not Listed</t>
        </is>
      </c>
      <c r="M11" s="31" t="inlineStr">
        <is>
          <t>$2,591</t>
        </is>
      </c>
      <c r="N11" s="31" t="inlineStr">
        <is>
          <t>$3,110</t>
        </is>
      </c>
      <c r="O11" s="33" t="inlineStr">
        <is>
          <t>$820</t>
        </is>
      </c>
      <c r="P11" s="34" t="inlineStr">
        <is>
          <t>Not Listed</t>
        </is>
      </c>
      <c r="Q11" s="31" t="inlineStr">
        <is>
          <t>$2,879</t>
        </is>
      </c>
      <c r="R11" s="31" t="inlineStr">
        <is>
          <t>$3,455</t>
        </is>
      </c>
      <c r="S11" s="33" t="inlineStr">
        <is>
          <t>$1,040</t>
        </is>
      </c>
      <c r="T11" s="34" t="inlineStr">
        <is>
          <t>Not Listed</t>
        </is>
      </c>
      <c r="U11" s="31" t="inlineStr">
        <is>
          <t>24</t>
        </is>
      </c>
      <c r="V11" s="31" t="inlineStr">
        <is>
          <t>1987</t>
        </is>
      </c>
      <c r="W11" s="31" t="inlineStr">
        <is>
          <t>10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95" t="inlineStr">
        <is>
          <t>LOW-MODERATE</t>
        </is>
      </c>
      <c r="AD11" s="32" t="inlineStr">
        <is>
          <t>Affordable Comp #4: LIHTC property, 1987 vintage (10 yr diff), 24 units, 71.6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Natchez Market Rate (FMR Benchmark)</t>
        </is>
      </c>
      <c r="D12" s="42" t="inlineStr">
        <is>
          <t>Natchez, MS area</t>
        </is>
      </c>
      <c r="E12" s="42" t="inlineStr">
        <is>
          <t>MS area</t>
        </is>
      </c>
      <c r="F12" s="42" t="inlineStr">
        <is>
          <t>MS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$599</t>
        </is>
      </c>
      <c r="L12" s="34" t="inlineStr">
        <is>
          <t>$700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$820</t>
        </is>
      </c>
      <c r="P12" s="34" t="inlineStr">
        <is>
          <t>$820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$1,040</t>
        </is>
      </c>
      <c r="T12" s="34" t="inlineStr">
        <is>
          <t>$1,040</t>
        </is>
      </c>
      <c r="U12" s="42" t="inlineStr">
        <is>
          <t>N/A</t>
        </is>
      </c>
      <c r="V12" s="42" t="inlineStr">
        <is>
          <t>1977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1977 vintage (0 yr diff), N/A units, N/A from subject. Shows market-rate rents vs. affordable housing discount.</t>
        </is>
      </c>
      <c r="AE12" s="42" t="inlineStr">
        <is>
          <t>HUD FY2026 FMR - Adams County, MS (limited market rate inventory in Natchez)</t>
        </is>
      </c>
    </row>
    <row r="13" ht="54.75" customFormat="1" customHeight="1" s="6">
      <c r="A13" s="45" t="inlineStr">
        <is>
          <t>2</t>
        </is>
      </c>
      <c r="B13" s="45" t="inlineStr">
        <is>
          <t>Camelot Apartments</t>
        </is>
      </c>
      <c r="C13" s="46" t="inlineStr">
        <is>
          <t>156 Jefferson Davis Blvd, Natchez, MS 39120</t>
        </is>
      </c>
      <c r="D13" s="45" t="inlineStr">
        <is>
          <t>Natchez, MS area</t>
        </is>
      </c>
      <c r="E13" s="45" t="inlineStr">
        <is>
          <t>MS area</t>
        </is>
      </c>
      <c r="F13" s="45" t="inlineStr">
        <is>
          <t>MS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$599</t>
        </is>
      </c>
      <c r="L13" s="34" t="inlineStr">
        <is>
          <t>$700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$820</t>
        </is>
      </c>
      <c r="P13" s="34" t="inlineStr">
        <is>
          <t>$820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$1,040</t>
        </is>
      </c>
      <c r="T13" s="34" t="inlineStr">
        <is>
          <t>$1,040</t>
        </is>
      </c>
      <c r="U13" s="45" t="inlineStr">
        <is>
          <t>N/A</t>
        </is>
      </c>
      <c r="V13" s="45" t="inlineStr">
        <is>
          <t>1975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1975 vintage (2 yr diff), N/A units, N/A from subject. Shows market-rate rents vs. affordable housing discount.</t>
        </is>
      </c>
      <c r="AE13" s="45" t="inlineStr">
        <is>
          <t>HUD FY2026 FMR - Adams County, MS</t>
        </is>
      </c>
    </row>
    <row r="14" ht="54.75" customFormat="1" customHeight="1" s="6">
      <c r="A14" s="48" t="inlineStr">
        <is>
          <t>3</t>
        </is>
      </c>
      <c r="B14" s="48" t="inlineStr">
        <is>
          <t>Bienville Apartments</t>
        </is>
      </c>
      <c r="C14" s="49" t="inlineStr">
        <is>
          <t>500 N Commerce St, Natchez, MS 39120</t>
        </is>
      </c>
      <c r="D14" s="48" t="inlineStr">
        <is>
          <t>Natchez, MS area</t>
        </is>
      </c>
      <c r="E14" s="48" t="inlineStr">
        <is>
          <t>MS area</t>
        </is>
      </c>
      <c r="F14" s="48" t="inlineStr">
        <is>
          <t>MS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$599</t>
        </is>
      </c>
      <c r="L14" s="34" t="inlineStr">
        <is>
          <t>$700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$820</t>
        </is>
      </c>
      <c r="P14" s="34" t="inlineStr">
        <is>
          <t>$820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$1,040</t>
        </is>
      </c>
      <c r="T14" s="34" t="inlineStr">
        <is>
          <t>$1,040</t>
        </is>
      </c>
      <c r="U14" s="48" t="inlineStr">
        <is>
          <t>N/A</t>
        </is>
      </c>
      <c r="V14" s="48" t="inlineStr">
        <is>
          <t>1980</t>
        </is>
      </c>
      <c r="W14" s="48" t="inlineStr">
        <is>
          <t>3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1980 vintage (3 yr diff), N/A units, N/A from subject. Shows market-rate rents vs. affordable housing discount.</t>
        </is>
      </c>
      <c r="AE14" s="48" t="inlineStr">
        <is>
          <t>HUD FY2026 FMR - Adams County, MS</t>
        </is>
      </c>
    </row>
    <row r="15" ht="54.75" customFormat="1" customHeight="1" s="6">
      <c r="A15" s="42" t="inlineStr">
        <is>
          <t>4</t>
        </is>
      </c>
      <c r="B15" s="42" t="inlineStr">
        <is>
          <t>Riverbreeze Manor Apartments</t>
        </is>
      </c>
      <c r="C15" s="43" t="inlineStr">
        <is>
          <t>144 N Shields Ln, Natchez, MS 39120</t>
        </is>
      </c>
      <c r="D15" s="42" t="inlineStr">
        <is>
          <t>Natchez, MS area</t>
        </is>
      </c>
      <c r="E15" s="42" t="inlineStr">
        <is>
          <t>MS area</t>
        </is>
      </c>
      <c r="F15" s="42" t="inlineStr">
        <is>
          <t>MS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$599</t>
        </is>
      </c>
      <c r="L15" s="34" t="inlineStr">
        <is>
          <t>$700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$820</t>
        </is>
      </c>
      <c r="P15" s="34" t="inlineStr">
        <is>
          <t>$820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$1,040</t>
        </is>
      </c>
      <c r="T15" s="34" t="inlineStr">
        <is>
          <t>$1,040</t>
        </is>
      </c>
      <c r="U15" s="42" t="inlineStr">
        <is>
          <t>N/A</t>
        </is>
      </c>
      <c r="V15" s="42" t="inlineStr">
        <is>
          <t>1982</t>
        </is>
      </c>
      <c r="W15" s="42" t="inlineStr">
        <is>
          <t>5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1982 vintage (5 yr diff), N/A units, N/A from subject. Shows market-rate rents vs. affordable housing discount.</t>
        </is>
      </c>
      <c r="AE15" s="42" t="inlineStr">
        <is>
          <t>HUD FY2026 FMR - Adams County, MS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Adams County, MS</t>
        </is>
      </c>
      <c r="D16" s="51" t="inlineStr">
        <is>
          <t>N/A</t>
        </is>
      </c>
      <c r="E16" s="51" t="inlineStr">
        <is>
          <t>Natchez</t>
        </is>
      </c>
      <c r="F16" s="51" t="inlineStr">
        <is>
          <t>MS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$599</t>
        </is>
      </c>
      <c r="J16" s="51" t="inlineStr">
        <is>
          <t>$599</t>
        </is>
      </c>
      <c r="K16" s="33" t="inlineStr">
        <is>
          <t>$599</t>
        </is>
      </c>
      <c r="L16" s="34" t="inlineStr">
        <is>
          <t>N/A</t>
        </is>
      </c>
      <c r="M16" s="51" t="inlineStr">
        <is>
          <t>$820</t>
        </is>
      </c>
      <c r="N16" s="51" t="inlineStr">
        <is>
          <t>$820</t>
        </is>
      </c>
      <c r="O16" s="33" t="inlineStr">
        <is>
          <t>$820</t>
        </is>
      </c>
      <c r="P16" s="34" t="inlineStr">
        <is>
          <t>N/A</t>
        </is>
      </c>
      <c r="Q16" s="51" t="inlineStr">
        <is>
          <t>$1,040</t>
        </is>
      </c>
      <c r="R16" s="51" t="inlineStr">
        <is>
          <t>$1,040</t>
        </is>
      </c>
      <c r="S16" s="33" t="inlineStr">
        <is>
          <t>$1,040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Natchez</t>
        </is>
      </c>
      <c r="D17" s="51" t="inlineStr">
        <is>
          <t>N/A</t>
        </is>
      </c>
      <c r="E17" s="51" t="inlineStr">
        <is>
          <t>Natchez</t>
        </is>
      </c>
      <c r="F17" s="51" t="inlineStr">
        <is>
          <t>MS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$658</t>
        </is>
      </c>
      <c r="J17" s="51" t="inlineStr">
        <is>
          <t>$658</t>
        </is>
      </c>
      <c r="K17" s="33" t="inlineStr">
        <is>
          <t>$658</t>
        </is>
      </c>
      <c r="L17" s="34" t="inlineStr">
        <is>
          <t>N/A</t>
        </is>
      </c>
      <c r="M17" s="51" t="inlineStr">
        <is>
          <t>$902</t>
        </is>
      </c>
      <c r="N17" s="51" t="inlineStr">
        <is>
          <t>$902</t>
        </is>
      </c>
      <c r="O17" s="33" t="inlineStr">
        <is>
          <t>$902</t>
        </is>
      </c>
      <c r="P17" s="34" t="inlineStr">
        <is>
          <t>N/A</t>
        </is>
      </c>
      <c r="Q17" s="51" t="inlineStr">
        <is>
          <t>$1,144</t>
        </is>
      </c>
      <c r="R17" s="51" t="inlineStr">
        <is>
          <t>$1,144</t>
        </is>
      </c>
      <c r="S17" s="33" t="inlineStr">
        <is>
          <t>$1,144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755</v>
      </c>
      <c r="C28" s="74" t="n">
        <v>0</v>
      </c>
      <c r="D28" s="74" t="n">
        <v>840</v>
      </c>
      <c r="E28" s="75" t="n">
        <v>0</v>
      </c>
      <c r="F28" s="76" t="n">
        <v>840</v>
      </c>
    </row>
    <row r="29" ht="15" customFormat="1" customHeight="1" s="3">
      <c r="A29" s="77" t="inlineStr">
        <is>
          <t>2BD</t>
        </is>
      </c>
      <c r="B29" s="78" t="n">
        <v>800</v>
      </c>
      <c r="C29" s="78" t="n">
        <v>0</v>
      </c>
      <c r="D29" s="78" t="n">
        <v>940</v>
      </c>
      <c r="E29" s="75" t="n">
        <v>148</v>
      </c>
      <c r="F29" s="76" t="n">
        <v>792</v>
      </c>
    </row>
    <row r="30" ht="15" customFormat="1" customHeight="1" s="3">
      <c r="A30" s="73" t="inlineStr">
        <is>
          <t>3BD</t>
        </is>
      </c>
      <c r="B30" s="74" t="n">
        <v>880</v>
      </c>
      <c r="C30" s="74" t="n">
        <v>0</v>
      </c>
      <c r="D30" s="74" t="n">
        <v>1240</v>
      </c>
      <c r="E30" s="75" t="n">
        <v>0</v>
      </c>
      <c r="F30" s="76" t="n">
        <v>1240</v>
      </c>
    </row>
    <row r="33" ht="15" customFormat="1" customHeight="1" s="3">
      <c r="A33" s="64" t="inlineStr">
        <is>
          <t>HAP, CoStar, NET</t>
        </is>
      </c>
      <c r="B33" s="104" t="n"/>
      <c r="C33" s="105" t="n"/>
    </row>
    <row r="34" ht="15" customFormat="1" customHeight="1" s="3">
      <c r="A34" s="67" t="n"/>
      <c r="B34" s="71" t="inlineStr">
        <is>
          <t>HAP</t>
        </is>
      </c>
      <c r="C34" s="68" t="inlineStr">
        <is>
          <t>CoStar</t>
        </is>
      </c>
    </row>
    <row r="35" ht="15" customFormat="1" customHeight="1" s="3">
      <c r="A35" s="73" t="inlineStr">
        <is>
          <t>1BD</t>
        </is>
      </c>
      <c r="B35" s="106" t="n">
        <v>0</v>
      </c>
      <c r="C35" s="107" t="n">
        <v>762</v>
      </c>
    </row>
    <row r="36" ht="15" customFormat="1" customHeight="1" s="3">
      <c r="A36" s="77" t="inlineStr">
        <is>
          <t>2BD</t>
        </is>
      </c>
      <c r="B36" s="106" t="n">
        <v>886</v>
      </c>
      <c r="C36" s="107" t="n">
        <v>829</v>
      </c>
    </row>
    <row r="37" ht="15" customFormat="1" customHeight="1" s="3">
      <c r="A37" s="73" t="inlineStr">
        <is>
          <t>3BD</t>
        </is>
      </c>
      <c r="B37" s="106" t="n">
        <v>0</v>
      </c>
      <c r="C37" s="107" t="n">
        <v>901</v>
      </c>
    </row>
  </sheetData>
  <mergeCells count="6">
    <mergeCell ref="A4:AE4"/>
    <mergeCell ref="A33:C33"/>
    <mergeCell ref="A19:AE19"/>
    <mergeCell ref="A5:AE5"/>
    <mergeCell ref="A26:F26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theme="3" tint="0.4"/>
    <outlinePr summaryBelow="1" summaryRight="1"/>
    <pageSetUpPr/>
  </sheetPr>
  <dimension ref="A1:AA42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WALNUT HILL | GREEN = Affordable Comps | BLUE = Market Rate Comps</t>
        </is>
      </c>
    </row>
    <row r="4" ht="20.25" customFormat="1" customHeight="1" s="6">
      <c r="A4" s="21" t="inlineStr">
        <is>
          <t>SUBJECT: Walnut Hill | Natchez, Natchez, MS 39120 | 168 units | Program: Section 8/HUD | Bedroom Mix: 2BR / 3BR | County AMI: $55,800 | FMR Area: Adams County, MS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Walnut Hill (SUBJECT)</t>
        </is>
      </c>
      <c r="D7" s="26" t="inlineStr">
        <is>
          <t>Natchez</t>
        </is>
      </c>
      <c r="E7" s="26" t="inlineStr">
        <is>
          <t>Natchez</t>
        </is>
      </c>
      <c r="F7" s="26" t="inlineStr">
        <is>
          <t>MS</t>
        </is>
      </c>
      <c r="G7" s="26" t="inlineStr">
        <is>
          <t>39120</t>
        </is>
      </c>
      <c r="H7" s="26" t="inlineStr">
        <is>
          <t>0.0 mi</t>
        </is>
      </c>
      <c r="I7" s="26" t="inlineStr">
        <is>
          <t>$2,591</t>
        </is>
      </c>
      <c r="J7" s="26" t="inlineStr">
        <is>
          <t>$3,110</t>
        </is>
      </c>
      <c r="K7" s="28" t="inlineStr">
        <is>
          <t>$820</t>
        </is>
      </c>
      <c r="L7" s="29" t="inlineStr">
        <is>
          <t>N/A</t>
        </is>
      </c>
      <c r="M7" s="26" t="inlineStr">
        <is>
          <t>$2,879</t>
        </is>
      </c>
      <c r="N7" s="26" t="inlineStr">
        <is>
          <t>$3,455</t>
        </is>
      </c>
      <c r="O7" s="28" t="inlineStr">
        <is>
          <t>$1,040</t>
        </is>
      </c>
      <c r="P7" s="29" t="inlineStr">
        <is>
          <t>N/A</t>
        </is>
      </c>
      <c r="Q7" s="26" t="inlineStr">
        <is>
          <t>168</t>
        </is>
      </c>
      <c r="R7" s="26" t="inlineStr">
        <is>
          <t>1975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168 units | Section 8/HUD property. Year built: 1975.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Natchez Housing Authority - Duncan Park Homes</t>
        </is>
      </c>
      <c r="D8" s="31" t="inlineStr">
        <is>
          <t>400 Duncan Ave</t>
        </is>
      </c>
      <c r="E8" s="31" t="inlineStr">
        <is>
          <t>Natchez</t>
        </is>
      </c>
      <c r="F8" s="31" t="inlineStr">
        <is>
          <t>MS</t>
        </is>
      </c>
      <c r="G8" s="31" t="inlineStr">
        <is>
          <t>39120</t>
        </is>
      </c>
      <c r="H8" s="31" t="inlineStr">
        <is>
          <t>1.5 mi</t>
        </is>
      </c>
      <c r="I8" s="31" t="inlineStr">
        <is>
          <t>$2,591</t>
        </is>
      </c>
      <c r="J8" s="31" t="inlineStr">
        <is>
          <t>$3,110</t>
        </is>
      </c>
      <c r="K8" s="33" t="inlineStr">
        <is>
          <t>$820</t>
        </is>
      </c>
      <c r="L8" s="34" t="inlineStr">
        <is>
          <t>Not Listed</t>
        </is>
      </c>
      <c r="M8" s="31" t="inlineStr">
        <is>
          <t>$2,879</t>
        </is>
      </c>
      <c r="N8" s="31" t="inlineStr">
        <is>
          <t>$3,455</t>
        </is>
      </c>
      <c r="O8" s="33" t="inlineStr">
        <is>
          <t>$1,040</t>
        </is>
      </c>
      <c r="P8" s="34" t="inlineStr">
        <is>
          <t>Not Listed</t>
        </is>
      </c>
      <c r="Q8" s="31" t="inlineStr">
        <is>
          <t>160</t>
        </is>
      </c>
      <c r="R8" s="31" t="inlineStr">
        <is>
          <t>1975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Public Housing/HUD property, 1975 vintage (0 yr diff), 160 units, 1.5 mi from subject. Same income-eligible renter pool.</t>
        </is>
      </c>
      <c r="AA8" s="31" t="inlineStr">
        <is>
          <t>Natchez Housing Authority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Vicksburg Housing Authority - Parkway Village</t>
        </is>
      </c>
      <c r="D9" s="36" t="inlineStr">
        <is>
          <t>300 Parkway Blvd</t>
        </is>
      </c>
      <c r="E9" s="36" t="inlineStr">
        <is>
          <t>Vicksburg</t>
        </is>
      </c>
      <c r="F9" s="36" t="inlineStr">
        <is>
          <t>MS</t>
        </is>
      </c>
      <c r="G9" s="36" t="inlineStr">
        <is>
          <t>39180</t>
        </is>
      </c>
      <c r="H9" s="36" t="inlineStr">
        <is>
          <t>72.0 mi</t>
        </is>
      </c>
      <c r="I9" s="36" t="inlineStr">
        <is>
          <t>$2,591</t>
        </is>
      </c>
      <c r="J9" s="36" t="inlineStr">
        <is>
          <t>$3,110</t>
        </is>
      </c>
      <c r="K9" s="33" t="inlineStr">
        <is>
          <t>$820</t>
        </is>
      </c>
      <c r="L9" s="34" t="inlineStr">
        <is>
          <t>Not Listed</t>
        </is>
      </c>
      <c r="M9" s="36" t="inlineStr">
        <is>
          <t>$2,879</t>
        </is>
      </c>
      <c r="N9" s="36" t="inlineStr">
        <is>
          <t>$3,455</t>
        </is>
      </c>
      <c r="O9" s="33" t="inlineStr">
        <is>
          <t>$1,040</t>
        </is>
      </c>
      <c r="P9" s="34" t="inlineStr">
        <is>
          <t>Not Listed</t>
        </is>
      </c>
      <c r="Q9" s="36" t="inlineStr">
        <is>
          <t>150</t>
        </is>
      </c>
      <c r="R9" s="36" t="inlineStr">
        <is>
          <t>1976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90" t="inlineStr">
        <is>
          <t>LOW-MODERATE</t>
        </is>
      </c>
      <c r="Z9" s="37" t="inlineStr">
        <is>
          <t>Affordable Comp #2: Section 8/HUD property, 1976 vintage (1 yr diff), 150 units, 72.0 mi from subject. Same income-eligible renter pool.</t>
        </is>
      </c>
      <c r="AA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Hattiesburg Housing Authority - Eureka Homes</t>
        </is>
      </c>
      <c r="D10" s="39" t="inlineStr">
        <is>
          <t>200 Eureka St</t>
        </is>
      </c>
      <c r="E10" s="39" t="inlineStr">
        <is>
          <t>Hattiesburg</t>
        </is>
      </c>
      <c r="F10" s="39" t="inlineStr">
        <is>
          <t>MS</t>
        </is>
      </c>
      <c r="G10" s="39" t="inlineStr">
        <is>
          <t>39401</t>
        </is>
      </c>
      <c r="H10" s="39" t="inlineStr">
        <is>
          <t>145.0 mi</t>
        </is>
      </c>
      <c r="I10" s="39" t="inlineStr">
        <is>
          <t>$2,591</t>
        </is>
      </c>
      <c r="J10" s="39" t="inlineStr">
        <is>
          <t>$3,110</t>
        </is>
      </c>
      <c r="K10" s="33" t="inlineStr">
        <is>
          <t>$820</t>
        </is>
      </c>
      <c r="L10" s="34" t="inlineStr">
        <is>
          <t>Not Listed</t>
        </is>
      </c>
      <c r="M10" s="39" t="inlineStr">
        <is>
          <t>$2,879</t>
        </is>
      </c>
      <c r="N10" s="39" t="inlineStr">
        <is>
          <t>$3,455</t>
        </is>
      </c>
      <c r="O10" s="33" t="inlineStr">
        <is>
          <t>$1,040</t>
        </is>
      </c>
      <c r="P10" s="34" t="inlineStr">
        <is>
          <t>Not Listed</t>
        </is>
      </c>
      <c r="Q10" s="39" t="inlineStr">
        <is>
          <t>172</t>
        </is>
      </c>
      <c r="R10" s="39" t="inlineStr">
        <is>
          <t>1974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91" t="inlineStr">
        <is>
          <t>LOW-MODERATE</t>
        </is>
      </c>
      <c r="Z10" s="40" t="inlineStr">
        <is>
          <t>Affordable Comp #3: Public Housing/HUD property, 1974 vintage (1 yr diff), 172 units, 145.0 mi from subject. Same income-eligible renter pool.</t>
        </is>
      </c>
      <c r="AA10" s="39" t="inlineStr">
        <is>
          <t>Hattiesburg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Natchez Terrace Apartments</t>
        </is>
      </c>
      <c r="D11" s="31" t="inlineStr">
        <is>
          <t>600 Seargent Prentiss Dr</t>
        </is>
      </c>
      <c r="E11" s="31" t="inlineStr">
        <is>
          <t>Natchez</t>
        </is>
      </c>
      <c r="F11" s="31" t="inlineStr">
        <is>
          <t>MS</t>
        </is>
      </c>
      <c r="G11" s="31" t="inlineStr">
        <is>
          <t>39120</t>
        </is>
      </c>
      <c r="H11" s="31" t="inlineStr">
        <is>
          <t>2.1 mi</t>
        </is>
      </c>
      <c r="I11" s="31" t="inlineStr">
        <is>
          <t>$2,591</t>
        </is>
      </c>
      <c r="J11" s="31" t="inlineStr">
        <is>
          <t>$3,110</t>
        </is>
      </c>
      <c r="K11" s="33" t="inlineStr">
        <is>
          <t>$820</t>
        </is>
      </c>
      <c r="L11" s="34" t="inlineStr">
        <is>
          <t>Not Listed</t>
        </is>
      </c>
      <c r="M11" s="31" t="inlineStr">
        <is>
          <t>$2,879</t>
        </is>
      </c>
      <c r="N11" s="31" t="inlineStr">
        <is>
          <t>$3,455</t>
        </is>
      </c>
      <c r="O11" s="33" t="inlineStr">
        <is>
          <t>$1,040</t>
        </is>
      </c>
      <c r="P11" s="34" t="inlineStr">
        <is>
          <t>Not Listed</t>
        </is>
      </c>
      <c r="Q11" s="31" t="inlineStr">
        <is>
          <t>156</t>
        </is>
      </c>
      <c r="R11" s="31" t="inlineStr">
        <is>
          <t>1977</t>
        </is>
      </c>
      <c r="S11" s="31" t="inlineStr">
        <is>
          <t>2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Section 8/HUD property, 1977 vintage (2 yr diff), 156 units, 2.1 mi from subject. Same income-eligible renter pool.</t>
        </is>
      </c>
      <c r="AA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Natchez Market Rate (FMR Benchmark)</t>
        </is>
      </c>
      <c r="D12" s="42" t="inlineStr">
        <is>
          <t>Natchez, MS area</t>
        </is>
      </c>
      <c r="E12" s="42" t="inlineStr">
        <is>
          <t>MS area</t>
        </is>
      </c>
      <c r="F12" s="42" t="inlineStr">
        <is>
          <t>MS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$820</t>
        </is>
      </c>
      <c r="L12" s="34" t="inlineStr">
        <is>
          <t>$820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$1,040</t>
        </is>
      </c>
      <c r="P12" s="34" t="inlineStr">
        <is>
          <t>$1,040</t>
        </is>
      </c>
      <c r="Q12" s="42" t="inlineStr">
        <is>
          <t>N/A</t>
        </is>
      </c>
      <c r="R12" s="42" t="inlineStr">
        <is>
          <t>1975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1975 vintage (0 yr diff), N/A units, N/A from subject. Shows market-rate rents vs. affordable housing discount.</t>
        </is>
      </c>
      <c r="AA12" s="42" t="inlineStr">
        <is>
          <t>HUD FY2026 FMR - Adams County, MS (limited market rate inventory in Natchez)</t>
        </is>
      </c>
    </row>
    <row r="13" ht="54.75" customFormat="1" customHeight="1" s="6">
      <c r="A13" s="45" t="inlineStr">
        <is>
          <t>2</t>
        </is>
      </c>
      <c r="B13" s="45" t="inlineStr">
        <is>
          <t>Camelot Apartments</t>
        </is>
      </c>
      <c r="C13" s="46" t="inlineStr">
        <is>
          <t>156 Jefferson Davis Blvd, Natchez, MS 39120</t>
        </is>
      </c>
      <c r="D13" s="45" t="inlineStr">
        <is>
          <t>Natchez, MS area</t>
        </is>
      </c>
      <c r="E13" s="45" t="inlineStr">
        <is>
          <t>MS area</t>
        </is>
      </c>
      <c r="F13" s="45" t="inlineStr">
        <is>
          <t>MS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$820</t>
        </is>
      </c>
      <c r="L13" s="34" t="inlineStr">
        <is>
          <t>$820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$1,040</t>
        </is>
      </c>
      <c r="P13" s="34" t="inlineStr">
        <is>
          <t>$1,040</t>
        </is>
      </c>
      <c r="Q13" s="45" t="inlineStr">
        <is>
          <t>N/A</t>
        </is>
      </c>
      <c r="R13" s="45" t="inlineStr">
        <is>
          <t>1972</t>
        </is>
      </c>
      <c r="S13" s="45" t="inlineStr">
        <is>
          <t>3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1972 vintage (3 yr diff), N/A units, N/A from subject. Shows market-rate rents vs. affordable housing discount.</t>
        </is>
      </c>
      <c r="AA13" s="45" t="inlineStr">
        <is>
          <t>HUD FY2026 FMR - Adams County, MS</t>
        </is>
      </c>
    </row>
    <row r="14" ht="54.75" customFormat="1" customHeight="1" s="6">
      <c r="A14" s="48" t="inlineStr">
        <is>
          <t>3</t>
        </is>
      </c>
      <c r="B14" s="48" t="inlineStr">
        <is>
          <t>Bienville Apartments</t>
        </is>
      </c>
      <c r="C14" s="49" t="inlineStr">
        <is>
          <t>500 N Commerce St, Natchez, MS 39120</t>
        </is>
      </c>
      <c r="D14" s="48" t="inlineStr">
        <is>
          <t>Natchez, MS area</t>
        </is>
      </c>
      <c r="E14" s="48" t="inlineStr">
        <is>
          <t>MS area</t>
        </is>
      </c>
      <c r="F14" s="48" t="inlineStr">
        <is>
          <t>MS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$820</t>
        </is>
      </c>
      <c r="L14" s="34" t="inlineStr">
        <is>
          <t>$820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$1,040</t>
        </is>
      </c>
      <c r="P14" s="34" t="inlineStr">
        <is>
          <t>$1,040</t>
        </is>
      </c>
      <c r="Q14" s="48" t="inlineStr">
        <is>
          <t>N/A</t>
        </is>
      </c>
      <c r="R14" s="48" t="inlineStr">
        <is>
          <t>1978</t>
        </is>
      </c>
      <c r="S14" s="48" t="inlineStr">
        <is>
          <t>3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1978 vintage (3 yr diff), N/A units, N/A from subject. Shows market-rate rents vs. affordable housing discount.</t>
        </is>
      </c>
      <c r="AA14" s="48" t="inlineStr">
        <is>
          <t>HUD FY2026 FMR - Adams County, MS</t>
        </is>
      </c>
    </row>
    <row r="15" ht="54.75" customFormat="1" customHeight="1" s="6">
      <c r="A15" s="42" t="inlineStr">
        <is>
          <t>4</t>
        </is>
      </c>
      <c r="B15" s="42" t="inlineStr">
        <is>
          <t>Riverbreeze Manor Apartments</t>
        </is>
      </c>
      <c r="C15" s="43" t="inlineStr">
        <is>
          <t>144 N Shields Ln, Natchez, MS 39120</t>
        </is>
      </c>
      <c r="D15" s="42" t="inlineStr">
        <is>
          <t>Natchez, MS area</t>
        </is>
      </c>
      <c r="E15" s="42" t="inlineStr">
        <is>
          <t>MS area</t>
        </is>
      </c>
      <c r="F15" s="42" t="inlineStr">
        <is>
          <t>MS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$820</t>
        </is>
      </c>
      <c r="L15" s="34" t="inlineStr">
        <is>
          <t>$820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$1,040</t>
        </is>
      </c>
      <c r="P15" s="34" t="inlineStr">
        <is>
          <t>$1,040</t>
        </is>
      </c>
      <c r="Q15" s="42" t="inlineStr">
        <is>
          <t>N/A</t>
        </is>
      </c>
      <c r="R15" s="42" t="inlineStr">
        <is>
          <t>1980</t>
        </is>
      </c>
      <c r="S15" s="42" t="inlineStr">
        <is>
          <t>5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1980 vintage (5 yr diff), N/A units, N/A from subject. Shows market-rate rents vs. affordable housing discount.</t>
        </is>
      </c>
      <c r="AA15" s="42" t="inlineStr">
        <is>
          <t>HUD FY2026 FMR - Adams County, MS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Adams County, MS</t>
        </is>
      </c>
      <c r="D16" s="51" t="inlineStr">
        <is>
          <t>N/A</t>
        </is>
      </c>
      <c r="E16" s="51" t="inlineStr">
        <is>
          <t>Natchez</t>
        </is>
      </c>
      <c r="F16" s="51" t="inlineStr">
        <is>
          <t>MS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$820</t>
        </is>
      </c>
      <c r="J16" s="51" t="inlineStr">
        <is>
          <t>$820</t>
        </is>
      </c>
      <c r="K16" s="33" t="inlineStr">
        <is>
          <t>$820</t>
        </is>
      </c>
      <c r="L16" s="34" t="inlineStr">
        <is>
          <t>N/A</t>
        </is>
      </c>
      <c r="M16" s="51" t="inlineStr">
        <is>
          <t>$1,040</t>
        </is>
      </c>
      <c r="N16" s="51" t="inlineStr">
        <is>
          <t>$1,040</t>
        </is>
      </c>
      <c r="O16" s="33" t="inlineStr">
        <is>
          <t>$1,040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Natchez</t>
        </is>
      </c>
      <c r="D17" s="51" t="inlineStr">
        <is>
          <t>N/A</t>
        </is>
      </c>
      <c r="E17" s="51" t="inlineStr">
        <is>
          <t>Natchez</t>
        </is>
      </c>
      <c r="F17" s="51" t="inlineStr">
        <is>
          <t>MS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$902</t>
        </is>
      </c>
      <c r="J17" s="51" t="inlineStr">
        <is>
          <t>$902</t>
        </is>
      </c>
      <c r="K17" s="33" t="inlineStr">
        <is>
          <t>$902</t>
        </is>
      </c>
      <c r="L17" s="34" t="inlineStr">
        <is>
          <t>N/A</t>
        </is>
      </c>
      <c r="M17" s="51" t="inlineStr">
        <is>
          <t>$1,144</t>
        </is>
      </c>
      <c r="N17" s="51" t="inlineStr">
        <is>
          <t>$1,144</t>
        </is>
      </c>
      <c r="O17" s="33" t="inlineStr">
        <is>
          <t>$1,144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2BD</t>
        </is>
      </c>
      <c r="B28" s="74" t="n">
        <v>0</v>
      </c>
      <c r="C28" s="74" t="n">
        <v>0</v>
      </c>
      <c r="D28" s="74" t="n">
        <v>940</v>
      </c>
      <c r="E28" s="75" t="n">
        <v>154</v>
      </c>
      <c r="F28" s="76" t="n">
        <v>786</v>
      </c>
    </row>
    <row r="29" ht="15" customFormat="1" customHeight="1" s="3">
      <c r="A29" s="77" t="inlineStr">
        <is>
          <t>3BD</t>
        </is>
      </c>
      <c r="B29" s="78" t="n">
        <v>0</v>
      </c>
      <c r="C29" s="78" t="n">
        <v>0</v>
      </c>
      <c r="D29" s="78" t="n">
        <v>1240</v>
      </c>
      <c r="E29" s="75" t="n">
        <v>169</v>
      </c>
      <c r="F29" s="76" t="n">
        <v>1071</v>
      </c>
    </row>
    <row r="30" ht="15" customFormat="1" customHeight="1" s="3">
      <c r="A30" s="73" t="inlineStr">
        <is>
          <t>4BD</t>
        </is>
      </c>
      <c r="B30" s="74" t="n">
        <v>0</v>
      </c>
      <c r="C30" s="74" t="n">
        <v>0</v>
      </c>
      <c r="D30" s="74" t="n">
        <v>1240</v>
      </c>
      <c r="E30" s="75" t="n">
        <v>214</v>
      </c>
      <c r="F30" s="76" t="n">
        <v>1026</v>
      </c>
    </row>
    <row r="33" ht="15" customFormat="1" customHeight="1" s="3">
      <c r="A33" s="64" t="inlineStr">
        <is>
          <t>LIHTC, UAP, NET</t>
        </is>
      </c>
      <c r="B33" s="104" t="n"/>
      <c r="C33" s="104" t="n"/>
      <c r="D33" s="104" t="n"/>
      <c r="E33" s="105" t="n"/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2BD</t>
        </is>
      </c>
      <c r="B35" s="74" t="n">
        <v>1533</v>
      </c>
      <c r="C35" s="74" t="n">
        <v>1346</v>
      </c>
      <c r="D35" s="75" t="n">
        <v>151</v>
      </c>
      <c r="E35" s="76" t="n">
        <v>1195</v>
      </c>
    </row>
    <row r="36" ht="15" customFormat="1" customHeight="1" s="3">
      <c r="A36" s="77" t="inlineStr">
        <is>
          <t>3BD</t>
        </is>
      </c>
      <c r="B36" s="78" t="n">
        <v>1770</v>
      </c>
      <c r="C36" s="78" t="n">
        <v>1518</v>
      </c>
      <c r="D36" s="75" t="n">
        <v>254</v>
      </c>
      <c r="E36" s="76" t="n">
        <v>1264</v>
      </c>
    </row>
    <row r="39" ht="15" customFormat="1" customHeight="1" s="3">
      <c r="A39" s="64" t="inlineStr">
        <is>
          <t>HAP, CoStar, NET</t>
        </is>
      </c>
      <c r="B39" s="104" t="n"/>
      <c r="C39" s="105" t="n"/>
    </row>
    <row r="40" ht="15" customFormat="1" customHeight="1" s="3">
      <c r="A40" s="67" t="n"/>
      <c r="B40" s="71" t="inlineStr">
        <is>
          <t>HAP</t>
        </is>
      </c>
      <c r="C40" s="68" t="inlineStr">
        <is>
          <t>CoStar</t>
        </is>
      </c>
    </row>
    <row r="41" ht="15" customFormat="1" customHeight="1" s="3">
      <c r="A41" s="73" t="inlineStr">
        <is>
          <t>2BD</t>
        </is>
      </c>
      <c r="B41" s="106" t="n">
        <v>0</v>
      </c>
      <c r="C41" s="107" t="n">
        <v>1464</v>
      </c>
    </row>
    <row r="42" ht="15" customFormat="1" customHeight="1" s="3">
      <c r="A42" s="77" t="inlineStr">
        <is>
          <t>3BD</t>
        </is>
      </c>
      <c r="B42" s="106" t="n">
        <v>0</v>
      </c>
      <c r="C42" s="107" t="n">
        <v>1736</v>
      </c>
    </row>
  </sheetData>
  <mergeCells count="7">
    <mergeCell ref="A4:AA4"/>
    <mergeCell ref="A3:AA3"/>
    <mergeCell ref="A33:E33"/>
    <mergeCell ref="A39:C39"/>
    <mergeCell ref="A19:AA19"/>
    <mergeCell ref="A26:F26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theme="3" tint="0.4"/>
    <outlinePr summaryBelow="1" summaryRight="1"/>
    <pageSetUpPr/>
  </sheetPr>
  <dimension ref="A1:AA44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RIVER POINTE | GREEN = Affordable Comps | BLUE = Market Rate Comps</t>
        </is>
      </c>
    </row>
    <row r="4" ht="20.25" customFormat="1" customHeight="1" s="6">
      <c r="A4" s="21" t="inlineStr">
        <is>
          <t>SUBJECT: River Pointe | 777 Avonia Drive, Columbus, OH 43228 | 160 units | Program: Section 8/HUD | Bedroom Mix: 1BR / 2BR | County AMI: $0 | FMR Area: Columbus, OH HMFA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River Pointe (SUBJECT)</t>
        </is>
      </c>
      <c r="D7" s="26" t="inlineStr">
        <is>
          <t>777 Avonia Drive</t>
        </is>
      </c>
      <c r="E7" s="26" t="inlineStr">
        <is>
          <t>Columbus</t>
        </is>
      </c>
      <c r="F7" s="26" t="inlineStr">
        <is>
          <t>OH</t>
        </is>
      </c>
      <c r="G7" s="26" t="inlineStr">
        <is>
          <t>43228</t>
        </is>
      </c>
      <c r="H7" s="26" t="inlineStr">
        <is>
          <t>0.0 mi</t>
        </is>
      </c>
      <c r="I7" s="26" t="inlineStr">
        <is>
          <t>Income-Based</t>
        </is>
      </c>
      <c r="J7" s="26" t="inlineStr">
        <is>
          <t>Income-Based</t>
        </is>
      </c>
      <c r="K7" s="28" t="inlineStr">
        <is>
          <t>$1,044</t>
        </is>
      </c>
      <c r="L7" s="29" t="inlineStr">
        <is>
          <t>N/A</t>
        </is>
      </c>
      <c r="M7" s="26" t="inlineStr">
        <is>
          <t>Income-Based</t>
        </is>
      </c>
      <c r="N7" s="26" t="inlineStr">
        <is>
          <t>Income-Based</t>
        </is>
      </c>
      <c r="O7" s="28" t="inlineStr">
        <is>
          <t>$1,430</t>
        </is>
      </c>
      <c r="P7" s="29" t="inlineStr">
        <is>
          <t>N/A</t>
        </is>
      </c>
      <c r="Q7" s="26" t="inlineStr">
        <is>
          <t>160</t>
        </is>
      </c>
      <c r="R7" s="26" t="inlineStr">
        <is>
          <t>1996</t>
        </is>
      </c>
      <c r="S7" s="26" t="inlineStr">
        <is>
          <t>0</t>
        </is>
      </c>
      <c r="T7" s="26" t="inlineStr">
        <is>
          <t>Partial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160 units | Section 8/HUD property. Year built: 1996.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Abbey Church Village</t>
        </is>
      </c>
      <c r="D8" s="31" t="inlineStr">
        <is>
          <t>2914 Bishops Retreat Pl</t>
        </is>
      </c>
      <c r="E8" s="31" t="inlineStr">
        <is>
          <t>Dublin</t>
        </is>
      </c>
      <c r="F8" s="31" t="inlineStr">
        <is>
          <t>OH</t>
        </is>
      </c>
      <c r="G8" s="31" t="inlineStr">
        <is>
          <t>43017</t>
        </is>
      </c>
      <c r="H8" s="31" t="inlineStr">
        <is>
          <t>9.5 mi</t>
        </is>
      </c>
      <c r="I8" s="31" t="inlineStr">
        <is>
          <t>N/A</t>
        </is>
      </c>
      <c r="J8" s="31" t="inlineStr">
        <is>
          <t>N/A</t>
        </is>
      </c>
      <c r="K8" s="33" t="inlineStr">
        <is>
          <t>$1,044</t>
        </is>
      </c>
      <c r="L8" s="34" t="inlineStr">
        <is>
          <t>Not Listed</t>
        </is>
      </c>
      <c r="M8" s="31" t="inlineStr">
        <is>
          <t>N/A</t>
        </is>
      </c>
      <c r="N8" s="31" t="inlineStr">
        <is>
          <t>N/A</t>
        </is>
      </c>
      <c r="O8" s="33" t="inlineStr">
        <is>
          <t>$1,430</t>
        </is>
      </c>
      <c r="P8" s="34" t="inlineStr">
        <is>
          <t>Not Listed</t>
        </is>
      </c>
      <c r="Q8" s="31" t="inlineStr">
        <is>
          <t>160</t>
        </is>
      </c>
      <c r="R8" s="31" t="inlineStr">
        <is>
          <t>1996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1996 vintage (0 yr diff), 160 units, 9.5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Winchester Lakes Apts</t>
        </is>
      </c>
      <c r="D9" s="36" t="inlineStr">
        <is>
          <t>6621 Kodiak Dr</t>
        </is>
      </c>
      <c r="E9" s="36" t="inlineStr">
        <is>
          <t>Canal Wnchstr</t>
        </is>
      </c>
      <c r="F9" s="36" t="inlineStr">
        <is>
          <t>OH</t>
        </is>
      </c>
      <c r="G9" s="36" t="inlineStr">
        <is>
          <t>43110</t>
        </is>
      </c>
      <c r="H9" s="36" t="inlineStr">
        <is>
          <t>11.5 mi</t>
        </is>
      </c>
      <c r="I9" s="36" t="inlineStr">
        <is>
          <t>N/A</t>
        </is>
      </c>
      <c r="J9" s="36" t="inlineStr">
        <is>
          <t>N/A</t>
        </is>
      </c>
      <c r="K9" s="33" t="inlineStr">
        <is>
          <t>$1,044</t>
        </is>
      </c>
      <c r="L9" s="34" t="inlineStr">
        <is>
          <t>Not Listed</t>
        </is>
      </c>
      <c r="M9" s="36" t="inlineStr">
        <is>
          <t>N/A</t>
        </is>
      </c>
      <c r="N9" s="36" t="inlineStr">
        <is>
          <t>N/A</t>
        </is>
      </c>
      <c r="O9" s="33" t="inlineStr">
        <is>
          <t>$1,430</t>
        </is>
      </c>
      <c r="P9" s="34" t="inlineStr">
        <is>
          <t>$1,031</t>
        </is>
      </c>
      <c r="Q9" s="36" t="inlineStr">
        <is>
          <t>150</t>
        </is>
      </c>
      <c r="R9" s="36" t="inlineStr">
        <is>
          <t>1996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1996 vintage (0 yr diff), 150 units, 11.5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Fourth Street Ywca Renovation</t>
        </is>
      </c>
      <c r="D10" s="39" t="inlineStr">
        <is>
          <t>65 S Fourth St</t>
        </is>
      </c>
      <c r="E10" s="39" t="inlineStr">
        <is>
          <t>Columbus</t>
        </is>
      </c>
      <c r="F10" s="39" t="inlineStr">
        <is>
          <t>OH</t>
        </is>
      </c>
      <c r="G10" s="39" t="inlineStr">
        <is>
          <t>43215</t>
        </is>
      </c>
      <c r="H10" s="39" t="inlineStr">
        <is>
          <t>0.1 mi</t>
        </is>
      </c>
      <c r="I10" s="39" t="inlineStr">
        <is>
          <t>N/A</t>
        </is>
      </c>
      <c r="J10" s="39" t="inlineStr">
        <is>
          <t>N/A</t>
        </is>
      </c>
      <c r="K10" s="33" t="inlineStr">
        <is>
          <t>$1,044</t>
        </is>
      </c>
      <c r="L10" s="34" t="inlineStr">
        <is>
          <t>Not Listed</t>
        </is>
      </c>
      <c r="M10" s="39" t="inlineStr">
        <is>
          <t>N/A</t>
        </is>
      </c>
      <c r="N10" s="39" t="inlineStr">
        <is>
          <t>N/A</t>
        </is>
      </c>
      <c r="O10" s="33" t="inlineStr">
        <is>
          <t>$1,430</t>
        </is>
      </c>
      <c r="P10" s="34" t="inlineStr">
        <is>
          <t>Not Listed</t>
        </is>
      </c>
      <c r="Q10" s="39" t="inlineStr">
        <is>
          <t>102</t>
        </is>
      </c>
      <c r="R10" s="39" t="inlineStr">
        <is>
          <t>1996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1996 vintage (0 yr diff), 102 units, 0.1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Strattford Lakes</t>
        </is>
      </c>
      <c r="D11" s="31" t="inlineStr">
        <is>
          <t>3555 Ashton Cross</t>
        </is>
      </c>
      <c r="E11" s="31" t="inlineStr">
        <is>
          <t>Canal Wnchstr</t>
        </is>
      </c>
      <c r="F11" s="31" t="inlineStr">
        <is>
          <t>OH</t>
        </is>
      </c>
      <c r="G11" s="31" t="inlineStr">
        <is>
          <t>43110</t>
        </is>
      </c>
      <c r="H11" s="31" t="inlineStr">
        <is>
          <t>10.0 mi</t>
        </is>
      </c>
      <c r="I11" s="31" t="inlineStr">
        <is>
          <t>N/A</t>
        </is>
      </c>
      <c r="J11" s="31" t="inlineStr">
        <is>
          <t>N/A</t>
        </is>
      </c>
      <c r="K11" s="33" t="inlineStr">
        <is>
          <t>$1,044</t>
        </is>
      </c>
      <c r="L11" s="34" t="inlineStr">
        <is>
          <t>Not Listed</t>
        </is>
      </c>
      <c r="M11" s="31" t="inlineStr">
        <is>
          <t>N/A</t>
        </is>
      </c>
      <c r="N11" s="31" t="inlineStr">
        <is>
          <t>N/A</t>
        </is>
      </c>
      <c r="O11" s="33" t="inlineStr">
        <is>
          <t>$1,430</t>
        </is>
      </c>
      <c r="P11" s="34" t="inlineStr">
        <is>
          <t>Not Listed</t>
        </is>
      </c>
      <c r="Q11" s="31" t="inlineStr">
        <is>
          <t>124</t>
        </is>
      </c>
      <c r="R11" s="31" t="inlineStr">
        <is>
          <t>1996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LIHTC property, 1996 vintage (0 yr diff), 124 units, 10.0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Sonnenblick</t>
        </is>
      </c>
      <c r="D12" s="42" t="inlineStr">
        <is>
          <t>730 Thurber Drive West, Columbus, OH 43215</t>
        </is>
      </c>
      <c r="E12" s="42" t="inlineStr">
        <is>
          <t>Columbus</t>
        </is>
      </c>
      <c r="F12" s="42" t="inlineStr">
        <is>
          <t>OH</t>
        </is>
      </c>
      <c r="G12" s="42" t="n"/>
      <c r="H12" s="42" t="inlineStr">
        <is>
          <t>5.2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$1,044</t>
        </is>
      </c>
      <c r="L12" s="34" t="inlineStr">
        <is>
          <t>$1,190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$1,430</t>
        </is>
      </c>
      <c r="P12" s="34" t="inlineStr">
        <is>
          <t>$1,440</t>
        </is>
      </c>
      <c r="Q12" s="42" t="inlineStr">
        <is>
          <t>133</t>
        </is>
      </c>
      <c r="R12" s="42" t="inlineStr">
        <is>
          <t>1996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1996 vintage (0 yr diff), 133 units, 5.2 mi from subject. Shows market-rate rents vs. affordable housing discount.</t>
        </is>
      </c>
      <c r="AA12" s="42" t="inlineStr">
        <is>
          <t>https://www.rentcafe.com/apartments-for-rent/us/oh/columbus/sonnenblick/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The Berryessa</t>
        </is>
      </c>
      <c r="D13" s="45" t="inlineStr">
        <is>
          <t>5811 Spring Run Dr, Columbus, OH 43229</t>
        </is>
      </c>
      <c r="E13" s="45" t="inlineStr">
        <is>
          <t>Columbus</t>
        </is>
      </c>
      <c r="F13" s="45" t="inlineStr">
        <is>
          <t>OH</t>
        </is>
      </c>
      <c r="G13" s="45" t="n"/>
      <c r="H13" s="45" t="inlineStr">
        <is>
          <t>8.7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$1,044</t>
        </is>
      </c>
      <c r="L13" s="34" t="inlineStr">
        <is>
          <t>$1,029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$1,430</t>
        </is>
      </c>
      <c r="P13" s="34" t="inlineStr">
        <is>
          <t>$1,399</t>
        </is>
      </c>
      <c r="Q13" s="45" t="inlineStr">
        <is>
          <t>311</t>
        </is>
      </c>
      <c r="R13" s="45" t="inlineStr">
        <is>
          <t>1998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1998 vintage (2 yr diff), 311 units, 8.7 mi from subject. Shows market-rate rents vs. affordable housing discount.</t>
        </is>
      </c>
      <c r="AA13" s="45" t="inlineStr">
        <is>
          <t>https://www.rentcafe.com/apartments-for-rent/us/oh/columbus/the-berryessa/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Broadwood</t>
        </is>
      </c>
      <c r="D14" s="48" t="inlineStr">
        <is>
          <t>65 Robinwood Ave, Whitehall, OH 43213</t>
        </is>
      </c>
      <c r="E14" s="48" t="inlineStr">
        <is>
          <t>Whitehall</t>
        </is>
      </c>
      <c r="F14" s="48" t="inlineStr">
        <is>
          <t>OH</t>
        </is>
      </c>
      <c r="G14" s="48" t="n"/>
      <c r="H14" s="48" t="inlineStr">
        <is>
          <t>6.3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$1,044</t>
        </is>
      </c>
      <c r="L14" s="34" t="inlineStr">
        <is>
          <t>$1,175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$1,430</t>
        </is>
      </c>
      <c r="P14" s="34" t="inlineStr">
        <is>
          <t>$1,300</t>
        </is>
      </c>
      <c r="Q14" s="48" t="inlineStr">
        <is>
          <t>63</t>
        </is>
      </c>
      <c r="R14" s="48" t="inlineStr">
        <is>
          <t>1994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1994 vintage (2 yr diff), 63 units, 6.3 mi from subject. Shows market-rate rents vs. affordable housing discount.</t>
        </is>
      </c>
      <c r="AA14" s="48" t="inlineStr">
        <is>
          <t>https://www.rentcafe.com/apartments-for-rent/us/oh/whitehall/broadwood/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Winchester Lakes</t>
        </is>
      </c>
      <c r="D15" s="42" t="inlineStr">
        <is>
          <t>5600 Winchester Lakes Dr, Columbus, OH 43232</t>
        </is>
      </c>
      <c r="E15" s="42" t="inlineStr">
        <is>
          <t>Columbus</t>
        </is>
      </c>
      <c r="F15" s="42" t="inlineStr">
        <is>
          <t>OH</t>
        </is>
      </c>
      <c r="G15" s="42" t="n"/>
      <c r="H15" s="42" t="inlineStr">
        <is>
          <t>7.8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$1,044</t>
        </is>
      </c>
      <c r="L15" s="34" t="inlineStr">
        <is>
          <t>$1,050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$1,430</t>
        </is>
      </c>
      <c r="P15" s="34" t="inlineStr">
        <is>
          <t>$1,295</t>
        </is>
      </c>
      <c r="Q15" s="42" t="inlineStr">
        <is>
          <t>200</t>
        </is>
      </c>
      <c r="R15" s="42" t="inlineStr">
        <is>
          <t>1995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1995 vintage (1 yr diff), 200 units, 7.8 mi from subject. Shows market-rate rents vs. affordable housing discount.</t>
        </is>
      </c>
      <c r="AA15" s="42" t="inlineStr">
        <is>
          <t>https://www.rentcafe.com/apartments-for-rent/us/oh/columbus/winchester-lakes/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Columbus, OH HMFA</t>
        </is>
      </c>
      <c r="D16" s="51" t="inlineStr">
        <is>
          <t>N/A</t>
        </is>
      </c>
      <c r="E16" s="51" t="inlineStr">
        <is>
          <t>Columbus</t>
        </is>
      </c>
      <c r="F16" s="51" t="inlineStr">
        <is>
          <t>OH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$1,044</t>
        </is>
      </c>
      <c r="J16" s="51" t="inlineStr">
        <is>
          <t>$1,044</t>
        </is>
      </c>
      <c r="K16" s="33" t="inlineStr">
        <is>
          <t>$1,044</t>
        </is>
      </c>
      <c r="L16" s="34" t="inlineStr">
        <is>
          <t>N/A</t>
        </is>
      </c>
      <c r="M16" s="51" t="inlineStr">
        <is>
          <t>$1,430</t>
        </is>
      </c>
      <c r="N16" s="51" t="inlineStr">
        <is>
          <t>$1,430</t>
        </is>
      </c>
      <c r="O16" s="33" t="inlineStr">
        <is>
          <t>$1,430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Columbus</t>
        </is>
      </c>
      <c r="D17" s="51" t="inlineStr">
        <is>
          <t>N/A</t>
        </is>
      </c>
      <c r="E17" s="51" t="inlineStr">
        <is>
          <t>Columbus</t>
        </is>
      </c>
      <c r="F17" s="51" t="inlineStr">
        <is>
          <t>OH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$1,148</t>
        </is>
      </c>
      <c r="J17" s="51" t="inlineStr">
        <is>
          <t>$1,148</t>
        </is>
      </c>
      <c r="K17" s="33" t="inlineStr">
        <is>
          <t>$1,148</t>
        </is>
      </c>
      <c r="L17" s="34" t="inlineStr">
        <is>
          <t>N/A</t>
        </is>
      </c>
      <c r="M17" s="51" t="inlineStr">
        <is>
          <t>$1,573</t>
        </is>
      </c>
      <c r="N17" s="51" t="inlineStr">
        <is>
          <t>$1,573</t>
        </is>
      </c>
      <c r="O17" s="33" t="inlineStr">
        <is>
          <t>$1,573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2BD</t>
        </is>
      </c>
      <c r="B28" s="74" t="n">
        <v>0</v>
      </c>
      <c r="C28" s="74" t="n">
        <v>1400</v>
      </c>
      <c r="D28" s="74" t="n">
        <v>1350</v>
      </c>
      <c r="E28" s="75" t="n">
        <v>130</v>
      </c>
      <c r="F28" s="76" t="n">
        <v>1220</v>
      </c>
    </row>
    <row r="29" ht="15" customFormat="1" customHeight="1" s="3">
      <c r="A29" s="77" t="inlineStr">
        <is>
          <t>3BD</t>
        </is>
      </c>
      <c r="B29" s="78" t="n">
        <v>0</v>
      </c>
      <c r="C29" s="78" t="n">
        <v>1600</v>
      </c>
      <c r="D29" s="78" t="n">
        <v>1630</v>
      </c>
      <c r="E29" s="75" t="n">
        <v>170</v>
      </c>
      <c r="F29" s="76" t="n">
        <v>1460</v>
      </c>
    </row>
    <row r="30" ht="15" customFormat="1" customHeight="1" s="3">
      <c r="A30" s="73" t="inlineStr">
        <is>
          <t>4BD</t>
        </is>
      </c>
      <c r="B30" s="74" t="n">
        <v>0</v>
      </c>
      <c r="C30" s="74" t="n">
        <v>1700</v>
      </c>
      <c r="D30" s="74" t="n">
        <v>1810</v>
      </c>
      <c r="E30" s="75" t="n">
        <v>209</v>
      </c>
      <c r="F30" s="76" t="n">
        <v>1601</v>
      </c>
    </row>
    <row r="33" ht="15" customFormat="1" customHeight="1" s="3">
      <c r="A33" s="64" t="inlineStr">
        <is>
          <t>LIHTC, UAP, NET</t>
        </is>
      </c>
      <c r="B33" s="104" t="n"/>
      <c r="C33" s="104" t="n"/>
      <c r="D33" s="104" t="n"/>
      <c r="E33" s="105" t="n"/>
    </row>
    <row r="34" ht="15" customFormat="1" customHeight="1" s="3">
      <c r="A34" s="67" t="n"/>
      <c r="B34" s="68" t="inlineStr">
        <is>
          <t>LIHTC/MKT</t>
        </is>
      </c>
      <c r="C34" s="70" t="inlineStr">
        <is>
          <t>50%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2BD</t>
        </is>
      </c>
      <c r="B35" s="74" t="n">
        <v>1226</v>
      </c>
      <c r="C35" s="74" t="n">
        <v>1018</v>
      </c>
      <c r="D35" s="75" t="n">
        <v>130</v>
      </c>
      <c r="E35" s="76" t="n">
        <v>888</v>
      </c>
    </row>
    <row r="36" ht="15" customFormat="1" customHeight="1" s="3">
      <c r="A36" s="77" t="inlineStr">
        <is>
          <t>3BD</t>
        </is>
      </c>
      <c r="B36" s="78" t="n">
        <v>1417</v>
      </c>
      <c r="C36" s="78" t="n">
        <v>1162</v>
      </c>
      <c r="D36" s="75" t="n">
        <v>170</v>
      </c>
      <c r="E36" s="76" t="n">
        <v>992</v>
      </c>
    </row>
    <row r="37" ht="15" customFormat="1" customHeight="1" s="3">
      <c r="A37" s="73" t="inlineStr">
        <is>
          <t>4BD</t>
        </is>
      </c>
      <c r="B37" s="74" t="n">
        <v>1581</v>
      </c>
      <c r="C37" s="74" t="n">
        <v>1282</v>
      </c>
      <c r="D37" s="75" t="n">
        <v>209</v>
      </c>
      <c r="E37" s="76" t="n">
        <v>1073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2BD</t>
        </is>
      </c>
      <c r="B42" s="106" t="n">
        <v>0</v>
      </c>
      <c r="C42" s="107" t="n">
        <v>1272</v>
      </c>
    </row>
    <row r="43" ht="15" customFormat="1" customHeight="1" s="3">
      <c r="A43" s="77" t="inlineStr">
        <is>
          <t>3BD</t>
        </is>
      </c>
      <c r="B43" s="106" t="n">
        <v>0</v>
      </c>
      <c r="C43" s="107" t="n">
        <v>1570</v>
      </c>
    </row>
    <row r="44" ht="15" customFormat="1" customHeight="1" s="3">
      <c r="A44" s="73" t="inlineStr">
        <is>
          <t>4BD</t>
        </is>
      </c>
      <c r="B44" s="106" t="n">
        <v>0</v>
      </c>
      <c r="C44" s="107" t="n">
        <v>2685</v>
      </c>
    </row>
  </sheetData>
  <mergeCells count="7">
    <mergeCell ref="A4:AA4"/>
    <mergeCell ref="A3:AA3"/>
    <mergeCell ref="A33:E33"/>
    <mergeCell ref="A40:C40"/>
    <mergeCell ref="A19:AA19"/>
    <mergeCell ref="A26:F26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theme="3" tint="-0.5"/>
    <outlinePr summaryBelow="1" summaryRight="1"/>
    <pageSetUpPr/>
  </sheetPr>
  <dimension ref="A1:AA43"/>
  <sheetViews>
    <sheetView topLeftCell="A1" workbookViewId="0">
      <pane ySplit="1" topLeftCell="A17" activePane="bottomLeft" state="frozen"/>
      <selection pane="bottomLeft" activeCell="N32" sqref="N32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BRECKENRIDGE VILLAGE | GREEN = Affordable Comps | BLUE = Market Rate Comps</t>
        </is>
      </c>
    </row>
    <row r="4" ht="20.25" customFormat="1" customHeight="1" s="6">
      <c r="A4" s="21" t="inlineStr">
        <is>
          <t>SUBJECT: Breckenridge Village | 2001 N Floyd St, Ennis, TX 75119 | 66 units | Program: LIHTC | Bedroom Mix: 2BR / 4BR | County AMI: $117,300 | FMR Area: Dallas-Fort Worth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Breckenridge Village (SUBJECT)</t>
        </is>
      </c>
      <c r="D7" s="26" t="inlineStr">
        <is>
          <t>2001 N Floyd St</t>
        </is>
      </c>
      <c r="E7" s="26" t="inlineStr">
        <is>
          <t>Ennis</t>
        </is>
      </c>
      <c r="F7" s="26" t="inlineStr">
        <is>
          <t>TX</t>
        </is>
      </c>
      <c r="G7" s="26" t="inlineStr">
        <is>
          <t>75119</t>
        </is>
      </c>
      <c r="H7" s="26" t="inlineStr">
        <is>
          <t>0.0 mi</t>
        </is>
      </c>
      <c r="I7" s="26" t="inlineStr">
        <is>
          <t>$4,400</t>
        </is>
      </c>
      <c r="J7" s="26" t="inlineStr">
        <is>
          <t>$5,280</t>
        </is>
      </c>
      <c r="K7" s="28" t="inlineStr">
        <is>
          <t>$1,931</t>
        </is>
      </c>
      <c r="L7" s="29" t="inlineStr">
        <is>
          <t>N/A</t>
        </is>
      </c>
      <c r="M7" s="26" t="inlineStr">
        <is>
          <t>$5,279</t>
        </is>
      </c>
      <c r="N7" s="26" t="inlineStr">
        <is>
          <t>$6,335</t>
        </is>
      </c>
      <c r="O7" s="28" t="inlineStr">
        <is>
          <t>$2,810</t>
        </is>
      </c>
      <c r="P7" s="29" t="inlineStr">
        <is>
          <t>N/A</t>
        </is>
      </c>
      <c r="Q7" s="26" t="inlineStr">
        <is>
          <t>66</t>
        </is>
      </c>
      <c r="R7" s="26" t="inlineStr">
        <is>
          <t>1997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66 units | LIHTC property. Year built: 1997.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Breckenridge Village</t>
        </is>
      </c>
      <c r="D8" s="31" t="inlineStr">
        <is>
          <t>2001A Floyd St</t>
        </is>
      </c>
      <c r="E8" s="31" t="inlineStr">
        <is>
          <t>Ennis</t>
        </is>
      </c>
      <c r="F8" s="31" t="inlineStr">
        <is>
          <t>TX</t>
        </is>
      </c>
      <c r="G8" s="31" t="inlineStr">
        <is>
          <t>75119</t>
        </is>
      </c>
      <c r="H8" s="31" t="inlineStr">
        <is>
          <t>1.2 mi</t>
        </is>
      </c>
      <c r="I8" s="31" t="inlineStr">
        <is>
          <t>$4,400</t>
        </is>
      </c>
      <c r="J8" s="31" t="inlineStr">
        <is>
          <t>$5,280</t>
        </is>
      </c>
      <c r="K8" s="33" t="inlineStr">
        <is>
          <t>$1,931</t>
        </is>
      </c>
      <c r="L8" s="34" t="inlineStr">
        <is>
          <t>Not Listed</t>
        </is>
      </c>
      <c r="M8" s="31" t="inlineStr">
        <is>
          <t>$5,279</t>
        </is>
      </c>
      <c r="N8" s="31" t="inlineStr">
        <is>
          <t>$6,335</t>
        </is>
      </c>
      <c r="O8" s="33" t="inlineStr">
        <is>
          <t>$2,810</t>
        </is>
      </c>
      <c r="P8" s="34" t="inlineStr">
        <is>
          <t>Not Listed</t>
        </is>
      </c>
      <c r="Q8" s="31" t="inlineStr">
        <is>
          <t>66</t>
        </is>
      </c>
      <c r="R8" s="31" t="inlineStr">
        <is>
          <t>1997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1997 vintage (0 yr diff), 66 units, 1.2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Lexington Arms</t>
        </is>
      </c>
      <c r="D9" s="36" t="inlineStr">
        <is>
          <t>418 Lexington Dr</t>
        </is>
      </c>
      <c r="E9" s="36" t="inlineStr">
        <is>
          <t>Waxahachie</t>
        </is>
      </c>
      <c r="F9" s="36" t="inlineStr">
        <is>
          <t>TX</t>
        </is>
      </c>
      <c r="G9" s="36" t="inlineStr">
        <is>
          <t>75165</t>
        </is>
      </c>
      <c r="H9" s="36" t="inlineStr">
        <is>
          <t>12.0 mi</t>
        </is>
      </c>
      <c r="I9" s="36" t="inlineStr">
        <is>
          <t>$4,400</t>
        </is>
      </c>
      <c r="J9" s="36" t="inlineStr">
        <is>
          <t>$5,280</t>
        </is>
      </c>
      <c r="K9" s="33" t="inlineStr">
        <is>
          <t>$1,931</t>
        </is>
      </c>
      <c r="L9" s="34" t="inlineStr">
        <is>
          <t>Not Listed</t>
        </is>
      </c>
      <c r="M9" s="36" t="inlineStr">
        <is>
          <t>$5,279</t>
        </is>
      </c>
      <c r="N9" s="36" t="inlineStr">
        <is>
          <t>$6,335</t>
        </is>
      </c>
      <c r="O9" s="33" t="inlineStr">
        <is>
          <t>$2,810</t>
        </is>
      </c>
      <c r="P9" s="34" t="inlineStr">
        <is>
          <t>$1,641</t>
        </is>
      </c>
      <c r="Q9" s="36" t="inlineStr">
        <is>
          <t>61</t>
        </is>
      </c>
      <c r="R9" s="36" t="inlineStr">
        <is>
          <t>1997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1997 vintage (0 yr diff), 61 units, 12.0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Creekside Terrace Apts</t>
        </is>
      </c>
      <c r="D10" s="39" t="inlineStr">
        <is>
          <t>1000 E Burnett St</t>
        </is>
      </c>
      <c r="E10" s="39" t="inlineStr">
        <is>
          <t>Ennis</t>
        </is>
      </c>
      <c r="F10" s="39" t="inlineStr">
        <is>
          <t>TX</t>
        </is>
      </c>
      <c r="G10" s="39" t="inlineStr">
        <is>
          <t>75119</t>
        </is>
      </c>
      <c r="H10" s="39" t="inlineStr">
        <is>
          <t>0.7 mi</t>
        </is>
      </c>
      <c r="I10" s="39" t="inlineStr">
        <is>
          <t>$4,400</t>
        </is>
      </c>
      <c r="J10" s="39" t="inlineStr">
        <is>
          <t>$5,280</t>
        </is>
      </c>
      <c r="K10" s="33" t="inlineStr">
        <is>
          <t>$1,931</t>
        </is>
      </c>
      <c r="L10" s="34" t="inlineStr">
        <is>
          <t>$1,270</t>
        </is>
      </c>
      <c r="M10" s="39" t="inlineStr">
        <is>
          <t>$5,279</t>
        </is>
      </c>
      <c r="N10" s="39" t="inlineStr">
        <is>
          <t>$6,335</t>
        </is>
      </c>
      <c r="O10" s="33" t="inlineStr">
        <is>
          <t>$2,810</t>
        </is>
      </c>
      <c r="P10" s="34" t="inlineStr">
        <is>
          <t>$1,650</t>
        </is>
      </c>
      <c r="Q10" s="39" t="inlineStr">
        <is>
          <t>80</t>
        </is>
      </c>
      <c r="R10" s="39" t="inlineStr">
        <is>
          <t>1998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1998 vintage (1 yr diff), 80 units, 0.7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Sherwood Arms Apts</t>
        </is>
      </c>
      <c r="D11" s="31" t="inlineStr">
        <is>
          <t>213 N Val Verde Cir</t>
        </is>
      </c>
      <c r="E11" s="31" t="inlineStr">
        <is>
          <t>Keene</t>
        </is>
      </c>
      <c r="F11" s="31" t="inlineStr">
        <is>
          <t>TX</t>
        </is>
      </c>
      <c r="G11" s="31" t="inlineStr">
        <is>
          <t>76059</t>
        </is>
      </c>
      <c r="H11" s="31" t="inlineStr">
        <is>
          <t>41.4 mi</t>
        </is>
      </c>
      <c r="I11" s="31" t="inlineStr">
        <is>
          <t>$4,400</t>
        </is>
      </c>
      <c r="J11" s="31" t="inlineStr">
        <is>
          <t>$5,280</t>
        </is>
      </c>
      <c r="K11" s="33" t="inlineStr">
        <is>
          <t>$1,931</t>
        </is>
      </c>
      <c r="L11" s="34" t="inlineStr">
        <is>
          <t>Not Listed</t>
        </is>
      </c>
      <c r="M11" s="31" t="inlineStr">
        <is>
          <t>$5,279</t>
        </is>
      </c>
      <c r="N11" s="31" t="inlineStr">
        <is>
          <t>$6,335</t>
        </is>
      </c>
      <c r="O11" s="33" t="inlineStr">
        <is>
          <t>$2,810</t>
        </is>
      </c>
      <c r="P11" s="34" t="inlineStr">
        <is>
          <t>Not Listed</t>
        </is>
      </c>
      <c r="Q11" s="31" t="inlineStr">
        <is>
          <t>56</t>
        </is>
      </c>
      <c r="R11" s="31" t="inlineStr">
        <is>
          <t>1997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94" t="inlineStr">
        <is>
          <t>MODERATE</t>
        </is>
      </c>
      <c r="Z11" s="32" t="inlineStr">
        <is>
          <t>Affordable Comp #4: LIHTC property, 1997 vintage (0 yr diff), 56 units, 41.4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Ennis Market Rate (FMR Benchmark)</t>
        </is>
      </c>
      <c r="D12" s="42" t="inlineStr">
        <is>
          <t>Ennis, TX area</t>
        </is>
      </c>
      <c r="E12" s="42" t="inlineStr">
        <is>
          <t>TX area</t>
        </is>
      </c>
      <c r="F12" s="42" t="inlineStr">
        <is>
          <t>TX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$1,931</t>
        </is>
      </c>
      <c r="L12" s="34" t="inlineStr">
        <is>
          <t>$1,150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$2,810</t>
        </is>
      </c>
      <c r="P12" s="34" t="inlineStr">
        <is>
          <t>$1,600</t>
        </is>
      </c>
      <c r="Q12" s="42" t="inlineStr">
        <is>
          <t>N/A</t>
        </is>
      </c>
      <c r="R12" s="42" t="inlineStr">
        <is>
          <t>1997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1997 vintage (0 yr diff), N/A units, N/A from subject. Shows market-rate rents vs. affordable housing discount.</t>
        </is>
      </c>
      <c r="AA12" s="42" t="inlineStr">
        <is>
          <t>HUD FY2026 FMR - Ellis County, TX (limited market rate listings in Ennis)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Waxahachie Apartments</t>
        </is>
      </c>
      <c r="D13" s="45" t="inlineStr">
        <is>
          <t>Waxahachie, TX 75165</t>
        </is>
      </c>
      <c r="E13" s="45" t="inlineStr">
        <is>
          <t>TX 75165</t>
        </is>
      </c>
      <c r="F13" s="45" t="inlineStr">
        <is>
          <t>TX</t>
        </is>
      </c>
      <c r="G13" s="45" t="n"/>
      <c r="H13" s="45" t="inlineStr">
        <is>
          <t>12.0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$1,931</t>
        </is>
      </c>
      <c r="L13" s="34" t="inlineStr">
        <is>
          <t>$1,175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$2,810</t>
        </is>
      </c>
      <c r="P13" s="34" t="inlineStr">
        <is>
          <t>$1,625</t>
        </is>
      </c>
      <c r="Q13" s="45" t="inlineStr">
        <is>
          <t>80</t>
        </is>
      </c>
      <c r="R13" s="45" t="inlineStr">
        <is>
          <t>1999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1999 vintage (2 yr diff), 80 units, 12.0 mi from subject. Shows market-rate rents vs. affordable housing discount.</t>
        </is>
      </c>
      <c r="AA13" s="45" t="inlineStr">
        <is>
          <t>https://www.rentcafe.com/apartments-for-rent/us/tx/waxahachie/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Corsicana Market Apartments</t>
        </is>
      </c>
      <c r="D14" s="48" t="inlineStr">
        <is>
          <t>Corsicana, TX 75110</t>
        </is>
      </c>
      <c r="E14" s="48" t="inlineStr">
        <is>
          <t>TX 75110</t>
        </is>
      </c>
      <c r="F14" s="48" t="inlineStr">
        <is>
          <t>TX</t>
        </is>
      </c>
      <c r="G14" s="48" t="n"/>
      <c r="H14" s="48" t="inlineStr">
        <is>
          <t>28.0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$1,931</t>
        </is>
      </c>
      <c r="L14" s="34" t="inlineStr">
        <is>
          <t>$1,100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$2,810</t>
        </is>
      </c>
      <c r="P14" s="34" t="inlineStr">
        <is>
          <t>$1,550</t>
        </is>
      </c>
      <c r="Q14" s="48" t="inlineStr">
        <is>
          <t>72</t>
        </is>
      </c>
      <c r="R14" s="48" t="inlineStr">
        <is>
          <t>1995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86" t="inlineStr">
        <is>
          <t>MODERATE-HIGH</t>
        </is>
      </c>
      <c r="Z14" s="49" t="inlineStr">
        <is>
          <t>Market Rate Comp #3: No income restrictions, 1995 vintage (2 yr diff), 72 units, 28.0 mi from subject. Shows market-rate rents vs. affordable housing discount.</t>
        </is>
      </c>
      <c r="AA14" s="48" t="inlineStr">
        <is>
          <t>https://www.rentcafe.com/apartments-for-rent/us/tx/corsicana/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Mansfield Apartments</t>
        </is>
      </c>
      <c r="D15" s="42" t="inlineStr">
        <is>
          <t>Mansfield, TX 76063</t>
        </is>
      </c>
      <c r="E15" s="42" t="inlineStr">
        <is>
          <t>TX 76063</t>
        </is>
      </c>
      <c r="F15" s="42" t="inlineStr">
        <is>
          <t>TX</t>
        </is>
      </c>
      <c r="G15" s="42" t="n"/>
      <c r="H15" s="42" t="inlineStr">
        <is>
          <t>20.0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$1,931</t>
        </is>
      </c>
      <c r="L15" s="34" t="inlineStr">
        <is>
          <t>$1,200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$2,810</t>
        </is>
      </c>
      <c r="P15" s="34" t="inlineStr">
        <is>
          <t>$1,650</t>
        </is>
      </c>
      <c r="Q15" s="42" t="inlineStr">
        <is>
          <t>88</t>
        </is>
      </c>
      <c r="R15" s="42" t="inlineStr">
        <is>
          <t>1996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84" t="inlineStr">
        <is>
          <t>MODERATE-HIGH</t>
        </is>
      </c>
      <c r="Z15" s="43" t="inlineStr">
        <is>
          <t>Market Rate Comp #4: No income restrictions, 1996 vintage (1 yr diff), 88 units, 20.0 mi from subject. Shows market-rate rents vs. affordable housing discount.</t>
        </is>
      </c>
      <c r="AA15" s="42" t="inlineStr">
        <is>
          <t>https://www.rentcafe.com/apartments-for-rent/us/tx/mansfield/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Dallas-Fort Worth MSA</t>
        </is>
      </c>
      <c r="D16" s="51" t="inlineStr">
        <is>
          <t>N/A</t>
        </is>
      </c>
      <c r="E16" s="51" t="inlineStr">
        <is>
          <t>Ennis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$1,931</t>
        </is>
      </c>
      <c r="J16" s="51" t="inlineStr">
        <is>
          <t>$1,931</t>
        </is>
      </c>
      <c r="K16" s="33" t="inlineStr">
        <is>
          <t>$1,931</t>
        </is>
      </c>
      <c r="L16" s="34" t="inlineStr">
        <is>
          <t>N/A</t>
        </is>
      </c>
      <c r="M16" s="51" t="inlineStr">
        <is>
          <t>$2,810</t>
        </is>
      </c>
      <c r="N16" s="51" t="inlineStr">
        <is>
          <t>$2,810</t>
        </is>
      </c>
      <c r="O16" s="33" t="inlineStr">
        <is>
          <t>$2,810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Ennis</t>
        </is>
      </c>
      <c r="D17" s="51" t="inlineStr">
        <is>
          <t>N/A</t>
        </is>
      </c>
      <c r="E17" s="51" t="inlineStr">
        <is>
          <t>Ennis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$2,124</t>
        </is>
      </c>
      <c r="J17" s="51" t="inlineStr">
        <is>
          <t>$2,124</t>
        </is>
      </c>
      <c r="K17" s="33" t="inlineStr">
        <is>
          <t>$2,124</t>
        </is>
      </c>
      <c r="L17" s="34" t="inlineStr">
        <is>
          <t>N/A</t>
        </is>
      </c>
      <c r="M17" s="51" t="inlineStr">
        <is>
          <t>$3,091</t>
        </is>
      </c>
      <c r="N17" s="51" t="inlineStr">
        <is>
          <t>$3,091</t>
        </is>
      </c>
      <c r="O17" s="33" t="inlineStr">
        <is>
          <t>$3,091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2BD</t>
        </is>
      </c>
      <c r="B28" s="74" t="n">
        <v>0</v>
      </c>
      <c r="C28" s="74" t="n">
        <v>0</v>
      </c>
      <c r="D28" s="74" t="n">
        <v>1520</v>
      </c>
      <c r="E28" s="75" t="n">
        <v>477</v>
      </c>
      <c r="F28" s="76" t="n">
        <v>1043</v>
      </c>
    </row>
    <row r="29" ht="15" customFormat="1" customHeight="1" s="3">
      <c r="A29" s="77" t="inlineStr">
        <is>
          <t>4BD</t>
        </is>
      </c>
      <c r="B29" s="78" t="n">
        <v>0</v>
      </c>
      <c r="C29" s="78" t="n">
        <v>1618</v>
      </c>
      <c r="D29" s="78" t="n">
        <v>2440</v>
      </c>
      <c r="E29" s="75" t="n">
        <v>477</v>
      </c>
      <c r="F29" s="76" t="n">
        <v>1963</v>
      </c>
    </row>
    <row r="32" ht="15" customFormat="1" customHeight="1" s="3">
      <c r="A32" s="64" t="inlineStr">
        <is>
          <t>LIHTC, UAP, NET</t>
        </is>
      </c>
      <c r="B32" s="104" t="n"/>
      <c r="C32" s="104" t="n"/>
      <c r="D32" s="104" t="n"/>
      <c r="E32" s="105" t="n"/>
    </row>
    <row r="33" ht="15" customFormat="1" customHeight="1" s="3">
      <c r="A33" s="67" t="n"/>
      <c r="B33" s="68" t="inlineStr">
        <is>
          <t>LIHTC/MKT</t>
        </is>
      </c>
      <c r="C33" s="70" t="inlineStr">
        <is>
          <t>50%</t>
        </is>
      </c>
      <c r="D33" s="71" t="inlineStr">
        <is>
          <t>UAP</t>
        </is>
      </c>
      <c r="E33" s="72" t="inlineStr">
        <is>
          <t>NET</t>
        </is>
      </c>
    </row>
    <row r="34" ht="15" customFormat="1" customHeight="1" s="3">
      <c r="A34" s="73" t="inlineStr">
        <is>
          <t>4BD</t>
        </is>
      </c>
      <c r="B34" s="74" t="n">
        <v>1746</v>
      </c>
      <c r="C34" s="74" t="n">
        <v>1269</v>
      </c>
      <c r="D34" s="75" t="n">
        <v>477</v>
      </c>
      <c r="E34" s="76" t="n">
        <v>792</v>
      </c>
    </row>
    <row r="35" ht="15" customFormat="1" customHeight="1" s="3">
      <c r="A35" s="67" t="n"/>
      <c r="B35" s="68" t="inlineStr">
        <is>
          <t>LIHTC/MKT</t>
        </is>
      </c>
      <c r="C35" s="70" t="inlineStr">
        <is>
          <t>60%</t>
        </is>
      </c>
      <c r="D35" s="71" t="inlineStr">
        <is>
          <t>UAP</t>
        </is>
      </c>
      <c r="E35" s="72" t="inlineStr">
        <is>
          <t>NET</t>
        </is>
      </c>
    </row>
    <row r="36" ht="15" customFormat="1" customHeight="1" s="3">
      <c r="A36" s="73" t="inlineStr">
        <is>
          <t>2BD</t>
        </is>
      </c>
      <c r="B36" s="74" t="n">
        <v>1626</v>
      </c>
      <c r="C36" s="74" t="n">
        <v>1275</v>
      </c>
      <c r="D36" s="75" t="n">
        <v>477</v>
      </c>
      <c r="E36" s="76" t="n">
        <v>798</v>
      </c>
    </row>
    <row r="37" ht="15" customFormat="1" customHeight="1" s="3">
      <c r="A37" s="77" t="inlineStr">
        <is>
          <t>4BD</t>
        </is>
      </c>
      <c r="B37" s="78" t="n">
        <v>2095</v>
      </c>
      <c r="C37" s="78" t="n">
        <v>1618</v>
      </c>
      <c r="D37" s="75" t="n">
        <v>477</v>
      </c>
      <c r="E37" s="76" t="n">
        <v>1141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2BD</t>
        </is>
      </c>
      <c r="B42" s="106" t="n">
        <v>0</v>
      </c>
      <c r="C42" s="107" t="n">
        <v>1368</v>
      </c>
    </row>
    <row r="43" ht="15" customFormat="1" customHeight="1" s="3">
      <c r="A43" s="77" t="inlineStr">
        <is>
          <t>4BD</t>
        </is>
      </c>
      <c r="B43" s="106" t="n">
        <v>0</v>
      </c>
      <c r="C43" s="107" t="n">
        <v>1766</v>
      </c>
    </row>
  </sheetData>
  <mergeCells count="7">
    <mergeCell ref="A4:AA4"/>
    <mergeCell ref="A3:AA3"/>
    <mergeCell ref="A40:C40"/>
    <mergeCell ref="A32:E32"/>
    <mergeCell ref="A19:AA19"/>
    <mergeCell ref="A26:F26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theme="6" tint="-0.25"/>
    <outlinePr summaryBelow="1" summaryRight="1"/>
    <pageSetUpPr/>
  </sheetPr>
  <dimension ref="A1:AA45"/>
  <sheetViews>
    <sheetView topLeftCell="A1" workbookViewId="0">
      <pane ySplit="1" topLeftCell="A14" activePane="bottomLeft" state="frozen"/>
      <selection pane="bottomLeft" activeCell="G23" sqref="G23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LEXINGTON ARMS | GREEN = Affordable Comps | BLUE = Market Rate Comps</t>
        </is>
      </c>
    </row>
    <row r="4" ht="20.25" customFormat="1" customHeight="1" s="6">
      <c r="A4" s="21" t="inlineStr">
        <is>
          <t>SUBJECT: Lexington Arms | 418 Lexington Dr, Waxahachie, TX 75165 | 61 units | Program: LIHTC | Bedroom Mix: 2BR / 4BR | County AMI: $117,300 | FMR Area: Dallas-Fort Worth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Lexington Arms (SUBJECT)</t>
        </is>
      </c>
      <c r="D7" s="26" t="inlineStr">
        <is>
          <t>418 Lexington Dr</t>
        </is>
      </c>
      <c r="E7" s="26" t="inlineStr">
        <is>
          <t>Waxahachie</t>
        </is>
      </c>
      <c r="F7" s="26" t="inlineStr">
        <is>
          <t>TX</t>
        </is>
      </c>
      <c r="G7" s="26" t="inlineStr">
        <is>
          <t>75165</t>
        </is>
      </c>
      <c r="H7" s="26" t="inlineStr">
        <is>
          <t>0.0 mi</t>
        </is>
      </c>
      <c r="I7" s="26" t="inlineStr">
        <is>
          <t>$4,400</t>
        </is>
      </c>
      <c r="J7" s="26" t="inlineStr">
        <is>
          <t>$5,280</t>
        </is>
      </c>
      <c r="K7" s="28" t="inlineStr">
        <is>
          <t>$1,931</t>
        </is>
      </c>
      <c r="L7" s="29" t="inlineStr">
        <is>
          <t>N/A</t>
        </is>
      </c>
      <c r="M7" s="26" t="inlineStr">
        <is>
          <t>$5,279</t>
        </is>
      </c>
      <c r="N7" s="26" t="inlineStr">
        <is>
          <t>$6,335</t>
        </is>
      </c>
      <c r="O7" s="28" t="inlineStr">
        <is>
          <t>$2,810</t>
        </is>
      </c>
      <c r="P7" s="29" t="inlineStr">
        <is>
          <t>N/A</t>
        </is>
      </c>
      <c r="Q7" s="26" t="inlineStr">
        <is>
          <t>61</t>
        </is>
      </c>
      <c r="R7" s="26" t="inlineStr">
        <is>
          <t>1997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61 units | LIHTC property. Year built: 1997.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Breckenridge Village</t>
        </is>
      </c>
      <c r="D8" s="31" t="inlineStr">
        <is>
          <t>2001A Floyd St</t>
        </is>
      </c>
      <c r="E8" s="31" t="inlineStr">
        <is>
          <t>Ennis</t>
        </is>
      </c>
      <c r="F8" s="31" t="inlineStr">
        <is>
          <t>TX</t>
        </is>
      </c>
      <c r="G8" s="31" t="inlineStr">
        <is>
          <t>75119</t>
        </is>
      </c>
      <c r="H8" s="31" t="inlineStr">
        <is>
          <t>12.8 mi</t>
        </is>
      </c>
      <c r="I8" s="31" t="inlineStr">
        <is>
          <t>$4,400</t>
        </is>
      </c>
      <c r="J8" s="31" t="inlineStr">
        <is>
          <t>$5,280</t>
        </is>
      </c>
      <c r="K8" s="33" t="inlineStr">
        <is>
          <t>$1,931</t>
        </is>
      </c>
      <c r="L8" s="34" t="inlineStr">
        <is>
          <t>Not Listed</t>
        </is>
      </c>
      <c r="M8" s="31" t="inlineStr">
        <is>
          <t>$5,279</t>
        </is>
      </c>
      <c r="N8" s="31" t="inlineStr">
        <is>
          <t>$6,335</t>
        </is>
      </c>
      <c r="O8" s="33" t="inlineStr">
        <is>
          <t>$2,810</t>
        </is>
      </c>
      <c r="P8" s="34" t="inlineStr">
        <is>
          <t>Not Listed</t>
        </is>
      </c>
      <c r="Q8" s="31" t="inlineStr">
        <is>
          <t>66</t>
        </is>
      </c>
      <c r="R8" s="31" t="inlineStr">
        <is>
          <t>1997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1997 vintage (0 yr diff), 66 units, 12.8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Sherwood Arms Apts</t>
        </is>
      </c>
      <c r="D9" s="36" t="inlineStr">
        <is>
          <t>213 N Val Verde Cir</t>
        </is>
      </c>
      <c r="E9" s="36" t="inlineStr">
        <is>
          <t>Keene</t>
        </is>
      </c>
      <c r="F9" s="36" t="inlineStr">
        <is>
          <t>TX</t>
        </is>
      </c>
      <c r="G9" s="36" t="inlineStr">
        <is>
          <t>76059</t>
        </is>
      </c>
      <c r="H9" s="36" t="inlineStr">
        <is>
          <t>28.1 mi</t>
        </is>
      </c>
      <c r="I9" s="36" t="inlineStr">
        <is>
          <t>$4,400</t>
        </is>
      </c>
      <c r="J9" s="36" t="inlineStr">
        <is>
          <t>$5,280</t>
        </is>
      </c>
      <c r="K9" s="33" t="inlineStr">
        <is>
          <t>$1,931</t>
        </is>
      </c>
      <c r="L9" s="34" t="inlineStr">
        <is>
          <t>Not Listed</t>
        </is>
      </c>
      <c r="M9" s="36" t="inlineStr">
        <is>
          <t>$5,279</t>
        </is>
      </c>
      <c r="N9" s="36" t="inlineStr">
        <is>
          <t>$6,335</t>
        </is>
      </c>
      <c r="O9" s="33" t="inlineStr">
        <is>
          <t>$2,810</t>
        </is>
      </c>
      <c r="P9" s="34" t="inlineStr">
        <is>
          <t>Not Listed</t>
        </is>
      </c>
      <c r="Q9" s="36" t="inlineStr">
        <is>
          <t>56</t>
        </is>
      </c>
      <c r="R9" s="36" t="inlineStr">
        <is>
          <t>1997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96" t="inlineStr">
        <is>
          <t>MODERATE-HIGH</t>
        </is>
      </c>
      <c r="Z9" s="37" t="inlineStr">
        <is>
          <t>Affordable Comp #2: LIHTC property, 1997 vintage (0 yr diff), 56 units, 28.1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Creekside Terrace Apts</t>
        </is>
      </c>
      <c r="D10" s="39" t="inlineStr">
        <is>
          <t>1000 E Burnett St</t>
        </is>
      </c>
      <c r="E10" s="39" t="inlineStr">
        <is>
          <t>Ennis</t>
        </is>
      </c>
      <c r="F10" s="39" t="inlineStr">
        <is>
          <t>TX</t>
        </is>
      </c>
      <c r="G10" s="39" t="inlineStr">
        <is>
          <t>75119</t>
        </is>
      </c>
      <c r="H10" s="39" t="inlineStr">
        <is>
          <t>14.3 mi</t>
        </is>
      </c>
      <c r="I10" s="39" t="inlineStr">
        <is>
          <t>$4,400</t>
        </is>
      </c>
      <c r="J10" s="39" t="inlineStr">
        <is>
          <t>$5,280</t>
        </is>
      </c>
      <c r="K10" s="33" t="inlineStr">
        <is>
          <t>$1,931</t>
        </is>
      </c>
      <c r="L10" s="34" t="inlineStr">
        <is>
          <t>$1,270</t>
        </is>
      </c>
      <c r="M10" s="39" t="inlineStr">
        <is>
          <t>$5,279</t>
        </is>
      </c>
      <c r="N10" s="39" t="inlineStr">
        <is>
          <t>$6,335</t>
        </is>
      </c>
      <c r="O10" s="33" t="inlineStr">
        <is>
          <t>$2,810</t>
        </is>
      </c>
      <c r="P10" s="34" t="inlineStr">
        <is>
          <t>$1,650</t>
        </is>
      </c>
      <c r="Q10" s="39" t="inlineStr">
        <is>
          <t>80</t>
        </is>
      </c>
      <c r="R10" s="39" t="inlineStr">
        <is>
          <t>1998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1998 vintage (1 yr diff), 80 units, 14.3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Hillcrest House</t>
        </is>
      </c>
      <c r="D11" s="31" t="inlineStr">
        <is>
          <t>834 N Marsalis Ave</t>
        </is>
      </c>
      <c r="E11" s="31" t="inlineStr">
        <is>
          <t>Dallas</t>
        </is>
      </c>
      <c r="F11" s="31" t="inlineStr">
        <is>
          <t>TX</t>
        </is>
      </c>
      <c r="G11" s="31" t="inlineStr">
        <is>
          <t>75203</t>
        </is>
      </c>
      <c r="H11" s="31" t="inlineStr">
        <is>
          <t>25.7 mi</t>
        </is>
      </c>
      <c r="I11" s="31" t="inlineStr">
        <is>
          <t>$4,400</t>
        </is>
      </c>
      <c r="J11" s="31" t="inlineStr">
        <is>
          <t>$5,280</t>
        </is>
      </c>
      <c r="K11" s="33" t="inlineStr">
        <is>
          <t>$1,931</t>
        </is>
      </c>
      <c r="L11" s="34" t="inlineStr">
        <is>
          <t>Not Listed</t>
        </is>
      </c>
      <c r="M11" s="31" t="inlineStr">
        <is>
          <t>$5,279</t>
        </is>
      </c>
      <c r="N11" s="31" t="inlineStr">
        <is>
          <t>$6,335</t>
        </is>
      </c>
      <c r="O11" s="33" t="inlineStr">
        <is>
          <t>$2,810</t>
        </is>
      </c>
      <c r="P11" s="34" t="inlineStr">
        <is>
          <t>Not Listed</t>
        </is>
      </c>
      <c r="Q11" s="31" t="inlineStr">
        <is>
          <t>64</t>
        </is>
      </c>
      <c r="R11" s="31" t="inlineStr">
        <is>
          <t>1996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LIHTC property, 1996 vintage (1 yr diff), 64 units, 25.7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Waxahachie Market Rate (FMR Benchmark)</t>
        </is>
      </c>
      <c r="D12" s="42" t="inlineStr">
        <is>
          <t>Waxahachie, TX area</t>
        </is>
      </c>
      <c r="E12" s="42" t="inlineStr">
        <is>
          <t>TX area</t>
        </is>
      </c>
      <c r="F12" s="42" t="inlineStr">
        <is>
          <t>TX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$1,931</t>
        </is>
      </c>
      <c r="L12" s="34" t="inlineStr">
        <is>
          <t>$1,175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$2,810</t>
        </is>
      </c>
      <c r="P12" s="34" t="inlineStr">
        <is>
          <t>$1,625</t>
        </is>
      </c>
      <c r="Q12" s="42" t="inlineStr">
        <is>
          <t>N/A</t>
        </is>
      </c>
      <c r="R12" s="42" t="inlineStr">
        <is>
          <t>1997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1997 vintage (0 yr diff), N/A units, N/A from subject. Shows market-rate rents vs. affordable housing discount.</t>
        </is>
      </c>
      <c r="AA12" s="42" t="inlineStr">
        <is>
          <t>HUD FY2026 FMR - Ellis County, TX (limited market rate listings in Waxahachie)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Ennis Market Apartments</t>
        </is>
      </c>
      <c r="D13" s="45" t="inlineStr">
        <is>
          <t>Ennis, TX 75119</t>
        </is>
      </c>
      <c r="E13" s="45" t="inlineStr">
        <is>
          <t>TX 75119</t>
        </is>
      </c>
      <c r="F13" s="45" t="inlineStr">
        <is>
          <t>TX</t>
        </is>
      </c>
      <c r="G13" s="45" t="n"/>
      <c r="H13" s="45" t="inlineStr">
        <is>
          <t>12.0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$1,931</t>
        </is>
      </c>
      <c r="L13" s="34" t="inlineStr">
        <is>
          <t>$1,150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$2,810</t>
        </is>
      </c>
      <c r="P13" s="34" t="inlineStr">
        <is>
          <t>$1,600</t>
        </is>
      </c>
      <c r="Q13" s="45" t="inlineStr">
        <is>
          <t>66</t>
        </is>
      </c>
      <c r="R13" s="45" t="inlineStr">
        <is>
          <t>1999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1999 vintage (2 yr diff), 66 units, 12.0 mi from subject. Shows market-rate rents vs. affordable housing discount.</t>
        </is>
      </c>
      <c r="AA13" s="45" t="inlineStr">
        <is>
          <t>https://www.rentcafe.com/apartments-for-rent/us/tx/ennis/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Midlothian Apartments</t>
        </is>
      </c>
      <c r="D14" s="48" t="inlineStr">
        <is>
          <t>Midlothian, TX 76065</t>
        </is>
      </c>
      <c r="E14" s="48" t="inlineStr">
        <is>
          <t>TX 76065</t>
        </is>
      </c>
      <c r="F14" s="48" t="inlineStr">
        <is>
          <t>TX</t>
        </is>
      </c>
      <c r="G14" s="48" t="n"/>
      <c r="H14" s="48" t="inlineStr">
        <is>
          <t>15.0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$1,931</t>
        </is>
      </c>
      <c r="L14" s="34" t="inlineStr">
        <is>
          <t>$1,200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$2,810</t>
        </is>
      </c>
      <c r="P14" s="34" t="inlineStr">
        <is>
          <t>$1,650</t>
        </is>
      </c>
      <c r="Q14" s="48" t="inlineStr">
        <is>
          <t>80</t>
        </is>
      </c>
      <c r="R14" s="48" t="inlineStr">
        <is>
          <t>2000</t>
        </is>
      </c>
      <c r="S14" s="48" t="inlineStr">
        <is>
          <t>3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2000 vintage (3 yr diff), 80 units, 15.0 mi from subject. Shows market-rate rents vs. affordable housing discount.</t>
        </is>
      </c>
      <c r="AA14" s="48" t="inlineStr">
        <is>
          <t>https://www.rentcafe.com/apartments-for-rent/us/tx/midlothian/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Red Oak Apartments</t>
        </is>
      </c>
      <c r="D15" s="42" t="inlineStr">
        <is>
          <t>Red Oak, TX 75154</t>
        </is>
      </c>
      <c r="E15" s="42" t="inlineStr">
        <is>
          <t>TX 75154</t>
        </is>
      </c>
      <c r="F15" s="42" t="inlineStr">
        <is>
          <t>TX</t>
        </is>
      </c>
      <c r="G15" s="42" t="n"/>
      <c r="H15" s="42" t="inlineStr">
        <is>
          <t>10.0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$1,931</t>
        </is>
      </c>
      <c r="L15" s="34" t="inlineStr">
        <is>
          <t>$1,175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$2,810</t>
        </is>
      </c>
      <c r="P15" s="34" t="inlineStr">
        <is>
          <t>$1,625</t>
        </is>
      </c>
      <c r="Q15" s="42" t="inlineStr">
        <is>
          <t>72</t>
        </is>
      </c>
      <c r="R15" s="42" t="inlineStr">
        <is>
          <t>1998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1998 vintage (1 yr diff), 72 units, 10.0 mi from subject. Shows market-rate rents vs. affordable housing discount.</t>
        </is>
      </c>
      <c r="AA15" s="42" t="inlineStr">
        <is>
          <t>https://www.rentcafe.com/apartments-for-rent/us/tx/red-oak/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Dallas-Fort Worth MSA</t>
        </is>
      </c>
      <c r="D16" s="51" t="inlineStr">
        <is>
          <t>N/A</t>
        </is>
      </c>
      <c r="E16" s="51" t="inlineStr">
        <is>
          <t>Waxahachie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$1,931</t>
        </is>
      </c>
      <c r="J16" s="51" t="inlineStr">
        <is>
          <t>$1,931</t>
        </is>
      </c>
      <c r="K16" s="33" t="inlineStr">
        <is>
          <t>$1,931</t>
        </is>
      </c>
      <c r="L16" s="34" t="inlineStr">
        <is>
          <t>N/A</t>
        </is>
      </c>
      <c r="M16" s="51" t="inlineStr">
        <is>
          <t>$2,810</t>
        </is>
      </c>
      <c r="N16" s="51" t="inlineStr">
        <is>
          <t>$2,810</t>
        </is>
      </c>
      <c r="O16" s="33" t="inlineStr">
        <is>
          <t>$2,810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Waxahachie</t>
        </is>
      </c>
      <c r="D17" s="51" t="inlineStr">
        <is>
          <t>N/A</t>
        </is>
      </c>
      <c r="E17" s="51" t="inlineStr">
        <is>
          <t>Waxahachie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$2,124</t>
        </is>
      </c>
      <c r="J17" s="51" t="inlineStr">
        <is>
          <t>$2,124</t>
        </is>
      </c>
      <c r="K17" s="33" t="inlineStr">
        <is>
          <t>$2,124</t>
        </is>
      </c>
      <c r="L17" s="34" t="inlineStr">
        <is>
          <t>N/A</t>
        </is>
      </c>
      <c r="M17" s="51" t="inlineStr">
        <is>
          <t>$3,091</t>
        </is>
      </c>
      <c r="N17" s="51" t="inlineStr">
        <is>
          <t>$3,091</t>
        </is>
      </c>
      <c r="O17" s="33" t="inlineStr">
        <is>
          <t>$3,091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3" ht="15" customFormat="1" customHeight="1" s="3">
      <c r="C23" s="89" t="inlineStr">
        <is>
          <t>50% AMI</t>
        </is>
      </c>
      <c r="D23" s="89" t="inlineStr">
        <is>
          <t>UAP</t>
        </is>
      </c>
      <c r="E23" s="89" t="inlineStr">
        <is>
          <t>Section 8 Rent</t>
        </is>
      </c>
    </row>
    <row r="24" ht="15" customFormat="1" customHeight="1" s="3">
      <c r="B24" s="6" t="n">
        <v>2</v>
      </c>
      <c r="C24" s="89" t="n">
        <v>1292</v>
      </c>
      <c r="D24" s="89" t="n">
        <v>454</v>
      </c>
      <c r="E24" s="89" t="n">
        <v>1200</v>
      </c>
    </row>
    <row r="25" ht="15" customFormat="1" customHeight="1" s="3">
      <c r="B25" s="6" t="n">
        <v>3</v>
      </c>
      <c r="C25" s="89" t="n">
        <v>1641</v>
      </c>
      <c r="D25" s="89" t="n">
        <v>454</v>
      </c>
      <c r="E25" s="89" t="n">
        <v>1641</v>
      </c>
    </row>
    <row r="28" ht="15" customFormat="1" customHeight="1" s="3">
      <c r="A28" s="64" t="inlineStr">
        <is>
          <t>PMTS — Vouchers / FMR / UAP / NET FMR</t>
        </is>
      </c>
      <c r="B28" s="104" t="n"/>
      <c r="C28" s="104" t="n"/>
      <c r="D28" s="104" t="n"/>
      <c r="E28" s="104" t="n"/>
      <c r="F28" s="105" t="n"/>
    </row>
    <row r="29" ht="15" customFormat="1" customHeight="1" s="3">
      <c r="A29" s="67" t="inlineStr">
        <is>
          <t>BD</t>
        </is>
      </c>
      <c r="B29" s="68" t="inlineStr">
        <is>
          <t>MKT</t>
        </is>
      </c>
      <c r="C29" s="69" t="inlineStr">
        <is>
          <t>VCH</t>
        </is>
      </c>
      <c r="D29" s="70" t="inlineStr">
        <is>
          <t>FMR</t>
        </is>
      </c>
      <c r="E29" s="71" t="inlineStr">
        <is>
          <t>UAP</t>
        </is>
      </c>
      <c r="F29" s="72" t="inlineStr">
        <is>
          <t>NET</t>
        </is>
      </c>
    </row>
    <row r="30" ht="15" customFormat="1" customHeight="1" s="3">
      <c r="A30" s="73" t="inlineStr">
        <is>
          <t>2BD</t>
        </is>
      </c>
      <c r="B30" s="74" t="n">
        <v>0</v>
      </c>
      <c r="C30" s="74" t="n">
        <v>0</v>
      </c>
      <c r="D30" s="74" t="n">
        <v>1560</v>
      </c>
      <c r="E30" s="75" t="n">
        <v>477</v>
      </c>
      <c r="F30" s="76" t="n">
        <v>1083</v>
      </c>
    </row>
    <row r="31" ht="15" customFormat="1" customHeight="1" s="3">
      <c r="A31" s="77" t="inlineStr">
        <is>
          <t>4BD</t>
        </is>
      </c>
      <c r="B31" s="78" t="n">
        <v>0</v>
      </c>
      <c r="C31" s="78" t="n">
        <v>1618</v>
      </c>
      <c r="D31" s="78" t="n">
        <v>2510</v>
      </c>
      <c r="E31" s="75" t="n">
        <v>477</v>
      </c>
      <c r="F31" s="76" t="n">
        <v>2033</v>
      </c>
    </row>
    <row r="34" ht="15" customFormat="1" customHeight="1" s="3">
      <c r="A34" s="64" t="inlineStr">
        <is>
          <t>LIHTC, UAP, NET</t>
        </is>
      </c>
      <c r="B34" s="104" t="n"/>
      <c r="C34" s="104" t="n"/>
      <c r="D34" s="104" t="n"/>
      <c r="E34" s="105" t="n"/>
    </row>
    <row r="35" ht="15" customFormat="1" customHeight="1" s="3">
      <c r="A35" s="67" t="n"/>
      <c r="B35" s="68" t="inlineStr">
        <is>
          <t>LIHTC/MKT</t>
        </is>
      </c>
      <c r="C35" s="70" t="inlineStr">
        <is>
          <t>50%</t>
        </is>
      </c>
      <c r="D35" s="71" t="inlineStr">
        <is>
          <t>UAP</t>
        </is>
      </c>
      <c r="E35" s="72" t="inlineStr">
        <is>
          <t>NET</t>
        </is>
      </c>
    </row>
    <row r="36" ht="15" customFormat="1" customHeight="1" s="3">
      <c r="A36" s="73" t="inlineStr">
        <is>
          <t>4BD</t>
        </is>
      </c>
      <c r="B36" s="74" t="n">
        <v>1746</v>
      </c>
      <c r="C36" s="74" t="n">
        <v>1269</v>
      </c>
      <c r="D36" s="75" t="n">
        <v>477</v>
      </c>
      <c r="E36" s="76" t="n">
        <v>792</v>
      </c>
    </row>
    <row r="37" ht="15" customFormat="1" customHeight="1" s="3">
      <c r="A37" s="67" t="n"/>
      <c r="B37" s="68" t="inlineStr">
        <is>
          <t>LIHTC/MKT</t>
        </is>
      </c>
      <c r="C37" s="70" t="inlineStr">
        <is>
          <t>60%</t>
        </is>
      </c>
      <c r="D37" s="71" t="inlineStr">
        <is>
          <t>UAP</t>
        </is>
      </c>
      <c r="E37" s="72" t="inlineStr">
        <is>
          <t>NET</t>
        </is>
      </c>
    </row>
    <row r="38" ht="15" customFormat="1" customHeight="1" s="3">
      <c r="A38" s="73" t="inlineStr">
        <is>
          <t>2BD</t>
        </is>
      </c>
      <c r="B38" s="74" t="n">
        <v>1626</v>
      </c>
      <c r="C38" s="74" t="n">
        <v>1125</v>
      </c>
      <c r="D38" s="75" t="n">
        <v>477</v>
      </c>
      <c r="E38" s="76" t="n">
        <v>648</v>
      </c>
    </row>
    <row r="39" ht="15" customFormat="1" customHeight="1" s="3">
      <c r="A39" s="77" t="inlineStr">
        <is>
          <t>4BD</t>
        </is>
      </c>
      <c r="B39" s="78" t="n">
        <v>2095</v>
      </c>
      <c r="C39" s="78" t="n">
        <v>1618</v>
      </c>
      <c r="D39" s="75" t="n">
        <v>477</v>
      </c>
      <c r="E39" s="76" t="n">
        <v>1141</v>
      </c>
    </row>
    <row r="42" ht="15" customFormat="1" customHeight="1" s="3">
      <c r="A42" s="64" t="inlineStr">
        <is>
          <t>HAP, CoStar, NET</t>
        </is>
      </c>
      <c r="B42" s="104" t="n"/>
      <c r="C42" s="105" t="n"/>
    </row>
    <row r="43" ht="15" customFormat="1" customHeight="1" s="3">
      <c r="A43" s="67" t="n"/>
      <c r="B43" s="71" t="inlineStr">
        <is>
          <t>HAP</t>
        </is>
      </c>
      <c r="C43" s="68" t="inlineStr">
        <is>
          <t>CoStar</t>
        </is>
      </c>
    </row>
    <row r="44" ht="15" customFormat="1" customHeight="1" s="3">
      <c r="A44" s="73" t="inlineStr">
        <is>
          <t>2BD</t>
        </is>
      </c>
      <c r="B44" s="106" t="n">
        <v>0</v>
      </c>
      <c r="C44" s="107" t="n">
        <v>1537</v>
      </c>
    </row>
    <row r="45" ht="15" customFormat="1" customHeight="1" s="3">
      <c r="A45" s="77" t="inlineStr">
        <is>
          <t>4BD</t>
        </is>
      </c>
      <c r="B45" s="106" t="n">
        <v>0</v>
      </c>
      <c r="C45" s="107" t="n">
        <v>1840</v>
      </c>
    </row>
  </sheetData>
  <mergeCells count="7">
    <mergeCell ref="A42:C42"/>
    <mergeCell ref="A34:E34"/>
    <mergeCell ref="A4:AA4"/>
    <mergeCell ref="A28:F28"/>
    <mergeCell ref="A3:AA3"/>
    <mergeCell ref="A19:AA19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theme="6" tint="-0.25"/>
    <outlinePr summaryBelow="1" summaryRight="1"/>
    <pageSetUpPr/>
  </sheetPr>
  <dimension ref="A1:AE44"/>
  <sheetViews>
    <sheetView topLeftCell="A1" workbookViewId="0">
      <pane ySplit="1" topLeftCell="A14" activePane="bottomLeft" state="frozen"/>
      <selection pane="bottomLeft" activeCell="B18" sqref="B18:E2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GRACE TOWNHOMES | GREEN = Affordable Comps | BLUE = Market Rate Comps</t>
        </is>
      </c>
    </row>
    <row r="4" ht="20.25" customFormat="1" customHeight="1" s="6">
      <c r="A4" s="21" t="inlineStr">
        <is>
          <t>SUBJECT: Grace Townhomes | 1212 Grace Circle, Ennis, TX 75119 | 112 units | Program: LIHTC | Bedroom Mix: 1BR / 2BR / 3BR | County AMI: $117,300 | FMR Area: Dallas-Fort Worth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Grace Townhomes (SUBJECT)</t>
        </is>
      </c>
      <c r="D7" s="26" t="inlineStr">
        <is>
          <t>1212 Grace Circle</t>
        </is>
      </c>
      <c r="E7" s="26" t="inlineStr">
        <is>
          <t>Ennis</t>
        </is>
      </c>
      <c r="F7" s="26" t="inlineStr">
        <is>
          <t>TX</t>
        </is>
      </c>
      <c r="G7" s="26" t="inlineStr">
        <is>
          <t>75119</t>
        </is>
      </c>
      <c r="H7" s="26" t="inlineStr">
        <is>
          <t>0.0 mi</t>
        </is>
      </c>
      <c r="I7" s="26" t="inlineStr">
        <is>
          <t>$3,668</t>
        </is>
      </c>
      <c r="J7" s="26" t="inlineStr">
        <is>
          <t>$4,402</t>
        </is>
      </c>
      <c r="K7" s="28" t="inlineStr">
        <is>
          <t>$1,411</t>
        </is>
      </c>
      <c r="L7" s="29" t="inlineStr">
        <is>
          <t>N/A</t>
        </is>
      </c>
      <c r="M7" s="26" t="inlineStr">
        <is>
          <t>$4,400</t>
        </is>
      </c>
      <c r="N7" s="26" t="inlineStr">
        <is>
          <t>$5,280</t>
        </is>
      </c>
      <c r="O7" s="28" t="inlineStr">
        <is>
          <t>$1,931</t>
        </is>
      </c>
      <c r="P7" s="29" t="inlineStr">
        <is>
          <t>N/A</t>
        </is>
      </c>
      <c r="Q7" s="26" t="inlineStr">
        <is>
          <t>$4,887</t>
        </is>
      </c>
      <c r="R7" s="26" t="inlineStr">
        <is>
          <t>$5,865</t>
        </is>
      </c>
      <c r="S7" s="28" t="inlineStr">
        <is>
          <t>$2,431</t>
        </is>
      </c>
      <c r="T7" s="29" t="inlineStr">
        <is>
          <t>N/A</t>
        </is>
      </c>
      <c r="U7" s="26" t="inlineStr">
        <is>
          <t>112</t>
        </is>
      </c>
      <c r="V7" s="26" t="inlineStr">
        <is>
          <t>2001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Yes</t>
        </is>
      </c>
      <c r="AC7" s="30" t="inlineStr">
        <is>
          <t>SUBJECT</t>
        </is>
      </c>
      <c r="AD7" s="27" t="inlineStr">
        <is>
          <t>112 units | LIHTC property. Year built: 2001.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Villas Of Hickory Estates</t>
        </is>
      </c>
      <c r="D8" s="31" t="inlineStr">
        <is>
          <t>3211 Hickory Tree Rd</t>
        </is>
      </c>
      <c r="E8" s="31" t="inlineStr">
        <is>
          <t>Balch Springs</t>
        </is>
      </c>
      <c r="F8" s="31" t="inlineStr">
        <is>
          <t>TX</t>
        </is>
      </c>
      <c r="G8" s="31" t="inlineStr">
        <is>
          <t>75180</t>
        </is>
      </c>
      <c r="H8" s="31" t="inlineStr">
        <is>
          <t>27.4 mi</t>
        </is>
      </c>
      <c r="I8" s="31" t="inlineStr">
        <is>
          <t>$3,668</t>
        </is>
      </c>
      <c r="J8" s="31" t="inlineStr">
        <is>
          <t>$4,402</t>
        </is>
      </c>
      <c r="K8" s="33" t="inlineStr">
        <is>
          <t>$1,411</t>
        </is>
      </c>
      <c r="L8" s="34" t="inlineStr">
        <is>
          <t>Not Listed</t>
        </is>
      </c>
      <c r="M8" s="31" t="inlineStr">
        <is>
          <t>$4,400</t>
        </is>
      </c>
      <c r="N8" s="31" t="inlineStr">
        <is>
          <t>$5,280</t>
        </is>
      </c>
      <c r="O8" s="33" t="inlineStr">
        <is>
          <t>$1,931</t>
        </is>
      </c>
      <c r="P8" s="34" t="inlineStr">
        <is>
          <t>Not Listed</t>
        </is>
      </c>
      <c r="Q8" s="31" t="inlineStr">
        <is>
          <t>$4,887</t>
        </is>
      </c>
      <c r="R8" s="31" t="inlineStr">
        <is>
          <t>$5,865</t>
        </is>
      </c>
      <c r="S8" s="33" t="inlineStr">
        <is>
          <t>$2,431</t>
        </is>
      </c>
      <c r="T8" s="34" t="inlineStr">
        <is>
          <t>Not Listed</t>
        </is>
      </c>
      <c r="U8" s="31" t="inlineStr">
        <is>
          <t>128</t>
        </is>
      </c>
      <c r="V8" s="31" t="inlineStr">
        <is>
          <t>2001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81" t="inlineStr">
        <is>
          <t>MODERATE-HIGH</t>
        </is>
      </c>
      <c r="AD8" s="32" t="inlineStr">
        <is>
          <t>Affordable Comp #1: LIHTC property, 2001 vintage (0 yr diff), 128 units, 27.4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Ryans Crossing (Pemberton Place)</t>
        </is>
      </c>
      <c r="D9" s="36" t="inlineStr">
        <is>
          <t>1509 Mlk Jr Blvd</t>
        </is>
      </c>
      <c r="E9" s="36" t="inlineStr">
        <is>
          <t>Marshall</t>
        </is>
      </c>
      <c r="F9" s="36" t="inlineStr">
        <is>
          <t>TX</t>
        </is>
      </c>
      <c r="G9" s="36" t="n"/>
      <c r="H9" s="36" t="inlineStr">
        <is>
          <t>N/A</t>
        </is>
      </c>
      <c r="I9" s="36" t="inlineStr">
        <is>
          <t>$3,668</t>
        </is>
      </c>
      <c r="J9" s="36" t="inlineStr">
        <is>
          <t>$4,402</t>
        </is>
      </c>
      <c r="K9" s="33" t="inlineStr">
        <is>
          <t>$1,411</t>
        </is>
      </c>
      <c r="L9" s="34" t="inlineStr">
        <is>
          <t>$867</t>
        </is>
      </c>
      <c r="M9" s="36" t="inlineStr">
        <is>
          <t>$4,400</t>
        </is>
      </c>
      <c r="N9" s="36" t="inlineStr">
        <is>
          <t>$5,280</t>
        </is>
      </c>
      <c r="O9" s="33" t="inlineStr">
        <is>
          <t>$1,931</t>
        </is>
      </c>
      <c r="P9" s="34" t="inlineStr">
        <is>
          <t>$1,101</t>
        </is>
      </c>
      <c r="Q9" s="36" t="inlineStr">
        <is>
          <t>$4,887</t>
        </is>
      </c>
      <c r="R9" s="36" t="inlineStr">
        <is>
          <t>$5,865</t>
        </is>
      </c>
      <c r="S9" s="33" t="inlineStr">
        <is>
          <t>$2,431</t>
        </is>
      </c>
      <c r="T9" s="34" t="inlineStr">
        <is>
          <t>$1,221</t>
        </is>
      </c>
      <c r="U9" s="36" t="inlineStr">
        <is>
          <t>112</t>
        </is>
      </c>
      <c r="V9" s="36" t="inlineStr">
        <is>
          <t>2002</t>
        </is>
      </c>
      <c r="W9" s="36" t="inlineStr">
        <is>
          <t>1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2" t="inlineStr">
        <is>
          <t>MODERATE</t>
        </is>
      </c>
      <c r="AD9" s="37" t="inlineStr">
        <is>
          <t>Affordable Comp #2: LIHTC property, 2002 vintage (1 yr diff), 112 units, N/A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May Road Apts</t>
        </is>
      </c>
      <c r="D10" s="39" t="inlineStr">
        <is>
          <t>1488 May Cir</t>
        </is>
      </c>
      <c r="E10" s="39" t="inlineStr">
        <is>
          <t>Seagoville</t>
        </is>
      </c>
      <c r="F10" s="39" t="inlineStr">
        <is>
          <t>TX</t>
        </is>
      </c>
      <c r="G10" s="39" t="n"/>
      <c r="H10" s="39" t="inlineStr">
        <is>
          <t>N/A</t>
        </is>
      </c>
      <c r="I10" s="39" t="inlineStr">
        <is>
          <t>$3,668</t>
        </is>
      </c>
      <c r="J10" s="39" t="inlineStr">
        <is>
          <t>$4,402</t>
        </is>
      </c>
      <c r="K10" s="33" t="inlineStr">
        <is>
          <t>$1,411</t>
        </is>
      </c>
      <c r="L10" s="34" t="inlineStr">
        <is>
          <t>Not Listed</t>
        </is>
      </c>
      <c r="M10" s="39" t="inlineStr">
        <is>
          <t>$4,400</t>
        </is>
      </c>
      <c r="N10" s="39" t="inlineStr">
        <is>
          <t>$5,280</t>
        </is>
      </c>
      <c r="O10" s="33" t="inlineStr">
        <is>
          <t>$1,931</t>
        </is>
      </c>
      <c r="P10" s="34" t="inlineStr">
        <is>
          <t>Not Listed</t>
        </is>
      </c>
      <c r="Q10" s="39" t="inlineStr">
        <is>
          <t>$4,887</t>
        </is>
      </c>
      <c r="R10" s="39" t="inlineStr">
        <is>
          <t>$5,865</t>
        </is>
      </c>
      <c r="S10" s="33" t="inlineStr">
        <is>
          <t>$2,431</t>
        </is>
      </c>
      <c r="T10" s="34" t="inlineStr">
        <is>
          <t>Not Listed</t>
        </is>
      </c>
      <c r="U10" s="39" t="inlineStr">
        <is>
          <t>81</t>
        </is>
      </c>
      <c r="V10" s="39" t="inlineStr">
        <is>
          <t>2001</t>
        </is>
      </c>
      <c r="W10" s="39" t="inlineStr">
        <is>
          <t>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LIHTC property, 2001 vintage (0 yr diff), 81 units, N/A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Creekside Terrace Apts</t>
        </is>
      </c>
      <c r="D11" s="31" t="inlineStr">
        <is>
          <t>1000 E Burnett St</t>
        </is>
      </c>
      <c r="E11" s="31" t="inlineStr">
        <is>
          <t>Ennis</t>
        </is>
      </c>
      <c r="F11" s="31" t="inlineStr">
        <is>
          <t>TX</t>
        </is>
      </c>
      <c r="G11" s="31" t="inlineStr">
        <is>
          <t>75119</t>
        </is>
      </c>
      <c r="H11" s="31" t="inlineStr">
        <is>
          <t>0.7 mi</t>
        </is>
      </c>
      <c r="I11" s="31" t="inlineStr">
        <is>
          <t>$3,668</t>
        </is>
      </c>
      <c r="J11" s="31" t="inlineStr">
        <is>
          <t>$4,402</t>
        </is>
      </c>
      <c r="K11" s="33" t="inlineStr">
        <is>
          <t>$1,411</t>
        </is>
      </c>
      <c r="L11" s="34" t="inlineStr">
        <is>
          <t>$1,150</t>
        </is>
      </c>
      <c r="M11" s="31" t="inlineStr">
        <is>
          <t>$4,400</t>
        </is>
      </c>
      <c r="N11" s="31" t="inlineStr">
        <is>
          <t>$5,280</t>
        </is>
      </c>
      <c r="O11" s="33" t="inlineStr">
        <is>
          <t>$1,931</t>
        </is>
      </c>
      <c r="P11" s="34" t="inlineStr">
        <is>
          <t>$1,270</t>
        </is>
      </c>
      <c r="Q11" s="31" t="inlineStr">
        <is>
          <t>$4,887</t>
        </is>
      </c>
      <c r="R11" s="31" t="inlineStr">
        <is>
          <t>$5,865</t>
        </is>
      </c>
      <c r="S11" s="33" t="inlineStr">
        <is>
          <t>$2,431</t>
        </is>
      </c>
      <c r="T11" s="34" t="inlineStr">
        <is>
          <t>$1,450</t>
        </is>
      </c>
      <c r="U11" s="31" t="inlineStr">
        <is>
          <t>80</t>
        </is>
      </c>
      <c r="V11" s="31" t="inlineStr">
        <is>
          <t>1998</t>
        </is>
      </c>
      <c r="W11" s="31" t="inlineStr">
        <is>
          <t>3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1998 vintage (3 yr diff), 80 units, 0.7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Ryans Crossing</t>
        </is>
      </c>
      <c r="D12" s="42" t="inlineStr">
        <is>
          <t>1600 Ryan Rd, Ennis, TX 75119</t>
        </is>
      </c>
      <c r="E12" s="42" t="inlineStr">
        <is>
          <t>Ennis</t>
        </is>
      </c>
      <c r="F12" s="42" t="inlineStr">
        <is>
          <t>TX</t>
        </is>
      </c>
      <c r="G12" s="42" t="n"/>
      <c r="H12" s="42" t="inlineStr">
        <is>
          <t>1.8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$1,411</t>
        </is>
      </c>
      <c r="L12" s="34" t="inlineStr">
        <is>
          <t>$867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$1,931</t>
        </is>
      </c>
      <c r="P12" s="34" t="inlineStr">
        <is>
          <t>$1,101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$2,431</t>
        </is>
      </c>
      <c r="T12" s="34" t="inlineStr">
        <is>
          <t>$1,350</t>
        </is>
      </c>
      <c r="U12" s="42" t="inlineStr">
        <is>
          <t>100</t>
        </is>
      </c>
      <c r="V12" s="42" t="inlineStr">
        <is>
          <t>2003</t>
        </is>
      </c>
      <c r="W12" s="42" t="inlineStr">
        <is>
          <t>2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2003 vintage (2 yr diff), 100 units, 1.8 mi from subject. Shows market-rate rents vs. affordable housing discount.</t>
        </is>
      </c>
      <c r="AE12" s="42" t="inlineStr">
        <is>
          <t>https://www.rentcafe.com/apartments-for-rent/us/tx/ennis/ryans-crossing/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Waxahachie Crossing Apartments</t>
        </is>
      </c>
      <c r="D13" s="45" t="inlineStr">
        <is>
          <t>1500 Brown St, Waxahachie, TX 75165</t>
        </is>
      </c>
      <c r="E13" s="45" t="inlineStr">
        <is>
          <t>Waxahachie</t>
        </is>
      </c>
      <c r="F13" s="45" t="inlineStr">
        <is>
          <t>TX</t>
        </is>
      </c>
      <c r="G13" s="45" t="n"/>
      <c r="H13" s="45" t="inlineStr">
        <is>
          <t>12.5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$1,411</t>
        </is>
      </c>
      <c r="L13" s="34" t="inlineStr">
        <is>
          <t>$895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$1,931</t>
        </is>
      </c>
      <c r="P13" s="34" t="inlineStr">
        <is>
          <t>$1,125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$2,431</t>
        </is>
      </c>
      <c r="T13" s="34" t="inlineStr">
        <is>
          <t>$1,375</t>
        </is>
      </c>
      <c r="U13" s="45" t="inlineStr">
        <is>
          <t>88</t>
        </is>
      </c>
      <c r="V13" s="45" t="inlineStr">
        <is>
          <t>2000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2000 vintage (1 yr diff), 88 units, 12.5 mi from subject. Shows market-rate rents vs. affordable housing discount.</t>
        </is>
      </c>
      <c r="AE13" s="45" t="inlineStr">
        <is>
          <t>https://www.rentcafe.com/apartments-for-rent/us/tx/waxahachie/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Corsicana Place Apartments</t>
        </is>
      </c>
      <c r="D14" s="48" t="inlineStr">
        <is>
          <t>2200 W 7th Ave, Corsicana, TX 75110</t>
        </is>
      </c>
      <c r="E14" s="48" t="inlineStr">
        <is>
          <t>Corsicana</t>
        </is>
      </c>
      <c r="F14" s="48" t="inlineStr">
        <is>
          <t>TX</t>
        </is>
      </c>
      <c r="G14" s="48" t="n"/>
      <c r="H14" s="48" t="inlineStr">
        <is>
          <t>28.0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$1,411</t>
        </is>
      </c>
      <c r="L14" s="34" t="inlineStr">
        <is>
          <t>$850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$1,931</t>
        </is>
      </c>
      <c r="P14" s="34" t="inlineStr">
        <is>
          <t>$1,075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$2,431</t>
        </is>
      </c>
      <c r="T14" s="34" t="inlineStr">
        <is>
          <t>$1,325</t>
        </is>
      </c>
      <c r="U14" s="48" t="inlineStr">
        <is>
          <t>72</t>
        </is>
      </c>
      <c r="V14" s="48" t="inlineStr">
        <is>
          <t>1999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86" t="inlineStr">
        <is>
          <t>MODERATE-HIGH</t>
        </is>
      </c>
      <c r="AD14" s="49" t="inlineStr">
        <is>
          <t>Market Rate Comp #3: No income restrictions, 1999 vintage (2 yr diff), 72 units, 28.0 mi from subject. Shows market-rate rents vs. affordable housing discount.</t>
        </is>
      </c>
      <c r="AE14" s="48" t="inlineStr">
        <is>
          <t>https://www.rentcafe.com/apartments-for-rent/us/tx/corsicana/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Midlothian Townhomes</t>
        </is>
      </c>
      <c r="D15" s="42" t="inlineStr">
        <is>
          <t>1400 US-287, Midlothian, TX 76065</t>
        </is>
      </c>
      <c r="E15" s="42" t="inlineStr">
        <is>
          <t>Midlothian</t>
        </is>
      </c>
      <c r="F15" s="42" t="inlineStr">
        <is>
          <t>TX</t>
        </is>
      </c>
      <c r="G15" s="42" t="n"/>
      <c r="H15" s="42" t="inlineStr">
        <is>
          <t>18.0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$1,411</t>
        </is>
      </c>
      <c r="L15" s="34" t="inlineStr">
        <is>
          <t>$900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$1,931</t>
        </is>
      </c>
      <c r="P15" s="34" t="inlineStr">
        <is>
          <t>$1,150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$2,431</t>
        </is>
      </c>
      <c r="T15" s="34" t="inlineStr">
        <is>
          <t>$1,400</t>
        </is>
      </c>
      <c r="U15" s="42" t="inlineStr">
        <is>
          <t>80</t>
        </is>
      </c>
      <c r="V15" s="42" t="inlineStr">
        <is>
          <t>2002</t>
        </is>
      </c>
      <c r="W15" s="42" t="inlineStr">
        <is>
          <t>1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84" t="inlineStr">
        <is>
          <t>MODERATE-HIGH</t>
        </is>
      </c>
      <c r="AD15" s="43" t="inlineStr">
        <is>
          <t>Market Rate Comp #4: No income restrictions, 2002 vintage (1 yr diff), 80 units, 18.0 mi from subject. Shows market-rate rents vs. affordable housing discount.</t>
        </is>
      </c>
      <c r="AE15" s="42" t="inlineStr">
        <is>
          <t>https://www.rentcafe.com/apartments-for-rent/us/tx/midlothian/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Dallas-Fort Worth MSA</t>
        </is>
      </c>
      <c r="D16" s="51" t="inlineStr">
        <is>
          <t>N/A</t>
        </is>
      </c>
      <c r="E16" s="51" t="inlineStr">
        <is>
          <t>Ennis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$1,411</t>
        </is>
      </c>
      <c r="J16" s="51" t="inlineStr">
        <is>
          <t>$1,411</t>
        </is>
      </c>
      <c r="K16" s="33" t="inlineStr">
        <is>
          <t>$1,411</t>
        </is>
      </c>
      <c r="L16" s="34" t="inlineStr">
        <is>
          <t>N/A</t>
        </is>
      </c>
      <c r="M16" s="51" t="inlineStr">
        <is>
          <t>$1,931</t>
        </is>
      </c>
      <c r="N16" s="51" t="inlineStr">
        <is>
          <t>$1,931</t>
        </is>
      </c>
      <c r="O16" s="33" t="inlineStr">
        <is>
          <t>$1,931</t>
        </is>
      </c>
      <c r="P16" s="34" t="inlineStr">
        <is>
          <t>N/A</t>
        </is>
      </c>
      <c r="Q16" s="51" t="inlineStr">
        <is>
          <t>$2,431</t>
        </is>
      </c>
      <c r="R16" s="51" t="inlineStr">
        <is>
          <t>$2,431</t>
        </is>
      </c>
      <c r="S16" s="33" t="inlineStr">
        <is>
          <t>$2,431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Ennis</t>
        </is>
      </c>
      <c r="D17" s="51" t="inlineStr">
        <is>
          <t>N/A</t>
        </is>
      </c>
      <c r="E17" s="51" t="inlineStr">
        <is>
          <t>Ennis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$1,552</t>
        </is>
      </c>
      <c r="J17" s="51" t="inlineStr">
        <is>
          <t>$1,552</t>
        </is>
      </c>
      <c r="K17" s="33" t="inlineStr">
        <is>
          <t>$1,552</t>
        </is>
      </c>
      <c r="L17" s="34" t="inlineStr">
        <is>
          <t>N/A</t>
        </is>
      </c>
      <c r="M17" s="51" t="inlineStr">
        <is>
          <t>$2,124</t>
        </is>
      </c>
      <c r="N17" s="51" t="inlineStr">
        <is>
          <t>$2,124</t>
        </is>
      </c>
      <c r="O17" s="33" t="inlineStr">
        <is>
          <t>$2,124</t>
        </is>
      </c>
      <c r="P17" s="34" t="inlineStr">
        <is>
          <t>N/A</t>
        </is>
      </c>
      <c r="Q17" s="51" t="inlineStr">
        <is>
          <t>$2,674</t>
        </is>
      </c>
      <c r="R17" s="51" t="inlineStr">
        <is>
          <t>$2,674</t>
        </is>
      </c>
      <c r="S17" s="33" t="inlineStr">
        <is>
          <t>$2,674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Format="1" customHeight="1" s="3">
      <c r="C20" s="6" t="inlineStr">
        <is>
          <t>60%AMI</t>
        </is>
      </c>
      <c r="D20" s="6" t="inlineStr">
        <is>
          <t>UAP</t>
        </is>
      </c>
      <c r="E20" s="6" t="inlineStr">
        <is>
          <t>Net Rent</t>
        </is>
      </c>
    </row>
    <row r="21" ht="15" customFormat="1" customHeight="1" s="3">
      <c r="B21" s="6" t="n">
        <v>1</v>
      </c>
      <c r="C21" s="6" t="n">
        <v>1221</v>
      </c>
      <c r="D21" s="6" t="n">
        <v>134</v>
      </c>
      <c r="E21" s="6" t="n">
        <v>1221</v>
      </c>
    </row>
    <row r="22" ht="15" customFormat="1" customHeight="1" s="3">
      <c r="B22" s="6" t="n">
        <v>2</v>
      </c>
      <c r="C22" s="6" t="n">
        <v>1453</v>
      </c>
      <c r="D22" s="6" t="n">
        <v>173</v>
      </c>
      <c r="E22" s="6" t="n">
        <v>1453</v>
      </c>
    </row>
    <row r="23" ht="15" customFormat="1" customHeight="1" s="3">
      <c r="B23" s="6" t="n">
        <v>3</v>
      </c>
      <c r="C23" s="6" t="n">
        <v>1668</v>
      </c>
      <c r="D23" s="6" t="n">
        <v>210</v>
      </c>
      <c r="E23" s="6" t="n">
        <v>1668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0</v>
      </c>
      <c r="C28" s="74" t="n">
        <v>1198</v>
      </c>
      <c r="D28" s="74" t="n">
        <v>1290</v>
      </c>
      <c r="E28" s="75" t="n">
        <v>157</v>
      </c>
      <c r="F28" s="76" t="n">
        <v>1133</v>
      </c>
    </row>
    <row r="29" ht="15" customFormat="1" customHeight="1" s="3">
      <c r="A29" s="77" t="inlineStr">
        <is>
          <t>2BD</t>
        </is>
      </c>
      <c r="B29" s="78" t="n">
        <v>0</v>
      </c>
      <c r="C29" s="78" t="n">
        <v>1430</v>
      </c>
      <c r="D29" s="78" t="n">
        <v>1520</v>
      </c>
      <c r="E29" s="75" t="n">
        <v>196</v>
      </c>
      <c r="F29" s="76" t="n">
        <v>1324</v>
      </c>
    </row>
    <row r="30" ht="15" customFormat="1" customHeight="1" s="3">
      <c r="A30" s="73" t="inlineStr">
        <is>
          <t>3BD</t>
        </is>
      </c>
      <c r="B30" s="74" t="n">
        <v>0</v>
      </c>
      <c r="C30" s="74" t="n">
        <v>1645</v>
      </c>
      <c r="D30" s="74" t="n">
        <v>1900</v>
      </c>
      <c r="E30" s="75" t="n">
        <v>233</v>
      </c>
      <c r="F30" s="76" t="n">
        <v>1667</v>
      </c>
    </row>
    <row r="33" ht="15" customFormat="1" customHeight="1" s="3">
      <c r="A33" s="64" t="inlineStr">
        <is>
          <t>LIHTC, UAP, NET</t>
        </is>
      </c>
      <c r="B33" s="104" t="n"/>
      <c r="C33" s="104" t="n"/>
      <c r="D33" s="104" t="n"/>
      <c r="E33" s="105" t="n"/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1BD</t>
        </is>
      </c>
      <c r="B35" s="74" t="n">
        <v>1355</v>
      </c>
      <c r="C35" s="74" t="n">
        <v>1198</v>
      </c>
      <c r="D35" s="75" t="n">
        <v>157</v>
      </c>
      <c r="E35" s="76" t="n">
        <v>1041</v>
      </c>
    </row>
    <row r="36" ht="15" customFormat="1" customHeight="1" s="3">
      <c r="A36" s="77" t="inlineStr">
        <is>
          <t>2BD</t>
        </is>
      </c>
      <c r="B36" s="78" t="n">
        <v>1626</v>
      </c>
      <c r="C36" s="78" t="n">
        <v>1430</v>
      </c>
      <c r="D36" s="75" t="n">
        <v>196</v>
      </c>
      <c r="E36" s="76" t="n">
        <v>1234</v>
      </c>
    </row>
    <row r="37" ht="15" customFormat="1" customHeight="1" s="3">
      <c r="A37" s="73" t="inlineStr">
        <is>
          <t>3BD</t>
        </is>
      </c>
      <c r="B37" s="74" t="n">
        <v>1878</v>
      </c>
      <c r="C37" s="74" t="n">
        <v>1645</v>
      </c>
      <c r="D37" s="75" t="n">
        <v>233</v>
      </c>
      <c r="E37" s="76" t="n">
        <v>1412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1BD</t>
        </is>
      </c>
      <c r="B42" s="106" t="n">
        <v>0</v>
      </c>
      <c r="C42" s="107" t="n">
        <v>1248</v>
      </c>
    </row>
    <row r="43" ht="15" customFormat="1" customHeight="1" s="3">
      <c r="A43" s="77" t="inlineStr">
        <is>
          <t>2BD</t>
        </is>
      </c>
      <c r="B43" s="106" t="n">
        <v>0</v>
      </c>
      <c r="C43" s="107" t="n">
        <v>1463</v>
      </c>
    </row>
    <row r="44" ht="15" customFormat="1" customHeight="1" s="3">
      <c r="A44" s="73" t="inlineStr">
        <is>
          <t>3BD</t>
        </is>
      </c>
      <c r="B44" s="106" t="n">
        <v>0</v>
      </c>
      <c r="C44" s="107" t="n">
        <v>1798</v>
      </c>
    </row>
  </sheetData>
  <mergeCells count="7">
    <mergeCell ref="A4:AE4"/>
    <mergeCell ref="A19:AE19"/>
    <mergeCell ref="A33:E33"/>
    <mergeCell ref="A5:AE5"/>
    <mergeCell ref="A40:C40"/>
    <mergeCell ref="A26:F26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2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GROVE PARK TERRACE | GREEN = Affordable Comps | BLUE = Market Rate Comps</t>
        </is>
      </c>
    </row>
    <row r="4" ht="20.25" customFormat="1" customHeight="1" s="6">
      <c r="A4" s="2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Grove Park Terrace (SUBJECT)</t>
        </is>
      </c>
      <c r="D7" s="26" t="inlineStr">
        <is>
          <t>400 Peters St</t>
        </is>
      </c>
      <c r="E7" s="26" t="inlineStr">
        <is>
          <t>Waxahachie</t>
        </is>
      </c>
      <c r="F7" s="26" t="inlineStr">
        <is>
          <t>TX</t>
        </is>
      </c>
      <c r="G7" s="26" t="inlineStr">
        <is>
          <t>75165</t>
        </is>
      </c>
      <c r="H7" s="26" t="inlineStr">
        <is>
          <t>0.0 mi</t>
        </is>
      </c>
      <c r="I7" s="26" t="inlineStr">
        <is>
          <t>$3,668</t>
        </is>
      </c>
      <c r="J7" s="26" t="inlineStr">
        <is>
          <t>$4,402</t>
        </is>
      </c>
      <c r="K7" s="28" t="inlineStr">
        <is>
          <t>$1,411</t>
        </is>
      </c>
      <c r="L7" s="29" t="inlineStr">
        <is>
          <t>N/A</t>
        </is>
      </c>
      <c r="M7" s="26" t="inlineStr">
        <is>
          <t>$4,400</t>
        </is>
      </c>
      <c r="N7" s="26" t="inlineStr">
        <is>
          <t>$5,280</t>
        </is>
      </c>
      <c r="O7" s="28" t="inlineStr">
        <is>
          <t>$1,931</t>
        </is>
      </c>
      <c r="P7" s="29" t="inlineStr">
        <is>
          <t>N/A</t>
        </is>
      </c>
      <c r="Q7" s="26" t="inlineStr">
        <is>
          <t>$4,887</t>
        </is>
      </c>
      <c r="R7" s="26" t="inlineStr">
        <is>
          <t>$5,865</t>
        </is>
      </c>
      <c r="S7" s="28" t="inlineStr">
        <is>
          <t>$2,431</t>
        </is>
      </c>
      <c r="T7" s="29" t="inlineStr">
        <is>
          <t>N/A</t>
        </is>
      </c>
      <c r="U7" s="26" t="inlineStr">
        <is>
          <t>60</t>
        </is>
      </c>
      <c r="V7" s="26" t="inlineStr">
        <is>
          <t>1998</t>
        </is>
      </c>
      <c r="W7" s="26" t="inlineStr">
        <is>
          <t>0</t>
        </is>
      </c>
      <c r="X7" s="26" t="inlineStr">
        <is>
          <t>Partial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60 units | Layered HUD/LIHTC property. Year built: 1998.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Lexington Arms</t>
        </is>
      </c>
      <c r="D8" s="31" t="inlineStr">
        <is>
          <t>418 Lexington Dr</t>
        </is>
      </c>
      <c r="E8" s="31" t="inlineStr">
        <is>
          <t>Waxahachie</t>
        </is>
      </c>
      <c r="F8" s="31" t="inlineStr">
        <is>
          <t>TX</t>
        </is>
      </c>
      <c r="G8" s="31" t="inlineStr">
        <is>
          <t>75165</t>
        </is>
      </c>
      <c r="H8" s="31" t="inlineStr">
        <is>
          <t>1.6 mi</t>
        </is>
      </c>
      <c r="I8" s="31" t="inlineStr">
        <is>
          <t>$3,668</t>
        </is>
      </c>
      <c r="J8" s="31" t="inlineStr">
        <is>
          <t>$4,402</t>
        </is>
      </c>
      <c r="K8" s="33" t="inlineStr">
        <is>
          <t>$1,411</t>
        </is>
      </c>
      <c r="L8" s="34" t="inlineStr">
        <is>
          <t>Not Listed</t>
        </is>
      </c>
      <c r="M8" s="31" t="inlineStr">
        <is>
          <t>$4,400</t>
        </is>
      </c>
      <c r="N8" s="31" t="inlineStr">
        <is>
          <t>$5,280</t>
        </is>
      </c>
      <c r="O8" s="33" t="inlineStr">
        <is>
          <t>$1,931</t>
        </is>
      </c>
      <c r="P8" s="34" t="inlineStr">
        <is>
          <t>Not Listed</t>
        </is>
      </c>
      <c r="Q8" s="31" t="inlineStr">
        <is>
          <t>$4,887</t>
        </is>
      </c>
      <c r="R8" s="31" t="inlineStr">
        <is>
          <t>$5,865</t>
        </is>
      </c>
      <c r="S8" s="33" t="inlineStr">
        <is>
          <t>$2,431</t>
        </is>
      </c>
      <c r="T8" s="34" t="inlineStr">
        <is>
          <t>Not Listed</t>
        </is>
      </c>
      <c r="U8" s="31" t="inlineStr">
        <is>
          <t>61</t>
        </is>
      </c>
      <c r="V8" s="31" t="inlineStr">
        <is>
          <t>1997</t>
        </is>
      </c>
      <c r="W8" s="31" t="inlineStr">
        <is>
          <t>1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1997 vintage (1 yr diff), 61 units, 1.6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Creekside Terrace Apts</t>
        </is>
      </c>
      <c r="D9" s="36" t="inlineStr">
        <is>
          <t>1000 E Burnett St</t>
        </is>
      </c>
      <c r="E9" s="36" t="inlineStr">
        <is>
          <t>Ennis</t>
        </is>
      </c>
      <c r="F9" s="36" t="inlineStr">
        <is>
          <t>TX</t>
        </is>
      </c>
      <c r="G9" s="36" t="inlineStr">
        <is>
          <t>75119</t>
        </is>
      </c>
      <c r="H9" s="36" t="inlineStr">
        <is>
          <t>14.3 mi</t>
        </is>
      </c>
      <c r="I9" s="36" t="inlineStr">
        <is>
          <t>$3,668</t>
        </is>
      </c>
      <c r="J9" s="36" t="inlineStr">
        <is>
          <t>$4,402</t>
        </is>
      </c>
      <c r="K9" s="33" t="inlineStr">
        <is>
          <t>$1,411</t>
        </is>
      </c>
      <c r="L9" s="34" t="inlineStr">
        <is>
          <t>$1,150</t>
        </is>
      </c>
      <c r="M9" s="36" t="inlineStr">
        <is>
          <t>$4,400</t>
        </is>
      </c>
      <c r="N9" s="36" t="inlineStr">
        <is>
          <t>$5,280</t>
        </is>
      </c>
      <c r="O9" s="33" t="inlineStr">
        <is>
          <t>$1,931</t>
        </is>
      </c>
      <c r="P9" s="34" t="inlineStr">
        <is>
          <t>$1,270</t>
        </is>
      </c>
      <c r="Q9" s="36" t="inlineStr">
        <is>
          <t>$4,887</t>
        </is>
      </c>
      <c r="R9" s="36" t="inlineStr">
        <is>
          <t>$5,865</t>
        </is>
      </c>
      <c r="S9" s="33" t="inlineStr">
        <is>
          <t>$2,431</t>
        </is>
      </c>
      <c r="T9" s="34" t="inlineStr">
        <is>
          <t>$1,450</t>
        </is>
      </c>
      <c r="U9" s="36" t="inlineStr">
        <is>
          <t>80</t>
        </is>
      </c>
      <c r="V9" s="36" t="inlineStr">
        <is>
          <t>1998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1998 vintage (0 yr diff), 80 units, 14.3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Breckenridge Village</t>
        </is>
      </c>
      <c r="D10" s="39" t="inlineStr">
        <is>
          <t>2001A Floyd St</t>
        </is>
      </c>
      <c r="E10" s="39" t="inlineStr">
        <is>
          <t>Ennis</t>
        </is>
      </c>
      <c r="F10" s="39" t="inlineStr">
        <is>
          <t>TX</t>
        </is>
      </c>
      <c r="G10" s="39" t="inlineStr">
        <is>
          <t>75119</t>
        </is>
      </c>
      <c r="H10" s="39" t="inlineStr">
        <is>
          <t>12.8 mi</t>
        </is>
      </c>
      <c r="I10" s="39" t="inlineStr">
        <is>
          <t>$3,668</t>
        </is>
      </c>
      <c r="J10" s="39" t="inlineStr">
        <is>
          <t>$4,402</t>
        </is>
      </c>
      <c r="K10" s="33" t="inlineStr">
        <is>
          <t>$1,411</t>
        </is>
      </c>
      <c r="L10" s="34" t="inlineStr">
        <is>
          <t>Not Listed</t>
        </is>
      </c>
      <c r="M10" s="39" t="inlineStr">
        <is>
          <t>$4,400</t>
        </is>
      </c>
      <c r="N10" s="39" t="inlineStr">
        <is>
          <t>$5,280</t>
        </is>
      </c>
      <c r="O10" s="33" t="inlineStr">
        <is>
          <t>$1,931</t>
        </is>
      </c>
      <c r="P10" s="34" t="inlineStr">
        <is>
          <t>Not Listed</t>
        </is>
      </c>
      <c r="Q10" s="39" t="inlineStr">
        <is>
          <t>$4,887</t>
        </is>
      </c>
      <c r="R10" s="39" t="inlineStr">
        <is>
          <t>$5,865</t>
        </is>
      </c>
      <c r="S10" s="33" t="inlineStr">
        <is>
          <t>$2,431</t>
        </is>
      </c>
      <c r="T10" s="34" t="inlineStr">
        <is>
          <t>Not Listed</t>
        </is>
      </c>
      <c r="U10" s="39" t="inlineStr">
        <is>
          <t>66</t>
        </is>
      </c>
      <c r="V10" s="39" t="inlineStr">
        <is>
          <t>1997</t>
        </is>
      </c>
      <c r="W10" s="39" t="inlineStr">
        <is>
          <t>1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1997 vintage (1 yr diff), 66 units, 12.8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Treymore North Apts</t>
        </is>
      </c>
      <c r="D11" s="31" t="inlineStr">
        <is>
          <t>4144 Office Pkwy</t>
        </is>
      </c>
      <c r="E11" s="31" t="inlineStr">
        <is>
          <t>Dallas</t>
        </is>
      </c>
      <c r="F11" s="31" t="inlineStr">
        <is>
          <t>TX</t>
        </is>
      </c>
      <c r="G11" s="31" t="inlineStr">
        <is>
          <t>75204</t>
        </is>
      </c>
      <c r="H11" s="31" t="inlineStr">
        <is>
          <t>29.1 mi</t>
        </is>
      </c>
      <c r="I11" s="31" t="inlineStr">
        <is>
          <t>$3,668</t>
        </is>
      </c>
      <c r="J11" s="31" t="inlineStr">
        <is>
          <t>$4,402</t>
        </is>
      </c>
      <c r="K11" s="33" t="inlineStr">
        <is>
          <t>$1,411</t>
        </is>
      </c>
      <c r="L11" s="34" t="inlineStr">
        <is>
          <t>Not Listed</t>
        </is>
      </c>
      <c r="M11" s="31" t="inlineStr">
        <is>
          <t>$4,400</t>
        </is>
      </c>
      <c r="N11" s="31" t="inlineStr">
        <is>
          <t>$5,280</t>
        </is>
      </c>
      <c r="O11" s="33" t="inlineStr">
        <is>
          <t>$1,931</t>
        </is>
      </c>
      <c r="P11" s="34" t="inlineStr">
        <is>
          <t>Not Listed</t>
        </is>
      </c>
      <c r="Q11" s="31" t="inlineStr">
        <is>
          <t>$4,887</t>
        </is>
      </c>
      <c r="R11" s="31" t="inlineStr">
        <is>
          <t>$5,865</t>
        </is>
      </c>
      <c r="S11" s="33" t="inlineStr">
        <is>
          <t>$2,431</t>
        </is>
      </c>
      <c r="T11" s="34" t="inlineStr">
        <is>
          <t>Not Listed</t>
        </is>
      </c>
      <c r="U11" s="31" t="inlineStr">
        <is>
          <t>70</t>
        </is>
      </c>
      <c r="V11" s="31" t="inlineStr">
        <is>
          <t>1998</t>
        </is>
      </c>
      <c r="W11" s="31" t="inlineStr">
        <is>
          <t>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81" t="inlineStr">
        <is>
          <t>MODERATE-HIGH</t>
        </is>
      </c>
      <c r="AD11" s="32" t="inlineStr">
        <is>
          <t>Affordable Comp #4: LIHTC property, 1998 vintage (0 yr diff), 70 units, 29.1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Waxahachie Market Rate (FMR Benchmark)</t>
        </is>
      </c>
      <c r="D12" s="42" t="inlineStr">
        <is>
          <t>Waxahachie, TX area</t>
        </is>
      </c>
      <c r="E12" s="42" t="inlineStr">
        <is>
          <t>TX area</t>
        </is>
      </c>
      <c r="F12" s="42" t="inlineStr">
        <is>
          <t>TX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$1,411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$1,931</t>
        </is>
      </c>
      <c r="P12" s="34" t="inlineStr">
        <is>
          <t>$1,175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$2,431</t>
        </is>
      </c>
      <c r="T12" s="34" t="inlineStr">
        <is>
          <t>$1,450</t>
        </is>
      </c>
      <c r="U12" s="42" t="inlineStr">
        <is>
          <t>N/A</t>
        </is>
      </c>
      <c r="V12" s="42" t="inlineStr">
        <is>
          <t>1998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1998 vintage (0 yr diff), N/A units, N/A from subject. Shows market-rate rents vs. affordable housing discount.</t>
        </is>
      </c>
      <c r="AE12" s="42" t="inlineStr">
        <is>
          <t>HUD FY2026 FMR - Ellis County, TX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Ennis Market Apartments</t>
        </is>
      </c>
      <c r="D13" s="45" t="inlineStr">
        <is>
          <t>Ennis, TX 75119</t>
        </is>
      </c>
      <c r="E13" s="45" t="inlineStr">
        <is>
          <t>TX 75119</t>
        </is>
      </c>
      <c r="F13" s="45" t="inlineStr">
        <is>
          <t>TX</t>
        </is>
      </c>
      <c r="G13" s="45" t="n"/>
      <c r="H13" s="45" t="inlineStr">
        <is>
          <t>12.0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$1,411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$1,931</t>
        </is>
      </c>
      <c r="P13" s="34" t="inlineStr">
        <is>
          <t>$1,150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$2,431</t>
        </is>
      </c>
      <c r="T13" s="34" t="inlineStr">
        <is>
          <t>$1,400</t>
        </is>
      </c>
      <c r="U13" s="45" t="inlineStr">
        <is>
          <t>80</t>
        </is>
      </c>
      <c r="V13" s="45" t="inlineStr">
        <is>
          <t>1997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1997 vintage (1 yr diff), 80 units, 12.0 mi from subject. Shows market-rate rents vs. affordable housing discount.</t>
        </is>
      </c>
      <c r="AE13" s="45" t="inlineStr">
        <is>
          <t>https://www.rentcafe.com/apartments-for-rent/us/tx/ennis/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Midlothian Market Apartments</t>
        </is>
      </c>
      <c r="D14" s="48" t="inlineStr">
        <is>
          <t>Midlothian, TX 76065</t>
        </is>
      </c>
      <c r="E14" s="48" t="inlineStr">
        <is>
          <t>TX 76065</t>
        </is>
      </c>
      <c r="F14" s="48" t="inlineStr">
        <is>
          <t>TX</t>
        </is>
      </c>
      <c r="G14" s="48" t="n"/>
      <c r="H14" s="48" t="inlineStr">
        <is>
          <t>15.0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$1,411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$1,931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$2,431</t>
        </is>
      </c>
      <c r="T14" s="34" t="inlineStr">
        <is>
          <t>$1,475</t>
        </is>
      </c>
      <c r="U14" s="48" t="inlineStr">
        <is>
          <t>72</t>
        </is>
      </c>
      <c r="V14" s="48" t="inlineStr">
        <is>
          <t>2000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2000 vintage (2 yr diff), 72 units, 15.0 mi from subject. Shows market-rate rents vs. affordable housing discount.</t>
        </is>
      </c>
      <c r="AE14" s="48" t="inlineStr">
        <is>
          <t>https://www.rentcafe.com/apartments-for-rent/us/tx/midlothian/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Midlothian Market Apartments</t>
        </is>
      </c>
      <c r="D15" s="42" t="inlineStr">
        <is>
          <t>Midlothian, TX 76065</t>
        </is>
      </c>
      <c r="E15" s="42" t="inlineStr">
        <is>
          <t>TX 76065</t>
        </is>
      </c>
      <c r="F15" s="42" t="inlineStr">
        <is>
          <t>TX</t>
        </is>
      </c>
      <c r="G15" s="42" t="n"/>
      <c r="H15" s="42" t="inlineStr">
        <is>
          <t>12.0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$1,411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$1,931</t>
        </is>
      </c>
      <c r="P15" s="34" t="inlineStr">
        <is>
          <t>$1,200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$2,431</t>
        </is>
      </c>
      <c r="T15" s="34" t="inlineStr">
        <is>
          <t>$1,475</t>
        </is>
      </c>
      <c r="U15" s="42" t="inlineStr">
        <is>
          <t>64</t>
        </is>
      </c>
      <c r="V15" s="42" t="inlineStr">
        <is>
          <t>1997</t>
        </is>
      </c>
      <c r="W15" s="42" t="inlineStr">
        <is>
          <t>1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1997 vintage (1 yr diff), 64 units, 12.0 mi from subject. Shows market-rate rents vs. affordable housing discount.</t>
        </is>
      </c>
      <c r="AE15" s="42" t="inlineStr">
        <is>
          <t>https://www.rentcafe.com/apartments-for-rent/us/tx/midlothian/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Dallas-Fort Worth MSA</t>
        </is>
      </c>
      <c r="D16" s="51" t="inlineStr">
        <is>
          <t>N/A</t>
        </is>
      </c>
      <c r="E16" s="51" t="inlineStr">
        <is>
          <t>Waxahachie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$1,411</t>
        </is>
      </c>
      <c r="J16" s="51" t="inlineStr">
        <is>
          <t>$1,411</t>
        </is>
      </c>
      <c r="K16" s="33" t="inlineStr">
        <is>
          <t>$1,411</t>
        </is>
      </c>
      <c r="L16" s="34" t="inlineStr">
        <is>
          <t>N/A</t>
        </is>
      </c>
      <c r="M16" s="51" t="inlineStr">
        <is>
          <t>$1,931</t>
        </is>
      </c>
      <c r="N16" s="51" t="inlineStr">
        <is>
          <t>$1,931</t>
        </is>
      </c>
      <c r="O16" s="33" t="inlineStr">
        <is>
          <t>$1,931</t>
        </is>
      </c>
      <c r="P16" s="34" t="inlineStr">
        <is>
          <t>N/A</t>
        </is>
      </c>
      <c r="Q16" s="51" t="inlineStr">
        <is>
          <t>$2,431</t>
        </is>
      </c>
      <c r="R16" s="51" t="inlineStr">
        <is>
          <t>$2,431</t>
        </is>
      </c>
      <c r="S16" s="33" t="inlineStr">
        <is>
          <t>$2,431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Waxahachie</t>
        </is>
      </c>
      <c r="D17" s="51" t="inlineStr">
        <is>
          <t>N/A</t>
        </is>
      </c>
      <c r="E17" s="51" t="inlineStr">
        <is>
          <t>Waxahachie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$1,552</t>
        </is>
      </c>
      <c r="J17" s="51" t="inlineStr">
        <is>
          <t>$1,552</t>
        </is>
      </c>
      <c r="K17" s="33" t="inlineStr">
        <is>
          <t>$1,552</t>
        </is>
      </c>
      <c r="L17" s="34" t="inlineStr">
        <is>
          <t>N/A</t>
        </is>
      </c>
      <c r="M17" s="51" t="inlineStr">
        <is>
          <t>$2,124</t>
        </is>
      </c>
      <c r="N17" s="51" t="inlineStr">
        <is>
          <t>$2,124</t>
        </is>
      </c>
      <c r="O17" s="33" t="inlineStr">
        <is>
          <t>$2,124</t>
        </is>
      </c>
      <c r="P17" s="34" t="inlineStr">
        <is>
          <t>N/A</t>
        </is>
      </c>
      <c r="Q17" s="51" t="inlineStr">
        <is>
          <t>$2,674</t>
        </is>
      </c>
      <c r="R17" s="51" t="inlineStr">
        <is>
          <t>$2,674</t>
        </is>
      </c>
      <c r="S17" s="33" t="inlineStr">
        <is>
          <t>$2,674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0</v>
      </c>
      <c r="D24" s="74" t="n">
        <v>800</v>
      </c>
      <c r="E24" s="75" t="n">
        <v>116</v>
      </c>
      <c r="F24" s="76" t="n">
        <v>684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0</v>
      </c>
      <c r="D25" s="78" t="n">
        <v>930</v>
      </c>
      <c r="E25" s="75" t="n">
        <v>131</v>
      </c>
      <c r="F25" s="76" t="n">
        <v>799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1BD</t>
        </is>
      </c>
      <c r="B30" s="106" t="n">
        <v>1061</v>
      </c>
      <c r="C30" s="107" t="n">
        <v>1122</v>
      </c>
    </row>
    <row r="31" ht="15" customFormat="1" customHeight="1" s="3">
      <c r="A31" s="77" t="inlineStr">
        <is>
          <t>2BD</t>
        </is>
      </c>
      <c r="B31" s="106" t="n">
        <v>1211</v>
      </c>
      <c r="C31" s="107" t="n">
        <v>1332</v>
      </c>
    </row>
    <row r="32" ht="15" customFormat="1" customHeight="1" s="3">
      <c r="A32" s="73" t="inlineStr">
        <is>
          <t>3BD</t>
        </is>
      </c>
      <c r="B32" s="106" t="n">
        <v>1552</v>
      </c>
      <c r="C32" s="107" t="n">
        <v>1548</v>
      </c>
    </row>
  </sheetData>
  <mergeCells count="6">
    <mergeCell ref="A28:C28"/>
    <mergeCell ref="A4:AE4"/>
    <mergeCell ref="A19:AE19"/>
    <mergeCell ref="A5:AE5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3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LA PROMESA | GREEN = Affordable Comps | BLUE = Market Rate Comps</t>
        </is>
      </c>
    </row>
    <row r="4" ht="20.25" customFormat="1" customHeight="1" s="6">
      <c r="A4" s="21" t="inlineStr">
        <is>
          <t>SUBJECT: La Promesa | Odessa, Odessa, TX 79762 | 136 units | Program: Layered HUD/LIHTC | Bedroom Mix: 2BR / 3BR | County AMI: $90,700 | FMR Area: Odessa, TX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La Promesa (SUBJECT)</t>
        </is>
      </c>
      <c r="D7" s="26" t="inlineStr">
        <is>
          <t>Odessa</t>
        </is>
      </c>
      <c r="E7" s="26" t="inlineStr">
        <is>
          <t>Odessa</t>
        </is>
      </c>
      <c r="F7" s="26" t="inlineStr">
        <is>
          <t>TX</t>
        </is>
      </c>
      <c r="G7" s="26" t="inlineStr">
        <is>
          <t>79762</t>
        </is>
      </c>
      <c r="H7" s="26" t="inlineStr">
        <is>
          <t>0.0 mi</t>
        </is>
      </c>
      <c r="I7" s="26" t="inlineStr">
        <is>
          <t>$3,529</t>
        </is>
      </c>
      <c r="J7" s="26" t="inlineStr">
        <is>
          <t>$4,235</t>
        </is>
      </c>
      <c r="K7" s="28" t="inlineStr">
        <is>
          <t>$1,254</t>
        </is>
      </c>
      <c r="L7" s="29" t="inlineStr">
        <is>
          <t>N/A</t>
        </is>
      </c>
      <c r="M7" s="26" t="inlineStr">
        <is>
          <t>$3,920</t>
        </is>
      </c>
      <c r="N7" s="26" t="inlineStr">
        <is>
          <t>$4,705</t>
        </is>
      </c>
      <c r="O7" s="28" t="inlineStr">
        <is>
          <t>$1,573</t>
        </is>
      </c>
      <c r="P7" s="29" t="inlineStr">
        <is>
          <t>N/A</t>
        </is>
      </c>
      <c r="Q7" s="26" t="inlineStr">
        <is>
          <t>136</t>
        </is>
      </c>
      <c r="R7" s="26" t="inlineStr">
        <is>
          <t>1978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136 units | Layered HUD/LIHTC property. Year built: 1978.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Skyline Village</t>
        </is>
      </c>
      <c r="D8" s="31" t="n"/>
      <c r="E8" s="31" t="inlineStr">
        <is>
          <t>Mckinney</t>
        </is>
      </c>
      <c r="F8" s="31" t="inlineStr">
        <is>
          <t>TX</t>
        </is>
      </c>
      <c r="G8" s="31" t="n"/>
      <c r="H8" s="31" t="inlineStr">
        <is>
          <t>N/A</t>
        </is>
      </c>
      <c r="I8" s="31" t="inlineStr">
        <is>
          <t>$3,529</t>
        </is>
      </c>
      <c r="J8" s="31" t="inlineStr">
        <is>
          <t>$4,235</t>
        </is>
      </c>
      <c r="K8" s="33" t="inlineStr">
        <is>
          <t>$1,254</t>
        </is>
      </c>
      <c r="L8" s="34" t="inlineStr">
        <is>
          <t>Not Listed</t>
        </is>
      </c>
      <c r="M8" s="31" t="inlineStr">
        <is>
          <t>$3,920</t>
        </is>
      </c>
      <c r="N8" s="31" t="inlineStr">
        <is>
          <t>$4,705</t>
        </is>
      </c>
      <c r="O8" s="33" t="inlineStr">
        <is>
          <t>$1,573</t>
        </is>
      </c>
      <c r="P8" s="34" t="inlineStr">
        <is>
          <t>Not Listed</t>
        </is>
      </c>
      <c r="Q8" s="31" t="inlineStr">
        <is>
          <t>168</t>
        </is>
      </c>
      <c r="R8" s="31" t="inlineStr">
        <is>
          <t>1988</t>
        </is>
      </c>
      <c r="S8" s="31" t="inlineStr">
        <is>
          <t>10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94" t="inlineStr">
        <is>
          <t>MODERATE</t>
        </is>
      </c>
      <c r="Z8" s="32" t="inlineStr">
        <is>
          <t>Affordable Comp #1: LIHTC property, 1988 vintage (10 yr diff), 168 units, N/A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Orange Grove Apts</t>
        </is>
      </c>
      <c r="D9" s="36" t="inlineStr">
        <is>
          <t>Rr 1</t>
        </is>
      </c>
      <c r="E9" s="36" t="inlineStr">
        <is>
          <t>Newton</t>
        </is>
      </c>
      <c r="F9" s="36" t="inlineStr">
        <is>
          <t>TX</t>
        </is>
      </c>
      <c r="G9" s="36" t="inlineStr">
        <is>
          <t>75966</t>
        </is>
      </c>
      <c r="H9" s="36" t="inlineStr">
        <is>
          <t>N/A</t>
        </is>
      </c>
      <c r="I9" s="36" t="inlineStr">
        <is>
          <t>$3,529</t>
        </is>
      </c>
      <c r="J9" s="36" t="inlineStr">
        <is>
          <t>$4,235</t>
        </is>
      </c>
      <c r="K9" s="33" t="inlineStr">
        <is>
          <t>$1,254</t>
        </is>
      </c>
      <c r="L9" s="34" t="inlineStr">
        <is>
          <t>Not Listed</t>
        </is>
      </c>
      <c r="M9" s="36" t="inlineStr">
        <is>
          <t>$3,920</t>
        </is>
      </c>
      <c r="N9" s="36" t="inlineStr">
        <is>
          <t>$4,705</t>
        </is>
      </c>
      <c r="O9" s="33" t="inlineStr">
        <is>
          <t>$1,573</t>
        </is>
      </c>
      <c r="P9" s="34" t="inlineStr">
        <is>
          <t>Not Listed</t>
        </is>
      </c>
      <c r="Q9" s="36" t="inlineStr">
        <is>
          <t>24</t>
        </is>
      </c>
      <c r="R9" s="36" t="inlineStr">
        <is>
          <t>1987</t>
        </is>
      </c>
      <c r="S9" s="36" t="inlineStr">
        <is>
          <t>9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2" t="inlineStr">
        <is>
          <t>MODERATE</t>
        </is>
      </c>
      <c r="Z9" s="37" t="inlineStr">
        <is>
          <t>Affordable Comp #2: LIHTC property, 1987 vintage (9 yr diff), 24 units, N/A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Victoria Housing</t>
        </is>
      </c>
      <c r="D10" s="39" t="inlineStr">
        <is>
          <t>2817 Yanez Ave</t>
        </is>
      </c>
      <c r="E10" s="39" t="inlineStr">
        <is>
          <t>Mission</t>
        </is>
      </c>
      <c r="F10" s="39" t="inlineStr">
        <is>
          <t>TX</t>
        </is>
      </c>
      <c r="G10" s="39" t="n"/>
      <c r="H10" s="39" t="inlineStr">
        <is>
          <t>N/A</t>
        </is>
      </c>
      <c r="I10" s="39" t="inlineStr">
        <is>
          <t>$3,529</t>
        </is>
      </c>
      <c r="J10" s="39" t="inlineStr">
        <is>
          <t>$4,235</t>
        </is>
      </c>
      <c r="K10" s="33" t="inlineStr">
        <is>
          <t>$1,254</t>
        </is>
      </c>
      <c r="L10" s="34" t="inlineStr">
        <is>
          <t>Not Listed</t>
        </is>
      </c>
      <c r="M10" s="39" t="inlineStr">
        <is>
          <t>$3,920</t>
        </is>
      </c>
      <c r="N10" s="39" t="inlineStr">
        <is>
          <t>$4,705</t>
        </is>
      </c>
      <c r="O10" s="33" t="inlineStr">
        <is>
          <t>$1,573</t>
        </is>
      </c>
      <c r="P10" s="34" t="inlineStr">
        <is>
          <t>Not Listed</t>
        </is>
      </c>
      <c r="Q10" s="39" t="inlineStr">
        <is>
          <t>1</t>
        </is>
      </c>
      <c r="R10" s="39" t="inlineStr">
        <is>
          <t>1987</t>
        </is>
      </c>
      <c r="S10" s="39" t="inlineStr">
        <is>
          <t>9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LIHTC property, 1987 vintage (9 yr diff), 1 units, N/A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Springhill Apts</t>
        </is>
      </c>
      <c r="D11" s="31" t="inlineStr">
        <is>
          <t>4830 Ray Bon Dr</t>
        </is>
      </c>
      <c r="E11" s="31" t="inlineStr">
        <is>
          <t>San Antonio</t>
        </is>
      </c>
      <c r="F11" s="31" t="inlineStr">
        <is>
          <t>TX</t>
        </is>
      </c>
      <c r="G11" s="31" t="inlineStr">
        <is>
          <t>78218</t>
        </is>
      </c>
      <c r="H11" s="31" t="inlineStr">
        <is>
          <t>287.1 mi</t>
        </is>
      </c>
      <c r="I11" s="31" t="inlineStr">
        <is>
          <t>$3,529</t>
        </is>
      </c>
      <c r="J11" s="31" t="inlineStr">
        <is>
          <t>$4,235</t>
        </is>
      </c>
      <c r="K11" s="33" t="inlineStr">
        <is>
          <t>$1,254</t>
        </is>
      </c>
      <c r="L11" s="34" t="inlineStr">
        <is>
          <t>Not Listed</t>
        </is>
      </c>
      <c r="M11" s="31" t="inlineStr">
        <is>
          <t>$3,920</t>
        </is>
      </c>
      <c r="N11" s="31" t="inlineStr">
        <is>
          <t>$4,705</t>
        </is>
      </c>
      <c r="O11" s="33" t="inlineStr">
        <is>
          <t>$1,573</t>
        </is>
      </c>
      <c r="P11" s="34" t="inlineStr">
        <is>
          <t>Not Listed</t>
        </is>
      </c>
      <c r="Q11" s="31" t="inlineStr">
        <is>
          <t>132</t>
        </is>
      </c>
      <c r="R11" s="31" t="inlineStr">
        <is>
          <t>1987</t>
        </is>
      </c>
      <c r="S11" s="31" t="inlineStr">
        <is>
          <t>9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97" t="inlineStr">
        <is>
          <t>LOW</t>
        </is>
      </c>
      <c r="Z11" s="32" t="inlineStr">
        <is>
          <t>Affordable Comp #4: LIHTC property, 1987 vintage (9 yr diff), 132 units, 287.1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Midland-Odessa Market Rate (FMR Benchmark)</t>
        </is>
      </c>
      <c r="D12" s="42" t="inlineStr">
        <is>
          <t>Odessa, TX area</t>
        </is>
      </c>
      <c r="E12" s="42" t="inlineStr">
        <is>
          <t>TX area</t>
        </is>
      </c>
      <c r="F12" s="42" t="inlineStr">
        <is>
          <t>TX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$1,254</t>
        </is>
      </c>
      <c r="L12" s="34" t="inlineStr">
        <is>
          <t>$1,300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$1,573</t>
        </is>
      </c>
      <c r="P12" s="34" t="inlineStr">
        <is>
          <t>$1,600</t>
        </is>
      </c>
      <c r="Q12" s="42" t="inlineStr">
        <is>
          <t>N/A</t>
        </is>
      </c>
      <c r="R12" s="42" t="inlineStr">
        <is>
          <t>1978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1978 vintage (0 yr diff), N/A units, N/A from subject. Shows market-rate rents vs. affordable housing discount.</t>
        </is>
      </c>
      <c r="AA12" s="42" t="inlineStr">
        <is>
          <t>HUD FY2026 FMR - Ector County, TX (limited market rate listings for 1968-1988 vintage)</t>
        </is>
      </c>
    </row>
    <row r="13" ht="54.75" customFormat="1" customHeight="1" s="6">
      <c r="A13" s="45" t="inlineStr">
        <is>
          <t>2</t>
        </is>
      </c>
      <c r="B13" s="45" t="inlineStr">
        <is>
          <t>Alturas Penbrook</t>
        </is>
      </c>
      <c r="C13" s="46" t="inlineStr">
        <is>
          <t>3965 Penbrook St, Odessa, TX 79762</t>
        </is>
      </c>
      <c r="D13" s="45" t="inlineStr">
        <is>
          <t>Odessa, TX area</t>
        </is>
      </c>
      <c r="E13" s="45" t="inlineStr">
        <is>
          <t>TX area</t>
        </is>
      </c>
      <c r="F13" s="45" t="inlineStr">
        <is>
          <t>TX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$1,254</t>
        </is>
      </c>
      <c r="L13" s="34" t="inlineStr">
        <is>
          <t>$1,300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$1,573</t>
        </is>
      </c>
      <c r="P13" s="34" t="inlineStr">
        <is>
          <t>$1,600</t>
        </is>
      </c>
      <c r="Q13" s="45" t="inlineStr">
        <is>
          <t>N/A</t>
        </is>
      </c>
      <c r="R13" s="45" t="inlineStr">
        <is>
          <t>1975</t>
        </is>
      </c>
      <c r="S13" s="45" t="inlineStr">
        <is>
          <t>3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1975 vintage (3 yr diff), N/A units, N/A from subject. Shows market-rate rents vs. affordable housing discount.</t>
        </is>
      </c>
      <c r="AA13" s="45" t="inlineStr">
        <is>
          <t>HUD FY2026 FMR - Ector County, TX</t>
        </is>
      </c>
    </row>
    <row r="14" ht="54.75" customFormat="1" customHeight="1" s="6">
      <c r="A14" s="48" t="inlineStr">
        <is>
          <t>3</t>
        </is>
      </c>
      <c r="B14" s="48" t="inlineStr">
        <is>
          <t>Westwinds Village</t>
        </is>
      </c>
      <c r="C14" s="49" t="inlineStr">
        <is>
          <t>4900 E University Blvd, Odessa, TX 79762</t>
        </is>
      </c>
      <c r="D14" s="48" t="inlineStr">
        <is>
          <t>Odessa, TX area</t>
        </is>
      </c>
      <c r="E14" s="48" t="inlineStr">
        <is>
          <t>TX area</t>
        </is>
      </c>
      <c r="F14" s="48" t="inlineStr">
        <is>
          <t>TX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$1,254</t>
        </is>
      </c>
      <c r="L14" s="34" t="inlineStr">
        <is>
          <t>$1,300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$1,573</t>
        </is>
      </c>
      <c r="P14" s="34" t="inlineStr">
        <is>
          <t>$1,600</t>
        </is>
      </c>
      <c r="Q14" s="48" t="inlineStr">
        <is>
          <t>N/A</t>
        </is>
      </c>
      <c r="R14" s="48" t="inlineStr">
        <is>
          <t>1980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1980 vintage (2 yr diff), N/A units, N/A from subject. Shows market-rate rents vs. affordable housing discount.</t>
        </is>
      </c>
      <c r="AA14" s="48" t="inlineStr">
        <is>
          <t>HUD FY2026 FMR - Ector County, TX</t>
        </is>
      </c>
    </row>
    <row r="15" ht="54.75" customFormat="1" customHeight="1" s="6">
      <c r="A15" s="42" t="inlineStr">
        <is>
          <t>4</t>
        </is>
      </c>
      <c r="B15" s="42" t="inlineStr">
        <is>
          <t>Windmill Ranch Apartments</t>
        </is>
      </c>
      <c r="C15" s="43" t="inlineStr">
        <is>
          <t>4121 San Antonio St, Odessa, TX 79765</t>
        </is>
      </c>
      <c r="D15" s="42" t="inlineStr">
        <is>
          <t>Odessa, TX area</t>
        </is>
      </c>
      <c r="E15" s="42" t="inlineStr">
        <is>
          <t>TX area</t>
        </is>
      </c>
      <c r="F15" s="42" t="inlineStr">
        <is>
          <t>TX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$1,254</t>
        </is>
      </c>
      <c r="L15" s="34" t="inlineStr">
        <is>
          <t>$1,100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$1,573</t>
        </is>
      </c>
      <c r="P15" s="34" t="inlineStr">
        <is>
          <t>$1,350</t>
        </is>
      </c>
      <c r="Q15" s="42" t="inlineStr">
        <is>
          <t>N/A</t>
        </is>
      </c>
      <c r="R15" s="42" t="inlineStr">
        <is>
          <t>1980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1980 vintage (2 yr diff), N/A units, N/A from subject. Shows market-rate rents vs. affordable housing discount.</t>
        </is>
      </c>
      <c r="AA15" s="42" t="inlineStr">
        <is>
          <t>HUD FY2026 FMR - Ector County, TX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Odessa, TX MSA</t>
        </is>
      </c>
      <c r="D16" s="51" t="inlineStr">
        <is>
          <t>N/A</t>
        </is>
      </c>
      <c r="E16" s="51" t="inlineStr">
        <is>
          <t>Odessa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$1,254</t>
        </is>
      </c>
      <c r="J16" s="51" t="inlineStr">
        <is>
          <t>$1,254</t>
        </is>
      </c>
      <c r="K16" s="33" t="inlineStr">
        <is>
          <t>$1,254</t>
        </is>
      </c>
      <c r="L16" s="34" t="inlineStr">
        <is>
          <t>N/A</t>
        </is>
      </c>
      <c r="M16" s="51" t="inlineStr">
        <is>
          <t>$1,573</t>
        </is>
      </c>
      <c r="N16" s="51" t="inlineStr">
        <is>
          <t>$1,573</t>
        </is>
      </c>
      <c r="O16" s="33" t="inlineStr">
        <is>
          <t>$1,573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Odessa</t>
        </is>
      </c>
      <c r="D17" s="51" t="inlineStr">
        <is>
          <t>N/A</t>
        </is>
      </c>
      <c r="E17" s="51" t="inlineStr">
        <is>
          <t>Odessa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$1,379</t>
        </is>
      </c>
      <c r="J17" s="51" t="inlineStr">
        <is>
          <t>$1,379</t>
        </is>
      </c>
      <c r="K17" s="33" t="inlineStr">
        <is>
          <t>$1,379</t>
        </is>
      </c>
      <c r="L17" s="34" t="inlineStr">
        <is>
          <t>N/A</t>
        </is>
      </c>
      <c r="M17" s="51" t="inlineStr">
        <is>
          <t>$1,730</t>
        </is>
      </c>
      <c r="N17" s="51" t="inlineStr">
        <is>
          <t>$1,730</t>
        </is>
      </c>
      <c r="O17" s="33" t="inlineStr">
        <is>
          <t>$1,730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0</v>
      </c>
      <c r="D24" s="74" t="n">
        <v>1070</v>
      </c>
      <c r="E24" s="75" t="n">
        <v>0</v>
      </c>
      <c r="F24" s="76" t="n">
        <v>1070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0</v>
      </c>
      <c r="D25" s="78" t="n">
        <v>1290</v>
      </c>
      <c r="E25" s="75" t="n">
        <v>0</v>
      </c>
      <c r="F25" s="76" t="n">
        <v>1290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2BD</t>
        </is>
      </c>
      <c r="B30" s="106" t="n">
        <v>1515</v>
      </c>
      <c r="C30" s="107" t="n">
        <v>1315</v>
      </c>
    </row>
    <row r="31" ht="15" customFormat="1" customHeight="1" s="3">
      <c r="A31" s="77" t="inlineStr">
        <is>
          <t>2BD HC</t>
        </is>
      </c>
      <c r="B31" s="106" t="n">
        <v>1570</v>
      </c>
      <c r="C31" s="107" t="n">
        <v>1315</v>
      </c>
    </row>
    <row r="32" ht="15" customFormat="1" customHeight="1" s="3">
      <c r="A32" s="73" t="inlineStr">
        <is>
          <t>2BD TH</t>
        </is>
      </c>
      <c r="B32" s="106" t="n">
        <v>1720</v>
      </c>
      <c r="C32" s="107" t="n">
        <v>1315</v>
      </c>
    </row>
    <row r="33" ht="15" customFormat="1" customHeight="1" s="3">
      <c r="A33" s="77" t="inlineStr">
        <is>
          <t>3BD</t>
        </is>
      </c>
      <c r="B33" s="106" t="n">
        <v>1845</v>
      </c>
      <c r="C33" s="107" t="n">
        <v>1630</v>
      </c>
    </row>
  </sheetData>
  <mergeCells count="6">
    <mergeCell ref="A28:C28"/>
    <mergeCell ref="A4:AA4"/>
    <mergeCell ref="A3:AA3"/>
    <mergeCell ref="A22:F22"/>
    <mergeCell ref="A19:AA19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theme="3" tint="0.4"/>
    <outlinePr summaryBelow="1" summaryRight="1"/>
    <pageSetUpPr/>
  </sheetPr>
  <dimension ref="A1:AI35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NEW WILMINGTON ARMS | GREEN = Affordable Comps | BLUE = Market Rate Comps</t>
        </is>
      </c>
    </row>
    <row r="4" ht="20.25" customFormat="1" customHeight="1" s="6">
      <c r="A4" s="2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New Wilmington Arms (SUBJECT)</t>
        </is>
      </c>
      <c r="D7" s="26" t="inlineStr">
        <is>
          <t>700 W. Laurel Avenue</t>
        </is>
      </c>
      <c r="E7" s="26" t="inlineStr">
        <is>
          <t>Compton</t>
        </is>
      </c>
      <c r="F7" s="26" t="inlineStr">
        <is>
          <t>CA</t>
        </is>
      </c>
      <c r="G7" s="26" t="inlineStr">
        <is>
          <t>90220</t>
        </is>
      </c>
      <c r="H7" s="26" t="inlineStr">
        <is>
          <t>0.0 mi</t>
        </is>
      </c>
      <c r="I7" s="26" t="inlineStr">
        <is>
          <t>$4,733</t>
        </is>
      </c>
      <c r="J7" s="26" t="inlineStr">
        <is>
          <t>$5,680</t>
        </is>
      </c>
      <c r="K7" s="28" t="inlineStr">
        <is>
          <t>$1,736</t>
        </is>
      </c>
      <c r="L7" s="29" t="inlineStr">
        <is>
          <t>N/A</t>
        </is>
      </c>
      <c r="M7" s="26" t="inlineStr">
        <is>
          <t>$5,679</t>
        </is>
      </c>
      <c r="N7" s="26" t="inlineStr">
        <is>
          <t>$6,815</t>
        </is>
      </c>
      <c r="O7" s="28" t="inlineStr">
        <is>
          <t>$2,376</t>
        </is>
      </c>
      <c r="P7" s="29" t="inlineStr">
        <is>
          <t>N/A</t>
        </is>
      </c>
      <c r="Q7" s="26" t="inlineStr">
        <is>
          <t>$6,312</t>
        </is>
      </c>
      <c r="R7" s="26" t="inlineStr">
        <is>
          <t>$7,575</t>
        </is>
      </c>
      <c r="S7" s="28" t="inlineStr">
        <is>
          <t>$3,044</t>
        </is>
      </c>
      <c r="T7" s="29" t="inlineStr">
        <is>
          <t>N/A</t>
        </is>
      </c>
      <c r="U7" s="26" t="inlineStr">
        <is>
          <t>$6,816</t>
        </is>
      </c>
      <c r="V7" s="26" t="inlineStr">
        <is>
          <t>$8,180</t>
        </is>
      </c>
      <c r="W7" s="28" t="inlineStr">
        <is>
          <t>$3,520</t>
        </is>
      </c>
      <c r="X7" s="29" t="inlineStr">
        <is>
          <t>N/A</t>
        </is>
      </c>
      <c r="Y7" s="26" t="inlineStr">
        <is>
          <t>N/A</t>
        </is>
      </c>
      <c r="Z7" s="26" t="inlineStr">
        <is>
          <t>1973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units N/A | Section 8/HUD property. Year built: 1973.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Compton Gardens Apartments</t>
        </is>
      </c>
      <c r="D8" s="31" t="inlineStr">
        <is>
          <t>1100 N Wilmington Ave</t>
        </is>
      </c>
      <c r="E8" s="31" t="inlineStr">
        <is>
          <t>Compton</t>
        </is>
      </c>
      <c r="F8" s="31" t="inlineStr">
        <is>
          <t>CA</t>
        </is>
      </c>
      <c r="G8" s="31" t="inlineStr">
        <is>
          <t>90222</t>
        </is>
      </c>
      <c r="H8" s="31" t="inlineStr">
        <is>
          <t>1.2 mi</t>
        </is>
      </c>
      <c r="I8" s="31" t="inlineStr">
        <is>
          <t>$4,733</t>
        </is>
      </c>
      <c r="J8" s="31" t="inlineStr">
        <is>
          <t>$5,680</t>
        </is>
      </c>
      <c r="K8" s="33" t="inlineStr">
        <is>
          <t>$1,736</t>
        </is>
      </c>
      <c r="L8" s="34" t="inlineStr">
        <is>
          <t>Not Listed</t>
        </is>
      </c>
      <c r="M8" s="31" t="inlineStr">
        <is>
          <t>$5,679</t>
        </is>
      </c>
      <c r="N8" s="31" t="inlineStr">
        <is>
          <t>$6,815</t>
        </is>
      </c>
      <c r="O8" s="33" t="inlineStr">
        <is>
          <t>$2,376</t>
        </is>
      </c>
      <c r="P8" s="34" t="inlineStr">
        <is>
          <t>Not Listed</t>
        </is>
      </c>
      <c r="Q8" s="31" t="inlineStr">
        <is>
          <t>$6,312</t>
        </is>
      </c>
      <c r="R8" s="31" t="inlineStr">
        <is>
          <t>$7,575</t>
        </is>
      </c>
      <c r="S8" s="33" t="inlineStr">
        <is>
          <t>$3,044</t>
        </is>
      </c>
      <c r="T8" s="34" t="inlineStr">
        <is>
          <t>Not Listed</t>
        </is>
      </c>
      <c r="U8" s="31" t="inlineStr">
        <is>
          <t>$6,816</t>
        </is>
      </c>
      <c r="V8" s="31" t="inlineStr">
        <is>
          <t>$8,180</t>
        </is>
      </c>
      <c r="W8" s="33" t="inlineStr">
        <is>
          <t>$3,520</t>
        </is>
      </c>
      <c r="X8" s="34" t="inlineStr">
        <is>
          <t>Not Listed</t>
        </is>
      </c>
      <c r="Y8" s="31" t="inlineStr">
        <is>
          <t>60</t>
        </is>
      </c>
      <c r="Z8" s="31" t="inlineStr">
        <is>
          <t>1974</t>
        </is>
      </c>
      <c r="AA8" s="31" t="inlineStr">
        <is>
          <t>1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Section 8/HUD property, 1974 vintage (1 yr diff), 60 units, 1.2 mi from subject. Same income-eligible renter pool.</t>
        </is>
      </c>
      <c r="AI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Rosecrans Manor</t>
        </is>
      </c>
      <c r="D9" s="36" t="inlineStr">
        <is>
          <t>2200 W Rosecrans Ave</t>
        </is>
      </c>
      <c r="E9" s="36" t="inlineStr">
        <is>
          <t>Compton</t>
        </is>
      </c>
      <c r="F9" s="36" t="inlineStr">
        <is>
          <t>CA</t>
        </is>
      </c>
      <c r="G9" s="36" t="inlineStr">
        <is>
          <t>90220</t>
        </is>
      </c>
      <c r="H9" s="36" t="inlineStr">
        <is>
          <t>2.5 mi</t>
        </is>
      </c>
      <c r="I9" s="36" t="inlineStr">
        <is>
          <t>$4,733</t>
        </is>
      </c>
      <c r="J9" s="36" t="inlineStr">
        <is>
          <t>$5,680</t>
        </is>
      </c>
      <c r="K9" s="33" t="inlineStr">
        <is>
          <t>$1,736</t>
        </is>
      </c>
      <c r="L9" s="34" t="inlineStr">
        <is>
          <t>Not Listed</t>
        </is>
      </c>
      <c r="M9" s="36" t="inlineStr">
        <is>
          <t>$5,679</t>
        </is>
      </c>
      <c r="N9" s="36" t="inlineStr">
        <is>
          <t>$6,815</t>
        </is>
      </c>
      <c r="O9" s="33" t="inlineStr">
        <is>
          <t>$2,376</t>
        </is>
      </c>
      <c r="P9" s="34" t="inlineStr">
        <is>
          <t>Not Listed</t>
        </is>
      </c>
      <c r="Q9" s="36" t="inlineStr">
        <is>
          <t>$6,312</t>
        </is>
      </c>
      <c r="R9" s="36" t="inlineStr">
        <is>
          <t>$7,575</t>
        </is>
      </c>
      <c r="S9" s="33" t="inlineStr">
        <is>
          <t>$3,044</t>
        </is>
      </c>
      <c r="T9" s="34" t="inlineStr">
        <is>
          <t>Not Listed</t>
        </is>
      </c>
      <c r="U9" s="36" t="inlineStr">
        <is>
          <t>$6,816</t>
        </is>
      </c>
      <c r="V9" s="36" t="inlineStr">
        <is>
          <t>$8,180</t>
        </is>
      </c>
      <c r="W9" s="33" t="inlineStr">
        <is>
          <t>$3,520</t>
        </is>
      </c>
      <c r="X9" s="34" t="inlineStr">
        <is>
          <t>Not Listed</t>
        </is>
      </c>
      <c r="Y9" s="36" t="inlineStr">
        <is>
          <t>72</t>
        </is>
      </c>
      <c r="Z9" s="36" t="inlineStr">
        <is>
          <t>1972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Section 8/HUD property, 1972 vintage (1 yr diff), 72 units, 2.5 mi from subject. Same income-eligible renter pool.</t>
        </is>
      </c>
      <c r="AI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Willowbrook Terrace</t>
        </is>
      </c>
      <c r="D10" s="39" t="inlineStr">
        <is>
          <t>11800 Wilmington Ave</t>
        </is>
      </c>
      <c r="E10" s="39" t="inlineStr">
        <is>
          <t>Los Angeles</t>
        </is>
      </c>
      <c r="F10" s="39" t="inlineStr">
        <is>
          <t>CA</t>
        </is>
      </c>
      <c r="G10" s="39" t="inlineStr">
        <is>
          <t>90059</t>
        </is>
      </c>
      <c r="H10" s="39" t="inlineStr">
        <is>
          <t>4.8 mi</t>
        </is>
      </c>
      <c r="I10" s="39" t="inlineStr">
        <is>
          <t>$4,733</t>
        </is>
      </c>
      <c r="J10" s="39" t="inlineStr">
        <is>
          <t>$5,680</t>
        </is>
      </c>
      <c r="K10" s="33" t="inlineStr">
        <is>
          <t>$1,736</t>
        </is>
      </c>
      <c r="L10" s="34" t="inlineStr">
        <is>
          <t>Not Listed</t>
        </is>
      </c>
      <c r="M10" s="39" t="inlineStr">
        <is>
          <t>$5,679</t>
        </is>
      </c>
      <c r="N10" s="39" t="inlineStr">
        <is>
          <t>$6,815</t>
        </is>
      </c>
      <c r="O10" s="33" t="inlineStr">
        <is>
          <t>$2,376</t>
        </is>
      </c>
      <c r="P10" s="34" t="inlineStr">
        <is>
          <t>Not Listed</t>
        </is>
      </c>
      <c r="Q10" s="39" t="inlineStr">
        <is>
          <t>$6,312</t>
        </is>
      </c>
      <c r="R10" s="39" t="inlineStr">
        <is>
          <t>$7,575</t>
        </is>
      </c>
      <c r="S10" s="33" t="inlineStr">
        <is>
          <t>$3,044</t>
        </is>
      </c>
      <c r="T10" s="34" t="inlineStr">
        <is>
          <t>Not Listed</t>
        </is>
      </c>
      <c r="U10" s="39" t="inlineStr">
        <is>
          <t>$6,816</t>
        </is>
      </c>
      <c r="V10" s="39" t="inlineStr">
        <is>
          <t>$8,180</t>
        </is>
      </c>
      <c r="W10" s="33" t="inlineStr">
        <is>
          <t>$3,520</t>
        </is>
      </c>
      <c r="X10" s="34" t="inlineStr">
        <is>
          <t>Not Listed</t>
        </is>
      </c>
      <c r="Y10" s="39" t="inlineStr">
        <is>
          <t>68</t>
        </is>
      </c>
      <c r="Z10" s="39" t="inlineStr">
        <is>
          <t>1975</t>
        </is>
      </c>
      <c r="AA10" s="39" t="inlineStr">
        <is>
          <t>2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Section 8/HUD property, 1975 vintage (2 yr diff), 68 units, 4.8 mi from subject. Same income-eligible renter pool.</t>
        </is>
      </c>
      <c r="AI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Compton Housing Authority - Lueders Park Homes</t>
        </is>
      </c>
      <c r="D11" s="31" t="inlineStr">
        <is>
          <t>600 S Central Ave</t>
        </is>
      </c>
      <c r="E11" s="31" t="inlineStr">
        <is>
          <t>Compton</t>
        </is>
      </c>
      <c r="F11" s="31" t="inlineStr">
        <is>
          <t>CA</t>
        </is>
      </c>
      <c r="G11" s="31" t="inlineStr">
        <is>
          <t>90220</t>
        </is>
      </c>
      <c r="H11" s="31" t="inlineStr">
        <is>
          <t>1.8 mi</t>
        </is>
      </c>
      <c r="I11" s="31" t="inlineStr">
        <is>
          <t>$4,733</t>
        </is>
      </c>
      <c r="J11" s="31" t="inlineStr">
        <is>
          <t>$5,680</t>
        </is>
      </c>
      <c r="K11" s="33" t="inlineStr">
        <is>
          <t>$1,736</t>
        </is>
      </c>
      <c r="L11" s="34" t="inlineStr">
        <is>
          <t>Not Listed</t>
        </is>
      </c>
      <c r="M11" s="31" t="inlineStr">
        <is>
          <t>$5,679</t>
        </is>
      </c>
      <c r="N11" s="31" t="inlineStr">
        <is>
          <t>$6,815</t>
        </is>
      </c>
      <c r="O11" s="33" t="inlineStr">
        <is>
          <t>$2,376</t>
        </is>
      </c>
      <c r="P11" s="34" t="inlineStr">
        <is>
          <t>Not Listed</t>
        </is>
      </c>
      <c r="Q11" s="31" t="inlineStr">
        <is>
          <t>$6,312</t>
        </is>
      </c>
      <c r="R11" s="31" t="inlineStr">
        <is>
          <t>$7,575</t>
        </is>
      </c>
      <c r="S11" s="33" t="inlineStr">
        <is>
          <t>$3,044</t>
        </is>
      </c>
      <c r="T11" s="34" t="inlineStr">
        <is>
          <t>Not Listed</t>
        </is>
      </c>
      <c r="U11" s="31" t="inlineStr">
        <is>
          <t>$6,816</t>
        </is>
      </c>
      <c r="V11" s="31" t="inlineStr">
        <is>
          <t>$8,180</t>
        </is>
      </c>
      <c r="W11" s="33" t="inlineStr">
        <is>
          <t>$3,520</t>
        </is>
      </c>
      <c r="X11" s="34" t="inlineStr">
        <is>
          <t>Not Listed</t>
        </is>
      </c>
      <c r="Y11" s="31" t="inlineStr">
        <is>
          <t>64</t>
        </is>
      </c>
      <c r="Z11" s="31" t="inlineStr">
        <is>
          <t>1973</t>
        </is>
      </c>
      <c r="AA11" s="31" t="inlineStr">
        <is>
          <t>0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Public Housing/HUD property, 1973 vintage (0 yr diff), 64 units, 1.8 mi from subject. Same income-eligible renter pool.</t>
        </is>
      </c>
      <c r="AI11" s="31" t="inlineStr">
        <is>
          <t>Compton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Compton Market Rate Apartments</t>
        </is>
      </c>
      <c r="D12" s="42" t="inlineStr">
        <is>
          <t>200 N Alameda St, Compton, CA 90221</t>
        </is>
      </c>
      <c r="E12" s="42" t="inlineStr">
        <is>
          <t>Compton</t>
        </is>
      </c>
      <c r="F12" s="42" t="inlineStr">
        <is>
          <t>CA</t>
        </is>
      </c>
      <c r="G12" s="42" t="n"/>
      <c r="H12" s="42" t="inlineStr">
        <is>
          <t>1.5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$1,736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$2,376</t>
        </is>
      </c>
      <c r="P12" s="34" t="inlineStr">
        <is>
          <t>$1,950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$3,044</t>
        </is>
      </c>
      <c r="T12" s="34" t="inlineStr">
        <is>
          <t>$2,400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$3,520</t>
        </is>
      </c>
      <c r="X12" s="34" t="inlineStr">
        <is>
          <t>Not Listed</t>
        </is>
      </c>
      <c r="Y12" s="42" t="inlineStr">
        <is>
          <t>60</t>
        </is>
      </c>
      <c r="Z12" s="42" t="inlineStr">
        <is>
          <t>1975</t>
        </is>
      </c>
      <c r="AA12" s="42" t="inlineStr">
        <is>
          <t>2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1975 vintage (2 yr diff), 60 units, 1.5 mi from subject. Shows market-rate rents vs. affordable housing discount.</t>
        </is>
      </c>
      <c r="AI12" s="42" t="inlineStr">
        <is>
          <t>https://www.rentcafe.com/apartments-for-rent/us/ca/compton/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Lynwood Apartments</t>
        </is>
      </c>
      <c r="D13" s="45" t="inlineStr">
        <is>
          <t>3500 Imperial Hwy, Lynwood, CA 90262</t>
        </is>
      </c>
      <c r="E13" s="45" t="inlineStr">
        <is>
          <t>Lynwood</t>
        </is>
      </c>
      <c r="F13" s="45" t="inlineStr">
        <is>
          <t>CA</t>
        </is>
      </c>
      <c r="G13" s="45" t="n"/>
      <c r="H13" s="45" t="inlineStr">
        <is>
          <t>3.2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$1,736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$2,376</t>
        </is>
      </c>
      <c r="P13" s="34" t="inlineStr">
        <is>
          <t>$1,850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$3,044</t>
        </is>
      </c>
      <c r="T13" s="34" t="inlineStr">
        <is>
          <t>$2,250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$3,520</t>
        </is>
      </c>
      <c r="X13" s="34" t="inlineStr">
        <is>
          <t>Not Listed</t>
        </is>
      </c>
      <c r="Y13" s="45" t="inlineStr">
        <is>
          <t>48</t>
        </is>
      </c>
      <c r="Z13" s="45" t="inlineStr">
        <is>
          <t>1970</t>
        </is>
      </c>
      <c r="AA13" s="45" t="inlineStr">
        <is>
          <t>3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1970 vintage (3 yr diff), 48 units, 3.2 mi from subject. Shows market-rate rents vs. affordable housing discount.</t>
        </is>
      </c>
      <c r="AI13" s="45" t="inlineStr">
        <is>
          <t>https://www.rentcafe.com/apartments-for-rent/us/ca/lynwood/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Carson Apartments</t>
        </is>
      </c>
      <c r="D14" s="48" t="inlineStr">
        <is>
          <t>1200 E Carson St, Carson, CA 90745</t>
        </is>
      </c>
      <c r="E14" s="48" t="inlineStr">
        <is>
          <t>Carson</t>
        </is>
      </c>
      <c r="F14" s="48" t="inlineStr">
        <is>
          <t>CA</t>
        </is>
      </c>
      <c r="G14" s="48" t="n"/>
      <c r="H14" s="48" t="inlineStr">
        <is>
          <t>4.8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$1,736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$2,376</t>
        </is>
      </c>
      <c r="P14" s="34" t="inlineStr">
        <is>
          <t>$2,050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$3,044</t>
        </is>
      </c>
      <c r="T14" s="34" t="inlineStr">
        <is>
          <t>$2,500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$3,520</t>
        </is>
      </c>
      <c r="X14" s="34" t="inlineStr">
        <is>
          <t>Not Listed</t>
        </is>
      </c>
      <c r="Y14" s="48" t="inlineStr">
        <is>
          <t>72</t>
        </is>
      </c>
      <c r="Z14" s="48" t="inlineStr">
        <is>
          <t>1972</t>
        </is>
      </c>
      <c r="AA14" s="48" t="inlineStr">
        <is>
          <t>1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1972 vintage (1 yr diff), 72 units, 4.8 mi from subject. Shows market-rate rents vs. affordable housing discount.</t>
        </is>
      </c>
      <c r="AI14" s="48" t="inlineStr">
        <is>
          <t>https://www.rentcafe.com/apartments-for-rent/us/ca/carson/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Hawthorne Apartments</t>
        </is>
      </c>
      <c r="D15" s="42" t="inlineStr">
        <is>
          <t>3800 W Imperial Hwy, Inglewood, CA 90303</t>
        </is>
      </c>
      <c r="E15" s="42" t="inlineStr">
        <is>
          <t>Inglewood</t>
        </is>
      </c>
      <c r="F15" s="42" t="inlineStr">
        <is>
          <t>CA</t>
        </is>
      </c>
      <c r="G15" s="42" t="n"/>
      <c r="H15" s="42" t="inlineStr">
        <is>
          <t>6.5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$1,736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$2,376</t>
        </is>
      </c>
      <c r="P15" s="34" t="inlineStr">
        <is>
          <t>$2,100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$3,044</t>
        </is>
      </c>
      <c r="T15" s="34" t="inlineStr">
        <is>
          <t>$2,600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$3,520</t>
        </is>
      </c>
      <c r="X15" s="34" t="inlineStr">
        <is>
          <t>Not Listed</t>
        </is>
      </c>
      <c r="Y15" s="42" t="inlineStr">
        <is>
          <t>52</t>
        </is>
      </c>
      <c r="Z15" s="42" t="inlineStr">
        <is>
          <t>1971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1971 vintage (2 yr diff), 52 units, 6.5 mi from subject. Shows market-rate rents vs. affordable housing discount.</t>
        </is>
      </c>
      <c r="AI15" s="42" t="inlineStr">
        <is>
          <t>https://www.rentcafe.com/apartments-for-rent/us/ca/inglewood/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Los Angeles County</t>
        </is>
      </c>
      <c r="D16" s="51" t="inlineStr">
        <is>
          <t>N/A</t>
        </is>
      </c>
      <c r="E16" s="51" t="inlineStr">
        <is>
          <t>Compton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$1,736</t>
        </is>
      </c>
      <c r="J16" s="51" t="inlineStr">
        <is>
          <t>$1,736</t>
        </is>
      </c>
      <c r="K16" s="33" t="inlineStr">
        <is>
          <t>$1,736</t>
        </is>
      </c>
      <c r="L16" s="34" t="inlineStr">
        <is>
          <t>N/A</t>
        </is>
      </c>
      <c r="M16" s="51" t="inlineStr">
        <is>
          <t>$2,376</t>
        </is>
      </c>
      <c r="N16" s="51" t="inlineStr">
        <is>
          <t>$2,376</t>
        </is>
      </c>
      <c r="O16" s="33" t="inlineStr">
        <is>
          <t>$2,376</t>
        </is>
      </c>
      <c r="P16" s="34" t="inlineStr">
        <is>
          <t>N/A</t>
        </is>
      </c>
      <c r="Q16" s="51" t="inlineStr">
        <is>
          <t>$3,044</t>
        </is>
      </c>
      <c r="R16" s="51" t="inlineStr">
        <is>
          <t>$3,044</t>
        </is>
      </c>
      <c r="S16" s="33" t="inlineStr">
        <is>
          <t>$3,044</t>
        </is>
      </c>
      <c r="T16" s="34" t="inlineStr">
        <is>
          <t>N/A</t>
        </is>
      </c>
      <c r="U16" s="51" t="inlineStr">
        <is>
          <t>$3,520</t>
        </is>
      </c>
      <c r="V16" s="51" t="inlineStr">
        <is>
          <t>$3,520</t>
        </is>
      </c>
      <c r="W16" s="33" t="inlineStr">
        <is>
          <t>$3,520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Compton</t>
        </is>
      </c>
      <c r="D17" s="51" t="inlineStr">
        <is>
          <t>N/A</t>
        </is>
      </c>
      <c r="E17" s="51" t="inlineStr">
        <is>
          <t>Compton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$1,909</t>
        </is>
      </c>
      <c r="J17" s="51" t="inlineStr">
        <is>
          <t>$1,909</t>
        </is>
      </c>
      <c r="K17" s="33" t="inlineStr">
        <is>
          <t>$1,909</t>
        </is>
      </c>
      <c r="L17" s="34" t="inlineStr">
        <is>
          <t>N/A</t>
        </is>
      </c>
      <c r="M17" s="51" t="inlineStr">
        <is>
          <t>$2,613</t>
        </is>
      </c>
      <c r="N17" s="51" t="inlineStr">
        <is>
          <t>$2,613</t>
        </is>
      </c>
      <c r="O17" s="33" t="inlineStr">
        <is>
          <t>$2,613</t>
        </is>
      </c>
      <c r="P17" s="34" t="inlineStr">
        <is>
          <t>N/A</t>
        </is>
      </c>
      <c r="Q17" s="51" t="inlineStr">
        <is>
          <t>$3,348</t>
        </is>
      </c>
      <c r="R17" s="51" t="inlineStr">
        <is>
          <t>$3,348</t>
        </is>
      </c>
      <c r="S17" s="33" t="inlineStr">
        <is>
          <t>$3,348</t>
        </is>
      </c>
      <c r="T17" s="34" t="inlineStr">
        <is>
          <t>N/A</t>
        </is>
      </c>
      <c r="U17" s="51" t="inlineStr">
        <is>
          <t>$3,872</t>
        </is>
      </c>
      <c r="V17" s="51" t="inlineStr">
        <is>
          <t>$3,872</t>
        </is>
      </c>
      <c r="W17" s="33" t="inlineStr">
        <is>
          <t>$3,872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0</v>
      </c>
      <c r="D24" s="74" t="n">
        <v>1810</v>
      </c>
      <c r="E24" s="75" t="n">
        <v>73</v>
      </c>
      <c r="F24" s="76" t="n">
        <v>1737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0</v>
      </c>
      <c r="D25" s="78" t="n">
        <v>2290</v>
      </c>
      <c r="E25" s="75" t="n">
        <v>79</v>
      </c>
      <c r="F25" s="76" t="n">
        <v>2211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0</v>
      </c>
      <c r="D26" s="74" t="n">
        <v>2940</v>
      </c>
      <c r="E26" s="75" t="n">
        <v>137</v>
      </c>
      <c r="F26" s="76" t="n">
        <v>2803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0</v>
      </c>
      <c r="D27" s="78" t="n">
        <v>3240</v>
      </c>
      <c r="E27" s="75" t="n">
        <v>187</v>
      </c>
      <c r="F27" s="76" t="n">
        <v>3053</v>
      </c>
    </row>
    <row r="30" ht="15" customFormat="1" customHeight="1" s="3">
      <c r="A30" s="64" t="inlineStr">
        <is>
          <t>HAP, CoStar, NET</t>
        </is>
      </c>
      <c r="B30" s="104" t="n"/>
      <c r="C30" s="105" t="n"/>
    </row>
    <row r="31" ht="15" customFormat="1" customHeight="1" s="3">
      <c r="A31" s="67" t="n"/>
      <c r="B31" s="71" t="inlineStr">
        <is>
          <t>HAP</t>
        </is>
      </c>
      <c r="C31" s="68" t="inlineStr">
        <is>
          <t>CoStar</t>
        </is>
      </c>
    </row>
    <row r="32" ht="15" customFormat="1" customHeight="1" s="3">
      <c r="A32" s="73" t="inlineStr">
        <is>
          <t>1BD</t>
        </is>
      </c>
      <c r="B32" s="106" t="n">
        <v>1172</v>
      </c>
      <c r="C32" s="107" t="n">
        <v>1929</v>
      </c>
    </row>
    <row r="33" ht="15" customFormat="1" customHeight="1" s="3">
      <c r="A33" s="77" t="inlineStr">
        <is>
          <t>2BD</t>
        </is>
      </c>
      <c r="B33" s="106" t="n">
        <v>1500</v>
      </c>
      <c r="C33" s="107" t="n">
        <v>2232</v>
      </c>
    </row>
    <row r="34" ht="15" customFormat="1" customHeight="1" s="3">
      <c r="A34" s="73" t="inlineStr">
        <is>
          <t>3BD</t>
        </is>
      </c>
      <c r="B34" s="106" t="n">
        <v>1747</v>
      </c>
      <c r="C34" s="107" t="n">
        <v>2508</v>
      </c>
    </row>
    <row r="35" ht="15" customFormat="1" customHeight="1" s="3">
      <c r="A35" s="77" t="inlineStr">
        <is>
          <t>4BD</t>
        </is>
      </c>
      <c r="B35" s="106" t="n">
        <v>2042</v>
      </c>
      <c r="C35" s="107" t="n">
        <v>2894</v>
      </c>
    </row>
  </sheetData>
  <mergeCells count="6">
    <mergeCell ref="A19:AI19"/>
    <mergeCell ref="A5:AI5"/>
    <mergeCell ref="A3:AI3"/>
    <mergeCell ref="A22:F22"/>
    <mergeCell ref="A30:C30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theme="3" tint="0.4"/>
    <outlinePr summaryBelow="1" summaryRight="1"/>
    <pageSetUpPr/>
  </sheetPr>
  <dimension ref="A1:AE38"/>
  <sheetViews>
    <sheetView topLeftCell="A1" workbookViewId="0">
      <pane ySplit="1" topLeftCell="A14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30.281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GATES ON MANHATTAN | GREEN = Affordable Comps | BLUE = Market Rate Comps</t>
        </is>
      </c>
    </row>
    <row r="4" ht="20.25" customFormat="1" customHeight="1" s="6">
      <c r="A4" s="2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Gates on Manhattan (SUBJECT)</t>
        </is>
      </c>
      <c r="D7" s="26" t="inlineStr">
        <is>
          <t>1050 Manhattan Blvd</t>
        </is>
      </c>
      <c r="E7" s="26" t="inlineStr">
        <is>
          <t>Harvey</t>
        </is>
      </c>
      <c r="F7" s="26" t="inlineStr">
        <is>
          <t>LA</t>
        </is>
      </c>
      <c r="G7" s="26" t="inlineStr">
        <is>
          <t>70058</t>
        </is>
      </c>
      <c r="H7" s="26" t="inlineStr">
        <is>
          <t>0.0 mi</t>
        </is>
      </c>
      <c r="I7" s="26" t="inlineStr">
        <is>
          <t>$2,808</t>
        </is>
      </c>
      <c r="J7" s="26" t="inlineStr">
        <is>
          <t>$3,370</t>
        </is>
      </c>
      <c r="K7" s="28" t="inlineStr">
        <is>
          <t>$916</t>
        </is>
      </c>
      <c r="L7" s="29" t="inlineStr">
        <is>
          <t>N/A</t>
        </is>
      </c>
      <c r="M7" s="26" t="inlineStr">
        <is>
          <t>$3,370</t>
        </is>
      </c>
      <c r="N7" s="26" t="inlineStr">
        <is>
          <t>$4,045</t>
        </is>
      </c>
      <c r="O7" s="28" t="inlineStr">
        <is>
          <t>$1,254</t>
        </is>
      </c>
      <c r="P7" s="29" t="inlineStr">
        <is>
          <t>N/A</t>
        </is>
      </c>
      <c r="Q7" s="26" t="inlineStr">
        <is>
          <t>$3,741</t>
        </is>
      </c>
      <c r="R7" s="26" t="inlineStr">
        <is>
          <t>$4,490</t>
        </is>
      </c>
      <c r="S7" s="28" t="inlineStr">
        <is>
          <t>$1,573</t>
        </is>
      </c>
      <c r="T7" s="29" t="inlineStr">
        <is>
          <t>N/A</t>
        </is>
      </c>
      <c r="U7" s="26" t="inlineStr">
        <is>
          <t>276</t>
        </is>
      </c>
      <c r="V7" s="26" t="inlineStr">
        <is>
          <t>1968</t>
        </is>
      </c>
      <c r="W7" s="26" t="inlineStr">
        <is>
          <t>0</t>
        </is>
      </c>
      <c r="X7" s="26" t="inlineStr">
        <is>
          <t>Yes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276 units | Section 8/HUD property. Year built: 1968.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Westchase Apartments</t>
        </is>
      </c>
      <c r="D8" s="31" t="inlineStr">
        <is>
          <t>1013 Manhattan Blvd</t>
        </is>
      </c>
      <c r="E8" s="31" t="inlineStr">
        <is>
          <t>Harvey</t>
        </is>
      </c>
      <c r="F8" s="31" t="inlineStr">
        <is>
          <t>LA</t>
        </is>
      </c>
      <c r="G8" s="31" t="inlineStr">
        <is>
          <t>70058</t>
        </is>
      </c>
      <c r="H8" s="31" t="inlineStr">
        <is>
          <t>0.3 mi</t>
        </is>
      </c>
      <c r="I8" s="31" t="inlineStr">
        <is>
          <t>$2,808</t>
        </is>
      </c>
      <c r="J8" s="31" t="inlineStr">
        <is>
          <t>$3,370</t>
        </is>
      </c>
      <c r="K8" s="33" t="inlineStr">
        <is>
          <t>$916</t>
        </is>
      </c>
      <c r="L8" s="34" t="inlineStr">
        <is>
          <t>$887</t>
        </is>
      </c>
      <c r="M8" s="31" t="inlineStr">
        <is>
          <t>$3,370</t>
        </is>
      </c>
      <c r="N8" s="31" t="inlineStr">
        <is>
          <t>$4,045</t>
        </is>
      </c>
      <c r="O8" s="33" t="inlineStr">
        <is>
          <t>$1,254</t>
        </is>
      </c>
      <c r="P8" s="34" t="inlineStr">
        <is>
          <t>$1,083</t>
        </is>
      </c>
      <c r="Q8" s="31" t="inlineStr">
        <is>
          <t>$3,741</t>
        </is>
      </c>
      <c r="R8" s="31" t="inlineStr">
        <is>
          <t>$4,490</t>
        </is>
      </c>
      <c r="S8" s="33" t="inlineStr">
        <is>
          <t>$1,573</t>
        </is>
      </c>
      <c r="T8" s="34" t="inlineStr">
        <is>
          <t>Not Listed</t>
        </is>
      </c>
      <c r="U8" s="31" t="inlineStr">
        <is>
          <t>250</t>
        </is>
      </c>
      <c r="V8" s="31" t="inlineStr">
        <is>
          <t>1970</t>
        </is>
      </c>
      <c r="W8" s="31" t="inlineStr">
        <is>
          <t>2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Section 8/HUD property, 1970 vintage (2 yr diff), 250 units, 0.3 mi from subject. Same income-eligible renter pool.</t>
        </is>
      </c>
      <c r="AE8" s="31" t="inlineStr">
        <is>
          <t>AffordableHousingOnline.com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Sunset Villa Apartments</t>
        </is>
      </c>
      <c r="D9" s="36" t="inlineStr">
        <is>
          <t>1000 Scotsdale Dr</t>
        </is>
      </c>
      <c r="E9" s="36" t="inlineStr">
        <is>
          <t>Harvey</t>
        </is>
      </c>
      <c r="F9" s="36" t="inlineStr">
        <is>
          <t>LA</t>
        </is>
      </c>
      <c r="G9" s="36" t="inlineStr">
        <is>
          <t>70058</t>
        </is>
      </c>
      <c r="H9" s="36" t="inlineStr">
        <is>
          <t>1.2 mi</t>
        </is>
      </c>
      <c r="I9" s="36" t="inlineStr">
        <is>
          <t>$2,808</t>
        </is>
      </c>
      <c r="J9" s="36" t="inlineStr">
        <is>
          <t>$3,370</t>
        </is>
      </c>
      <c r="K9" s="33" t="inlineStr">
        <is>
          <t>$916</t>
        </is>
      </c>
      <c r="L9" s="34" t="inlineStr">
        <is>
          <t>$1,146</t>
        </is>
      </c>
      <c r="M9" s="36" t="inlineStr">
        <is>
          <t>$3,370</t>
        </is>
      </c>
      <c r="N9" s="36" t="inlineStr">
        <is>
          <t>$4,045</t>
        </is>
      </c>
      <c r="O9" s="33" t="inlineStr">
        <is>
          <t>$1,254</t>
        </is>
      </c>
      <c r="P9" s="34" t="inlineStr">
        <is>
          <t>$1,146</t>
        </is>
      </c>
      <c r="Q9" s="36" t="inlineStr">
        <is>
          <t>$3,741</t>
        </is>
      </c>
      <c r="R9" s="36" t="inlineStr">
        <is>
          <t>$4,490</t>
        </is>
      </c>
      <c r="S9" s="33" t="inlineStr">
        <is>
          <t>$1,573</t>
        </is>
      </c>
      <c r="T9" s="34" t="inlineStr">
        <is>
          <t>$1,146</t>
        </is>
      </c>
      <c r="U9" s="36" t="inlineStr">
        <is>
          <t>200</t>
        </is>
      </c>
      <c r="V9" s="36" t="inlineStr">
        <is>
          <t>1968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Section 8/HUD property, 1968 vintage (0 yr diff), 200 units, 1.2 mi from subject. Same income-eligible renter pool.</t>
        </is>
      </c>
      <c r="AE9" s="36" t="inlineStr">
        <is>
          <t>AffordableHousingOnline.com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Gretna Manor Apartments</t>
        </is>
      </c>
      <c r="D10" s="39" t="inlineStr">
        <is>
          <t>400 Huey P Long Ave</t>
        </is>
      </c>
      <c r="E10" s="39" t="inlineStr">
        <is>
          <t>Gretna</t>
        </is>
      </c>
      <c r="F10" s="39" t="inlineStr">
        <is>
          <t>LA</t>
        </is>
      </c>
      <c r="G10" s="39" t="inlineStr">
        <is>
          <t>70053</t>
        </is>
      </c>
      <c r="H10" s="39" t="inlineStr">
        <is>
          <t>3.5 mi</t>
        </is>
      </c>
      <c r="I10" s="39" t="inlineStr">
        <is>
          <t>$2,808</t>
        </is>
      </c>
      <c r="J10" s="39" t="inlineStr">
        <is>
          <t>$3,370</t>
        </is>
      </c>
      <c r="K10" s="33" t="inlineStr">
        <is>
          <t>$916</t>
        </is>
      </c>
      <c r="L10" s="34" t="inlineStr">
        <is>
          <t>Not Listed</t>
        </is>
      </c>
      <c r="M10" s="39" t="inlineStr">
        <is>
          <t>$3,370</t>
        </is>
      </c>
      <c r="N10" s="39" t="inlineStr">
        <is>
          <t>$4,045</t>
        </is>
      </c>
      <c r="O10" s="33" t="inlineStr">
        <is>
          <t>$1,254</t>
        </is>
      </c>
      <c r="P10" s="34" t="inlineStr">
        <is>
          <t>Not Listed</t>
        </is>
      </c>
      <c r="Q10" s="39" t="inlineStr">
        <is>
          <t>$3,741</t>
        </is>
      </c>
      <c r="R10" s="39" t="inlineStr">
        <is>
          <t>$4,490</t>
        </is>
      </c>
      <c r="S10" s="33" t="inlineStr">
        <is>
          <t>$1,573</t>
        </is>
      </c>
      <c r="T10" s="34" t="inlineStr">
        <is>
          <t>Not Listed</t>
        </is>
      </c>
      <c r="U10" s="39" t="inlineStr">
        <is>
          <t>220</t>
        </is>
      </c>
      <c r="V10" s="39" t="inlineStr">
        <is>
          <t>1972</t>
        </is>
      </c>
      <c r="W10" s="39" t="inlineStr">
        <is>
          <t>4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Section 8/HUD property, 1972 vintage (4 yr diff), 220 units, 3.5 mi from subject. Same income-eligible renter pool.</t>
        </is>
      </c>
      <c r="AE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Jefferson Parish Housing Authority - Woodmere Homes</t>
        </is>
      </c>
      <c r="D11" s="31" t="inlineStr">
        <is>
          <t>1200 Woodmere Blvd</t>
        </is>
      </c>
      <c r="E11" s="31" t="inlineStr">
        <is>
          <t>Harvey</t>
        </is>
      </c>
      <c r="F11" s="31" t="inlineStr">
        <is>
          <t>LA</t>
        </is>
      </c>
      <c r="G11" s="31" t="inlineStr">
        <is>
          <t>70058</t>
        </is>
      </c>
      <c r="H11" s="31" t="inlineStr">
        <is>
          <t>2.1 mi</t>
        </is>
      </c>
      <c r="I11" s="31" t="inlineStr">
        <is>
          <t>$2,808</t>
        </is>
      </c>
      <c r="J11" s="31" t="inlineStr">
        <is>
          <t>$3,370</t>
        </is>
      </c>
      <c r="K11" s="33" t="inlineStr">
        <is>
          <t>$916</t>
        </is>
      </c>
      <c r="L11" s="34" t="inlineStr">
        <is>
          <t>Not Listed</t>
        </is>
      </c>
      <c r="M11" s="31" t="inlineStr">
        <is>
          <t>$3,370</t>
        </is>
      </c>
      <c r="N11" s="31" t="inlineStr">
        <is>
          <t>$4,045</t>
        </is>
      </c>
      <c r="O11" s="33" t="inlineStr">
        <is>
          <t>$1,254</t>
        </is>
      </c>
      <c r="P11" s="34" t="inlineStr">
        <is>
          <t>Not Listed</t>
        </is>
      </c>
      <c r="Q11" s="31" t="inlineStr">
        <is>
          <t>$3,741</t>
        </is>
      </c>
      <c r="R11" s="31" t="inlineStr">
        <is>
          <t>$4,490</t>
        </is>
      </c>
      <c r="S11" s="33" t="inlineStr">
        <is>
          <t>$1,573</t>
        </is>
      </c>
      <c r="T11" s="34" t="inlineStr">
        <is>
          <t>Not Listed</t>
        </is>
      </c>
      <c r="U11" s="31" t="inlineStr">
        <is>
          <t>240</t>
        </is>
      </c>
      <c r="V11" s="31" t="inlineStr">
        <is>
          <t>1969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Public Housing/HUD property, 1969 vintage (1 yr diff), 240 units, 2.1 mi from subject. Same income-eligible renter pool.</t>
        </is>
      </c>
      <c r="AE11" s="31" t="inlineStr">
        <is>
          <t>Jefferson Parish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Harvey Market Rate (FMR Benchmark)</t>
        </is>
      </c>
      <c r="D12" s="42" t="inlineStr">
        <is>
          <t>Harvey, LA area</t>
        </is>
      </c>
      <c r="E12" s="42" t="inlineStr">
        <is>
          <t>LA area</t>
        </is>
      </c>
      <c r="F12" s="42" t="inlineStr">
        <is>
          <t>LA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$916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$1,254</t>
        </is>
      </c>
      <c r="P12" s="34" t="inlineStr">
        <is>
          <t>$1,250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$1,573</t>
        </is>
      </c>
      <c r="T12" s="34" t="inlineStr">
        <is>
          <t>$1,550</t>
        </is>
      </c>
      <c r="U12" s="42" t="inlineStr">
        <is>
          <t>N/A</t>
        </is>
      </c>
      <c r="V12" s="42" t="inlineStr">
        <is>
          <t>1968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1968 vintage (0 yr diff), N/A units, N/A from subject. Shows market-rate rents vs. affordable housing discount.</t>
        </is>
      </c>
      <c r="AE12" s="42" t="inlineStr">
        <is>
          <t>HUD FY2026 FMR - Jefferson Parish, LA (limited market rate listings for 1958-1978 vintage)</t>
        </is>
      </c>
    </row>
    <row r="13" ht="54.75" customFormat="1" customHeight="1" s="6">
      <c r="A13" s="45" t="inlineStr">
        <is>
          <t>2</t>
        </is>
      </c>
      <c r="B13" s="45" t="inlineStr">
        <is>
          <t>Windsor at Manhattan</t>
        </is>
      </c>
      <c r="C13" s="46" t="inlineStr">
        <is>
          <t>1499 Central Park Blvd, Harvey, LA 70058</t>
        </is>
      </c>
      <c r="D13" s="45" t="inlineStr">
        <is>
          <t>Marrero, LA area</t>
        </is>
      </c>
      <c r="E13" s="45" t="inlineStr">
        <is>
          <t>LA area</t>
        </is>
      </c>
      <c r="F13" s="45" t="inlineStr">
        <is>
          <t>LA</t>
        </is>
      </c>
      <c r="G13" s="45" t="n"/>
      <c r="H13" s="45" t="inlineStr">
        <is>
          <t>3.0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$916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$1,254</t>
        </is>
      </c>
      <c r="P13" s="34" t="inlineStr">
        <is>
          <t>$1,250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$1,573</t>
        </is>
      </c>
      <c r="T13" s="34" t="inlineStr">
        <is>
          <t>$1,550</t>
        </is>
      </c>
      <c r="U13" s="45" t="inlineStr">
        <is>
          <t>N/A</t>
        </is>
      </c>
      <c r="V13" s="45" t="inlineStr">
        <is>
          <t>1970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1970 vintage (2 yr diff), N/A units, 3.0 mi from subject. Shows market-rate rents vs. affordable housing discount.</t>
        </is>
      </c>
      <c r="AE13" s="45" t="inlineStr">
        <is>
          <t>HUD FY2026 FMR - Jefferson Parish, LA</t>
        </is>
      </c>
    </row>
    <row r="14" ht="54.75" customFormat="1" customHeight="1" s="6">
      <c r="A14" s="48" t="inlineStr">
        <is>
          <t>3</t>
        </is>
      </c>
      <c r="B14" s="48" t="inlineStr">
        <is>
          <t>Emerald Pointe Apartment Homes</t>
        </is>
      </c>
      <c r="C14" s="49" t="inlineStr">
        <is>
          <t>2700 Whitney Ave, Harvey, LA 70058</t>
        </is>
      </c>
      <c r="D14" s="48" t="inlineStr">
        <is>
          <t>Gretna, LA area</t>
        </is>
      </c>
      <c r="E14" s="48" t="inlineStr">
        <is>
          <t>LA area</t>
        </is>
      </c>
      <c r="F14" s="48" t="inlineStr">
        <is>
          <t>LA</t>
        </is>
      </c>
      <c r="G14" s="48" t="n"/>
      <c r="H14" s="48" t="inlineStr">
        <is>
          <t>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$916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$1,254</t>
        </is>
      </c>
      <c r="P14" s="34" t="inlineStr">
        <is>
          <t>$1,250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$1,573</t>
        </is>
      </c>
      <c r="T14" s="34" t="inlineStr">
        <is>
          <t>$1,550</t>
        </is>
      </c>
      <c r="U14" s="48" t="inlineStr">
        <is>
          <t>N/A</t>
        </is>
      </c>
      <c r="V14" s="48" t="inlineStr">
        <is>
          <t>1965</t>
        </is>
      </c>
      <c r="W14" s="48" t="inlineStr">
        <is>
          <t>3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1965 vintage (3 yr diff), N/A units, 5.0 mi from subject. Shows market-rate rents vs. affordable housing discount.</t>
        </is>
      </c>
      <c r="AE14" s="48" t="inlineStr">
        <is>
          <t>HUD FY2026 FMR - Jefferson Parish, LA</t>
        </is>
      </c>
    </row>
    <row r="15" ht="54.75" customFormat="1" customHeight="1" s="6">
      <c r="A15" s="42" t="inlineStr">
        <is>
          <t>4</t>
        </is>
      </c>
      <c r="B15" s="42" t="inlineStr">
        <is>
          <t>Summerfield Apartment Homes</t>
        </is>
      </c>
      <c r="C15" s="43" t="inlineStr">
        <is>
          <t>1500 Lorene Dr, Harvey, LA 70058</t>
        </is>
      </c>
      <c r="D15" s="42" t="inlineStr">
        <is>
          <t>Westwego, LA area</t>
        </is>
      </c>
      <c r="E15" s="42" t="inlineStr">
        <is>
          <t>LA area</t>
        </is>
      </c>
      <c r="F15" s="42" t="inlineStr">
        <is>
          <t>LA</t>
        </is>
      </c>
      <c r="G15" s="42" t="n"/>
      <c r="H15" s="42" t="inlineStr">
        <is>
          <t>6.0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$916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$1,254</t>
        </is>
      </c>
      <c r="P15" s="34" t="inlineStr">
        <is>
          <t>$1,250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$1,573</t>
        </is>
      </c>
      <c r="T15" s="34" t="inlineStr">
        <is>
          <t>$1,550</t>
        </is>
      </c>
      <c r="U15" s="42" t="inlineStr">
        <is>
          <t>N/A</t>
        </is>
      </c>
      <c r="V15" s="42" t="inlineStr">
        <is>
          <t>1970</t>
        </is>
      </c>
      <c r="W15" s="42" t="inlineStr">
        <is>
          <t>2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1970 vintage (2 yr diff), N/A units, 6.0 mi from subject. Shows market-rate rents vs. affordable housing discount.</t>
        </is>
      </c>
      <c r="AE15" s="42" t="inlineStr">
        <is>
          <t>HUD FY2026 FMR - Jefferson Parish, LA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New Orleans MSA</t>
        </is>
      </c>
      <c r="D16" s="51" t="inlineStr">
        <is>
          <t>N/A</t>
        </is>
      </c>
      <c r="E16" s="51" t="inlineStr">
        <is>
          <t>Harvey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$916</t>
        </is>
      </c>
      <c r="J16" s="51" t="inlineStr">
        <is>
          <t>$916</t>
        </is>
      </c>
      <c r="K16" s="33" t="inlineStr">
        <is>
          <t>$916</t>
        </is>
      </c>
      <c r="L16" s="34" t="inlineStr">
        <is>
          <t>N/A</t>
        </is>
      </c>
      <c r="M16" s="51" t="inlineStr">
        <is>
          <t>$1,254</t>
        </is>
      </c>
      <c r="N16" s="51" t="inlineStr">
        <is>
          <t>$1,254</t>
        </is>
      </c>
      <c r="O16" s="33" t="inlineStr">
        <is>
          <t>$1,254</t>
        </is>
      </c>
      <c r="P16" s="34" t="inlineStr">
        <is>
          <t>N/A</t>
        </is>
      </c>
      <c r="Q16" s="51" t="inlineStr">
        <is>
          <t>$1,573</t>
        </is>
      </c>
      <c r="R16" s="51" t="inlineStr">
        <is>
          <t>$1,573</t>
        </is>
      </c>
      <c r="S16" s="33" t="inlineStr">
        <is>
          <t>$1,573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Harvey</t>
        </is>
      </c>
      <c r="D17" s="51" t="inlineStr">
        <is>
          <t>N/A</t>
        </is>
      </c>
      <c r="E17" s="51" t="inlineStr">
        <is>
          <t>Harvey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$1,007</t>
        </is>
      </c>
      <c r="J17" s="51" t="inlineStr">
        <is>
          <t>$1,007</t>
        </is>
      </c>
      <c r="K17" s="33" t="inlineStr">
        <is>
          <t>$1,007</t>
        </is>
      </c>
      <c r="L17" s="34" t="inlineStr">
        <is>
          <t>N/A</t>
        </is>
      </c>
      <c r="M17" s="51" t="inlineStr">
        <is>
          <t>$1,379</t>
        </is>
      </c>
      <c r="N17" s="51" t="inlineStr">
        <is>
          <t>$1,379</t>
        </is>
      </c>
      <c r="O17" s="33" t="inlineStr">
        <is>
          <t>$1,379</t>
        </is>
      </c>
      <c r="P17" s="34" t="inlineStr">
        <is>
          <t>N/A</t>
        </is>
      </c>
      <c r="Q17" s="51" t="inlineStr">
        <is>
          <t>$1,730</t>
        </is>
      </c>
      <c r="R17" s="51" t="inlineStr">
        <is>
          <t>$1,730</t>
        </is>
      </c>
      <c r="S17" s="33" t="inlineStr">
        <is>
          <t>$1,730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D21" s="89" t="inlineStr">
        <is>
          <t>Rents</t>
        </is>
      </c>
      <c r="E21" s="89" t="inlineStr">
        <is>
          <t>Section 8</t>
        </is>
      </c>
    </row>
    <row r="22" ht="15" customFormat="1" customHeight="1" s="3">
      <c r="C22" s="6" t="n">
        <v>1</v>
      </c>
      <c r="D22" s="89" t="n">
        <v>1000</v>
      </c>
      <c r="E22" s="89" t="n">
        <v>1000</v>
      </c>
    </row>
    <row r="23" ht="15" customFormat="1" customHeight="1" s="3">
      <c r="C23" s="6" t="n">
        <v>2</v>
      </c>
      <c r="D23" s="89" t="n">
        <v>1200</v>
      </c>
      <c r="E23" s="89" t="n">
        <v>1200</v>
      </c>
    </row>
    <row r="24" ht="15" customFormat="1" customHeight="1" s="3">
      <c r="C24" s="6" t="n">
        <v>3</v>
      </c>
      <c r="D24" s="89" t="n">
        <v>1300</v>
      </c>
      <c r="E24" s="89" t="n">
        <v>1300</v>
      </c>
    </row>
    <row r="27" ht="15" customFormat="1" customHeight="1" s="3">
      <c r="A27" s="64" t="inlineStr">
        <is>
          <t>PMTS — Vouchers / FMR / UAP / NET FMR</t>
        </is>
      </c>
      <c r="B27" s="104" t="n"/>
      <c r="C27" s="104" t="n"/>
      <c r="D27" s="104" t="n"/>
      <c r="E27" s="104" t="n"/>
      <c r="F27" s="105" t="n"/>
    </row>
    <row r="28" ht="15" customFormat="1" customHeight="1" s="3">
      <c r="A28" s="67" t="inlineStr">
        <is>
          <t>BD</t>
        </is>
      </c>
      <c r="B28" s="68" t="inlineStr">
        <is>
          <t>MKT</t>
        </is>
      </c>
      <c r="C28" s="69" t="inlineStr">
        <is>
          <t>VCH</t>
        </is>
      </c>
      <c r="D28" s="70" t="inlineStr">
        <is>
          <t>FMR</t>
        </is>
      </c>
      <c r="E28" s="71" t="inlineStr">
        <is>
          <t>UAP</t>
        </is>
      </c>
      <c r="F28" s="72" t="inlineStr">
        <is>
          <t>NET</t>
        </is>
      </c>
    </row>
    <row r="29" ht="15" customFormat="1" customHeight="1" s="3">
      <c r="A29" s="73" t="inlineStr">
        <is>
          <t>1BD</t>
        </is>
      </c>
      <c r="B29" s="74" t="n">
        <v>1000</v>
      </c>
      <c r="C29" s="74" t="n">
        <v>1000</v>
      </c>
      <c r="D29" s="74" t="n">
        <v>1250</v>
      </c>
      <c r="E29" s="75" t="n">
        <v>0</v>
      </c>
      <c r="F29" s="76" t="n">
        <v>1250</v>
      </c>
    </row>
    <row r="30" ht="15" customFormat="1" customHeight="1" s="3">
      <c r="A30" s="77" t="inlineStr">
        <is>
          <t>2BD</t>
        </is>
      </c>
      <c r="B30" s="78" t="n">
        <v>1200</v>
      </c>
      <c r="C30" s="78" t="n">
        <v>1200</v>
      </c>
      <c r="D30" s="78" t="n">
        <v>1490</v>
      </c>
      <c r="E30" s="75" t="n">
        <v>0</v>
      </c>
      <c r="F30" s="76" t="n">
        <v>1490</v>
      </c>
    </row>
    <row r="31" ht="15" customFormat="1" customHeight="1" s="3">
      <c r="A31" s="73" t="inlineStr">
        <is>
          <t>3BD</t>
        </is>
      </c>
      <c r="B31" s="74" t="n">
        <v>1300</v>
      </c>
      <c r="C31" s="74" t="n">
        <v>1300</v>
      </c>
      <c r="D31" s="74" t="n">
        <v>1900</v>
      </c>
      <c r="E31" s="75" t="n">
        <v>0</v>
      </c>
      <c r="F31" s="76" t="n">
        <v>1900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1BD</t>
        </is>
      </c>
      <c r="B36" s="106" t="n">
        <v>0</v>
      </c>
      <c r="C36" s="107" t="n">
        <v>1095</v>
      </c>
    </row>
    <row r="37" ht="15" customFormat="1" customHeight="1" s="3">
      <c r="A37" s="77" t="inlineStr">
        <is>
          <t>2BD</t>
        </is>
      </c>
      <c r="B37" s="106" t="n">
        <v>0</v>
      </c>
      <c r="C37" s="107" t="n">
        <v>1415</v>
      </c>
    </row>
    <row r="38" ht="15" customFormat="1" customHeight="1" s="3">
      <c r="A38" s="73" t="inlineStr">
        <is>
          <t>3BD</t>
        </is>
      </c>
      <c r="B38" s="106" t="n">
        <v>0</v>
      </c>
      <c r="C38" s="107" t="n">
        <v>1655</v>
      </c>
    </row>
  </sheetData>
  <mergeCells count="6">
    <mergeCell ref="A4:AE4"/>
    <mergeCell ref="A19:AE19"/>
    <mergeCell ref="A27:F27"/>
    <mergeCell ref="A5:AE5"/>
    <mergeCell ref="A34:C34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theme="6" tint="-0.25"/>
    <outlinePr summaryBelow="1" summaryRight="1"/>
    <pageSetUpPr/>
  </sheetPr>
  <dimension ref="A1:AA43"/>
  <sheetViews>
    <sheetView topLeftCell="A1" workbookViewId="0">
      <pane ySplit="1" topLeftCell="A14" activePane="bottomLeft" state="frozen"/>
      <selection pane="bottomLeft" activeCell="B20" sqref="B20:F22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RUBY DIAMOND | GREEN = Affordable Comps | BLUE = Market Rate Comps</t>
        </is>
      </c>
    </row>
    <row r="4" ht="20.25" customFormat="1" customHeight="1" s="6">
      <c r="A4" s="21" t="inlineStr">
        <is>
          <t>SUBJECT: Ruby Diamond | Marrero, Marrero, LA 70072 | 73 units | Program: LIHTC | Bedroom Mix: 3BR / 4BR | County AMI: $89,800 | FMR Area: New Orleans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3BR Low ($)</t>
        </is>
      </c>
      <c r="J6" s="23" t="inlineStr">
        <is>
          <t>3BR Mid ($)</t>
        </is>
      </c>
      <c r="K6" s="24" t="inlineStr">
        <is>
          <t>3BR FMR ($)</t>
        </is>
      </c>
      <c r="L6" s="25" t="inlineStr">
        <is>
          <t>3BR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Ruby Diamond (SUBJECT)</t>
        </is>
      </c>
      <c r="D7" s="26" t="inlineStr">
        <is>
          <t>Marrero</t>
        </is>
      </c>
      <c r="E7" s="26" t="inlineStr">
        <is>
          <t>Marrero</t>
        </is>
      </c>
      <c r="F7" s="26" t="inlineStr">
        <is>
          <t>LA</t>
        </is>
      </c>
      <c r="G7" s="26" t="inlineStr">
        <is>
          <t>70072</t>
        </is>
      </c>
      <c r="H7" s="26" t="inlineStr">
        <is>
          <t>0.0 mi</t>
        </is>
      </c>
      <c r="I7" s="26" t="inlineStr">
        <is>
          <t>$3,741</t>
        </is>
      </c>
      <c r="J7" s="26" t="inlineStr">
        <is>
          <t>$4,490</t>
        </is>
      </c>
      <c r="K7" s="28" t="inlineStr">
        <is>
          <t>$1,573</t>
        </is>
      </c>
      <c r="L7" s="29" t="inlineStr">
        <is>
          <t>N/A</t>
        </is>
      </c>
      <c r="M7" s="26" t="inlineStr">
        <is>
          <t>$4,041</t>
        </is>
      </c>
      <c r="N7" s="26" t="inlineStr">
        <is>
          <t>$4,850</t>
        </is>
      </c>
      <c r="O7" s="28" t="inlineStr">
        <is>
          <t>$1,818</t>
        </is>
      </c>
      <c r="P7" s="29" t="inlineStr">
        <is>
          <t>N/A</t>
        </is>
      </c>
      <c r="Q7" s="26" t="inlineStr">
        <is>
          <t>73</t>
        </is>
      </c>
      <c r="R7" s="26" t="inlineStr">
        <is>
          <t>2000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73 units | LIHTC property. Year built: 2000.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First Emanuel Homes Of No</t>
        </is>
      </c>
      <c r="D8" s="31" t="inlineStr">
        <is>
          <t>912 Fourth Street</t>
        </is>
      </c>
      <c r="E8" s="31" t="inlineStr">
        <is>
          <t>New Orleans</t>
        </is>
      </c>
      <c r="F8" s="31" t="inlineStr">
        <is>
          <t>LA</t>
        </is>
      </c>
      <c r="G8" s="31" t="inlineStr">
        <is>
          <t>70130-0000</t>
        </is>
      </c>
      <c r="H8" s="31" t="inlineStr">
        <is>
          <t>2.4 mi</t>
        </is>
      </c>
      <c r="I8" s="31" t="inlineStr">
        <is>
          <t>$3,741</t>
        </is>
      </c>
      <c r="J8" s="31" t="inlineStr">
        <is>
          <t>$4,490</t>
        </is>
      </c>
      <c r="K8" s="33" t="inlineStr">
        <is>
          <t>$1,573</t>
        </is>
      </c>
      <c r="L8" s="34" t="inlineStr">
        <is>
          <t>Not Listed</t>
        </is>
      </c>
      <c r="M8" s="31" t="inlineStr">
        <is>
          <t>$4,041</t>
        </is>
      </c>
      <c r="N8" s="31" t="inlineStr">
        <is>
          <t>$4,850</t>
        </is>
      </c>
      <c r="O8" s="33" t="inlineStr">
        <is>
          <t>$1,818</t>
        </is>
      </c>
      <c r="P8" s="34" t="inlineStr">
        <is>
          <t>Not Listed</t>
        </is>
      </c>
      <c r="Q8" s="31" t="inlineStr">
        <is>
          <t>89</t>
        </is>
      </c>
      <c r="R8" s="31" t="inlineStr">
        <is>
          <t>1999</t>
        </is>
      </c>
      <c r="S8" s="31" t="inlineStr">
        <is>
          <t>1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1999 vintage (1 yr diff), 89 units, 2.4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Canal Street Sro</t>
        </is>
      </c>
      <c r="D9" s="36" t="inlineStr">
        <is>
          <t>1801 Canal Street</t>
        </is>
      </c>
      <c r="E9" s="36" t="inlineStr">
        <is>
          <t>New Orleans</t>
        </is>
      </c>
      <c r="F9" s="36" t="inlineStr">
        <is>
          <t>LA</t>
        </is>
      </c>
      <c r="G9" s="36" t="inlineStr">
        <is>
          <t>70119-0000</t>
        </is>
      </c>
      <c r="H9" s="36" t="inlineStr">
        <is>
          <t>4.6 mi</t>
        </is>
      </c>
      <c r="I9" s="36" t="inlineStr">
        <is>
          <t>$3,741</t>
        </is>
      </c>
      <c r="J9" s="36" t="inlineStr">
        <is>
          <t>$4,490</t>
        </is>
      </c>
      <c r="K9" s="33" t="inlineStr">
        <is>
          <t>$1,573</t>
        </is>
      </c>
      <c r="L9" s="34" t="inlineStr">
        <is>
          <t>Not Listed</t>
        </is>
      </c>
      <c r="M9" s="36" t="inlineStr">
        <is>
          <t>$4,041</t>
        </is>
      </c>
      <c r="N9" s="36" t="inlineStr">
        <is>
          <t>$4,850</t>
        </is>
      </c>
      <c r="O9" s="33" t="inlineStr">
        <is>
          <t>$1,818</t>
        </is>
      </c>
      <c r="P9" s="34" t="inlineStr">
        <is>
          <t>Not Listed</t>
        </is>
      </c>
      <c r="Q9" s="36" t="inlineStr">
        <is>
          <t>70</t>
        </is>
      </c>
      <c r="R9" s="36" t="inlineStr">
        <is>
          <t>2002</t>
        </is>
      </c>
      <c r="S9" s="36" t="inlineStr">
        <is>
          <t>2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2002 vintage (2 yr diff), 70 units, 4.6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Cherry Blossom Apts</t>
        </is>
      </c>
      <c r="D10" s="39" t="inlineStr">
        <is>
          <t>205 Mlk Dr.</t>
        </is>
      </c>
      <c r="E10" s="39" t="inlineStr">
        <is>
          <t>Port Barre</t>
        </is>
      </c>
      <c r="F10" s="39" t="inlineStr">
        <is>
          <t>LA</t>
        </is>
      </c>
      <c r="G10" s="39" t="inlineStr">
        <is>
          <t>70577-0000</t>
        </is>
      </c>
      <c r="H10" s="39" t="inlineStr">
        <is>
          <t>N/A</t>
        </is>
      </c>
      <c r="I10" s="39" t="inlineStr">
        <is>
          <t>$3,741</t>
        </is>
      </c>
      <c r="J10" s="39" t="inlineStr">
        <is>
          <t>$4,490</t>
        </is>
      </c>
      <c r="K10" s="33" t="inlineStr">
        <is>
          <t>$1,573</t>
        </is>
      </c>
      <c r="L10" s="34" t="inlineStr">
        <is>
          <t>$1,660</t>
        </is>
      </c>
      <c r="M10" s="39" t="inlineStr">
        <is>
          <t>$4,041</t>
        </is>
      </c>
      <c r="N10" s="39" t="inlineStr">
        <is>
          <t>$4,850</t>
        </is>
      </c>
      <c r="O10" s="33" t="inlineStr">
        <is>
          <t>$1,818</t>
        </is>
      </c>
      <c r="P10" s="34" t="inlineStr">
        <is>
          <t>$1,709</t>
        </is>
      </c>
      <c r="Q10" s="39" t="inlineStr">
        <is>
          <t>73</t>
        </is>
      </c>
      <c r="R10" s="39" t="inlineStr">
        <is>
          <t>2000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LIHTC property, 2000 vintage (0 yr diff), 73 units, N/A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Putnam Plaza Apts</t>
        </is>
      </c>
      <c r="D11" s="31" t="inlineStr">
        <is>
          <t>Scattered</t>
        </is>
      </c>
      <c r="E11" s="31" t="inlineStr">
        <is>
          <t>New Orleans</t>
        </is>
      </c>
      <c r="F11" s="31" t="inlineStr">
        <is>
          <t>LA</t>
        </is>
      </c>
      <c r="G11" s="31" t="inlineStr">
        <is>
          <t>70113-0000</t>
        </is>
      </c>
      <c r="H11" s="31" t="inlineStr">
        <is>
          <t>2.7 mi</t>
        </is>
      </c>
      <c r="I11" s="31" t="inlineStr">
        <is>
          <t>$3,741</t>
        </is>
      </c>
      <c r="J11" s="31" t="inlineStr">
        <is>
          <t>$4,490</t>
        </is>
      </c>
      <c r="K11" s="33" t="inlineStr">
        <is>
          <t>$1,573</t>
        </is>
      </c>
      <c r="L11" s="34" t="inlineStr">
        <is>
          <t>Not Listed</t>
        </is>
      </c>
      <c r="M11" s="31" t="inlineStr">
        <is>
          <t>$4,041</t>
        </is>
      </c>
      <c r="N11" s="31" t="inlineStr">
        <is>
          <t>$4,850</t>
        </is>
      </c>
      <c r="O11" s="33" t="inlineStr">
        <is>
          <t>$1,818</t>
        </is>
      </c>
      <c r="P11" s="34" t="inlineStr">
        <is>
          <t>Not Listed</t>
        </is>
      </c>
      <c r="Q11" s="31" t="inlineStr">
        <is>
          <t>38</t>
        </is>
      </c>
      <c r="R11" s="31" t="inlineStr">
        <is>
          <t>1999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LIHTC property, 1999 vintage (1 yr diff), 38 units, 2.7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Westbank Crossing Apartments</t>
        </is>
      </c>
      <c r="D12" s="42" t="inlineStr">
        <is>
          <t>1500 Barataria Blvd, Marrero, LA 70072</t>
        </is>
      </c>
      <c r="E12" s="42" t="inlineStr">
        <is>
          <t>Marrero</t>
        </is>
      </c>
      <c r="F12" s="42" t="inlineStr">
        <is>
          <t>LA</t>
        </is>
      </c>
      <c r="G12" s="42" t="n"/>
      <c r="H12" s="42" t="inlineStr">
        <is>
          <t>1.8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$1,573</t>
        </is>
      </c>
      <c r="L12" s="34" t="inlineStr">
        <is>
          <t>$1,575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$1,818</t>
        </is>
      </c>
      <c r="P12" s="34" t="inlineStr">
        <is>
          <t>Not Listed</t>
        </is>
      </c>
      <c r="Q12" s="42" t="inlineStr">
        <is>
          <t>120</t>
        </is>
      </c>
      <c r="R12" s="42" t="inlineStr">
        <is>
          <t>2001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2001 vintage (1 yr diff), 120 units, 1.8 mi from subject. Shows market-rate rents vs. affordable housing discount.</t>
        </is>
      </c>
      <c r="AA12" s="42" t="inlineStr">
        <is>
          <t>https://www.rentcafe.com/apartments-for-rent/us/la/marrero/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Oakwood Terrace Apartments</t>
        </is>
      </c>
      <c r="D13" s="45" t="inlineStr">
        <is>
          <t>3600 Westbank Expy, Harvey, LA 70058</t>
        </is>
      </c>
      <c r="E13" s="45" t="inlineStr">
        <is>
          <t>Harvey</t>
        </is>
      </c>
      <c r="F13" s="45" t="inlineStr">
        <is>
          <t>LA</t>
        </is>
      </c>
      <c r="G13" s="45" t="n"/>
      <c r="H13" s="45" t="inlineStr">
        <is>
          <t>3.5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$1,573</t>
        </is>
      </c>
      <c r="L13" s="34" t="inlineStr">
        <is>
          <t>$1,550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$1,818</t>
        </is>
      </c>
      <c r="P13" s="34" t="inlineStr">
        <is>
          <t>Not Listed</t>
        </is>
      </c>
      <c r="Q13" s="45" t="inlineStr">
        <is>
          <t>96</t>
        </is>
      </c>
      <c r="R13" s="45" t="inlineStr">
        <is>
          <t>1999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1999 vintage (1 yr diff), 96 units, 3.5 mi from subject. Shows market-rate rents vs. affordable housing discount.</t>
        </is>
      </c>
      <c r="AA13" s="45" t="inlineStr">
        <is>
          <t>https://www.rentcafe.com/apartments-for-rent/us/la/harvey/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Gretna Place Apartments</t>
        </is>
      </c>
      <c r="D14" s="48" t="inlineStr">
        <is>
          <t>500 Stumpf Blvd, Gretna, LA 70056</t>
        </is>
      </c>
      <c r="E14" s="48" t="inlineStr">
        <is>
          <t>Gretna</t>
        </is>
      </c>
      <c r="F14" s="48" t="inlineStr">
        <is>
          <t>LA</t>
        </is>
      </c>
      <c r="G14" s="48" t="n"/>
      <c r="H14" s="48" t="inlineStr">
        <is>
          <t>5.2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$1,573</t>
        </is>
      </c>
      <c r="L14" s="34" t="inlineStr">
        <is>
          <t>$1,600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$1,818</t>
        </is>
      </c>
      <c r="P14" s="34" t="inlineStr">
        <is>
          <t>Not Listed</t>
        </is>
      </c>
      <c r="Q14" s="48" t="inlineStr">
        <is>
          <t>80</t>
        </is>
      </c>
      <c r="R14" s="48" t="inlineStr">
        <is>
          <t>2002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2002 vintage (2 yr diff), 80 units, 5.2 mi from subject. Shows market-rate rents vs. affordable housing discount.</t>
        </is>
      </c>
      <c r="AA14" s="48" t="inlineStr">
        <is>
          <t>https://www.rentcafe.com/apartments-for-rent/us/la/gretna/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Terrytown Apartments</t>
        </is>
      </c>
      <c r="D15" s="42" t="inlineStr">
        <is>
          <t>1200 Behrman Hwy, Gretna, LA 70056</t>
        </is>
      </c>
      <c r="E15" s="42" t="inlineStr">
        <is>
          <t>Gretna</t>
        </is>
      </c>
      <c r="F15" s="42" t="inlineStr">
        <is>
          <t>LA</t>
        </is>
      </c>
      <c r="G15" s="42" t="n"/>
      <c r="H15" s="42" t="inlineStr">
        <is>
          <t>4.2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$1,573</t>
        </is>
      </c>
      <c r="L15" s="34" t="inlineStr">
        <is>
          <t>$1,625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$1,818</t>
        </is>
      </c>
      <c r="P15" s="34" t="inlineStr">
        <is>
          <t>Not Listed</t>
        </is>
      </c>
      <c r="Q15" s="42" t="inlineStr">
        <is>
          <t>64</t>
        </is>
      </c>
      <c r="R15" s="42" t="inlineStr">
        <is>
          <t>2000</t>
        </is>
      </c>
      <c r="S15" s="42" t="inlineStr">
        <is>
          <t>0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2000 vintage (0 yr diff), 64 units, 4.2 mi from subject. Shows market-rate rents vs. affordable housing discount.</t>
        </is>
      </c>
      <c r="AA15" s="42" t="inlineStr">
        <is>
          <t>https://www.rentcafe.com/apartments-for-rent/us/la/gretna/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New Orleans MSA</t>
        </is>
      </c>
      <c r="D16" s="51" t="inlineStr">
        <is>
          <t>N/A</t>
        </is>
      </c>
      <c r="E16" s="51" t="inlineStr">
        <is>
          <t>Marrero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$1,573</t>
        </is>
      </c>
      <c r="J16" s="51" t="inlineStr">
        <is>
          <t>$1,573</t>
        </is>
      </c>
      <c r="K16" s="33" t="inlineStr">
        <is>
          <t>$1,573</t>
        </is>
      </c>
      <c r="L16" s="34" t="inlineStr">
        <is>
          <t>N/A</t>
        </is>
      </c>
      <c r="M16" s="51" t="inlineStr">
        <is>
          <t>$1,818</t>
        </is>
      </c>
      <c r="N16" s="51" t="inlineStr">
        <is>
          <t>$1,818</t>
        </is>
      </c>
      <c r="O16" s="33" t="inlineStr">
        <is>
          <t>$1,818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Marrero</t>
        </is>
      </c>
      <c r="D17" s="51" t="inlineStr">
        <is>
          <t>N/A</t>
        </is>
      </c>
      <c r="E17" s="51" t="inlineStr">
        <is>
          <t>Marrero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$1,730</t>
        </is>
      </c>
      <c r="J17" s="51" t="inlineStr">
        <is>
          <t>$1,730</t>
        </is>
      </c>
      <c r="K17" s="33" t="inlineStr">
        <is>
          <t>$1,730</t>
        </is>
      </c>
      <c r="L17" s="34" t="inlineStr">
        <is>
          <t>N/A</t>
        </is>
      </c>
      <c r="M17" s="51" t="inlineStr">
        <is>
          <t>$1,999</t>
        </is>
      </c>
      <c r="N17" s="51" t="inlineStr">
        <is>
          <t>$1,999</t>
        </is>
      </c>
      <c r="O17" s="33" t="inlineStr">
        <is>
          <t>$1,999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C22" s="89" t="inlineStr">
        <is>
          <t>60% AMI</t>
        </is>
      </c>
      <c r="D22" s="89" t="inlineStr">
        <is>
          <t>UAP</t>
        </is>
      </c>
      <c r="E22" s="89" t="inlineStr">
        <is>
          <t>Section 8</t>
        </is>
      </c>
      <c r="F22" s="89" t="inlineStr">
        <is>
          <t>New</t>
        </is>
      </c>
    </row>
    <row r="23" ht="15" customFormat="1" customHeight="1" s="3">
      <c r="B23" s="6" t="n">
        <v>3</v>
      </c>
      <c r="C23" s="89" t="n">
        <v>1112</v>
      </c>
      <c r="D23" s="89" t="n">
        <v>162</v>
      </c>
      <c r="E23" s="89" t="n">
        <v>1500</v>
      </c>
      <c r="F23" s="89" t="n">
        <v>1575</v>
      </c>
    </row>
    <row r="24" ht="15" customFormat="1" customHeight="1" s="3">
      <c r="B24" s="6" t="n">
        <v>4</v>
      </c>
      <c r="C24" s="89" t="n">
        <v>1189</v>
      </c>
      <c r="D24" s="89" t="n">
        <v>195</v>
      </c>
      <c r="E24" s="89" t="n">
        <v>1600</v>
      </c>
      <c r="F24" s="89" t="n">
        <v>1675</v>
      </c>
    </row>
    <row r="27" ht="15" customFormat="1" customHeight="1" s="3">
      <c r="A27" s="64" t="inlineStr">
        <is>
          <t>PMTS — Vouchers / FMR / UAP / NET FMR</t>
        </is>
      </c>
      <c r="B27" s="104" t="n"/>
      <c r="C27" s="104" t="n"/>
      <c r="D27" s="104" t="n"/>
      <c r="E27" s="104" t="n"/>
      <c r="F27" s="105" t="n"/>
    </row>
    <row r="28" ht="15" customFormat="1" customHeight="1" s="3">
      <c r="A28" s="67" t="inlineStr">
        <is>
          <t>BD</t>
        </is>
      </c>
      <c r="B28" s="68" t="inlineStr">
        <is>
          <t>MKT</t>
        </is>
      </c>
      <c r="C28" s="69" t="inlineStr">
        <is>
          <t>VCH</t>
        </is>
      </c>
      <c r="D28" s="70" t="inlineStr">
        <is>
          <t>FMR</t>
        </is>
      </c>
      <c r="E28" s="71" t="inlineStr">
        <is>
          <t>UAP</t>
        </is>
      </c>
      <c r="F28" s="72" t="inlineStr">
        <is>
          <t>NET</t>
        </is>
      </c>
    </row>
    <row r="29" ht="15" customFormat="1" customHeight="1" s="3">
      <c r="A29" s="73" t="inlineStr">
        <is>
          <t>3BD</t>
        </is>
      </c>
      <c r="B29" s="74" t="n">
        <v>0</v>
      </c>
      <c r="C29" s="74" t="n">
        <v>1500</v>
      </c>
      <c r="D29" s="74" t="n">
        <v>1900</v>
      </c>
      <c r="E29" s="75" t="n">
        <v>289</v>
      </c>
      <c r="F29" s="76" t="n">
        <v>1611</v>
      </c>
    </row>
    <row r="30" ht="15" customFormat="1" customHeight="1" s="3">
      <c r="A30" s="77" t="inlineStr">
        <is>
          <t>4BD</t>
        </is>
      </c>
      <c r="B30" s="78" t="n">
        <v>0</v>
      </c>
      <c r="C30" s="78" t="n">
        <v>1550</v>
      </c>
      <c r="D30" s="78" t="n">
        <v>2240</v>
      </c>
      <c r="E30" s="75" t="n">
        <v>374</v>
      </c>
      <c r="F30" s="76" t="n">
        <v>1866</v>
      </c>
    </row>
    <row r="33" ht="15" customFormat="1" customHeight="1" s="3">
      <c r="A33" s="64" t="inlineStr">
        <is>
          <t>LIHTC, UAP, NET</t>
        </is>
      </c>
      <c r="B33" s="104" t="n"/>
      <c r="C33" s="104" t="n"/>
      <c r="D33" s="104" t="n"/>
      <c r="E33" s="105" t="n"/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3BD</t>
        </is>
      </c>
      <c r="B35" s="74" t="n">
        <v>1401</v>
      </c>
      <c r="C35" s="74" t="n">
        <v>1112</v>
      </c>
      <c r="D35" s="75" t="n">
        <v>289</v>
      </c>
      <c r="E35" s="76" t="n">
        <v>823</v>
      </c>
    </row>
    <row r="36" ht="15" customFormat="1" customHeight="1" s="3">
      <c r="A36" s="77" t="inlineStr">
        <is>
          <t>4BD</t>
        </is>
      </c>
      <c r="B36" s="78" t="n">
        <v>1563</v>
      </c>
      <c r="C36" s="78" t="n">
        <v>1189</v>
      </c>
      <c r="D36" s="75" t="n">
        <v>374</v>
      </c>
      <c r="E36" s="76" t="n">
        <v>815</v>
      </c>
    </row>
    <row r="39" ht="15" customFormat="1" customHeight="1" s="3">
      <c r="A39" s="64" t="inlineStr">
        <is>
          <t>HAP, CoStar, NET</t>
        </is>
      </c>
      <c r="B39" s="104" t="n"/>
      <c r="C39" s="105" t="n"/>
    </row>
    <row r="40" ht="15" customFormat="1" customHeight="1" s="3">
      <c r="A40" s="67" t="n"/>
      <c r="B40" s="71" t="inlineStr">
        <is>
          <t>HAP</t>
        </is>
      </c>
      <c r="C40" s="68" t="inlineStr">
        <is>
          <t>CoStar</t>
        </is>
      </c>
    </row>
    <row r="41" ht="15" customFormat="1" customHeight="1" s="3">
      <c r="A41" s="73" t="inlineStr">
        <is>
          <t>2BD</t>
        </is>
      </c>
      <c r="B41" s="106" t="n">
        <v>0</v>
      </c>
      <c r="C41" s="107" t="n">
        <v>1451</v>
      </c>
    </row>
    <row r="42" ht="15" customFormat="1" customHeight="1" s="3">
      <c r="A42" s="77" t="inlineStr">
        <is>
          <t>3BD</t>
        </is>
      </c>
      <c r="B42" s="106" t="n">
        <v>0</v>
      </c>
      <c r="C42" s="107" t="n">
        <v>1614</v>
      </c>
    </row>
    <row r="43" ht="15" customFormat="1" customHeight="1" s="3">
      <c r="A43" s="73" t="inlineStr">
        <is>
          <t>4BD</t>
        </is>
      </c>
      <c r="B43" s="106" t="n">
        <v>0</v>
      </c>
      <c r="C43" s="107" t="n">
        <v>1727</v>
      </c>
    </row>
  </sheetData>
  <mergeCells count="7">
    <mergeCell ref="A4:AA4"/>
    <mergeCell ref="A3:AA3"/>
    <mergeCell ref="A27:F27"/>
    <mergeCell ref="A33:E33"/>
    <mergeCell ref="A19:AA19"/>
    <mergeCell ref="A39:C39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theme="6" tint="-0.25"/>
    <outlinePr summaryBelow="1" summaryRight="1"/>
    <pageSetUpPr/>
  </sheetPr>
  <dimension ref="A1:AE46"/>
  <sheetViews>
    <sheetView topLeftCell="A1" workbookViewId="0">
      <pane ySplit="1" topLeftCell="A14" activePane="bottomLeft" state="frozen"/>
      <selection pane="bottomLeft" activeCell="H23" sqref="H23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STAR HOMES | GREEN = Affordable Comps | BLUE = Market Rate Comps</t>
        </is>
      </c>
    </row>
    <row r="4" ht="20.25" customFormat="1" customHeight="1" s="6">
      <c r="A4" s="21" t="inlineStr">
        <is>
          <t>SUBJECT: Star Homes | 2020 Melba Place, Marrero, LA 70072 | 48 units | Program: LIHTC | Bedroom Mix: 2BR / 3BR / 4BR | County AMI: $89,800 | FMR Area: New Orleans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Star Homes (SUBJECT)</t>
        </is>
      </c>
      <c r="D7" s="26" t="inlineStr">
        <is>
          <t>2020 Melba Place</t>
        </is>
      </c>
      <c r="E7" s="26" t="inlineStr">
        <is>
          <t>Marrero</t>
        </is>
      </c>
      <c r="F7" s="26" t="inlineStr">
        <is>
          <t>LA</t>
        </is>
      </c>
      <c r="G7" s="26" t="inlineStr">
        <is>
          <t>70072</t>
        </is>
      </c>
      <c r="H7" s="26" t="inlineStr">
        <is>
          <t>0.0 mi</t>
        </is>
      </c>
      <c r="I7" s="26" t="inlineStr">
        <is>
          <t>$3,370</t>
        </is>
      </c>
      <c r="J7" s="26" t="inlineStr">
        <is>
          <t>$4,045</t>
        </is>
      </c>
      <c r="K7" s="28" t="inlineStr">
        <is>
          <t>$1,254</t>
        </is>
      </c>
      <c r="L7" s="29" t="inlineStr">
        <is>
          <t>N/A</t>
        </is>
      </c>
      <c r="M7" s="26" t="inlineStr">
        <is>
          <t>$3,741</t>
        </is>
      </c>
      <c r="N7" s="26" t="inlineStr">
        <is>
          <t>$4,490</t>
        </is>
      </c>
      <c r="O7" s="28" t="inlineStr">
        <is>
          <t>$1,573</t>
        </is>
      </c>
      <c r="P7" s="29" t="inlineStr">
        <is>
          <t>N/A</t>
        </is>
      </c>
      <c r="Q7" s="26" t="inlineStr">
        <is>
          <t>$4,041</t>
        </is>
      </c>
      <c r="R7" s="26" t="inlineStr">
        <is>
          <t>$4,850</t>
        </is>
      </c>
      <c r="S7" s="28" t="inlineStr">
        <is>
          <t>$1,818</t>
        </is>
      </c>
      <c r="T7" s="29" t="inlineStr">
        <is>
          <t>N/A</t>
        </is>
      </c>
      <c r="U7" s="26" t="inlineStr">
        <is>
          <t>48</t>
        </is>
      </c>
      <c r="V7" s="26" t="inlineStr">
        <is>
          <t>2000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48 units | LIHTC property. Year built: 2000.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Star Affordable Homes</t>
        </is>
      </c>
      <c r="D8" s="31" t="inlineStr">
        <is>
          <t>2012 Melba Pl</t>
        </is>
      </c>
      <c r="E8" s="31" t="inlineStr">
        <is>
          <t>Marrero</t>
        </is>
      </c>
      <c r="F8" s="31" t="inlineStr">
        <is>
          <t>LA</t>
        </is>
      </c>
      <c r="G8" s="31" t="inlineStr">
        <is>
          <t>70072</t>
        </is>
      </c>
      <c r="H8" s="31" t="inlineStr">
        <is>
          <t>2.2 mi</t>
        </is>
      </c>
      <c r="I8" s="31" t="inlineStr">
        <is>
          <t>$3,370</t>
        </is>
      </c>
      <c r="J8" s="31" t="inlineStr">
        <is>
          <t>$4,045</t>
        </is>
      </c>
      <c r="K8" s="33" t="inlineStr">
        <is>
          <t>$1,254</t>
        </is>
      </c>
      <c r="L8" s="34" t="inlineStr">
        <is>
          <t>Not Listed</t>
        </is>
      </c>
      <c r="M8" s="31" t="inlineStr">
        <is>
          <t>$3,741</t>
        </is>
      </c>
      <c r="N8" s="31" t="inlineStr">
        <is>
          <t>$4,490</t>
        </is>
      </c>
      <c r="O8" s="33" t="inlineStr">
        <is>
          <t>$1,573</t>
        </is>
      </c>
      <c r="P8" s="34" t="inlineStr">
        <is>
          <t>Not Listed</t>
        </is>
      </c>
      <c r="Q8" s="31" t="inlineStr">
        <is>
          <t>$4,041</t>
        </is>
      </c>
      <c r="R8" s="31" t="inlineStr">
        <is>
          <t>$4,850</t>
        </is>
      </c>
      <c r="S8" s="33" t="inlineStr">
        <is>
          <t>$1,818</t>
        </is>
      </c>
      <c r="T8" s="34" t="inlineStr">
        <is>
          <t>Not Listed</t>
        </is>
      </c>
      <c r="U8" s="31" t="inlineStr">
        <is>
          <t>48</t>
        </is>
      </c>
      <c r="V8" s="31" t="inlineStr">
        <is>
          <t>1998</t>
        </is>
      </c>
      <c r="W8" s="31" t="inlineStr">
        <is>
          <t>2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1998 vintage (2 yr diff), 48 units, 2.2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Star Homes</t>
        </is>
      </c>
      <c r="D9" s="36" t="inlineStr">
        <is>
          <t>2012 Melba Place</t>
        </is>
      </c>
      <c r="E9" s="36" t="inlineStr">
        <is>
          <t>Marrero</t>
        </is>
      </c>
      <c r="F9" s="36" t="inlineStr">
        <is>
          <t>LA</t>
        </is>
      </c>
      <c r="G9" s="36" t="inlineStr">
        <is>
          <t>70072-0000</t>
        </is>
      </c>
      <c r="H9" s="36" t="inlineStr">
        <is>
          <t>2.2 mi</t>
        </is>
      </c>
      <c r="I9" s="36" t="inlineStr">
        <is>
          <t>$3,370</t>
        </is>
      </c>
      <c r="J9" s="36" t="inlineStr">
        <is>
          <t>$4,045</t>
        </is>
      </c>
      <c r="K9" s="33" t="inlineStr">
        <is>
          <t>$1,254</t>
        </is>
      </c>
      <c r="L9" s="34" t="inlineStr">
        <is>
          <t>Not Listed</t>
        </is>
      </c>
      <c r="M9" s="36" t="inlineStr">
        <is>
          <t>$3,741</t>
        </is>
      </c>
      <c r="N9" s="36" t="inlineStr">
        <is>
          <t>$4,490</t>
        </is>
      </c>
      <c r="O9" s="33" t="inlineStr">
        <is>
          <t>$1,573</t>
        </is>
      </c>
      <c r="P9" s="34" t="inlineStr">
        <is>
          <t>Not Listed</t>
        </is>
      </c>
      <c r="Q9" s="36" t="inlineStr">
        <is>
          <t>$4,041</t>
        </is>
      </c>
      <c r="R9" s="36" t="inlineStr">
        <is>
          <t>$4,850</t>
        </is>
      </c>
      <c r="S9" s="33" t="inlineStr">
        <is>
          <t>$1,818</t>
        </is>
      </c>
      <c r="T9" s="34" t="inlineStr">
        <is>
          <t>Not Listed</t>
        </is>
      </c>
      <c r="U9" s="36" t="inlineStr">
        <is>
          <t>48</t>
        </is>
      </c>
      <c r="V9" s="36" t="inlineStr">
        <is>
          <t>1998</t>
        </is>
      </c>
      <c r="W9" s="36" t="inlineStr">
        <is>
          <t>2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1998 vintage (2 yr diff), 48 units, 2.2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Ames Gardens Estates</t>
        </is>
      </c>
      <c r="D10" s="39" t="inlineStr">
        <is>
          <t>530 Ames Blvd.</t>
        </is>
      </c>
      <c r="E10" s="39" t="inlineStr">
        <is>
          <t>Marrero</t>
        </is>
      </c>
      <c r="F10" s="39" t="inlineStr">
        <is>
          <t>LA</t>
        </is>
      </c>
      <c r="G10" s="39" t="inlineStr">
        <is>
          <t>70072-0000</t>
        </is>
      </c>
      <c r="H10" s="39" t="inlineStr">
        <is>
          <t>0.4 mi</t>
        </is>
      </c>
      <c r="I10" s="39" t="inlineStr">
        <is>
          <t>$3,370</t>
        </is>
      </c>
      <c r="J10" s="39" t="inlineStr">
        <is>
          <t>$4,045</t>
        </is>
      </c>
      <c r="K10" s="33" t="inlineStr">
        <is>
          <t>$1,254</t>
        </is>
      </c>
      <c r="L10" s="34" t="inlineStr">
        <is>
          <t>Not Listed</t>
        </is>
      </c>
      <c r="M10" s="39" t="inlineStr">
        <is>
          <t>$3,741</t>
        </is>
      </c>
      <c r="N10" s="39" t="inlineStr">
        <is>
          <t>$4,490</t>
        </is>
      </c>
      <c r="O10" s="33" t="inlineStr">
        <is>
          <t>$1,573</t>
        </is>
      </c>
      <c r="P10" s="34" t="inlineStr">
        <is>
          <t>Not Listed</t>
        </is>
      </c>
      <c r="Q10" s="39" t="inlineStr">
        <is>
          <t>$4,041</t>
        </is>
      </c>
      <c r="R10" s="39" t="inlineStr">
        <is>
          <t>$4,850</t>
        </is>
      </c>
      <c r="S10" s="33" t="inlineStr">
        <is>
          <t>$1,818</t>
        </is>
      </c>
      <c r="T10" s="34" t="inlineStr">
        <is>
          <t>Not Listed</t>
        </is>
      </c>
      <c r="U10" s="39" t="inlineStr">
        <is>
          <t>48</t>
        </is>
      </c>
      <c r="V10" s="39" t="inlineStr">
        <is>
          <t>2002</t>
        </is>
      </c>
      <c r="W10" s="39" t="inlineStr">
        <is>
          <t>2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2002 vintage (2 yr diff), 48 units, 0.4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Putnam Plaza Apts</t>
        </is>
      </c>
      <c r="D11" s="31" t="inlineStr">
        <is>
          <t>Scattered</t>
        </is>
      </c>
      <c r="E11" s="31" t="inlineStr">
        <is>
          <t>New Orleans</t>
        </is>
      </c>
      <c r="F11" s="31" t="inlineStr">
        <is>
          <t>LA</t>
        </is>
      </c>
      <c r="G11" s="31" t="inlineStr">
        <is>
          <t>70113-0000</t>
        </is>
      </c>
      <c r="H11" s="31" t="inlineStr">
        <is>
          <t>2.7 mi</t>
        </is>
      </c>
      <c r="I11" s="31" t="inlineStr">
        <is>
          <t>$3,370</t>
        </is>
      </c>
      <c r="J11" s="31" t="inlineStr">
        <is>
          <t>$4,045</t>
        </is>
      </c>
      <c r="K11" s="33" t="inlineStr">
        <is>
          <t>$1,254</t>
        </is>
      </c>
      <c r="L11" s="34" t="inlineStr">
        <is>
          <t>Not Listed</t>
        </is>
      </c>
      <c r="M11" s="31" t="inlineStr">
        <is>
          <t>$3,741</t>
        </is>
      </c>
      <c r="N11" s="31" t="inlineStr">
        <is>
          <t>$4,490</t>
        </is>
      </c>
      <c r="O11" s="33" t="inlineStr">
        <is>
          <t>$1,573</t>
        </is>
      </c>
      <c r="P11" s="34" t="inlineStr">
        <is>
          <t>Not Listed</t>
        </is>
      </c>
      <c r="Q11" s="31" t="inlineStr">
        <is>
          <t>$4,041</t>
        </is>
      </c>
      <c r="R11" s="31" t="inlineStr">
        <is>
          <t>$4,850</t>
        </is>
      </c>
      <c r="S11" s="33" t="inlineStr">
        <is>
          <t>$1,818</t>
        </is>
      </c>
      <c r="T11" s="34" t="inlineStr">
        <is>
          <t>Not Listed</t>
        </is>
      </c>
      <c r="U11" s="31" t="inlineStr">
        <is>
          <t>38</t>
        </is>
      </c>
      <c r="V11" s="31" t="inlineStr">
        <is>
          <t>1999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1999 vintage (1 yr diff), 38 units, 2.7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Westbank Crossing Apartments</t>
        </is>
      </c>
      <c r="D12" s="42" t="inlineStr">
        <is>
          <t>1500 Barataria Blvd, Marrero, LA 70072</t>
        </is>
      </c>
      <c r="E12" s="42" t="inlineStr">
        <is>
          <t>Marrero</t>
        </is>
      </c>
      <c r="F12" s="42" t="inlineStr">
        <is>
          <t>LA</t>
        </is>
      </c>
      <c r="G12" s="42" t="n"/>
      <c r="H12" s="42" t="inlineStr">
        <is>
          <t>1.2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$1,254</t>
        </is>
      </c>
      <c r="L12" s="34" t="inlineStr">
        <is>
          <t>$1,275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$1,573</t>
        </is>
      </c>
      <c r="P12" s="34" t="inlineStr">
        <is>
          <t>$1,575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$1,818</t>
        </is>
      </c>
      <c r="T12" s="34" t="inlineStr">
        <is>
          <t>Not Listed</t>
        </is>
      </c>
      <c r="U12" s="42" t="inlineStr">
        <is>
          <t>120</t>
        </is>
      </c>
      <c r="V12" s="42" t="inlineStr">
        <is>
          <t>2001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2001 vintage (1 yr diff), 120 units, 1.2 mi from subject. Shows market-rate rents vs. affordable housing discount.</t>
        </is>
      </c>
      <c r="AE12" s="42" t="inlineStr">
        <is>
          <t>https://www.rentcafe.com/apartments-for-rent/us/la/marrero/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Oakwood Terrace Apartments</t>
        </is>
      </c>
      <c r="D13" s="45" t="inlineStr">
        <is>
          <t>3600 Westbank Expy, Harvey, LA 70058</t>
        </is>
      </c>
      <c r="E13" s="45" t="inlineStr">
        <is>
          <t>Harvey</t>
        </is>
      </c>
      <c r="F13" s="45" t="inlineStr">
        <is>
          <t>LA</t>
        </is>
      </c>
      <c r="G13" s="45" t="n"/>
      <c r="H13" s="45" t="inlineStr">
        <is>
          <t>4.0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$1,254</t>
        </is>
      </c>
      <c r="L13" s="34" t="inlineStr">
        <is>
          <t>$1,250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$1,573</t>
        </is>
      </c>
      <c r="P13" s="34" t="inlineStr">
        <is>
          <t>$1,550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$1,818</t>
        </is>
      </c>
      <c r="T13" s="34" t="inlineStr">
        <is>
          <t>Not Listed</t>
        </is>
      </c>
      <c r="U13" s="45" t="inlineStr">
        <is>
          <t>96</t>
        </is>
      </c>
      <c r="V13" s="45" t="inlineStr">
        <is>
          <t>1999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1999 vintage (1 yr diff), 96 units, 4.0 mi from subject. Shows market-rate rents vs. affordable housing discount.</t>
        </is>
      </c>
      <c r="AE13" s="45" t="inlineStr">
        <is>
          <t>https://www.rentcafe.com/apartments-for-rent/us/la/harvey/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Gretna Place Apartments</t>
        </is>
      </c>
      <c r="D14" s="48" t="inlineStr">
        <is>
          <t>500 Stumpf Blvd, Gretna, LA 70056</t>
        </is>
      </c>
      <c r="E14" s="48" t="inlineStr">
        <is>
          <t>Gretna</t>
        </is>
      </c>
      <c r="F14" s="48" t="inlineStr">
        <is>
          <t>LA</t>
        </is>
      </c>
      <c r="G14" s="48" t="n"/>
      <c r="H14" s="48" t="inlineStr">
        <is>
          <t>6.0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$1,254</t>
        </is>
      </c>
      <c r="L14" s="34" t="inlineStr">
        <is>
          <t>$1,300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$1,573</t>
        </is>
      </c>
      <c r="P14" s="34" t="inlineStr">
        <is>
          <t>$1,600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$1,818</t>
        </is>
      </c>
      <c r="T14" s="34" t="inlineStr">
        <is>
          <t>Not Listed</t>
        </is>
      </c>
      <c r="U14" s="48" t="inlineStr">
        <is>
          <t>80</t>
        </is>
      </c>
      <c r="V14" s="48" t="inlineStr">
        <is>
          <t>2002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2002 vintage (2 yr diff), 80 units, 6.0 mi from subject. Shows market-rate rents vs. affordable housing discount.</t>
        </is>
      </c>
      <c r="AE14" s="48" t="inlineStr">
        <is>
          <t>https://www.rentcafe.com/apartments-for-rent/us/la/gretna/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Terrytown Apartments</t>
        </is>
      </c>
      <c r="D15" s="42" t="inlineStr">
        <is>
          <t>1200 Behrman Hwy, Gretna, LA 70056</t>
        </is>
      </c>
      <c r="E15" s="42" t="inlineStr">
        <is>
          <t>Gretna</t>
        </is>
      </c>
      <c r="F15" s="42" t="inlineStr">
        <is>
          <t>LA</t>
        </is>
      </c>
      <c r="G15" s="42" t="n"/>
      <c r="H15" s="42" t="inlineStr">
        <is>
          <t>5.5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$1,254</t>
        </is>
      </c>
      <c r="L15" s="34" t="inlineStr">
        <is>
          <t>$1,325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$1,573</t>
        </is>
      </c>
      <c r="P15" s="34" t="inlineStr">
        <is>
          <t>$1,625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$1,818</t>
        </is>
      </c>
      <c r="T15" s="34" t="inlineStr">
        <is>
          <t>Not Listed</t>
        </is>
      </c>
      <c r="U15" s="42" t="inlineStr">
        <is>
          <t>64</t>
        </is>
      </c>
      <c r="V15" s="42" t="inlineStr">
        <is>
          <t>2000</t>
        </is>
      </c>
      <c r="W15" s="42" t="inlineStr">
        <is>
          <t>0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2000 vintage (0 yr diff), 64 units, 5.5 mi from subject. Shows market-rate rents vs. affordable housing discount.</t>
        </is>
      </c>
      <c r="AE15" s="42" t="inlineStr">
        <is>
          <t>https://www.rentcafe.com/apartments-for-rent/us/la/gretna/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New Orleans MSA</t>
        </is>
      </c>
      <c r="D16" s="51" t="inlineStr">
        <is>
          <t>N/A</t>
        </is>
      </c>
      <c r="E16" s="51" t="inlineStr">
        <is>
          <t>Marrero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$1,254</t>
        </is>
      </c>
      <c r="J16" s="51" t="inlineStr">
        <is>
          <t>$1,254</t>
        </is>
      </c>
      <c r="K16" s="33" t="inlineStr">
        <is>
          <t>$1,254</t>
        </is>
      </c>
      <c r="L16" s="34" t="inlineStr">
        <is>
          <t>N/A</t>
        </is>
      </c>
      <c r="M16" s="51" t="inlineStr">
        <is>
          <t>$1,573</t>
        </is>
      </c>
      <c r="N16" s="51" t="inlineStr">
        <is>
          <t>$1,573</t>
        </is>
      </c>
      <c r="O16" s="33" t="inlineStr">
        <is>
          <t>$1,573</t>
        </is>
      </c>
      <c r="P16" s="34" t="inlineStr">
        <is>
          <t>N/A</t>
        </is>
      </c>
      <c r="Q16" s="51" t="inlineStr">
        <is>
          <t>$1,818</t>
        </is>
      </c>
      <c r="R16" s="51" t="inlineStr">
        <is>
          <t>$1,818</t>
        </is>
      </c>
      <c r="S16" s="33" t="inlineStr">
        <is>
          <t>$1,818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Marrero</t>
        </is>
      </c>
      <c r="D17" s="51" t="inlineStr">
        <is>
          <t>N/A</t>
        </is>
      </c>
      <c r="E17" s="51" t="inlineStr">
        <is>
          <t>Marrero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$1,379</t>
        </is>
      </c>
      <c r="J17" s="51" t="inlineStr">
        <is>
          <t>$1,379</t>
        </is>
      </c>
      <c r="K17" s="33" t="inlineStr">
        <is>
          <t>$1,379</t>
        </is>
      </c>
      <c r="L17" s="34" t="inlineStr">
        <is>
          <t>N/A</t>
        </is>
      </c>
      <c r="M17" s="51" t="inlineStr">
        <is>
          <t>$1,730</t>
        </is>
      </c>
      <c r="N17" s="51" t="inlineStr">
        <is>
          <t>$1,730</t>
        </is>
      </c>
      <c r="O17" s="33" t="inlineStr">
        <is>
          <t>$1,730</t>
        </is>
      </c>
      <c r="P17" s="34" t="inlineStr">
        <is>
          <t>N/A</t>
        </is>
      </c>
      <c r="Q17" s="51" t="inlineStr">
        <is>
          <t>$1,999</t>
        </is>
      </c>
      <c r="R17" s="51" t="inlineStr">
        <is>
          <t>$1,999</t>
        </is>
      </c>
      <c r="S17" s="33" t="inlineStr">
        <is>
          <t>$1,999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C22" s="89" t="inlineStr">
        <is>
          <t>60% AMI</t>
        </is>
      </c>
      <c r="D22" s="89" t="inlineStr">
        <is>
          <t>UAP</t>
        </is>
      </c>
      <c r="E22" s="89" t="inlineStr">
        <is>
          <t>Section 8</t>
        </is>
      </c>
      <c r="F22" s="89" t="inlineStr">
        <is>
          <t>New</t>
        </is>
      </c>
    </row>
    <row r="23" ht="15" customFormat="1" customHeight="1" s="3">
      <c r="B23" s="6" t="n">
        <v>2</v>
      </c>
      <c r="C23" s="89" t="n">
        <v>1009</v>
      </c>
      <c r="D23" s="89" t="n"/>
      <c r="E23" s="89" t="n">
        <v>1250</v>
      </c>
      <c r="F23" s="89" t="n">
        <v>1300</v>
      </c>
    </row>
    <row r="24" ht="15" customFormat="1" customHeight="1" s="3">
      <c r="B24" s="6" t="n">
        <v>3</v>
      </c>
      <c r="C24" s="89" t="n">
        <v>1112</v>
      </c>
      <c r="D24" s="89" t="n">
        <v>162</v>
      </c>
      <c r="E24" s="89" t="n">
        <v>1500</v>
      </c>
      <c r="F24" s="89" t="n">
        <v>1575</v>
      </c>
    </row>
    <row r="25" ht="15" customFormat="1" customHeight="1" s="3">
      <c r="B25" s="6" t="n">
        <v>4</v>
      </c>
      <c r="C25" s="89" t="n">
        <v>1189</v>
      </c>
      <c r="D25" s="89" t="n">
        <v>195</v>
      </c>
      <c r="E25" s="89" t="n">
        <v>1600</v>
      </c>
      <c r="F25" s="89" t="n">
        <v>1675</v>
      </c>
    </row>
    <row r="28" ht="15" customFormat="1" customHeight="1" s="3">
      <c r="A28" s="64" t="inlineStr">
        <is>
          <t>PMTS — Vouchers / FMR / UAP / NET FMR</t>
        </is>
      </c>
      <c r="B28" s="104" t="n"/>
      <c r="C28" s="104" t="n"/>
      <c r="D28" s="104" t="n"/>
      <c r="E28" s="104" t="n"/>
      <c r="F28" s="105" t="n"/>
    </row>
    <row r="29" ht="15" customFormat="1" customHeight="1" s="3">
      <c r="A29" s="67" t="inlineStr">
        <is>
          <t>BD</t>
        </is>
      </c>
      <c r="B29" s="68" t="inlineStr">
        <is>
          <t>MKT</t>
        </is>
      </c>
      <c r="C29" s="69" t="inlineStr">
        <is>
          <t>VCH</t>
        </is>
      </c>
      <c r="D29" s="70" t="inlineStr">
        <is>
          <t>FMR</t>
        </is>
      </c>
      <c r="E29" s="71" t="inlineStr">
        <is>
          <t>UAP</t>
        </is>
      </c>
      <c r="F29" s="72" t="inlineStr">
        <is>
          <t>NET</t>
        </is>
      </c>
    </row>
    <row r="30" ht="15" customFormat="1" customHeight="1" s="3">
      <c r="A30" s="73" t="inlineStr">
        <is>
          <t>2BD</t>
        </is>
      </c>
      <c r="B30" s="74" t="n">
        <v>0</v>
      </c>
      <c r="C30" s="74" t="n">
        <v>1200</v>
      </c>
      <c r="D30" s="74" t="n">
        <v>1490</v>
      </c>
      <c r="E30" s="75" t="n">
        <v>204</v>
      </c>
      <c r="F30" s="76" t="n">
        <v>1286</v>
      </c>
    </row>
    <row r="31" ht="15" customFormat="1" customHeight="1" s="3">
      <c r="A31" s="77" t="inlineStr">
        <is>
          <t>3BD</t>
        </is>
      </c>
      <c r="B31" s="78" t="n">
        <v>0</v>
      </c>
      <c r="C31" s="78" t="n">
        <v>1500</v>
      </c>
      <c r="D31" s="78" t="n">
        <v>1900</v>
      </c>
      <c r="E31" s="75" t="n">
        <v>289</v>
      </c>
      <c r="F31" s="76" t="n">
        <v>1611</v>
      </c>
    </row>
    <row r="32" ht="15" customFormat="1" customHeight="1" s="3">
      <c r="A32" s="73" t="inlineStr">
        <is>
          <t>4BD</t>
        </is>
      </c>
      <c r="B32" s="74" t="n">
        <v>0</v>
      </c>
      <c r="C32" s="74" t="n">
        <v>1550</v>
      </c>
      <c r="D32" s="74" t="n">
        <v>2240</v>
      </c>
      <c r="E32" s="75" t="n">
        <v>374</v>
      </c>
      <c r="F32" s="76" t="n">
        <v>1866</v>
      </c>
    </row>
    <row r="35" ht="15" customFormat="1" customHeight="1" s="3">
      <c r="A35" s="64" t="inlineStr">
        <is>
          <t>LIHTC, UAP, NET</t>
        </is>
      </c>
      <c r="B35" s="104" t="n"/>
      <c r="C35" s="104" t="n"/>
      <c r="D35" s="104" t="n"/>
      <c r="E35" s="105" t="n"/>
    </row>
    <row r="36" ht="15" customFormat="1" customHeight="1" s="3">
      <c r="A36" s="67" t="n"/>
      <c r="B36" s="68" t="inlineStr">
        <is>
          <t>LIHTC/MKT</t>
        </is>
      </c>
      <c r="C36" s="70" t="inlineStr">
        <is>
          <t>60%</t>
        </is>
      </c>
      <c r="D36" s="71" t="inlineStr">
        <is>
          <t>UAP</t>
        </is>
      </c>
      <c r="E36" s="72" t="inlineStr">
        <is>
          <t>NET</t>
        </is>
      </c>
    </row>
    <row r="37" ht="15" customFormat="1" customHeight="1" s="3">
      <c r="A37" s="73" t="inlineStr">
        <is>
          <t>2BD</t>
        </is>
      </c>
      <c r="B37" s="74" t="n">
        <v>1213</v>
      </c>
      <c r="C37" s="74" t="n">
        <v>1009</v>
      </c>
      <c r="D37" s="75" t="n">
        <v>204</v>
      </c>
      <c r="E37" s="76" t="n">
        <v>805</v>
      </c>
    </row>
    <row r="38" ht="15" customFormat="1" customHeight="1" s="3">
      <c r="A38" s="77" t="inlineStr">
        <is>
          <t>3BD</t>
        </is>
      </c>
      <c r="B38" s="78" t="n">
        <v>1401</v>
      </c>
      <c r="C38" s="78" t="n">
        <v>1112</v>
      </c>
      <c r="D38" s="75" t="n">
        <v>289</v>
      </c>
      <c r="E38" s="76" t="n">
        <v>823</v>
      </c>
    </row>
    <row r="39" ht="15" customFormat="1" customHeight="1" s="3">
      <c r="A39" s="73" t="inlineStr">
        <is>
          <t>4BD</t>
        </is>
      </c>
      <c r="B39" s="74" t="n">
        <v>1563</v>
      </c>
      <c r="C39" s="74" t="n">
        <v>1189</v>
      </c>
      <c r="D39" s="75" t="n">
        <v>374</v>
      </c>
      <c r="E39" s="76" t="n">
        <v>815</v>
      </c>
    </row>
    <row r="42" ht="15" customFormat="1" customHeight="1" s="3">
      <c r="A42" s="64" t="inlineStr">
        <is>
          <t>HAP, CoStar, NET</t>
        </is>
      </c>
      <c r="B42" s="104" t="n"/>
      <c r="C42" s="105" t="n"/>
    </row>
    <row r="43" ht="15" customFormat="1" customHeight="1" s="3">
      <c r="A43" s="67" t="n"/>
      <c r="B43" s="71" t="inlineStr">
        <is>
          <t>HAP</t>
        </is>
      </c>
      <c r="C43" s="68" t="inlineStr">
        <is>
          <t>CoStar</t>
        </is>
      </c>
    </row>
    <row r="44" ht="15" customFormat="1" customHeight="1" s="3">
      <c r="A44" s="73" t="inlineStr">
        <is>
          <t>2BD</t>
        </is>
      </c>
      <c r="B44" s="106" t="n">
        <v>0</v>
      </c>
      <c r="C44" s="107" t="n">
        <v>1451</v>
      </c>
    </row>
    <row r="45" ht="15" customFormat="1" customHeight="1" s="3">
      <c r="A45" s="77" t="inlineStr">
        <is>
          <t>3BD</t>
        </is>
      </c>
      <c r="B45" s="106" t="n">
        <v>0</v>
      </c>
      <c r="C45" s="107" t="n">
        <v>1614</v>
      </c>
    </row>
    <row r="46" ht="15" customFormat="1" customHeight="1" s="3">
      <c r="A46" s="73" t="inlineStr">
        <is>
          <t>4BD</t>
        </is>
      </c>
      <c r="B46" s="106" t="n">
        <v>0</v>
      </c>
      <c r="C46" s="107" t="n">
        <v>1727</v>
      </c>
    </row>
  </sheetData>
  <mergeCells count="7">
    <mergeCell ref="A42:C42"/>
    <mergeCell ref="A4:AE4"/>
    <mergeCell ref="A35:E35"/>
    <mergeCell ref="A28:F28"/>
    <mergeCell ref="A19:AE19"/>
    <mergeCell ref="A5:AE5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theme="3" tint="0.4"/>
    <outlinePr summaryBelow="1" summaryRight="1"/>
    <pageSetUpPr/>
  </sheetPr>
  <dimension ref="A1:AE33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COLONIAL ESTATES | GREEN = Affordable Comps | BLUE = Market Rate Comps</t>
        </is>
      </c>
    </row>
    <row r="4" ht="20.25" customFormat="1" customHeight="1" s="6">
      <c r="A4" s="2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Colonial Estates (SUBJECT)</t>
        </is>
      </c>
      <c r="D7" s="26" t="inlineStr">
        <is>
          <t>1300 Ridgefield Ave</t>
        </is>
      </c>
      <c r="E7" s="26" t="inlineStr">
        <is>
          <t>Thibodaux</t>
        </is>
      </c>
      <c r="F7" s="26" t="inlineStr">
        <is>
          <t>LA</t>
        </is>
      </c>
      <c r="G7" s="26" t="inlineStr">
        <is>
          <t>70301</t>
        </is>
      </c>
      <c r="H7" s="26" t="inlineStr">
        <is>
          <t>0.0 mi</t>
        </is>
      </c>
      <c r="I7" s="26" t="inlineStr">
        <is>
          <t>$2,368</t>
        </is>
      </c>
      <c r="J7" s="26" t="inlineStr">
        <is>
          <t>$2,842</t>
        </is>
      </c>
      <c r="K7" s="28" t="inlineStr">
        <is>
          <t>$739</t>
        </is>
      </c>
      <c r="L7" s="29" t="inlineStr">
        <is>
          <t>N/A</t>
        </is>
      </c>
      <c r="M7" s="26" t="inlineStr">
        <is>
          <t>$2,841</t>
        </is>
      </c>
      <c r="N7" s="26" t="inlineStr">
        <is>
          <t>$3,410</t>
        </is>
      </c>
      <c r="O7" s="28" t="inlineStr">
        <is>
          <t>$1,012</t>
        </is>
      </c>
      <c r="P7" s="29" t="inlineStr">
        <is>
          <t>N/A</t>
        </is>
      </c>
      <c r="Q7" s="26" t="inlineStr">
        <is>
          <t>$3,154</t>
        </is>
      </c>
      <c r="R7" s="26" t="inlineStr">
        <is>
          <t>$3,785</t>
        </is>
      </c>
      <c r="S7" s="28" t="inlineStr">
        <is>
          <t>$1,264</t>
        </is>
      </c>
      <c r="T7" s="29" t="inlineStr">
        <is>
          <t>N/A</t>
        </is>
      </c>
      <c r="U7" s="26" t="inlineStr">
        <is>
          <t>107</t>
        </is>
      </c>
      <c r="V7" s="26" t="inlineStr">
        <is>
          <t>1975</t>
        </is>
      </c>
      <c r="W7" s="26" t="inlineStr">
        <is>
          <t>0</t>
        </is>
      </c>
      <c r="X7" s="26" t="inlineStr">
        <is>
          <t>Yes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107 units | Section 8/HUD property. Year built: 1975.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Bayou Terrace Apartments</t>
        </is>
      </c>
      <c r="D8" s="31" t="inlineStr">
        <is>
          <t>600 Canal Blvd</t>
        </is>
      </c>
      <c r="E8" s="31" t="inlineStr">
        <is>
          <t>Thibodaux</t>
        </is>
      </c>
      <c r="F8" s="31" t="inlineStr">
        <is>
          <t>LA</t>
        </is>
      </c>
      <c r="G8" s="31" t="inlineStr">
        <is>
          <t>70301</t>
        </is>
      </c>
      <c r="H8" s="31" t="inlineStr">
        <is>
          <t>1.5 mi</t>
        </is>
      </c>
      <c r="I8" s="31" t="inlineStr">
        <is>
          <t>$2,368</t>
        </is>
      </c>
      <c r="J8" s="31" t="inlineStr">
        <is>
          <t>$2,842</t>
        </is>
      </c>
      <c r="K8" s="33" t="inlineStr">
        <is>
          <t>$739</t>
        </is>
      </c>
      <c r="L8" s="34" t="inlineStr">
        <is>
          <t>Not Listed</t>
        </is>
      </c>
      <c r="M8" s="31" t="inlineStr">
        <is>
          <t>$2,841</t>
        </is>
      </c>
      <c r="N8" s="31" t="inlineStr">
        <is>
          <t>$3,410</t>
        </is>
      </c>
      <c r="O8" s="33" t="inlineStr">
        <is>
          <t>$1,012</t>
        </is>
      </c>
      <c r="P8" s="34" t="inlineStr">
        <is>
          <t>Not Listed</t>
        </is>
      </c>
      <c r="Q8" s="31" t="inlineStr">
        <is>
          <t>$3,154</t>
        </is>
      </c>
      <c r="R8" s="31" t="inlineStr">
        <is>
          <t>$3,785</t>
        </is>
      </c>
      <c r="S8" s="33" t="inlineStr">
        <is>
          <t>$1,264</t>
        </is>
      </c>
      <c r="T8" s="34" t="inlineStr">
        <is>
          <t>Not Listed</t>
        </is>
      </c>
      <c r="U8" s="31" t="inlineStr">
        <is>
          <t>100</t>
        </is>
      </c>
      <c r="V8" s="31" t="inlineStr">
        <is>
          <t>1976</t>
        </is>
      </c>
      <c r="W8" s="31" t="inlineStr">
        <is>
          <t>1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Section 8/HUD property, 1976 vintage (1 yr diff), 100 units, 1.5 mi from subject. Same income-eligible renter pool.</t>
        </is>
      </c>
      <c r="AE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Houma Gardens</t>
        </is>
      </c>
      <c r="D9" s="36" t="inlineStr">
        <is>
          <t>1200 Grand Caillou Rd</t>
        </is>
      </c>
      <c r="E9" s="36" t="inlineStr">
        <is>
          <t>Houma</t>
        </is>
      </c>
      <c r="F9" s="36" t="inlineStr">
        <is>
          <t>LA</t>
        </is>
      </c>
      <c r="G9" s="36" t="inlineStr">
        <is>
          <t>70363</t>
        </is>
      </c>
      <c r="H9" s="36" t="inlineStr">
        <is>
          <t>18.0 mi</t>
        </is>
      </c>
      <c r="I9" s="36" t="inlineStr">
        <is>
          <t>$2,368</t>
        </is>
      </c>
      <c r="J9" s="36" t="inlineStr">
        <is>
          <t>$2,842</t>
        </is>
      </c>
      <c r="K9" s="33" t="inlineStr">
        <is>
          <t>$739</t>
        </is>
      </c>
      <c r="L9" s="34" t="inlineStr">
        <is>
          <t>Not Listed</t>
        </is>
      </c>
      <c r="M9" s="36" t="inlineStr">
        <is>
          <t>$2,841</t>
        </is>
      </c>
      <c r="N9" s="36" t="inlineStr">
        <is>
          <t>$3,410</t>
        </is>
      </c>
      <c r="O9" s="33" t="inlineStr">
        <is>
          <t>$1,012</t>
        </is>
      </c>
      <c r="P9" s="34" t="inlineStr">
        <is>
          <t>Not Listed</t>
        </is>
      </c>
      <c r="Q9" s="36" t="inlineStr">
        <is>
          <t>$3,154</t>
        </is>
      </c>
      <c r="R9" s="36" t="inlineStr">
        <is>
          <t>$3,785</t>
        </is>
      </c>
      <c r="S9" s="33" t="inlineStr">
        <is>
          <t>$1,264</t>
        </is>
      </c>
      <c r="T9" s="34" t="inlineStr">
        <is>
          <t>Not Listed</t>
        </is>
      </c>
      <c r="U9" s="36" t="inlineStr">
        <is>
          <t>120</t>
        </is>
      </c>
      <c r="V9" s="36" t="inlineStr">
        <is>
          <t>1975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96" t="inlineStr">
        <is>
          <t>MODERATE-HIGH</t>
        </is>
      </c>
      <c r="AD9" s="37" t="inlineStr">
        <is>
          <t>Affordable Comp #2: Section 8/HUD property, 1975 vintage (0 yr diff), 120 units, 18.0 mi from subject. Same income-eligible renter pool.</t>
        </is>
      </c>
      <c r="AE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Morgan City Manor</t>
        </is>
      </c>
      <c r="D10" s="39" t="inlineStr">
        <is>
          <t>700 Brashear Ave</t>
        </is>
      </c>
      <c r="E10" s="39" t="inlineStr">
        <is>
          <t>Morgan City</t>
        </is>
      </c>
      <c r="F10" s="39" t="inlineStr">
        <is>
          <t>LA</t>
        </is>
      </c>
      <c r="G10" s="39" t="inlineStr">
        <is>
          <t>70380</t>
        </is>
      </c>
      <c r="H10" s="39" t="inlineStr">
        <is>
          <t>42.0 mi</t>
        </is>
      </c>
      <c r="I10" s="39" t="inlineStr">
        <is>
          <t>$2,368</t>
        </is>
      </c>
      <c r="J10" s="39" t="inlineStr">
        <is>
          <t>$2,842</t>
        </is>
      </c>
      <c r="K10" s="33" t="inlineStr">
        <is>
          <t>$739</t>
        </is>
      </c>
      <c r="L10" s="34" t="inlineStr">
        <is>
          <t>$670</t>
        </is>
      </c>
      <c r="M10" s="39" t="inlineStr">
        <is>
          <t>$2,841</t>
        </is>
      </c>
      <c r="N10" s="39" t="inlineStr">
        <is>
          <t>$3,410</t>
        </is>
      </c>
      <c r="O10" s="33" t="inlineStr">
        <is>
          <t>$1,012</t>
        </is>
      </c>
      <c r="P10" s="34" t="inlineStr">
        <is>
          <t>$924</t>
        </is>
      </c>
      <c r="Q10" s="39" t="inlineStr">
        <is>
          <t>$3,154</t>
        </is>
      </c>
      <c r="R10" s="39" t="inlineStr">
        <is>
          <t>$3,785</t>
        </is>
      </c>
      <c r="S10" s="33" t="inlineStr">
        <is>
          <t>$1,264</t>
        </is>
      </c>
      <c r="T10" s="34" t="inlineStr">
        <is>
          <t>Not Listed</t>
        </is>
      </c>
      <c r="U10" s="39" t="inlineStr">
        <is>
          <t>96</t>
        </is>
      </c>
      <c r="V10" s="39" t="inlineStr">
        <is>
          <t>1977</t>
        </is>
      </c>
      <c r="W10" s="39" t="inlineStr">
        <is>
          <t>2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Section 8/HUD property, 1977 vintage (2 yr diff), 96 units, 42.0 mi from subject. Same income-eligible renter pool.</t>
        </is>
      </c>
      <c r="AE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Lafourche Parish Housing Authority - Lockport Homes</t>
        </is>
      </c>
      <c r="D11" s="31" t="inlineStr">
        <is>
          <t>200 Main St</t>
        </is>
      </c>
      <c r="E11" s="31" t="inlineStr">
        <is>
          <t>Lockport</t>
        </is>
      </c>
      <c r="F11" s="31" t="inlineStr">
        <is>
          <t>LA</t>
        </is>
      </c>
      <c r="G11" s="31" t="inlineStr">
        <is>
          <t>70374</t>
        </is>
      </c>
      <c r="H11" s="31" t="inlineStr">
        <is>
          <t>12.0 mi</t>
        </is>
      </c>
      <c r="I11" s="31" t="inlineStr">
        <is>
          <t>$2,368</t>
        </is>
      </c>
      <c r="J11" s="31" t="inlineStr">
        <is>
          <t>$2,842</t>
        </is>
      </c>
      <c r="K11" s="33" t="inlineStr">
        <is>
          <t>$739</t>
        </is>
      </c>
      <c r="L11" s="34" t="inlineStr">
        <is>
          <t>Not Listed</t>
        </is>
      </c>
      <c r="M11" s="31" t="inlineStr">
        <is>
          <t>$2,841</t>
        </is>
      </c>
      <c r="N11" s="31" t="inlineStr">
        <is>
          <t>$3,410</t>
        </is>
      </c>
      <c r="O11" s="33" t="inlineStr">
        <is>
          <t>$1,012</t>
        </is>
      </c>
      <c r="P11" s="34" t="inlineStr">
        <is>
          <t>Not Listed</t>
        </is>
      </c>
      <c r="Q11" s="31" t="inlineStr">
        <is>
          <t>$3,154</t>
        </is>
      </c>
      <c r="R11" s="31" t="inlineStr">
        <is>
          <t>$3,785</t>
        </is>
      </c>
      <c r="S11" s="33" t="inlineStr">
        <is>
          <t>$1,264</t>
        </is>
      </c>
      <c r="T11" s="34" t="inlineStr">
        <is>
          <t>Not Listed</t>
        </is>
      </c>
      <c r="U11" s="31" t="inlineStr">
        <is>
          <t>88</t>
        </is>
      </c>
      <c r="V11" s="31" t="inlineStr">
        <is>
          <t>1976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Public Housing/HUD property, 1976 vintage (1 yr diff), 88 units, 12.0 mi from subject. Same income-eligible renter pool.</t>
        </is>
      </c>
      <c r="AE11" s="31" t="inlineStr">
        <is>
          <t>Lafourche Parish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Thibodaux Market Rate (FMR Benchmark)</t>
        </is>
      </c>
      <c r="D12" s="42" t="inlineStr">
        <is>
          <t>Thibodaux, LA area</t>
        </is>
      </c>
      <c r="E12" s="42" t="inlineStr">
        <is>
          <t>LA area</t>
        </is>
      </c>
      <c r="F12" s="42" t="inlineStr">
        <is>
          <t>LA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$739</t>
        </is>
      </c>
      <c r="L12" s="34" t="inlineStr">
        <is>
          <t>$850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$1,012</t>
        </is>
      </c>
      <c r="P12" s="34" t="inlineStr">
        <is>
          <t>$1,050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$1,264</t>
        </is>
      </c>
      <c r="T12" s="34" t="inlineStr">
        <is>
          <t>$1,300</t>
        </is>
      </c>
      <c r="U12" s="42" t="inlineStr">
        <is>
          <t>N/A</t>
        </is>
      </c>
      <c r="V12" s="42" t="inlineStr">
        <is>
          <t>1975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1975 vintage (0 yr diff), N/A units, N/A from subject. Shows market-rate rents vs. affordable housing discount.</t>
        </is>
      </c>
      <c r="AE12" s="42" t="inlineStr">
        <is>
          <t>HUD FY2026 FMR - Lafourche Parish, LA (limited market rate listings for 1965-1985 vintage)</t>
        </is>
      </c>
    </row>
    <row r="13" ht="54.75" customFormat="1" customHeight="1" s="6">
      <c r="A13" s="45" t="inlineStr">
        <is>
          <t>2</t>
        </is>
      </c>
      <c r="B13" s="45" t="inlineStr">
        <is>
          <t>Chateau Audubon Apartments</t>
        </is>
      </c>
      <c r="C13" s="46" t="inlineStr">
        <is>
          <t>106 Beham Ct, Thibodaux, LA 70301</t>
        </is>
      </c>
      <c r="D13" s="45" t="inlineStr">
        <is>
          <t>Houma, LA area</t>
        </is>
      </c>
      <c r="E13" s="45" t="inlineStr">
        <is>
          <t>LA area</t>
        </is>
      </c>
      <c r="F13" s="45" t="inlineStr">
        <is>
          <t>LA</t>
        </is>
      </c>
      <c r="G13" s="45" t="n"/>
      <c r="H13" s="45" t="inlineStr">
        <is>
          <t>20.0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$739</t>
        </is>
      </c>
      <c r="L13" s="34" t="inlineStr">
        <is>
          <t>$875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$1,012</t>
        </is>
      </c>
      <c r="P13" s="34" t="inlineStr">
        <is>
          <t>$1,075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$1,264</t>
        </is>
      </c>
      <c r="T13" s="34" t="inlineStr">
        <is>
          <t>$1,325</t>
        </is>
      </c>
      <c r="U13" s="45" t="inlineStr">
        <is>
          <t>N/A</t>
        </is>
      </c>
      <c r="V13" s="45" t="inlineStr">
        <is>
          <t>1978</t>
        </is>
      </c>
      <c r="W13" s="45" t="inlineStr">
        <is>
          <t>3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85" t="inlineStr">
        <is>
          <t>MODERATE-HIGH</t>
        </is>
      </c>
      <c r="AD13" s="46" t="inlineStr">
        <is>
          <t>Market Rate Comp #2: No income restrictions, 1978 vintage (3 yr diff), N/A units, 20.0 mi from subject. Shows market-rate rents vs. affordable housing discount.</t>
        </is>
      </c>
      <c r="AE13" s="45" t="inlineStr">
        <is>
          <t>HUD FY2026 FMR - Terrebonne Parish, LA</t>
        </is>
      </c>
    </row>
    <row r="14" ht="54.75" customFormat="1" customHeight="1" s="6">
      <c r="A14" s="48" t="inlineStr">
        <is>
          <t>3</t>
        </is>
      </c>
      <c r="B14" s="48" t="inlineStr">
        <is>
          <t>Bayou Reserve</t>
        </is>
      </c>
      <c r="C14" s="49" t="inlineStr">
        <is>
          <t>2464 Talbot Ave, Thibodaux, LA 70301</t>
        </is>
      </c>
      <c r="D14" s="48" t="inlineStr">
        <is>
          <t>Houma, LA area</t>
        </is>
      </c>
      <c r="E14" s="48" t="inlineStr">
        <is>
          <t>LA area</t>
        </is>
      </c>
      <c r="F14" s="48" t="inlineStr">
        <is>
          <t>LA</t>
        </is>
      </c>
      <c r="G14" s="48" t="n"/>
      <c r="H14" s="48" t="inlineStr">
        <is>
          <t>22.0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$739</t>
        </is>
      </c>
      <c r="L14" s="34" t="inlineStr">
        <is>
          <t>$875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$1,012</t>
        </is>
      </c>
      <c r="P14" s="34" t="inlineStr">
        <is>
          <t>$1,075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$1,264</t>
        </is>
      </c>
      <c r="T14" s="34" t="inlineStr">
        <is>
          <t>$1,325</t>
        </is>
      </c>
      <c r="U14" s="48" t="inlineStr">
        <is>
          <t>N/A</t>
        </is>
      </c>
      <c r="V14" s="48" t="inlineStr">
        <is>
          <t>1972</t>
        </is>
      </c>
      <c r="W14" s="48" t="inlineStr">
        <is>
          <t>3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86" t="inlineStr">
        <is>
          <t>MODERATE-HIGH</t>
        </is>
      </c>
      <c r="AD14" s="49" t="inlineStr">
        <is>
          <t>Market Rate Comp #3: No income restrictions, 1972 vintage (3 yr diff), N/A units, 22.0 mi from subject. Shows market-rate rents vs. affordable housing discount.</t>
        </is>
      </c>
      <c r="AE14" s="48" t="inlineStr">
        <is>
          <t>HUD FY2026 FMR - Terrebonne Parish, LA</t>
        </is>
      </c>
    </row>
    <row r="15" ht="54.75" customFormat="1" customHeight="1" s="6">
      <c r="A15" s="42" t="inlineStr">
        <is>
          <t>4</t>
        </is>
      </c>
      <c r="B15" s="42" t="inlineStr">
        <is>
          <t>Acadia Villas Apartment Homes</t>
        </is>
      </c>
      <c r="C15" s="43" t="inlineStr">
        <is>
          <t>624 Percy Rd, Thibodaux, LA 70301</t>
        </is>
      </c>
      <c r="D15" s="42" t="inlineStr">
        <is>
          <t>Thibodaux, LA area</t>
        </is>
      </c>
      <c r="E15" s="42" t="inlineStr">
        <is>
          <t>LA area</t>
        </is>
      </c>
      <c r="F15" s="42" t="inlineStr">
        <is>
          <t>LA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$739</t>
        </is>
      </c>
      <c r="L15" s="34" t="inlineStr">
        <is>
          <t>$850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$1,012</t>
        </is>
      </c>
      <c r="P15" s="34" t="inlineStr">
        <is>
          <t>$1,050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$1,264</t>
        </is>
      </c>
      <c r="T15" s="34" t="inlineStr">
        <is>
          <t>$1,300</t>
        </is>
      </c>
      <c r="U15" s="42" t="inlineStr">
        <is>
          <t>N/A</t>
        </is>
      </c>
      <c r="V15" s="42" t="inlineStr">
        <is>
          <t>1978</t>
        </is>
      </c>
      <c r="W15" s="42" t="inlineStr">
        <is>
          <t>3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1978 vintage (3 yr diff), N/A units, N/A from subject. Shows market-rate rents vs. affordable housing discount.</t>
        </is>
      </c>
      <c r="AE15" s="42" t="inlineStr">
        <is>
          <t>HUD FY2026 FMR - Lafourche Parish, LA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Lafourche Parish, LA</t>
        </is>
      </c>
      <c r="D16" s="51" t="inlineStr">
        <is>
          <t>N/A</t>
        </is>
      </c>
      <c r="E16" s="51" t="inlineStr">
        <is>
          <t>Thibodaux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$739</t>
        </is>
      </c>
      <c r="J16" s="51" t="inlineStr">
        <is>
          <t>$739</t>
        </is>
      </c>
      <c r="K16" s="33" t="inlineStr">
        <is>
          <t>$739</t>
        </is>
      </c>
      <c r="L16" s="34" t="inlineStr">
        <is>
          <t>N/A</t>
        </is>
      </c>
      <c r="M16" s="51" t="inlineStr">
        <is>
          <t>$1,012</t>
        </is>
      </c>
      <c r="N16" s="51" t="inlineStr">
        <is>
          <t>$1,012</t>
        </is>
      </c>
      <c r="O16" s="33" t="inlineStr">
        <is>
          <t>$1,012</t>
        </is>
      </c>
      <c r="P16" s="34" t="inlineStr">
        <is>
          <t>N/A</t>
        </is>
      </c>
      <c r="Q16" s="51" t="inlineStr">
        <is>
          <t>$1,264</t>
        </is>
      </c>
      <c r="R16" s="51" t="inlineStr">
        <is>
          <t>$1,264</t>
        </is>
      </c>
      <c r="S16" s="33" t="inlineStr">
        <is>
          <t>$1,264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Thibodaux</t>
        </is>
      </c>
      <c r="D17" s="51" t="inlineStr">
        <is>
          <t>N/A</t>
        </is>
      </c>
      <c r="E17" s="51" t="inlineStr">
        <is>
          <t>Thibodaux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$812</t>
        </is>
      </c>
      <c r="J17" s="51" t="inlineStr">
        <is>
          <t>$812</t>
        </is>
      </c>
      <c r="K17" s="33" t="inlineStr">
        <is>
          <t>$812</t>
        </is>
      </c>
      <c r="L17" s="34" t="inlineStr">
        <is>
          <t>N/A</t>
        </is>
      </c>
      <c r="M17" s="51" t="inlineStr">
        <is>
          <t>$1,113</t>
        </is>
      </c>
      <c r="N17" s="51" t="inlineStr">
        <is>
          <t>$1,113</t>
        </is>
      </c>
      <c r="O17" s="33" t="inlineStr">
        <is>
          <t>$1,113</t>
        </is>
      </c>
      <c r="P17" s="34" t="inlineStr">
        <is>
          <t>N/A</t>
        </is>
      </c>
      <c r="Q17" s="51" t="inlineStr">
        <is>
          <t>$1,390</t>
        </is>
      </c>
      <c r="R17" s="51" t="inlineStr">
        <is>
          <t>$1,390</t>
        </is>
      </c>
      <c r="S17" s="33" t="inlineStr">
        <is>
          <t>$1,390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800</v>
      </c>
      <c r="C24" s="74" t="n">
        <v>800</v>
      </c>
      <c r="D24" s="74" t="n">
        <v>930</v>
      </c>
      <c r="E24" s="75" t="n">
        <v>0</v>
      </c>
      <c r="F24" s="76" t="n">
        <v>930</v>
      </c>
    </row>
    <row r="25" ht="15" customFormat="1" customHeight="1" s="3">
      <c r="A25" s="77" t="inlineStr">
        <is>
          <t>2BD</t>
        </is>
      </c>
      <c r="B25" s="78" t="n">
        <v>900</v>
      </c>
      <c r="C25" s="78" t="n">
        <v>900</v>
      </c>
      <c r="D25" s="78" t="n">
        <v>1140</v>
      </c>
      <c r="E25" s="75" t="n">
        <v>0</v>
      </c>
      <c r="F25" s="76" t="n">
        <v>1140</v>
      </c>
    </row>
    <row r="26" ht="15" customFormat="1" customHeight="1" s="3">
      <c r="A26" s="73" t="inlineStr">
        <is>
          <t>3BD</t>
        </is>
      </c>
      <c r="B26" s="74" t="n">
        <v>1000</v>
      </c>
      <c r="C26" s="74" t="n">
        <v>1000</v>
      </c>
      <c r="D26" s="74" t="n">
        <v>1380</v>
      </c>
      <c r="E26" s="75" t="n">
        <v>0</v>
      </c>
      <c r="F26" s="76" t="n">
        <v>1380</v>
      </c>
    </row>
    <row r="29" ht="15" customFormat="1" customHeight="1" s="3">
      <c r="A29" s="64" t="inlineStr">
        <is>
          <t>HAP, CoStar, NET</t>
        </is>
      </c>
      <c r="B29" s="104" t="n"/>
      <c r="C29" s="105" t="n"/>
    </row>
    <row r="30" ht="15" customFormat="1" customHeight="1" s="3">
      <c r="A30" s="67" t="n"/>
      <c r="B30" s="71" t="inlineStr">
        <is>
          <t>HAP</t>
        </is>
      </c>
      <c r="C30" s="68" t="inlineStr">
        <is>
          <t>CoStar</t>
        </is>
      </c>
    </row>
    <row r="31" ht="15" customFormat="1" customHeight="1" s="3">
      <c r="A31" s="73" t="inlineStr">
        <is>
          <t>1BD</t>
        </is>
      </c>
      <c r="B31" s="106" t="n">
        <v>0</v>
      </c>
      <c r="C31" s="107" t="n">
        <v>926</v>
      </c>
    </row>
    <row r="32" ht="15" customFormat="1" customHeight="1" s="3">
      <c r="A32" s="77" t="inlineStr">
        <is>
          <t>2BD</t>
        </is>
      </c>
      <c r="B32" s="106" t="n">
        <v>0</v>
      </c>
      <c r="C32" s="107" t="n">
        <v>1116</v>
      </c>
    </row>
    <row r="33" ht="15" customFormat="1" customHeight="1" s="3">
      <c r="A33" s="73" t="inlineStr">
        <is>
          <t>3BD</t>
        </is>
      </c>
      <c r="B33" s="106" t="n">
        <v>0</v>
      </c>
      <c r="C33" s="107" t="n">
        <v>1224</v>
      </c>
    </row>
  </sheetData>
  <mergeCells count="6">
    <mergeCell ref="A4:AE4"/>
    <mergeCell ref="A19:AE19"/>
    <mergeCell ref="A5:AE5"/>
    <mergeCell ref="A22:F22"/>
    <mergeCell ref="A29:C29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theme="3" tint="-0.25"/>
    <outlinePr summaryBelow="1" summaryRight="1"/>
    <pageSetUpPr/>
  </sheetPr>
  <dimension ref="A1:AB38"/>
  <sheetViews>
    <sheetView topLeftCell="A1" workbookViewId="0">
      <pane ySplit="1" topLeftCell="A5" activePane="bottomLeft" state="frozen"/>
      <selection pane="bottomLeft" activeCell="AB1" sqref="AB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</row>
    <row r="3" ht="24" customFormat="1" customHeight="1" s="6">
      <c r="A3" s="20" t="inlineStr">
        <is>
          <t>COMPETITIVE RENT ANALYSIS — MARRERO 3 | GREEN = Affordable Comps | BLUE = Market Rate Comps</t>
        </is>
      </c>
    </row>
    <row r="4" ht="20.25" customFormat="1" customHeight="1" s="6">
      <c r="A4" s="21" t="inlineStr">
        <is>
          <t>SUBJECT: Marrero 3 | 1050 Manhattan Blvd, Harvey, LA 70058 | 173 units | Program: Section 8/HUD | Bedroom Mix: 3BR / 4BR | County AMI: $89,800 | FMR Area: New Orleans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3BR Low ($)</t>
        </is>
      </c>
      <c r="J6" s="23" t="inlineStr">
        <is>
          <t>3BR Mid ($)</t>
        </is>
      </c>
      <c r="K6" s="24" t="inlineStr">
        <is>
          <t>3BR FMR ($)</t>
        </is>
      </c>
      <c r="L6" s="25" t="inlineStr">
        <is>
          <t>3BR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Marrero 3 (SUBJECT)</t>
        </is>
      </c>
      <c r="D7" s="26" t="inlineStr">
        <is>
          <t>1050 Manhattan Blvd</t>
        </is>
      </c>
      <c r="E7" s="26" t="inlineStr">
        <is>
          <t>Harvey</t>
        </is>
      </c>
      <c r="F7" s="26" t="inlineStr">
        <is>
          <t>LA</t>
        </is>
      </c>
      <c r="G7" s="26" t="inlineStr">
        <is>
          <t>70058</t>
        </is>
      </c>
      <c r="H7" s="26" t="inlineStr">
        <is>
          <t>0.0 mi</t>
        </is>
      </c>
      <c r="I7" s="26" t="inlineStr">
        <is>
          <t>$3,741</t>
        </is>
      </c>
      <c r="J7" s="26" t="inlineStr">
        <is>
          <t>$4,490</t>
        </is>
      </c>
      <c r="K7" s="28" t="inlineStr">
        <is>
          <t>$1,573</t>
        </is>
      </c>
      <c r="L7" s="29" t="inlineStr">
        <is>
          <t>N/A</t>
        </is>
      </c>
      <c r="M7" s="26" t="inlineStr">
        <is>
          <t>$4,041</t>
        </is>
      </c>
      <c r="N7" s="26" t="inlineStr">
        <is>
          <t>$4,850</t>
        </is>
      </c>
      <c r="O7" s="28" t="inlineStr">
        <is>
          <t>$1,818</t>
        </is>
      </c>
      <c r="P7" s="29" t="inlineStr">
        <is>
          <t>N/A</t>
        </is>
      </c>
      <c r="Q7" s="26" t="inlineStr">
        <is>
          <t>173</t>
        </is>
      </c>
      <c r="R7" s="26" t="inlineStr">
        <is>
          <t>1968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173 units | Section 8/HUD property. Year built: 1968.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Westchase Apartments</t>
        </is>
      </c>
      <c r="D8" s="31" t="inlineStr">
        <is>
          <t>1013 Manhattan Blvd</t>
        </is>
      </c>
      <c r="E8" s="31" t="inlineStr">
        <is>
          <t>Harvey</t>
        </is>
      </c>
      <c r="F8" s="31" t="inlineStr">
        <is>
          <t>LA</t>
        </is>
      </c>
      <c r="G8" s="31" t="inlineStr">
        <is>
          <t>70058</t>
        </is>
      </c>
      <c r="H8" s="31" t="inlineStr">
        <is>
          <t>0.3 mi</t>
        </is>
      </c>
      <c r="I8" s="31" t="inlineStr">
        <is>
          <t>$3,741</t>
        </is>
      </c>
      <c r="J8" s="31" t="inlineStr">
        <is>
          <t>$4,490</t>
        </is>
      </c>
      <c r="K8" s="33" t="inlineStr">
        <is>
          <t>$1,573</t>
        </is>
      </c>
      <c r="L8" s="34" t="inlineStr">
        <is>
          <t>Not Listed</t>
        </is>
      </c>
      <c r="M8" s="31" t="inlineStr">
        <is>
          <t>$4,041</t>
        </is>
      </c>
      <c r="N8" s="31" t="inlineStr">
        <is>
          <t>$4,850</t>
        </is>
      </c>
      <c r="O8" s="33" t="inlineStr">
        <is>
          <t>$1,818</t>
        </is>
      </c>
      <c r="P8" s="34" t="inlineStr">
        <is>
          <t>Not Listed</t>
        </is>
      </c>
      <c r="Q8" s="31" t="inlineStr">
        <is>
          <t>200</t>
        </is>
      </c>
      <c r="R8" s="31" t="inlineStr">
        <is>
          <t>1970</t>
        </is>
      </c>
      <c r="S8" s="31" t="inlineStr">
        <is>
          <t>2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Section 8/HUD property, 1970 vintage (2 yr diff), 200 units, 0.3 mi from subject. Same income-eligible renter pool.</t>
        </is>
      </c>
      <c r="AA8" s="31" t="inlineStr">
        <is>
          <t>AffordableHousingOnline.com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Gretna Manor Apartments</t>
        </is>
      </c>
      <c r="D9" s="36" t="inlineStr">
        <is>
          <t>400 Huey P Long Ave</t>
        </is>
      </c>
      <c r="E9" s="36" t="inlineStr">
        <is>
          <t>Gretna</t>
        </is>
      </c>
      <c r="F9" s="36" t="inlineStr">
        <is>
          <t>LA</t>
        </is>
      </c>
      <c r="G9" s="36" t="inlineStr">
        <is>
          <t>70053</t>
        </is>
      </c>
      <c r="H9" s="36" t="inlineStr">
        <is>
          <t>3.5 mi</t>
        </is>
      </c>
      <c r="I9" s="36" t="inlineStr">
        <is>
          <t>$3,741</t>
        </is>
      </c>
      <c r="J9" s="36" t="inlineStr">
        <is>
          <t>$4,490</t>
        </is>
      </c>
      <c r="K9" s="33" t="inlineStr">
        <is>
          <t>$1,573</t>
        </is>
      </c>
      <c r="L9" s="34" t="inlineStr">
        <is>
          <t>Not Listed</t>
        </is>
      </c>
      <c r="M9" s="36" t="inlineStr">
        <is>
          <t>$4,041</t>
        </is>
      </c>
      <c r="N9" s="36" t="inlineStr">
        <is>
          <t>$4,850</t>
        </is>
      </c>
      <c r="O9" s="33" t="inlineStr">
        <is>
          <t>$1,818</t>
        </is>
      </c>
      <c r="P9" s="34" t="inlineStr">
        <is>
          <t>Not Listed</t>
        </is>
      </c>
      <c r="Q9" s="36" t="inlineStr">
        <is>
          <t>180</t>
        </is>
      </c>
      <c r="R9" s="36" t="inlineStr">
        <is>
          <t>1972</t>
        </is>
      </c>
      <c r="S9" s="36" t="inlineStr">
        <is>
          <t>4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Section 8/HUD property, 1972 vintage (4 yr diff), 180 units, 3.5 mi from subject. Same income-eligible renter pool.</t>
        </is>
      </c>
      <c r="AA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New Orleans East Apartments</t>
        </is>
      </c>
      <c r="D10" s="39" t="inlineStr">
        <is>
          <t>6000 Read Blvd</t>
        </is>
      </c>
      <c r="E10" s="39" t="inlineStr">
        <is>
          <t>New Orleans</t>
        </is>
      </c>
      <c r="F10" s="39" t="inlineStr">
        <is>
          <t>LA</t>
        </is>
      </c>
      <c r="G10" s="39" t="inlineStr">
        <is>
          <t>70127</t>
        </is>
      </c>
      <c r="H10" s="39" t="inlineStr">
        <is>
          <t>12.0 mi</t>
        </is>
      </c>
      <c r="I10" s="39" t="inlineStr">
        <is>
          <t>$3,741</t>
        </is>
      </c>
      <c r="J10" s="39" t="inlineStr">
        <is>
          <t>$4,490</t>
        </is>
      </c>
      <c r="K10" s="33" t="inlineStr">
        <is>
          <t>$1,573</t>
        </is>
      </c>
      <c r="L10" s="34" t="inlineStr">
        <is>
          <t>Not Listed</t>
        </is>
      </c>
      <c r="M10" s="39" t="inlineStr">
        <is>
          <t>$4,041</t>
        </is>
      </c>
      <c r="N10" s="39" t="inlineStr">
        <is>
          <t>$4,850</t>
        </is>
      </c>
      <c r="O10" s="33" t="inlineStr">
        <is>
          <t>$1,818</t>
        </is>
      </c>
      <c r="P10" s="34" t="inlineStr">
        <is>
          <t>Not Listed</t>
        </is>
      </c>
      <c r="Q10" s="39" t="inlineStr">
        <is>
          <t>160</t>
        </is>
      </c>
      <c r="R10" s="39" t="inlineStr">
        <is>
          <t>1970</t>
        </is>
      </c>
      <c r="S10" s="39" t="inlineStr">
        <is>
          <t>2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Section 8/HUD property, 1970 vintage (2 yr diff), 160 units, 12.0 mi from subject. Same income-eligible renter pool.</t>
        </is>
      </c>
      <c r="AA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Jefferson Parish Housing Authority - Woodmere Homes</t>
        </is>
      </c>
      <c r="D11" s="31" t="inlineStr">
        <is>
          <t>1200 Woodmere Blvd</t>
        </is>
      </c>
      <c r="E11" s="31" t="inlineStr">
        <is>
          <t>Harvey</t>
        </is>
      </c>
      <c r="F11" s="31" t="inlineStr">
        <is>
          <t>LA</t>
        </is>
      </c>
      <c r="G11" s="31" t="inlineStr">
        <is>
          <t>70058</t>
        </is>
      </c>
      <c r="H11" s="31" t="inlineStr">
        <is>
          <t>2.1 mi</t>
        </is>
      </c>
      <c r="I11" s="31" t="inlineStr">
        <is>
          <t>$3,741</t>
        </is>
      </c>
      <c r="J11" s="31" t="inlineStr">
        <is>
          <t>$4,490</t>
        </is>
      </c>
      <c r="K11" s="33" t="inlineStr">
        <is>
          <t>$1,573</t>
        </is>
      </c>
      <c r="L11" s="34" t="inlineStr">
        <is>
          <t>Not Listed</t>
        </is>
      </c>
      <c r="M11" s="31" t="inlineStr">
        <is>
          <t>$4,041</t>
        </is>
      </c>
      <c r="N11" s="31" t="inlineStr">
        <is>
          <t>$4,850</t>
        </is>
      </c>
      <c r="O11" s="33" t="inlineStr">
        <is>
          <t>$1,818</t>
        </is>
      </c>
      <c r="P11" s="34" t="inlineStr">
        <is>
          <t>Not Listed</t>
        </is>
      </c>
      <c r="Q11" s="31" t="inlineStr">
        <is>
          <t>180</t>
        </is>
      </c>
      <c r="R11" s="31" t="inlineStr">
        <is>
          <t>1969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Public Housing/HUD property, 1969 vintage (1 yr diff), 180 units, 2.1 mi from subject. Same income-eligible renter pool.</t>
        </is>
      </c>
      <c r="AA11" s="31" t="inlineStr">
        <is>
          <t>Jefferson Parish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Harvey Market Rate (FMR Benchmark)</t>
        </is>
      </c>
      <c r="D12" s="42" t="inlineStr">
        <is>
          <t>Harvey, LA area</t>
        </is>
      </c>
      <c r="E12" s="42" t="inlineStr">
        <is>
          <t>LA area</t>
        </is>
      </c>
      <c r="F12" s="42" t="inlineStr">
        <is>
          <t>LA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$1,573</t>
        </is>
      </c>
      <c r="L12" s="34" t="inlineStr">
        <is>
          <t>$1,550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$1,818</t>
        </is>
      </c>
      <c r="P12" s="34" t="inlineStr">
        <is>
          <t>Not Listed</t>
        </is>
      </c>
      <c r="Q12" s="42" t="inlineStr">
        <is>
          <t>N/A</t>
        </is>
      </c>
      <c r="R12" s="42" t="inlineStr">
        <is>
          <t>1968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1968 vintage (0 yr diff), N/A units, N/A from subject. Shows market-rate rents vs. affordable housing discount.</t>
        </is>
      </c>
      <c r="AA12" s="42" t="inlineStr">
        <is>
          <t>HUD FY2026 FMR - Jefferson Parish, LA (limited market rate listings for 1958-1978 vintage)</t>
        </is>
      </c>
    </row>
    <row r="13" ht="54.75" customFormat="1" customHeight="1" s="6">
      <c r="A13" s="45" t="inlineStr">
        <is>
          <t>2</t>
        </is>
      </c>
      <c r="B13" s="45" t="inlineStr">
        <is>
          <t>Windsor at Manhattan</t>
        </is>
      </c>
      <c r="C13" s="46" t="inlineStr">
        <is>
          <t>1499 Central Park Blvd, Harvey, LA 70058</t>
        </is>
      </c>
      <c r="D13" s="45" t="inlineStr">
        <is>
          <t>Marrero, LA area</t>
        </is>
      </c>
      <c r="E13" s="45" t="inlineStr">
        <is>
          <t>LA area</t>
        </is>
      </c>
      <c r="F13" s="45" t="inlineStr">
        <is>
          <t>LA</t>
        </is>
      </c>
      <c r="G13" s="45" t="n"/>
      <c r="H13" s="45" t="inlineStr">
        <is>
          <t>3.0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$1,573</t>
        </is>
      </c>
      <c r="L13" s="34" t="inlineStr">
        <is>
          <t>$1,550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$1,818</t>
        </is>
      </c>
      <c r="P13" s="34" t="inlineStr">
        <is>
          <t>Not Listed</t>
        </is>
      </c>
      <c r="Q13" s="45" t="inlineStr">
        <is>
          <t>N/A</t>
        </is>
      </c>
      <c r="R13" s="45" t="inlineStr">
        <is>
          <t>1965</t>
        </is>
      </c>
      <c r="S13" s="45" t="inlineStr">
        <is>
          <t>3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1965 vintage (3 yr diff), N/A units, 3.0 mi from subject. Shows market-rate rents vs. affordable housing discount.</t>
        </is>
      </c>
      <c r="AA13" s="45" t="inlineStr">
        <is>
          <t>HUD FY2026 FMR - Jefferson Parish, LA</t>
        </is>
      </c>
    </row>
    <row r="14" ht="54.75" customFormat="1" customHeight="1" s="6">
      <c r="A14" s="48" t="inlineStr">
        <is>
          <t>3</t>
        </is>
      </c>
      <c r="B14" s="48" t="inlineStr">
        <is>
          <t>Emerald Pointe Apartment Homes</t>
        </is>
      </c>
      <c r="C14" s="49" t="inlineStr">
        <is>
          <t>2700 Whitney Ave, Harvey, LA 70058</t>
        </is>
      </c>
      <c r="D14" s="48" t="inlineStr">
        <is>
          <t>Gretna, LA area</t>
        </is>
      </c>
      <c r="E14" s="48" t="inlineStr">
        <is>
          <t>LA area</t>
        </is>
      </c>
      <c r="F14" s="48" t="inlineStr">
        <is>
          <t>LA</t>
        </is>
      </c>
      <c r="G14" s="48" t="n"/>
      <c r="H14" s="48" t="inlineStr">
        <is>
          <t>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$1,573</t>
        </is>
      </c>
      <c r="L14" s="34" t="inlineStr">
        <is>
          <t>$1,550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$1,818</t>
        </is>
      </c>
      <c r="P14" s="34" t="inlineStr">
        <is>
          <t>Not Listed</t>
        </is>
      </c>
      <c r="Q14" s="48" t="inlineStr">
        <is>
          <t>N/A</t>
        </is>
      </c>
      <c r="R14" s="48" t="inlineStr">
        <is>
          <t>1970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1970 vintage (2 yr diff), N/A units, 5.0 mi from subject. Shows market-rate rents vs. affordable housing discount.</t>
        </is>
      </c>
      <c r="AA14" s="48" t="inlineStr">
        <is>
          <t>HUD FY2026 FMR - Jefferson Parish, LA</t>
        </is>
      </c>
    </row>
    <row r="15" ht="54.75" customFormat="1" customHeight="1" s="6">
      <c r="A15" s="42" t="inlineStr">
        <is>
          <t>4</t>
        </is>
      </c>
      <c r="B15" s="42" t="inlineStr">
        <is>
          <t>Summerfield Apartment Homes</t>
        </is>
      </c>
      <c r="C15" s="43" t="inlineStr">
        <is>
          <t>1500 Lorene Dr, Harvey, LA 70058</t>
        </is>
      </c>
      <c r="D15" s="42" t="inlineStr">
        <is>
          <t>Westwego, LA area</t>
        </is>
      </c>
      <c r="E15" s="42" t="inlineStr">
        <is>
          <t>LA area</t>
        </is>
      </c>
      <c r="F15" s="42" t="inlineStr">
        <is>
          <t>LA</t>
        </is>
      </c>
      <c r="G15" s="42" t="n"/>
      <c r="H15" s="42" t="inlineStr">
        <is>
          <t>7.0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$1,573</t>
        </is>
      </c>
      <c r="L15" s="34" t="inlineStr">
        <is>
          <t>$1,550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$1,818</t>
        </is>
      </c>
      <c r="P15" s="34" t="inlineStr">
        <is>
          <t>Not Listed</t>
        </is>
      </c>
      <c r="Q15" s="42" t="inlineStr">
        <is>
          <t>N/A</t>
        </is>
      </c>
      <c r="R15" s="42" t="inlineStr">
        <is>
          <t>1966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1966 vintage (2 yr diff), N/A units, 7.0 mi from subject. Shows market-rate rents vs. affordable housing discount.</t>
        </is>
      </c>
      <c r="AA15" s="42" t="inlineStr">
        <is>
          <t>HUD FY2026 FMR - Jefferson Parish, LA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New Orleans MSA</t>
        </is>
      </c>
      <c r="D16" s="51" t="inlineStr">
        <is>
          <t>N/A</t>
        </is>
      </c>
      <c r="E16" s="51" t="inlineStr">
        <is>
          <t>Harvey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$1,573</t>
        </is>
      </c>
      <c r="J16" s="51" t="inlineStr">
        <is>
          <t>$1,573</t>
        </is>
      </c>
      <c r="K16" s="33" t="inlineStr">
        <is>
          <t>$1,573</t>
        </is>
      </c>
      <c r="L16" s="34" t="inlineStr">
        <is>
          <t>N/A</t>
        </is>
      </c>
      <c r="M16" s="51" t="inlineStr">
        <is>
          <t>$1,818</t>
        </is>
      </c>
      <c r="N16" s="51" t="inlineStr">
        <is>
          <t>$1,818</t>
        </is>
      </c>
      <c r="O16" s="33" t="inlineStr">
        <is>
          <t>$1,818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Harvey</t>
        </is>
      </c>
      <c r="D17" s="51" t="inlineStr">
        <is>
          <t>N/A</t>
        </is>
      </c>
      <c r="E17" s="51" t="inlineStr">
        <is>
          <t>Harvey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$1,730</t>
        </is>
      </c>
      <c r="J17" s="51" t="inlineStr">
        <is>
          <t>$1,730</t>
        </is>
      </c>
      <c r="K17" s="33" t="inlineStr">
        <is>
          <t>$1,730</t>
        </is>
      </c>
      <c r="L17" s="34" t="inlineStr">
        <is>
          <t>N/A</t>
        </is>
      </c>
      <c r="M17" s="51" t="inlineStr">
        <is>
          <t>$1,999</t>
        </is>
      </c>
      <c r="N17" s="51" t="inlineStr">
        <is>
          <t>$1,999</t>
        </is>
      </c>
      <c r="O17" s="33" t="inlineStr">
        <is>
          <t>$1,999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3BD</t>
        </is>
      </c>
      <c r="B24" s="74" t="n">
        <v>0</v>
      </c>
      <c r="C24" s="74" t="n">
        <v>1500</v>
      </c>
      <c r="D24" s="74" t="n">
        <v>1900</v>
      </c>
      <c r="E24" s="75" t="n">
        <v>289</v>
      </c>
      <c r="F24" s="76" t="n">
        <v>1611</v>
      </c>
    </row>
    <row r="25" ht="15" customFormat="1" customHeight="1" s="3">
      <c r="A25" s="77" t="inlineStr">
        <is>
          <t>4BD</t>
        </is>
      </c>
      <c r="B25" s="78" t="n">
        <v>0</v>
      </c>
      <c r="C25" s="78" t="n">
        <v>1550</v>
      </c>
      <c r="D25" s="78" t="n">
        <v>2240</v>
      </c>
      <c r="E25" s="75" t="n">
        <v>374</v>
      </c>
      <c r="F25" s="76" t="n">
        <v>1866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60%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3BD</t>
        </is>
      </c>
      <c r="B30" s="74" t="n">
        <v>1401</v>
      </c>
      <c r="C30" s="74" t="n">
        <v>1112</v>
      </c>
      <c r="D30" s="75" t="n">
        <v>289</v>
      </c>
      <c r="E30" s="76" t="n">
        <v>823</v>
      </c>
    </row>
    <row r="31" ht="15" customFormat="1" customHeight="1" s="3">
      <c r="A31" s="77" t="inlineStr">
        <is>
          <t>4BD</t>
        </is>
      </c>
      <c r="B31" s="78" t="n">
        <v>1563</v>
      </c>
      <c r="C31" s="78" t="n">
        <v>1189</v>
      </c>
      <c r="D31" s="75" t="n">
        <v>374</v>
      </c>
      <c r="E31" s="76" t="n">
        <v>815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2BD</t>
        </is>
      </c>
      <c r="B36" s="106" t="n">
        <v>0</v>
      </c>
      <c r="C36" s="107" t="n">
        <v>1451</v>
      </c>
    </row>
    <row r="37" ht="15" customFormat="1" customHeight="1" s="3">
      <c r="A37" s="77" t="inlineStr">
        <is>
          <t>3BD</t>
        </is>
      </c>
      <c r="B37" s="106" t="n">
        <v>0</v>
      </c>
      <c r="C37" s="107" t="n">
        <v>1614</v>
      </c>
    </row>
    <row r="38" ht="15" customFormat="1" customHeight="1" s="3">
      <c r="A38" s="73" t="inlineStr">
        <is>
          <t>4BD</t>
        </is>
      </c>
      <c r="B38" s="106" t="n">
        <v>0</v>
      </c>
      <c r="C38" s="107" t="n">
        <v>1727</v>
      </c>
    </row>
  </sheetData>
  <mergeCells count="7">
    <mergeCell ref="A4:AA4"/>
    <mergeCell ref="A3:AA3"/>
    <mergeCell ref="A28:E28"/>
    <mergeCell ref="A22:F22"/>
    <mergeCell ref="A19:AA19"/>
    <mergeCell ref="A34:C34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4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ARBOR CREST | GREEN = Affordable Comps | BLUE = Market Rate Comps</t>
        </is>
      </c>
    </row>
    <row r="4" ht="20.25" customFormat="1" customHeight="1" s="6">
      <c r="A4" s="21" t="inlineStr">
        <is>
          <t>SUBJECT: Arbor Crest | 64 N Cleveland Street, Quincy, FL 32351 | 120 units | Program: LIHTC | Bedroom Mix: 1BR / 2BR / 3BR | County AMI: $92,300 | FMR Area: Gadsden County, FL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Arbor Crest (SUBJECT)</t>
        </is>
      </c>
      <c r="D7" s="26" t="inlineStr">
        <is>
          <t>64 N Cleveland Street</t>
        </is>
      </c>
      <c r="E7" s="26" t="inlineStr">
        <is>
          <t>Quincy</t>
        </is>
      </c>
      <c r="F7" s="26" t="inlineStr">
        <is>
          <t>FL</t>
        </is>
      </c>
      <c r="G7" s="26" t="inlineStr">
        <is>
          <t>32351</t>
        </is>
      </c>
      <c r="H7" s="26" t="inlineStr">
        <is>
          <t>0.0 mi</t>
        </is>
      </c>
      <c r="I7" s="26" t="inlineStr">
        <is>
          <t>$2,887</t>
        </is>
      </c>
      <c r="J7" s="26" t="inlineStr">
        <is>
          <t>$3,465</t>
        </is>
      </c>
      <c r="K7" s="28" t="inlineStr">
        <is>
          <t>$800</t>
        </is>
      </c>
      <c r="L7" s="29" t="inlineStr">
        <is>
          <t>N/A</t>
        </is>
      </c>
      <c r="M7" s="26" t="inlineStr">
        <is>
          <t>$3,462</t>
        </is>
      </c>
      <c r="N7" s="26" t="inlineStr">
        <is>
          <t>$4,155</t>
        </is>
      </c>
      <c r="O7" s="28" t="inlineStr">
        <is>
          <t>$1,095</t>
        </is>
      </c>
      <c r="P7" s="29" t="inlineStr">
        <is>
          <t>N/A</t>
        </is>
      </c>
      <c r="Q7" s="26" t="inlineStr">
        <is>
          <t>$3,845</t>
        </is>
      </c>
      <c r="R7" s="26" t="inlineStr">
        <is>
          <t>$4,615</t>
        </is>
      </c>
      <c r="S7" s="28" t="inlineStr">
        <is>
          <t>$1,372</t>
        </is>
      </c>
      <c r="T7" s="29" t="inlineStr">
        <is>
          <t>N/A</t>
        </is>
      </c>
      <c r="U7" s="26" t="inlineStr">
        <is>
          <t>120</t>
        </is>
      </c>
      <c r="V7" s="26" t="inlineStr">
        <is>
          <t>1995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Yes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120 units | LIHTC property. Year built: 1995.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Springwood - Tallahassee</t>
        </is>
      </c>
      <c r="D8" s="31" t="inlineStr">
        <is>
          <t>2660 Old Bainbridge Rd</t>
        </is>
      </c>
      <c r="E8" s="31" t="inlineStr">
        <is>
          <t>Tallahassee</t>
        </is>
      </c>
      <c r="F8" s="31" t="inlineStr">
        <is>
          <t>FL</t>
        </is>
      </c>
      <c r="G8" s="31" t="inlineStr">
        <is>
          <t>32303</t>
        </is>
      </c>
      <c r="H8" s="31" t="inlineStr">
        <is>
          <t>17.4 mi</t>
        </is>
      </c>
      <c r="I8" s="31" t="inlineStr">
        <is>
          <t>$2,887</t>
        </is>
      </c>
      <c r="J8" s="31" t="inlineStr">
        <is>
          <t>$3,465</t>
        </is>
      </c>
      <c r="K8" s="33" t="inlineStr">
        <is>
          <t>$800</t>
        </is>
      </c>
      <c r="L8" s="34" t="inlineStr">
        <is>
          <t>Not Listed</t>
        </is>
      </c>
      <c r="M8" s="31" t="inlineStr">
        <is>
          <t>$3,462</t>
        </is>
      </c>
      <c r="N8" s="31" t="inlineStr">
        <is>
          <t>$4,155</t>
        </is>
      </c>
      <c r="O8" s="33" t="inlineStr">
        <is>
          <t>$1,095</t>
        </is>
      </c>
      <c r="P8" s="34" t="inlineStr">
        <is>
          <t>Not Listed</t>
        </is>
      </c>
      <c r="Q8" s="31" t="inlineStr">
        <is>
          <t>$3,845</t>
        </is>
      </c>
      <c r="R8" s="31" t="inlineStr">
        <is>
          <t>$4,615</t>
        </is>
      </c>
      <c r="S8" s="33" t="inlineStr">
        <is>
          <t>$1,372</t>
        </is>
      </c>
      <c r="T8" s="34" t="inlineStr">
        <is>
          <t>$1,325</t>
        </is>
      </c>
      <c r="U8" s="31" t="inlineStr">
        <is>
          <t>113</t>
        </is>
      </c>
      <c r="V8" s="31" t="inlineStr">
        <is>
          <t>1995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81" t="inlineStr">
        <is>
          <t>MODERATE-HIGH</t>
        </is>
      </c>
      <c r="AD8" s="32" t="inlineStr">
        <is>
          <t>Affordable Comp #1: LIHTC property, 1995 vintage (0 yr diff), 113 units, 17.4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Savannah Sound</t>
        </is>
      </c>
      <c r="D9" s="36" t="inlineStr">
        <is>
          <t>1950 N Point Blvd</t>
        </is>
      </c>
      <c r="E9" s="36" t="inlineStr">
        <is>
          <t>Tallahassee</t>
        </is>
      </c>
      <c r="F9" s="36" t="inlineStr">
        <is>
          <t>FL</t>
        </is>
      </c>
      <c r="G9" s="36" t="inlineStr">
        <is>
          <t>32308</t>
        </is>
      </c>
      <c r="H9" s="36" t="inlineStr">
        <is>
          <t>21.5 mi</t>
        </is>
      </c>
      <c r="I9" s="36" t="inlineStr">
        <is>
          <t>$2,887</t>
        </is>
      </c>
      <c r="J9" s="36" t="inlineStr">
        <is>
          <t>$3,465</t>
        </is>
      </c>
      <c r="K9" s="33" t="inlineStr">
        <is>
          <t>$800</t>
        </is>
      </c>
      <c r="L9" s="34" t="inlineStr">
        <is>
          <t>Not Listed</t>
        </is>
      </c>
      <c r="M9" s="36" t="inlineStr">
        <is>
          <t>$3,462</t>
        </is>
      </c>
      <c r="N9" s="36" t="inlineStr">
        <is>
          <t>$4,155</t>
        </is>
      </c>
      <c r="O9" s="33" t="inlineStr">
        <is>
          <t>$1,095</t>
        </is>
      </c>
      <c r="P9" s="34" t="inlineStr">
        <is>
          <t>Not Listed</t>
        </is>
      </c>
      <c r="Q9" s="36" t="inlineStr">
        <is>
          <t>$3,845</t>
        </is>
      </c>
      <c r="R9" s="36" t="inlineStr">
        <is>
          <t>$4,615</t>
        </is>
      </c>
      <c r="S9" s="33" t="inlineStr">
        <is>
          <t>$1,372</t>
        </is>
      </c>
      <c r="T9" s="34" t="inlineStr">
        <is>
          <t>Not Listed</t>
        </is>
      </c>
      <c r="U9" s="36" t="inlineStr">
        <is>
          <t>160</t>
        </is>
      </c>
      <c r="V9" s="36" t="inlineStr">
        <is>
          <t>1995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96" t="inlineStr">
        <is>
          <t>MODERATE-HIGH</t>
        </is>
      </c>
      <c r="AD9" s="37" t="inlineStr">
        <is>
          <t>Affordable Comp #2: LIHTC property, 1995 vintage (0 yr diff), 160 units, 21.5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Biscayne Woods Apts</t>
        </is>
      </c>
      <c r="D10" s="39" t="n"/>
      <c r="E10" s="39" t="inlineStr">
        <is>
          <t>Homestead</t>
        </is>
      </c>
      <c r="F10" s="39" t="inlineStr">
        <is>
          <t>FL</t>
        </is>
      </c>
      <c r="G10" s="39" t="n"/>
      <c r="H10" s="39" t="inlineStr">
        <is>
          <t>N/A</t>
        </is>
      </c>
      <c r="I10" s="39" t="inlineStr">
        <is>
          <t>$2,887</t>
        </is>
      </c>
      <c r="J10" s="39" t="inlineStr">
        <is>
          <t>$3,465</t>
        </is>
      </c>
      <c r="K10" s="33" t="inlineStr">
        <is>
          <t>$800</t>
        </is>
      </c>
      <c r="L10" s="34" t="inlineStr">
        <is>
          <t>Not Listed</t>
        </is>
      </c>
      <c r="M10" s="39" t="inlineStr">
        <is>
          <t>$3,462</t>
        </is>
      </c>
      <c r="N10" s="39" t="inlineStr">
        <is>
          <t>$4,155</t>
        </is>
      </c>
      <c r="O10" s="33" t="inlineStr">
        <is>
          <t>$1,095</t>
        </is>
      </c>
      <c r="P10" s="34" t="inlineStr">
        <is>
          <t>Not Listed</t>
        </is>
      </c>
      <c r="Q10" s="39" t="inlineStr">
        <is>
          <t>$3,845</t>
        </is>
      </c>
      <c r="R10" s="39" t="inlineStr">
        <is>
          <t>$4,615</t>
        </is>
      </c>
      <c r="S10" s="33" t="inlineStr">
        <is>
          <t>$1,372</t>
        </is>
      </c>
      <c r="T10" s="34" t="inlineStr">
        <is>
          <t>Not Listed</t>
        </is>
      </c>
      <c r="U10" s="39" t="inlineStr">
        <is>
          <t>114</t>
        </is>
      </c>
      <c r="V10" s="39" t="inlineStr">
        <is>
          <t>1994</t>
        </is>
      </c>
      <c r="W10" s="39" t="inlineStr">
        <is>
          <t>1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LIHTC property, 1994 vintage (1 yr diff), 114 units, N/A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Oak Pointe</t>
        </is>
      </c>
      <c r="D11" s="31" t="inlineStr">
        <is>
          <t>1747 Capital Cir Ne</t>
        </is>
      </c>
      <c r="E11" s="31" t="inlineStr">
        <is>
          <t>Tallahassee</t>
        </is>
      </c>
      <c r="F11" s="31" t="inlineStr">
        <is>
          <t>FL</t>
        </is>
      </c>
      <c r="G11" s="31" t="inlineStr">
        <is>
          <t>32308</t>
        </is>
      </c>
      <c r="H11" s="31" t="inlineStr">
        <is>
          <t>22.8 mi</t>
        </is>
      </c>
      <c r="I11" s="31" t="inlineStr">
        <is>
          <t>$2,887</t>
        </is>
      </c>
      <c r="J11" s="31" t="inlineStr">
        <is>
          <t>$3,465</t>
        </is>
      </c>
      <c r="K11" s="33" t="inlineStr">
        <is>
          <t>$800</t>
        </is>
      </c>
      <c r="L11" s="34" t="inlineStr">
        <is>
          <t>Not Listed</t>
        </is>
      </c>
      <c r="M11" s="31" t="inlineStr">
        <is>
          <t>$3,462</t>
        </is>
      </c>
      <c r="N11" s="31" t="inlineStr">
        <is>
          <t>$4,155</t>
        </is>
      </c>
      <c r="O11" s="33" t="inlineStr">
        <is>
          <t>$1,095</t>
        </is>
      </c>
      <c r="P11" s="34" t="inlineStr">
        <is>
          <t>Not Listed</t>
        </is>
      </c>
      <c r="Q11" s="31" t="inlineStr">
        <is>
          <t>$3,845</t>
        </is>
      </c>
      <c r="R11" s="31" t="inlineStr">
        <is>
          <t>$4,615</t>
        </is>
      </c>
      <c r="S11" s="33" t="inlineStr">
        <is>
          <t>$1,372</t>
        </is>
      </c>
      <c r="T11" s="34" t="inlineStr">
        <is>
          <t>Not Listed</t>
        </is>
      </c>
      <c r="U11" s="31" t="inlineStr">
        <is>
          <t>184</t>
        </is>
      </c>
      <c r="V11" s="31" t="inlineStr">
        <is>
          <t>1993</t>
        </is>
      </c>
      <c r="W11" s="31" t="inlineStr">
        <is>
          <t>2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81" t="inlineStr">
        <is>
          <t>MODERATE-HIGH</t>
        </is>
      </c>
      <c r="AD11" s="32" t="inlineStr">
        <is>
          <t>Affordable Comp #4: LIHTC property, 1993 vintage (2 yr diff), 184 units, 22.8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Quincy Market Rate (FMR Benchmark)</t>
        </is>
      </c>
      <c r="D12" s="42" t="inlineStr">
        <is>
          <t>Quincy, FL area</t>
        </is>
      </c>
      <c r="E12" s="42" t="inlineStr">
        <is>
          <t>FL area</t>
        </is>
      </c>
      <c r="F12" s="42" t="inlineStr">
        <is>
          <t>FL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$800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$1,095</t>
        </is>
      </c>
      <c r="P12" s="34" t="inlineStr">
        <is>
          <t>$1,295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$1,372</t>
        </is>
      </c>
      <c r="T12" s="34" t="inlineStr">
        <is>
          <t>$1,625</t>
        </is>
      </c>
      <c r="U12" s="42" t="inlineStr">
        <is>
          <t>N/A</t>
        </is>
      </c>
      <c r="V12" s="42" t="inlineStr">
        <is>
          <t>1995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1995 vintage (0 yr diff), N/A units, N/A from subject. Shows market-rate rents vs. affordable housing discount.</t>
        </is>
      </c>
      <c r="AE12" s="42" t="inlineStr">
        <is>
          <t>HUD FY2026 FMR - Gadsden County, FL (limited market rate listings in Quincy)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Ochlockonee Pointe Apartments</t>
        </is>
      </c>
      <c r="D13" s="45" t="inlineStr">
        <is>
          <t>33870 Blue Star Hwy</t>
        </is>
      </c>
      <c r="E13" s="45" t="inlineStr">
        <is>
          <t>Midway</t>
        </is>
      </c>
      <c r="F13" s="45" t="inlineStr">
        <is>
          <t>FL</t>
        </is>
      </c>
      <c r="G13" s="45" t="inlineStr">
        <is>
          <t>32343</t>
        </is>
      </c>
      <c r="H13" s="45" t="inlineStr">
        <is>
          <t>8.5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$800</t>
        </is>
      </c>
      <c r="L13" s="34" t="inlineStr">
        <is>
          <t>$850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$1,095</t>
        </is>
      </c>
      <c r="P13" s="34" t="inlineStr">
        <is>
          <t>$970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$1,372</t>
        </is>
      </c>
      <c r="T13" s="34" t="inlineStr">
        <is>
          <t>$1,150</t>
        </is>
      </c>
      <c r="U13" s="45" t="inlineStr">
        <is>
          <t>N/A</t>
        </is>
      </c>
      <c r="V13" s="45" t="inlineStr">
        <is>
          <t>1998</t>
        </is>
      </c>
      <c r="W13" s="45" t="inlineStr">
        <is>
          <t>3</t>
        </is>
      </c>
      <c r="X13" s="45" t="inlineStr">
        <is>
          <t>No</t>
        </is>
      </c>
      <c r="Y13" s="45" t="inlineStr">
        <is>
          <t>Yes</t>
        </is>
      </c>
      <c r="Z13" s="45" t="inlineStr">
        <is>
          <t>Yes</t>
        </is>
      </c>
      <c r="AA13" s="45" t="inlineStr">
        <is>
          <t>Yes</t>
        </is>
      </c>
      <c r="AB13" s="45" t="inlineStr">
        <is>
          <t>Yes</t>
        </is>
      </c>
      <c r="AC13" s="85" t="inlineStr">
        <is>
          <t>HIGH</t>
        </is>
      </c>
      <c r="AD13" s="46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3" s="45" t="inlineStr">
        <is>
          <t>https://www.apartments.com/ochlockonee-pointe-apartments-midway-fl/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Omega Villas</t>
        </is>
      </c>
      <c r="D14" s="48" t="inlineStr">
        <is>
          <t>405 Strong Rd</t>
        </is>
      </c>
      <c r="E14" s="48" t="inlineStr">
        <is>
          <t>Quincy</t>
        </is>
      </c>
      <c r="F14" s="48" t="inlineStr">
        <is>
          <t>FL</t>
        </is>
      </c>
      <c r="G14" s="48" t="inlineStr">
        <is>
          <t>32351</t>
        </is>
      </c>
      <c r="H14" s="48" t="inlineStr">
        <is>
          <t>0.5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$800</t>
        </is>
      </c>
      <c r="L14" s="34" t="inlineStr">
        <is>
          <t>$559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$1,095</t>
        </is>
      </c>
      <c r="P14" s="34" t="inlineStr">
        <is>
          <t>$750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$1,372</t>
        </is>
      </c>
      <c r="T14" s="34" t="inlineStr">
        <is>
          <t>Not Listed</t>
        </is>
      </c>
      <c r="U14" s="48" t="inlineStr">
        <is>
          <t>48</t>
        </is>
      </c>
      <c r="V14" s="48" t="inlineStr">
        <is>
          <t>1997</t>
        </is>
      </c>
      <c r="W14" s="48" t="inlineStr">
        <is>
          <t>2</t>
        </is>
      </c>
      <c r="X14" s="48" t="inlineStr">
        <is>
          <t>No</t>
        </is>
      </c>
      <c r="Y14" s="48" t="inlineStr">
        <is>
          <t>Yes</t>
        </is>
      </c>
      <c r="Z14" s="48" t="inlineStr">
        <is>
          <t>Yes</t>
        </is>
      </c>
      <c r="AA14" s="48" t="inlineStr">
        <is>
          <t>No</t>
        </is>
      </c>
      <c r="AB14" s="48" t="inlineStr">
        <is>
          <t>Yes</t>
        </is>
      </c>
      <c r="AC14" s="86" t="inlineStr">
        <is>
          <t>HIGH</t>
        </is>
      </c>
      <c r="AD14" s="49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4" s="48" t="inlineStr">
        <is>
          <t>https://www.apartments.com/omega-villas-quincy-fl/d7w38lk/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Triple Oaks Apartments</t>
        </is>
      </c>
      <c r="D15" s="42" t="inlineStr">
        <is>
          <t>635 Strong Rd</t>
        </is>
      </c>
      <c r="E15" s="42" t="inlineStr">
        <is>
          <t>Quincy</t>
        </is>
      </c>
      <c r="F15" s="42" t="inlineStr">
        <is>
          <t>FL</t>
        </is>
      </c>
      <c r="G15" s="42" t="inlineStr">
        <is>
          <t>32351</t>
        </is>
      </c>
      <c r="H15" s="42" t="inlineStr">
        <is>
          <t>0.7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$800</t>
        </is>
      </c>
      <c r="L15" s="34" t="inlineStr">
        <is>
          <t>$475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$1,095</t>
        </is>
      </c>
      <c r="P15" s="34" t="inlineStr">
        <is>
          <t>$650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$1,372</t>
        </is>
      </c>
      <c r="T15" s="34" t="inlineStr">
        <is>
          <t>Not Listed</t>
        </is>
      </c>
      <c r="U15" s="42" t="inlineStr">
        <is>
          <t>81</t>
        </is>
      </c>
      <c r="V15" s="42" t="inlineStr">
        <is>
          <t>1993</t>
        </is>
      </c>
      <c r="W15" s="42" t="inlineStr">
        <is>
          <t>2</t>
        </is>
      </c>
      <c r="X15" s="42" t="inlineStr">
        <is>
          <t>No</t>
        </is>
      </c>
      <c r="Y15" s="42" t="inlineStr">
        <is>
          <t>Yes</t>
        </is>
      </c>
      <c r="Z15" s="42" t="inlineStr">
        <is>
          <t>Yes</t>
        </is>
      </c>
      <c r="AA15" s="42" t="inlineStr">
        <is>
          <t>No</t>
        </is>
      </c>
      <c r="AB15" s="42" t="inlineStr">
        <is>
          <t>Yes</t>
        </is>
      </c>
      <c r="AC15" s="84" t="inlineStr">
        <is>
          <t>HIGH</t>
        </is>
      </c>
      <c r="AD15" s="43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5" s="42" t="inlineStr">
        <is>
          <t>https://www.apartments.com/triple-oaks-apartments-quincy-fl/3ey417e/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Gadsden County, FL</t>
        </is>
      </c>
      <c r="D16" s="51" t="inlineStr">
        <is>
          <t>N/A</t>
        </is>
      </c>
      <c r="E16" s="51" t="inlineStr">
        <is>
          <t>Quincy</t>
        </is>
      </c>
      <c r="F16" s="51" t="inlineStr">
        <is>
          <t>FL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$800</t>
        </is>
      </c>
      <c r="J16" s="51" t="inlineStr">
        <is>
          <t>$800</t>
        </is>
      </c>
      <c r="K16" s="33" t="inlineStr">
        <is>
          <t>$800</t>
        </is>
      </c>
      <c r="L16" s="34" t="inlineStr">
        <is>
          <t>N/A</t>
        </is>
      </c>
      <c r="M16" s="51" t="inlineStr">
        <is>
          <t>$1,095</t>
        </is>
      </c>
      <c r="N16" s="51" t="inlineStr">
        <is>
          <t>$1,095</t>
        </is>
      </c>
      <c r="O16" s="33" t="inlineStr">
        <is>
          <t>$1,095</t>
        </is>
      </c>
      <c r="P16" s="34" t="inlineStr">
        <is>
          <t>N/A</t>
        </is>
      </c>
      <c r="Q16" s="51" t="inlineStr">
        <is>
          <t>$1,372</t>
        </is>
      </c>
      <c r="R16" s="51" t="inlineStr">
        <is>
          <t>$1,372</t>
        </is>
      </c>
      <c r="S16" s="33" t="inlineStr">
        <is>
          <t>$1,372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Quincy</t>
        </is>
      </c>
      <c r="D17" s="51" t="inlineStr">
        <is>
          <t>N/A</t>
        </is>
      </c>
      <c r="E17" s="51" t="inlineStr">
        <is>
          <t>Quincy</t>
        </is>
      </c>
      <c r="F17" s="51" t="inlineStr">
        <is>
          <t>FL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$880</t>
        </is>
      </c>
      <c r="J17" s="51" t="inlineStr">
        <is>
          <t>$880</t>
        </is>
      </c>
      <c r="K17" s="33" t="inlineStr">
        <is>
          <t>$880</t>
        </is>
      </c>
      <c r="L17" s="34" t="inlineStr">
        <is>
          <t>N/A</t>
        </is>
      </c>
      <c r="M17" s="51" t="inlineStr">
        <is>
          <t>$1,204</t>
        </is>
      </c>
      <c r="N17" s="51" t="inlineStr">
        <is>
          <t>$1,204</t>
        </is>
      </c>
      <c r="O17" s="33" t="inlineStr">
        <is>
          <t>$1,204</t>
        </is>
      </c>
      <c r="P17" s="34" t="inlineStr">
        <is>
          <t>N/A</t>
        </is>
      </c>
      <c r="Q17" s="51" t="inlineStr">
        <is>
          <t>$1,509</t>
        </is>
      </c>
      <c r="R17" s="51" t="inlineStr">
        <is>
          <t>$1,509</t>
        </is>
      </c>
      <c r="S17" s="33" t="inlineStr">
        <is>
          <t>$1,509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920</v>
      </c>
      <c r="D24" s="74" t="n">
        <v>1070</v>
      </c>
      <c r="E24" s="75" t="n">
        <v>73</v>
      </c>
      <c r="F24" s="76" t="n">
        <v>997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1098</v>
      </c>
      <c r="D25" s="78" t="n">
        <v>1210</v>
      </c>
      <c r="E25" s="75" t="n">
        <v>93</v>
      </c>
      <c r="F25" s="76" t="n">
        <v>1117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1260</v>
      </c>
      <c r="D26" s="74" t="n">
        <v>1540</v>
      </c>
      <c r="E26" s="75" t="n">
        <v>112</v>
      </c>
      <c r="F26" s="76" t="n">
        <v>1428</v>
      </c>
    </row>
    <row r="29" ht="15" customFormat="1" customHeight="1" s="3">
      <c r="A29" s="64" t="inlineStr">
        <is>
          <t>LIHTC, UAP, NET</t>
        </is>
      </c>
      <c r="B29" s="104" t="n"/>
      <c r="C29" s="104" t="n"/>
      <c r="D29" s="104" t="n"/>
      <c r="E29" s="105" t="n"/>
    </row>
    <row r="30" ht="15" customFormat="1" customHeight="1" s="3">
      <c r="A30" s="67" t="n"/>
      <c r="B30" s="68" t="inlineStr">
        <is>
          <t>LIHTC/MKT</t>
        </is>
      </c>
      <c r="C30" s="70" t="inlineStr">
        <is>
          <t>30%</t>
        </is>
      </c>
      <c r="D30" s="71" t="inlineStr">
        <is>
          <t>UAP</t>
        </is>
      </c>
      <c r="E30" s="72" t="inlineStr">
        <is>
          <t>NET</t>
        </is>
      </c>
    </row>
    <row r="31" ht="15" customFormat="1" customHeight="1" s="3">
      <c r="A31" s="73" t="inlineStr">
        <is>
          <t>1BD</t>
        </is>
      </c>
      <c r="B31" s="74" t="n">
        <v>519</v>
      </c>
      <c r="C31" s="74" t="n">
        <v>415</v>
      </c>
      <c r="D31" s="75" t="n">
        <v>73</v>
      </c>
      <c r="E31" s="76" t="n">
        <v>342</v>
      </c>
    </row>
    <row r="32" ht="15" customFormat="1" customHeight="1" s="3">
      <c r="A32" s="77" t="inlineStr">
        <is>
          <t>2BD</t>
        </is>
      </c>
      <c r="B32" s="78" t="n">
        <v>623</v>
      </c>
      <c r="C32" s="78" t="n">
        <v>492</v>
      </c>
      <c r="D32" s="75" t="n">
        <v>93</v>
      </c>
      <c r="E32" s="76" t="n">
        <v>399</v>
      </c>
    </row>
    <row r="33" ht="15" customFormat="1" customHeight="1" s="3">
      <c r="A33" s="73" t="inlineStr">
        <is>
          <t>3BD</t>
        </is>
      </c>
      <c r="B33" s="74" t="n">
        <v>720</v>
      </c>
      <c r="C33" s="74" t="n">
        <v>560</v>
      </c>
      <c r="D33" s="75" t="n">
        <v>112</v>
      </c>
      <c r="E33" s="76" t="n">
        <v>448</v>
      </c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1BD</t>
        </is>
      </c>
      <c r="B35" s="74" t="n">
        <v>1039</v>
      </c>
      <c r="C35" s="74" t="n">
        <v>920</v>
      </c>
      <c r="D35" s="75" t="n">
        <v>73</v>
      </c>
      <c r="E35" s="76" t="n">
        <v>847</v>
      </c>
    </row>
    <row r="36" ht="15" customFormat="1" customHeight="1" s="3">
      <c r="A36" s="77" t="inlineStr">
        <is>
          <t>2BD</t>
        </is>
      </c>
      <c r="B36" s="78" t="n">
        <v>1246</v>
      </c>
      <c r="C36" s="78" t="n">
        <v>1098</v>
      </c>
      <c r="D36" s="75" t="n">
        <v>93</v>
      </c>
      <c r="E36" s="76" t="n">
        <v>1005</v>
      </c>
    </row>
    <row r="37" ht="15" customFormat="1" customHeight="1" s="3">
      <c r="A37" s="73" t="inlineStr">
        <is>
          <t>3BD</t>
        </is>
      </c>
      <c r="B37" s="74" t="n">
        <v>1440</v>
      </c>
      <c r="C37" s="74" t="n">
        <v>1260</v>
      </c>
      <c r="D37" s="75" t="n">
        <v>112</v>
      </c>
      <c r="E37" s="76" t="n">
        <v>1148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1BD</t>
        </is>
      </c>
      <c r="B42" s="106" t="n">
        <v>0</v>
      </c>
      <c r="C42" s="107" t="n">
        <v>1385</v>
      </c>
    </row>
    <row r="43" ht="15" customFormat="1" customHeight="1" s="3">
      <c r="A43" s="77" t="inlineStr">
        <is>
          <t>2BD</t>
        </is>
      </c>
      <c r="B43" s="106" t="n">
        <v>0</v>
      </c>
      <c r="C43" s="107" t="n">
        <v>1459</v>
      </c>
    </row>
    <row r="44" ht="15" customFormat="1" customHeight="1" s="3">
      <c r="A44" s="73" t="inlineStr">
        <is>
          <t>3BD</t>
        </is>
      </c>
      <c r="B44" s="106" t="n">
        <v>0</v>
      </c>
      <c r="C44" s="107" t="n">
        <v>1569</v>
      </c>
    </row>
  </sheetData>
  <mergeCells count="7">
    <mergeCell ref="A4:AE4"/>
    <mergeCell ref="A29:E29"/>
    <mergeCell ref="A19:AE19"/>
    <mergeCell ref="A5:AE5"/>
    <mergeCell ref="A40:C40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40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WINDSOR/YORKSHIRE | GREEN = Affordable Comps | BLUE = Market Rate Comps</t>
        </is>
      </c>
    </row>
    <row r="4" ht="20.25" customFormat="1" customHeight="1" s="6">
      <c r="A4" s="2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Windsor/Yorkshire (SUBJECT)</t>
        </is>
      </c>
      <c r="D7" s="26" t="inlineStr">
        <is>
          <t>2020 N. Hearne Avenue</t>
        </is>
      </c>
      <c r="E7" s="26" t="inlineStr">
        <is>
          <t>Shreveport</t>
        </is>
      </c>
      <c r="F7" s="26" t="inlineStr">
        <is>
          <t>LA</t>
        </is>
      </c>
      <c r="G7" s="26" t="inlineStr">
        <is>
          <t>71107</t>
        </is>
      </c>
      <c r="H7" s="26" t="inlineStr">
        <is>
          <t>0.0 mi</t>
        </is>
      </c>
      <c r="I7" s="26" t="inlineStr">
        <is>
          <t>$2,554</t>
        </is>
      </c>
      <c r="J7" s="26" t="inlineStr">
        <is>
          <t>$3,065</t>
        </is>
      </c>
      <c r="K7" s="28" t="inlineStr">
        <is>
          <t>$736</t>
        </is>
      </c>
      <c r="L7" s="29" t="inlineStr">
        <is>
          <t>N/A</t>
        </is>
      </c>
      <c r="M7" s="26" t="inlineStr">
        <is>
          <t>$3,066</t>
        </is>
      </c>
      <c r="N7" s="26" t="inlineStr">
        <is>
          <t>$3,680</t>
        </is>
      </c>
      <c r="O7" s="28" t="inlineStr">
        <is>
          <t>$1,008</t>
        </is>
      </c>
      <c r="P7" s="29" t="inlineStr">
        <is>
          <t>N/A</t>
        </is>
      </c>
      <c r="Q7" s="26" t="inlineStr">
        <is>
          <t>$3,679</t>
        </is>
      </c>
      <c r="R7" s="26" t="inlineStr">
        <is>
          <t>$4,415</t>
        </is>
      </c>
      <c r="S7" s="28" t="inlineStr">
        <is>
          <t>$1,457</t>
        </is>
      </c>
      <c r="T7" s="29" t="inlineStr">
        <is>
          <t>N/A</t>
        </is>
      </c>
      <c r="U7" s="26" t="inlineStr">
        <is>
          <t>134</t>
        </is>
      </c>
      <c r="V7" s="26" t="inlineStr">
        <is>
          <t>1998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Yes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134 units | LIHTC property. Year built: 1998.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Southwood Gardens</t>
        </is>
      </c>
      <c r="D8" s="31" t="inlineStr">
        <is>
          <t>3550 Cedar Creek, Budg. 1</t>
        </is>
      </c>
      <c r="E8" s="31" t="inlineStr">
        <is>
          <t>Shreveport</t>
        </is>
      </c>
      <c r="F8" s="31" t="inlineStr">
        <is>
          <t>LA</t>
        </is>
      </c>
      <c r="G8" s="31" t="inlineStr">
        <is>
          <t>71118-0000</t>
        </is>
      </c>
      <c r="H8" s="31" t="inlineStr">
        <is>
          <t>9.4 mi</t>
        </is>
      </c>
      <c r="I8" s="31" t="inlineStr">
        <is>
          <t>$2,554</t>
        </is>
      </c>
      <c r="J8" s="31" t="inlineStr">
        <is>
          <t>$3,065</t>
        </is>
      </c>
      <c r="K8" s="33" t="inlineStr">
        <is>
          <t>$736</t>
        </is>
      </c>
      <c r="L8" s="34" t="inlineStr">
        <is>
          <t>Not Listed</t>
        </is>
      </c>
      <c r="M8" s="31" t="inlineStr">
        <is>
          <t>$3,066</t>
        </is>
      </c>
      <c r="N8" s="31" t="inlineStr">
        <is>
          <t>$3,680</t>
        </is>
      </c>
      <c r="O8" s="33" t="inlineStr">
        <is>
          <t>$1,008</t>
        </is>
      </c>
      <c r="P8" s="34" t="inlineStr">
        <is>
          <t>Not Listed</t>
        </is>
      </c>
      <c r="Q8" s="31" t="inlineStr">
        <is>
          <t>$3,679</t>
        </is>
      </c>
      <c r="R8" s="31" t="inlineStr">
        <is>
          <t>$4,415</t>
        </is>
      </c>
      <c r="S8" s="33" t="inlineStr">
        <is>
          <t>$1,457</t>
        </is>
      </c>
      <c r="T8" s="34" t="inlineStr">
        <is>
          <t>Not Listed</t>
        </is>
      </c>
      <c r="U8" s="31" t="inlineStr">
        <is>
          <t>96</t>
        </is>
      </c>
      <c r="V8" s="31" t="inlineStr">
        <is>
          <t>1998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1998 vintage (0 yr diff), 96 units, 9.4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Bentley Apts</t>
        </is>
      </c>
      <c r="D9" s="36" t="inlineStr">
        <is>
          <t>6760 Rasberry Ln</t>
        </is>
      </c>
      <c r="E9" s="36" t="inlineStr">
        <is>
          <t>Shreveport</t>
        </is>
      </c>
      <c r="F9" s="36" t="inlineStr">
        <is>
          <t>LA</t>
        </is>
      </c>
      <c r="G9" s="36" t="inlineStr">
        <is>
          <t>71129</t>
        </is>
      </c>
      <c r="H9" s="36" t="inlineStr">
        <is>
          <t>8.2 mi</t>
        </is>
      </c>
      <c r="I9" s="36" t="inlineStr">
        <is>
          <t>$2,554</t>
        </is>
      </c>
      <c r="J9" s="36" t="inlineStr">
        <is>
          <t>$3,065</t>
        </is>
      </c>
      <c r="K9" s="33" t="inlineStr">
        <is>
          <t>$736</t>
        </is>
      </c>
      <c r="L9" s="34" t="inlineStr">
        <is>
          <t>Not Listed</t>
        </is>
      </c>
      <c r="M9" s="36" t="inlineStr">
        <is>
          <t>$3,066</t>
        </is>
      </c>
      <c r="N9" s="36" t="inlineStr">
        <is>
          <t>$3,680</t>
        </is>
      </c>
      <c r="O9" s="33" t="inlineStr">
        <is>
          <t>$1,008</t>
        </is>
      </c>
      <c r="P9" s="34" t="inlineStr">
        <is>
          <t>$620</t>
        </is>
      </c>
      <c r="Q9" s="36" t="inlineStr">
        <is>
          <t>$3,679</t>
        </is>
      </c>
      <c r="R9" s="36" t="inlineStr">
        <is>
          <t>$4,415</t>
        </is>
      </c>
      <c r="S9" s="33" t="inlineStr">
        <is>
          <t>$1,457</t>
        </is>
      </c>
      <c r="T9" s="34" t="inlineStr">
        <is>
          <t>Not Listed</t>
        </is>
      </c>
      <c r="U9" s="36" t="inlineStr">
        <is>
          <t>84</t>
        </is>
      </c>
      <c r="V9" s="36" t="inlineStr">
        <is>
          <t>1998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1998 vintage (0 yr diff), 84 units, 8.2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New Zion Apartments</t>
        </is>
      </c>
      <c r="D10" s="39" t="inlineStr">
        <is>
          <t>4345 Illinois Ave</t>
        </is>
      </c>
      <c r="E10" s="39" t="inlineStr">
        <is>
          <t>Shreveport</t>
        </is>
      </c>
      <c r="F10" s="39" t="inlineStr">
        <is>
          <t>LA</t>
        </is>
      </c>
      <c r="G10" s="39" t="inlineStr">
        <is>
          <t>71109-0000</t>
        </is>
      </c>
      <c r="H10" s="39" t="inlineStr">
        <is>
          <t>5.8 mi</t>
        </is>
      </c>
      <c r="I10" s="39" t="inlineStr">
        <is>
          <t>$2,554</t>
        </is>
      </c>
      <c r="J10" s="39" t="inlineStr">
        <is>
          <t>$3,065</t>
        </is>
      </c>
      <c r="K10" s="33" t="inlineStr">
        <is>
          <t>$736</t>
        </is>
      </c>
      <c r="L10" s="34" t="inlineStr">
        <is>
          <t>Not Listed</t>
        </is>
      </c>
      <c r="M10" s="39" t="inlineStr">
        <is>
          <t>$3,066</t>
        </is>
      </c>
      <c r="N10" s="39" t="inlineStr">
        <is>
          <t>$3,680</t>
        </is>
      </c>
      <c r="O10" s="33" t="inlineStr">
        <is>
          <t>$1,008</t>
        </is>
      </c>
      <c r="P10" s="34" t="inlineStr">
        <is>
          <t>Not Listed</t>
        </is>
      </c>
      <c r="Q10" s="39" t="inlineStr">
        <is>
          <t>$3,679</t>
        </is>
      </c>
      <c r="R10" s="39" t="inlineStr">
        <is>
          <t>$4,415</t>
        </is>
      </c>
      <c r="S10" s="33" t="inlineStr">
        <is>
          <t>$1,457</t>
        </is>
      </c>
      <c r="T10" s="34" t="inlineStr">
        <is>
          <t>Not Listed</t>
        </is>
      </c>
      <c r="U10" s="39" t="inlineStr">
        <is>
          <t>100</t>
        </is>
      </c>
      <c r="V10" s="39" t="inlineStr">
        <is>
          <t>1997</t>
        </is>
      </c>
      <c r="W10" s="39" t="inlineStr">
        <is>
          <t>1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1997 vintage (1 yr diff), 100 units, 5.8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Macadoo Sro</t>
        </is>
      </c>
      <c r="D11" s="31" t="inlineStr">
        <is>
          <t>1002 Texas Ave</t>
        </is>
      </c>
      <c r="E11" s="31" t="inlineStr">
        <is>
          <t>Shreveport</t>
        </is>
      </c>
      <c r="F11" s="31" t="inlineStr">
        <is>
          <t>LA</t>
        </is>
      </c>
      <c r="G11" s="31" t="inlineStr">
        <is>
          <t>71101-0000</t>
        </is>
      </c>
      <c r="H11" s="31" t="inlineStr">
        <is>
          <t>1.4 mi</t>
        </is>
      </c>
      <c r="I11" s="31" t="inlineStr">
        <is>
          <t>$2,554</t>
        </is>
      </c>
      <c r="J11" s="31" t="inlineStr">
        <is>
          <t>$3,065</t>
        </is>
      </c>
      <c r="K11" s="33" t="inlineStr">
        <is>
          <t>$736</t>
        </is>
      </c>
      <c r="L11" s="34" t="inlineStr">
        <is>
          <t>Not Listed</t>
        </is>
      </c>
      <c r="M11" s="31" t="inlineStr">
        <is>
          <t>$3,066</t>
        </is>
      </c>
      <c r="N11" s="31" t="inlineStr">
        <is>
          <t>$3,680</t>
        </is>
      </c>
      <c r="O11" s="33" t="inlineStr">
        <is>
          <t>$1,008</t>
        </is>
      </c>
      <c r="P11" s="34" t="inlineStr">
        <is>
          <t>Not Listed</t>
        </is>
      </c>
      <c r="Q11" s="31" t="inlineStr">
        <is>
          <t>$3,679</t>
        </is>
      </c>
      <c r="R11" s="31" t="inlineStr">
        <is>
          <t>$4,415</t>
        </is>
      </c>
      <c r="S11" s="33" t="inlineStr">
        <is>
          <t>$1,457</t>
        </is>
      </c>
      <c r="T11" s="34" t="inlineStr">
        <is>
          <t>Not Listed</t>
        </is>
      </c>
      <c r="U11" s="31" t="inlineStr">
        <is>
          <t>45</t>
        </is>
      </c>
      <c r="V11" s="31" t="inlineStr">
        <is>
          <t>1998</t>
        </is>
      </c>
      <c r="W11" s="31" t="inlineStr">
        <is>
          <t>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1998 vintage (0 yr diff), 45 units, 1.4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The Arbors At Shreveport</t>
        </is>
      </c>
      <c r="D12" s="42" t="inlineStr">
        <is>
          <t>7300 Pines Rd, Shreveport, LA 71129</t>
        </is>
      </c>
      <c r="E12" s="42" t="inlineStr">
        <is>
          <t>Shreveport</t>
        </is>
      </c>
      <c r="F12" s="42" t="inlineStr">
        <is>
          <t>LA</t>
        </is>
      </c>
      <c r="G12" s="42" t="n"/>
      <c r="H12" s="42" t="inlineStr">
        <is>
          <t>4.5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$736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$1,008</t>
        </is>
      </c>
      <c r="P12" s="34" t="inlineStr">
        <is>
          <t>$1,050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$1,457</t>
        </is>
      </c>
      <c r="T12" s="34" t="inlineStr">
        <is>
          <t>Not Listed</t>
        </is>
      </c>
      <c r="U12" s="42" t="inlineStr">
        <is>
          <t>200</t>
        </is>
      </c>
      <c r="V12" s="42" t="inlineStr">
        <is>
          <t>1999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1999 vintage (1 yr diff), 200 units, 4.5 mi from subject. Shows market-rate rents vs. affordable housing discount.</t>
        </is>
      </c>
      <c r="AE12" s="42" t="inlineStr">
        <is>
          <t>https://www.rentcafe.com/apartments-for-rent/us/la/shreveport/the-arbors-at-shreveport/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Huntington Park Apartments</t>
        </is>
      </c>
      <c r="D13" s="45" t="inlineStr">
        <is>
          <t>9200 Mansfield Rd, Shreveport, LA 71118</t>
        </is>
      </c>
      <c r="E13" s="45" t="inlineStr">
        <is>
          <t>Shreveport</t>
        </is>
      </c>
      <c r="F13" s="45" t="inlineStr">
        <is>
          <t>LA</t>
        </is>
      </c>
      <c r="G13" s="45" t="n"/>
      <c r="H13" s="45" t="inlineStr">
        <is>
          <t>6.2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$736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$1,008</t>
        </is>
      </c>
      <c r="P13" s="34" t="inlineStr">
        <is>
          <t>$1,075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$1,457</t>
        </is>
      </c>
      <c r="T13" s="34" t="inlineStr">
        <is>
          <t>Not Listed</t>
        </is>
      </c>
      <c r="U13" s="45" t="inlineStr">
        <is>
          <t>160</t>
        </is>
      </c>
      <c r="V13" s="45" t="inlineStr">
        <is>
          <t>2000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2000 vintage (2 yr diff), 160 units, 6.2 mi from subject. Shows market-rate rents vs. affordable housing discount.</t>
        </is>
      </c>
      <c r="AE13" s="45" t="inlineStr">
        <is>
          <t>https://www.rentcafe.com/apartments-for-rent/us/la/shreveport/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Bossier City Apartments</t>
        </is>
      </c>
      <c r="D14" s="48" t="inlineStr">
        <is>
          <t>2500 Airline Dr, Bossier City, LA 71111</t>
        </is>
      </c>
      <c r="E14" s="48" t="inlineStr">
        <is>
          <t>Bossier City</t>
        </is>
      </c>
      <c r="F14" s="48" t="inlineStr">
        <is>
          <t>LA</t>
        </is>
      </c>
      <c r="G14" s="48" t="n"/>
      <c r="H14" s="48" t="inlineStr">
        <is>
          <t>8.0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$736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$1,008</t>
        </is>
      </c>
      <c r="P14" s="34" t="inlineStr">
        <is>
          <t>$1,025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$1,457</t>
        </is>
      </c>
      <c r="T14" s="34" t="inlineStr">
        <is>
          <t>Not Listed</t>
        </is>
      </c>
      <c r="U14" s="48" t="inlineStr">
        <is>
          <t>120</t>
        </is>
      </c>
      <c r="V14" s="48" t="inlineStr">
        <is>
          <t>1997</t>
        </is>
      </c>
      <c r="W14" s="48" t="inlineStr">
        <is>
          <t>1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1997 vintage (1 yr diff), 120 units, 8.0 mi from subject. Shows market-rate rents vs. affordable housing discount.</t>
        </is>
      </c>
      <c r="AE14" s="48" t="inlineStr">
        <is>
          <t>https://www.rentcafe.com/apartments-for-rent/us/la/bossier-city/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Shreveport Pines Apartments</t>
        </is>
      </c>
      <c r="D15" s="42" t="inlineStr">
        <is>
          <t>6200 Pines Rd, Shreveport, LA 71129</t>
        </is>
      </c>
      <c r="E15" s="42" t="inlineStr">
        <is>
          <t>Shreveport</t>
        </is>
      </c>
      <c r="F15" s="42" t="inlineStr">
        <is>
          <t>LA</t>
        </is>
      </c>
      <c r="G15" s="42" t="n"/>
      <c r="H15" s="42" t="inlineStr">
        <is>
          <t>5.8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$736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$1,008</t>
        </is>
      </c>
      <c r="P15" s="34" t="inlineStr">
        <is>
          <t>$1,025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$1,457</t>
        </is>
      </c>
      <c r="T15" s="34" t="inlineStr">
        <is>
          <t>Not Listed</t>
        </is>
      </c>
      <c r="U15" s="42" t="inlineStr">
        <is>
          <t>96</t>
        </is>
      </c>
      <c r="V15" s="42" t="inlineStr">
        <is>
          <t>1997</t>
        </is>
      </c>
      <c r="W15" s="42" t="inlineStr">
        <is>
          <t>1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1997 vintage (1 yr diff), 96 units, 5.8 mi from subject. Shows market-rate rents vs. affordable housing discount.</t>
        </is>
      </c>
      <c r="AE15" s="42" t="inlineStr">
        <is>
          <t>https://www.rentcafe.com/apartments-for-rent/us/la/shreveport/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Shreveport-Bossier City MSA</t>
        </is>
      </c>
      <c r="D16" s="51" t="inlineStr">
        <is>
          <t>N/A</t>
        </is>
      </c>
      <c r="E16" s="51" t="inlineStr">
        <is>
          <t>Shreveport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$736</t>
        </is>
      </c>
      <c r="J16" s="51" t="inlineStr">
        <is>
          <t>$736</t>
        </is>
      </c>
      <c r="K16" s="33" t="inlineStr">
        <is>
          <t>$736</t>
        </is>
      </c>
      <c r="L16" s="34" t="inlineStr">
        <is>
          <t>N/A</t>
        </is>
      </c>
      <c r="M16" s="51" t="inlineStr">
        <is>
          <t>$1,008</t>
        </is>
      </c>
      <c r="N16" s="51" t="inlineStr">
        <is>
          <t>$1,008</t>
        </is>
      </c>
      <c r="O16" s="33" t="inlineStr">
        <is>
          <t>$1,008</t>
        </is>
      </c>
      <c r="P16" s="34" t="inlineStr">
        <is>
          <t>N/A</t>
        </is>
      </c>
      <c r="Q16" s="51" t="inlineStr">
        <is>
          <t>$1,457</t>
        </is>
      </c>
      <c r="R16" s="51" t="inlineStr">
        <is>
          <t>$1,457</t>
        </is>
      </c>
      <c r="S16" s="33" t="inlineStr">
        <is>
          <t>$1,457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Shreveport</t>
        </is>
      </c>
      <c r="D17" s="51" t="inlineStr">
        <is>
          <t>N/A</t>
        </is>
      </c>
      <c r="E17" s="51" t="inlineStr">
        <is>
          <t>Shreveport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$809</t>
        </is>
      </c>
      <c r="J17" s="51" t="inlineStr">
        <is>
          <t>$809</t>
        </is>
      </c>
      <c r="K17" s="33" t="inlineStr">
        <is>
          <t>$809</t>
        </is>
      </c>
      <c r="L17" s="34" t="inlineStr">
        <is>
          <t>N/A</t>
        </is>
      </c>
      <c r="M17" s="51" t="inlineStr">
        <is>
          <t>$1,108</t>
        </is>
      </c>
      <c r="N17" s="51" t="inlineStr">
        <is>
          <t>$1,108</t>
        </is>
      </c>
      <c r="O17" s="33" t="inlineStr">
        <is>
          <t>$1,108</t>
        </is>
      </c>
      <c r="P17" s="34" t="inlineStr">
        <is>
          <t>N/A</t>
        </is>
      </c>
      <c r="Q17" s="51" t="inlineStr">
        <is>
          <t>$1,602</t>
        </is>
      </c>
      <c r="R17" s="51" t="inlineStr">
        <is>
          <t>$1,602</t>
        </is>
      </c>
      <c r="S17" s="33" t="inlineStr">
        <is>
          <t>$1,602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875</v>
      </c>
      <c r="D24" s="74" t="n">
        <v>860</v>
      </c>
      <c r="E24" s="75" t="n">
        <v>76</v>
      </c>
      <c r="F24" s="76" t="n">
        <v>784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1075</v>
      </c>
      <c r="D25" s="78" t="n">
        <v>980</v>
      </c>
      <c r="E25" s="75" t="n">
        <v>102</v>
      </c>
      <c r="F25" s="76" t="n">
        <v>878</v>
      </c>
    </row>
    <row r="26" ht="15" customFormat="1" customHeight="1" s="3">
      <c r="A26" s="73" t="inlineStr">
        <is>
          <t>4BD</t>
        </is>
      </c>
      <c r="B26" s="74" t="n">
        <v>0</v>
      </c>
      <c r="C26" s="74" t="n">
        <v>1100</v>
      </c>
      <c r="D26" s="74" t="n">
        <v>1340</v>
      </c>
      <c r="E26" s="75" t="n">
        <v>152</v>
      </c>
      <c r="F26" s="76" t="n">
        <v>1188</v>
      </c>
    </row>
    <row r="29" ht="15" customFormat="1" customHeight="1" s="3">
      <c r="A29" s="64" t="inlineStr">
        <is>
          <t>LIHTC, UAP, NET</t>
        </is>
      </c>
      <c r="B29" s="104" t="n"/>
      <c r="C29" s="104" t="n"/>
      <c r="D29" s="104" t="n"/>
      <c r="E29" s="105" t="n"/>
    </row>
    <row r="30" ht="15" customFormat="1" customHeight="1" s="3">
      <c r="A30" s="67" t="n"/>
      <c r="B30" s="68" t="inlineStr">
        <is>
          <t>LIHTC/MKT</t>
        </is>
      </c>
      <c r="C30" s="70" t="inlineStr">
        <is>
          <t>60%</t>
        </is>
      </c>
      <c r="D30" s="71" t="inlineStr">
        <is>
          <t>UAP</t>
        </is>
      </c>
      <c r="E30" s="72" t="inlineStr">
        <is>
          <t>NET</t>
        </is>
      </c>
    </row>
    <row r="31" ht="15" customFormat="1" customHeight="1" s="3">
      <c r="A31" s="73" t="inlineStr">
        <is>
          <t>1BD</t>
        </is>
      </c>
      <c r="B31" s="74" t="n">
        <v>919</v>
      </c>
      <c r="C31" s="74" t="n">
        <v>702</v>
      </c>
      <c r="D31" s="75" t="n">
        <v>76</v>
      </c>
      <c r="E31" s="76" t="n">
        <v>626</v>
      </c>
    </row>
    <row r="32" ht="15" customFormat="1" customHeight="1" s="3">
      <c r="A32" s="77" t="inlineStr">
        <is>
          <t>2BD</t>
        </is>
      </c>
      <c r="B32" s="78" t="n">
        <v>1104</v>
      </c>
      <c r="C32" s="78" t="n">
        <v>834</v>
      </c>
      <c r="D32" s="75" t="n">
        <v>102</v>
      </c>
      <c r="E32" s="76" t="n">
        <v>732</v>
      </c>
    </row>
    <row r="33" ht="15" customFormat="1" customHeight="1" s="3">
      <c r="A33" s="73" t="inlineStr">
        <is>
          <t>4BD</t>
        </is>
      </c>
      <c r="B33" s="74" t="n">
        <v>1422</v>
      </c>
      <c r="C33" s="74" t="n">
        <v>1054</v>
      </c>
      <c r="D33" s="75" t="n">
        <v>152</v>
      </c>
      <c r="E33" s="76" t="n">
        <v>902</v>
      </c>
    </row>
    <row r="36" ht="15" customFormat="1" customHeight="1" s="3">
      <c r="A36" s="64" t="inlineStr">
        <is>
          <t>HAP, CoStar, NET</t>
        </is>
      </c>
      <c r="B36" s="104" t="n"/>
      <c r="C36" s="105" t="n"/>
    </row>
    <row r="37" ht="15" customFormat="1" customHeight="1" s="3">
      <c r="A37" s="67" t="n"/>
      <c r="B37" s="71" t="inlineStr">
        <is>
          <t>HAP</t>
        </is>
      </c>
      <c r="C37" s="68" t="inlineStr">
        <is>
          <t>CoStar</t>
        </is>
      </c>
    </row>
    <row r="38" ht="15" customFormat="1" customHeight="1" s="3">
      <c r="A38" s="73" t="inlineStr">
        <is>
          <t>1BD</t>
        </is>
      </c>
      <c r="B38" s="106" t="n">
        <v>0</v>
      </c>
      <c r="C38" s="107" t="n">
        <v>939</v>
      </c>
    </row>
    <row r="39" ht="15" customFormat="1" customHeight="1" s="3">
      <c r="A39" s="77" t="inlineStr">
        <is>
          <t>2BD</t>
        </is>
      </c>
      <c r="B39" s="106" t="n">
        <v>0</v>
      </c>
      <c r="C39" s="107" t="n">
        <v>1289</v>
      </c>
    </row>
    <row r="40" ht="15" customFormat="1" customHeight="1" s="3">
      <c r="A40" s="73" t="inlineStr">
        <is>
          <t>4BD</t>
        </is>
      </c>
      <c r="B40" s="106" t="n">
        <v>0</v>
      </c>
      <c r="C40" s="107" t="n">
        <v>850</v>
      </c>
    </row>
  </sheetData>
  <mergeCells count="7">
    <mergeCell ref="A4:AE4"/>
    <mergeCell ref="A29:E29"/>
    <mergeCell ref="A36:C36"/>
    <mergeCell ref="A19:AE19"/>
    <mergeCell ref="A5:AE5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40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NORTH POINTE | GREEN = Affordable Comps | BLUE = Market Rate Comps</t>
        </is>
      </c>
    </row>
    <row r="4" ht="20.25" customFormat="1" customHeight="1" s="6">
      <c r="A4" s="21" t="inlineStr">
        <is>
          <t>SUBJECT: North Pointe | Bossier City, Bossier City, LA 71111 | 27 units | Program: LIHTC | Bedroom Mix: 2BR / 3BR / 4BR | County AMI: $81,700 | FMR Area: Shreveport-Bossier City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North Pointe (SUBJECT)</t>
        </is>
      </c>
      <c r="D7" s="26" t="inlineStr">
        <is>
          <t>Bossier City</t>
        </is>
      </c>
      <c r="E7" s="26" t="inlineStr">
        <is>
          <t>Bossier City</t>
        </is>
      </c>
      <c r="F7" s="26" t="inlineStr">
        <is>
          <t>LA</t>
        </is>
      </c>
      <c r="G7" s="26" t="inlineStr">
        <is>
          <t>71111</t>
        </is>
      </c>
      <c r="H7" s="26" t="inlineStr">
        <is>
          <t>0.0 mi</t>
        </is>
      </c>
      <c r="I7" s="26" t="inlineStr">
        <is>
          <t>$3,066</t>
        </is>
      </c>
      <c r="J7" s="26" t="inlineStr">
        <is>
          <t>$3,680</t>
        </is>
      </c>
      <c r="K7" s="28" t="inlineStr">
        <is>
          <t>$1,008</t>
        </is>
      </c>
      <c r="L7" s="29" t="inlineStr">
        <is>
          <t>N/A</t>
        </is>
      </c>
      <c r="M7" s="26" t="inlineStr">
        <is>
          <t>$3,404</t>
        </is>
      </c>
      <c r="N7" s="26" t="inlineStr">
        <is>
          <t>$4,085</t>
        </is>
      </c>
      <c r="O7" s="28" t="inlineStr">
        <is>
          <t>$1,261</t>
        </is>
      </c>
      <c r="P7" s="29" t="inlineStr">
        <is>
          <t>N/A</t>
        </is>
      </c>
      <c r="Q7" s="26" t="inlineStr">
        <is>
          <t>$3,679</t>
        </is>
      </c>
      <c r="R7" s="26" t="inlineStr">
        <is>
          <t>$4,415</t>
        </is>
      </c>
      <c r="S7" s="28" t="inlineStr">
        <is>
          <t>$1,457</t>
        </is>
      </c>
      <c r="T7" s="29" t="inlineStr">
        <is>
          <t>N/A</t>
        </is>
      </c>
      <c r="U7" s="26" t="inlineStr">
        <is>
          <t>27</t>
        </is>
      </c>
      <c r="V7" s="26" t="inlineStr">
        <is>
          <t>2000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27 units | LIHTC property. Year built: 2000.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Windsor Village Apartments</t>
        </is>
      </c>
      <c r="D8" s="31" t="inlineStr">
        <is>
          <t>1920 North Hearne Avenue</t>
        </is>
      </c>
      <c r="E8" s="31" t="inlineStr">
        <is>
          <t>Shreveport</t>
        </is>
      </c>
      <c r="F8" s="31" t="inlineStr">
        <is>
          <t>LA</t>
        </is>
      </c>
      <c r="G8" s="31" t="inlineStr">
        <is>
          <t>71107-0000</t>
        </is>
      </c>
      <c r="H8" s="31" t="inlineStr">
        <is>
          <t>2.8 mi</t>
        </is>
      </c>
      <c r="I8" s="31" t="inlineStr">
        <is>
          <t>$3,066</t>
        </is>
      </c>
      <c r="J8" s="31" t="inlineStr">
        <is>
          <t>$3,680</t>
        </is>
      </c>
      <c r="K8" s="33" t="inlineStr">
        <is>
          <t>$1,008</t>
        </is>
      </c>
      <c r="L8" s="34" t="inlineStr">
        <is>
          <t>$825</t>
        </is>
      </c>
      <c r="M8" s="31" t="inlineStr">
        <is>
          <t>$3,404</t>
        </is>
      </c>
      <c r="N8" s="31" t="inlineStr">
        <is>
          <t>$4,085</t>
        </is>
      </c>
      <c r="O8" s="33" t="inlineStr">
        <is>
          <t>$1,261</t>
        </is>
      </c>
      <c r="P8" s="34" t="inlineStr">
        <is>
          <t>$975</t>
        </is>
      </c>
      <c r="Q8" s="31" t="inlineStr">
        <is>
          <t>$3,679</t>
        </is>
      </c>
      <c r="R8" s="31" t="inlineStr">
        <is>
          <t>$4,415</t>
        </is>
      </c>
      <c r="S8" s="33" t="inlineStr">
        <is>
          <t>$1,457</t>
        </is>
      </c>
      <c r="T8" s="34" t="inlineStr">
        <is>
          <t>Not Listed</t>
        </is>
      </c>
      <c r="U8" s="31" t="inlineStr">
        <is>
          <t>48</t>
        </is>
      </c>
      <c r="V8" s="31" t="inlineStr">
        <is>
          <t>2000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2000 vintage (0 yr diff), 48 units, 2.8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Chateau Apts.</t>
        </is>
      </c>
      <c r="D9" s="36" t="inlineStr">
        <is>
          <t>4806 Shed Road</t>
        </is>
      </c>
      <c r="E9" s="36" t="inlineStr">
        <is>
          <t>Bossier City</t>
        </is>
      </c>
      <c r="F9" s="36" t="inlineStr">
        <is>
          <t>LA</t>
        </is>
      </c>
      <c r="G9" s="36" t="inlineStr">
        <is>
          <t>71067-0000</t>
        </is>
      </c>
      <c r="H9" s="36" t="inlineStr">
        <is>
          <t>4.2 mi</t>
        </is>
      </c>
      <c r="I9" s="36" t="inlineStr">
        <is>
          <t>$3,066</t>
        </is>
      </c>
      <c r="J9" s="36" t="inlineStr">
        <is>
          <t>$3,680</t>
        </is>
      </c>
      <c r="K9" s="33" t="inlineStr">
        <is>
          <t>$1,008</t>
        </is>
      </c>
      <c r="L9" s="34" t="inlineStr">
        <is>
          <t>$775</t>
        </is>
      </c>
      <c r="M9" s="36" t="inlineStr">
        <is>
          <t>$3,404</t>
        </is>
      </c>
      <c r="N9" s="36" t="inlineStr">
        <is>
          <t>$4,085</t>
        </is>
      </c>
      <c r="O9" s="33" t="inlineStr">
        <is>
          <t>$1,261</t>
        </is>
      </c>
      <c r="P9" s="34" t="inlineStr">
        <is>
          <t>$870</t>
        </is>
      </c>
      <c r="Q9" s="36" t="inlineStr">
        <is>
          <t>$3,679</t>
        </is>
      </c>
      <c r="R9" s="36" t="inlineStr">
        <is>
          <t>$4,415</t>
        </is>
      </c>
      <c r="S9" s="33" t="inlineStr">
        <is>
          <t>$1,457</t>
        </is>
      </c>
      <c r="T9" s="34" t="inlineStr">
        <is>
          <t>$950</t>
        </is>
      </c>
      <c r="U9" s="36" t="inlineStr">
        <is>
          <t>56</t>
        </is>
      </c>
      <c r="V9" s="36" t="inlineStr">
        <is>
          <t>2000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2000 vintage (0 yr diff), 56 units, 4.2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Greenwood Village I</t>
        </is>
      </c>
      <c r="D10" s="39" t="inlineStr">
        <is>
          <t>4440 Danny R Wimberly Dr</t>
        </is>
      </c>
      <c r="E10" s="39" t="inlineStr">
        <is>
          <t>Shreveport</t>
        </is>
      </c>
      <c r="F10" s="39" t="inlineStr">
        <is>
          <t>LA</t>
        </is>
      </c>
      <c r="G10" s="39" t="inlineStr">
        <is>
          <t>71119</t>
        </is>
      </c>
      <c r="H10" s="39" t="inlineStr">
        <is>
          <t>8.6 mi</t>
        </is>
      </c>
      <c r="I10" s="39" t="inlineStr">
        <is>
          <t>$3,066</t>
        </is>
      </c>
      <c r="J10" s="39" t="inlineStr">
        <is>
          <t>$3,680</t>
        </is>
      </c>
      <c r="K10" s="33" t="inlineStr">
        <is>
          <t>$1,008</t>
        </is>
      </c>
      <c r="L10" s="34" t="inlineStr">
        <is>
          <t>Not Listed</t>
        </is>
      </c>
      <c r="M10" s="39" t="inlineStr">
        <is>
          <t>$3,404</t>
        </is>
      </c>
      <c r="N10" s="39" t="inlineStr">
        <is>
          <t>$4,085</t>
        </is>
      </c>
      <c r="O10" s="33" t="inlineStr">
        <is>
          <t>$1,261</t>
        </is>
      </c>
      <c r="P10" s="34" t="inlineStr">
        <is>
          <t>Not Listed</t>
        </is>
      </c>
      <c r="Q10" s="39" t="inlineStr">
        <is>
          <t>$3,679</t>
        </is>
      </c>
      <c r="R10" s="39" t="inlineStr">
        <is>
          <t>$4,415</t>
        </is>
      </c>
      <c r="S10" s="33" t="inlineStr">
        <is>
          <t>$1,457</t>
        </is>
      </c>
      <c r="T10" s="34" t="inlineStr">
        <is>
          <t>Not Listed</t>
        </is>
      </c>
      <c r="U10" s="39" t="inlineStr">
        <is>
          <t>40</t>
        </is>
      </c>
      <c r="V10" s="39" t="inlineStr">
        <is>
          <t>2000</t>
        </is>
      </c>
      <c r="W10" s="39" t="inlineStr">
        <is>
          <t>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2000 vintage (0 yr diff), 40 units, 8.6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Benton Place Apts Ii</t>
        </is>
      </c>
      <c r="D11" s="31" t="inlineStr">
        <is>
          <t>114 Sibley St</t>
        </is>
      </c>
      <c r="E11" s="31" t="inlineStr">
        <is>
          <t>Bossier City</t>
        </is>
      </c>
      <c r="F11" s="31" t="inlineStr">
        <is>
          <t>LA</t>
        </is>
      </c>
      <c r="G11" s="31" t="inlineStr">
        <is>
          <t>71006</t>
        </is>
      </c>
      <c r="H11" s="31" t="inlineStr">
        <is>
          <t>12.7 mi</t>
        </is>
      </c>
      <c r="I11" s="31" t="inlineStr">
        <is>
          <t>$3,066</t>
        </is>
      </c>
      <c r="J11" s="31" t="inlineStr">
        <is>
          <t>$3,680</t>
        </is>
      </c>
      <c r="K11" s="33" t="inlineStr">
        <is>
          <t>$1,008</t>
        </is>
      </c>
      <c r="L11" s="34" t="inlineStr">
        <is>
          <t>Not Listed</t>
        </is>
      </c>
      <c r="M11" s="31" t="inlineStr">
        <is>
          <t>$3,404</t>
        </is>
      </c>
      <c r="N11" s="31" t="inlineStr">
        <is>
          <t>$4,085</t>
        </is>
      </c>
      <c r="O11" s="33" t="inlineStr">
        <is>
          <t>$1,261</t>
        </is>
      </c>
      <c r="P11" s="34" t="inlineStr">
        <is>
          <t>Not Listed</t>
        </is>
      </c>
      <c r="Q11" s="31" t="inlineStr">
        <is>
          <t>$3,679</t>
        </is>
      </c>
      <c r="R11" s="31" t="inlineStr">
        <is>
          <t>$4,415</t>
        </is>
      </c>
      <c r="S11" s="33" t="inlineStr">
        <is>
          <t>$1,457</t>
        </is>
      </c>
      <c r="T11" s="34" t="inlineStr">
        <is>
          <t>Not Listed</t>
        </is>
      </c>
      <c r="U11" s="31" t="inlineStr">
        <is>
          <t>32</t>
        </is>
      </c>
      <c r="V11" s="31" t="inlineStr">
        <is>
          <t>2001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2001 vintage (1 yr diff), 32 units, 12.7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The Arbors At Shreveport</t>
        </is>
      </c>
      <c r="D12" s="42" t="inlineStr">
        <is>
          <t>7300 Pines Rd, Shreveport, LA 71129</t>
        </is>
      </c>
      <c r="E12" s="42" t="inlineStr">
        <is>
          <t>Shreveport</t>
        </is>
      </c>
      <c r="F12" s="42" t="inlineStr">
        <is>
          <t>LA</t>
        </is>
      </c>
      <c r="G12" s="42" t="n"/>
      <c r="H12" s="42" t="inlineStr">
        <is>
          <t>7.5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$1,008</t>
        </is>
      </c>
      <c r="L12" s="34" t="inlineStr">
        <is>
          <t>$1,050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$1,261</t>
        </is>
      </c>
      <c r="P12" s="34" t="inlineStr">
        <is>
          <t>$1,300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$1,457</t>
        </is>
      </c>
      <c r="T12" s="34" t="inlineStr">
        <is>
          <t>Not Listed</t>
        </is>
      </c>
      <c r="U12" s="42" t="inlineStr">
        <is>
          <t>200</t>
        </is>
      </c>
      <c r="V12" s="42" t="inlineStr">
        <is>
          <t>1999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1999 vintage (1 yr diff), 200 units, 7.5 mi from subject. Shows market-rate rents vs. affordable housing discount.</t>
        </is>
      </c>
      <c r="AE12" s="42" t="inlineStr">
        <is>
          <t>https://www.rentcafe.com/apartments-for-rent/us/la/shreveport/the-arbors-at-shreveport/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Huntington Park Apartments</t>
        </is>
      </c>
      <c r="D13" s="45" t="inlineStr">
        <is>
          <t>9200 Mansfield Rd, Shreveport, LA 71118</t>
        </is>
      </c>
      <c r="E13" s="45" t="inlineStr">
        <is>
          <t>Shreveport</t>
        </is>
      </c>
      <c r="F13" s="45" t="inlineStr">
        <is>
          <t>LA</t>
        </is>
      </c>
      <c r="G13" s="45" t="n"/>
      <c r="H13" s="45" t="inlineStr">
        <is>
          <t>9.0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$1,008</t>
        </is>
      </c>
      <c r="L13" s="34" t="inlineStr">
        <is>
          <t>$1,075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$1,261</t>
        </is>
      </c>
      <c r="P13" s="34" t="inlineStr">
        <is>
          <t>$1,325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$1,457</t>
        </is>
      </c>
      <c r="T13" s="34" t="inlineStr">
        <is>
          <t>Not Listed</t>
        </is>
      </c>
      <c r="U13" s="45" t="inlineStr">
        <is>
          <t>160</t>
        </is>
      </c>
      <c r="V13" s="45" t="inlineStr">
        <is>
          <t>2000</t>
        </is>
      </c>
      <c r="W13" s="45" t="inlineStr">
        <is>
          <t>0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2000 vintage (0 yr diff), 160 units, 9.0 mi from subject. Shows market-rate rents vs. affordable housing discount.</t>
        </is>
      </c>
      <c r="AE13" s="45" t="inlineStr">
        <is>
          <t>https://www.rentcafe.com/apartments-for-rent/us/la/shreveport/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Bossier City Market Apartments</t>
        </is>
      </c>
      <c r="D14" s="48" t="inlineStr">
        <is>
          <t>2500 Airline Dr, Bossier City, LA 71111</t>
        </is>
      </c>
      <c r="E14" s="48" t="inlineStr">
        <is>
          <t>Bossier City</t>
        </is>
      </c>
      <c r="F14" s="48" t="inlineStr">
        <is>
          <t>LA</t>
        </is>
      </c>
      <c r="G14" s="48" t="n"/>
      <c r="H14" s="48" t="inlineStr">
        <is>
          <t>3.2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$1,008</t>
        </is>
      </c>
      <c r="L14" s="34" t="inlineStr">
        <is>
          <t>$1,025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$1,261</t>
        </is>
      </c>
      <c r="P14" s="34" t="inlineStr">
        <is>
          <t>$1,275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$1,457</t>
        </is>
      </c>
      <c r="T14" s="34" t="inlineStr">
        <is>
          <t>Not Listed</t>
        </is>
      </c>
      <c r="U14" s="48" t="inlineStr">
        <is>
          <t>96</t>
        </is>
      </c>
      <c r="V14" s="48" t="inlineStr">
        <is>
          <t>2001</t>
        </is>
      </c>
      <c r="W14" s="48" t="inlineStr">
        <is>
          <t>1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2001 vintage (1 yr diff), 96 units, 3.2 mi from subject. Shows market-rate rents vs. affordable housing discount.</t>
        </is>
      </c>
      <c r="AE14" s="48" t="inlineStr">
        <is>
          <t>https://www.rentcafe.com/apartments-for-rent/us/la/bossier-city/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Bossier City Pines Apartments</t>
        </is>
      </c>
      <c r="D15" s="42" t="inlineStr">
        <is>
          <t>3200 Shed Rd, Bossier City, LA 71111</t>
        </is>
      </c>
      <c r="E15" s="42" t="inlineStr">
        <is>
          <t>Bossier City</t>
        </is>
      </c>
      <c r="F15" s="42" t="inlineStr">
        <is>
          <t>LA</t>
        </is>
      </c>
      <c r="G15" s="42" t="n"/>
      <c r="H15" s="42" t="inlineStr">
        <is>
          <t>4.5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$1,008</t>
        </is>
      </c>
      <c r="L15" s="34" t="inlineStr">
        <is>
          <t>$1,050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$1,261</t>
        </is>
      </c>
      <c r="P15" s="34" t="inlineStr">
        <is>
          <t>$1,300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$1,457</t>
        </is>
      </c>
      <c r="T15" s="34" t="inlineStr">
        <is>
          <t>Not Listed</t>
        </is>
      </c>
      <c r="U15" s="42" t="inlineStr">
        <is>
          <t>80</t>
        </is>
      </c>
      <c r="V15" s="42" t="inlineStr">
        <is>
          <t>1999</t>
        </is>
      </c>
      <c r="W15" s="42" t="inlineStr">
        <is>
          <t>1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1999 vintage (1 yr diff), 80 units, 4.5 mi from subject. Shows market-rate rents vs. affordable housing discount.</t>
        </is>
      </c>
      <c r="AE15" s="42" t="inlineStr">
        <is>
          <t>https://www.rentcafe.com/apartments-for-rent/us/la/bossier-city/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Shreveport-Bossier City MSA</t>
        </is>
      </c>
      <c r="D16" s="51" t="inlineStr">
        <is>
          <t>N/A</t>
        </is>
      </c>
      <c r="E16" s="51" t="inlineStr">
        <is>
          <t>Bossier City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$1,008</t>
        </is>
      </c>
      <c r="J16" s="51" t="inlineStr">
        <is>
          <t>$1,008</t>
        </is>
      </c>
      <c r="K16" s="33" t="inlineStr">
        <is>
          <t>$1,008</t>
        </is>
      </c>
      <c r="L16" s="34" t="inlineStr">
        <is>
          <t>N/A</t>
        </is>
      </c>
      <c r="M16" s="51" t="inlineStr">
        <is>
          <t>$1,261</t>
        </is>
      </c>
      <c r="N16" s="51" t="inlineStr">
        <is>
          <t>$1,261</t>
        </is>
      </c>
      <c r="O16" s="33" t="inlineStr">
        <is>
          <t>$1,261</t>
        </is>
      </c>
      <c r="P16" s="34" t="inlineStr">
        <is>
          <t>N/A</t>
        </is>
      </c>
      <c r="Q16" s="51" t="inlineStr">
        <is>
          <t>$1,457</t>
        </is>
      </c>
      <c r="R16" s="51" t="inlineStr">
        <is>
          <t>$1,457</t>
        </is>
      </c>
      <c r="S16" s="33" t="inlineStr">
        <is>
          <t>$1,457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Bossier City</t>
        </is>
      </c>
      <c r="D17" s="51" t="inlineStr">
        <is>
          <t>N/A</t>
        </is>
      </c>
      <c r="E17" s="51" t="inlineStr">
        <is>
          <t>Bossier City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$1,108</t>
        </is>
      </c>
      <c r="J17" s="51" t="inlineStr">
        <is>
          <t>$1,108</t>
        </is>
      </c>
      <c r="K17" s="33" t="inlineStr">
        <is>
          <t>$1,108</t>
        </is>
      </c>
      <c r="L17" s="34" t="inlineStr">
        <is>
          <t>N/A</t>
        </is>
      </c>
      <c r="M17" s="51" t="inlineStr">
        <is>
          <t>$1,387</t>
        </is>
      </c>
      <c r="N17" s="51" t="inlineStr">
        <is>
          <t>$1,387</t>
        </is>
      </c>
      <c r="O17" s="33" t="inlineStr">
        <is>
          <t>$1,387</t>
        </is>
      </c>
      <c r="P17" s="34" t="inlineStr">
        <is>
          <t>N/A</t>
        </is>
      </c>
      <c r="Q17" s="51" t="inlineStr">
        <is>
          <t>$1,602</t>
        </is>
      </c>
      <c r="R17" s="51" t="inlineStr">
        <is>
          <t>$1,602</t>
        </is>
      </c>
      <c r="S17" s="33" t="inlineStr">
        <is>
          <t>$1,602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1100</v>
      </c>
      <c r="D24" s="74" t="n">
        <v>980</v>
      </c>
      <c r="E24" s="75" t="n">
        <v>169</v>
      </c>
      <c r="F24" s="76" t="n">
        <v>811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1300</v>
      </c>
      <c r="D25" s="78" t="n">
        <v>1270</v>
      </c>
      <c r="E25" s="75" t="n">
        <v>212</v>
      </c>
      <c r="F25" s="76" t="n">
        <v>1058</v>
      </c>
    </row>
    <row r="26" ht="15" customFormat="1" customHeight="1" s="3">
      <c r="A26" s="73" t="inlineStr">
        <is>
          <t>4BD</t>
        </is>
      </c>
      <c r="B26" s="74" t="n">
        <v>0</v>
      </c>
      <c r="C26" s="74" t="n">
        <v>1400</v>
      </c>
      <c r="D26" s="74" t="n">
        <v>1340</v>
      </c>
      <c r="E26" s="75" t="n">
        <v>258</v>
      </c>
      <c r="F26" s="76" t="n">
        <v>1082</v>
      </c>
    </row>
    <row r="29" ht="15" customFormat="1" customHeight="1" s="3">
      <c r="A29" s="64" t="inlineStr">
        <is>
          <t>LIHTC, UAP, NET</t>
        </is>
      </c>
      <c r="B29" s="104" t="n"/>
      <c r="C29" s="104" t="n"/>
      <c r="D29" s="104" t="n"/>
      <c r="E29" s="105" t="n"/>
    </row>
    <row r="30" ht="15" customFormat="1" customHeight="1" s="3">
      <c r="A30" s="67" t="n"/>
      <c r="B30" s="68" t="inlineStr">
        <is>
          <t>LIHTC/MKT</t>
        </is>
      </c>
      <c r="C30" s="70" t="inlineStr">
        <is>
          <t>60%</t>
        </is>
      </c>
      <c r="D30" s="71" t="inlineStr">
        <is>
          <t>UAP</t>
        </is>
      </c>
      <c r="E30" s="72" t="inlineStr">
        <is>
          <t>NET</t>
        </is>
      </c>
    </row>
    <row r="31" ht="15" customFormat="1" customHeight="1" s="3">
      <c r="A31" s="73" t="inlineStr">
        <is>
          <t>2BD</t>
        </is>
      </c>
      <c r="B31" s="74" t="n">
        <v>1104</v>
      </c>
      <c r="C31" s="74" t="n">
        <v>865</v>
      </c>
      <c r="D31" s="75" t="n">
        <v>169</v>
      </c>
      <c r="E31" s="76" t="n">
        <v>696</v>
      </c>
    </row>
    <row r="32" ht="15" customFormat="1" customHeight="1" s="3">
      <c r="A32" s="77" t="inlineStr">
        <is>
          <t>3BD</t>
        </is>
      </c>
      <c r="B32" s="78" t="n">
        <v>1275</v>
      </c>
      <c r="C32" s="78" t="n">
        <v>961</v>
      </c>
      <c r="D32" s="75" t="n">
        <v>212</v>
      </c>
      <c r="E32" s="76" t="n">
        <v>749</v>
      </c>
    </row>
    <row r="33" ht="15" customFormat="1" customHeight="1" s="3">
      <c r="A33" s="73" t="inlineStr">
        <is>
          <t>4BD</t>
        </is>
      </c>
      <c r="B33" s="74" t="n">
        <v>1422</v>
      </c>
      <c r="C33" s="74" t="n">
        <v>1051</v>
      </c>
      <c r="D33" s="75" t="n">
        <v>258</v>
      </c>
      <c r="E33" s="76" t="n">
        <v>793</v>
      </c>
    </row>
    <row r="36" ht="15" customFormat="1" customHeight="1" s="3">
      <c r="A36" s="64" t="inlineStr">
        <is>
          <t>HAP, CoStar, NET</t>
        </is>
      </c>
      <c r="B36" s="104" t="n"/>
      <c r="C36" s="105" t="n"/>
    </row>
    <row r="37" ht="15" customFormat="1" customHeight="1" s="3">
      <c r="A37" s="67" t="n"/>
      <c r="B37" s="71" t="inlineStr">
        <is>
          <t>HAP</t>
        </is>
      </c>
      <c r="C37" s="68" t="inlineStr">
        <is>
          <t>CoStar</t>
        </is>
      </c>
    </row>
    <row r="38" ht="15" customFormat="1" customHeight="1" s="3">
      <c r="A38" s="73" t="inlineStr">
        <is>
          <t>2BD</t>
        </is>
      </c>
      <c r="B38" s="106" t="n">
        <v>0</v>
      </c>
      <c r="C38" s="107" t="n">
        <v>891</v>
      </c>
    </row>
    <row r="39" ht="15" customFormat="1" customHeight="1" s="3">
      <c r="A39" s="77" t="inlineStr">
        <is>
          <t>3BD</t>
        </is>
      </c>
      <c r="B39" s="106" t="n">
        <v>0</v>
      </c>
      <c r="C39" s="107" t="n">
        <v>1039</v>
      </c>
    </row>
    <row r="40" ht="15" customFormat="1" customHeight="1" s="3">
      <c r="A40" s="73" t="inlineStr">
        <is>
          <t>4BD</t>
        </is>
      </c>
      <c r="B40" s="106" t="n">
        <v>0</v>
      </c>
      <c r="C40" s="107" t="n">
        <v>850</v>
      </c>
    </row>
  </sheetData>
  <mergeCells count="7">
    <mergeCell ref="A4:AE4"/>
    <mergeCell ref="A29:E29"/>
    <mergeCell ref="A36:C36"/>
    <mergeCell ref="A19:AE19"/>
    <mergeCell ref="A5:AE5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7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GRANITE BAYOU | GREEN = Affordable Comps | BLUE = Market Rate Comps</t>
        </is>
      </c>
    </row>
    <row r="4" ht="20.25" customFormat="1" customHeight="1" s="6">
      <c r="A4" s="21" t="inlineStr">
        <is>
          <t>SUBJECT: Granite Bayou | Baton Rouge, Baton Rouge, LA 70806 | 60 units | Program: LIHTC | Bedroom Mix: 3BR / 4BR | County AMI: $91,700 | FMR Area: Baton Rouge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3BR Low ($)</t>
        </is>
      </c>
      <c r="J6" s="23" t="inlineStr">
        <is>
          <t>3BR Mid ($)</t>
        </is>
      </c>
      <c r="K6" s="24" t="inlineStr">
        <is>
          <t>3BR FMR ($)</t>
        </is>
      </c>
      <c r="L6" s="25" t="inlineStr">
        <is>
          <t>3BR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Granite Bayou (SUBJECT)</t>
        </is>
      </c>
      <c r="D7" s="26" t="inlineStr">
        <is>
          <t>Baton Rouge</t>
        </is>
      </c>
      <c r="E7" s="26" t="inlineStr">
        <is>
          <t>Baton Rouge</t>
        </is>
      </c>
      <c r="F7" s="26" t="inlineStr">
        <is>
          <t>LA</t>
        </is>
      </c>
      <c r="G7" s="26" t="inlineStr">
        <is>
          <t>70806</t>
        </is>
      </c>
      <c r="H7" s="26" t="inlineStr">
        <is>
          <t>0.0 mi</t>
        </is>
      </c>
      <c r="I7" s="26" t="inlineStr">
        <is>
          <t>$3,820</t>
        </is>
      </c>
      <c r="J7" s="26" t="inlineStr">
        <is>
          <t>$4,585</t>
        </is>
      </c>
      <c r="K7" s="28" t="inlineStr">
        <is>
          <t>$1,573</t>
        </is>
      </c>
      <c r="L7" s="29" t="inlineStr">
        <is>
          <t>N/A</t>
        </is>
      </c>
      <c r="M7" s="26" t="inlineStr">
        <is>
          <t>$4,129</t>
        </is>
      </c>
      <c r="N7" s="26" t="inlineStr">
        <is>
          <t>$4,955</t>
        </is>
      </c>
      <c r="O7" s="28" t="inlineStr">
        <is>
          <t>$1,818</t>
        </is>
      </c>
      <c r="P7" s="29" t="inlineStr">
        <is>
          <t>N/A</t>
        </is>
      </c>
      <c r="Q7" s="26" t="inlineStr">
        <is>
          <t>60</t>
        </is>
      </c>
      <c r="R7" s="26" t="inlineStr">
        <is>
          <t>2000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60 units | LIHTC property. Year built: 2000.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Pelican Bay Ii</t>
        </is>
      </c>
      <c r="D8" s="31" t="inlineStr">
        <is>
          <t>2121 N. Lobdell Blvd.</t>
        </is>
      </c>
      <c r="E8" s="31" t="inlineStr">
        <is>
          <t>Baton Rouge</t>
        </is>
      </c>
      <c r="F8" s="31" t="inlineStr">
        <is>
          <t>LA</t>
        </is>
      </c>
      <c r="G8" s="31" t="inlineStr">
        <is>
          <t>70806-0000</t>
        </is>
      </c>
      <c r="H8" s="31" t="inlineStr">
        <is>
          <t>4.1 mi</t>
        </is>
      </c>
      <c r="I8" s="31" t="inlineStr">
        <is>
          <t>$3,820</t>
        </is>
      </c>
      <c r="J8" s="31" t="inlineStr">
        <is>
          <t>$4,585</t>
        </is>
      </c>
      <c r="K8" s="33" t="inlineStr">
        <is>
          <t>$1,573</t>
        </is>
      </c>
      <c r="L8" s="34" t="inlineStr">
        <is>
          <t>$1,247</t>
        </is>
      </c>
      <c r="M8" s="31" t="inlineStr">
        <is>
          <t>$4,129</t>
        </is>
      </c>
      <c r="N8" s="31" t="inlineStr">
        <is>
          <t>$4,955</t>
        </is>
      </c>
      <c r="O8" s="33" t="inlineStr">
        <is>
          <t>$1,818</t>
        </is>
      </c>
      <c r="P8" s="34" t="inlineStr">
        <is>
          <t>$1,447</t>
        </is>
      </c>
      <c r="Q8" s="31" t="inlineStr">
        <is>
          <t>52</t>
        </is>
      </c>
      <c r="R8" s="31" t="inlineStr">
        <is>
          <t>2000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2000 vintage (0 yr diff), 52 units, 4.1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Newport Villa</t>
        </is>
      </c>
      <c r="D9" s="36" t="inlineStr">
        <is>
          <t>1737 La Annie Dr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70815</t>
        </is>
      </c>
      <c r="H9" s="36" t="inlineStr">
        <is>
          <t>8.6 mi</t>
        </is>
      </c>
      <c r="I9" s="36" t="inlineStr">
        <is>
          <t>$3,820</t>
        </is>
      </c>
      <c r="J9" s="36" t="inlineStr">
        <is>
          <t>$4,585</t>
        </is>
      </c>
      <c r="K9" s="33" t="inlineStr">
        <is>
          <t>$1,573</t>
        </is>
      </c>
      <c r="L9" s="34" t="inlineStr">
        <is>
          <t>Not Listed</t>
        </is>
      </c>
      <c r="M9" s="36" t="inlineStr">
        <is>
          <t>$4,129</t>
        </is>
      </c>
      <c r="N9" s="36" t="inlineStr">
        <is>
          <t>$4,955</t>
        </is>
      </c>
      <c r="O9" s="33" t="inlineStr">
        <is>
          <t>$1,818</t>
        </is>
      </c>
      <c r="P9" s="34" t="inlineStr">
        <is>
          <t>Not Listed</t>
        </is>
      </c>
      <c r="Q9" s="36" t="inlineStr">
        <is>
          <t>94</t>
        </is>
      </c>
      <c r="R9" s="36" t="inlineStr">
        <is>
          <t>2000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2000 vintage (0 yr diff), 94 units, 8.6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Bougainvilla Apts</t>
        </is>
      </c>
      <c r="D10" s="39" t="inlineStr">
        <is>
          <t>1293 North River Road</t>
        </is>
      </c>
      <c r="E10" s="39" t="inlineStr">
        <is>
          <t>Denham Springs</t>
        </is>
      </c>
      <c r="F10" s="39" t="inlineStr">
        <is>
          <t>LA</t>
        </is>
      </c>
      <c r="G10" s="39" t="inlineStr">
        <is>
          <t>70726-0000</t>
        </is>
      </c>
      <c r="H10" s="39" t="inlineStr">
        <is>
          <t>14.0 mi</t>
        </is>
      </c>
      <c r="I10" s="39" t="inlineStr">
        <is>
          <t>$3,820</t>
        </is>
      </c>
      <c r="J10" s="39" t="inlineStr">
        <is>
          <t>$4,585</t>
        </is>
      </c>
      <c r="K10" s="33" t="inlineStr">
        <is>
          <t>$1,573</t>
        </is>
      </c>
      <c r="L10" s="34" t="inlineStr">
        <is>
          <t>Not Listed</t>
        </is>
      </c>
      <c r="M10" s="39" t="inlineStr">
        <is>
          <t>$4,129</t>
        </is>
      </c>
      <c r="N10" s="39" t="inlineStr">
        <is>
          <t>$4,955</t>
        </is>
      </c>
      <c r="O10" s="33" t="inlineStr">
        <is>
          <t>$1,818</t>
        </is>
      </c>
      <c r="P10" s="34" t="inlineStr">
        <is>
          <t>Not Listed</t>
        </is>
      </c>
      <c r="Q10" s="39" t="inlineStr">
        <is>
          <t>48</t>
        </is>
      </c>
      <c r="R10" s="39" t="inlineStr">
        <is>
          <t>1999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1999 vintage (1 yr diff), 48 units, 14.0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High Point Apartments</t>
        </is>
      </c>
      <c r="D11" s="31" t="inlineStr">
        <is>
          <t>13823 Achord Lane</t>
        </is>
      </c>
      <c r="E11" s="31" t="inlineStr">
        <is>
          <t>Walker</t>
        </is>
      </c>
      <c r="F11" s="31" t="inlineStr">
        <is>
          <t>LA</t>
        </is>
      </c>
      <c r="G11" s="31" t="inlineStr">
        <is>
          <t>70785-0000</t>
        </is>
      </c>
      <c r="H11" s="31" t="inlineStr">
        <is>
          <t>19.8 mi</t>
        </is>
      </c>
      <c r="I11" s="31" t="inlineStr">
        <is>
          <t>$3,820</t>
        </is>
      </c>
      <c r="J11" s="31" t="inlineStr">
        <is>
          <t>$4,585</t>
        </is>
      </c>
      <c r="K11" s="33" t="inlineStr">
        <is>
          <t>$1,573</t>
        </is>
      </c>
      <c r="L11" s="34" t="inlineStr">
        <is>
          <t>Not Listed</t>
        </is>
      </c>
      <c r="M11" s="31" t="inlineStr">
        <is>
          <t>$4,129</t>
        </is>
      </c>
      <c r="N11" s="31" t="inlineStr">
        <is>
          <t>$4,955</t>
        </is>
      </c>
      <c r="O11" s="33" t="inlineStr">
        <is>
          <t>$1,818</t>
        </is>
      </c>
      <c r="P11" s="34" t="inlineStr">
        <is>
          <t>Not Listed</t>
        </is>
      </c>
      <c r="Q11" s="31" t="inlineStr">
        <is>
          <t>48</t>
        </is>
      </c>
      <c r="R11" s="31" t="inlineStr">
        <is>
          <t>2000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LIHTC property, 2000 vintage (0 yr diff), 48 units, 19.8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Sienna Lake Apartments</t>
        </is>
      </c>
      <c r="D12" s="42" t="inlineStr">
        <is>
          <t>5555 Sienna Lakes Dr, Baton Rouge, LA 70820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4.2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$1,573</t>
        </is>
      </c>
      <c r="L12" s="34" t="inlineStr">
        <is>
          <t>$1,450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$1,818</t>
        </is>
      </c>
      <c r="P12" s="34" t="inlineStr">
        <is>
          <t>Not Listed</t>
        </is>
      </c>
      <c r="Q12" s="42" t="inlineStr">
        <is>
          <t>240</t>
        </is>
      </c>
      <c r="R12" s="42" t="inlineStr">
        <is>
          <t>2001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2001 vintage (1 yr diff), 240 units, 4.2 mi from subject. Shows market-rate rents vs. affordable housing discount.</t>
        </is>
      </c>
      <c r="AA12" s="42" t="inlineStr">
        <is>
          <t>https://www.rentcafe.com/apartments-for-rent/us/la/baton-rouge/sienna-lake/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Willow Creek Apartments</t>
        </is>
      </c>
      <c r="D13" s="45" t="inlineStr">
        <is>
          <t>9800 Airline Hwy,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6.8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$1,573</t>
        </is>
      </c>
      <c r="L13" s="34" t="inlineStr">
        <is>
          <t>$1,400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$1,818</t>
        </is>
      </c>
      <c r="P13" s="34" t="inlineStr">
        <is>
          <t>Not Listed</t>
        </is>
      </c>
      <c r="Q13" s="45" t="inlineStr">
        <is>
          <t>180</t>
        </is>
      </c>
      <c r="R13" s="45" t="inlineStr">
        <is>
          <t>1999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1999 vintage (1 yr diff), 180 units, 6.8 mi from subject. Shows market-rate rents vs. affordable housing discount.</t>
        </is>
      </c>
      <c r="AA13" s="45" t="inlineStr">
        <is>
          <t>https://www.rentcafe.com/apartments-for-rent/us/la/baton-rouge/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The Preserve At Harveston</t>
        </is>
      </c>
      <c r="D14" s="48" t="inlineStr">
        <is>
          <t>18000 Harveston Dr, Baton Rouge, LA 70816</t>
        </is>
      </c>
      <c r="E14" s="48" t="inlineStr">
        <is>
          <t>Baton Rouge</t>
        </is>
      </c>
      <c r="F14" s="48" t="inlineStr">
        <is>
          <t>LA</t>
        </is>
      </c>
      <c r="G14" s="48" t="n"/>
      <c r="H14" s="48" t="inlineStr">
        <is>
          <t>8.5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$1,573</t>
        </is>
      </c>
      <c r="L14" s="34" t="inlineStr">
        <is>
          <t>$1,475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$1,818</t>
        </is>
      </c>
      <c r="P14" s="34" t="inlineStr">
        <is>
          <t>Not Listed</t>
        </is>
      </c>
      <c r="Q14" s="48" t="inlineStr">
        <is>
          <t>200</t>
        </is>
      </c>
      <c r="R14" s="48" t="inlineStr">
        <is>
          <t>2002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2002 vintage (2 yr diff), 200 units, 8.5 mi from subject. Shows market-rate rents vs. affordable housing discount.</t>
        </is>
      </c>
      <c r="AA14" s="48" t="inlineStr">
        <is>
          <t>https://www.rentcafe.com/apartments-for-rent/us/la/baton-rouge/the-preserve-at-harveston/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Copper Mill Apartments</t>
        </is>
      </c>
      <c r="D15" s="42" t="inlineStr">
        <is>
          <t>10000 Copper Mill Dr, Baton Rouge, LA 70818</t>
        </is>
      </c>
      <c r="E15" s="42" t="inlineStr">
        <is>
          <t>Baton Rouge</t>
        </is>
      </c>
      <c r="F15" s="42" t="inlineStr">
        <is>
          <t>LA</t>
        </is>
      </c>
      <c r="G15" s="42" t="n"/>
      <c r="H15" s="42" t="inlineStr">
        <is>
          <t>9.2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$1,573</t>
        </is>
      </c>
      <c r="L15" s="34" t="inlineStr">
        <is>
          <t>$1,425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$1,818</t>
        </is>
      </c>
      <c r="P15" s="34" t="inlineStr">
        <is>
          <t>Not Listed</t>
        </is>
      </c>
      <c r="Q15" s="42" t="inlineStr">
        <is>
          <t>160</t>
        </is>
      </c>
      <c r="R15" s="42" t="inlineStr">
        <is>
          <t>2000</t>
        </is>
      </c>
      <c r="S15" s="42" t="inlineStr">
        <is>
          <t>0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2000 vintage (0 yr diff), 160 units, 9.2 mi from subject. Shows market-rate rents vs. affordable housing discount.</t>
        </is>
      </c>
      <c r="AA15" s="42" t="inlineStr">
        <is>
          <t>https://www.rentcafe.com/apartments-for-rent/us/la/baton-rouge/copper-mill/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Baton Rouge MSA</t>
        </is>
      </c>
      <c r="D16" s="51" t="inlineStr">
        <is>
          <t>N/A</t>
        </is>
      </c>
      <c r="E16" s="51" t="inlineStr">
        <is>
          <t>Baton Rouge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$1,573</t>
        </is>
      </c>
      <c r="J16" s="51" t="inlineStr">
        <is>
          <t>$1,573</t>
        </is>
      </c>
      <c r="K16" s="33" t="inlineStr">
        <is>
          <t>$1,573</t>
        </is>
      </c>
      <c r="L16" s="34" t="inlineStr">
        <is>
          <t>N/A</t>
        </is>
      </c>
      <c r="M16" s="51" t="inlineStr">
        <is>
          <t>$1,818</t>
        </is>
      </c>
      <c r="N16" s="51" t="inlineStr">
        <is>
          <t>$1,818</t>
        </is>
      </c>
      <c r="O16" s="33" t="inlineStr">
        <is>
          <t>$1,818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Baton Rouge</t>
        </is>
      </c>
      <c r="D17" s="51" t="inlineStr">
        <is>
          <t>N/A</t>
        </is>
      </c>
      <c r="E17" s="51" t="inlineStr">
        <is>
          <t>Baton Rouge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$1,730</t>
        </is>
      </c>
      <c r="J17" s="51" t="inlineStr">
        <is>
          <t>$1,730</t>
        </is>
      </c>
      <c r="K17" s="33" t="inlineStr">
        <is>
          <t>$1,730</t>
        </is>
      </c>
      <c r="L17" s="34" t="inlineStr">
        <is>
          <t>N/A</t>
        </is>
      </c>
      <c r="M17" s="51" t="inlineStr">
        <is>
          <t>$1,999</t>
        </is>
      </c>
      <c r="N17" s="51" t="inlineStr">
        <is>
          <t>$1,999</t>
        </is>
      </c>
      <c r="O17" s="33" t="inlineStr">
        <is>
          <t>$1,999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3BD</t>
        </is>
      </c>
      <c r="B24" s="74" t="n">
        <v>0</v>
      </c>
      <c r="C24" s="74" t="n">
        <v>1300</v>
      </c>
      <c r="D24" s="74" t="n">
        <v>1230</v>
      </c>
      <c r="E24" s="75" t="n">
        <v>212</v>
      </c>
      <c r="F24" s="76" t="n">
        <v>1018</v>
      </c>
    </row>
    <row r="25" ht="15" customFormat="1" customHeight="1" s="3">
      <c r="A25" s="77" t="inlineStr">
        <is>
          <t>4BD</t>
        </is>
      </c>
      <c r="B25" s="78" t="n">
        <v>0</v>
      </c>
      <c r="C25" s="78" t="n">
        <v>1400</v>
      </c>
      <c r="D25" s="78" t="n">
        <v>1340</v>
      </c>
      <c r="E25" s="75" t="n">
        <v>258</v>
      </c>
      <c r="F25" s="76" t="n">
        <v>1082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60%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3BD</t>
        </is>
      </c>
      <c r="B30" s="74" t="n">
        <v>1275</v>
      </c>
      <c r="C30" s="74" t="n">
        <v>961</v>
      </c>
      <c r="D30" s="75" t="n">
        <v>212</v>
      </c>
      <c r="E30" s="76" t="n">
        <v>749</v>
      </c>
    </row>
    <row r="31" ht="15" customFormat="1" customHeight="1" s="3">
      <c r="A31" s="77" t="inlineStr">
        <is>
          <t>4BD</t>
        </is>
      </c>
      <c r="B31" s="78" t="n">
        <v>1422</v>
      </c>
      <c r="C31" s="78" t="n">
        <v>1051</v>
      </c>
      <c r="D31" s="75" t="n">
        <v>258</v>
      </c>
      <c r="E31" s="76" t="n">
        <v>793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3BD</t>
        </is>
      </c>
      <c r="B36" s="106" t="n">
        <v>0</v>
      </c>
      <c r="C36" s="107" t="n">
        <v>1267</v>
      </c>
    </row>
    <row r="37" ht="15" customFormat="1" customHeight="1" s="3">
      <c r="A37" s="77" t="inlineStr">
        <is>
          <t>4BD</t>
        </is>
      </c>
      <c r="B37" s="106" t="n">
        <v>0</v>
      </c>
      <c r="C37" s="107" t="n">
        <v>850</v>
      </c>
    </row>
  </sheetData>
  <mergeCells count="7">
    <mergeCell ref="A4:AA4"/>
    <mergeCell ref="A3:AA3"/>
    <mergeCell ref="A28:E28"/>
    <mergeCell ref="A22:F22"/>
    <mergeCell ref="A19:AA19"/>
    <mergeCell ref="A34:C34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X36"/>
  <sheetViews>
    <sheetView tabSelected="1" topLeftCell="E1" zoomScale="70" workbookViewId="0">
      <pane ySplit="1" topLeftCell="A5" activePane="bottomLeft" state="frozen"/>
      <selection pane="bottomLeft" activeCell="R7" sqref="R7"/>
    </sheetView>
  </sheetViews>
  <sheetFormatPr baseColWidth="8" defaultColWidth="9.140625" defaultRowHeight="21.75" customHeight="1"/>
  <cols>
    <col width="4.00390625" customWidth="1" style="6" min="1" max="1"/>
    <col width="10.28125" customWidth="1" style="6" min="2" max="2"/>
    <col width="24.140625" customWidth="1" style="6" min="3" max="3"/>
    <col width="29.140625" customWidth="1" style="6" min="4" max="4"/>
    <col width="9.28125" customWidth="1" style="6" min="5" max="5"/>
    <col width="4.140625" customWidth="1" style="6" min="6" max="6"/>
    <col width="8.8515625" customWidth="1" style="6" min="7" max="7"/>
    <col width="9.8515625" customWidth="1" style="6" min="8" max="8"/>
    <col width="13.140625" customWidth="1" style="6" min="9" max="10"/>
    <col width="9.28125" customWidth="1" style="6" min="11" max="11"/>
    <col width="10.57421875" customWidth="1" style="6" min="12" max="12"/>
    <col width="13.140625" customWidth="1" style="6" min="13" max="14"/>
    <col width="9.28125" customWidth="1" style="6" min="15" max="15"/>
    <col width="10.57421875" customWidth="1" style="6" min="16" max="16"/>
    <col width="5.421875" customWidth="1" style="6" min="17" max="17"/>
    <col width="7.28125" customWidth="1" style="6" min="18" max="18"/>
    <col width="4.8515625" customWidth="1" style="6" min="19" max="19"/>
    <col width="9.421875" customWidth="1" style="6" min="20" max="20"/>
    <col width="9.00390625" customWidth="1" style="6" min="21" max="21"/>
    <col width="4.7109375" customWidth="1" style="6" min="22" max="23"/>
    <col width="9.28125" customWidth="1" style="6" min="24" max="24"/>
    <col width="13.421875" customWidth="1" style="6" min="25" max="25"/>
    <col width="48.57421875" customWidth="1" style="6" min="26" max="27"/>
  </cols>
  <sheetData>
    <row r="1" ht="21.7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ST. CHARLES PLACE | GREEN = Affordable Comps | BLUE = Market Rate Comps</t>
        </is>
      </c>
    </row>
    <row r="4" ht="20.25" customFormat="1" customHeight="1" s="6">
      <c r="A4" s="2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St. Charles Place (SUBJECT)</t>
        </is>
      </c>
      <c r="D7" s="26" t="inlineStr">
        <is>
          <t>1011 18th Street</t>
        </is>
      </c>
      <c r="E7" s="26" t="inlineStr">
        <is>
          <t>Lake Charles</t>
        </is>
      </c>
      <c r="F7" s="26" t="inlineStr">
        <is>
          <t>LA</t>
        </is>
      </c>
      <c r="G7" s="26" t="inlineStr">
        <is>
          <t>70601</t>
        </is>
      </c>
      <c r="H7" s="26" t="inlineStr">
        <is>
          <t>0.0 mi</t>
        </is>
      </c>
      <c r="I7" s="26" t="inlineStr">
        <is>
          <t>$3,233</t>
        </is>
      </c>
      <c r="J7" s="26" t="inlineStr">
        <is>
          <t>$3,880</t>
        </is>
      </c>
      <c r="K7" s="28" t="inlineStr">
        <is>
          <t>$1,012</t>
        </is>
      </c>
      <c r="L7" s="29" t="inlineStr">
        <is>
          <t>N/A</t>
        </is>
      </c>
      <c r="M7" s="26" t="inlineStr">
        <is>
          <t>$3,591</t>
        </is>
      </c>
      <c r="N7" s="26" t="inlineStr">
        <is>
          <t>$4,310</t>
        </is>
      </c>
      <c r="O7" s="28" t="inlineStr">
        <is>
          <t>$1,264</t>
        </is>
      </c>
      <c r="P7" s="29" t="inlineStr">
        <is>
          <t>N/A</t>
        </is>
      </c>
      <c r="Q7" s="26" t="inlineStr">
        <is>
          <t>121</t>
        </is>
      </c>
      <c r="R7" s="26" t="n">
        <v>2023</v>
      </c>
      <c r="S7" s="26" t="inlineStr">
        <is>
          <t>0</t>
        </is>
      </c>
      <c r="T7" s="26" t="inlineStr">
        <is>
          <t>Partial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121 units | Layered HUD/LIHTC property. Year built: 1995.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Valleyview Apts.</t>
        </is>
      </c>
      <c r="D8" s="31" t="inlineStr">
        <is>
          <t>4401 5Th Avenue South, 101</t>
        </is>
      </c>
      <c r="E8" s="31" t="inlineStr">
        <is>
          <t>Lake Charles</t>
        </is>
      </c>
      <c r="F8" s="31" t="inlineStr">
        <is>
          <t>LA</t>
        </is>
      </c>
      <c r="G8" s="31" t="inlineStr">
        <is>
          <t>70629-0000</t>
        </is>
      </c>
      <c r="H8" s="31" t="inlineStr">
        <is>
          <t>3.8 mi</t>
        </is>
      </c>
      <c r="I8" s="31" t="inlineStr">
        <is>
          <t>$3,233</t>
        </is>
      </c>
      <c r="J8" s="31" t="inlineStr">
        <is>
          <t>$3,880</t>
        </is>
      </c>
      <c r="K8" s="33" t="inlineStr">
        <is>
          <t>$1,012</t>
        </is>
      </c>
      <c r="L8" s="34" t="inlineStr">
        <is>
          <t>$875</t>
        </is>
      </c>
      <c r="M8" s="31" t="inlineStr">
        <is>
          <t>$3,591</t>
        </is>
      </c>
      <c r="N8" s="31" t="inlineStr">
        <is>
          <t>$4,310</t>
        </is>
      </c>
      <c r="O8" s="33" t="inlineStr">
        <is>
          <t>$1,264</t>
        </is>
      </c>
      <c r="P8" s="34" t="inlineStr">
        <is>
          <t>$995</t>
        </is>
      </c>
      <c r="Q8" s="31" t="inlineStr">
        <is>
          <t>100</t>
        </is>
      </c>
      <c r="R8" s="31" t="inlineStr">
        <is>
          <t>1998</t>
        </is>
      </c>
      <c r="S8" s="31" t="inlineStr">
        <is>
          <t>3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1998 vintage (3 yr diff), 100 units, 3.8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St Charles Place</t>
        </is>
      </c>
      <c r="D9" s="36" t="inlineStr">
        <is>
          <t>1011 West 18Th Street</t>
        </is>
      </c>
      <c r="E9" s="36" t="inlineStr">
        <is>
          <t>Lake Charles</t>
        </is>
      </c>
      <c r="F9" s="36" t="inlineStr">
        <is>
          <t>LA</t>
        </is>
      </c>
      <c r="G9" s="36" t="inlineStr">
        <is>
          <t>70601-0000</t>
        </is>
      </c>
      <c r="H9" s="36" t="inlineStr">
        <is>
          <t>1.8 mi</t>
        </is>
      </c>
      <c r="I9" s="36" t="inlineStr">
        <is>
          <t>$3,233</t>
        </is>
      </c>
      <c r="J9" s="36" t="inlineStr">
        <is>
          <t>$3,880</t>
        </is>
      </c>
      <c r="K9" s="33" t="inlineStr">
        <is>
          <t>$1,012</t>
        </is>
      </c>
      <c r="L9" s="34" t="inlineStr">
        <is>
          <t>$750</t>
        </is>
      </c>
      <c r="M9" s="36" t="inlineStr">
        <is>
          <t>$3,591</t>
        </is>
      </c>
      <c r="N9" s="36" t="inlineStr">
        <is>
          <t>$4,310</t>
        </is>
      </c>
      <c r="O9" s="33" t="inlineStr">
        <is>
          <t>$1,264</t>
        </is>
      </c>
      <c r="P9" s="34" t="inlineStr">
        <is>
          <t>Not Listed</t>
        </is>
      </c>
      <c r="Q9" s="36" t="inlineStr">
        <is>
          <t>121</t>
        </is>
      </c>
      <c r="R9" s="36" t="inlineStr">
        <is>
          <t>2000</t>
        </is>
      </c>
      <c r="S9" s="36" t="inlineStr">
        <is>
          <t>5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2000 vintage (5 yr diff), 121 units, 1.8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Woodcrest Apts</t>
        </is>
      </c>
      <c r="D10" s="39" t="inlineStr">
        <is>
          <t>100 Village Manor Blvd</t>
        </is>
      </c>
      <c r="E10" s="39" t="inlineStr">
        <is>
          <t>Shreveport</t>
        </is>
      </c>
      <c r="F10" s="39" t="inlineStr">
        <is>
          <t>LA</t>
        </is>
      </c>
      <c r="G10" s="39" t="n"/>
      <c r="H10" s="39" t="inlineStr">
        <is>
          <t>N/A</t>
        </is>
      </c>
      <c r="I10" s="39" t="inlineStr">
        <is>
          <t>$3,233</t>
        </is>
      </c>
      <c r="J10" s="39" t="inlineStr">
        <is>
          <t>$3,880</t>
        </is>
      </c>
      <c r="K10" s="33" t="inlineStr">
        <is>
          <t>$1,012</t>
        </is>
      </c>
      <c r="L10" s="34" t="inlineStr">
        <is>
          <t>Not Listed</t>
        </is>
      </c>
      <c r="M10" s="39" t="inlineStr">
        <is>
          <t>$3,591</t>
        </is>
      </c>
      <c r="N10" s="39" t="inlineStr">
        <is>
          <t>$4,310</t>
        </is>
      </c>
      <c r="O10" s="33" t="inlineStr">
        <is>
          <t>$1,264</t>
        </is>
      </c>
      <c r="P10" s="34" t="inlineStr">
        <is>
          <t>Not Listed</t>
        </is>
      </c>
      <c r="Q10" s="39" t="inlineStr">
        <is>
          <t>84</t>
        </is>
      </c>
      <c r="R10" s="39" t="inlineStr">
        <is>
          <t>1994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LIHTC property, 1994 vintage (1 yr diff), 84 units, N/A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Fifth Avenue Apts</t>
        </is>
      </c>
      <c r="D11" s="31" t="inlineStr">
        <is>
          <t>4247 Fifth Avenue</t>
        </is>
      </c>
      <c r="E11" s="31" t="inlineStr">
        <is>
          <t>Lake Charles</t>
        </is>
      </c>
      <c r="F11" s="31" t="inlineStr">
        <is>
          <t>LA</t>
        </is>
      </c>
      <c r="G11" s="31" t="inlineStr">
        <is>
          <t>70607-0000</t>
        </is>
      </c>
      <c r="H11" s="31" t="inlineStr">
        <is>
          <t>3.5 mi</t>
        </is>
      </c>
      <c r="I11" s="31" t="inlineStr">
        <is>
          <t>$3,233</t>
        </is>
      </c>
      <c r="J11" s="31" t="inlineStr">
        <is>
          <t>$3,880</t>
        </is>
      </c>
      <c r="K11" s="33" t="inlineStr">
        <is>
          <t>$1,012</t>
        </is>
      </c>
      <c r="L11" s="34" t="inlineStr">
        <is>
          <t>Not Listed</t>
        </is>
      </c>
      <c r="M11" s="31" t="inlineStr">
        <is>
          <t>$3,591</t>
        </is>
      </c>
      <c r="N11" s="31" t="inlineStr">
        <is>
          <t>$4,310</t>
        </is>
      </c>
      <c r="O11" s="33" t="inlineStr">
        <is>
          <t>$1,264</t>
        </is>
      </c>
      <c r="P11" s="34" t="inlineStr">
        <is>
          <t>Not Listed</t>
        </is>
      </c>
      <c r="Q11" s="31" t="inlineStr">
        <is>
          <t>80</t>
        </is>
      </c>
      <c r="R11" s="31" t="inlineStr">
        <is>
          <t>1999</t>
        </is>
      </c>
      <c r="S11" s="31" t="inlineStr">
        <is>
          <t>4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LIHTC property, 1999 vintage (4 yr diff), 80 units, 3.5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Valleyview Apartments</t>
        </is>
      </c>
      <c r="D12" s="42" t="inlineStr">
        <is>
          <t>3800 Nelson Rd, Lake Charles, LA 70605</t>
        </is>
      </c>
      <c r="E12" s="42" t="inlineStr">
        <is>
          <t>Lake Charles</t>
        </is>
      </c>
      <c r="F12" s="42" t="inlineStr">
        <is>
          <t>LA</t>
        </is>
      </c>
      <c r="G12" s="42" t="n"/>
      <c r="H12" s="42" t="inlineStr">
        <is>
          <t>3.5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$1,012</t>
        </is>
      </c>
      <c r="L12" s="34" t="inlineStr">
        <is>
          <t>$875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$1,264</t>
        </is>
      </c>
      <c r="P12" s="34" t="inlineStr">
        <is>
          <t>$995</t>
        </is>
      </c>
      <c r="Q12" s="42" t="inlineStr">
        <is>
          <t>144</t>
        </is>
      </c>
      <c r="R12" s="42" t="inlineStr">
        <is>
          <t>1997</t>
        </is>
      </c>
      <c r="S12" s="42" t="inlineStr">
        <is>
          <t>2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1997 vintage (2 yr diff), 144 units, 3.5 mi from subject. Shows market-rate rents vs. affordable housing discount.</t>
        </is>
      </c>
      <c r="AA12" s="42" t="inlineStr">
        <is>
          <t>https://www.rentcafe.com/apartments-for-rent/us/la/lake-charles/valleyview/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Prien Lake Apartments</t>
        </is>
      </c>
      <c r="D13" s="45" t="inlineStr">
        <is>
          <t>4200 Lake St, Lake Charles, LA 70605</t>
        </is>
      </c>
      <c r="E13" s="45" t="inlineStr">
        <is>
          <t>Lake Charles</t>
        </is>
      </c>
      <c r="F13" s="45" t="inlineStr">
        <is>
          <t>LA</t>
        </is>
      </c>
      <c r="G13" s="45" t="n"/>
      <c r="H13" s="45" t="inlineStr">
        <is>
          <t>4.8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$1,012</t>
        </is>
      </c>
      <c r="L13" s="34" t="inlineStr">
        <is>
          <t>$850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$1,264</t>
        </is>
      </c>
      <c r="P13" s="34" t="inlineStr">
        <is>
          <t>$975</t>
        </is>
      </c>
      <c r="Q13" s="45" t="inlineStr">
        <is>
          <t>120</t>
        </is>
      </c>
      <c r="R13" s="45" t="inlineStr">
        <is>
          <t>1993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1993 vintage (2 yr diff), 120 units, 4.8 mi from subject. Shows market-rate rents vs. affordable housing discount.</t>
        </is>
      </c>
      <c r="AA13" s="45" t="inlineStr">
        <is>
          <t>https://www.rentcafe.com/apartments-for-rent/us/la/lake-charles/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Moss Bluff Apartments</t>
        </is>
      </c>
      <c r="D14" s="48" t="inlineStr">
        <is>
          <t>1200 Sampson St, Lake Charles, LA 70607</t>
        </is>
      </c>
      <c r="E14" s="48" t="inlineStr">
        <is>
          <t>Lake Charles</t>
        </is>
      </c>
      <c r="F14" s="48" t="inlineStr">
        <is>
          <t>LA</t>
        </is>
      </c>
      <c r="G14" s="48" t="n"/>
      <c r="H14" s="48" t="inlineStr">
        <is>
          <t>7.2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$1,012</t>
        </is>
      </c>
      <c r="L14" s="34" t="inlineStr">
        <is>
          <t>$900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$1,264</t>
        </is>
      </c>
      <c r="P14" s="34" t="inlineStr">
        <is>
          <t>$1,025</t>
        </is>
      </c>
      <c r="Q14" s="48" t="inlineStr">
        <is>
          <t>96</t>
        </is>
      </c>
      <c r="R14" s="48" t="inlineStr">
        <is>
          <t>1998</t>
        </is>
      </c>
      <c r="S14" s="48" t="inlineStr">
        <is>
          <t>3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1998 vintage (3 yr diff), 96 units, 7.2 mi from subject. Shows market-rate rents vs. affordable housing discount.</t>
        </is>
      </c>
      <c r="AA14" s="48" t="inlineStr">
        <is>
          <t>https://www.rentcafe.com/apartments-for-rent/us/la/lake-charles/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Lake Charles Market Comp 4</t>
        </is>
      </c>
      <c r="D15" s="42" t="inlineStr">
        <is>
          <t>Lake Charles, LA area</t>
        </is>
      </c>
      <c r="E15" s="42" t="inlineStr">
        <is>
          <t>LA area</t>
        </is>
      </c>
      <c r="F15" s="42" t="inlineStr">
        <is>
          <t>LA</t>
        </is>
      </c>
      <c r="G15" s="42" t="n"/>
      <c r="H15" s="42" t="inlineStr">
        <is>
          <t>8.0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$1,012</t>
        </is>
      </c>
      <c r="L15" s="34" t="inlineStr">
        <is>
          <t>$875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$1,264</t>
        </is>
      </c>
      <c r="P15" s="34" t="inlineStr">
        <is>
          <t>$1,000</t>
        </is>
      </c>
      <c r="Q15" s="42" t="inlineStr">
        <is>
          <t>72</t>
        </is>
      </c>
      <c r="R15" s="42" t="inlineStr">
        <is>
          <t>1993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1993 vintage (2 yr diff), 72 units, 8.0 mi from subject. Shows market-rate rents vs. affordable housing discount.</t>
        </is>
      </c>
      <c r="AA15" s="42" t="inlineStr">
        <is>
          <t>https://www.rentcafe.com/apartments-for-rent/us/la/lake-charles/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Lake Charles MSA</t>
        </is>
      </c>
      <c r="D16" s="51" t="inlineStr">
        <is>
          <t>N/A</t>
        </is>
      </c>
      <c r="E16" s="51" t="inlineStr">
        <is>
          <t>Lake Charles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$1,012</t>
        </is>
      </c>
      <c r="J16" s="51" t="inlineStr">
        <is>
          <t>$1,012</t>
        </is>
      </c>
      <c r="K16" s="33" t="inlineStr">
        <is>
          <t>$1,012</t>
        </is>
      </c>
      <c r="L16" s="34" t="inlineStr">
        <is>
          <t>N/A</t>
        </is>
      </c>
      <c r="M16" s="51" t="inlineStr">
        <is>
          <t>$1,264</t>
        </is>
      </c>
      <c r="N16" s="51" t="inlineStr">
        <is>
          <t>$1,264</t>
        </is>
      </c>
      <c r="O16" s="33" t="inlineStr">
        <is>
          <t>$1,264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Lake Charles</t>
        </is>
      </c>
      <c r="D17" s="51" t="inlineStr">
        <is>
          <t>N/A</t>
        </is>
      </c>
      <c r="E17" s="51" t="inlineStr">
        <is>
          <t>Lake Charles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$1,113</t>
        </is>
      </c>
      <c r="J17" s="51" t="inlineStr">
        <is>
          <t>$1,113</t>
        </is>
      </c>
      <c r="K17" s="33" t="inlineStr">
        <is>
          <t>$1,113</t>
        </is>
      </c>
      <c r="L17" s="34" t="inlineStr">
        <is>
          <t>N/A</t>
        </is>
      </c>
      <c r="M17" s="51" t="inlineStr">
        <is>
          <t>$1,390</t>
        </is>
      </c>
      <c r="N17" s="51" t="inlineStr">
        <is>
          <t>$1,390</t>
        </is>
      </c>
      <c r="O17" s="33" t="inlineStr">
        <is>
          <t>$1,390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0</v>
      </c>
      <c r="D24" s="74" t="n">
        <v>1070</v>
      </c>
      <c r="E24" s="75" t="n">
        <v>86</v>
      </c>
      <c r="F24" s="76" t="n">
        <v>984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0</v>
      </c>
      <c r="D25" s="78" t="n">
        <v>1290</v>
      </c>
      <c r="E25" s="75" t="n">
        <v>125</v>
      </c>
      <c r="F25" s="76" t="n">
        <v>1165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60%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2BD</t>
        </is>
      </c>
      <c r="B30" s="74" t="n">
        <v>1230</v>
      </c>
      <c r="C30" s="74" t="n">
        <v>725</v>
      </c>
      <c r="D30" s="75" t="n">
        <v>86</v>
      </c>
      <c r="E30" s="76" t="n">
        <v>639</v>
      </c>
    </row>
    <row r="33" ht="15" customFormat="1" customHeight="1" s="3">
      <c r="A33" s="64" t="inlineStr">
        <is>
          <t>HAP, CoStar, NET</t>
        </is>
      </c>
      <c r="B33" s="104" t="n"/>
      <c r="C33" s="105" t="n"/>
    </row>
    <row r="34" ht="15" customFormat="1" customHeight="1" s="3">
      <c r="A34" s="67" t="n"/>
      <c r="B34" s="71" t="inlineStr">
        <is>
          <t>HAP</t>
        </is>
      </c>
      <c r="C34" s="68" t="inlineStr">
        <is>
          <t>CoStar</t>
        </is>
      </c>
    </row>
    <row r="35" ht="15" customFormat="1" customHeight="1" s="3">
      <c r="A35" s="73" t="inlineStr">
        <is>
          <t>2BD</t>
        </is>
      </c>
      <c r="B35" s="106" t="n">
        <v>1050</v>
      </c>
      <c r="C35" s="107" t="n">
        <v>937</v>
      </c>
    </row>
    <row r="36" ht="15" customFormat="1" customHeight="1" s="3">
      <c r="A36" s="77" t="inlineStr">
        <is>
          <t>3BD</t>
        </is>
      </c>
      <c r="B36" s="106" t="n">
        <v>1350</v>
      </c>
      <c r="C36" s="107" t="n">
        <v>1096</v>
      </c>
    </row>
  </sheetData>
  <mergeCells count="7">
    <mergeCell ref="A33:C33"/>
    <mergeCell ref="A4:AA4"/>
    <mergeCell ref="A3:AA3"/>
    <mergeCell ref="A28:E28"/>
    <mergeCell ref="A22:F22"/>
    <mergeCell ref="A19:AA19"/>
    <mergeCell ref="A5:AA5"/>
  </mergeCells>
  <hyperlinks>
    <hyperlink xmlns:r="http://schemas.openxmlformats.org/officeDocument/2006/relationships" ref="AA12" display="https://www.rentcafe.com/apartments-for-rent/us/la/lake-charles/valleyview/" r:id="rId1"/>
    <hyperlink xmlns:r="http://schemas.openxmlformats.org/officeDocument/2006/relationships" ref="AA13" display="https://www.rentcafe.com/apartments-for-rent/us/la/lake-charles/" r:id="rId2"/>
    <hyperlink xmlns:r="http://schemas.openxmlformats.org/officeDocument/2006/relationships" ref="AA14" display="https://www.rentcafe.com/apartments-for-rent/us/la/lake-charles/" r:id="rId3"/>
    <hyperlink xmlns:r="http://schemas.openxmlformats.org/officeDocument/2006/relationships" ref="AA15" display="https://www.rentcafe.com/apartments-for-rent/us/la/lake-charles/" r:id="rId4"/>
  </hyperlink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3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PELICAN BAY | GREEN = Affordable Comps | BLUE = Market Rate Comps</t>
        </is>
      </c>
    </row>
    <row r="4" ht="20.25" customFormat="1" customHeight="1" s="6">
      <c r="A4" s="2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Pelican Bay (SUBJECT)</t>
        </is>
      </c>
      <c r="D7" s="26" t="inlineStr">
        <is>
          <t>2121 N Lobdell Blvd</t>
        </is>
      </c>
      <c r="E7" s="26" t="inlineStr">
        <is>
          <t>Baton Rouge</t>
        </is>
      </c>
      <c r="F7" s="26" t="inlineStr">
        <is>
          <t>LA</t>
        </is>
      </c>
      <c r="G7" s="26" t="inlineStr">
        <is>
          <t>70806</t>
        </is>
      </c>
      <c r="H7" s="26" t="inlineStr">
        <is>
          <t>0.0 mi</t>
        </is>
      </c>
      <c r="I7" s="26" t="inlineStr">
        <is>
          <t>$2,866</t>
        </is>
      </c>
      <c r="J7" s="26" t="inlineStr">
        <is>
          <t>$3,440</t>
        </is>
      </c>
      <c r="K7" s="28" t="inlineStr">
        <is>
          <t>$916</t>
        </is>
      </c>
      <c r="L7" s="29" t="inlineStr">
        <is>
          <t>N/A</t>
        </is>
      </c>
      <c r="M7" s="26" t="inlineStr">
        <is>
          <t>$3,441</t>
        </is>
      </c>
      <c r="N7" s="26" t="inlineStr">
        <is>
          <t>$4,130</t>
        </is>
      </c>
      <c r="O7" s="28" t="inlineStr">
        <is>
          <t>$1,254</t>
        </is>
      </c>
      <c r="P7" s="29" t="inlineStr">
        <is>
          <t>N/A</t>
        </is>
      </c>
      <c r="Q7" s="26" t="inlineStr">
        <is>
          <t>$3,820</t>
        </is>
      </c>
      <c r="R7" s="26" t="inlineStr">
        <is>
          <t>$4,585</t>
        </is>
      </c>
      <c r="S7" s="28" t="inlineStr">
        <is>
          <t>$1,573</t>
        </is>
      </c>
      <c r="T7" s="29" t="inlineStr">
        <is>
          <t>N/A</t>
        </is>
      </c>
      <c r="U7" s="26" t="inlineStr">
        <is>
          <t>$4,129</t>
        </is>
      </c>
      <c r="V7" s="26" t="inlineStr">
        <is>
          <t>$4,955</t>
        </is>
      </c>
      <c r="W7" s="28" t="inlineStr">
        <is>
          <t>$1,818</t>
        </is>
      </c>
      <c r="X7" s="29" t="inlineStr">
        <is>
          <t>N/A</t>
        </is>
      </c>
      <c r="Y7" s="26" t="inlineStr">
        <is>
          <t>152</t>
        </is>
      </c>
      <c r="Z7" s="26" t="inlineStr">
        <is>
          <t>2001</t>
        </is>
      </c>
      <c r="AA7" s="26" t="inlineStr">
        <is>
          <t>0</t>
        </is>
      </c>
      <c r="AB7" s="26" t="inlineStr">
        <is>
          <t>Partial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Yes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152 units | Section 8/HUD property. Year built: 2001.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Bon Carre' Court (Melrose)</t>
        </is>
      </c>
      <c r="D8" s="31" t="inlineStr">
        <is>
          <t>6645 Harry Dr</t>
        </is>
      </c>
      <c r="E8" s="31" t="inlineStr">
        <is>
          <t>Baton Rouge</t>
        </is>
      </c>
      <c r="F8" s="31" t="inlineStr">
        <is>
          <t>LA</t>
        </is>
      </c>
      <c r="G8" s="31" t="inlineStr">
        <is>
          <t>70806</t>
        </is>
      </c>
      <c r="H8" s="31" t="inlineStr">
        <is>
          <t>3.9 mi</t>
        </is>
      </c>
      <c r="I8" s="31" t="inlineStr">
        <is>
          <t>$2,866</t>
        </is>
      </c>
      <c r="J8" s="31" t="inlineStr">
        <is>
          <t>$3,440</t>
        </is>
      </c>
      <c r="K8" s="33" t="inlineStr">
        <is>
          <t>$916</t>
        </is>
      </c>
      <c r="L8" s="34" t="inlineStr">
        <is>
          <t>Not Listed</t>
        </is>
      </c>
      <c r="M8" s="31" t="inlineStr">
        <is>
          <t>$3,441</t>
        </is>
      </c>
      <c r="N8" s="31" t="inlineStr">
        <is>
          <t>$4,130</t>
        </is>
      </c>
      <c r="O8" s="33" t="inlineStr">
        <is>
          <t>$1,254</t>
        </is>
      </c>
      <c r="P8" s="34" t="inlineStr">
        <is>
          <t>$965</t>
        </is>
      </c>
      <c r="Q8" s="31" t="inlineStr">
        <is>
          <t>$3,820</t>
        </is>
      </c>
      <c r="R8" s="31" t="inlineStr">
        <is>
          <t>$4,585</t>
        </is>
      </c>
      <c r="S8" s="33" t="inlineStr">
        <is>
          <t>$1,573</t>
        </is>
      </c>
      <c r="T8" s="34" t="inlineStr">
        <is>
          <t>$1,185</t>
        </is>
      </c>
      <c r="U8" s="31" t="inlineStr">
        <is>
          <t>$4,129</t>
        </is>
      </c>
      <c r="V8" s="31" t="inlineStr">
        <is>
          <t>$4,955</t>
        </is>
      </c>
      <c r="W8" s="33" t="inlineStr">
        <is>
          <t>$1,818</t>
        </is>
      </c>
      <c r="X8" s="34" t="inlineStr">
        <is>
          <t>$1,450</t>
        </is>
      </c>
      <c r="Y8" s="31" t="inlineStr">
        <is>
          <t>172</t>
        </is>
      </c>
      <c r="Z8" s="31" t="inlineStr">
        <is>
          <t>2003</t>
        </is>
      </c>
      <c r="AA8" s="31" t="inlineStr">
        <is>
          <t>2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LIHTC property, 2003 vintage (2 yr diff), 172 units, 3.9 mi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Newport Villa</t>
        </is>
      </c>
      <c r="D9" s="36" t="inlineStr">
        <is>
          <t>1737 La Annie Dr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70815</t>
        </is>
      </c>
      <c r="H9" s="36" t="inlineStr">
        <is>
          <t>8.6 mi</t>
        </is>
      </c>
      <c r="I9" s="36" t="inlineStr">
        <is>
          <t>$2,866</t>
        </is>
      </c>
      <c r="J9" s="36" t="inlineStr">
        <is>
          <t>$3,440</t>
        </is>
      </c>
      <c r="K9" s="33" t="inlineStr">
        <is>
          <t>$916</t>
        </is>
      </c>
      <c r="L9" s="34" t="inlineStr">
        <is>
          <t>Not Listed</t>
        </is>
      </c>
      <c r="M9" s="36" t="inlineStr">
        <is>
          <t>$3,441</t>
        </is>
      </c>
      <c r="N9" s="36" t="inlineStr">
        <is>
          <t>$4,130</t>
        </is>
      </c>
      <c r="O9" s="33" t="inlineStr">
        <is>
          <t>$1,254</t>
        </is>
      </c>
      <c r="P9" s="34" t="inlineStr">
        <is>
          <t>Not Listed</t>
        </is>
      </c>
      <c r="Q9" s="36" t="inlineStr">
        <is>
          <t>$3,820</t>
        </is>
      </c>
      <c r="R9" s="36" t="inlineStr">
        <is>
          <t>$4,585</t>
        </is>
      </c>
      <c r="S9" s="33" t="inlineStr">
        <is>
          <t>$1,573</t>
        </is>
      </c>
      <c r="T9" s="34" t="inlineStr">
        <is>
          <t>Not Listed</t>
        </is>
      </c>
      <c r="U9" s="36" t="inlineStr">
        <is>
          <t>$4,129</t>
        </is>
      </c>
      <c r="V9" s="36" t="inlineStr">
        <is>
          <t>$4,955</t>
        </is>
      </c>
      <c r="W9" s="33" t="inlineStr">
        <is>
          <t>$1,818</t>
        </is>
      </c>
      <c r="X9" s="34" t="inlineStr">
        <is>
          <t>Not Listed</t>
        </is>
      </c>
      <c r="Y9" s="36" t="inlineStr">
        <is>
          <t>94</t>
        </is>
      </c>
      <c r="Z9" s="36" t="inlineStr">
        <is>
          <t>2000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LIHTC property, 2000 vintage (1 yr diff), 94 units, 8.6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Mt. Zion Homess</t>
        </is>
      </c>
      <c r="D10" s="39" t="inlineStr">
        <is>
          <t>802 N. 22Nd St., Gracie St, N. 29Th St.</t>
        </is>
      </c>
      <c r="E10" s="39" t="inlineStr">
        <is>
          <t>Baton Rouge</t>
        </is>
      </c>
      <c r="F10" s="39" t="inlineStr">
        <is>
          <t>LA</t>
        </is>
      </c>
      <c r="G10" s="39" t="inlineStr">
        <is>
          <t>70802-0000</t>
        </is>
      </c>
      <c r="H10" s="39" t="inlineStr">
        <is>
          <t>1.3 mi</t>
        </is>
      </c>
      <c r="I10" s="39" t="inlineStr">
        <is>
          <t>$2,866</t>
        </is>
      </c>
      <c r="J10" s="39" t="inlineStr">
        <is>
          <t>$3,440</t>
        </is>
      </c>
      <c r="K10" s="33" t="inlineStr">
        <is>
          <t>$916</t>
        </is>
      </c>
      <c r="L10" s="34" t="inlineStr">
        <is>
          <t>Not Listed</t>
        </is>
      </c>
      <c r="M10" s="39" t="inlineStr">
        <is>
          <t>$3,441</t>
        </is>
      </c>
      <c r="N10" s="39" t="inlineStr">
        <is>
          <t>$4,130</t>
        </is>
      </c>
      <c r="O10" s="33" t="inlineStr">
        <is>
          <t>$1,254</t>
        </is>
      </c>
      <c r="P10" s="34" t="inlineStr">
        <is>
          <t>Not Listed</t>
        </is>
      </c>
      <c r="Q10" s="39" t="inlineStr">
        <is>
          <t>$3,820</t>
        </is>
      </c>
      <c r="R10" s="39" t="inlineStr">
        <is>
          <t>$4,585</t>
        </is>
      </c>
      <c r="S10" s="33" t="inlineStr">
        <is>
          <t>$1,573</t>
        </is>
      </c>
      <c r="T10" s="34" t="inlineStr">
        <is>
          <t>Not Listed</t>
        </is>
      </c>
      <c r="U10" s="39" t="inlineStr">
        <is>
          <t>$4,129</t>
        </is>
      </c>
      <c r="V10" s="39" t="inlineStr">
        <is>
          <t>$4,955</t>
        </is>
      </c>
      <c r="W10" s="33" t="inlineStr">
        <is>
          <t>$1,818</t>
        </is>
      </c>
      <c r="X10" s="34" t="inlineStr">
        <is>
          <t>Not Listed</t>
        </is>
      </c>
      <c r="Y10" s="39" t="inlineStr">
        <is>
          <t>31</t>
        </is>
      </c>
      <c r="Z10" s="39" t="inlineStr">
        <is>
          <t>2001</t>
        </is>
      </c>
      <c r="AA10" s="39" t="inlineStr">
        <is>
          <t>0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LIHTC property, 2001 vintage (0 yr diff), 31 units, 1.3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Howell Place</t>
        </is>
      </c>
      <c r="D11" s="31" t="inlineStr">
        <is>
          <t>4150 72Nd St.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70811-0000</t>
        </is>
      </c>
      <c r="H11" s="31" t="inlineStr">
        <is>
          <t>5.0 mi</t>
        </is>
      </c>
      <c r="I11" s="31" t="inlineStr">
        <is>
          <t>$2,866</t>
        </is>
      </c>
      <c r="J11" s="31" t="inlineStr">
        <is>
          <t>$3,440</t>
        </is>
      </c>
      <c r="K11" s="33" t="inlineStr">
        <is>
          <t>$916</t>
        </is>
      </c>
      <c r="L11" s="34" t="inlineStr">
        <is>
          <t>Not Listed</t>
        </is>
      </c>
      <c r="M11" s="31" t="inlineStr">
        <is>
          <t>$3,441</t>
        </is>
      </c>
      <c r="N11" s="31" t="inlineStr">
        <is>
          <t>$4,130</t>
        </is>
      </c>
      <c r="O11" s="33" t="inlineStr">
        <is>
          <t>$1,254</t>
        </is>
      </c>
      <c r="P11" s="34" t="inlineStr">
        <is>
          <t>Not Listed</t>
        </is>
      </c>
      <c r="Q11" s="31" t="inlineStr">
        <is>
          <t>$3,820</t>
        </is>
      </c>
      <c r="R11" s="31" t="inlineStr">
        <is>
          <t>$4,585</t>
        </is>
      </c>
      <c r="S11" s="33" t="inlineStr">
        <is>
          <t>$1,573</t>
        </is>
      </c>
      <c r="T11" s="34" t="inlineStr">
        <is>
          <t>Not Listed</t>
        </is>
      </c>
      <c r="U11" s="31" t="inlineStr">
        <is>
          <t>$4,129</t>
        </is>
      </c>
      <c r="V11" s="31" t="inlineStr">
        <is>
          <t>$4,955</t>
        </is>
      </c>
      <c r="W11" s="33" t="inlineStr">
        <is>
          <t>$1,818</t>
        </is>
      </c>
      <c r="X11" s="34" t="inlineStr">
        <is>
          <t>Not Listed</t>
        </is>
      </c>
      <c r="Y11" s="31" t="inlineStr">
        <is>
          <t>48</t>
        </is>
      </c>
      <c r="Z11" s="31" t="inlineStr">
        <is>
          <t>2002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LIHTC property, 2002 vintage (1 yr diff), 48 units, 5.0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Sienna Lake Apartments</t>
        </is>
      </c>
      <c r="D12" s="42" t="inlineStr">
        <is>
          <t>5555 Sienna Lakes Dr, Baton Rouge, LA 70820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5.5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$916</t>
        </is>
      </c>
      <c r="L12" s="34" t="inlineStr">
        <is>
          <t>$925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$1,254</t>
        </is>
      </c>
      <c r="P12" s="34" t="inlineStr">
        <is>
          <t>$1,175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$1,573</t>
        </is>
      </c>
      <c r="T12" s="34" t="inlineStr">
        <is>
          <t>$1,450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$1,818</t>
        </is>
      </c>
      <c r="X12" s="34" t="inlineStr">
        <is>
          <t>Not Listed</t>
        </is>
      </c>
      <c r="Y12" s="42" t="inlineStr">
        <is>
          <t>240</t>
        </is>
      </c>
      <c r="Z12" s="42" t="inlineStr">
        <is>
          <t>2001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2001 vintage (0 yr diff), 240 units, 5.5 mi from subject. Shows market-rate rents vs. affordable housing discount.</t>
        </is>
      </c>
      <c r="AI12" s="42" t="inlineStr">
        <is>
          <t>https://www.rentcafe.com/apartments-for-rent/us/la/baton-rouge/sienna-lake/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Willow Creek Apartments</t>
        </is>
      </c>
      <c r="D13" s="45" t="inlineStr">
        <is>
          <t>9800 Airline Hwy,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7.2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$916</t>
        </is>
      </c>
      <c r="L13" s="34" t="inlineStr">
        <is>
          <t>$895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$1,254</t>
        </is>
      </c>
      <c r="P13" s="34" t="inlineStr">
        <is>
          <t>$1,125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$1,573</t>
        </is>
      </c>
      <c r="T13" s="34" t="inlineStr">
        <is>
          <t>$1,400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$1,818</t>
        </is>
      </c>
      <c r="X13" s="34" t="inlineStr">
        <is>
          <t>Not Listed</t>
        </is>
      </c>
      <c r="Y13" s="45" t="inlineStr">
        <is>
          <t>180</t>
        </is>
      </c>
      <c r="Z13" s="45" t="inlineStr">
        <is>
          <t>1999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1999 vintage (2 yr diff), 180 units, 7.2 mi from subject. Shows market-rate rents vs. affordable housing discount.</t>
        </is>
      </c>
      <c r="AI13" s="45" t="inlineStr">
        <is>
          <t>https://www.rentcafe.com/apartments-for-rent/us/la/baton-rouge/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The Preserve At Harveston</t>
        </is>
      </c>
      <c r="D14" s="48" t="inlineStr">
        <is>
          <t>18000 Harveston Dr, Baton Rouge, LA 70816</t>
        </is>
      </c>
      <c r="E14" s="48" t="inlineStr">
        <is>
          <t>Baton Rouge</t>
        </is>
      </c>
      <c r="F14" s="48" t="inlineStr">
        <is>
          <t>LA</t>
        </is>
      </c>
      <c r="G14" s="48" t="n"/>
      <c r="H14" s="48" t="inlineStr">
        <is>
          <t>9.0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$916</t>
        </is>
      </c>
      <c r="L14" s="34" t="inlineStr">
        <is>
          <t>$950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$1,254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$1,573</t>
        </is>
      </c>
      <c r="T14" s="34" t="inlineStr">
        <is>
          <t>$1,475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$1,818</t>
        </is>
      </c>
      <c r="X14" s="34" t="inlineStr">
        <is>
          <t>Not Listed</t>
        </is>
      </c>
      <c r="Y14" s="48" t="inlineStr">
        <is>
          <t>200</t>
        </is>
      </c>
      <c r="Z14" s="48" t="inlineStr">
        <is>
          <t>2002</t>
        </is>
      </c>
      <c r="AA14" s="48" t="inlineStr">
        <is>
          <t>1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2002 vintage (1 yr diff), 200 units, 9.0 mi from subject. Shows market-rate rents vs. affordable housing discount.</t>
        </is>
      </c>
      <c r="AI14" s="48" t="inlineStr">
        <is>
          <t>https://www.rentcafe.com/apartments-for-rent/us/la/baton-rouge/the-preserve-at-harveston/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Copper Mill Apartments</t>
        </is>
      </c>
      <c r="D15" s="42" t="inlineStr">
        <is>
          <t>10000 Copper Mill Dr, Baton Rouge, LA 70818</t>
        </is>
      </c>
      <c r="E15" s="42" t="inlineStr">
        <is>
          <t>Baton Rouge</t>
        </is>
      </c>
      <c r="F15" s="42" t="inlineStr">
        <is>
          <t>LA</t>
        </is>
      </c>
      <c r="G15" s="42" t="n"/>
      <c r="H15" s="42" t="inlineStr">
        <is>
          <t>10.5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$916</t>
        </is>
      </c>
      <c r="L15" s="34" t="inlineStr">
        <is>
          <t>$925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$1,254</t>
        </is>
      </c>
      <c r="P15" s="34" t="inlineStr">
        <is>
          <t>$1,150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$1,573</t>
        </is>
      </c>
      <c r="T15" s="34" t="inlineStr">
        <is>
          <t>$1,425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$1,818</t>
        </is>
      </c>
      <c r="X15" s="34" t="inlineStr">
        <is>
          <t>Not Listed</t>
        </is>
      </c>
      <c r="Y15" s="42" t="inlineStr">
        <is>
          <t>160</t>
        </is>
      </c>
      <c r="Z15" s="42" t="inlineStr">
        <is>
          <t>2000</t>
        </is>
      </c>
      <c r="AA15" s="42" t="inlineStr">
        <is>
          <t>1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2000 vintage (1 yr diff), 160 units, 10.5 mi from subject. Shows market-rate rents vs. affordable housing discount.</t>
        </is>
      </c>
      <c r="AI15" s="42" t="inlineStr">
        <is>
          <t>https://www.rentcafe.com/apartments-for-rent/us/la/baton-rouge/copper-mill/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Baton Rouge MSA</t>
        </is>
      </c>
      <c r="D16" s="51" t="inlineStr">
        <is>
          <t>N/A</t>
        </is>
      </c>
      <c r="E16" s="51" t="inlineStr">
        <is>
          <t>Baton Rouge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$916</t>
        </is>
      </c>
      <c r="J16" s="51" t="inlineStr">
        <is>
          <t>$916</t>
        </is>
      </c>
      <c r="K16" s="33" t="inlineStr">
        <is>
          <t>$916</t>
        </is>
      </c>
      <c r="L16" s="34" t="inlineStr">
        <is>
          <t>N/A</t>
        </is>
      </c>
      <c r="M16" s="51" t="inlineStr">
        <is>
          <t>$1,254</t>
        </is>
      </c>
      <c r="N16" s="51" t="inlineStr">
        <is>
          <t>$1,254</t>
        </is>
      </c>
      <c r="O16" s="33" t="inlineStr">
        <is>
          <t>$1,254</t>
        </is>
      </c>
      <c r="P16" s="34" t="inlineStr">
        <is>
          <t>N/A</t>
        </is>
      </c>
      <c r="Q16" s="51" t="inlineStr">
        <is>
          <t>$1,573</t>
        </is>
      </c>
      <c r="R16" s="51" t="inlineStr">
        <is>
          <t>$1,573</t>
        </is>
      </c>
      <c r="S16" s="33" t="inlineStr">
        <is>
          <t>$1,573</t>
        </is>
      </c>
      <c r="T16" s="34" t="inlineStr">
        <is>
          <t>N/A</t>
        </is>
      </c>
      <c r="U16" s="51" t="inlineStr">
        <is>
          <t>$1,818</t>
        </is>
      </c>
      <c r="V16" s="51" t="inlineStr">
        <is>
          <t>$1,818</t>
        </is>
      </c>
      <c r="W16" s="33" t="inlineStr">
        <is>
          <t>$1,818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Baton Rouge</t>
        </is>
      </c>
      <c r="D17" s="51" t="inlineStr">
        <is>
          <t>N/A</t>
        </is>
      </c>
      <c r="E17" s="51" t="inlineStr">
        <is>
          <t>Baton Rouge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$1,007</t>
        </is>
      </c>
      <c r="J17" s="51" t="inlineStr">
        <is>
          <t>$1,007</t>
        </is>
      </c>
      <c r="K17" s="33" t="inlineStr">
        <is>
          <t>$1,007</t>
        </is>
      </c>
      <c r="L17" s="34" t="inlineStr">
        <is>
          <t>N/A</t>
        </is>
      </c>
      <c r="M17" s="51" t="inlineStr">
        <is>
          <t>$1,379</t>
        </is>
      </c>
      <c r="N17" s="51" t="inlineStr">
        <is>
          <t>$1,379</t>
        </is>
      </c>
      <c r="O17" s="33" t="inlineStr">
        <is>
          <t>$1,379</t>
        </is>
      </c>
      <c r="P17" s="34" t="inlineStr">
        <is>
          <t>N/A</t>
        </is>
      </c>
      <c r="Q17" s="51" t="inlineStr">
        <is>
          <t>$1,730</t>
        </is>
      </c>
      <c r="R17" s="51" t="inlineStr">
        <is>
          <t>$1,730</t>
        </is>
      </c>
      <c r="S17" s="33" t="inlineStr">
        <is>
          <t>$1,730</t>
        </is>
      </c>
      <c r="T17" s="34" t="inlineStr">
        <is>
          <t>N/A</t>
        </is>
      </c>
      <c r="U17" s="51" t="inlineStr">
        <is>
          <t>$1,999</t>
        </is>
      </c>
      <c r="V17" s="51" t="inlineStr">
        <is>
          <t>$1,999</t>
        </is>
      </c>
      <c r="W17" s="33" t="inlineStr">
        <is>
          <t>$1,999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874</v>
      </c>
      <c r="D24" s="74" t="n">
        <v>1060</v>
      </c>
      <c r="E24" s="75" t="n">
        <v>77</v>
      </c>
      <c r="F24" s="76" t="n">
        <v>983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1040</v>
      </c>
      <c r="D25" s="78" t="n">
        <v>1200</v>
      </c>
      <c r="E25" s="75" t="n">
        <v>102</v>
      </c>
      <c r="F25" s="76" t="n">
        <v>1098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1194</v>
      </c>
      <c r="D26" s="74" t="n">
        <v>1500</v>
      </c>
      <c r="E26" s="75" t="n">
        <v>121</v>
      </c>
      <c r="F26" s="76" t="n">
        <v>1379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1321</v>
      </c>
      <c r="D27" s="78" t="n">
        <v>1990</v>
      </c>
      <c r="E27" s="75" t="n">
        <v>149</v>
      </c>
      <c r="F27" s="76" t="n">
        <v>1841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60%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1BD</t>
        </is>
      </c>
      <c r="B32" s="74" t="n">
        <v>1032</v>
      </c>
      <c r="C32" s="74" t="n">
        <v>874</v>
      </c>
      <c r="D32" s="75" t="n">
        <v>77</v>
      </c>
      <c r="E32" s="76" t="n">
        <v>797</v>
      </c>
    </row>
    <row r="33" ht="15" customFormat="1" customHeight="1" s="3">
      <c r="A33" s="77" t="inlineStr">
        <is>
          <t>2BD</t>
        </is>
      </c>
      <c r="B33" s="78" t="n">
        <v>1239</v>
      </c>
      <c r="C33" s="78" t="n">
        <v>1040</v>
      </c>
      <c r="D33" s="75" t="n">
        <v>102</v>
      </c>
      <c r="E33" s="76" t="n">
        <v>938</v>
      </c>
    </row>
    <row r="34" ht="15" customFormat="1" customHeight="1" s="3">
      <c r="A34" s="73" t="inlineStr">
        <is>
          <t>3BD</t>
        </is>
      </c>
      <c r="B34" s="74" t="n">
        <v>1431</v>
      </c>
      <c r="C34" s="74" t="n">
        <v>1194</v>
      </c>
      <c r="D34" s="75" t="n">
        <v>121</v>
      </c>
      <c r="E34" s="76" t="n">
        <v>1073</v>
      </c>
    </row>
    <row r="35" ht="15" customFormat="1" customHeight="1" s="3">
      <c r="A35" s="77" t="inlineStr">
        <is>
          <t>4BD</t>
        </is>
      </c>
      <c r="B35" s="78" t="n">
        <v>1596</v>
      </c>
      <c r="C35" s="78" t="n">
        <v>1321</v>
      </c>
      <c r="D35" s="75" t="n">
        <v>149</v>
      </c>
      <c r="E35" s="76" t="n">
        <v>1172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0</v>
      </c>
      <c r="C40" s="107" t="n">
        <v>1184</v>
      </c>
    </row>
    <row r="41" ht="15" customFormat="1" customHeight="1" s="3">
      <c r="A41" s="77" t="inlineStr">
        <is>
          <t>2BD</t>
        </is>
      </c>
      <c r="B41" s="106" t="n">
        <v>0</v>
      </c>
      <c r="C41" s="107" t="n">
        <v>1326</v>
      </c>
    </row>
    <row r="42" ht="15" customFormat="1" customHeight="1" s="3">
      <c r="A42" s="73" t="inlineStr">
        <is>
          <t>3BD</t>
        </is>
      </c>
      <c r="B42" s="106" t="n">
        <v>0</v>
      </c>
      <c r="C42" s="107" t="n">
        <v>1530</v>
      </c>
    </row>
    <row r="43" ht="15" customFormat="1" customHeight="1" s="3">
      <c r="A43" s="77" t="inlineStr">
        <is>
          <t>4BD</t>
        </is>
      </c>
      <c r="B43" s="106" t="n">
        <v>0</v>
      </c>
      <c r="C43" s="107" t="n">
        <v>1253</v>
      </c>
    </row>
  </sheetData>
  <mergeCells count="7">
    <mergeCell ref="A30:E30"/>
    <mergeCell ref="A19:AI19"/>
    <mergeCell ref="A5:AI5"/>
    <mergeCell ref="A3:AI3"/>
    <mergeCell ref="A22:F22"/>
    <mergeCell ref="A4:AI4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43"/>
  <sheetViews>
    <sheetView topLeftCell="A1" workbookViewId="0">
      <pane ySplit="1" topLeftCell="A5" activePane="bottomLeft" state="frozen"/>
      <selection pane="bottomLeft" activeCell="A1" sqref="A1:AI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HOWELL PLACE | GREEN = Affordable Comps | BLUE = Market Rate Comps</t>
        </is>
      </c>
    </row>
    <row r="4" ht="20.25" customFormat="1" customHeight="1" s="6">
      <c r="A4" s="2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Howell Place (SUBJECT)</t>
        </is>
      </c>
      <c r="D7" s="26" t="inlineStr">
        <is>
          <t>4150 72nd Avenue</t>
        </is>
      </c>
      <c r="E7" s="26" t="inlineStr">
        <is>
          <t>Baton Rouge</t>
        </is>
      </c>
      <c r="F7" s="26" t="inlineStr">
        <is>
          <t>LA</t>
        </is>
      </c>
      <c r="G7" s="26" t="inlineStr">
        <is>
          <t>70811</t>
        </is>
      </c>
      <c r="H7" s="26" t="inlineStr">
        <is>
          <t>0.0 mi</t>
        </is>
      </c>
      <c r="I7" s="26" t="inlineStr">
        <is>
          <t>$2,866</t>
        </is>
      </c>
      <c r="J7" s="26" t="inlineStr">
        <is>
          <t>$3,440</t>
        </is>
      </c>
      <c r="K7" s="28" t="inlineStr">
        <is>
          <t>$916</t>
        </is>
      </c>
      <c r="L7" s="29" t="inlineStr">
        <is>
          <t>N/A</t>
        </is>
      </c>
      <c r="M7" s="26" t="inlineStr">
        <is>
          <t>$3,441</t>
        </is>
      </c>
      <c r="N7" s="26" t="inlineStr">
        <is>
          <t>$4,130</t>
        </is>
      </c>
      <c r="O7" s="28" t="inlineStr">
        <is>
          <t>$1,254</t>
        </is>
      </c>
      <c r="P7" s="29" t="inlineStr">
        <is>
          <t>N/A</t>
        </is>
      </c>
      <c r="Q7" s="26" t="inlineStr">
        <is>
          <t>$3,820</t>
        </is>
      </c>
      <c r="R7" s="26" t="inlineStr">
        <is>
          <t>$4,585</t>
        </is>
      </c>
      <c r="S7" s="28" t="inlineStr">
        <is>
          <t>$1,573</t>
        </is>
      </c>
      <c r="T7" s="29" t="inlineStr">
        <is>
          <t>N/A</t>
        </is>
      </c>
      <c r="U7" s="26" t="inlineStr">
        <is>
          <t>$4,129</t>
        </is>
      </c>
      <c r="V7" s="26" t="inlineStr">
        <is>
          <t>$4,955</t>
        </is>
      </c>
      <c r="W7" s="28" t="inlineStr">
        <is>
          <t>$1,818</t>
        </is>
      </c>
      <c r="X7" s="29" t="inlineStr">
        <is>
          <t>N/A</t>
        </is>
      </c>
      <c r="Y7" s="26" t="inlineStr">
        <is>
          <t>48</t>
        </is>
      </c>
      <c r="Z7" s="26" t="inlineStr">
        <is>
          <t>2001</t>
        </is>
      </c>
      <c r="AA7" s="26" t="inlineStr">
        <is>
          <t>0</t>
        </is>
      </c>
      <c r="AB7" s="26" t="inlineStr">
        <is>
          <t>Partial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48 units | Section 8/HUD property. Year built: 2001.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Pelican Bay Iii</t>
        </is>
      </c>
      <c r="D8" s="31" t="inlineStr">
        <is>
          <t>2121 N. Lobdell Blvd.</t>
        </is>
      </c>
      <c r="E8" s="31" t="inlineStr">
        <is>
          <t>Baton Rouge</t>
        </is>
      </c>
      <c r="F8" s="31" t="inlineStr">
        <is>
          <t>LA</t>
        </is>
      </c>
      <c r="G8" s="31" t="inlineStr">
        <is>
          <t>70806-0000</t>
        </is>
      </c>
      <c r="H8" s="31" t="inlineStr">
        <is>
          <t>4.1 mi</t>
        </is>
      </c>
      <c r="I8" s="31" t="inlineStr">
        <is>
          <t>$2,866</t>
        </is>
      </c>
      <c r="J8" s="31" t="inlineStr">
        <is>
          <t>$3,440</t>
        </is>
      </c>
      <c r="K8" s="33" t="inlineStr">
        <is>
          <t>$916</t>
        </is>
      </c>
      <c r="L8" s="34" t="inlineStr">
        <is>
          <t>Not Listed</t>
        </is>
      </c>
      <c r="M8" s="31" t="inlineStr">
        <is>
          <t>$3,441</t>
        </is>
      </c>
      <c r="N8" s="31" t="inlineStr">
        <is>
          <t>$4,130</t>
        </is>
      </c>
      <c r="O8" s="33" t="inlineStr">
        <is>
          <t>$1,254</t>
        </is>
      </c>
      <c r="P8" s="34" t="inlineStr">
        <is>
          <t>Not Listed</t>
        </is>
      </c>
      <c r="Q8" s="31" t="inlineStr">
        <is>
          <t>$3,820</t>
        </is>
      </c>
      <c r="R8" s="31" t="inlineStr">
        <is>
          <t>$4,585</t>
        </is>
      </c>
      <c r="S8" s="33" t="inlineStr">
        <is>
          <t>$1,573</t>
        </is>
      </c>
      <c r="T8" s="34" t="inlineStr">
        <is>
          <t>Not Listed</t>
        </is>
      </c>
      <c r="U8" s="31" t="inlineStr">
        <is>
          <t>$4,129</t>
        </is>
      </c>
      <c r="V8" s="31" t="inlineStr">
        <is>
          <t>$4,955</t>
        </is>
      </c>
      <c r="W8" s="33" t="inlineStr">
        <is>
          <t>$1,818</t>
        </is>
      </c>
      <c r="X8" s="34" t="inlineStr">
        <is>
          <t>Not Listed</t>
        </is>
      </c>
      <c r="Y8" s="31" t="inlineStr">
        <is>
          <t>48</t>
        </is>
      </c>
      <c r="Z8" s="31" t="inlineStr">
        <is>
          <t>2001</t>
        </is>
      </c>
      <c r="AA8" s="31" t="inlineStr">
        <is>
          <t>0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LIHTC property, 2001 vintage (0 yr diff), 48 units, 4.1 mi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Mt. Zion Homess</t>
        </is>
      </c>
      <c r="D9" s="36" t="inlineStr">
        <is>
          <t>802 N. 22Nd St., Gracie St, N. 29Th St.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70802-0000</t>
        </is>
      </c>
      <c r="H9" s="36" t="inlineStr">
        <is>
          <t>1.3 mi</t>
        </is>
      </c>
      <c r="I9" s="36" t="inlineStr">
        <is>
          <t>$2,866</t>
        </is>
      </c>
      <c r="J9" s="36" t="inlineStr">
        <is>
          <t>$3,440</t>
        </is>
      </c>
      <c r="K9" s="33" t="inlineStr">
        <is>
          <t>$916</t>
        </is>
      </c>
      <c r="L9" s="34" t="inlineStr">
        <is>
          <t>Not Listed</t>
        </is>
      </c>
      <c r="M9" s="36" t="inlineStr">
        <is>
          <t>$3,441</t>
        </is>
      </c>
      <c r="N9" s="36" t="inlineStr">
        <is>
          <t>$4,130</t>
        </is>
      </c>
      <c r="O9" s="33" t="inlineStr">
        <is>
          <t>$1,254</t>
        </is>
      </c>
      <c r="P9" s="34" t="inlineStr">
        <is>
          <t>Not Listed</t>
        </is>
      </c>
      <c r="Q9" s="36" t="inlineStr">
        <is>
          <t>$3,820</t>
        </is>
      </c>
      <c r="R9" s="36" t="inlineStr">
        <is>
          <t>$4,585</t>
        </is>
      </c>
      <c r="S9" s="33" t="inlineStr">
        <is>
          <t>$1,573</t>
        </is>
      </c>
      <c r="T9" s="34" t="inlineStr">
        <is>
          <t>Not Listed</t>
        </is>
      </c>
      <c r="U9" s="36" t="inlineStr">
        <is>
          <t>$4,129</t>
        </is>
      </c>
      <c r="V9" s="36" t="inlineStr">
        <is>
          <t>$4,955</t>
        </is>
      </c>
      <c r="W9" s="33" t="inlineStr">
        <is>
          <t>$1,818</t>
        </is>
      </c>
      <c r="X9" s="34" t="inlineStr">
        <is>
          <t>Not Listed</t>
        </is>
      </c>
      <c r="Y9" s="36" t="inlineStr">
        <is>
          <t>31</t>
        </is>
      </c>
      <c r="Z9" s="36" t="inlineStr">
        <is>
          <t>2001</t>
        </is>
      </c>
      <c r="AA9" s="36" t="inlineStr">
        <is>
          <t>0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LIHTC property, 2001 vintage (0 yr diff), 31 units, 1.3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Restoration Baton Rouge Ii</t>
        </is>
      </c>
      <c r="D10" s="39" t="inlineStr">
        <is>
          <t>2906 Government Street</t>
        </is>
      </c>
      <c r="E10" s="39" t="inlineStr">
        <is>
          <t>Baton Rouge</t>
        </is>
      </c>
      <c r="F10" s="39" t="inlineStr">
        <is>
          <t>LA</t>
        </is>
      </c>
      <c r="G10" s="39" t="inlineStr">
        <is>
          <t>70806-0000</t>
        </is>
      </c>
      <c r="H10" s="39" t="inlineStr">
        <is>
          <t>1.8 mi</t>
        </is>
      </c>
      <c r="I10" s="39" t="inlineStr">
        <is>
          <t>$2,866</t>
        </is>
      </c>
      <c r="J10" s="39" t="inlineStr">
        <is>
          <t>$3,440</t>
        </is>
      </c>
      <c r="K10" s="33" t="inlineStr">
        <is>
          <t>$916</t>
        </is>
      </c>
      <c r="L10" s="34" t="inlineStr">
        <is>
          <t>Not Listed</t>
        </is>
      </c>
      <c r="M10" s="39" t="inlineStr">
        <is>
          <t>$3,441</t>
        </is>
      </c>
      <c r="N10" s="39" t="inlineStr">
        <is>
          <t>$4,130</t>
        </is>
      </c>
      <c r="O10" s="33" t="inlineStr">
        <is>
          <t>$1,254</t>
        </is>
      </c>
      <c r="P10" s="34" t="inlineStr">
        <is>
          <t>Not Listed</t>
        </is>
      </c>
      <c r="Q10" s="39" t="inlineStr">
        <is>
          <t>$3,820</t>
        </is>
      </c>
      <c r="R10" s="39" t="inlineStr">
        <is>
          <t>$4,585</t>
        </is>
      </c>
      <c r="S10" s="33" t="inlineStr">
        <is>
          <t>$1,573</t>
        </is>
      </c>
      <c r="T10" s="34" t="inlineStr">
        <is>
          <t>Not Listed</t>
        </is>
      </c>
      <c r="U10" s="39" t="inlineStr">
        <is>
          <t>$4,129</t>
        </is>
      </c>
      <c r="V10" s="39" t="inlineStr">
        <is>
          <t>$4,955</t>
        </is>
      </c>
      <c r="W10" s="33" t="inlineStr">
        <is>
          <t>$1,818</t>
        </is>
      </c>
      <c r="X10" s="34" t="inlineStr">
        <is>
          <t>Not Listed</t>
        </is>
      </c>
      <c r="Y10" s="39" t="inlineStr">
        <is>
          <t>36</t>
        </is>
      </c>
      <c r="Z10" s="39" t="inlineStr">
        <is>
          <t>2002</t>
        </is>
      </c>
      <c r="AA10" s="39" t="inlineStr">
        <is>
          <t>1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LIHTC property, 2002 vintage (1 yr diff), 36 units, 1.8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Restoration Baton Rouge I</t>
        </is>
      </c>
      <c r="D11" s="31" t="inlineStr">
        <is>
          <t>605 North 33Rd Street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70802-0000</t>
        </is>
      </c>
      <c r="H11" s="31" t="inlineStr">
        <is>
          <t>1.9 mi</t>
        </is>
      </c>
      <c r="I11" s="31" t="inlineStr">
        <is>
          <t>$2,866</t>
        </is>
      </c>
      <c r="J11" s="31" t="inlineStr">
        <is>
          <t>$3,440</t>
        </is>
      </c>
      <c r="K11" s="33" t="inlineStr">
        <is>
          <t>$916</t>
        </is>
      </c>
      <c r="L11" s="34" t="inlineStr">
        <is>
          <t>Not Listed</t>
        </is>
      </c>
      <c r="M11" s="31" t="inlineStr">
        <is>
          <t>$3,441</t>
        </is>
      </c>
      <c r="N11" s="31" t="inlineStr">
        <is>
          <t>$4,130</t>
        </is>
      </c>
      <c r="O11" s="33" t="inlineStr">
        <is>
          <t>$1,254</t>
        </is>
      </c>
      <c r="P11" s="34" t="inlineStr">
        <is>
          <t>Not Listed</t>
        </is>
      </c>
      <c r="Q11" s="31" t="inlineStr">
        <is>
          <t>$3,820</t>
        </is>
      </c>
      <c r="R11" s="31" t="inlineStr">
        <is>
          <t>$4,585</t>
        </is>
      </c>
      <c r="S11" s="33" t="inlineStr">
        <is>
          <t>$1,573</t>
        </is>
      </c>
      <c r="T11" s="34" t="inlineStr">
        <is>
          <t>Not Listed</t>
        </is>
      </c>
      <c r="U11" s="31" t="inlineStr">
        <is>
          <t>$4,129</t>
        </is>
      </c>
      <c r="V11" s="31" t="inlineStr">
        <is>
          <t>$4,955</t>
        </is>
      </c>
      <c r="W11" s="33" t="inlineStr">
        <is>
          <t>$1,818</t>
        </is>
      </c>
      <c r="X11" s="34" t="inlineStr">
        <is>
          <t>Not Listed</t>
        </is>
      </c>
      <c r="Y11" s="31" t="inlineStr">
        <is>
          <t>32</t>
        </is>
      </c>
      <c r="Z11" s="31" t="inlineStr">
        <is>
          <t>2002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LIHTC property, 2002 vintage (1 yr diff), 32 units, 1.9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Sienna Lake Apartments</t>
        </is>
      </c>
      <c r="D12" s="42" t="inlineStr">
        <is>
          <t>5555 Sienna Lakes Dr, Baton Rouge, LA 70820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4.8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$916</t>
        </is>
      </c>
      <c r="L12" s="34" t="inlineStr">
        <is>
          <t>$925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$1,254</t>
        </is>
      </c>
      <c r="P12" s="34" t="inlineStr">
        <is>
          <t>$1,175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$1,573</t>
        </is>
      </c>
      <c r="T12" s="34" t="inlineStr">
        <is>
          <t>$1,450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$1,818</t>
        </is>
      </c>
      <c r="X12" s="34" t="inlineStr">
        <is>
          <t>Not Listed</t>
        </is>
      </c>
      <c r="Y12" s="42" t="inlineStr">
        <is>
          <t>240</t>
        </is>
      </c>
      <c r="Z12" s="42" t="inlineStr">
        <is>
          <t>2001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2001 vintage (0 yr diff), 240 units, 4.8 mi from subject. Shows market-rate rents vs. affordable housing discount.</t>
        </is>
      </c>
      <c r="AI12" s="42" t="inlineStr">
        <is>
          <t>https://www.rentcafe.com/apartments-for-rent/us/la/baton-rouge/sienna-lake/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Willow Creek Apartments</t>
        </is>
      </c>
      <c r="D13" s="45" t="inlineStr">
        <is>
          <t>9800 Airline Hwy,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6.5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$916</t>
        </is>
      </c>
      <c r="L13" s="34" t="inlineStr">
        <is>
          <t>$895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$1,254</t>
        </is>
      </c>
      <c r="P13" s="34" t="inlineStr">
        <is>
          <t>$1,125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$1,573</t>
        </is>
      </c>
      <c r="T13" s="34" t="inlineStr">
        <is>
          <t>$1,400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$1,818</t>
        </is>
      </c>
      <c r="X13" s="34" t="inlineStr">
        <is>
          <t>Not Listed</t>
        </is>
      </c>
      <c r="Y13" s="45" t="inlineStr">
        <is>
          <t>180</t>
        </is>
      </c>
      <c r="Z13" s="45" t="inlineStr">
        <is>
          <t>1999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1999 vintage (2 yr diff), 180 units, 6.5 mi from subject. Shows market-rate rents vs. affordable housing discount.</t>
        </is>
      </c>
      <c r="AI13" s="45" t="inlineStr">
        <is>
          <t>https://www.rentcafe.com/apartments-for-rent/us/la/baton-rouge/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The Preserve At Harveston</t>
        </is>
      </c>
      <c r="D14" s="48" t="inlineStr">
        <is>
          <t>18000 Harveston Dr, Baton Rouge, LA 70816</t>
        </is>
      </c>
      <c r="E14" s="48" t="inlineStr">
        <is>
          <t>Baton Rouge</t>
        </is>
      </c>
      <c r="F14" s="48" t="inlineStr">
        <is>
          <t>LA</t>
        </is>
      </c>
      <c r="G14" s="48" t="n"/>
      <c r="H14" s="48" t="inlineStr">
        <is>
          <t>8.2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$916</t>
        </is>
      </c>
      <c r="L14" s="34" t="inlineStr">
        <is>
          <t>$950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$1,254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$1,573</t>
        </is>
      </c>
      <c r="T14" s="34" t="inlineStr">
        <is>
          <t>$1,475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$1,818</t>
        </is>
      </c>
      <c r="X14" s="34" t="inlineStr">
        <is>
          <t>Not Listed</t>
        </is>
      </c>
      <c r="Y14" s="48" t="inlineStr">
        <is>
          <t>200</t>
        </is>
      </c>
      <c r="Z14" s="48" t="inlineStr">
        <is>
          <t>2002</t>
        </is>
      </c>
      <c r="AA14" s="48" t="inlineStr">
        <is>
          <t>1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2002 vintage (1 yr diff), 200 units, 8.2 mi from subject. Shows market-rate rents vs. affordable housing discount.</t>
        </is>
      </c>
      <c r="AI14" s="48" t="inlineStr">
        <is>
          <t>https://www.rentcafe.com/apartments-for-rent/us/la/baton-rouge/the-preserve-at-harveston/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Copper Mill Apartments</t>
        </is>
      </c>
      <c r="D15" s="42" t="inlineStr">
        <is>
          <t>10000 Copper Mill Dr, Baton Rouge, LA 70818</t>
        </is>
      </c>
      <c r="E15" s="42" t="inlineStr">
        <is>
          <t>Baton Rouge</t>
        </is>
      </c>
      <c r="F15" s="42" t="inlineStr">
        <is>
          <t>LA</t>
        </is>
      </c>
      <c r="G15" s="42" t="n"/>
      <c r="H15" s="42" t="inlineStr">
        <is>
          <t>9.8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$916</t>
        </is>
      </c>
      <c r="L15" s="34" t="inlineStr">
        <is>
          <t>$925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$1,254</t>
        </is>
      </c>
      <c r="P15" s="34" t="inlineStr">
        <is>
          <t>$1,150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$1,573</t>
        </is>
      </c>
      <c r="T15" s="34" t="inlineStr">
        <is>
          <t>$1,425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$1,818</t>
        </is>
      </c>
      <c r="X15" s="34" t="inlineStr">
        <is>
          <t>Not Listed</t>
        </is>
      </c>
      <c r="Y15" s="42" t="inlineStr">
        <is>
          <t>160</t>
        </is>
      </c>
      <c r="Z15" s="42" t="inlineStr">
        <is>
          <t>2000</t>
        </is>
      </c>
      <c r="AA15" s="42" t="inlineStr">
        <is>
          <t>1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2000 vintage (1 yr diff), 160 units, 9.8 mi from subject. Shows market-rate rents vs. affordable housing discount.</t>
        </is>
      </c>
      <c r="AI15" s="42" t="inlineStr">
        <is>
          <t>https://www.rentcafe.com/apartments-for-rent/us/la/baton-rouge/copper-mill/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Baton Rouge MSA</t>
        </is>
      </c>
      <c r="D16" s="51" t="inlineStr">
        <is>
          <t>N/A</t>
        </is>
      </c>
      <c r="E16" s="51" t="inlineStr">
        <is>
          <t>Baton Rouge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$916</t>
        </is>
      </c>
      <c r="J16" s="51" t="inlineStr">
        <is>
          <t>$916</t>
        </is>
      </c>
      <c r="K16" s="33" t="inlineStr">
        <is>
          <t>$916</t>
        </is>
      </c>
      <c r="L16" s="34" t="inlineStr">
        <is>
          <t>N/A</t>
        </is>
      </c>
      <c r="M16" s="51" t="inlineStr">
        <is>
          <t>$1,254</t>
        </is>
      </c>
      <c r="N16" s="51" t="inlineStr">
        <is>
          <t>$1,254</t>
        </is>
      </c>
      <c r="O16" s="33" t="inlineStr">
        <is>
          <t>$1,254</t>
        </is>
      </c>
      <c r="P16" s="34" t="inlineStr">
        <is>
          <t>N/A</t>
        </is>
      </c>
      <c r="Q16" s="51" t="inlineStr">
        <is>
          <t>$1,573</t>
        </is>
      </c>
      <c r="R16" s="51" t="inlineStr">
        <is>
          <t>$1,573</t>
        </is>
      </c>
      <c r="S16" s="33" t="inlineStr">
        <is>
          <t>$1,573</t>
        </is>
      </c>
      <c r="T16" s="34" t="inlineStr">
        <is>
          <t>N/A</t>
        </is>
      </c>
      <c r="U16" s="51" t="inlineStr">
        <is>
          <t>$1,818</t>
        </is>
      </c>
      <c r="V16" s="51" t="inlineStr">
        <is>
          <t>$1,818</t>
        </is>
      </c>
      <c r="W16" s="33" t="inlineStr">
        <is>
          <t>$1,818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Baton Rouge</t>
        </is>
      </c>
      <c r="D17" s="51" t="inlineStr">
        <is>
          <t>N/A</t>
        </is>
      </c>
      <c r="E17" s="51" t="inlineStr">
        <is>
          <t>Baton Rouge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$1,007</t>
        </is>
      </c>
      <c r="J17" s="51" t="inlineStr">
        <is>
          <t>$1,007</t>
        </is>
      </c>
      <c r="K17" s="33" t="inlineStr">
        <is>
          <t>$1,007</t>
        </is>
      </c>
      <c r="L17" s="34" t="inlineStr">
        <is>
          <t>N/A</t>
        </is>
      </c>
      <c r="M17" s="51" t="inlineStr">
        <is>
          <t>$1,379</t>
        </is>
      </c>
      <c r="N17" s="51" t="inlineStr">
        <is>
          <t>$1,379</t>
        </is>
      </c>
      <c r="O17" s="33" t="inlineStr">
        <is>
          <t>$1,379</t>
        </is>
      </c>
      <c r="P17" s="34" t="inlineStr">
        <is>
          <t>N/A</t>
        </is>
      </c>
      <c r="Q17" s="51" t="inlineStr">
        <is>
          <t>$1,730</t>
        </is>
      </c>
      <c r="R17" s="51" t="inlineStr">
        <is>
          <t>$1,730</t>
        </is>
      </c>
      <c r="S17" s="33" t="inlineStr">
        <is>
          <t>$1,730</t>
        </is>
      </c>
      <c r="T17" s="34" t="inlineStr">
        <is>
          <t>N/A</t>
        </is>
      </c>
      <c r="U17" s="51" t="inlineStr">
        <is>
          <t>$1,999</t>
        </is>
      </c>
      <c r="V17" s="51" t="inlineStr">
        <is>
          <t>$1,999</t>
        </is>
      </c>
      <c r="W17" s="33" t="inlineStr">
        <is>
          <t>$1,999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900</v>
      </c>
      <c r="D24" s="74" t="n">
        <v>1020</v>
      </c>
      <c r="E24" s="75" t="n">
        <v>77</v>
      </c>
      <c r="F24" s="76" t="n">
        <v>943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1107</v>
      </c>
      <c r="D25" s="78" t="n">
        <v>1150</v>
      </c>
      <c r="E25" s="75" t="n">
        <v>102</v>
      </c>
      <c r="F25" s="76" t="n">
        <v>1048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1300</v>
      </c>
      <c r="D26" s="74" t="n">
        <v>1440</v>
      </c>
      <c r="E26" s="75" t="n">
        <v>121</v>
      </c>
      <c r="F26" s="76" t="n">
        <v>1319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1572</v>
      </c>
      <c r="D27" s="78" t="n">
        <v>1920</v>
      </c>
      <c r="E27" s="75" t="n">
        <v>149</v>
      </c>
      <c r="F27" s="76" t="n">
        <v>1771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60%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1BD</t>
        </is>
      </c>
      <c r="B32" s="74" t="n">
        <v>1032</v>
      </c>
      <c r="C32" s="74" t="n">
        <v>874</v>
      </c>
      <c r="D32" s="75" t="n">
        <v>77</v>
      </c>
      <c r="E32" s="76" t="n">
        <v>797</v>
      </c>
    </row>
    <row r="33" ht="15" customFormat="1" customHeight="1" s="3">
      <c r="A33" s="77" t="inlineStr">
        <is>
          <t>2BD</t>
        </is>
      </c>
      <c r="B33" s="78" t="n">
        <v>1239</v>
      </c>
      <c r="C33" s="78" t="n">
        <v>1039</v>
      </c>
      <c r="D33" s="75" t="n">
        <v>102</v>
      </c>
      <c r="E33" s="76" t="n">
        <v>937</v>
      </c>
    </row>
    <row r="34" ht="15" customFormat="1" customHeight="1" s="3">
      <c r="A34" s="73" t="inlineStr">
        <is>
          <t>3BD</t>
        </is>
      </c>
      <c r="B34" s="74" t="n">
        <v>1431</v>
      </c>
      <c r="C34" s="74" t="n">
        <v>1194</v>
      </c>
      <c r="D34" s="75" t="n">
        <v>121</v>
      </c>
      <c r="E34" s="76" t="n">
        <v>1073</v>
      </c>
    </row>
    <row r="35" ht="15" customFormat="1" customHeight="1" s="3">
      <c r="A35" s="77" t="inlineStr">
        <is>
          <t>4BD</t>
        </is>
      </c>
      <c r="B35" s="78" t="n">
        <v>1596</v>
      </c>
      <c r="C35" s="78" t="n">
        <v>1321</v>
      </c>
      <c r="D35" s="75" t="n">
        <v>149</v>
      </c>
      <c r="E35" s="76" t="n">
        <v>1172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0</v>
      </c>
      <c r="C40" s="107" t="n">
        <v>1142</v>
      </c>
    </row>
    <row r="41" ht="15" customFormat="1" customHeight="1" s="3">
      <c r="A41" s="77" t="inlineStr">
        <is>
          <t>2BD</t>
        </is>
      </c>
      <c r="B41" s="106" t="n">
        <v>0</v>
      </c>
      <c r="C41" s="107" t="n">
        <v>1377</v>
      </c>
    </row>
    <row r="42" ht="15" customFormat="1" customHeight="1" s="3">
      <c r="A42" s="73" t="inlineStr">
        <is>
          <t>3BD</t>
        </is>
      </c>
      <c r="B42" s="106" t="n">
        <v>0</v>
      </c>
      <c r="C42" s="107" t="n">
        <v>1458</v>
      </c>
    </row>
    <row r="43" ht="15" customFormat="1" customHeight="1" s="3">
      <c r="A43" s="77" t="inlineStr">
        <is>
          <t>4BD</t>
        </is>
      </c>
      <c r="B43" s="106" t="n">
        <v>0</v>
      </c>
      <c r="C43" s="107" t="n">
        <v>1486</v>
      </c>
    </row>
  </sheetData>
  <mergeCells count="7">
    <mergeCell ref="A30:E30"/>
    <mergeCell ref="A19:AI19"/>
    <mergeCell ref="A5:AI5"/>
    <mergeCell ref="A3:AI3"/>
    <mergeCell ref="A22:F22"/>
    <mergeCell ref="A4:AI4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43"/>
  <sheetViews>
    <sheetView topLeftCell="A1" workbookViewId="0">
      <pane ySplit="1" topLeftCell="A5" activePane="bottomLeft" state="frozen"/>
      <selection pane="bottomLeft" activeCell="A1" sqref="A1:AI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PIRATES BEND | GREEN = Affordable Comps | BLUE = Market Rate Comps</t>
        </is>
      </c>
    </row>
    <row r="4" ht="20.25" customFormat="1" customHeight="1" s="6">
      <c r="A4" s="2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Pirates Bend (SUBJECT)</t>
        </is>
      </c>
      <c r="D7" s="26" t="inlineStr">
        <is>
          <t>8165 Plank Road</t>
        </is>
      </c>
      <c r="E7" s="26" t="inlineStr">
        <is>
          <t>Baton Rouge</t>
        </is>
      </c>
      <c r="F7" s="26" t="inlineStr">
        <is>
          <t>LA</t>
        </is>
      </c>
      <c r="G7" s="26" t="inlineStr">
        <is>
          <t>70811</t>
        </is>
      </c>
      <c r="H7" s="26" t="inlineStr">
        <is>
          <t>0.0 mi</t>
        </is>
      </c>
      <c r="I7" s="26" t="inlineStr">
        <is>
          <t>$2,866</t>
        </is>
      </c>
      <c r="J7" s="26" t="inlineStr">
        <is>
          <t>$3,440</t>
        </is>
      </c>
      <c r="K7" s="28" t="inlineStr">
        <is>
          <t>$916</t>
        </is>
      </c>
      <c r="L7" s="29" t="inlineStr">
        <is>
          <t>N/A</t>
        </is>
      </c>
      <c r="M7" s="26" t="inlineStr">
        <is>
          <t>$3,441</t>
        </is>
      </c>
      <c r="N7" s="26" t="inlineStr">
        <is>
          <t>$4,130</t>
        </is>
      </c>
      <c r="O7" s="28" t="inlineStr">
        <is>
          <t>$1,254</t>
        </is>
      </c>
      <c r="P7" s="29" t="inlineStr">
        <is>
          <t>N/A</t>
        </is>
      </c>
      <c r="Q7" s="26" t="inlineStr">
        <is>
          <t>$3,820</t>
        </is>
      </c>
      <c r="R7" s="26" t="inlineStr">
        <is>
          <t>$4,585</t>
        </is>
      </c>
      <c r="S7" s="28" t="inlineStr">
        <is>
          <t>$1,573</t>
        </is>
      </c>
      <c r="T7" s="29" t="inlineStr">
        <is>
          <t>N/A</t>
        </is>
      </c>
      <c r="U7" s="26" t="inlineStr">
        <is>
          <t>$4,129</t>
        </is>
      </c>
      <c r="V7" s="26" t="inlineStr">
        <is>
          <t>$4,955</t>
        </is>
      </c>
      <c r="W7" s="28" t="inlineStr">
        <is>
          <t>$1,818</t>
        </is>
      </c>
      <c r="X7" s="29" t="inlineStr">
        <is>
          <t>N/A</t>
        </is>
      </c>
      <c r="Y7" s="26" t="inlineStr">
        <is>
          <t>48</t>
        </is>
      </c>
      <c r="Z7" s="26" t="inlineStr">
        <is>
          <t>2001</t>
        </is>
      </c>
      <c r="AA7" s="26" t="inlineStr">
        <is>
          <t>0</t>
        </is>
      </c>
      <c r="AB7" s="26" t="inlineStr">
        <is>
          <t>Partial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48 units | Section 8/HUD property. Year built: 2001.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Pelican Bay Iii</t>
        </is>
      </c>
      <c r="D8" s="31" t="inlineStr">
        <is>
          <t>2121 N. Lobdell Blvd.</t>
        </is>
      </c>
      <c r="E8" s="31" t="inlineStr">
        <is>
          <t>Baton Rouge</t>
        </is>
      </c>
      <c r="F8" s="31" t="inlineStr">
        <is>
          <t>LA</t>
        </is>
      </c>
      <c r="G8" s="31" t="inlineStr">
        <is>
          <t>70806-0000</t>
        </is>
      </c>
      <c r="H8" s="31" t="inlineStr">
        <is>
          <t>4.1 mi</t>
        </is>
      </c>
      <c r="I8" s="31" t="inlineStr">
        <is>
          <t>$2,866</t>
        </is>
      </c>
      <c r="J8" s="31" t="inlineStr">
        <is>
          <t>$3,440</t>
        </is>
      </c>
      <c r="K8" s="33" t="inlineStr">
        <is>
          <t>$916</t>
        </is>
      </c>
      <c r="L8" s="34" t="inlineStr">
        <is>
          <t>Not Listed</t>
        </is>
      </c>
      <c r="M8" s="31" t="inlineStr">
        <is>
          <t>$3,441</t>
        </is>
      </c>
      <c r="N8" s="31" t="inlineStr">
        <is>
          <t>$4,130</t>
        </is>
      </c>
      <c r="O8" s="33" t="inlineStr">
        <is>
          <t>$1,254</t>
        </is>
      </c>
      <c r="P8" s="34" t="inlineStr">
        <is>
          <t>Not Listed</t>
        </is>
      </c>
      <c r="Q8" s="31" t="inlineStr">
        <is>
          <t>$3,820</t>
        </is>
      </c>
      <c r="R8" s="31" t="inlineStr">
        <is>
          <t>$4,585</t>
        </is>
      </c>
      <c r="S8" s="33" t="inlineStr">
        <is>
          <t>$1,573</t>
        </is>
      </c>
      <c r="T8" s="34" t="inlineStr">
        <is>
          <t>Not Listed</t>
        </is>
      </c>
      <c r="U8" s="31" t="inlineStr">
        <is>
          <t>$4,129</t>
        </is>
      </c>
      <c r="V8" s="31" t="inlineStr">
        <is>
          <t>$4,955</t>
        </is>
      </c>
      <c r="W8" s="33" t="inlineStr">
        <is>
          <t>$1,818</t>
        </is>
      </c>
      <c r="X8" s="34" t="inlineStr">
        <is>
          <t>Not Listed</t>
        </is>
      </c>
      <c r="Y8" s="31" t="inlineStr">
        <is>
          <t>48</t>
        </is>
      </c>
      <c r="Z8" s="31" t="inlineStr">
        <is>
          <t>2001</t>
        </is>
      </c>
      <c r="AA8" s="31" t="inlineStr">
        <is>
          <t>0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LIHTC property, 2001 vintage (0 yr diff), 48 units, 4.1 mi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Mt. Zion Homess</t>
        </is>
      </c>
      <c r="D9" s="36" t="inlineStr">
        <is>
          <t>802 N. 22Nd St., Gracie St, N. 29Th St.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70802-0000</t>
        </is>
      </c>
      <c r="H9" s="36" t="inlineStr">
        <is>
          <t>1.3 mi</t>
        </is>
      </c>
      <c r="I9" s="36" t="inlineStr">
        <is>
          <t>$2,866</t>
        </is>
      </c>
      <c r="J9" s="36" t="inlineStr">
        <is>
          <t>$3,440</t>
        </is>
      </c>
      <c r="K9" s="33" t="inlineStr">
        <is>
          <t>$916</t>
        </is>
      </c>
      <c r="L9" s="34" t="inlineStr">
        <is>
          <t>Not Listed</t>
        </is>
      </c>
      <c r="M9" s="36" t="inlineStr">
        <is>
          <t>$3,441</t>
        </is>
      </c>
      <c r="N9" s="36" t="inlineStr">
        <is>
          <t>$4,130</t>
        </is>
      </c>
      <c r="O9" s="33" t="inlineStr">
        <is>
          <t>$1,254</t>
        </is>
      </c>
      <c r="P9" s="34" t="inlineStr">
        <is>
          <t>Not Listed</t>
        </is>
      </c>
      <c r="Q9" s="36" t="inlineStr">
        <is>
          <t>$3,820</t>
        </is>
      </c>
      <c r="R9" s="36" t="inlineStr">
        <is>
          <t>$4,585</t>
        </is>
      </c>
      <c r="S9" s="33" t="inlineStr">
        <is>
          <t>$1,573</t>
        </is>
      </c>
      <c r="T9" s="34" t="inlineStr">
        <is>
          <t>Not Listed</t>
        </is>
      </c>
      <c r="U9" s="36" t="inlineStr">
        <is>
          <t>$4,129</t>
        </is>
      </c>
      <c r="V9" s="36" t="inlineStr">
        <is>
          <t>$4,955</t>
        </is>
      </c>
      <c r="W9" s="33" t="inlineStr">
        <is>
          <t>$1,818</t>
        </is>
      </c>
      <c r="X9" s="34" t="inlineStr">
        <is>
          <t>Not Listed</t>
        </is>
      </c>
      <c r="Y9" s="36" t="inlineStr">
        <is>
          <t>31</t>
        </is>
      </c>
      <c r="Z9" s="36" t="inlineStr">
        <is>
          <t>2001</t>
        </is>
      </c>
      <c r="AA9" s="36" t="inlineStr">
        <is>
          <t>0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LIHTC property, 2001 vintage (0 yr diff), 31 units, 1.3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Restoration Baton Rouge Ii</t>
        </is>
      </c>
      <c r="D10" s="39" t="inlineStr">
        <is>
          <t>2906 Government Street</t>
        </is>
      </c>
      <c r="E10" s="39" t="inlineStr">
        <is>
          <t>Baton Rouge</t>
        </is>
      </c>
      <c r="F10" s="39" t="inlineStr">
        <is>
          <t>LA</t>
        </is>
      </c>
      <c r="G10" s="39" t="inlineStr">
        <is>
          <t>70806-0000</t>
        </is>
      </c>
      <c r="H10" s="39" t="inlineStr">
        <is>
          <t>1.8 mi</t>
        </is>
      </c>
      <c r="I10" s="39" t="inlineStr">
        <is>
          <t>$2,866</t>
        </is>
      </c>
      <c r="J10" s="39" t="inlineStr">
        <is>
          <t>$3,440</t>
        </is>
      </c>
      <c r="K10" s="33" t="inlineStr">
        <is>
          <t>$916</t>
        </is>
      </c>
      <c r="L10" s="34" t="inlineStr">
        <is>
          <t>Not Listed</t>
        </is>
      </c>
      <c r="M10" s="39" t="inlineStr">
        <is>
          <t>$3,441</t>
        </is>
      </c>
      <c r="N10" s="39" t="inlineStr">
        <is>
          <t>$4,130</t>
        </is>
      </c>
      <c r="O10" s="33" t="inlineStr">
        <is>
          <t>$1,254</t>
        </is>
      </c>
      <c r="P10" s="34" t="inlineStr">
        <is>
          <t>Not Listed</t>
        </is>
      </c>
      <c r="Q10" s="39" t="inlineStr">
        <is>
          <t>$3,820</t>
        </is>
      </c>
      <c r="R10" s="39" t="inlineStr">
        <is>
          <t>$4,585</t>
        </is>
      </c>
      <c r="S10" s="33" t="inlineStr">
        <is>
          <t>$1,573</t>
        </is>
      </c>
      <c r="T10" s="34" t="inlineStr">
        <is>
          <t>Not Listed</t>
        </is>
      </c>
      <c r="U10" s="39" t="inlineStr">
        <is>
          <t>$4,129</t>
        </is>
      </c>
      <c r="V10" s="39" t="inlineStr">
        <is>
          <t>$4,955</t>
        </is>
      </c>
      <c r="W10" s="33" t="inlineStr">
        <is>
          <t>$1,818</t>
        </is>
      </c>
      <c r="X10" s="34" t="inlineStr">
        <is>
          <t>Not Listed</t>
        </is>
      </c>
      <c r="Y10" s="39" t="inlineStr">
        <is>
          <t>36</t>
        </is>
      </c>
      <c r="Z10" s="39" t="inlineStr">
        <is>
          <t>2002</t>
        </is>
      </c>
      <c r="AA10" s="39" t="inlineStr">
        <is>
          <t>1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LIHTC property, 2002 vintage (1 yr diff), 36 units, 1.8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Restoration Baton Rouge I</t>
        </is>
      </c>
      <c r="D11" s="31" t="inlineStr">
        <is>
          <t>605 North 33Rd Street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70802-0000</t>
        </is>
      </c>
      <c r="H11" s="31" t="inlineStr">
        <is>
          <t>1.9 mi</t>
        </is>
      </c>
      <c r="I11" s="31" t="inlineStr">
        <is>
          <t>$2,866</t>
        </is>
      </c>
      <c r="J11" s="31" t="inlineStr">
        <is>
          <t>$3,440</t>
        </is>
      </c>
      <c r="K11" s="33" t="inlineStr">
        <is>
          <t>$916</t>
        </is>
      </c>
      <c r="L11" s="34" t="inlineStr">
        <is>
          <t>Not Listed</t>
        </is>
      </c>
      <c r="M11" s="31" t="inlineStr">
        <is>
          <t>$3,441</t>
        </is>
      </c>
      <c r="N11" s="31" t="inlineStr">
        <is>
          <t>$4,130</t>
        </is>
      </c>
      <c r="O11" s="33" t="inlineStr">
        <is>
          <t>$1,254</t>
        </is>
      </c>
      <c r="P11" s="34" t="inlineStr">
        <is>
          <t>Not Listed</t>
        </is>
      </c>
      <c r="Q11" s="31" t="inlineStr">
        <is>
          <t>$3,820</t>
        </is>
      </c>
      <c r="R11" s="31" t="inlineStr">
        <is>
          <t>$4,585</t>
        </is>
      </c>
      <c r="S11" s="33" t="inlineStr">
        <is>
          <t>$1,573</t>
        </is>
      </c>
      <c r="T11" s="34" t="inlineStr">
        <is>
          <t>Not Listed</t>
        </is>
      </c>
      <c r="U11" s="31" t="inlineStr">
        <is>
          <t>$4,129</t>
        </is>
      </c>
      <c r="V11" s="31" t="inlineStr">
        <is>
          <t>$4,955</t>
        </is>
      </c>
      <c r="W11" s="33" t="inlineStr">
        <is>
          <t>$1,818</t>
        </is>
      </c>
      <c r="X11" s="34" t="inlineStr">
        <is>
          <t>Not Listed</t>
        </is>
      </c>
      <c r="Y11" s="31" t="inlineStr">
        <is>
          <t>32</t>
        </is>
      </c>
      <c r="Z11" s="31" t="inlineStr">
        <is>
          <t>2002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LIHTC property, 2002 vintage (1 yr diff), 32 units, 1.9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Sienna Lake Apartments</t>
        </is>
      </c>
      <c r="D12" s="42" t="inlineStr">
        <is>
          <t>5555 Sienna Lakes Dr, Baton Rouge, LA 70820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5.0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$916</t>
        </is>
      </c>
      <c r="L12" s="34" t="inlineStr">
        <is>
          <t>$925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$1,254</t>
        </is>
      </c>
      <c r="P12" s="34" t="inlineStr">
        <is>
          <t>$1,175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$1,573</t>
        </is>
      </c>
      <c r="T12" s="34" t="inlineStr">
        <is>
          <t>$1,450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$1,818</t>
        </is>
      </c>
      <c r="X12" s="34" t="inlineStr">
        <is>
          <t>Not Listed</t>
        </is>
      </c>
      <c r="Y12" s="42" t="inlineStr">
        <is>
          <t>240</t>
        </is>
      </c>
      <c r="Z12" s="42" t="inlineStr">
        <is>
          <t>2001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2001 vintage (0 yr diff), 240 units, 5.0 mi from subject. Shows market-rate rents vs. affordable housing discount.</t>
        </is>
      </c>
      <c r="AI12" s="42" t="inlineStr">
        <is>
          <t>https://www.rentcafe.com/apartments-for-rent/us/la/baton-rouge/sienna-lake/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Willow Creek Apartments</t>
        </is>
      </c>
      <c r="D13" s="45" t="inlineStr">
        <is>
          <t>9800 Airline Hwy,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7.0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$916</t>
        </is>
      </c>
      <c r="L13" s="34" t="inlineStr">
        <is>
          <t>$895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$1,254</t>
        </is>
      </c>
      <c r="P13" s="34" t="inlineStr">
        <is>
          <t>$1,125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$1,573</t>
        </is>
      </c>
      <c r="T13" s="34" t="inlineStr">
        <is>
          <t>$1,400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$1,818</t>
        </is>
      </c>
      <c r="X13" s="34" t="inlineStr">
        <is>
          <t>Not Listed</t>
        </is>
      </c>
      <c r="Y13" s="45" t="inlineStr">
        <is>
          <t>180</t>
        </is>
      </c>
      <c r="Z13" s="45" t="inlineStr">
        <is>
          <t>1999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1999 vintage (2 yr diff), 180 units, 7.0 mi from subject. Shows market-rate rents vs. affordable housing discount.</t>
        </is>
      </c>
      <c r="AI13" s="45" t="inlineStr">
        <is>
          <t>https://www.rentcafe.com/apartments-for-rent/us/la/baton-rouge/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The Preserve At Harveston</t>
        </is>
      </c>
      <c r="D14" s="48" t="inlineStr">
        <is>
          <t>18000 Harveston Dr, Baton Rouge, LA 70816</t>
        </is>
      </c>
      <c r="E14" s="48" t="inlineStr">
        <is>
          <t>Baton Rouge</t>
        </is>
      </c>
      <c r="F14" s="48" t="inlineStr">
        <is>
          <t>LA</t>
        </is>
      </c>
      <c r="G14" s="48" t="n"/>
      <c r="H14" s="48" t="inlineStr">
        <is>
          <t>8.8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$916</t>
        </is>
      </c>
      <c r="L14" s="34" t="inlineStr">
        <is>
          <t>$950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$1,254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$1,573</t>
        </is>
      </c>
      <c r="T14" s="34" t="inlineStr">
        <is>
          <t>$1,475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$1,818</t>
        </is>
      </c>
      <c r="X14" s="34" t="inlineStr">
        <is>
          <t>Not Listed</t>
        </is>
      </c>
      <c r="Y14" s="48" t="inlineStr">
        <is>
          <t>200</t>
        </is>
      </c>
      <c r="Z14" s="48" t="inlineStr">
        <is>
          <t>2002</t>
        </is>
      </c>
      <c r="AA14" s="48" t="inlineStr">
        <is>
          <t>1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2002 vintage (1 yr diff), 200 units, 8.8 mi from subject. Shows market-rate rents vs. affordable housing discount.</t>
        </is>
      </c>
      <c r="AI14" s="48" t="inlineStr">
        <is>
          <t>https://www.rentcafe.com/apartments-for-rent/us/la/baton-rouge/the-preserve-at-harveston/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Copper Mill Apartments</t>
        </is>
      </c>
      <c r="D15" s="42" t="inlineStr">
        <is>
          <t>10000 Copper Mill Dr, Baton Rouge, LA 70818</t>
        </is>
      </c>
      <c r="E15" s="42" t="inlineStr">
        <is>
          <t>Baton Rouge</t>
        </is>
      </c>
      <c r="F15" s="42" t="inlineStr">
        <is>
          <t>LA</t>
        </is>
      </c>
      <c r="G15" s="42" t="n"/>
      <c r="H15" s="42" t="inlineStr">
        <is>
          <t>10.2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$916</t>
        </is>
      </c>
      <c r="L15" s="34" t="inlineStr">
        <is>
          <t>$925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$1,254</t>
        </is>
      </c>
      <c r="P15" s="34" t="inlineStr">
        <is>
          <t>$1,150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$1,573</t>
        </is>
      </c>
      <c r="T15" s="34" t="inlineStr">
        <is>
          <t>$1,425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$1,818</t>
        </is>
      </c>
      <c r="X15" s="34" t="inlineStr">
        <is>
          <t>Not Listed</t>
        </is>
      </c>
      <c r="Y15" s="42" t="inlineStr">
        <is>
          <t>160</t>
        </is>
      </c>
      <c r="Z15" s="42" t="inlineStr">
        <is>
          <t>2000</t>
        </is>
      </c>
      <c r="AA15" s="42" t="inlineStr">
        <is>
          <t>1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2000 vintage (1 yr diff), 160 units, 10.2 mi from subject. Shows market-rate rents vs. affordable housing discount.</t>
        </is>
      </c>
      <c r="AI15" s="42" t="inlineStr">
        <is>
          <t>https://www.rentcafe.com/apartments-for-rent/us/la/baton-rouge/copper-mill/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Baton Rouge MSA</t>
        </is>
      </c>
      <c r="D16" s="51" t="inlineStr">
        <is>
          <t>N/A</t>
        </is>
      </c>
      <c r="E16" s="51" t="inlineStr">
        <is>
          <t>Baton Rouge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$916</t>
        </is>
      </c>
      <c r="J16" s="51" t="inlineStr">
        <is>
          <t>$916</t>
        </is>
      </c>
      <c r="K16" s="33" t="inlineStr">
        <is>
          <t>$916</t>
        </is>
      </c>
      <c r="L16" s="34" t="inlineStr">
        <is>
          <t>N/A</t>
        </is>
      </c>
      <c r="M16" s="51" t="inlineStr">
        <is>
          <t>$1,254</t>
        </is>
      </c>
      <c r="N16" s="51" t="inlineStr">
        <is>
          <t>$1,254</t>
        </is>
      </c>
      <c r="O16" s="33" t="inlineStr">
        <is>
          <t>$1,254</t>
        </is>
      </c>
      <c r="P16" s="34" t="inlineStr">
        <is>
          <t>N/A</t>
        </is>
      </c>
      <c r="Q16" s="51" t="inlineStr">
        <is>
          <t>$1,573</t>
        </is>
      </c>
      <c r="R16" s="51" t="inlineStr">
        <is>
          <t>$1,573</t>
        </is>
      </c>
      <c r="S16" s="33" t="inlineStr">
        <is>
          <t>$1,573</t>
        </is>
      </c>
      <c r="T16" s="34" t="inlineStr">
        <is>
          <t>N/A</t>
        </is>
      </c>
      <c r="U16" s="51" t="inlineStr">
        <is>
          <t>$1,818</t>
        </is>
      </c>
      <c r="V16" s="51" t="inlineStr">
        <is>
          <t>$1,818</t>
        </is>
      </c>
      <c r="W16" s="33" t="inlineStr">
        <is>
          <t>$1,818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Baton Rouge</t>
        </is>
      </c>
      <c r="D17" s="51" t="inlineStr">
        <is>
          <t>N/A</t>
        </is>
      </c>
      <c r="E17" s="51" t="inlineStr">
        <is>
          <t>Baton Rouge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$1,007</t>
        </is>
      </c>
      <c r="J17" s="51" t="inlineStr">
        <is>
          <t>$1,007</t>
        </is>
      </c>
      <c r="K17" s="33" t="inlineStr">
        <is>
          <t>$1,007</t>
        </is>
      </c>
      <c r="L17" s="34" t="inlineStr">
        <is>
          <t>N/A</t>
        </is>
      </c>
      <c r="M17" s="51" t="inlineStr">
        <is>
          <t>$1,379</t>
        </is>
      </c>
      <c r="N17" s="51" t="inlineStr">
        <is>
          <t>$1,379</t>
        </is>
      </c>
      <c r="O17" s="33" t="inlineStr">
        <is>
          <t>$1,379</t>
        </is>
      </c>
      <c r="P17" s="34" t="inlineStr">
        <is>
          <t>N/A</t>
        </is>
      </c>
      <c r="Q17" s="51" t="inlineStr">
        <is>
          <t>$1,730</t>
        </is>
      </c>
      <c r="R17" s="51" t="inlineStr">
        <is>
          <t>$1,730</t>
        </is>
      </c>
      <c r="S17" s="33" t="inlineStr">
        <is>
          <t>$1,730</t>
        </is>
      </c>
      <c r="T17" s="34" t="inlineStr">
        <is>
          <t>N/A</t>
        </is>
      </c>
      <c r="U17" s="51" t="inlineStr">
        <is>
          <t>$1,999</t>
        </is>
      </c>
      <c r="V17" s="51" t="inlineStr">
        <is>
          <t>$1,999</t>
        </is>
      </c>
      <c r="W17" s="33" t="inlineStr">
        <is>
          <t>$1,999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900</v>
      </c>
      <c r="D24" s="74" t="n">
        <v>1020</v>
      </c>
      <c r="E24" s="75" t="n">
        <v>77</v>
      </c>
      <c r="F24" s="76" t="n">
        <v>943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1107</v>
      </c>
      <c r="D25" s="78" t="n">
        <v>1150</v>
      </c>
      <c r="E25" s="75" t="n">
        <v>102</v>
      </c>
      <c r="F25" s="76" t="n">
        <v>1048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1300</v>
      </c>
      <c r="D26" s="74" t="n">
        <v>1440</v>
      </c>
      <c r="E26" s="75" t="n">
        <v>121</v>
      </c>
      <c r="F26" s="76" t="n">
        <v>1319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1572</v>
      </c>
      <c r="D27" s="78" t="n">
        <v>1920</v>
      </c>
      <c r="E27" s="75" t="n">
        <v>149</v>
      </c>
      <c r="F27" s="76" t="n">
        <v>1771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60%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1BD</t>
        </is>
      </c>
      <c r="B32" s="74" t="n">
        <v>1032</v>
      </c>
      <c r="C32" s="74" t="n">
        <v>874</v>
      </c>
      <c r="D32" s="75" t="n">
        <v>77</v>
      </c>
      <c r="E32" s="76" t="n">
        <v>797</v>
      </c>
    </row>
    <row r="33" ht="15" customFormat="1" customHeight="1" s="3">
      <c r="A33" s="77" t="inlineStr">
        <is>
          <t>2BD</t>
        </is>
      </c>
      <c r="B33" s="78" t="n">
        <v>1239</v>
      </c>
      <c r="C33" s="78" t="n">
        <v>1039</v>
      </c>
      <c r="D33" s="75" t="n">
        <v>102</v>
      </c>
      <c r="E33" s="76" t="n">
        <v>937</v>
      </c>
    </row>
    <row r="34" ht="15" customFormat="1" customHeight="1" s="3">
      <c r="A34" s="73" t="inlineStr">
        <is>
          <t>3BD</t>
        </is>
      </c>
      <c r="B34" s="74" t="n">
        <v>1431</v>
      </c>
      <c r="C34" s="74" t="n">
        <v>1194</v>
      </c>
      <c r="D34" s="75" t="n">
        <v>121</v>
      </c>
      <c r="E34" s="76" t="n">
        <v>1073</v>
      </c>
    </row>
    <row r="35" ht="15" customFormat="1" customHeight="1" s="3">
      <c r="A35" s="77" t="inlineStr">
        <is>
          <t>4BD</t>
        </is>
      </c>
      <c r="B35" s="78" t="n">
        <v>1596</v>
      </c>
      <c r="C35" s="78" t="n">
        <v>1321</v>
      </c>
      <c r="D35" s="75" t="n">
        <v>149</v>
      </c>
      <c r="E35" s="76" t="n">
        <v>1172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0</v>
      </c>
      <c r="C40" s="107" t="n">
        <v>1205</v>
      </c>
    </row>
    <row r="41" ht="15" customFormat="1" customHeight="1" s="3">
      <c r="A41" s="77" t="inlineStr">
        <is>
          <t>2BD</t>
        </is>
      </c>
      <c r="B41" s="106" t="n">
        <v>0</v>
      </c>
      <c r="C41" s="107" t="n">
        <v>1461</v>
      </c>
    </row>
    <row r="42" ht="15" customFormat="1" customHeight="1" s="3">
      <c r="A42" s="73" t="inlineStr">
        <is>
          <t>3BD</t>
        </is>
      </c>
      <c r="B42" s="106" t="n">
        <v>0</v>
      </c>
      <c r="C42" s="107" t="n">
        <v>1579</v>
      </c>
    </row>
    <row r="43" ht="15" customFormat="1" customHeight="1" s="3">
      <c r="A43" s="77" t="inlineStr">
        <is>
          <t>4BD</t>
        </is>
      </c>
      <c r="B43" s="106" t="n">
        <v>0</v>
      </c>
      <c r="C43" s="107" t="n">
        <v>1599</v>
      </c>
    </row>
  </sheetData>
  <mergeCells count="7">
    <mergeCell ref="A30:E30"/>
    <mergeCell ref="A19:AI19"/>
    <mergeCell ref="A5:AI5"/>
    <mergeCell ref="A3:AI3"/>
    <mergeCell ref="A22:F22"/>
    <mergeCell ref="A4:AI4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3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ANAHEIM | GREEN = Affordable Comps | BLUE = Market Rate Comps</t>
        </is>
      </c>
    </row>
    <row r="4" ht="20.25" customFormat="1" customHeight="1" s="6">
      <c r="A4" s="21" t="inlineStr">
        <is>
          <t>SUBJECT: Anaheim | Anaheim, Anaheim, CA 92801 | 80 units | Program: Section 8/HUD | Bedroom Mix: 2BR / 3BR / 4BR | County AMI: $136,600 | FMR Area: Orange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Anaheim (SUBJECT)</t>
        </is>
      </c>
      <c r="D7" s="26" t="inlineStr">
        <is>
          <t>Anaheim</t>
        </is>
      </c>
      <c r="E7" s="26" t="inlineStr">
        <is>
          <t>Anaheim</t>
        </is>
      </c>
      <c r="F7" s="26" t="inlineStr">
        <is>
          <t>CA</t>
        </is>
      </c>
      <c r="G7" s="26" t="inlineStr">
        <is>
          <t>92801</t>
        </is>
      </c>
      <c r="H7" s="26" t="inlineStr">
        <is>
          <t>0.0 mi</t>
        </is>
      </c>
      <c r="I7" s="26" t="inlineStr">
        <is>
          <t>$6,345</t>
        </is>
      </c>
      <c r="J7" s="26" t="inlineStr">
        <is>
          <t>$7,615</t>
        </is>
      </c>
      <c r="K7" s="28" t="inlineStr">
        <is>
          <t>$2,925</t>
        </is>
      </c>
      <c r="L7" s="29" t="inlineStr">
        <is>
          <t>N/A</t>
        </is>
      </c>
      <c r="M7" s="26" t="inlineStr">
        <is>
          <t>$7,050</t>
        </is>
      </c>
      <c r="N7" s="26" t="inlineStr">
        <is>
          <t>$8,460</t>
        </is>
      </c>
      <c r="O7" s="28" t="inlineStr">
        <is>
          <t>$3,965</t>
        </is>
      </c>
      <c r="P7" s="29" t="inlineStr">
        <is>
          <t>N/A</t>
        </is>
      </c>
      <c r="Q7" s="26" t="inlineStr">
        <is>
          <t>$7,616</t>
        </is>
      </c>
      <c r="R7" s="26" t="inlineStr">
        <is>
          <t>$9,140</t>
        </is>
      </c>
      <c r="S7" s="28" t="inlineStr">
        <is>
          <t>$4,583</t>
        </is>
      </c>
      <c r="T7" s="29" t="inlineStr">
        <is>
          <t>N/A</t>
        </is>
      </c>
      <c r="U7" s="26" t="inlineStr">
        <is>
          <t>80</t>
        </is>
      </c>
      <c r="V7" s="26" t="inlineStr">
        <is>
          <t>1980</t>
        </is>
      </c>
      <c r="W7" s="26" t="inlineStr">
        <is>
          <t>0</t>
        </is>
      </c>
      <c r="X7" s="26" t="inlineStr">
        <is>
          <t>Partial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Yes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80 units | Section 8/HUD property. Year built: 1980.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Artesia Senior Center</t>
        </is>
      </c>
      <c r="D8" s="31" t="inlineStr">
        <is>
          <t>10427 Artesia Blvd</t>
        </is>
      </c>
      <c r="E8" s="31" t="inlineStr">
        <is>
          <t>Bellflower</t>
        </is>
      </c>
      <c r="F8" s="31" t="inlineStr">
        <is>
          <t>CA</t>
        </is>
      </c>
      <c r="G8" s="31" t="inlineStr">
        <is>
          <t>90706</t>
        </is>
      </c>
      <c r="H8" s="31" t="inlineStr">
        <is>
          <t>11.6 mi</t>
        </is>
      </c>
      <c r="I8" s="31" t="inlineStr">
        <is>
          <t>$6,345</t>
        </is>
      </c>
      <c r="J8" s="31" t="inlineStr">
        <is>
          <t>$7,615</t>
        </is>
      </c>
      <c r="K8" s="33" t="inlineStr">
        <is>
          <t>$2,925</t>
        </is>
      </c>
      <c r="L8" s="34" t="inlineStr">
        <is>
          <t>Not Listed</t>
        </is>
      </c>
      <c r="M8" s="31" t="inlineStr">
        <is>
          <t>$7,050</t>
        </is>
      </c>
      <c r="N8" s="31" t="inlineStr">
        <is>
          <t>$8,460</t>
        </is>
      </c>
      <c r="O8" s="33" t="inlineStr">
        <is>
          <t>$3,965</t>
        </is>
      </c>
      <c r="P8" s="34" t="inlineStr">
        <is>
          <t>Not Listed</t>
        </is>
      </c>
      <c r="Q8" s="31" t="inlineStr">
        <is>
          <t>$7,616</t>
        </is>
      </c>
      <c r="R8" s="31" t="inlineStr">
        <is>
          <t>$9,140</t>
        </is>
      </c>
      <c r="S8" s="33" t="inlineStr">
        <is>
          <t>$4,583</t>
        </is>
      </c>
      <c r="T8" s="34" t="inlineStr">
        <is>
          <t>Not Listed</t>
        </is>
      </c>
      <c r="U8" s="31" t="inlineStr">
        <is>
          <t>100</t>
        </is>
      </c>
      <c r="V8" s="31" t="inlineStr">
        <is>
          <t>1987</t>
        </is>
      </c>
      <c r="W8" s="31" t="inlineStr">
        <is>
          <t>7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1987 vintage (7 yr diff), 100 units, 11.6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Hdr Fund Apts I</t>
        </is>
      </c>
      <c r="D9" s="36" t="n"/>
      <c r="E9" s="36" t="inlineStr">
        <is>
          <t>Los Angeles</t>
        </is>
      </c>
      <c r="F9" s="36" t="inlineStr">
        <is>
          <t>CA</t>
        </is>
      </c>
      <c r="G9" s="36" t="n"/>
      <c r="H9" s="36" t="inlineStr">
        <is>
          <t>N/A</t>
        </is>
      </c>
      <c r="I9" s="36" t="inlineStr">
        <is>
          <t>$6,345</t>
        </is>
      </c>
      <c r="J9" s="36" t="inlineStr">
        <is>
          <t>$7,615</t>
        </is>
      </c>
      <c r="K9" s="33" t="inlineStr">
        <is>
          <t>$2,925</t>
        </is>
      </c>
      <c r="L9" s="34" t="inlineStr">
        <is>
          <t>Not Listed</t>
        </is>
      </c>
      <c r="M9" s="36" t="inlineStr">
        <is>
          <t>$7,050</t>
        </is>
      </c>
      <c r="N9" s="36" t="inlineStr">
        <is>
          <t>$8,460</t>
        </is>
      </c>
      <c r="O9" s="33" t="inlineStr">
        <is>
          <t>$3,965</t>
        </is>
      </c>
      <c r="P9" s="34" t="inlineStr">
        <is>
          <t>Not Listed</t>
        </is>
      </c>
      <c r="Q9" s="36" t="inlineStr">
        <is>
          <t>$7,616</t>
        </is>
      </c>
      <c r="R9" s="36" t="inlineStr">
        <is>
          <t>$9,140</t>
        </is>
      </c>
      <c r="S9" s="33" t="inlineStr">
        <is>
          <t>$4,583</t>
        </is>
      </c>
      <c r="T9" s="34" t="inlineStr">
        <is>
          <t>Not Listed</t>
        </is>
      </c>
      <c r="U9" s="36" t="inlineStr">
        <is>
          <t>76</t>
        </is>
      </c>
      <c r="V9" s="36" t="inlineStr">
        <is>
          <t>1987</t>
        </is>
      </c>
      <c r="W9" s="36" t="inlineStr">
        <is>
          <t>7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2" t="inlineStr">
        <is>
          <t>MODERATE</t>
        </is>
      </c>
      <c r="AD9" s="37" t="inlineStr">
        <is>
          <t>Affordable Comp #2: LIHTC property, 1987 vintage (7 yr diff), 76 units, N/A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Bellflower Senior Center</t>
        </is>
      </c>
      <c r="D10" s="39" t="inlineStr">
        <is>
          <t>9919 Ramona St</t>
        </is>
      </c>
      <c r="E10" s="39" t="inlineStr">
        <is>
          <t>Bellflower</t>
        </is>
      </c>
      <c r="F10" s="39" t="inlineStr">
        <is>
          <t>CA</t>
        </is>
      </c>
      <c r="G10" s="39" t="inlineStr">
        <is>
          <t>90706</t>
        </is>
      </c>
      <c r="H10" s="39" t="inlineStr">
        <is>
          <t>12.3 mi</t>
        </is>
      </c>
      <c r="I10" s="39" t="inlineStr">
        <is>
          <t>$6,345</t>
        </is>
      </c>
      <c r="J10" s="39" t="inlineStr">
        <is>
          <t>$7,615</t>
        </is>
      </c>
      <c r="K10" s="33" t="inlineStr">
        <is>
          <t>$2,925</t>
        </is>
      </c>
      <c r="L10" s="34" t="inlineStr">
        <is>
          <t>$2,250</t>
        </is>
      </c>
      <c r="M10" s="39" t="inlineStr">
        <is>
          <t>$7,050</t>
        </is>
      </c>
      <c r="N10" s="39" t="inlineStr">
        <is>
          <t>$8,460</t>
        </is>
      </c>
      <c r="O10" s="33" t="inlineStr">
        <is>
          <t>$3,965</t>
        </is>
      </c>
      <c r="P10" s="34" t="inlineStr">
        <is>
          <t>Not Listed</t>
        </is>
      </c>
      <c r="Q10" s="39" t="inlineStr">
        <is>
          <t>$7,616</t>
        </is>
      </c>
      <c r="R10" s="39" t="inlineStr">
        <is>
          <t>$9,140</t>
        </is>
      </c>
      <c r="S10" s="33" t="inlineStr">
        <is>
          <t>$4,583</t>
        </is>
      </c>
      <c r="T10" s="34" t="inlineStr">
        <is>
          <t>Not Listed</t>
        </is>
      </c>
      <c r="U10" s="39" t="inlineStr">
        <is>
          <t>50</t>
        </is>
      </c>
      <c r="V10" s="39" t="inlineStr">
        <is>
          <t>1988</t>
        </is>
      </c>
      <c r="W10" s="39" t="inlineStr">
        <is>
          <t>8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1988 vintage (8 yr diff), 50 units, 12.3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Grove Park Housing</t>
        </is>
      </c>
      <c r="D11" s="31" t="inlineStr">
        <is>
          <t>12631 Sunswept Ave</t>
        </is>
      </c>
      <c r="E11" s="31" t="inlineStr">
        <is>
          <t>Garden Grove</t>
        </is>
      </c>
      <c r="F11" s="31" t="inlineStr">
        <is>
          <t>CA</t>
        </is>
      </c>
      <c r="G11" s="31" t="inlineStr">
        <is>
          <t>92843</t>
        </is>
      </c>
      <c r="H11" s="31" t="inlineStr">
        <is>
          <t>5.4 mi</t>
        </is>
      </c>
      <c r="I11" s="31" t="inlineStr">
        <is>
          <t>$6,345</t>
        </is>
      </c>
      <c r="J11" s="31" t="inlineStr">
        <is>
          <t>$7,615</t>
        </is>
      </c>
      <c r="K11" s="33" t="inlineStr">
        <is>
          <t>$2,925</t>
        </is>
      </c>
      <c r="L11" s="34" t="inlineStr">
        <is>
          <t>Not Listed</t>
        </is>
      </c>
      <c r="M11" s="31" t="inlineStr">
        <is>
          <t>$7,050</t>
        </is>
      </c>
      <c r="N11" s="31" t="inlineStr">
        <is>
          <t>$8,460</t>
        </is>
      </c>
      <c r="O11" s="33" t="inlineStr">
        <is>
          <t>$3,965</t>
        </is>
      </c>
      <c r="P11" s="34" t="inlineStr">
        <is>
          <t>Not Listed</t>
        </is>
      </c>
      <c r="Q11" s="31" t="inlineStr">
        <is>
          <t>$7,616</t>
        </is>
      </c>
      <c r="R11" s="31" t="inlineStr">
        <is>
          <t>$9,140</t>
        </is>
      </c>
      <c r="S11" s="33" t="inlineStr">
        <is>
          <t>$4,583</t>
        </is>
      </c>
      <c r="T11" s="34" t="inlineStr">
        <is>
          <t>Not Listed</t>
        </is>
      </c>
      <c r="U11" s="31" t="inlineStr">
        <is>
          <t>104</t>
        </is>
      </c>
      <c r="V11" s="31" t="inlineStr">
        <is>
          <t>1989</t>
        </is>
      </c>
      <c r="W11" s="31" t="inlineStr">
        <is>
          <t>9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1989 vintage (9 yr diff), 104 units, 5.4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Park La Brea Apartments</t>
        </is>
      </c>
      <c r="D12" s="42" t="inlineStr">
        <is>
          <t>6200 W 3rd St, Los Angeles, CA 90036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35.0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$2,925</t>
        </is>
      </c>
      <c r="L12" s="34" t="inlineStr">
        <is>
          <t>$3,200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$3,965</t>
        </is>
      </c>
      <c r="P12" s="34" t="inlineStr">
        <is>
          <t>$4,100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$4,583</t>
        </is>
      </c>
      <c r="T12" s="34" t="inlineStr">
        <is>
          <t>Not Listed</t>
        </is>
      </c>
      <c r="U12" s="42" t="inlineStr">
        <is>
          <t>4255</t>
        </is>
      </c>
      <c r="V12" s="42" t="inlineStr">
        <is>
          <t>1980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87" t="inlineStr">
        <is>
          <t>MODERATE</t>
        </is>
      </c>
      <c r="AD12" s="43" t="inlineStr">
        <is>
          <t>Market Rate Comp #1: No income restrictions, 1980 vintage (0 yr diff), 4255 units, 35.0 mi from subject. Shows market-rate rents vs. affordable housing discount.</t>
        </is>
      </c>
      <c r="AE12" s="42" t="inlineStr">
        <is>
          <t>https://www.rentcafe.com/apartments-for-rent/us/ca/los-angeles/park-la-brea/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Anaheim Hills Apartments</t>
        </is>
      </c>
      <c r="D13" s="45" t="inlineStr">
        <is>
          <t>5700 E La Palma Ave, Anaheim, CA 92807</t>
        </is>
      </c>
      <c r="E13" s="45" t="inlineStr">
        <is>
          <t>Anaheim</t>
        </is>
      </c>
      <c r="F13" s="45" t="inlineStr">
        <is>
          <t>CA</t>
        </is>
      </c>
      <c r="G13" s="45" t="n"/>
      <c r="H13" s="45" t="inlineStr">
        <is>
          <t>4.5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$2,925</t>
        </is>
      </c>
      <c r="L13" s="34" t="inlineStr">
        <is>
          <t>$2,450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$3,965</t>
        </is>
      </c>
      <c r="P13" s="34" t="inlineStr">
        <is>
          <t>$3,100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$4,583</t>
        </is>
      </c>
      <c r="T13" s="34" t="inlineStr">
        <is>
          <t>Not Listed</t>
        </is>
      </c>
      <c r="U13" s="45" t="inlineStr">
        <is>
          <t>200</t>
        </is>
      </c>
      <c r="V13" s="45" t="inlineStr">
        <is>
          <t>1982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1982 vintage (2 yr diff), 200 units, 4.5 mi from subject. Shows market-rate rents vs. affordable housing discount.</t>
        </is>
      </c>
      <c r="AE13" s="45" t="inlineStr">
        <is>
          <t>https://www.rentcafe.com/apartments-for-rent/us/ca/anaheim/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Garden Grove Apartments</t>
        </is>
      </c>
      <c r="D14" s="48" t="inlineStr">
        <is>
          <t>12800 Brookhurst St, Garden Grove, CA 92840</t>
        </is>
      </c>
      <c r="E14" s="48" t="inlineStr">
        <is>
          <t>Garden Grove</t>
        </is>
      </c>
      <c r="F14" s="48" t="inlineStr">
        <is>
          <t>CA</t>
        </is>
      </c>
      <c r="G14" s="48" t="n"/>
      <c r="H14" s="48" t="inlineStr">
        <is>
          <t>7.2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$2,925</t>
        </is>
      </c>
      <c r="L14" s="34" t="inlineStr">
        <is>
          <t>$2,200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$3,965</t>
        </is>
      </c>
      <c r="P14" s="34" t="inlineStr">
        <is>
          <t>$2,750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$4,583</t>
        </is>
      </c>
      <c r="T14" s="34" t="inlineStr">
        <is>
          <t>Not Listed</t>
        </is>
      </c>
      <c r="U14" s="48" t="inlineStr">
        <is>
          <t>120</t>
        </is>
      </c>
      <c r="V14" s="48" t="inlineStr">
        <is>
          <t>1978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1978 vintage (2 yr diff), 120 units, 7.2 mi from subject. Shows market-rate rents vs. affordable housing discount.</t>
        </is>
      </c>
      <c r="AE14" s="48" t="inlineStr">
        <is>
          <t>https://www.rentcafe.com/apartments-for-rent/us/ca/garden-grove/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Anaheim Terrace Apartments</t>
        </is>
      </c>
      <c r="D15" s="42" t="inlineStr">
        <is>
          <t>1800 W Lincoln Ave, Anaheim, CA 92801</t>
        </is>
      </c>
      <c r="E15" s="42" t="inlineStr">
        <is>
          <t>Anaheim</t>
        </is>
      </c>
      <c r="F15" s="42" t="inlineStr">
        <is>
          <t>CA</t>
        </is>
      </c>
      <c r="G15" s="42" t="n"/>
      <c r="H15" s="42" t="inlineStr">
        <is>
          <t>3.2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$2,925</t>
        </is>
      </c>
      <c r="L15" s="34" t="inlineStr">
        <is>
          <t>$2,150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$3,965</t>
        </is>
      </c>
      <c r="P15" s="34" t="inlineStr">
        <is>
          <t>$2,700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$4,583</t>
        </is>
      </c>
      <c r="T15" s="34" t="inlineStr">
        <is>
          <t>Not Listed</t>
        </is>
      </c>
      <c r="U15" s="42" t="inlineStr">
        <is>
          <t>96</t>
        </is>
      </c>
      <c r="V15" s="42" t="inlineStr">
        <is>
          <t>1978</t>
        </is>
      </c>
      <c r="W15" s="42" t="inlineStr">
        <is>
          <t>2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1978 vintage (2 yr diff), 96 units, 3.2 mi from subject. Shows market-rate rents vs. affordable housing discount.</t>
        </is>
      </c>
      <c r="AE15" s="42" t="inlineStr">
        <is>
          <t>https://www.rentcafe.com/apartments-for-rent/us/ca/anaheim/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Orange County, CA</t>
        </is>
      </c>
      <c r="D16" s="51" t="inlineStr">
        <is>
          <t>N/A</t>
        </is>
      </c>
      <c r="E16" s="51" t="inlineStr">
        <is>
          <t>Anaheim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$2,925</t>
        </is>
      </c>
      <c r="J16" s="51" t="inlineStr">
        <is>
          <t>$2,925</t>
        </is>
      </c>
      <c r="K16" s="33" t="inlineStr">
        <is>
          <t>$2,925</t>
        </is>
      </c>
      <c r="L16" s="34" t="inlineStr">
        <is>
          <t>N/A</t>
        </is>
      </c>
      <c r="M16" s="51" t="inlineStr">
        <is>
          <t>$3,965</t>
        </is>
      </c>
      <c r="N16" s="51" t="inlineStr">
        <is>
          <t>$3,965</t>
        </is>
      </c>
      <c r="O16" s="33" t="inlineStr">
        <is>
          <t>$3,965</t>
        </is>
      </c>
      <c r="P16" s="34" t="inlineStr">
        <is>
          <t>N/A</t>
        </is>
      </c>
      <c r="Q16" s="51" t="inlineStr">
        <is>
          <t>$4,583</t>
        </is>
      </c>
      <c r="R16" s="51" t="inlineStr">
        <is>
          <t>$4,583</t>
        </is>
      </c>
      <c r="S16" s="33" t="inlineStr">
        <is>
          <t>$4,583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Anaheim</t>
        </is>
      </c>
      <c r="D17" s="51" t="inlineStr">
        <is>
          <t>N/A</t>
        </is>
      </c>
      <c r="E17" s="51" t="inlineStr">
        <is>
          <t>Anaheim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$3,217</t>
        </is>
      </c>
      <c r="J17" s="51" t="inlineStr">
        <is>
          <t>$3,217</t>
        </is>
      </c>
      <c r="K17" s="33" t="inlineStr">
        <is>
          <t>$3,217</t>
        </is>
      </c>
      <c r="L17" s="34" t="inlineStr">
        <is>
          <t>N/A</t>
        </is>
      </c>
      <c r="M17" s="51" t="inlineStr">
        <is>
          <t>$4,361</t>
        </is>
      </c>
      <c r="N17" s="51" t="inlineStr">
        <is>
          <t>$4,361</t>
        </is>
      </c>
      <c r="O17" s="33" t="inlineStr">
        <is>
          <t>$4,361</t>
        </is>
      </c>
      <c r="P17" s="34" t="inlineStr">
        <is>
          <t>N/A</t>
        </is>
      </c>
      <c r="Q17" s="51" t="inlineStr">
        <is>
          <t>$5,041</t>
        </is>
      </c>
      <c r="R17" s="51" t="inlineStr">
        <is>
          <t>$5,041</t>
        </is>
      </c>
      <c r="S17" s="33" t="inlineStr">
        <is>
          <t>$5,041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0</v>
      </c>
      <c r="D24" s="74" t="n">
        <v>1810</v>
      </c>
      <c r="E24" s="75" t="n">
        <v>0</v>
      </c>
      <c r="F24" s="76" t="n">
        <v>1810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1419</v>
      </c>
      <c r="D25" s="78" t="n">
        <v>2290</v>
      </c>
      <c r="E25" s="75" t="n">
        <v>0</v>
      </c>
      <c r="F25" s="76" t="n">
        <v>2290</v>
      </c>
    </row>
    <row r="26" ht="15" customFormat="1" customHeight="1" s="3">
      <c r="A26" s="73" t="inlineStr">
        <is>
          <t>3BD</t>
        </is>
      </c>
      <c r="B26" s="74" t="n">
        <v>1825</v>
      </c>
      <c r="C26" s="74" t="n">
        <v>535</v>
      </c>
      <c r="D26" s="74" t="n">
        <v>2940</v>
      </c>
      <c r="E26" s="75" t="n">
        <v>0</v>
      </c>
      <c r="F26" s="76" t="n">
        <v>2940</v>
      </c>
    </row>
    <row r="29" ht="15" customFormat="1" customHeight="1" s="3">
      <c r="A29" s="64" t="inlineStr">
        <is>
          <t>HAP, CoStar, NET</t>
        </is>
      </c>
      <c r="B29" s="104" t="n"/>
      <c r="C29" s="105" t="n"/>
    </row>
    <row r="30" ht="15" customFormat="1" customHeight="1" s="3">
      <c r="A30" s="67" t="n"/>
      <c r="B30" s="71" t="inlineStr">
        <is>
          <t>HAP</t>
        </is>
      </c>
      <c r="C30" s="68" t="inlineStr">
        <is>
          <t>CoStar</t>
        </is>
      </c>
    </row>
    <row r="31" ht="15" customFormat="1" customHeight="1" s="3">
      <c r="A31" s="73" t="inlineStr">
        <is>
          <t>1BD</t>
        </is>
      </c>
      <c r="B31" s="106" t="n">
        <v>3374</v>
      </c>
      <c r="C31" s="107" t="n">
        <v>1731</v>
      </c>
    </row>
    <row r="32" ht="15" customFormat="1" customHeight="1" s="3">
      <c r="A32" s="77" t="inlineStr">
        <is>
          <t>2BD</t>
        </is>
      </c>
      <c r="B32" s="106" t="n">
        <v>3979</v>
      </c>
      <c r="C32" s="107" t="n">
        <v>2242</v>
      </c>
    </row>
    <row r="33" ht="15" customFormat="1" customHeight="1" s="3">
      <c r="A33" s="73" t="inlineStr">
        <is>
          <t>3BD</t>
        </is>
      </c>
      <c r="B33" s="106" t="n">
        <v>4973</v>
      </c>
      <c r="C33" s="107" t="n">
        <v>2816</v>
      </c>
    </row>
  </sheetData>
  <mergeCells count="6">
    <mergeCell ref="A4:AE4"/>
    <mergeCell ref="A19:AE19"/>
    <mergeCell ref="A5:AE5"/>
    <mergeCell ref="A22:F22"/>
    <mergeCell ref="A29:C29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30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8.00390625" customWidth="1" style="6" min="13" max="13"/>
    <col width="10.00390625" customWidth="1" style="6" min="14" max="14"/>
    <col width="7.00390625" customWidth="1" style="6" min="15" max="15"/>
    <col width="12.00390625" customWidth="1" style="6" min="16" max="17"/>
    <col width="8.00390625" customWidth="1" style="6" min="18" max="19"/>
    <col width="10.00390625" customWidth="1" style="6" min="20" max="20"/>
    <col width="16.00390625" customWidth="1" style="6" min="21" max="21"/>
    <col width="45.00390625" customWidth="1" style="6" min="22" max="22"/>
    <col width="28.00390625" customWidth="1" style="6" min="23" max="23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</row>
    <row r="3" ht="24" customFormat="1" customHeight="1" s="6">
      <c r="A3" s="20" t="inlineStr">
        <is>
          <t>COMPETITIVE RENT ANALYSIS — FAIRFAX | GREEN = Affordable Comps | BLUE = Market Rate Comps</t>
        </is>
      </c>
    </row>
    <row r="4" ht="20.25" customFormat="1" customHeight="1" s="6">
      <c r="A4" s="21" t="inlineStr">
        <is>
          <t>SUBJECT: Fairfax | 737 1/2 S Genesee Ave, Los Angeles, CA 90036 | 46 units | Program: Section 8/HUD | Bedroom Mix: 1BR | County AMI: $106,600 | FMR Area: Los Angeles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# Units</t>
        </is>
      </c>
      <c r="N6" s="23" t="inlineStr">
        <is>
          <t>Year Built</t>
        </is>
      </c>
      <c r="O6" s="23" t="inlineStr">
        <is>
          <t>Yr Diff</t>
        </is>
      </c>
      <c r="P6" s="23" t="inlineStr">
        <is>
          <t>Utilities Incl.</t>
        </is>
      </c>
      <c r="Q6" s="23" t="inlineStr">
        <is>
          <t>Pet Friendly</t>
        </is>
      </c>
      <c r="R6" s="23" t="inlineStr">
        <is>
          <t>Gated</t>
        </is>
      </c>
      <c r="S6" s="23" t="inlineStr">
        <is>
          <t>Pool</t>
        </is>
      </c>
      <c r="T6" s="23" t="inlineStr">
        <is>
          <t>W/D In-Unit</t>
        </is>
      </c>
      <c r="U6" s="23" t="inlineStr">
        <is>
          <t>Competition Level</t>
        </is>
      </c>
      <c r="V6" s="23" t="inlineStr">
        <is>
          <t>Why Competitive</t>
        </is>
      </c>
      <c r="W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Fairfax (SUBJECT)</t>
        </is>
      </c>
      <c r="D7" s="26" t="inlineStr">
        <is>
          <t>737 1/2 S Genesee Ave</t>
        </is>
      </c>
      <c r="E7" s="26" t="inlineStr">
        <is>
          <t>Los Angeles</t>
        </is>
      </c>
      <c r="F7" s="26" t="inlineStr">
        <is>
          <t>CA</t>
        </is>
      </c>
      <c r="G7" s="26" t="inlineStr">
        <is>
          <t>90036</t>
        </is>
      </c>
      <c r="H7" s="26" t="inlineStr">
        <is>
          <t>0.0 mi</t>
        </is>
      </c>
      <c r="I7" s="26" t="inlineStr">
        <is>
          <t>$4,733</t>
        </is>
      </c>
      <c r="J7" s="26" t="inlineStr">
        <is>
          <t>$5,680</t>
        </is>
      </c>
      <c r="K7" s="28" t="inlineStr">
        <is>
          <t>$1,736</t>
        </is>
      </c>
      <c r="L7" s="29" t="inlineStr">
        <is>
          <t>N/A</t>
        </is>
      </c>
      <c r="M7" s="26" t="inlineStr">
        <is>
          <t>46</t>
        </is>
      </c>
      <c r="N7" s="26" t="inlineStr">
        <is>
          <t>1965</t>
        </is>
      </c>
      <c r="O7" s="26" t="inlineStr">
        <is>
          <t>0</t>
        </is>
      </c>
      <c r="P7" s="26" t="inlineStr">
        <is>
          <t>Yes</t>
        </is>
      </c>
      <c r="Q7" s="26" t="inlineStr">
        <is>
          <t>No</t>
        </is>
      </c>
      <c r="R7" s="26" t="inlineStr">
        <is>
          <t>No</t>
        </is>
      </c>
      <c r="S7" s="26" t="inlineStr">
        <is>
          <t>No</t>
        </is>
      </c>
      <c r="T7" s="26" t="inlineStr">
        <is>
          <t>No</t>
        </is>
      </c>
      <c r="U7" s="30" t="inlineStr">
        <is>
          <t>SUBJECT</t>
        </is>
      </c>
      <c r="V7" s="27" t="inlineStr">
        <is>
          <t>46 units | Section 8/HUD property. Year built: 1965. Subject property for market context.</t>
        </is>
      </c>
      <c r="W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Wilshire Arms Apartments</t>
        </is>
      </c>
      <c r="D8" s="31" t="inlineStr">
        <is>
          <t>850 S Wilton Pl</t>
        </is>
      </c>
      <c r="E8" s="31" t="inlineStr">
        <is>
          <t>Los Angeles</t>
        </is>
      </c>
      <c r="F8" s="31" t="inlineStr">
        <is>
          <t>CA</t>
        </is>
      </c>
      <c r="G8" s="31" t="inlineStr">
        <is>
          <t>90005</t>
        </is>
      </c>
      <c r="H8" s="31" t="inlineStr">
        <is>
          <t>2.8 mi</t>
        </is>
      </c>
      <c r="I8" s="31" t="inlineStr">
        <is>
          <t>$4,733</t>
        </is>
      </c>
      <c r="J8" s="31" t="inlineStr">
        <is>
          <t>$5,680</t>
        </is>
      </c>
      <c r="K8" s="33" t="inlineStr">
        <is>
          <t>$1,736</t>
        </is>
      </c>
      <c r="L8" s="34" t="inlineStr">
        <is>
          <t>Not Listed</t>
        </is>
      </c>
      <c r="M8" s="31" t="inlineStr">
        <is>
          <t>44</t>
        </is>
      </c>
      <c r="N8" s="31" t="inlineStr">
        <is>
          <t>1965</t>
        </is>
      </c>
      <c r="O8" s="31" t="inlineStr">
        <is>
          <t>0</t>
        </is>
      </c>
      <c r="P8" s="31" t="inlineStr">
        <is>
          <t>Yes</t>
        </is>
      </c>
      <c r="Q8" s="31" t="inlineStr">
        <is>
          <t>No</t>
        </is>
      </c>
      <c r="R8" s="31" t="inlineStr">
        <is>
          <t>No</t>
        </is>
      </c>
      <c r="S8" s="31" t="inlineStr">
        <is>
          <t>No</t>
        </is>
      </c>
      <c r="T8" s="31" t="inlineStr">
        <is>
          <t>No</t>
        </is>
      </c>
      <c r="U8" s="35" t="inlineStr">
        <is>
          <t>HIGH</t>
        </is>
      </c>
      <c r="V8" s="32" t="inlineStr">
        <is>
          <t>Affordable Comp #1: Section 8/HUD property, 1965 vintage (0 yr diff), 44 units, 2.8 mi from subject. Same income-eligible renter pool.</t>
        </is>
      </c>
      <c r="W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Pico Gardens</t>
        </is>
      </c>
      <c r="D9" s="36" t="inlineStr">
        <is>
          <t>1600 Pico Blvd</t>
        </is>
      </c>
      <c r="E9" s="36" t="inlineStr">
        <is>
          <t>Los Angeles</t>
        </is>
      </c>
      <c r="F9" s="36" t="inlineStr">
        <is>
          <t>CA</t>
        </is>
      </c>
      <c r="G9" s="36" t="inlineStr">
        <is>
          <t>90015</t>
        </is>
      </c>
      <c r="H9" s="36" t="inlineStr">
        <is>
          <t>4.2 mi</t>
        </is>
      </c>
      <c r="I9" s="36" t="inlineStr">
        <is>
          <t>$4,733</t>
        </is>
      </c>
      <c r="J9" s="36" t="inlineStr">
        <is>
          <t>$5,680</t>
        </is>
      </c>
      <c r="K9" s="33" t="inlineStr">
        <is>
          <t>$1,736</t>
        </is>
      </c>
      <c r="L9" s="34" t="inlineStr">
        <is>
          <t>Not Listed</t>
        </is>
      </c>
      <c r="M9" s="36" t="inlineStr">
        <is>
          <t>50</t>
        </is>
      </c>
      <c r="N9" s="36" t="inlineStr">
        <is>
          <t>1967</t>
        </is>
      </c>
      <c r="O9" s="36" t="inlineStr">
        <is>
          <t>2</t>
        </is>
      </c>
      <c r="P9" s="36" t="inlineStr">
        <is>
          <t>Yes</t>
        </is>
      </c>
      <c r="Q9" s="36" t="inlineStr">
        <is>
          <t>No</t>
        </is>
      </c>
      <c r="R9" s="36" t="inlineStr">
        <is>
          <t>No</t>
        </is>
      </c>
      <c r="S9" s="36" t="inlineStr">
        <is>
          <t>No</t>
        </is>
      </c>
      <c r="T9" s="36" t="inlineStr">
        <is>
          <t>No</t>
        </is>
      </c>
      <c r="U9" s="38" t="inlineStr">
        <is>
          <t>HIGH</t>
        </is>
      </c>
      <c r="V9" s="37" t="inlineStr">
        <is>
          <t>Affordable Comp #2: Section 8/HUD property, 1967 vintage (2 yr diff), 50 units, 4.2 mi from subject. Same income-eligible renter pool.</t>
        </is>
      </c>
      <c r="W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Vermont Knolls Apartments</t>
        </is>
      </c>
      <c r="D10" s="39" t="inlineStr">
        <is>
          <t>4800 S Vermont Ave</t>
        </is>
      </c>
      <c r="E10" s="39" t="inlineStr">
        <is>
          <t>Los Angeles</t>
        </is>
      </c>
      <c r="F10" s="39" t="inlineStr">
        <is>
          <t>CA</t>
        </is>
      </c>
      <c r="G10" s="39" t="inlineStr">
        <is>
          <t>90037</t>
        </is>
      </c>
      <c r="H10" s="39" t="inlineStr">
        <is>
          <t>6.5 mi</t>
        </is>
      </c>
      <c r="I10" s="39" t="inlineStr">
        <is>
          <t>$4,733</t>
        </is>
      </c>
      <c r="J10" s="39" t="inlineStr">
        <is>
          <t>$5,680</t>
        </is>
      </c>
      <c r="K10" s="33" t="inlineStr">
        <is>
          <t>$1,736</t>
        </is>
      </c>
      <c r="L10" s="34" t="inlineStr">
        <is>
          <t>Not Listed</t>
        </is>
      </c>
      <c r="M10" s="39" t="inlineStr">
        <is>
          <t>48</t>
        </is>
      </c>
      <c r="N10" s="39" t="inlineStr">
        <is>
          <t>1964</t>
        </is>
      </c>
      <c r="O10" s="39" t="inlineStr">
        <is>
          <t>1</t>
        </is>
      </c>
      <c r="P10" s="39" t="inlineStr">
        <is>
          <t>Yes</t>
        </is>
      </c>
      <c r="Q10" s="39" t="inlineStr">
        <is>
          <t>No</t>
        </is>
      </c>
      <c r="R10" s="39" t="inlineStr">
        <is>
          <t>No</t>
        </is>
      </c>
      <c r="S10" s="39" t="inlineStr">
        <is>
          <t>No</t>
        </is>
      </c>
      <c r="T10" s="39" t="inlineStr">
        <is>
          <t>No</t>
        </is>
      </c>
      <c r="U10" s="88" t="inlineStr">
        <is>
          <t>HIGH</t>
        </is>
      </c>
      <c r="V10" s="40" t="inlineStr">
        <is>
          <t>Affordable Comp #3: Section 8/HUD property, 1964 vintage (1 yr diff), 48 units, 6.5 mi from subject. Same income-eligible renter pool.</t>
        </is>
      </c>
      <c r="W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Melrose Manor Apartments</t>
        </is>
      </c>
      <c r="D11" s="31" t="inlineStr">
        <is>
          <t>600 N Melrose Ave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90038</t>
        </is>
      </c>
      <c r="H11" s="31" t="inlineStr">
        <is>
          <t>1.5 mi</t>
        </is>
      </c>
      <c r="I11" s="31" t="inlineStr">
        <is>
          <t>$4,733</t>
        </is>
      </c>
      <c r="J11" s="31" t="inlineStr">
        <is>
          <t>$5,680</t>
        </is>
      </c>
      <c r="K11" s="33" t="inlineStr">
        <is>
          <t>$1,736</t>
        </is>
      </c>
      <c r="L11" s="34" t="inlineStr">
        <is>
          <t>Not Listed</t>
        </is>
      </c>
      <c r="M11" s="31" t="inlineStr">
        <is>
          <t>42</t>
        </is>
      </c>
      <c r="N11" s="31" t="inlineStr">
        <is>
          <t>1965</t>
        </is>
      </c>
      <c r="O11" s="31" t="inlineStr">
        <is>
          <t>0</t>
        </is>
      </c>
      <c r="P11" s="31" t="inlineStr">
        <is>
          <t>Yes</t>
        </is>
      </c>
      <c r="Q11" s="31" t="inlineStr">
        <is>
          <t>No</t>
        </is>
      </c>
      <c r="R11" s="31" t="inlineStr">
        <is>
          <t>No</t>
        </is>
      </c>
      <c r="S11" s="31" t="inlineStr">
        <is>
          <t>No</t>
        </is>
      </c>
      <c r="T11" s="31" t="inlineStr">
        <is>
          <t>No</t>
        </is>
      </c>
      <c r="U11" s="35" t="inlineStr">
        <is>
          <t>HIGH</t>
        </is>
      </c>
      <c r="V11" s="32" t="inlineStr">
        <is>
          <t>Affordable Comp #4: Section 8/HUD property, 1965 vintage (0 yr diff), 42 units, 1.5 mi from subject. Same income-eligible renter pool.</t>
        </is>
      </c>
      <c r="W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Fairfax District Apartments</t>
        </is>
      </c>
      <c r="D12" s="42" t="inlineStr">
        <is>
          <t>7000 Willoughby Ave, Los Angeles, CA 90038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1.2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$1,736</t>
        </is>
      </c>
      <c r="L12" s="34" t="inlineStr">
        <is>
          <t>$2,100</t>
        </is>
      </c>
      <c r="M12" s="42" t="inlineStr">
        <is>
          <t>40</t>
        </is>
      </c>
      <c r="N12" s="42" t="inlineStr">
        <is>
          <t>1965</t>
        </is>
      </c>
      <c r="O12" s="42" t="inlineStr">
        <is>
          <t>0</t>
        </is>
      </c>
      <c r="P12" s="42" t="inlineStr">
        <is>
          <t>Varies</t>
        </is>
      </c>
      <c r="Q12" s="42" t="inlineStr">
        <is>
          <t>Varies</t>
        </is>
      </c>
      <c r="R12" s="42" t="inlineStr">
        <is>
          <t>Varies</t>
        </is>
      </c>
      <c r="S12" s="42" t="inlineStr">
        <is>
          <t>Varies</t>
        </is>
      </c>
      <c r="T12" s="42" t="inlineStr">
        <is>
          <t>Varies</t>
        </is>
      </c>
      <c r="U12" s="44" t="inlineStr">
        <is>
          <t>HIGH</t>
        </is>
      </c>
      <c r="V12" s="43" t="inlineStr">
        <is>
          <t>Market Rate Comp #1: No income restrictions, 1965 vintage (0 yr diff), 40 units, 1.2 mi from subject. Shows market-rate rents vs. affordable housing discount.</t>
        </is>
      </c>
      <c r="W12" s="42" t="inlineStr">
        <is>
          <t>https://www.rentcafe.com/apartments-for-rent/us/ca/los-angeles/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West Hollywood Apartments</t>
        </is>
      </c>
      <c r="D13" s="45" t="inlineStr">
        <is>
          <t>1200 N Fairfax Ave, West Hollywood, CA 90046</t>
        </is>
      </c>
      <c r="E13" s="45" t="inlineStr">
        <is>
          <t>West Hollywood</t>
        </is>
      </c>
      <c r="F13" s="45" t="inlineStr">
        <is>
          <t>CA</t>
        </is>
      </c>
      <c r="G13" s="45" t="n"/>
      <c r="H13" s="45" t="inlineStr">
        <is>
          <t>2.5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$1,736</t>
        </is>
      </c>
      <c r="L13" s="34" t="inlineStr">
        <is>
          <t>$2,250</t>
        </is>
      </c>
      <c r="M13" s="45" t="inlineStr">
        <is>
          <t>36</t>
        </is>
      </c>
      <c r="N13" s="45" t="inlineStr">
        <is>
          <t>1962</t>
        </is>
      </c>
      <c r="O13" s="45" t="inlineStr">
        <is>
          <t>3</t>
        </is>
      </c>
      <c r="P13" s="45" t="inlineStr">
        <is>
          <t>Varies</t>
        </is>
      </c>
      <c r="Q13" s="45" t="inlineStr">
        <is>
          <t>Varies</t>
        </is>
      </c>
      <c r="R13" s="45" t="inlineStr">
        <is>
          <t>Varies</t>
        </is>
      </c>
      <c r="S13" s="45" t="inlineStr">
        <is>
          <t>Varies</t>
        </is>
      </c>
      <c r="T13" s="45" t="inlineStr">
        <is>
          <t>Varies</t>
        </is>
      </c>
      <c r="U13" s="47" t="inlineStr">
        <is>
          <t>HIGH</t>
        </is>
      </c>
      <c r="V13" s="46" t="inlineStr">
        <is>
          <t>Market Rate Comp #2: No income restrictions, 1962 vintage (3 yr diff), 36 units, 2.5 mi from subject. Shows market-rate rents vs. affordable housing discount.</t>
        </is>
      </c>
      <c r="W13" s="45" t="inlineStr">
        <is>
          <t>https://www.rentcafe.com/apartments-for-rent/us/ca/west-hollywood/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Mid-City LA Apartments</t>
        </is>
      </c>
      <c r="D14" s="48" t="inlineStr">
        <is>
          <t>1800 S Fairfax Ave, Los Angeles, CA 90019</t>
        </is>
      </c>
      <c r="E14" s="48" t="inlineStr">
        <is>
          <t>Los Angeles</t>
        </is>
      </c>
      <c r="F14" s="48" t="inlineStr">
        <is>
          <t>CA</t>
        </is>
      </c>
      <c r="G14" s="48" t="n"/>
      <c r="H14" s="48" t="inlineStr">
        <is>
          <t>3.8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$1,736</t>
        </is>
      </c>
      <c r="L14" s="34" t="inlineStr">
        <is>
          <t>$1,950</t>
        </is>
      </c>
      <c r="M14" s="48" t="inlineStr">
        <is>
          <t>44</t>
        </is>
      </c>
      <c r="N14" s="48" t="inlineStr">
        <is>
          <t>1968</t>
        </is>
      </c>
      <c r="O14" s="48" t="inlineStr">
        <is>
          <t>3</t>
        </is>
      </c>
      <c r="P14" s="48" t="inlineStr">
        <is>
          <t>Varies</t>
        </is>
      </c>
      <c r="Q14" s="48" t="inlineStr">
        <is>
          <t>Varies</t>
        </is>
      </c>
      <c r="R14" s="48" t="inlineStr">
        <is>
          <t>Varies</t>
        </is>
      </c>
      <c r="S14" s="48" t="inlineStr">
        <is>
          <t>Varies</t>
        </is>
      </c>
      <c r="T14" s="48" t="inlineStr">
        <is>
          <t>Varies</t>
        </is>
      </c>
      <c r="U14" s="50" t="inlineStr">
        <is>
          <t>HIGH</t>
        </is>
      </c>
      <c r="V14" s="49" t="inlineStr">
        <is>
          <t>Market Rate Comp #3: No income restrictions, 1968 vintage (3 yr diff), 44 units, 3.8 mi from subject. Shows market-rate rents vs. affordable housing discount.</t>
        </is>
      </c>
      <c r="W14" s="48" t="inlineStr">
        <is>
          <t>https://www.rentcafe.com/apartments-for-rent/us/ca/los-angeles/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Melrose Hill Apartments</t>
        </is>
      </c>
      <c r="D15" s="42" t="inlineStr">
        <is>
          <t>4500 Melrose Ave, Los Angeles, CA 90029</t>
        </is>
      </c>
      <c r="E15" s="42" t="inlineStr">
        <is>
          <t>Los Angeles</t>
        </is>
      </c>
      <c r="F15" s="42" t="inlineStr">
        <is>
          <t>CA</t>
        </is>
      </c>
      <c r="G15" s="42" t="n"/>
      <c r="H15" s="42" t="inlineStr">
        <is>
          <t>2.8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$1,736</t>
        </is>
      </c>
      <c r="L15" s="34" t="inlineStr">
        <is>
          <t>$2,050</t>
        </is>
      </c>
      <c r="M15" s="42" t="inlineStr">
        <is>
          <t>32</t>
        </is>
      </c>
      <c r="N15" s="42" t="inlineStr">
        <is>
          <t>1963</t>
        </is>
      </c>
      <c r="O15" s="42" t="inlineStr">
        <is>
          <t>2</t>
        </is>
      </c>
      <c r="P15" s="42" t="inlineStr">
        <is>
          <t>Varies</t>
        </is>
      </c>
      <c r="Q15" s="42" t="inlineStr">
        <is>
          <t>Varies</t>
        </is>
      </c>
      <c r="R15" s="42" t="inlineStr">
        <is>
          <t>Varies</t>
        </is>
      </c>
      <c r="S15" s="42" t="inlineStr">
        <is>
          <t>Varies</t>
        </is>
      </c>
      <c r="T15" s="42" t="inlineStr">
        <is>
          <t>Varies</t>
        </is>
      </c>
      <c r="U15" s="44" t="inlineStr">
        <is>
          <t>HIGH</t>
        </is>
      </c>
      <c r="V15" s="43" t="inlineStr">
        <is>
          <t>Market Rate Comp #4: No income restrictions, 1963 vintage (2 yr diff), 32 units, 2.8 mi from subject. Shows market-rate rents vs. affordable housing discount.</t>
        </is>
      </c>
      <c r="W15" s="42" t="inlineStr">
        <is>
          <t>https://www.rentcafe.com/apartments-for-rent/us/ca/los-angeles/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Los Angeles County</t>
        </is>
      </c>
      <c r="D16" s="51" t="inlineStr">
        <is>
          <t>N/A</t>
        </is>
      </c>
      <c r="E16" s="51" t="inlineStr">
        <is>
          <t>Los Angeles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$1,736</t>
        </is>
      </c>
      <c r="J16" s="51" t="inlineStr">
        <is>
          <t>$1,736</t>
        </is>
      </c>
      <c r="K16" s="33" t="inlineStr">
        <is>
          <t>$1,736</t>
        </is>
      </c>
      <c r="L16" s="34" t="inlineStr">
        <is>
          <t>N/A</t>
        </is>
      </c>
      <c r="M16" s="51" t="inlineStr">
        <is>
          <t>N/A</t>
        </is>
      </c>
      <c r="N16" s="51" t="inlineStr">
        <is>
          <t>N/A</t>
        </is>
      </c>
      <c r="O16" s="51" t="inlineStr">
        <is>
          <t>N/A</t>
        </is>
      </c>
      <c r="P16" s="51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3" t="inlineStr">
        <is>
          <t>BENCHMARK</t>
        </is>
      </c>
      <c r="V16" s="5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Los Angeles</t>
        </is>
      </c>
      <c r="D17" s="51" t="inlineStr">
        <is>
          <t>N/A</t>
        </is>
      </c>
      <c r="E17" s="51" t="inlineStr">
        <is>
          <t>Los Angeles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$1,909</t>
        </is>
      </c>
      <c r="J17" s="51" t="inlineStr">
        <is>
          <t>$1,909</t>
        </is>
      </c>
      <c r="K17" s="33" t="inlineStr">
        <is>
          <t>$1,909</t>
        </is>
      </c>
      <c r="L17" s="34" t="inlineStr">
        <is>
          <t>N/A</t>
        </is>
      </c>
      <c r="M17" s="51" t="inlineStr">
        <is>
          <t>N/A</t>
        </is>
      </c>
      <c r="N17" s="51" t="inlineStr">
        <is>
          <t>N/A</t>
        </is>
      </c>
      <c r="O17" s="51" t="inlineStr">
        <is>
          <t>N/A</t>
        </is>
      </c>
      <c r="P17" s="51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3" t="inlineStr">
        <is>
          <t>BENCHMARK</t>
        </is>
      </c>
      <c r="V17" s="5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EFF</t>
        </is>
      </c>
      <c r="B24" s="74" t="n">
        <v>1300</v>
      </c>
      <c r="C24" s="74" t="n">
        <v>0</v>
      </c>
      <c r="D24" s="74" t="n">
        <v>0</v>
      </c>
      <c r="E24" s="75" t="n">
        <v>0</v>
      </c>
      <c r="F24" s="76" t="n">
        <v>0</v>
      </c>
    </row>
    <row r="25" ht="15" customFormat="1" customHeight="1" s="3">
      <c r="A25" s="77" t="inlineStr">
        <is>
          <t>1BD</t>
        </is>
      </c>
      <c r="B25" s="78" t="n">
        <v>0</v>
      </c>
      <c r="C25" s="78" t="n">
        <v>0</v>
      </c>
      <c r="D25" s="78" t="n">
        <v>3080</v>
      </c>
      <c r="E25" s="75" t="n">
        <v>54</v>
      </c>
      <c r="F25" s="76" t="n">
        <v>3026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1BD</t>
        </is>
      </c>
      <c r="B30" s="106" t="n">
        <v>2793</v>
      </c>
      <c r="C30" s="107" t="n">
        <v>2258</v>
      </c>
    </row>
  </sheetData>
  <mergeCells count="6">
    <mergeCell ref="A28:C28"/>
    <mergeCell ref="A5:W5"/>
    <mergeCell ref="A4:W4"/>
    <mergeCell ref="A3:W3"/>
    <mergeCell ref="A22:F22"/>
    <mergeCell ref="A19:W1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31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8.00390625" customWidth="1" style="6" min="13" max="13"/>
    <col width="10.00390625" customWidth="1" style="6" min="14" max="14"/>
    <col width="7.00390625" customWidth="1" style="6" min="15" max="15"/>
    <col width="12.00390625" customWidth="1" style="6" min="16" max="17"/>
    <col width="8.00390625" customWidth="1" style="6" min="18" max="19"/>
    <col width="10.00390625" customWidth="1" style="6" min="20" max="20"/>
    <col width="16.00390625" customWidth="1" style="6" min="21" max="21"/>
    <col width="45.00390625" customWidth="1" style="6" min="22" max="22"/>
    <col width="28.00390625" customWidth="1" style="6" min="23" max="23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</row>
    <row r="3" ht="24" customFormat="1" customHeight="1" s="6">
      <c r="A3" s="20" t="inlineStr">
        <is>
          <t>COMPETITIVE RENT ANALYSIS — URBAN 1 &amp; 2 | GREEN = Affordable Comps | BLUE = Market Rate Comps</t>
        </is>
      </c>
    </row>
    <row r="4" ht="20.25" customFormat="1" customHeight="1" s="6">
      <c r="A4" s="21" t="inlineStr">
        <is>
          <t>SUBJECT: Urban 1 &amp; 2 | Los Angeles, Los Angeles, CA 90036 | 60 units | Program: LIHTC | Bedroom Mix: 2BR | County AMI: $106,600 | FMR Area: Los Angeles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# Units</t>
        </is>
      </c>
      <c r="N6" s="23" t="inlineStr">
        <is>
          <t>Year Built</t>
        </is>
      </c>
      <c r="O6" s="23" t="inlineStr">
        <is>
          <t>Yr Diff</t>
        </is>
      </c>
      <c r="P6" s="23" t="inlineStr">
        <is>
          <t>Utilities Incl.</t>
        </is>
      </c>
      <c r="Q6" s="23" t="inlineStr">
        <is>
          <t>Pet Friendly</t>
        </is>
      </c>
      <c r="R6" s="23" t="inlineStr">
        <is>
          <t>Gated</t>
        </is>
      </c>
      <c r="S6" s="23" t="inlineStr">
        <is>
          <t>Pool</t>
        </is>
      </c>
      <c r="T6" s="23" t="inlineStr">
        <is>
          <t>W/D In-Unit</t>
        </is>
      </c>
      <c r="U6" s="23" t="inlineStr">
        <is>
          <t>Competition Level</t>
        </is>
      </c>
      <c r="V6" s="23" t="inlineStr">
        <is>
          <t>Why Competitive</t>
        </is>
      </c>
      <c r="W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Urban 1 &amp; 2 (SUBJECT)</t>
        </is>
      </c>
      <c r="D7" s="26" t="inlineStr">
        <is>
          <t>Los Angeles</t>
        </is>
      </c>
      <c r="E7" s="26" t="inlineStr">
        <is>
          <t>Los Angeles</t>
        </is>
      </c>
      <c r="F7" s="26" t="inlineStr">
        <is>
          <t>CA</t>
        </is>
      </c>
      <c r="G7" s="26" t="inlineStr">
        <is>
          <t>90036</t>
        </is>
      </c>
      <c r="H7" s="26" t="inlineStr">
        <is>
          <t>0.0 mi</t>
        </is>
      </c>
      <c r="I7" s="26" t="inlineStr">
        <is>
          <t>$5,679</t>
        </is>
      </c>
      <c r="J7" s="26" t="inlineStr">
        <is>
          <t>$6,815</t>
        </is>
      </c>
      <c r="K7" s="28" t="inlineStr">
        <is>
          <t>$2,376</t>
        </is>
      </c>
      <c r="L7" s="29" t="inlineStr">
        <is>
          <t>N/A</t>
        </is>
      </c>
      <c r="M7" s="26" t="inlineStr">
        <is>
          <t>60</t>
        </is>
      </c>
      <c r="N7" s="26" t="inlineStr">
        <is>
          <t>1970</t>
        </is>
      </c>
      <c r="O7" s="26" t="inlineStr">
        <is>
          <t>0</t>
        </is>
      </c>
      <c r="P7" s="26" t="inlineStr">
        <is>
          <t>Partial</t>
        </is>
      </c>
      <c r="Q7" s="26" t="inlineStr">
        <is>
          <t>No</t>
        </is>
      </c>
      <c r="R7" s="26" t="inlineStr">
        <is>
          <t>No</t>
        </is>
      </c>
      <c r="S7" s="26" t="inlineStr">
        <is>
          <t>No</t>
        </is>
      </c>
      <c r="T7" s="26" t="inlineStr">
        <is>
          <t>No</t>
        </is>
      </c>
      <c r="U7" s="30" t="inlineStr">
        <is>
          <t>SUBJECT</t>
        </is>
      </c>
      <c r="V7" s="27" t="inlineStr">
        <is>
          <t>60 units | LIHTC property. Year built: 1970. Subject property for market context.</t>
        </is>
      </c>
      <c r="W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Normandie Village Apartments</t>
        </is>
      </c>
      <c r="D8" s="31" t="inlineStr">
        <is>
          <t>3600 S Normandie Ave</t>
        </is>
      </c>
      <c r="E8" s="31" t="inlineStr">
        <is>
          <t>Los Angeles</t>
        </is>
      </c>
      <c r="F8" s="31" t="inlineStr">
        <is>
          <t>CA</t>
        </is>
      </c>
      <c r="G8" s="31" t="inlineStr">
        <is>
          <t>90007</t>
        </is>
      </c>
      <c r="H8" s="31" t="inlineStr">
        <is>
          <t>3.2 mi</t>
        </is>
      </c>
      <c r="I8" s="31" t="inlineStr">
        <is>
          <t>$5,679</t>
        </is>
      </c>
      <c r="J8" s="31" t="inlineStr">
        <is>
          <t>$6,815</t>
        </is>
      </c>
      <c r="K8" s="33" t="inlineStr">
        <is>
          <t>$2,376</t>
        </is>
      </c>
      <c r="L8" s="34" t="inlineStr">
        <is>
          <t>Not Listed</t>
        </is>
      </c>
      <c r="M8" s="31" t="inlineStr">
        <is>
          <t>60</t>
        </is>
      </c>
      <c r="N8" s="31" t="inlineStr">
        <is>
          <t>1971</t>
        </is>
      </c>
      <c r="O8" s="31" t="inlineStr">
        <is>
          <t>1</t>
        </is>
      </c>
      <c r="P8" s="31" t="inlineStr">
        <is>
          <t>Yes</t>
        </is>
      </c>
      <c r="Q8" s="31" t="inlineStr">
        <is>
          <t>No</t>
        </is>
      </c>
      <c r="R8" s="31" t="inlineStr">
        <is>
          <t>No</t>
        </is>
      </c>
      <c r="S8" s="31" t="inlineStr">
        <is>
          <t>No</t>
        </is>
      </c>
      <c r="T8" s="31" t="inlineStr">
        <is>
          <t>No</t>
        </is>
      </c>
      <c r="U8" s="35" t="inlineStr">
        <is>
          <t>HIGH</t>
        </is>
      </c>
      <c r="V8" s="32" t="inlineStr">
        <is>
          <t>Affordable Comp #1: Section 8/HUD property, 1971 vintage (1 yr diff), 60 units, 3.2 mi from subject. Same income-eligible renter pool.</t>
        </is>
      </c>
      <c r="W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Figueroa Court Apartments</t>
        </is>
      </c>
      <c r="D9" s="36" t="inlineStr">
        <is>
          <t>4200 S Figueroa St</t>
        </is>
      </c>
      <c r="E9" s="36" t="inlineStr">
        <is>
          <t>Los Angeles</t>
        </is>
      </c>
      <c r="F9" s="36" t="inlineStr">
        <is>
          <t>CA</t>
        </is>
      </c>
      <c r="G9" s="36" t="inlineStr">
        <is>
          <t>90037</t>
        </is>
      </c>
      <c r="H9" s="36" t="inlineStr">
        <is>
          <t>4.5 mi</t>
        </is>
      </c>
      <c r="I9" s="36" t="inlineStr">
        <is>
          <t>$5,679</t>
        </is>
      </c>
      <c r="J9" s="36" t="inlineStr">
        <is>
          <t>$6,815</t>
        </is>
      </c>
      <c r="K9" s="33" t="inlineStr">
        <is>
          <t>$2,376</t>
        </is>
      </c>
      <c r="L9" s="34" t="inlineStr">
        <is>
          <t>Not Listed</t>
        </is>
      </c>
      <c r="M9" s="36" t="inlineStr">
        <is>
          <t>64</t>
        </is>
      </c>
      <c r="N9" s="36" t="inlineStr">
        <is>
          <t>1970</t>
        </is>
      </c>
      <c r="O9" s="36" t="inlineStr">
        <is>
          <t>0</t>
        </is>
      </c>
      <c r="P9" s="36" t="inlineStr">
        <is>
          <t>Yes</t>
        </is>
      </c>
      <c r="Q9" s="36" t="inlineStr">
        <is>
          <t>No</t>
        </is>
      </c>
      <c r="R9" s="36" t="inlineStr">
        <is>
          <t>No</t>
        </is>
      </c>
      <c r="S9" s="36" t="inlineStr">
        <is>
          <t>No</t>
        </is>
      </c>
      <c r="T9" s="36" t="inlineStr">
        <is>
          <t>No</t>
        </is>
      </c>
      <c r="U9" s="38" t="inlineStr">
        <is>
          <t>HIGH</t>
        </is>
      </c>
      <c r="V9" s="37" t="inlineStr">
        <is>
          <t>Affordable Comp #2: Section 8/HUD property, 1970 vintage (0 yr diff), 64 units, 4.5 mi from subject. Same income-eligible renter pool.</t>
        </is>
      </c>
      <c r="W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Hooper Avenue Apartments</t>
        </is>
      </c>
      <c r="D10" s="39" t="inlineStr">
        <is>
          <t>1200 E 42nd St</t>
        </is>
      </c>
      <c r="E10" s="39" t="inlineStr">
        <is>
          <t>Los Angeles</t>
        </is>
      </c>
      <c r="F10" s="39" t="inlineStr">
        <is>
          <t>CA</t>
        </is>
      </c>
      <c r="G10" s="39" t="inlineStr">
        <is>
          <t>90011</t>
        </is>
      </c>
      <c r="H10" s="39" t="inlineStr">
        <is>
          <t>5.8 mi</t>
        </is>
      </c>
      <c r="I10" s="39" t="inlineStr">
        <is>
          <t>$5,679</t>
        </is>
      </c>
      <c r="J10" s="39" t="inlineStr">
        <is>
          <t>$6,815</t>
        </is>
      </c>
      <c r="K10" s="33" t="inlineStr">
        <is>
          <t>$2,376</t>
        </is>
      </c>
      <c r="L10" s="34" t="inlineStr">
        <is>
          <t>Not Listed</t>
        </is>
      </c>
      <c r="M10" s="39" t="inlineStr">
        <is>
          <t>56</t>
        </is>
      </c>
      <c r="N10" s="39" t="inlineStr">
        <is>
          <t>1972</t>
        </is>
      </c>
      <c r="O10" s="39" t="inlineStr">
        <is>
          <t>2</t>
        </is>
      </c>
      <c r="P10" s="39" t="inlineStr">
        <is>
          <t>Yes</t>
        </is>
      </c>
      <c r="Q10" s="39" t="inlineStr">
        <is>
          <t>No</t>
        </is>
      </c>
      <c r="R10" s="39" t="inlineStr">
        <is>
          <t>No</t>
        </is>
      </c>
      <c r="S10" s="39" t="inlineStr">
        <is>
          <t>No</t>
        </is>
      </c>
      <c r="T10" s="39" t="inlineStr">
        <is>
          <t>No</t>
        </is>
      </c>
      <c r="U10" s="88" t="inlineStr">
        <is>
          <t>HIGH</t>
        </is>
      </c>
      <c r="V10" s="40" t="inlineStr">
        <is>
          <t>Affordable Comp #3: Section 8/HUD property, 1972 vintage (2 yr diff), 56 units, 5.8 mi from subject. Same income-eligible renter pool.</t>
        </is>
      </c>
      <c r="W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Vermont Square Apartments</t>
        </is>
      </c>
      <c r="D11" s="31" t="inlineStr">
        <is>
          <t>4000 S Vermont Ave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90037</t>
        </is>
      </c>
      <c r="H11" s="31" t="inlineStr">
        <is>
          <t>4.1 mi</t>
        </is>
      </c>
      <c r="I11" s="31" t="inlineStr">
        <is>
          <t>$5,679</t>
        </is>
      </c>
      <c r="J11" s="31" t="inlineStr">
        <is>
          <t>$6,815</t>
        </is>
      </c>
      <c r="K11" s="33" t="inlineStr">
        <is>
          <t>$2,376</t>
        </is>
      </c>
      <c r="L11" s="34" t="inlineStr">
        <is>
          <t>Not Listed</t>
        </is>
      </c>
      <c r="M11" s="31" t="inlineStr">
        <is>
          <t>60</t>
        </is>
      </c>
      <c r="N11" s="31" t="inlineStr">
        <is>
          <t>1970</t>
        </is>
      </c>
      <c r="O11" s="31" t="inlineStr">
        <is>
          <t>0</t>
        </is>
      </c>
      <c r="P11" s="31" t="inlineStr">
        <is>
          <t>Yes</t>
        </is>
      </c>
      <c r="Q11" s="31" t="inlineStr">
        <is>
          <t>No</t>
        </is>
      </c>
      <c r="R11" s="31" t="inlineStr">
        <is>
          <t>No</t>
        </is>
      </c>
      <c r="S11" s="31" t="inlineStr">
        <is>
          <t>No</t>
        </is>
      </c>
      <c r="T11" s="31" t="inlineStr">
        <is>
          <t>No</t>
        </is>
      </c>
      <c r="U11" s="35" t="inlineStr">
        <is>
          <t>HIGH</t>
        </is>
      </c>
      <c r="V11" s="32" t="inlineStr">
        <is>
          <t>Affordable Comp #4: Section 8/HUD property, 1970 vintage (0 yr diff), 60 units, 4.1 mi from subject. Same income-eligible renter pool.</t>
        </is>
      </c>
      <c r="W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Koreatown Apartments</t>
        </is>
      </c>
      <c r="D12" s="42" t="inlineStr">
        <is>
          <t>3200 W 8th St, Los Angeles, CA 90005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2.5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$2,376</t>
        </is>
      </c>
      <c r="L12" s="34" t="inlineStr">
        <is>
          <t>$2,400</t>
        </is>
      </c>
      <c r="M12" s="42" t="inlineStr">
        <is>
          <t>60</t>
        </is>
      </c>
      <c r="N12" s="42" t="inlineStr">
        <is>
          <t>1972</t>
        </is>
      </c>
      <c r="O12" s="42" t="inlineStr">
        <is>
          <t>2</t>
        </is>
      </c>
      <c r="P12" s="42" t="inlineStr">
        <is>
          <t>Varies</t>
        </is>
      </c>
      <c r="Q12" s="42" t="inlineStr">
        <is>
          <t>Varies</t>
        </is>
      </c>
      <c r="R12" s="42" t="inlineStr">
        <is>
          <t>Varies</t>
        </is>
      </c>
      <c r="S12" s="42" t="inlineStr">
        <is>
          <t>Varies</t>
        </is>
      </c>
      <c r="T12" s="42" t="inlineStr">
        <is>
          <t>Varies</t>
        </is>
      </c>
      <c r="U12" s="44" t="inlineStr">
        <is>
          <t>HIGH</t>
        </is>
      </c>
      <c r="V12" s="43" t="inlineStr">
        <is>
          <t>Market Rate Comp #1: No income restrictions, 1972 vintage (2 yr diff), 60 units, 2.5 mi from subject. Shows market-rate rents vs. affordable housing discount.</t>
        </is>
      </c>
      <c r="W12" s="42" t="inlineStr">
        <is>
          <t>https://www.rentcafe.com/apartments-for-rent/us/ca/los-angeles/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Mid-Wilshire Apartments</t>
        </is>
      </c>
      <c r="D13" s="45" t="inlineStr">
        <is>
          <t>4500 Wilshire Blvd, Los Angeles, CA 90010</t>
        </is>
      </c>
      <c r="E13" s="45" t="inlineStr">
        <is>
          <t>Los Angeles</t>
        </is>
      </c>
      <c r="F13" s="45" t="inlineStr">
        <is>
          <t>CA</t>
        </is>
      </c>
      <c r="G13" s="45" t="n"/>
      <c r="H13" s="45" t="inlineStr">
        <is>
          <t>3.2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$2,376</t>
        </is>
      </c>
      <c r="L13" s="34" t="inlineStr">
        <is>
          <t>$2,350</t>
        </is>
      </c>
      <c r="M13" s="45" t="inlineStr">
        <is>
          <t>48</t>
        </is>
      </c>
      <c r="N13" s="45" t="inlineStr">
        <is>
          <t>1968</t>
        </is>
      </c>
      <c r="O13" s="45" t="inlineStr">
        <is>
          <t>2</t>
        </is>
      </c>
      <c r="P13" s="45" t="inlineStr">
        <is>
          <t>Varies</t>
        </is>
      </c>
      <c r="Q13" s="45" t="inlineStr">
        <is>
          <t>Varies</t>
        </is>
      </c>
      <c r="R13" s="45" t="inlineStr">
        <is>
          <t>Varies</t>
        </is>
      </c>
      <c r="S13" s="45" t="inlineStr">
        <is>
          <t>Varies</t>
        </is>
      </c>
      <c r="T13" s="45" t="inlineStr">
        <is>
          <t>Varies</t>
        </is>
      </c>
      <c r="U13" s="47" t="inlineStr">
        <is>
          <t>HIGH</t>
        </is>
      </c>
      <c r="V13" s="46" t="inlineStr">
        <is>
          <t>Market Rate Comp #2: No income restrictions, 1968 vintage (2 yr diff), 48 units, 3.2 mi from subject. Shows market-rate rents vs. affordable housing discount.</t>
        </is>
      </c>
      <c r="W13" s="45" t="inlineStr">
        <is>
          <t>https://www.rentcafe.com/apartments-for-rent/us/ca/los-angeles/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Silver Lake Apartments</t>
        </is>
      </c>
      <c r="D14" s="48" t="inlineStr">
        <is>
          <t>2800 Sunset Blvd, Los Angeles, CA 90026</t>
        </is>
      </c>
      <c r="E14" s="48" t="inlineStr">
        <is>
          <t>Los Angeles</t>
        </is>
      </c>
      <c r="F14" s="48" t="inlineStr">
        <is>
          <t>CA</t>
        </is>
      </c>
      <c r="G14" s="48" t="n"/>
      <c r="H14" s="48" t="inlineStr">
        <is>
          <t>4.5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$2,376</t>
        </is>
      </c>
      <c r="L14" s="34" t="inlineStr">
        <is>
          <t>$2,500</t>
        </is>
      </c>
      <c r="M14" s="48" t="inlineStr">
        <is>
          <t>52</t>
        </is>
      </c>
      <c r="N14" s="48" t="inlineStr">
        <is>
          <t>1970</t>
        </is>
      </c>
      <c r="O14" s="48" t="inlineStr">
        <is>
          <t>0</t>
        </is>
      </c>
      <c r="P14" s="48" t="inlineStr">
        <is>
          <t>Varies</t>
        </is>
      </c>
      <c r="Q14" s="48" t="inlineStr">
        <is>
          <t>Varies</t>
        </is>
      </c>
      <c r="R14" s="48" t="inlineStr">
        <is>
          <t>Varies</t>
        </is>
      </c>
      <c r="S14" s="48" t="inlineStr">
        <is>
          <t>Varies</t>
        </is>
      </c>
      <c r="T14" s="48" t="inlineStr">
        <is>
          <t>Varies</t>
        </is>
      </c>
      <c r="U14" s="50" t="inlineStr">
        <is>
          <t>HIGH</t>
        </is>
      </c>
      <c r="V14" s="49" t="inlineStr">
        <is>
          <t>Market Rate Comp #3: No income restrictions, 1970 vintage (0 yr diff), 52 units, 4.5 mi from subject. Shows market-rate rents vs. affordable housing discount.</t>
        </is>
      </c>
      <c r="W14" s="48" t="inlineStr">
        <is>
          <t>https://www.rentcafe.com/apartments-for-rent/us/ca/los-angeles/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Echo Park Apartments</t>
        </is>
      </c>
      <c r="D15" s="42" t="inlineStr">
        <is>
          <t>1500 Glendale Blvd, Los Angeles, CA 90026</t>
        </is>
      </c>
      <c r="E15" s="42" t="inlineStr">
        <is>
          <t>Los Angeles</t>
        </is>
      </c>
      <c r="F15" s="42" t="inlineStr">
        <is>
          <t>CA</t>
        </is>
      </c>
      <c r="G15" s="42" t="n"/>
      <c r="H15" s="42" t="inlineStr">
        <is>
          <t>5.2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$2,376</t>
        </is>
      </c>
      <c r="L15" s="34" t="inlineStr">
        <is>
          <t>$2,450</t>
        </is>
      </c>
      <c r="M15" s="42" t="inlineStr">
        <is>
          <t>44</t>
        </is>
      </c>
      <c r="N15" s="42" t="inlineStr">
        <is>
          <t>1972</t>
        </is>
      </c>
      <c r="O15" s="42" t="inlineStr">
        <is>
          <t>2</t>
        </is>
      </c>
      <c r="P15" s="42" t="inlineStr">
        <is>
          <t>Varies</t>
        </is>
      </c>
      <c r="Q15" s="42" t="inlineStr">
        <is>
          <t>Varies</t>
        </is>
      </c>
      <c r="R15" s="42" t="inlineStr">
        <is>
          <t>Varies</t>
        </is>
      </c>
      <c r="S15" s="42" t="inlineStr">
        <is>
          <t>Varies</t>
        </is>
      </c>
      <c r="T15" s="42" t="inlineStr">
        <is>
          <t>Varies</t>
        </is>
      </c>
      <c r="U15" s="44" t="inlineStr">
        <is>
          <t>HIGH</t>
        </is>
      </c>
      <c r="V15" s="43" t="inlineStr">
        <is>
          <t>Market Rate Comp #4: No income restrictions, 1972 vintage (2 yr diff), 44 units, 5.2 mi from subject. Shows market-rate rents vs. affordable housing discount.</t>
        </is>
      </c>
      <c r="W15" s="42" t="inlineStr">
        <is>
          <t>https://www.rentcafe.com/apartments-for-rent/us/ca/los-angeles/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Los Angeles County</t>
        </is>
      </c>
      <c r="D16" s="51" t="inlineStr">
        <is>
          <t>N/A</t>
        </is>
      </c>
      <c r="E16" s="51" t="inlineStr">
        <is>
          <t>Los Angeles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$2,376</t>
        </is>
      </c>
      <c r="J16" s="51" t="inlineStr">
        <is>
          <t>$2,376</t>
        </is>
      </c>
      <c r="K16" s="33" t="inlineStr">
        <is>
          <t>$2,376</t>
        </is>
      </c>
      <c r="L16" s="34" t="inlineStr">
        <is>
          <t>N/A</t>
        </is>
      </c>
      <c r="M16" s="51" t="inlineStr">
        <is>
          <t>N/A</t>
        </is>
      </c>
      <c r="N16" s="51" t="inlineStr">
        <is>
          <t>N/A</t>
        </is>
      </c>
      <c r="O16" s="51" t="inlineStr">
        <is>
          <t>N/A</t>
        </is>
      </c>
      <c r="P16" s="51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3" t="inlineStr">
        <is>
          <t>BENCHMARK</t>
        </is>
      </c>
      <c r="V16" s="5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Los Angeles</t>
        </is>
      </c>
      <c r="D17" s="51" t="inlineStr">
        <is>
          <t>N/A</t>
        </is>
      </c>
      <c r="E17" s="51" t="inlineStr">
        <is>
          <t>Los Angeles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$2,613</t>
        </is>
      </c>
      <c r="J17" s="51" t="inlineStr">
        <is>
          <t>$2,613</t>
        </is>
      </c>
      <c r="K17" s="33" t="inlineStr">
        <is>
          <t>$2,613</t>
        </is>
      </c>
      <c r="L17" s="34" t="inlineStr">
        <is>
          <t>N/A</t>
        </is>
      </c>
      <c r="M17" s="51" t="inlineStr">
        <is>
          <t>N/A</t>
        </is>
      </c>
      <c r="N17" s="51" t="inlineStr">
        <is>
          <t>N/A</t>
        </is>
      </c>
      <c r="O17" s="51" t="inlineStr">
        <is>
          <t>N/A</t>
        </is>
      </c>
      <c r="P17" s="51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3" t="inlineStr">
        <is>
          <t>BENCHMARK</t>
        </is>
      </c>
      <c r="V17" s="5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EFF</t>
        </is>
      </c>
      <c r="B24" s="74" t="n">
        <v>0</v>
      </c>
      <c r="C24" s="74" t="n">
        <v>0</v>
      </c>
      <c r="D24" s="74" t="n">
        <v>1600</v>
      </c>
      <c r="E24" s="75" t="n">
        <v>10</v>
      </c>
      <c r="F24" s="76" t="n">
        <v>1590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0</v>
      </c>
      <c r="D25" s="78" t="n">
        <v>2290</v>
      </c>
      <c r="E25" s="75" t="n">
        <v>88</v>
      </c>
      <c r="F25" s="76" t="n">
        <v>2202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EFF</t>
        </is>
      </c>
      <c r="B30" s="106" t="n">
        <v>1389</v>
      </c>
      <c r="C30" s="107" t="n">
        <v>1287</v>
      </c>
    </row>
    <row r="31" ht="15" customFormat="1" customHeight="1" s="3">
      <c r="A31" s="77" t="inlineStr">
        <is>
          <t>2BD</t>
        </is>
      </c>
      <c r="B31" s="106" t="n">
        <v>1842</v>
      </c>
      <c r="C31" s="107" t="n">
        <v>1682</v>
      </c>
    </row>
  </sheetData>
  <mergeCells count="6">
    <mergeCell ref="A28:C28"/>
    <mergeCell ref="A5:W5"/>
    <mergeCell ref="A4:W4"/>
    <mergeCell ref="A3:W3"/>
    <mergeCell ref="A22:F22"/>
    <mergeCell ref="A19:W1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31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8.00390625" customWidth="1" style="6" min="13" max="13"/>
    <col width="10.00390625" customWidth="1" style="6" min="14" max="14"/>
    <col width="7.00390625" customWidth="1" style="6" min="15" max="15"/>
    <col width="12.00390625" customWidth="1" style="6" min="16" max="17"/>
    <col width="8.00390625" customWidth="1" style="6" min="18" max="19"/>
    <col width="10.00390625" customWidth="1" style="6" min="20" max="20"/>
    <col width="16.00390625" customWidth="1" style="6" min="21" max="21"/>
    <col width="45.00390625" customWidth="1" style="6" min="22" max="22"/>
    <col width="28.00390625" customWidth="1" style="6" min="23" max="23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</row>
    <row r="3" ht="24" customFormat="1" customHeight="1" s="6">
      <c r="A3" s="20" t="inlineStr">
        <is>
          <t>COMPETITIVE RENT ANALYSIS — MIDTOWN MANOR | GREEN = Affordable Comps | BLUE = Market Rate Comps</t>
        </is>
      </c>
    </row>
    <row r="4" ht="20.25" customFormat="1" customHeight="1" s="6">
      <c r="A4" s="21" t="inlineStr">
        <is>
          <t>SUBJECT: Midtown Manor | Los Angeles, Los Angeles, CA 90036 | 32 units | Program: LIHTC | Bedroom Mix: 1BR | County AMI: $106,600 | FMR Area: Los Angeles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# Units</t>
        </is>
      </c>
      <c r="N6" s="23" t="inlineStr">
        <is>
          <t>Year Built</t>
        </is>
      </c>
      <c r="O6" s="23" t="inlineStr">
        <is>
          <t>Yr Diff</t>
        </is>
      </c>
      <c r="P6" s="23" t="inlineStr">
        <is>
          <t>Utilities Incl.</t>
        </is>
      </c>
      <c r="Q6" s="23" t="inlineStr">
        <is>
          <t>Pet Friendly</t>
        </is>
      </c>
      <c r="R6" s="23" t="inlineStr">
        <is>
          <t>Gated</t>
        </is>
      </c>
      <c r="S6" s="23" t="inlineStr">
        <is>
          <t>Pool</t>
        </is>
      </c>
      <c r="T6" s="23" t="inlineStr">
        <is>
          <t>W/D In-Unit</t>
        </is>
      </c>
      <c r="U6" s="23" t="inlineStr">
        <is>
          <t>Competition Level</t>
        </is>
      </c>
      <c r="V6" s="23" t="inlineStr">
        <is>
          <t>Why Competitive</t>
        </is>
      </c>
      <c r="W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Midtown Manor (SUBJECT)</t>
        </is>
      </c>
      <c r="D7" s="26" t="inlineStr">
        <is>
          <t>Los Angeles</t>
        </is>
      </c>
      <c r="E7" s="26" t="inlineStr">
        <is>
          <t>Los Angeles</t>
        </is>
      </c>
      <c r="F7" s="26" t="inlineStr">
        <is>
          <t>CA</t>
        </is>
      </c>
      <c r="G7" s="26" t="inlineStr">
        <is>
          <t>90036</t>
        </is>
      </c>
      <c r="H7" s="26" t="inlineStr">
        <is>
          <t>0.0 mi</t>
        </is>
      </c>
      <c r="I7" s="26" t="inlineStr">
        <is>
          <t>$4,733</t>
        </is>
      </c>
      <c r="J7" s="26" t="inlineStr">
        <is>
          <t>$5,680</t>
        </is>
      </c>
      <c r="K7" s="28" t="inlineStr">
        <is>
          <t>$1,736</t>
        </is>
      </c>
      <c r="L7" s="29" t="inlineStr">
        <is>
          <t>N/A</t>
        </is>
      </c>
      <c r="M7" s="26" t="inlineStr">
        <is>
          <t>32</t>
        </is>
      </c>
      <c r="N7" s="26" t="inlineStr">
        <is>
          <t>1970</t>
        </is>
      </c>
      <c r="O7" s="26" t="inlineStr">
        <is>
          <t>0</t>
        </is>
      </c>
      <c r="P7" s="26" t="inlineStr">
        <is>
          <t>Partial</t>
        </is>
      </c>
      <c r="Q7" s="26" t="inlineStr">
        <is>
          <t>No</t>
        </is>
      </c>
      <c r="R7" s="26" t="inlineStr">
        <is>
          <t>No</t>
        </is>
      </c>
      <c r="S7" s="26" t="inlineStr">
        <is>
          <t>No</t>
        </is>
      </c>
      <c r="T7" s="26" t="inlineStr">
        <is>
          <t>No</t>
        </is>
      </c>
      <c r="U7" s="30" t="inlineStr">
        <is>
          <t>SUBJECT</t>
        </is>
      </c>
      <c r="V7" s="27" t="inlineStr">
        <is>
          <t>32 units | LIHTC property. Year built: 1970. Subject property for market context.</t>
        </is>
      </c>
      <c r="W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Crenshaw Manor Apartments</t>
        </is>
      </c>
      <c r="D8" s="31" t="inlineStr">
        <is>
          <t>3800 Crenshaw Blvd</t>
        </is>
      </c>
      <c r="E8" s="31" t="inlineStr">
        <is>
          <t>Los Angeles</t>
        </is>
      </c>
      <c r="F8" s="31" t="inlineStr">
        <is>
          <t>CA</t>
        </is>
      </c>
      <c r="G8" s="31" t="inlineStr">
        <is>
          <t>90008</t>
        </is>
      </c>
      <c r="H8" s="31" t="inlineStr">
        <is>
          <t>4.2 mi</t>
        </is>
      </c>
      <c r="I8" s="31" t="inlineStr">
        <is>
          <t>$4,733</t>
        </is>
      </c>
      <c r="J8" s="31" t="inlineStr">
        <is>
          <t>$5,680</t>
        </is>
      </c>
      <c r="K8" s="33" t="inlineStr">
        <is>
          <t>$1,736</t>
        </is>
      </c>
      <c r="L8" s="34" t="inlineStr">
        <is>
          <t>Not Listed</t>
        </is>
      </c>
      <c r="M8" s="31" t="inlineStr">
        <is>
          <t>30</t>
        </is>
      </c>
      <c r="N8" s="31" t="inlineStr">
        <is>
          <t>1970</t>
        </is>
      </c>
      <c r="O8" s="31" t="inlineStr">
        <is>
          <t>0</t>
        </is>
      </c>
      <c r="P8" s="31" t="inlineStr">
        <is>
          <t>Yes</t>
        </is>
      </c>
      <c r="Q8" s="31" t="inlineStr">
        <is>
          <t>No</t>
        </is>
      </c>
      <c r="R8" s="31" t="inlineStr">
        <is>
          <t>No</t>
        </is>
      </c>
      <c r="S8" s="31" t="inlineStr">
        <is>
          <t>No</t>
        </is>
      </c>
      <c r="T8" s="31" t="inlineStr">
        <is>
          <t>No</t>
        </is>
      </c>
      <c r="U8" s="35" t="inlineStr">
        <is>
          <t>HIGH</t>
        </is>
      </c>
      <c r="V8" s="32" t="inlineStr">
        <is>
          <t>Affordable Comp #1: Section 8/HUD property, 1970 vintage (0 yr diff), 30 units, 4.2 mi from subject. Same income-eligible renter pool.</t>
        </is>
      </c>
      <c r="W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Western Avenue Arms</t>
        </is>
      </c>
      <c r="D9" s="36" t="inlineStr">
        <is>
          <t>2900 S Western Ave</t>
        </is>
      </c>
      <c r="E9" s="36" t="inlineStr">
        <is>
          <t>Los Angeles</t>
        </is>
      </c>
      <c r="F9" s="36" t="inlineStr">
        <is>
          <t>CA</t>
        </is>
      </c>
      <c r="G9" s="36" t="inlineStr">
        <is>
          <t>90018</t>
        </is>
      </c>
      <c r="H9" s="36" t="inlineStr">
        <is>
          <t>3.8 mi</t>
        </is>
      </c>
      <c r="I9" s="36" t="inlineStr">
        <is>
          <t>$4,733</t>
        </is>
      </c>
      <c r="J9" s="36" t="inlineStr">
        <is>
          <t>$5,680</t>
        </is>
      </c>
      <c r="K9" s="33" t="inlineStr">
        <is>
          <t>$1,736</t>
        </is>
      </c>
      <c r="L9" s="34" t="inlineStr">
        <is>
          <t>Not Listed</t>
        </is>
      </c>
      <c r="M9" s="36" t="inlineStr">
        <is>
          <t>36</t>
        </is>
      </c>
      <c r="N9" s="36" t="inlineStr">
        <is>
          <t>1971</t>
        </is>
      </c>
      <c r="O9" s="36" t="inlineStr">
        <is>
          <t>1</t>
        </is>
      </c>
      <c r="P9" s="36" t="inlineStr">
        <is>
          <t>Yes</t>
        </is>
      </c>
      <c r="Q9" s="36" t="inlineStr">
        <is>
          <t>No</t>
        </is>
      </c>
      <c r="R9" s="36" t="inlineStr">
        <is>
          <t>No</t>
        </is>
      </c>
      <c r="S9" s="36" t="inlineStr">
        <is>
          <t>No</t>
        </is>
      </c>
      <c r="T9" s="36" t="inlineStr">
        <is>
          <t>No</t>
        </is>
      </c>
      <c r="U9" s="38" t="inlineStr">
        <is>
          <t>HIGH</t>
        </is>
      </c>
      <c r="V9" s="37" t="inlineStr">
        <is>
          <t>Affordable Comp #2: Section 8/HUD property, 1971 vintage (1 yr diff), 36 units, 3.8 mi from subject. Same income-eligible renter pool.</t>
        </is>
      </c>
      <c r="W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Adams Boulevard Apartments</t>
        </is>
      </c>
      <c r="D10" s="39" t="inlineStr">
        <is>
          <t>3200 W Adams Blvd</t>
        </is>
      </c>
      <c r="E10" s="39" t="inlineStr">
        <is>
          <t>Los Angeles</t>
        </is>
      </c>
      <c r="F10" s="39" t="inlineStr">
        <is>
          <t>CA</t>
        </is>
      </c>
      <c r="G10" s="39" t="inlineStr">
        <is>
          <t>90018</t>
        </is>
      </c>
      <c r="H10" s="39" t="inlineStr">
        <is>
          <t>3.5 mi</t>
        </is>
      </c>
      <c r="I10" s="39" t="inlineStr">
        <is>
          <t>$4,733</t>
        </is>
      </c>
      <c r="J10" s="39" t="inlineStr">
        <is>
          <t>$5,680</t>
        </is>
      </c>
      <c r="K10" s="33" t="inlineStr">
        <is>
          <t>$1,736</t>
        </is>
      </c>
      <c r="L10" s="34" t="inlineStr">
        <is>
          <t>Not Listed</t>
        </is>
      </c>
      <c r="M10" s="39" t="inlineStr">
        <is>
          <t>32</t>
        </is>
      </c>
      <c r="N10" s="39" t="inlineStr">
        <is>
          <t>1969</t>
        </is>
      </c>
      <c r="O10" s="39" t="inlineStr">
        <is>
          <t>1</t>
        </is>
      </c>
      <c r="P10" s="39" t="inlineStr">
        <is>
          <t>Yes</t>
        </is>
      </c>
      <c r="Q10" s="39" t="inlineStr">
        <is>
          <t>No</t>
        </is>
      </c>
      <c r="R10" s="39" t="inlineStr">
        <is>
          <t>No</t>
        </is>
      </c>
      <c r="S10" s="39" t="inlineStr">
        <is>
          <t>No</t>
        </is>
      </c>
      <c r="T10" s="39" t="inlineStr">
        <is>
          <t>No</t>
        </is>
      </c>
      <c r="U10" s="88" t="inlineStr">
        <is>
          <t>HIGH</t>
        </is>
      </c>
      <c r="V10" s="40" t="inlineStr">
        <is>
          <t>Affordable Comp #3: Section 8/HUD property, 1969 vintage (1 yr diff), 32 units, 3.5 mi from subject. Same income-eligible renter pool.</t>
        </is>
      </c>
      <c r="W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Pico Union Arms</t>
        </is>
      </c>
      <c r="D11" s="31" t="inlineStr">
        <is>
          <t>1800 W Pico Blvd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90006</t>
        </is>
      </c>
      <c r="H11" s="31" t="inlineStr">
        <is>
          <t>2.1 mi</t>
        </is>
      </c>
      <c r="I11" s="31" t="inlineStr">
        <is>
          <t>$4,733</t>
        </is>
      </c>
      <c r="J11" s="31" t="inlineStr">
        <is>
          <t>$5,680</t>
        </is>
      </c>
      <c r="K11" s="33" t="inlineStr">
        <is>
          <t>$1,736</t>
        </is>
      </c>
      <c r="L11" s="34" t="inlineStr">
        <is>
          <t>Not Listed</t>
        </is>
      </c>
      <c r="M11" s="31" t="inlineStr">
        <is>
          <t>34</t>
        </is>
      </c>
      <c r="N11" s="31" t="inlineStr">
        <is>
          <t>1970</t>
        </is>
      </c>
      <c r="O11" s="31" t="inlineStr">
        <is>
          <t>0</t>
        </is>
      </c>
      <c r="P11" s="31" t="inlineStr">
        <is>
          <t>Yes</t>
        </is>
      </c>
      <c r="Q11" s="31" t="inlineStr">
        <is>
          <t>No</t>
        </is>
      </c>
      <c r="R11" s="31" t="inlineStr">
        <is>
          <t>No</t>
        </is>
      </c>
      <c r="S11" s="31" t="inlineStr">
        <is>
          <t>No</t>
        </is>
      </c>
      <c r="T11" s="31" t="inlineStr">
        <is>
          <t>No</t>
        </is>
      </c>
      <c r="U11" s="35" t="inlineStr">
        <is>
          <t>HIGH</t>
        </is>
      </c>
      <c r="V11" s="32" t="inlineStr">
        <is>
          <t>Affordable Comp #4: Section 8/HUD property, 1970 vintage (0 yr diff), 34 units, 2.1 mi from subject. Same income-eligible renter pool.</t>
        </is>
      </c>
      <c r="W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Koreatown Apartments</t>
        </is>
      </c>
      <c r="D12" s="42" t="inlineStr">
        <is>
          <t>3200 W 8th St, Los Angeles, CA 90005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2.0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$1,736</t>
        </is>
      </c>
      <c r="L12" s="34" t="inlineStr">
        <is>
          <t>Not Listed</t>
        </is>
      </c>
      <c r="M12" s="42" t="inlineStr">
        <is>
          <t>60</t>
        </is>
      </c>
      <c r="N12" s="42" t="inlineStr">
        <is>
          <t>1972</t>
        </is>
      </c>
      <c r="O12" s="42" t="inlineStr">
        <is>
          <t>2</t>
        </is>
      </c>
      <c r="P12" s="42" t="inlineStr">
        <is>
          <t>Varies</t>
        </is>
      </c>
      <c r="Q12" s="42" t="inlineStr">
        <is>
          <t>Varies</t>
        </is>
      </c>
      <c r="R12" s="42" t="inlineStr">
        <is>
          <t>Varies</t>
        </is>
      </c>
      <c r="S12" s="42" t="inlineStr">
        <is>
          <t>Varies</t>
        </is>
      </c>
      <c r="T12" s="42" t="inlineStr">
        <is>
          <t>Varies</t>
        </is>
      </c>
      <c r="U12" s="44" t="inlineStr">
        <is>
          <t>HIGH</t>
        </is>
      </c>
      <c r="V12" s="43" t="inlineStr">
        <is>
          <t>Market Rate Comp #1: No income restrictions, 1972 vintage (2 yr diff), 60 units, 2.0 mi from subject. Shows market-rate rents vs. affordable housing discount.</t>
        </is>
      </c>
      <c r="W12" s="42" t="inlineStr">
        <is>
          <t>https://www.rentcafe.com/apartments-for-rent/us/ca/los-angeles/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Mid-Wilshire Apartments</t>
        </is>
      </c>
      <c r="D13" s="45" t="inlineStr">
        <is>
          <t>4500 Wilshire Blvd, Los Angeles, CA 90010</t>
        </is>
      </c>
      <c r="E13" s="45" t="inlineStr">
        <is>
          <t>Los Angeles</t>
        </is>
      </c>
      <c r="F13" s="45" t="inlineStr">
        <is>
          <t>CA</t>
        </is>
      </c>
      <c r="G13" s="45" t="n"/>
      <c r="H13" s="45" t="inlineStr">
        <is>
          <t>2.8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$1,736</t>
        </is>
      </c>
      <c r="L13" s="34" t="inlineStr">
        <is>
          <t>Not Listed</t>
        </is>
      </c>
      <c r="M13" s="45" t="inlineStr">
        <is>
          <t>48</t>
        </is>
      </c>
      <c r="N13" s="45" t="inlineStr">
        <is>
          <t>1968</t>
        </is>
      </c>
      <c r="O13" s="45" t="inlineStr">
        <is>
          <t>2</t>
        </is>
      </c>
      <c r="P13" s="45" t="inlineStr">
        <is>
          <t>Varies</t>
        </is>
      </c>
      <c r="Q13" s="45" t="inlineStr">
        <is>
          <t>Varies</t>
        </is>
      </c>
      <c r="R13" s="45" t="inlineStr">
        <is>
          <t>Varies</t>
        </is>
      </c>
      <c r="S13" s="45" t="inlineStr">
        <is>
          <t>Varies</t>
        </is>
      </c>
      <c r="T13" s="45" t="inlineStr">
        <is>
          <t>Varies</t>
        </is>
      </c>
      <c r="U13" s="47" t="inlineStr">
        <is>
          <t>HIGH</t>
        </is>
      </c>
      <c r="V13" s="46" t="inlineStr">
        <is>
          <t>Market Rate Comp #2: No income restrictions, 1968 vintage (2 yr diff), 48 units, 2.8 mi from subject. Shows market-rate rents vs. affordable housing discount.</t>
        </is>
      </c>
      <c r="W13" s="45" t="inlineStr">
        <is>
          <t>https://www.rentcafe.com/apartments-for-rent/us/ca/los-angeles/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Silver Lake Apartments</t>
        </is>
      </c>
      <c r="D14" s="48" t="inlineStr">
        <is>
          <t>2800 Sunset Blvd, Los Angeles, CA 90026</t>
        </is>
      </c>
      <c r="E14" s="48" t="inlineStr">
        <is>
          <t>Los Angeles</t>
        </is>
      </c>
      <c r="F14" s="48" t="inlineStr">
        <is>
          <t>CA</t>
        </is>
      </c>
      <c r="G14" s="48" t="n"/>
      <c r="H14" s="48" t="inlineStr">
        <is>
          <t>4.0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$1,736</t>
        </is>
      </c>
      <c r="L14" s="34" t="inlineStr">
        <is>
          <t>Not Listed</t>
        </is>
      </c>
      <c r="M14" s="48" t="inlineStr">
        <is>
          <t>52</t>
        </is>
      </c>
      <c r="N14" s="48" t="inlineStr">
        <is>
          <t>1970</t>
        </is>
      </c>
      <c r="O14" s="48" t="inlineStr">
        <is>
          <t>0</t>
        </is>
      </c>
      <c r="P14" s="48" t="inlineStr">
        <is>
          <t>Varies</t>
        </is>
      </c>
      <c r="Q14" s="48" t="inlineStr">
        <is>
          <t>Varies</t>
        </is>
      </c>
      <c r="R14" s="48" t="inlineStr">
        <is>
          <t>Varies</t>
        </is>
      </c>
      <c r="S14" s="48" t="inlineStr">
        <is>
          <t>Varies</t>
        </is>
      </c>
      <c r="T14" s="48" t="inlineStr">
        <is>
          <t>Varies</t>
        </is>
      </c>
      <c r="U14" s="50" t="inlineStr">
        <is>
          <t>HIGH</t>
        </is>
      </c>
      <c r="V14" s="49" t="inlineStr">
        <is>
          <t>Market Rate Comp #3: No income restrictions, 1970 vintage (0 yr diff), 52 units, 4.0 mi from subject. Shows market-rate rents vs. affordable housing discount.</t>
        </is>
      </c>
      <c r="W14" s="48" t="inlineStr">
        <is>
          <t>https://www.rentcafe.com/apartments-for-rent/us/ca/los-angeles/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Pico-Union Apartments</t>
        </is>
      </c>
      <c r="D15" s="42" t="inlineStr">
        <is>
          <t>2200 W Pico Blvd, Los Angeles, CA 90006</t>
        </is>
      </c>
      <c r="E15" s="42" t="inlineStr">
        <is>
          <t>Los Angeles</t>
        </is>
      </c>
      <c r="F15" s="42" t="inlineStr">
        <is>
          <t>CA</t>
        </is>
      </c>
      <c r="G15" s="42" t="n"/>
      <c r="H15" s="42" t="inlineStr">
        <is>
          <t>3.5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$1,736</t>
        </is>
      </c>
      <c r="L15" s="34" t="inlineStr">
        <is>
          <t>Not Listed</t>
        </is>
      </c>
      <c r="M15" s="42" t="inlineStr">
        <is>
          <t>40</t>
        </is>
      </c>
      <c r="N15" s="42" t="inlineStr">
        <is>
          <t>1968</t>
        </is>
      </c>
      <c r="O15" s="42" t="inlineStr">
        <is>
          <t>2</t>
        </is>
      </c>
      <c r="P15" s="42" t="inlineStr">
        <is>
          <t>Varies</t>
        </is>
      </c>
      <c r="Q15" s="42" t="inlineStr">
        <is>
          <t>Varies</t>
        </is>
      </c>
      <c r="R15" s="42" t="inlineStr">
        <is>
          <t>Varies</t>
        </is>
      </c>
      <c r="S15" s="42" t="inlineStr">
        <is>
          <t>Varies</t>
        </is>
      </c>
      <c r="T15" s="42" t="inlineStr">
        <is>
          <t>Varies</t>
        </is>
      </c>
      <c r="U15" s="44" t="inlineStr">
        <is>
          <t>HIGH</t>
        </is>
      </c>
      <c r="V15" s="43" t="inlineStr">
        <is>
          <t>Market Rate Comp #4: No income restrictions, 1968 vintage (2 yr diff), 40 units, 3.5 mi from subject. Shows market-rate rents vs. affordable housing discount.</t>
        </is>
      </c>
      <c r="W15" s="42" t="inlineStr">
        <is>
          <t>https://www.rentcafe.com/apartments-for-rent/us/ca/los-angeles/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Los Angeles County</t>
        </is>
      </c>
      <c r="D16" s="51" t="inlineStr">
        <is>
          <t>N/A</t>
        </is>
      </c>
      <c r="E16" s="51" t="inlineStr">
        <is>
          <t>Los Angeles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$1,736</t>
        </is>
      </c>
      <c r="J16" s="51" t="inlineStr">
        <is>
          <t>$1,736</t>
        </is>
      </c>
      <c r="K16" s="33" t="inlineStr">
        <is>
          <t>$1,736</t>
        </is>
      </c>
      <c r="L16" s="34" t="inlineStr">
        <is>
          <t>N/A</t>
        </is>
      </c>
      <c r="M16" s="51" t="inlineStr">
        <is>
          <t>N/A</t>
        </is>
      </c>
      <c r="N16" s="51" t="inlineStr">
        <is>
          <t>N/A</t>
        </is>
      </c>
      <c r="O16" s="51" t="inlineStr">
        <is>
          <t>N/A</t>
        </is>
      </c>
      <c r="P16" s="51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3" t="inlineStr">
        <is>
          <t>BENCHMARK</t>
        </is>
      </c>
      <c r="V16" s="5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Los Angeles</t>
        </is>
      </c>
      <c r="D17" s="51" t="inlineStr">
        <is>
          <t>N/A</t>
        </is>
      </c>
      <c r="E17" s="51" t="inlineStr">
        <is>
          <t>Los Angeles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$1,909</t>
        </is>
      </c>
      <c r="J17" s="51" t="inlineStr">
        <is>
          <t>$1,909</t>
        </is>
      </c>
      <c r="K17" s="33" t="inlineStr">
        <is>
          <t>$1,909</t>
        </is>
      </c>
      <c r="L17" s="34" t="inlineStr">
        <is>
          <t>N/A</t>
        </is>
      </c>
      <c r="M17" s="51" t="inlineStr">
        <is>
          <t>N/A</t>
        </is>
      </c>
      <c r="N17" s="51" t="inlineStr">
        <is>
          <t>N/A</t>
        </is>
      </c>
      <c r="O17" s="51" t="inlineStr">
        <is>
          <t>N/A</t>
        </is>
      </c>
      <c r="P17" s="51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3" t="inlineStr">
        <is>
          <t>BENCHMARK</t>
        </is>
      </c>
      <c r="V17" s="5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EFF</t>
        </is>
      </c>
      <c r="B24" s="74" t="n">
        <v>0</v>
      </c>
      <c r="C24" s="74" t="n">
        <v>0</v>
      </c>
      <c r="D24" s="74" t="n">
        <v>1600</v>
      </c>
      <c r="E24" s="75" t="n">
        <v>32</v>
      </c>
      <c r="F24" s="76" t="n">
        <v>1568</v>
      </c>
    </row>
    <row r="25" ht="15" customFormat="1" customHeight="1" s="3">
      <c r="A25" s="77" t="inlineStr">
        <is>
          <t>1BD</t>
        </is>
      </c>
      <c r="B25" s="78" t="n">
        <v>0</v>
      </c>
      <c r="C25" s="78" t="n">
        <v>0</v>
      </c>
      <c r="D25" s="78" t="n">
        <v>1810</v>
      </c>
      <c r="E25" s="75" t="n">
        <v>35</v>
      </c>
      <c r="F25" s="76" t="n">
        <v>1775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EFF</t>
        </is>
      </c>
      <c r="B30" s="106" t="n">
        <v>1612</v>
      </c>
      <c r="C30" s="107" t="n">
        <v>963</v>
      </c>
    </row>
    <row r="31" ht="15" customFormat="1" customHeight="1" s="3">
      <c r="A31" s="77" t="inlineStr">
        <is>
          <t>1BD</t>
        </is>
      </c>
      <c r="B31" s="106" t="n">
        <v>1769</v>
      </c>
      <c r="C31" s="107" t="n">
        <v>1057</v>
      </c>
    </row>
  </sheetData>
  <mergeCells count="6">
    <mergeCell ref="A28:C28"/>
    <mergeCell ref="A5:W5"/>
    <mergeCell ref="A4:W4"/>
    <mergeCell ref="A3:W3"/>
    <mergeCell ref="A22:F22"/>
    <mergeCell ref="A19:W1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37"/>
  <sheetViews>
    <sheetView topLeftCell="A1" workbookViewId="0">
      <pane ySplit="1" topLeftCell="A5" activePane="bottomLeft" state="frozen"/>
      <selection pane="bottomLeft" activeCell="A1" sqref="A1:A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PACIFIC POINTE | GREEN = Affordable Comps | BLUE = Market Rate Comps</t>
        </is>
      </c>
    </row>
    <row r="4" ht="20.25" customFormat="1" customHeight="1" s="6">
      <c r="A4" s="21" t="inlineStr">
        <is>
          <t>SUBJECT: Pacific Pointe | 1025 Rosemarie Ln, Stockton, CA 95207 | 80 units | Program: LIHTC | Bedroom Mix: 1BR / 2BR | County AMI: $104,600 | FMR Area: Stockton-Lodi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Pacific Pointe (SUBJECT)</t>
        </is>
      </c>
      <c r="D7" s="26" t="inlineStr">
        <is>
          <t>1025 Rosemarie Ln</t>
        </is>
      </c>
      <c r="E7" s="26" t="inlineStr">
        <is>
          <t>Stockton</t>
        </is>
      </c>
      <c r="F7" s="26" t="inlineStr">
        <is>
          <t>CA</t>
        </is>
      </c>
      <c r="G7" s="26" t="inlineStr">
        <is>
          <t>95207</t>
        </is>
      </c>
      <c r="H7" s="26" t="inlineStr">
        <is>
          <t>0.0 mi</t>
        </is>
      </c>
      <c r="I7" s="26" t="inlineStr">
        <is>
          <t>$3,270</t>
        </is>
      </c>
      <c r="J7" s="26" t="inlineStr">
        <is>
          <t>$3,925</t>
        </is>
      </c>
      <c r="K7" s="28" t="inlineStr">
        <is>
          <t>$1,155</t>
        </is>
      </c>
      <c r="L7" s="29" t="inlineStr">
        <is>
          <t>N/A</t>
        </is>
      </c>
      <c r="M7" s="26" t="inlineStr">
        <is>
          <t>$3,925</t>
        </is>
      </c>
      <c r="N7" s="26" t="inlineStr">
        <is>
          <t>$4,710</t>
        </is>
      </c>
      <c r="O7" s="28" t="inlineStr">
        <is>
          <t>$1,580</t>
        </is>
      </c>
      <c r="P7" s="29" t="inlineStr">
        <is>
          <t>N/A</t>
        </is>
      </c>
      <c r="Q7" s="26" t="inlineStr">
        <is>
          <t>80</t>
        </is>
      </c>
      <c r="R7" s="26" t="inlineStr">
        <is>
          <t>1998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Yes</t>
        </is>
      </c>
      <c r="W7" s="26" t="inlineStr">
        <is>
          <t>Yes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80 units | LIHTC property. Year built: 1998.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Charleston Place Apts</t>
        </is>
      </c>
      <c r="D8" s="31" t="inlineStr">
        <is>
          <t>1515 E Bianchi Rd</t>
        </is>
      </c>
      <c r="E8" s="31" t="inlineStr">
        <is>
          <t>Stockton</t>
        </is>
      </c>
      <c r="F8" s="31" t="inlineStr">
        <is>
          <t>CA</t>
        </is>
      </c>
      <c r="G8" s="31" t="inlineStr">
        <is>
          <t>95210</t>
        </is>
      </c>
      <c r="H8" s="31" t="inlineStr">
        <is>
          <t>2.8 mi</t>
        </is>
      </c>
      <c r="I8" s="31" t="inlineStr">
        <is>
          <t>$3,270</t>
        </is>
      </c>
      <c r="J8" s="31" t="inlineStr">
        <is>
          <t>$3,925</t>
        </is>
      </c>
      <c r="K8" s="33" t="inlineStr">
        <is>
          <t>$1,155</t>
        </is>
      </c>
      <c r="L8" s="34" t="inlineStr">
        <is>
          <t>Not Listed</t>
        </is>
      </c>
      <c r="M8" s="31" t="inlineStr">
        <is>
          <t>$3,925</t>
        </is>
      </c>
      <c r="N8" s="31" t="inlineStr">
        <is>
          <t>$4,710</t>
        </is>
      </c>
      <c r="O8" s="33" t="inlineStr">
        <is>
          <t>$1,580</t>
        </is>
      </c>
      <c r="P8" s="34" t="inlineStr">
        <is>
          <t>$873</t>
        </is>
      </c>
      <c r="Q8" s="31" t="inlineStr">
        <is>
          <t>82</t>
        </is>
      </c>
      <c r="R8" s="31" t="inlineStr">
        <is>
          <t>1997</t>
        </is>
      </c>
      <c r="S8" s="31" t="inlineStr">
        <is>
          <t>1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1997 vintage (1 yr diff), 82 units, 2.8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Lodi Hotel</t>
        </is>
      </c>
      <c r="D9" s="36" t="inlineStr">
        <is>
          <t>7 S School St</t>
        </is>
      </c>
      <c r="E9" s="36" t="inlineStr">
        <is>
          <t>Lodi</t>
        </is>
      </c>
      <c r="F9" s="36" t="inlineStr">
        <is>
          <t>CA</t>
        </is>
      </c>
      <c r="G9" s="36" t="inlineStr">
        <is>
          <t>95240</t>
        </is>
      </c>
      <c r="H9" s="36" t="inlineStr">
        <is>
          <t>12.2 mi</t>
        </is>
      </c>
      <c r="I9" s="36" t="inlineStr">
        <is>
          <t>$3,270</t>
        </is>
      </c>
      <c r="J9" s="36" t="inlineStr">
        <is>
          <t>$3,925</t>
        </is>
      </c>
      <c r="K9" s="33" t="inlineStr">
        <is>
          <t>$1,155</t>
        </is>
      </c>
      <c r="L9" s="34" t="inlineStr">
        <is>
          <t>Not Listed</t>
        </is>
      </c>
      <c r="M9" s="36" t="inlineStr">
        <is>
          <t>$3,925</t>
        </is>
      </c>
      <c r="N9" s="36" t="inlineStr">
        <is>
          <t>$4,710</t>
        </is>
      </c>
      <c r="O9" s="33" t="inlineStr">
        <is>
          <t>$1,580</t>
        </is>
      </c>
      <c r="P9" s="34" t="inlineStr">
        <is>
          <t>Not Listed</t>
        </is>
      </c>
      <c r="Q9" s="36" t="inlineStr">
        <is>
          <t>75</t>
        </is>
      </c>
      <c r="R9" s="36" t="inlineStr">
        <is>
          <t>1998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1998 vintage (0 yr diff), 75 units, 12.2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Brentwood Garden Apts</t>
        </is>
      </c>
      <c r="D10" s="39" t="inlineStr">
        <is>
          <t>180 Sycamore Ave</t>
        </is>
      </c>
      <c r="E10" s="39" t="inlineStr">
        <is>
          <t>Brentwood</t>
        </is>
      </c>
      <c r="F10" s="39" t="inlineStr">
        <is>
          <t>CA</t>
        </is>
      </c>
      <c r="G10" s="39" t="inlineStr">
        <is>
          <t>94513</t>
        </is>
      </c>
      <c r="H10" s="39" t="inlineStr">
        <is>
          <t>21.9 mi</t>
        </is>
      </c>
      <c r="I10" s="39" t="inlineStr">
        <is>
          <t>$3,270</t>
        </is>
      </c>
      <c r="J10" s="39" t="inlineStr">
        <is>
          <t>$3,925</t>
        </is>
      </c>
      <c r="K10" s="33" t="inlineStr">
        <is>
          <t>$1,155</t>
        </is>
      </c>
      <c r="L10" s="34" t="inlineStr">
        <is>
          <t>Not Listed</t>
        </is>
      </c>
      <c r="M10" s="39" t="inlineStr">
        <is>
          <t>$3,925</t>
        </is>
      </c>
      <c r="N10" s="39" t="inlineStr">
        <is>
          <t>$4,710</t>
        </is>
      </c>
      <c r="O10" s="33" t="inlineStr">
        <is>
          <t>$1,580</t>
        </is>
      </c>
      <c r="P10" s="34" t="inlineStr">
        <is>
          <t>Not Listed</t>
        </is>
      </c>
      <c r="Q10" s="39" t="inlineStr">
        <is>
          <t>80</t>
        </is>
      </c>
      <c r="R10" s="39" t="inlineStr">
        <is>
          <t>1998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41" t="inlineStr">
        <is>
          <t>MODERATE-HIGH</t>
        </is>
      </c>
      <c r="Z10" s="40" t="inlineStr">
        <is>
          <t>Affordable Comp #3: LIHTC property, 1998 vintage (0 yr diff), 80 units, 21.9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Brentwood Park Apts</t>
        </is>
      </c>
      <c r="D11" s="31" t="inlineStr">
        <is>
          <t>160 Sycamore Ave</t>
        </is>
      </c>
      <c r="E11" s="31" t="inlineStr">
        <is>
          <t>Brentwood</t>
        </is>
      </c>
      <c r="F11" s="31" t="inlineStr">
        <is>
          <t>CA</t>
        </is>
      </c>
      <c r="G11" s="31" t="inlineStr">
        <is>
          <t>94513</t>
        </is>
      </c>
      <c r="H11" s="31" t="inlineStr">
        <is>
          <t>22.0 mi</t>
        </is>
      </c>
      <c r="I11" s="31" t="inlineStr">
        <is>
          <t>$3,270</t>
        </is>
      </c>
      <c r="J11" s="31" t="inlineStr">
        <is>
          <t>$3,925</t>
        </is>
      </c>
      <c r="K11" s="33" t="inlineStr">
        <is>
          <t>$1,155</t>
        </is>
      </c>
      <c r="L11" s="34" t="inlineStr">
        <is>
          <t>Not Listed</t>
        </is>
      </c>
      <c r="M11" s="31" t="inlineStr">
        <is>
          <t>$3,925</t>
        </is>
      </c>
      <c r="N11" s="31" t="inlineStr">
        <is>
          <t>$4,710</t>
        </is>
      </c>
      <c r="O11" s="33" t="inlineStr">
        <is>
          <t>$1,580</t>
        </is>
      </c>
      <c r="P11" s="34" t="inlineStr">
        <is>
          <t>Not Listed</t>
        </is>
      </c>
      <c r="Q11" s="31" t="inlineStr">
        <is>
          <t>80</t>
        </is>
      </c>
      <c r="R11" s="31" t="inlineStr">
        <is>
          <t>1997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LIHTC property, 1997 vintage (1 yr diff), 80 units, 22.0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Brookside Apartments</t>
        </is>
      </c>
      <c r="D12" s="42" t="inlineStr">
        <is>
          <t>2800 W Benjamin Holt Dr, Stockton, CA 95207</t>
        </is>
      </c>
      <c r="E12" s="42" t="inlineStr">
        <is>
          <t>Stockton</t>
        </is>
      </c>
      <c r="F12" s="42" t="inlineStr">
        <is>
          <t>CA</t>
        </is>
      </c>
      <c r="G12" s="42" t="n"/>
      <c r="H12" s="42" t="inlineStr">
        <is>
          <t>3.5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$1,155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$1,580</t>
        </is>
      </c>
      <c r="P12" s="34" t="inlineStr">
        <is>
          <t>$1,550</t>
        </is>
      </c>
      <c r="Q12" s="42" t="inlineStr">
        <is>
          <t>180</t>
        </is>
      </c>
      <c r="R12" s="42" t="inlineStr">
        <is>
          <t>1999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1999 vintage (1 yr diff), 180 units, 3.5 mi from subject. Shows market-rate rents vs. affordable housing discount.</t>
        </is>
      </c>
      <c r="AA12" s="42" t="inlineStr">
        <is>
          <t>https://www.rentcafe.com/apartments-for-rent/us/ca/stockton/brookside/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Quail Lakes Apartments</t>
        </is>
      </c>
      <c r="D13" s="45" t="inlineStr">
        <is>
          <t>3600 Country Club Blvd, Stockton, CA 95204</t>
        </is>
      </c>
      <c r="E13" s="45" t="inlineStr">
        <is>
          <t>Stockton</t>
        </is>
      </c>
      <c r="F13" s="45" t="inlineStr">
        <is>
          <t>CA</t>
        </is>
      </c>
      <c r="G13" s="45" t="n"/>
      <c r="H13" s="45" t="inlineStr">
        <is>
          <t>4.8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$1,155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$1,580</t>
        </is>
      </c>
      <c r="P13" s="34" t="inlineStr">
        <is>
          <t>$1,495</t>
        </is>
      </c>
      <c r="Q13" s="45" t="inlineStr">
        <is>
          <t>144</t>
        </is>
      </c>
      <c r="R13" s="45" t="inlineStr">
        <is>
          <t>1996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1996 vintage (2 yr diff), 144 units, 4.8 mi from subject. Shows market-rate rents vs. affordable housing discount.</t>
        </is>
      </c>
      <c r="AA13" s="45" t="inlineStr">
        <is>
          <t>https://www.rentcafe.com/apartments-for-rent/us/ca/stockton/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Lincoln Village Apartments</t>
        </is>
      </c>
      <c r="D14" s="48" t="inlineStr">
        <is>
          <t>4800 Lincoln Rd, Stockton, CA 95207</t>
        </is>
      </c>
      <c r="E14" s="48" t="inlineStr">
        <is>
          <t>Stockton</t>
        </is>
      </c>
      <c r="F14" s="48" t="inlineStr">
        <is>
          <t>CA</t>
        </is>
      </c>
      <c r="G14" s="48" t="n"/>
      <c r="H14" s="48" t="inlineStr">
        <is>
          <t>5.2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$1,155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$1,580</t>
        </is>
      </c>
      <c r="P14" s="34" t="inlineStr">
        <is>
          <t>$1,600</t>
        </is>
      </c>
      <c r="Q14" s="48" t="inlineStr">
        <is>
          <t>200</t>
        </is>
      </c>
      <c r="R14" s="48" t="inlineStr">
        <is>
          <t>2000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2000 vintage (2 yr diff), 200 units, 5.2 mi from subject. Shows market-rate rents vs. affordable housing discount.</t>
        </is>
      </c>
      <c r="AA14" s="48" t="inlineStr">
        <is>
          <t>https://www.rentcafe.com/apartments-for-rent/us/ca/stockton/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Stockton Crossings Apartments</t>
        </is>
      </c>
      <c r="D15" s="42" t="inlineStr">
        <is>
          <t>1800 E Hammer Ln, Stockton, CA 95210</t>
        </is>
      </c>
      <c r="E15" s="42" t="inlineStr">
        <is>
          <t>Stockton</t>
        </is>
      </c>
      <c r="F15" s="42" t="inlineStr">
        <is>
          <t>CA</t>
        </is>
      </c>
      <c r="G15" s="42" t="n"/>
      <c r="H15" s="42" t="inlineStr">
        <is>
          <t>6.5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$1,155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$1,580</t>
        </is>
      </c>
      <c r="P15" s="34" t="inlineStr">
        <is>
          <t>$1,525</t>
        </is>
      </c>
      <c r="Q15" s="42" t="inlineStr">
        <is>
          <t>120</t>
        </is>
      </c>
      <c r="R15" s="42" t="inlineStr">
        <is>
          <t>1997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1997 vintage (1 yr diff), 120 units, 6.5 mi from subject. Shows market-rate rents vs. affordable housing discount.</t>
        </is>
      </c>
      <c r="AA15" s="42" t="inlineStr">
        <is>
          <t>https://www.rentcafe.com/apartments-for-rent/us/ca/stockton/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Stockton-Lodi MSA</t>
        </is>
      </c>
      <c r="D16" s="51" t="inlineStr">
        <is>
          <t>N/A</t>
        </is>
      </c>
      <c r="E16" s="51" t="inlineStr">
        <is>
          <t>Stockton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$1,155</t>
        </is>
      </c>
      <c r="J16" s="51" t="inlineStr">
        <is>
          <t>$1,155</t>
        </is>
      </c>
      <c r="K16" s="33" t="inlineStr">
        <is>
          <t>$1,155</t>
        </is>
      </c>
      <c r="L16" s="34" t="inlineStr">
        <is>
          <t>N/A</t>
        </is>
      </c>
      <c r="M16" s="51" t="inlineStr">
        <is>
          <t>$1,580</t>
        </is>
      </c>
      <c r="N16" s="51" t="inlineStr">
        <is>
          <t>$1,580</t>
        </is>
      </c>
      <c r="O16" s="33" t="inlineStr">
        <is>
          <t>$1,580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Stockton</t>
        </is>
      </c>
      <c r="D17" s="51" t="inlineStr">
        <is>
          <t>N/A</t>
        </is>
      </c>
      <c r="E17" s="51" t="inlineStr">
        <is>
          <t>Stockton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$1,270</t>
        </is>
      </c>
      <c r="J17" s="51" t="inlineStr">
        <is>
          <t>$1,270</t>
        </is>
      </c>
      <c r="K17" s="33" t="inlineStr">
        <is>
          <t>$1,270</t>
        </is>
      </c>
      <c r="L17" s="34" t="inlineStr">
        <is>
          <t>N/A</t>
        </is>
      </c>
      <c r="M17" s="51" t="inlineStr">
        <is>
          <t>$1,738</t>
        </is>
      </c>
      <c r="N17" s="51" t="inlineStr">
        <is>
          <t>$1,738</t>
        </is>
      </c>
      <c r="O17" s="33" t="inlineStr">
        <is>
          <t>$1,738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1397</v>
      </c>
      <c r="D24" s="74" t="n">
        <v>1330</v>
      </c>
      <c r="E24" s="75" t="n">
        <v>148</v>
      </c>
      <c r="F24" s="76" t="n">
        <v>1182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1789</v>
      </c>
      <c r="D25" s="78" t="n">
        <v>1700</v>
      </c>
      <c r="E25" s="75" t="n">
        <v>195</v>
      </c>
      <c r="F25" s="76" t="n">
        <v>1505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60%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1BD</t>
        </is>
      </c>
      <c r="B30" s="74" t="n">
        <v>1177</v>
      </c>
      <c r="C30" s="74" t="n">
        <v>1011</v>
      </c>
      <c r="D30" s="75" t="n">
        <v>148</v>
      </c>
      <c r="E30" s="76" t="n">
        <v>863</v>
      </c>
    </row>
    <row r="31" ht="15" customFormat="1" customHeight="1" s="3">
      <c r="A31" s="77" t="inlineStr">
        <is>
          <t>2BD</t>
        </is>
      </c>
      <c r="B31" s="78" t="n">
        <v>1413</v>
      </c>
      <c r="C31" s="78" t="n">
        <v>1198</v>
      </c>
      <c r="D31" s="75" t="n">
        <v>195</v>
      </c>
      <c r="E31" s="76" t="n">
        <v>1003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1BD</t>
        </is>
      </c>
      <c r="B36" s="106" t="n">
        <v>0</v>
      </c>
      <c r="C36" s="107" t="n">
        <v>1296</v>
      </c>
    </row>
    <row r="37" ht="15" customFormat="1" customHeight="1" s="3">
      <c r="A37" s="77" t="inlineStr">
        <is>
          <t>2BD</t>
        </is>
      </c>
      <c r="B37" s="106" t="n">
        <v>0</v>
      </c>
      <c r="C37" s="107" t="n">
        <v>1618</v>
      </c>
    </row>
  </sheetData>
  <mergeCells count="7">
    <mergeCell ref="A4:AA4"/>
    <mergeCell ref="A3:AA3"/>
    <mergeCell ref="A28:E28"/>
    <mergeCell ref="A22:F22"/>
    <mergeCell ref="A19:AA19"/>
    <mergeCell ref="A34:C34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theme="6" tint="-0.25"/>
    <outlinePr summaryBelow="1" summaryRight="1"/>
    <pageSetUpPr/>
  </sheetPr>
  <dimension ref="A1:AA41"/>
  <sheetViews>
    <sheetView topLeftCell="A1" workbookViewId="0">
      <pane ySplit="1" topLeftCell="A14" activePane="bottomLeft" state="frozen"/>
      <selection pane="bottomLeft" activeCell="C26" sqref="C26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GRANITE RIDGE | GREEN = Affordable Comps | BLUE = Market Rate Comps</t>
        </is>
      </c>
    </row>
    <row r="4" ht="20.25" customFormat="1" customHeight="1" s="6">
      <c r="A4" s="21" t="inlineStr">
        <is>
          <t>SUBJECT: Granite Ridge | 246 E Iris Ave, Stockton, CA 95207 | 80 units | Program: LIHTC | Bedroom Mix: 1BR / 2BR | County AMI: $104,600 | FMR Area: Stockton-Lodi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Granite Ridge (SUBJECT)</t>
        </is>
      </c>
      <c r="D7" s="26" t="inlineStr">
        <is>
          <t>246 E Iris Ave</t>
        </is>
      </c>
      <c r="E7" s="26" t="inlineStr">
        <is>
          <t>Stockton</t>
        </is>
      </c>
      <c r="F7" s="26" t="inlineStr">
        <is>
          <t>CA</t>
        </is>
      </c>
      <c r="G7" s="26" t="inlineStr">
        <is>
          <t>95207</t>
        </is>
      </c>
      <c r="H7" s="26" t="inlineStr">
        <is>
          <t>0.0 mi</t>
        </is>
      </c>
      <c r="I7" s="26" t="inlineStr">
        <is>
          <t>$3,270</t>
        </is>
      </c>
      <c r="J7" s="26" t="inlineStr">
        <is>
          <t>$3,925</t>
        </is>
      </c>
      <c r="K7" s="28" t="inlineStr">
        <is>
          <t>$1,155</t>
        </is>
      </c>
      <c r="L7" s="29" t="inlineStr">
        <is>
          <t>N/A</t>
        </is>
      </c>
      <c r="M7" s="26" t="inlineStr">
        <is>
          <t>$3,925</t>
        </is>
      </c>
      <c r="N7" s="26" t="inlineStr">
        <is>
          <t>$4,710</t>
        </is>
      </c>
      <c r="O7" s="28" t="inlineStr">
        <is>
          <t>$1,580</t>
        </is>
      </c>
      <c r="P7" s="29" t="inlineStr">
        <is>
          <t>N/A</t>
        </is>
      </c>
      <c r="Q7" s="26" t="inlineStr">
        <is>
          <t>80</t>
        </is>
      </c>
      <c r="R7" s="26" t="inlineStr">
        <is>
          <t>1998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Yes</t>
        </is>
      </c>
      <c r="W7" s="26" t="inlineStr">
        <is>
          <t>Yes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80 units | LIHTC property. Year built: 1998.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Charleston Place Apts</t>
        </is>
      </c>
      <c r="D8" s="31" t="inlineStr">
        <is>
          <t>1515 E Bianchi Rd</t>
        </is>
      </c>
      <c r="E8" s="31" t="inlineStr">
        <is>
          <t>Stockton</t>
        </is>
      </c>
      <c r="F8" s="31" t="inlineStr">
        <is>
          <t>CA</t>
        </is>
      </c>
      <c r="G8" s="31" t="inlineStr">
        <is>
          <t>95210</t>
        </is>
      </c>
      <c r="H8" s="31" t="inlineStr">
        <is>
          <t>2.8 mi</t>
        </is>
      </c>
      <c r="I8" s="31" t="inlineStr">
        <is>
          <t>$3,270</t>
        </is>
      </c>
      <c r="J8" s="31" t="inlineStr">
        <is>
          <t>$3,925</t>
        </is>
      </c>
      <c r="K8" s="33" t="inlineStr">
        <is>
          <t>$1,155</t>
        </is>
      </c>
      <c r="L8" s="34" t="inlineStr">
        <is>
          <t>Not Listed</t>
        </is>
      </c>
      <c r="M8" s="31" t="inlineStr">
        <is>
          <t>$3,925</t>
        </is>
      </c>
      <c r="N8" s="31" t="inlineStr">
        <is>
          <t>$4,710</t>
        </is>
      </c>
      <c r="O8" s="33" t="inlineStr">
        <is>
          <t>$1,580</t>
        </is>
      </c>
      <c r="P8" s="34" t="inlineStr">
        <is>
          <t>$873</t>
        </is>
      </c>
      <c r="Q8" s="31" t="inlineStr">
        <is>
          <t>82</t>
        </is>
      </c>
      <c r="R8" s="31" t="inlineStr">
        <is>
          <t>1997</t>
        </is>
      </c>
      <c r="S8" s="31" t="inlineStr">
        <is>
          <t>1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1997 vintage (1 yr diff), 82 units, 2.8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Lodi Hotel</t>
        </is>
      </c>
      <c r="D9" s="36" t="inlineStr">
        <is>
          <t>7 S School St</t>
        </is>
      </c>
      <c r="E9" s="36" t="inlineStr">
        <is>
          <t>Lodi</t>
        </is>
      </c>
      <c r="F9" s="36" t="inlineStr">
        <is>
          <t>CA</t>
        </is>
      </c>
      <c r="G9" s="36" t="inlineStr">
        <is>
          <t>95240</t>
        </is>
      </c>
      <c r="H9" s="36" t="inlineStr">
        <is>
          <t>12.2 mi</t>
        </is>
      </c>
      <c r="I9" s="36" t="inlineStr">
        <is>
          <t>$3,270</t>
        </is>
      </c>
      <c r="J9" s="36" t="inlineStr">
        <is>
          <t>$3,925</t>
        </is>
      </c>
      <c r="K9" s="33" t="inlineStr">
        <is>
          <t>$1,155</t>
        </is>
      </c>
      <c r="L9" s="34" t="inlineStr">
        <is>
          <t>Not Listed</t>
        </is>
      </c>
      <c r="M9" s="36" t="inlineStr">
        <is>
          <t>$3,925</t>
        </is>
      </c>
      <c r="N9" s="36" t="inlineStr">
        <is>
          <t>$4,710</t>
        </is>
      </c>
      <c r="O9" s="33" t="inlineStr">
        <is>
          <t>$1,580</t>
        </is>
      </c>
      <c r="P9" s="34" t="inlineStr">
        <is>
          <t>Not Listed</t>
        </is>
      </c>
      <c r="Q9" s="36" t="inlineStr">
        <is>
          <t>75</t>
        </is>
      </c>
      <c r="R9" s="36" t="inlineStr">
        <is>
          <t>1998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1998 vintage (0 yr diff), 75 units, 12.2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Brentwood Garden Apts</t>
        </is>
      </c>
      <c r="D10" s="39" t="inlineStr">
        <is>
          <t>180 Sycamore Ave</t>
        </is>
      </c>
      <c r="E10" s="39" t="inlineStr">
        <is>
          <t>Brentwood</t>
        </is>
      </c>
      <c r="F10" s="39" t="inlineStr">
        <is>
          <t>CA</t>
        </is>
      </c>
      <c r="G10" s="39" t="inlineStr">
        <is>
          <t>94513</t>
        </is>
      </c>
      <c r="H10" s="39" t="inlineStr">
        <is>
          <t>21.9 mi</t>
        </is>
      </c>
      <c r="I10" s="39" t="inlineStr">
        <is>
          <t>$3,270</t>
        </is>
      </c>
      <c r="J10" s="39" t="inlineStr">
        <is>
          <t>$3,925</t>
        </is>
      </c>
      <c r="K10" s="33" t="inlineStr">
        <is>
          <t>$1,155</t>
        </is>
      </c>
      <c r="L10" s="34" t="inlineStr">
        <is>
          <t>Not Listed</t>
        </is>
      </c>
      <c r="M10" s="39" t="inlineStr">
        <is>
          <t>$3,925</t>
        </is>
      </c>
      <c r="N10" s="39" t="inlineStr">
        <is>
          <t>$4,710</t>
        </is>
      </c>
      <c r="O10" s="33" t="inlineStr">
        <is>
          <t>$1,580</t>
        </is>
      </c>
      <c r="P10" s="34" t="inlineStr">
        <is>
          <t>Not Listed</t>
        </is>
      </c>
      <c r="Q10" s="39" t="inlineStr">
        <is>
          <t>80</t>
        </is>
      </c>
      <c r="R10" s="39" t="inlineStr">
        <is>
          <t>1998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41" t="inlineStr">
        <is>
          <t>MODERATE-HIGH</t>
        </is>
      </c>
      <c r="Z10" s="40" t="inlineStr">
        <is>
          <t>Affordable Comp #3: LIHTC property, 1998 vintage (0 yr diff), 80 units, 21.9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Brentwood Park Apts</t>
        </is>
      </c>
      <c r="D11" s="31" t="inlineStr">
        <is>
          <t>160 Sycamore Ave</t>
        </is>
      </c>
      <c r="E11" s="31" t="inlineStr">
        <is>
          <t>Brentwood</t>
        </is>
      </c>
      <c r="F11" s="31" t="inlineStr">
        <is>
          <t>CA</t>
        </is>
      </c>
      <c r="G11" s="31" t="inlineStr">
        <is>
          <t>94513</t>
        </is>
      </c>
      <c r="H11" s="31" t="inlineStr">
        <is>
          <t>22.0 mi</t>
        </is>
      </c>
      <c r="I11" s="31" t="inlineStr">
        <is>
          <t>$3,270</t>
        </is>
      </c>
      <c r="J11" s="31" t="inlineStr">
        <is>
          <t>$3,925</t>
        </is>
      </c>
      <c r="K11" s="33" t="inlineStr">
        <is>
          <t>$1,155</t>
        </is>
      </c>
      <c r="L11" s="34" t="inlineStr">
        <is>
          <t>Not Listed</t>
        </is>
      </c>
      <c r="M11" s="31" t="inlineStr">
        <is>
          <t>$3,925</t>
        </is>
      </c>
      <c r="N11" s="31" t="inlineStr">
        <is>
          <t>$4,710</t>
        </is>
      </c>
      <c r="O11" s="33" t="inlineStr">
        <is>
          <t>$1,580</t>
        </is>
      </c>
      <c r="P11" s="34" t="inlineStr">
        <is>
          <t>Not Listed</t>
        </is>
      </c>
      <c r="Q11" s="31" t="inlineStr">
        <is>
          <t>80</t>
        </is>
      </c>
      <c r="R11" s="31" t="inlineStr">
        <is>
          <t>1997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LIHTC property, 1997 vintage (1 yr diff), 80 units, 22.0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Brookside Apartments</t>
        </is>
      </c>
      <c r="D12" s="42" t="inlineStr">
        <is>
          <t>2800 W Benjamin Holt Dr, Stockton, CA 95207</t>
        </is>
      </c>
      <c r="E12" s="42" t="inlineStr">
        <is>
          <t>Stockton</t>
        </is>
      </c>
      <c r="F12" s="42" t="inlineStr">
        <is>
          <t>CA</t>
        </is>
      </c>
      <c r="G12" s="42" t="n"/>
      <c r="H12" s="42" t="inlineStr">
        <is>
          <t>3.8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$1,155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$1,580</t>
        </is>
      </c>
      <c r="P12" s="34" t="inlineStr">
        <is>
          <t>$1,550</t>
        </is>
      </c>
      <c r="Q12" s="42" t="inlineStr">
        <is>
          <t>180</t>
        </is>
      </c>
      <c r="R12" s="42" t="inlineStr">
        <is>
          <t>1999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1999 vintage (1 yr diff), 180 units, 3.8 mi from subject. Shows market-rate rents vs. affordable housing discount.</t>
        </is>
      </c>
      <c r="AA12" s="42" t="inlineStr">
        <is>
          <t>https://www.rentcafe.com/apartments-for-rent/us/ca/stockton/brookside/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Quail Lakes Apartments</t>
        </is>
      </c>
      <c r="D13" s="45" t="inlineStr">
        <is>
          <t>3600 Country Club Blvd, Stockton, CA 95204</t>
        </is>
      </c>
      <c r="E13" s="45" t="inlineStr">
        <is>
          <t>Stockton</t>
        </is>
      </c>
      <c r="F13" s="45" t="inlineStr">
        <is>
          <t>CA</t>
        </is>
      </c>
      <c r="G13" s="45" t="n"/>
      <c r="H13" s="45" t="inlineStr">
        <is>
          <t>5.2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$1,155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$1,580</t>
        </is>
      </c>
      <c r="P13" s="34" t="inlineStr">
        <is>
          <t>$1,495</t>
        </is>
      </c>
      <c r="Q13" s="45" t="inlineStr">
        <is>
          <t>144</t>
        </is>
      </c>
      <c r="R13" s="45" t="inlineStr">
        <is>
          <t>1996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1996 vintage (2 yr diff), 144 units, 5.2 mi from subject. Shows market-rate rents vs. affordable housing discount.</t>
        </is>
      </c>
      <c r="AA13" s="45" t="inlineStr">
        <is>
          <t>https://www.rentcafe.com/apartments-for-rent/us/ca/stockton/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Lincoln Village Apartments</t>
        </is>
      </c>
      <c r="D14" s="48" t="inlineStr">
        <is>
          <t>4800 Lincoln Rd, Stockton, CA 95207</t>
        </is>
      </c>
      <c r="E14" s="48" t="inlineStr">
        <is>
          <t>Stockton</t>
        </is>
      </c>
      <c r="F14" s="48" t="inlineStr">
        <is>
          <t>CA</t>
        </is>
      </c>
      <c r="G14" s="48" t="n"/>
      <c r="H14" s="48" t="inlineStr">
        <is>
          <t>5.8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$1,155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$1,580</t>
        </is>
      </c>
      <c r="P14" s="34" t="inlineStr">
        <is>
          <t>$1,600</t>
        </is>
      </c>
      <c r="Q14" s="48" t="inlineStr">
        <is>
          <t>200</t>
        </is>
      </c>
      <c r="R14" s="48" t="inlineStr">
        <is>
          <t>2000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2000 vintage (2 yr diff), 200 units, 5.8 mi from subject. Shows market-rate rents vs. affordable housing discount.</t>
        </is>
      </c>
      <c r="AA14" s="48" t="inlineStr">
        <is>
          <t>https://www.rentcafe.com/apartments-for-rent/us/ca/stockton/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Stockton Crossings Apartments</t>
        </is>
      </c>
      <c r="D15" s="42" t="inlineStr">
        <is>
          <t>1800 E Hammer Ln, Stockton, CA 95210</t>
        </is>
      </c>
      <c r="E15" s="42" t="inlineStr">
        <is>
          <t>Stockton</t>
        </is>
      </c>
      <c r="F15" s="42" t="inlineStr">
        <is>
          <t>CA</t>
        </is>
      </c>
      <c r="G15" s="42" t="n"/>
      <c r="H15" s="42" t="inlineStr">
        <is>
          <t>6.8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$1,155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$1,580</t>
        </is>
      </c>
      <c r="P15" s="34" t="inlineStr">
        <is>
          <t>$1,525</t>
        </is>
      </c>
      <c r="Q15" s="42" t="inlineStr">
        <is>
          <t>120</t>
        </is>
      </c>
      <c r="R15" s="42" t="inlineStr">
        <is>
          <t>1997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1997 vintage (1 yr diff), 120 units, 6.8 mi from subject. Shows market-rate rents vs. affordable housing discount.</t>
        </is>
      </c>
      <c r="AA15" s="42" t="inlineStr">
        <is>
          <t>https://www.rentcafe.com/apartments-for-rent/us/ca/stockton/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Stockton-Lodi MSA</t>
        </is>
      </c>
      <c r="D16" s="51" t="inlineStr">
        <is>
          <t>N/A</t>
        </is>
      </c>
      <c r="E16" s="51" t="inlineStr">
        <is>
          <t>Stockton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$1,155</t>
        </is>
      </c>
      <c r="J16" s="51" t="inlineStr">
        <is>
          <t>$1,155</t>
        </is>
      </c>
      <c r="K16" s="33" t="inlineStr">
        <is>
          <t>$1,155</t>
        </is>
      </c>
      <c r="L16" s="34" t="inlineStr">
        <is>
          <t>N/A</t>
        </is>
      </c>
      <c r="M16" s="51" t="inlineStr">
        <is>
          <t>$1,580</t>
        </is>
      </c>
      <c r="N16" s="51" t="inlineStr">
        <is>
          <t>$1,580</t>
        </is>
      </c>
      <c r="O16" s="33" t="inlineStr">
        <is>
          <t>$1,580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Stockton</t>
        </is>
      </c>
      <c r="D17" s="51" t="inlineStr">
        <is>
          <t>N/A</t>
        </is>
      </c>
      <c r="E17" s="51" t="inlineStr">
        <is>
          <t>Stockton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$1,270</t>
        </is>
      </c>
      <c r="J17" s="51" t="inlineStr">
        <is>
          <t>$1,270</t>
        </is>
      </c>
      <c r="K17" s="33" t="inlineStr">
        <is>
          <t>$1,270</t>
        </is>
      </c>
      <c r="L17" s="34" t="inlineStr">
        <is>
          <t>N/A</t>
        </is>
      </c>
      <c r="M17" s="51" t="inlineStr">
        <is>
          <t>$1,738</t>
        </is>
      </c>
      <c r="N17" s="51" t="inlineStr">
        <is>
          <t>$1,738</t>
        </is>
      </c>
      <c r="O17" s="33" t="inlineStr">
        <is>
          <t>$1,738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60% AMI</t>
        </is>
      </c>
      <c r="D21" s="89" t="inlineStr">
        <is>
          <t>UAP</t>
        </is>
      </c>
      <c r="E21" s="89" t="inlineStr">
        <is>
          <t>Rent</t>
        </is>
      </c>
      <c r="F21" s="89" t="n"/>
    </row>
    <row r="22" ht="15" customFormat="1" customHeight="1" s="3">
      <c r="B22" s="6" t="n">
        <v>1</v>
      </c>
      <c r="C22" s="89" t="n">
        <v>1177</v>
      </c>
      <c r="D22" s="89" t="n">
        <v>152</v>
      </c>
      <c r="E22" s="89" t="n">
        <v>1025</v>
      </c>
      <c r="F22" s="89" t="n"/>
    </row>
    <row r="23" ht="15" customFormat="1" customHeight="1" s="3">
      <c r="B23" s="6" t="n">
        <v>2</v>
      </c>
      <c r="C23" s="89" t="n">
        <v>1413</v>
      </c>
      <c r="D23" s="89" t="n">
        <v>193</v>
      </c>
      <c r="E23" s="89" t="n">
        <v>1220</v>
      </c>
      <c r="F23" s="89" t="n"/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0</v>
      </c>
      <c r="C28" s="74" t="n">
        <v>1260</v>
      </c>
      <c r="D28" s="74" t="n">
        <v>1200</v>
      </c>
      <c r="E28" s="75" t="n">
        <v>192</v>
      </c>
      <c r="F28" s="76" t="n">
        <v>1008</v>
      </c>
    </row>
    <row r="29" ht="15" customFormat="1" customHeight="1" s="3">
      <c r="A29" s="77" t="inlineStr">
        <is>
          <t>2BD</t>
        </is>
      </c>
      <c r="B29" s="78" t="n">
        <v>0</v>
      </c>
      <c r="C29" s="78" t="n">
        <v>1607</v>
      </c>
      <c r="D29" s="78" t="n">
        <v>1530</v>
      </c>
      <c r="E29" s="75" t="n">
        <v>251</v>
      </c>
      <c r="F29" s="76" t="n">
        <v>1279</v>
      </c>
    </row>
    <row r="32" ht="15" customFormat="1" customHeight="1" s="3">
      <c r="A32" s="64" t="inlineStr">
        <is>
          <t>LIHTC, UAP, NET</t>
        </is>
      </c>
      <c r="B32" s="104" t="n"/>
      <c r="C32" s="104" t="n"/>
      <c r="D32" s="104" t="n"/>
      <c r="E32" s="105" t="n"/>
    </row>
    <row r="33" ht="15" customFormat="1" customHeight="1" s="3">
      <c r="A33" s="67" t="n"/>
      <c r="B33" s="68" t="inlineStr">
        <is>
          <t>LIHTC/MKT</t>
        </is>
      </c>
      <c r="C33" s="70" t="inlineStr">
        <is>
          <t>60%</t>
        </is>
      </c>
      <c r="D33" s="71" t="inlineStr">
        <is>
          <t>UAP</t>
        </is>
      </c>
      <c r="E33" s="72" t="inlineStr">
        <is>
          <t>NET</t>
        </is>
      </c>
    </row>
    <row r="34" ht="15" customFormat="1" customHeight="1" s="3">
      <c r="A34" s="73" t="inlineStr">
        <is>
          <t>1BD</t>
        </is>
      </c>
      <c r="B34" s="74" t="n">
        <v>1177</v>
      </c>
      <c r="C34" s="74" t="n">
        <v>985</v>
      </c>
      <c r="D34" s="75" t="n">
        <v>192</v>
      </c>
      <c r="E34" s="76" t="n">
        <v>793</v>
      </c>
    </row>
    <row r="35" ht="15" customFormat="1" customHeight="1" s="3">
      <c r="A35" s="77" t="inlineStr">
        <is>
          <t>2BD</t>
        </is>
      </c>
      <c r="B35" s="78" t="n">
        <v>1413</v>
      </c>
      <c r="C35" s="78" t="n">
        <v>1162</v>
      </c>
      <c r="D35" s="75" t="n">
        <v>251</v>
      </c>
      <c r="E35" s="76" t="n">
        <v>911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0</v>
      </c>
      <c r="C40" s="107" t="n">
        <v>1261</v>
      </c>
    </row>
    <row r="41" ht="15" customFormat="1" customHeight="1" s="3">
      <c r="A41" s="77" t="inlineStr">
        <is>
          <t>2BD</t>
        </is>
      </c>
      <c r="B41" s="106" t="n">
        <v>0</v>
      </c>
      <c r="C41" s="107" t="n">
        <v>1442</v>
      </c>
    </row>
  </sheetData>
  <mergeCells count="7">
    <mergeCell ref="A4:AA4"/>
    <mergeCell ref="A3:AA3"/>
    <mergeCell ref="A32:E32"/>
    <mergeCell ref="A19:AA19"/>
    <mergeCell ref="A26:F26"/>
    <mergeCell ref="A5:AA5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44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COLUMBIA VILLAGE | GREEN = Affordable Comps | BLUE = Market Rate Comps</t>
        </is>
      </c>
    </row>
    <row r="4" ht="20.25" customFormat="1" customHeight="1" s="6">
      <c r="A4" s="2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Columbia Village (SUBJECT)</t>
        </is>
      </c>
      <c r="D7" s="26" t="inlineStr">
        <is>
          <t>11299 Columbia Village Dr</t>
        </is>
      </c>
      <c r="E7" s="26" t="inlineStr">
        <is>
          <t>Sonora</t>
        </is>
      </c>
      <c r="F7" s="26" t="inlineStr">
        <is>
          <t>CA</t>
        </is>
      </c>
      <c r="G7" s="26" t="inlineStr">
        <is>
          <t>95370</t>
        </is>
      </c>
      <c r="H7" s="26" t="inlineStr">
        <is>
          <t>0.0 mi</t>
        </is>
      </c>
      <c r="I7" s="26" t="inlineStr">
        <is>
          <t>$3,176</t>
        </is>
      </c>
      <c r="J7" s="26" t="inlineStr">
        <is>
          <t>$3,812</t>
        </is>
      </c>
      <c r="K7" s="28" t="inlineStr">
        <is>
          <t>$1,096</t>
        </is>
      </c>
      <c r="L7" s="29" t="inlineStr">
        <is>
          <t>N/A</t>
        </is>
      </c>
      <c r="M7" s="26" t="inlineStr">
        <is>
          <t>$3,812</t>
        </is>
      </c>
      <c r="N7" s="26" t="inlineStr">
        <is>
          <t>$4,575</t>
        </is>
      </c>
      <c r="O7" s="28" t="inlineStr">
        <is>
          <t>$1,500</t>
        </is>
      </c>
      <c r="P7" s="29" t="inlineStr">
        <is>
          <t>N/A</t>
        </is>
      </c>
      <c r="Q7" s="26" t="inlineStr">
        <is>
          <t>$4,233</t>
        </is>
      </c>
      <c r="R7" s="26" t="inlineStr">
        <is>
          <t>$5,080</t>
        </is>
      </c>
      <c r="S7" s="28" t="inlineStr">
        <is>
          <t>$1,970</t>
        </is>
      </c>
      <c r="T7" s="29" t="inlineStr">
        <is>
          <t>N/A</t>
        </is>
      </c>
      <c r="U7" s="26" t="inlineStr">
        <is>
          <t>80</t>
        </is>
      </c>
      <c r="V7" s="26" t="inlineStr">
        <is>
          <t>2000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80 units | LIHTC property. Year built: 2000.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Oak Hills Apts</t>
        </is>
      </c>
      <c r="D8" s="31" t="inlineStr">
        <is>
          <t>10260 Preston Ln</t>
        </is>
      </c>
      <c r="E8" s="31" t="inlineStr">
        <is>
          <t>Jamestown</t>
        </is>
      </c>
      <c r="F8" s="31" t="inlineStr">
        <is>
          <t>CA</t>
        </is>
      </c>
      <c r="G8" s="31" t="inlineStr">
        <is>
          <t>95327</t>
        </is>
      </c>
      <c r="H8" s="31" t="inlineStr">
        <is>
          <t>3.1 mi</t>
        </is>
      </c>
      <c r="I8" s="31" t="inlineStr">
        <is>
          <t>$3,176</t>
        </is>
      </c>
      <c r="J8" s="31" t="inlineStr">
        <is>
          <t>$3,812</t>
        </is>
      </c>
      <c r="K8" s="33" t="inlineStr">
        <is>
          <t>$1,096</t>
        </is>
      </c>
      <c r="L8" s="34" t="inlineStr">
        <is>
          <t>Not Listed</t>
        </is>
      </c>
      <c r="M8" s="31" t="inlineStr">
        <is>
          <t>$3,812</t>
        </is>
      </c>
      <c r="N8" s="31" t="inlineStr">
        <is>
          <t>$4,575</t>
        </is>
      </c>
      <c r="O8" s="33" t="inlineStr">
        <is>
          <t>$1,500</t>
        </is>
      </c>
      <c r="P8" s="34" t="inlineStr">
        <is>
          <t>Not Listed</t>
        </is>
      </c>
      <c r="Q8" s="31" t="inlineStr">
        <is>
          <t>$4,233</t>
        </is>
      </c>
      <c r="R8" s="31" t="inlineStr">
        <is>
          <t>$5,080</t>
        </is>
      </c>
      <c r="S8" s="33" t="inlineStr">
        <is>
          <t>$1,970</t>
        </is>
      </c>
      <c r="T8" s="34" t="inlineStr">
        <is>
          <t>Not Listed</t>
        </is>
      </c>
      <c r="U8" s="31" t="inlineStr">
        <is>
          <t>80</t>
        </is>
      </c>
      <c r="V8" s="31" t="inlineStr">
        <is>
          <t>1998</t>
        </is>
      </c>
      <c r="W8" s="31" t="inlineStr">
        <is>
          <t>2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1998 vintage (2 yr diff), 80 units, 3.1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Forest View Senior Apts</t>
        </is>
      </c>
      <c r="D9" s="36" t="inlineStr">
        <is>
          <t>19499 Hess Ave</t>
        </is>
      </c>
      <c r="E9" s="36" t="inlineStr">
        <is>
          <t>Sonora</t>
        </is>
      </c>
      <c r="F9" s="36" t="inlineStr">
        <is>
          <t>CA</t>
        </is>
      </c>
      <c r="G9" s="36" t="inlineStr">
        <is>
          <t>95370</t>
        </is>
      </c>
      <c r="H9" s="36" t="inlineStr">
        <is>
          <t>2.8 mi</t>
        </is>
      </c>
      <c r="I9" s="36" t="inlineStr">
        <is>
          <t>$3,176</t>
        </is>
      </c>
      <c r="J9" s="36" t="inlineStr">
        <is>
          <t>$3,812</t>
        </is>
      </c>
      <c r="K9" s="33" t="inlineStr">
        <is>
          <t>$1,096</t>
        </is>
      </c>
      <c r="L9" s="34" t="inlineStr">
        <is>
          <t>Not Listed</t>
        </is>
      </c>
      <c r="M9" s="36" t="inlineStr">
        <is>
          <t>$3,812</t>
        </is>
      </c>
      <c r="N9" s="36" t="inlineStr">
        <is>
          <t>$4,575</t>
        </is>
      </c>
      <c r="O9" s="33" t="inlineStr">
        <is>
          <t>$1,500</t>
        </is>
      </c>
      <c r="P9" s="34" t="inlineStr">
        <is>
          <t>Not Listed</t>
        </is>
      </c>
      <c r="Q9" s="36" t="inlineStr">
        <is>
          <t>$4,233</t>
        </is>
      </c>
      <c r="R9" s="36" t="inlineStr">
        <is>
          <t>$5,080</t>
        </is>
      </c>
      <c r="S9" s="33" t="inlineStr">
        <is>
          <t>$1,970</t>
        </is>
      </c>
      <c r="T9" s="34" t="inlineStr">
        <is>
          <t>Not Listed</t>
        </is>
      </c>
      <c r="U9" s="36" t="inlineStr">
        <is>
          <t>60</t>
        </is>
      </c>
      <c r="V9" s="36" t="inlineStr">
        <is>
          <t>1999</t>
        </is>
      </c>
      <c r="W9" s="36" t="inlineStr">
        <is>
          <t>1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1999 vintage (1 yr diff), 60 units, 2.8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Stockton Gardens Apts</t>
        </is>
      </c>
      <c r="D10" s="39" t="inlineStr">
        <is>
          <t>1025 Rosemarie Ln</t>
        </is>
      </c>
      <c r="E10" s="39" t="inlineStr">
        <is>
          <t>Stockton</t>
        </is>
      </c>
      <c r="F10" s="39" t="inlineStr">
        <is>
          <t>CA</t>
        </is>
      </c>
      <c r="G10" s="39" t="inlineStr">
        <is>
          <t>95207</t>
        </is>
      </c>
      <c r="H10" s="39" t="inlineStr">
        <is>
          <t>51.0 mi</t>
        </is>
      </c>
      <c r="I10" s="39" t="inlineStr">
        <is>
          <t>$3,176</t>
        </is>
      </c>
      <c r="J10" s="39" t="inlineStr">
        <is>
          <t>$3,812</t>
        </is>
      </c>
      <c r="K10" s="33" t="inlineStr">
        <is>
          <t>$1,096</t>
        </is>
      </c>
      <c r="L10" s="34" t="inlineStr">
        <is>
          <t>$929</t>
        </is>
      </c>
      <c r="M10" s="39" t="inlineStr">
        <is>
          <t>$3,812</t>
        </is>
      </c>
      <c r="N10" s="39" t="inlineStr">
        <is>
          <t>$4,575</t>
        </is>
      </c>
      <c r="O10" s="33" t="inlineStr">
        <is>
          <t>$1,500</t>
        </is>
      </c>
      <c r="P10" s="34" t="inlineStr">
        <is>
          <t>$1,537</t>
        </is>
      </c>
      <c r="Q10" s="39" t="inlineStr">
        <is>
          <t>$4,233</t>
        </is>
      </c>
      <c r="R10" s="39" t="inlineStr">
        <is>
          <t>$5,080</t>
        </is>
      </c>
      <c r="S10" s="33" t="inlineStr">
        <is>
          <t>$1,970</t>
        </is>
      </c>
      <c r="T10" s="34" t="inlineStr">
        <is>
          <t>Not Listed</t>
        </is>
      </c>
      <c r="U10" s="39" t="inlineStr">
        <is>
          <t>80</t>
        </is>
      </c>
      <c r="V10" s="39" t="inlineStr">
        <is>
          <t>2000</t>
        </is>
      </c>
      <c r="W10" s="39" t="inlineStr">
        <is>
          <t>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LIHTC property, 2000 vintage (0 yr diff), 80 units, 51.0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Stockton Terrace Apts</t>
        </is>
      </c>
      <c r="D11" s="31" t="inlineStr">
        <is>
          <t>246 E Iris Ave</t>
        </is>
      </c>
      <c r="E11" s="31" t="inlineStr">
        <is>
          <t>Stockton</t>
        </is>
      </c>
      <c r="F11" s="31" t="inlineStr">
        <is>
          <t>CA</t>
        </is>
      </c>
      <c r="G11" s="31" t="inlineStr">
        <is>
          <t>95210</t>
        </is>
      </c>
      <c r="H11" s="31" t="inlineStr">
        <is>
          <t>50.6 mi</t>
        </is>
      </c>
      <c r="I11" s="31" t="inlineStr">
        <is>
          <t>$3,176</t>
        </is>
      </c>
      <c r="J11" s="31" t="inlineStr">
        <is>
          <t>$3,812</t>
        </is>
      </c>
      <c r="K11" s="33" t="inlineStr">
        <is>
          <t>$1,096</t>
        </is>
      </c>
      <c r="L11" s="34" t="inlineStr">
        <is>
          <t>Not Listed</t>
        </is>
      </c>
      <c r="M11" s="31" t="inlineStr">
        <is>
          <t>$3,812</t>
        </is>
      </c>
      <c r="N11" s="31" t="inlineStr">
        <is>
          <t>$4,575</t>
        </is>
      </c>
      <c r="O11" s="33" t="inlineStr">
        <is>
          <t>$1,500</t>
        </is>
      </c>
      <c r="P11" s="34" t="inlineStr">
        <is>
          <t>Not Listed</t>
        </is>
      </c>
      <c r="Q11" s="31" t="inlineStr">
        <is>
          <t>$4,233</t>
        </is>
      </c>
      <c r="R11" s="31" t="inlineStr">
        <is>
          <t>$5,080</t>
        </is>
      </c>
      <c r="S11" s="33" t="inlineStr">
        <is>
          <t>$1,970</t>
        </is>
      </c>
      <c r="T11" s="34" t="inlineStr">
        <is>
          <t>Not Listed</t>
        </is>
      </c>
      <c r="U11" s="31" t="inlineStr">
        <is>
          <t>80</t>
        </is>
      </c>
      <c r="V11" s="31" t="inlineStr">
        <is>
          <t>2000</t>
        </is>
      </c>
      <c r="W11" s="31" t="inlineStr">
        <is>
          <t>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94" t="inlineStr">
        <is>
          <t>MODERATE</t>
        </is>
      </c>
      <c r="AD11" s="32" t="inlineStr">
        <is>
          <t>Affordable Comp #4: LIHTC property, 2000 vintage (0 yr diff), 80 units, 50.6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Sonora Market Rate (FMR Benchmark)</t>
        </is>
      </c>
      <c r="D12" s="42" t="inlineStr">
        <is>
          <t>Sonora,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$1,096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$1,500</t>
        </is>
      </c>
      <c r="P12" s="34" t="inlineStr">
        <is>
          <t>$1,650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$1,970</t>
        </is>
      </c>
      <c r="T12" s="34" t="inlineStr">
        <is>
          <t>$2,050</t>
        </is>
      </c>
      <c r="U12" s="42" t="inlineStr">
        <is>
          <t>N/A</t>
        </is>
      </c>
      <c r="V12" s="42" t="inlineStr">
        <is>
          <t>2000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2000 vintage (0 yr diff), N/A units, N/A from subject. Shows market-rate rents vs. affordable housing discount.</t>
        </is>
      </c>
      <c r="AE12" s="42" t="inlineStr">
        <is>
          <t>HUD FY2026 FMR - Tuolumne County, CA (limited market rate listings in Sonora)</t>
        </is>
      </c>
    </row>
    <row r="13" ht="54.75" customFormat="1" customHeight="1" s="6">
      <c r="A13" s="45" t="inlineStr">
        <is>
          <t>2</t>
        </is>
      </c>
      <c r="B13" s="45" t="inlineStr">
        <is>
          <t>Quail Hollow Apartments</t>
        </is>
      </c>
      <c r="C13" s="46" t="inlineStr">
        <is>
          <t>20230 Grouse Way, Sonora, CA 95370</t>
        </is>
      </c>
      <c r="D13" s="45" t="inlineStr">
        <is>
          <t>Modesto,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45.0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$1,096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$1,500</t>
        </is>
      </c>
      <c r="P13" s="34" t="inlineStr">
        <is>
          <t>$1,595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$1,970</t>
        </is>
      </c>
      <c r="T13" s="34" t="inlineStr">
        <is>
          <t>$1,975</t>
        </is>
      </c>
      <c r="U13" s="45" t="inlineStr">
        <is>
          <t>120</t>
        </is>
      </c>
      <c r="V13" s="45" t="inlineStr">
        <is>
          <t>2001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92" t="inlineStr">
        <is>
          <t>MODERATE</t>
        </is>
      </c>
      <c r="AD13" s="46" t="inlineStr">
        <is>
          <t>Market Rate Comp #2: No income restrictions, 2001 vintage (1 yr diff), 120 units, 45.0 mi from subject. Shows market-rate rents vs. affordable housing discount.</t>
        </is>
      </c>
      <c r="AE13" s="45" t="inlineStr">
        <is>
          <t>https://www.rentcafe.com/apartments-for-rent/us/ca/modesto/</t>
        </is>
      </c>
    </row>
    <row r="14" ht="54.75" customFormat="1" customHeight="1" s="6">
      <c r="A14" s="48" t="inlineStr">
        <is>
          <t>3</t>
        </is>
      </c>
      <c r="B14" s="48" t="inlineStr">
        <is>
          <t>Shepherd Street Apartments</t>
        </is>
      </c>
      <c r="C14" s="49" t="inlineStr">
        <is>
          <t>165 S Shepherd St, Sonora, CA 95370</t>
        </is>
      </c>
      <c r="D14" s="48" t="inlineStr">
        <is>
          <t>Modesto, CA area</t>
        </is>
      </c>
      <c r="E14" s="48" t="inlineStr">
        <is>
          <t>CA area</t>
        </is>
      </c>
      <c r="F14" s="48" t="inlineStr">
        <is>
          <t>CA</t>
        </is>
      </c>
      <c r="G14" s="48" t="n"/>
      <c r="H14" s="48" t="inlineStr">
        <is>
          <t>47.0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$1,096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$1,500</t>
        </is>
      </c>
      <c r="P14" s="34" t="inlineStr">
        <is>
          <t>$1,550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$1,970</t>
        </is>
      </c>
      <c r="T14" s="34" t="inlineStr">
        <is>
          <t>$1,925</t>
        </is>
      </c>
      <c r="U14" s="48" t="inlineStr">
        <is>
          <t>96</t>
        </is>
      </c>
      <c r="V14" s="48" t="inlineStr">
        <is>
          <t>1998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93" t="inlineStr">
        <is>
          <t>MODERATE</t>
        </is>
      </c>
      <c r="AD14" s="49" t="inlineStr">
        <is>
          <t>Market Rate Comp #3: No income restrictions, 1998 vintage (2 yr diff), 96 units, 47.0 mi from subject. Shows market-rate rents vs. affordable housing discount.</t>
        </is>
      </c>
      <c r="AE14" s="48" t="inlineStr">
        <is>
          <t>https://www.rentcafe.com/apartments-for-rent/us/ca/modesto/</t>
        </is>
      </c>
    </row>
    <row r="15" ht="54.75" customFormat="1" customHeight="1" s="6">
      <c r="A15" s="42" t="inlineStr">
        <is>
          <t>4</t>
        </is>
      </c>
      <c r="B15" s="42" t="inlineStr">
        <is>
          <t>Blackberry Oaks</t>
        </is>
      </c>
      <c r="C15" s="43" t="inlineStr">
        <is>
          <t>100 Greenley Rd, Sonora, CA 95370</t>
        </is>
      </c>
      <c r="D15" s="42" t="inlineStr">
        <is>
          <t>Sonora, CA area</t>
        </is>
      </c>
      <c r="E15" s="42" t="inlineStr">
        <is>
          <t>CA area</t>
        </is>
      </c>
      <c r="F15" s="42" t="inlineStr">
        <is>
          <t>CA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$1,096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$1,500</t>
        </is>
      </c>
      <c r="P15" s="34" t="inlineStr">
        <is>
          <t>$1,650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$1,970</t>
        </is>
      </c>
      <c r="T15" s="34" t="inlineStr">
        <is>
          <t>$2,050</t>
        </is>
      </c>
      <c r="U15" s="42" t="inlineStr">
        <is>
          <t>N/A</t>
        </is>
      </c>
      <c r="V15" s="42" t="inlineStr">
        <is>
          <t>1998</t>
        </is>
      </c>
      <c r="W15" s="42" t="inlineStr">
        <is>
          <t>2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1998 vintage (2 yr diff), N/A units, N/A from subject. Shows market-rate rents vs. affordable housing discount.</t>
        </is>
      </c>
      <c r="AE15" s="42" t="inlineStr">
        <is>
          <t>HUD FY2026 FMR - Tuolumne County, CA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Tuolumne County, CA</t>
        </is>
      </c>
      <c r="D16" s="51" t="inlineStr">
        <is>
          <t>N/A</t>
        </is>
      </c>
      <c r="E16" s="51" t="inlineStr">
        <is>
          <t>Sonora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$1,096</t>
        </is>
      </c>
      <c r="J16" s="51" t="inlineStr">
        <is>
          <t>$1,096</t>
        </is>
      </c>
      <c r="K16" s="33" t="inlineStr">
        <is>
          <t>$1,096</t>
        </is>
      </c>
      <c r="L16" s="34" t="inlineStr">
        <is>
          <t>N/A</t>
        </is>
      </c>
      <c r="M16" s="51" t="inlineStr">
        <is>
          <t>$1,500</t>
        </is>
      </c>
      <c r="N16" s="51" t="inlineStr">
        <is>
          <t>$1,500</t>
        </is>
      </c>
      <c r="O16" s="33" t="inlineStr">
        <is>
          <t>$1,500</t>
        </is>
      </c>
      <c r="P16" s="34" t="inlineStr">
        <is>
          <t>N/A</t>
        </is>
      </c>
      <c r="Q16" s="51" t="inlineStr">
        <is>
          <t>$1,970</t>
        </is>
      </c>
      <c r="R16" s="51" t="inlineStr">
        <is>
          <t>$1,970</t>
        </is>
      </c>
      <c r="S16" s="33" t="inlineStr">
        <is>
          <t>$1,970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Sonora</t>
        </is>
      </c>
      <c r="D17" s="51" t="inlineStr">
        <is>
          <t>N/A</t>
        </is>
      </c>
      <c r="E17" s="51" t="inlineStr">
        <is>
          <t>Sonora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$1,205</t>
        </is>
      </c>
      <c r="J17" s="51" t="inlineStr">
        <is>
          <t>$1,205</t>
        </is>
      </c>
      <c r="K17" s="33" t="inlineStr">
        <is>
          <t>$1,205</t>
        </is>
      </c>
      <c r="L17" s="34" t="inlineStr">
        <is>
          <t>N/A</t>
        </is>
      </c>
      <c r="M17" s="51" t="inlineStr">
        <is>
          <t>$1,650</t>
        </is>
      </c>
      <c r="N17" s="51" t="inlineStr">
        <is>
          <t>$1,650</t>
        </is>
      </c>
      <c r="O17" s="33" t="inlineStr">
        <is>
          <t>$1,650</t>
        </is>
      </c>
      <c r="P17" s="34" t="inlineStr">
        <is>
          <t>N/A</t>
        </is>
      </c>
      <c r="Q17" s="51" t="inlineStr">
        <is>
          <t>$2,167</t>
        </is>
      </c>
      <c r="R17" s="51" t="inlineStr">
        <is>
          <t>$2,167</t>
        </is>
      </c>
      <c r="S17" s="33" t="inlineStr">
        <is>
          <t>$2,167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1150</v>
      </c>
      <c r="D24" s="74" t="n">
        <v>1520</v>
      </c>
      <c r="E24" s="75" t="n">
        <v>138</v>
      </c>
      <c r="F24" s="76" t="n">
        <v>1382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1314</v>
      </c>
      <c r="D25" s="78" t="n">
        <v>2000</v>
      </c>
      <c r="E25" s="75" t="n">
        <v>299</v>
      </c>
      <c r="F25" s="76" t="n">
        <v>1701</v>
      </c>
    </row>
    <row r="26" ht="15" customFormat="1" customHeight="1" s="3">
      <c r="A26" s="73" t="inlineStr">
        <is>
          <t>4BD</t>
        </is>
      </c>
      <c r="B26" s="74" t="n">
        <v>0</v>
      </c>
      <c r="C26" s="74" t="n">
        <v>1400</v>
      </c>
      <c r="D26" s="74" t="n">
        <v>2550</v>
      </c>
      <c r="E26" s="75" t="n">
        <v>353</v>
      </c>
      <c r="F26" s="76" t="n">
        <v>2197</v>
      </c>
    </row>
    <row r="29" ht="15" customFormat="1" customHeight="1" s="3">
      <c r="A29" s="64" t="inlineStr">
        <is>
          <t>LIHTC, UAP, NET</t>
        </is>
      </c>
      <c r="B29" s="104" t="n"/>
      <c r="C29" s="104" t="n"/>
      <c r="D29" s="104" t="n"/>
      <c r="E29" s="105" t="n"/>
    </row>
    <row r="30" ht="15" customFormat="1" customHeight="1" s="3">
      <c r="A30" s="67" t="n"/>
      <c r="B30" s="68" t="inlineStr">
        <is>
          <t>LIHTC/MKT</t>
        </is>
      </c>
      <c r="C30" s="70" t="inlineStr">
        <is>
          <t>40%</t>
        </is>
      </c>
      <c r="D30" s="71" t="inlineStr">
        <is>
          <t>UAP</t>
        </is>
      </c>
      <c r="E30" s="72" t="inlineStr">
        <is>
          <t>NET</t>
        </is>
      </c>
    </row>
    <row r="31" ht="15" customFormat="1" customHeight="1" s="3">
      <c r="A31" s="73" t="inlineStr">
        <is>
          <t>2BD</t>
        </is>
      </c>
      <c r="B31" s="74" t="n">
        <v>915</v>
      </c>
      <c r="C31" s="74" t="n">
        <v>749</v>
      </c>
      <c r="D31" s="75" t="n">
        <v>138</v>
      </c>
      <c r="E31" s="76" t="n">
        <v>611</v>
      </c>
    </row>
    <row r="32" ht="15" customFormat="1" customHeight="1" s="3">
      <c r="A32" s="77" t="inlineStr">
        <is>
          <t>3BD</t>
        </is>
      </c>
      <c r="B32" s="78" t="n">
        <v>1057</v>
      </c>
      <c r="C32" s="78" t="n">
        <v>735</v>
      </c>
      <c r="D32" s="75" t="n">
        <v>299</v>
      </c>
      <c r="E32" s="76" t="n">
        <v>436</v>
      </c>
    </row>
    <row r="33" ht="15" customFormat="1" customHeight="1" s="3">
      <c r="A33" s="73" t="inlineStr">
        <is>
          <t>4BD</t>
        </is>
      </c>
      <c r="B33" s="74" t="n">
        <v>1179</v>
      </c>
      <c r="C33" s="74" t="n">
        <v>849</v>
      </c>
      <c r="D33" s="75" t="n">
        <v>353</v>
      </c>
      <c r="E33" s="76" t="n">
        <v>496</v>
      </c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2BD</t>
        </is>
      </c>
      <c r="B35" s="74" t="n">
        <v>1372</v>
      </c>
      <c r="C35" s="74" t="n">
        <v>1185</v>
      </c>
      <c r="D35" s="75" t="n">
        <v>138</v>
      </c>
      <c r="E35" s="76" t="n">
        <v>1047</v>
      </c>
    </row>
    <row r="36" ht="15" customFormat="1" customHeight="1" s="3">
      <c r="A36" s="77" t="inlineStr">
        <is>
          <t>3BD</t>
        </is>
      </c>
      <c r="B36" s="78" t="n">
        <v>1585</v>
      </c>
      <c r="C36" s="78" t="n">
        <v>1239</v>
      </c>
      <c r="D36" s="75" t="n">
        <v>299</v>
      </c>
      <c r="E36" s="76" t="n">
        <v>940</v>
      </c>
    </row>
    <row r="37" ht="15" customFormat="1" customHeight="1" s="3">
      <c r="A37" s="73" t="inlineStr">
        <is>
          <t>4BD</t>
        </is>
      </c>
      <c r="B37" s="74" t="n">
        <v>1768</v>
      </c>
      <c r="C37" s="74" t="n">
        <v>1364</v>
      </c>
      <c r="D37" s="75" t="n">
        <v>353</v>
      </c>
      <c r="E37" s="76" t="n">
        <v>1011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2BD</t>
        </is>
      </c>
      <c r="B42" s="106" t="n">
        <v>0</v>
      </c>
      <c r="C42" s="107" t="n">
        <v>2005</v>
      </c>
    </row>
    <row r="43" ht="15" customFormat="1" customHeight="1" s="3">
      <c r="A43" s="77" t="inlineStr">
        <is>
          <t>3BD</t>
        </is>
      </c>
      <c r="B43" s="106" t="n">
        <v>0</v>
      </c>
      <c r="C43" s="107" t="n">
        <v>2360</v>
      </c>
    </row>
    <row r="44" ht="15" customFormat="1" customHeight="1" s="3">
      <c r="A44" s="73" t="inlineStr">
        <is>
          <t>4BD</t>
        </is>
      </c>
      <c r="B44" s="106" t="n">
        <v>0</v>
      </c>
      <c r="C44" s="107" t="n">
        <v>2682</v>
      </c>
    </row>
  </sheetData>
  <mergeCells count="7">
    <mergeCell ref="A4:AE4"/>
    <mergeCell ref="A29:E29"/>
    <mergeCell ref="A19:AE19"/>
    <mergeCell ref="A5:AE5"/>
    <mergeCell ref="A40:C40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37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FOREST VIEW SENIOR | GREEN = Affordable Comps | BLUE = Market Rate Comps</t>
        </is>
      </c>
    </row>
    <row r="4" ht="20.25" customFormat="1" customHeight="1" s="6">
      <c r="A4" s="21" t="inlineStr">
        <is>
          <t>SUBJECT: Forest View Senior | 19499 Hess Ave, Sonora, CA 95370 | 60 units | Program: LIHTC | Bedroom Mix: 1BR / 2BR / 3BR | County AMI: $101,600 | FMR Area: Tuolumne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Forest View Senior (SUBJECT)</t>
        </is>
      </c>
      <c r="D7" s="26" t="inlineStr">
        <is>
          <t>19499 Hess Ave</t>
        </is>
      </c>
      <c r="E7" s="26" t="inlineStr">
        <is>
          <t>Sonora</t>
        </is>
      </c>
      <c r="F7" s="26" t="inlineStr">
        <is>
          <t>CA</t>
        </is>
      </c>
      <c r="G7" s="26" t="inlineStr">
        <is>
          <t>95370</t>
        </is>
      </c>
      <c r="H7" s="26" t="inlineStr">
        <is>
          <t>0.0 mi</t>
        </is>
      </c>
      <c r="I7" s="26" t="inlineStr">
        <is>
          <t>$3,176</t>
        </is>
      </c>
      <c r="J7" s="26" t="inlineStr">
        <is>
          <t>$3,812</t>
        </is>
      </c>
      <c r="K7" s="28" t="inlineStr">
        <is>
          <t>$1,096</t>
        </is>
      </c>
      <c r="L7" s="29" t="inlineStr">
        <is>
          <t>N/A</t>
        </is>
      </c>
      <c r="M7" s="26" t="inlineStr">
        <is>
          <t>$3,812</t>
        </is>
      </c>
      <c r="N7" s="26" t="inlineStr">
        <is>
          <t>$4,575</t>
        </is>
      </c>
      <c r="O7" s="28" t="inlineStr">
        <is>
          <t>$1,500</t>
        </is>
      </c>
      <c r="P7" s="29" t="inlineStr">
        <is>
          <t>N/A</t>
        </is>
      </c>
      <c r="Q7" s="26" t="inlineStr">
        <is>
          <t>$4,233</t>
        </is>
      </c>
      <c r="R7" s="26" t="inlineStr">
        <is>
          <t>$5,080</t>
        </is>
      </c>
      <c r="S7" s="28" t="inlineStr">
        <is>
          <t>$1,970</t>
        </is>
      </c>
      <c r="T7" s="29" t="inlineStr">
        <is>
          <t>N/A</t>
        </is>
      </c>
      <c r="U7" s="26" t="inlineStr">
        <is>
          <t>60</t>
        </is>
      </c>
      <c r="V7" s="26" t="inlineStr">
        <is>
          <t>2000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60 units | LIHTC property. Year built: 2000.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Columbia Village Townhomes</t>
        </is>
      </c>
      <c r="D8" s="31" t="inlineStr">
        <is>
          <t>11439 Columbia Village Dr</t>
        </is>
      </c>
      <c r="E8" s="31" t="inlineStr">
        <is>
          <t>Sonora</t>
        </is>
      </c>
      <c r="F8" s="31" t="inlineStr">
        <is>
          <t>CA</t>
        </is>
      </c>
      <c r="G8" s="31" t="inlineStr">
        <is>
          <t>95370</t>
        </is>
      </c>
      <c r="H8" s="31" t="inlineStr">
        <is>
          <t>2.7 mi</t>
        </is>
      </c>
      <c r="I8" s="31" t="inlineStr">
        <is>
          <t>$3,176</t>
        </is>
      </c>
      <c r="J8" s="31" t="inlineStr">
        <is>
          <t>$3,812</t>
        </is>
      </c>
      <c r="K8" s="33" t="inlineStr">
        <is>
          <t>$1,096</t>
        </is>
      </c>
      <c r="L8" s="34" t="inlineStr">
        <is>
          <t>Not Listed</t>
        </is>
      </c>
      <c r="M8" s="31" t="inlineStr">
        <is>
          <t>$3,812</t>
        </is>
      </c>
      <c r="N8" s="31" t="inlineStr">
        <is>
          <t>$4,575</t>
        </is>
      </c>
      <c r="O8" s="33" t="inlineStr">
        <is>
          <t>$1,500</t>
        </is>
      </c>
      <c r="P8" s="34" t="inlineStr">
        <is>
          <t>Not Listed</t>
        </is>
      </c>
      <c r="Q8" s="31" t="inlineStr">
        <is>
          <t>$4,233</t>
        </is>
      </c>
      <c r="R8" s="31" t="inlineStr">
        <is>
          <t>$5,080</t>
        </is>
      </c>
      <c r="S8" s="33" t="inlineStr">
        <is>
          <t>$1,970</t>
        </is>
      </c>
      <c r="T8" s="34" t="inlineStr">
        <is>
          <t>Not Listed</t>
        </is>
      </c>
      <c r="U8" s="31" t="inlineStr">
        <is>
          <t>80</t>
        </is>
      </c>
      <c r="V8" s="31" t="inlineStr">
        <is>
          <t>1998</t>
        </is>
      </c>
      <c r="W8" s="31" t="inlineStr">
        <is>
          <t>2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1998 vintage (2 yr diff), 80 units, 2.7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Oak Hills Apts</t>
        </is>
      </c>
      <c r="D9" s="36" t="inlineStr">
        <is>
          <t>10260 Preston Ln</t>
        </is>
      </c>
      <c r="E9" s="36" t="inlineStr">
        <is>
          <t>Jamestown</t>
        </is>
      </c>
      <c r="F9" s="36" t="inlineStr">
        <is>
          <t>CA</t>
        </is>
      </c>
      <c r="G9" s="36" t="inlineStr">
        <is>
          <t>95327</t>
        </is>
      </c>
      <c r="H9" s="36" t="inlineStr">
        <is>
          <t>3.1 mi</t>
        </is>
      </c>
      <c r="I9" s="36" t="inlineStr">
        <is>
          <t>$3,176</t>
        </is>
      </c>
      <c r="J9" s="36" t="inlineStr">
        <is>
          <t>$3,812</t>
        </is>
      </c>
      <c r="K9" s="33" t="inlineStr">
        <is>
          <t>$1,096</t>
        </is>
      </c>
      <c r="L9" s="34" t="inlineStr">
        <is>
          <t>Not Listed</t>
        </is>
      </c>
      <c r="M9" s="36" t="inlineStr">
        <is>
          <t>$3,812</t>
        </is>
      </c>
      <c r="N9" s="36" t="inlineStr">
        <is>
          <t>$4,575</t>
        </is>
      </c>
      <c r="O9" s="33" t="inlineStr">
        <is>
          <t>$1,500</t>
        </is>
      </c>
      <c r="P9" s="34" t="inlineStr">
        <is>
          <t>Not Listed</t>
        </is>
      </c>
      <c r="Q9" s="36" t="inlineStr">
        <is>
          <t>$4,233</t>
        </is>
      </c>
      <c r="R9" s="36" t="inlineStr">
        <is>
          <t>$5,080</t>
        </is>
      </c>
      <c r="S9" s="33" t="inlineStr">
        <is>
          <t>$1,970</t>
        </is>
      </c>
      <c r="T9" s="34" t="inlineStr">
        <is>
          <t>Not Listed</t>
        </is>
      </c>
      <c r="U9" s="36" t="inlineStr">
        <is>
          <t>80</t>
        </is>
      </c>
      <c r="V9" s="36" t="inlineStr">
        <is>
          <t>1998</t>
        </is>
      </c>
      <c r="W9" s="36" t="inlineStr">
        <is>
          <t>2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1998 vintage (2 yr diff), 80 units, 3.1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Diamond Cove Townhomes</t>
        </is>
      </c>
      <c r="D10" s="39" t="inlineStr">
        <is>
          <t>5343 Carrington Cir</t>
        </is>
      </c>
      <c r="E10" s="39" t="inlineStr">
        <is>
          <t>Stockton</t>
        </is>
      </c>
      <c r="F10" s="39" t="inlineStr">
        <is>
          <t>CA</t>
        </is>
      </c>
      <c r="G10" s="39" t="inlineStr">
        <is>
          <t>95210</t>
        </is>
      </c>
      <c r="H10" s="39" t="inlineStr">
        <is>
          <t>49.7 mi</t>
        </is>
      </c>
      <c r="I10" s="39" t="inlineStr">
        <is>
          <t>$3,176</t>
        </is>
      </c>
      <c r="J10" s="39" t="inlineStr">
        <is>
          <t>$3,812</t>
        </is>
      </c>
      <c r="K10" s="33" t="inlineStr">
        <is>
          <t>$1,096</t>
        </is>
      </c>
      <c r="L10" s="34" t="inlineStr">
        <is>
          <t>Not Listed</t>
        </is>
      </c>
      <c r="M10" s="39" t="inlineStr">
        <is>
          <t>$3,812</t>
        </is>
      </c>
      <c r="N10" s="39" t="inlineStr">
        <is>
          <t>$4,575</t>
        </is>
      </c>
      <c r="O10" s="33" t="inlineStr">
        <is>
          <t>$1,500</t>
        </is>
      </c>
      <c r="P10" s="34" t="inlineStr">
        <is>
          <t>Not Listed</t>
        </is>
      </c>
      <c r="Q10" s="39" t="inlineStr">
        <is>
          <t>$4,233</t>
        </is>
      </c>
      <c r="R10" s="39" t="inlineStr">
        <is>
          <t>$5,080</t>
        </is>
      </c>
      <c r="S10" s="33" t="inlineStr">
        <is>
          <t>$1,970</t>
        </is>
      </c>
      <c r="T10" s="34" t="inlineStr">
        <is>
          <t>Not Listed</t>
        </is>
      </c>
      <c r="U10" s="39" t="inlineStr">
        <is>
          <t>59</t>
        </is>
      </c>
      <c r="V10" s="39" t="inlineStr">
        <is>
          <t>2000</t>
        </is>
      </c>
      <c r="W10" s="39" t="inlineStr">
        <is>
          <t>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LIHTC property, 2000 vintage (0 yr diff), 59 units, 49.7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Casa Del Sol</t>
        </is>
      </c>
      <c r="D11" s="31" t="inlineStr">
        <is>
          <t>9370 Bigler Dr</t>
        </is>
      </c>
      <c r="E11" s="31" t="inlineStr">
        <is>
          <t>Planada</t>
        </is>
      </c>
      <c r="F11" s="31" t="inlineStr">
        <is>
          <t>CA</t>
        </is>
      </c>
      <c r="G11" s="31" t="inlineStr">
        <is>
          <t>95365</t>
        </is>
      </c>
      <c r="H11" s="31" t="inlineStr">
        <is>
          <t>47.8 mi</t>
        </is>
      </c>
      <c r="I11" s="31" t="inlineStr">
        <is>
          <t>$3,176</t>
        </is>
      </c>
      <c r="J11" s="31" t="inlineStr">
        <is>
          <t>$3,812</t>
        </is>
      </c>
      <c r="K11" s="33" t="inlineStr">
        <is>
          <t>$1,096</t>
        </is>
      </c>
      <c r="L11" s="34" t="inlineStr">
        <is>
          <t>Not Listed</t>
        </is>
      </c>
      <c r="M11" s="31" t="inlineStr">
        <is>
          <t>$3,812</t>
        </is>
      </c>
      <c r="N11" s="31" t="inlineStr">
        <is>
          <t>$4,575</t>
        </is>
      </c>
      <c r="O11" s="33" t="inlineStr">
        <is>
          <t>$1,500</t>
        </is>
      </c>
      <c r="P11" s="34" t="inlineStr">
        <is>
          <t>Not Listed</t>
        </is>
      </c>
      <c r="Q11" s="31" t="inlineStr">
        <is>
          <t>$4,233</t>
        </is>
      </c>
      <c r="R11" s="31" t="inlineStr">
        <is>
          <t>$5,080</t>
        </is>
      </c>
      <c r="S11" s="33" t="inlineStr">
        <is>
          <t>$1,970</t>
        </is>
      </c>
      <c r="T11" s="34" t="inlineStr">
        <is>
          <t>Not Listed</t>
        </is>
      </c>
      <c r="U11" s="31" t="inlineStr">
        <is>
          <t>54</t>
        </is>
      </c>
      <c r="V11" s="31" t="inlineStr">
        <is>
          <t>2000</t>
        </is>
      </c>
      <c r="W11" s="31" t="inlineStr">
        <is>
          <t>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94" t="inlineStr">
        <is>
          <t>MODERATE</t>
        </is>
      </c>
      <c r="AD11" s="32" t="inlineStr">
        <is>
          <t>Affordable Comp #4: LIHTC property, 2000 vintage (0 yr diff), 54 units, 47.8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Sonora Market Rate (FMR Benchmark)</t>
        </is>
      </c>
      <c r="D12" s="42" t="inlineStr">
        <is>
          <t>Sonora,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$1,096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$1,500</t>
        </is>
      </c>
      <c r="P12" s="34" t="inlineStr">
        <is>
          <t>$1,650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$1,970</t>
        </is>
      </c>
      <c r="T12" s="34" t="inlineStr">
        <is>
          <t>$2,050</t>
        </is>
      </c>
      <c r="U12" s="42" t="inlineStr">
        <is>
          <t>N/A</t>
        </is>
      </c>
      <c r="V12" s="42" t="inlineStr">
        <is>
          <t>2000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2000 vintage (0 yr diff), N/A units, N/A from subject. Shows market-rate rents vs. affordable housing discount.</t>
        </is>
      </c>
      <c r="AE12" s="42" t="inlineStr">
        <is>
          <t>HUD FY2026 FMR - Tuolumne County, CA (limited market rate listings in Sonora)</t>
        </is>
      </c>
    </row>
    <row r="13" ht="54.75" customFormat="1" customHeight="1" s="6">
      <c r="A13" s="45" t="inlineStr">
        <is>
          <t>2</t>
        </is>
      </c>
      <c r="B13" s="45" t="inlineStr">
        <is>
          <t>Quail Hollow Apartments</t>
        </is>
      </c>
      <c r="C13" s="46" t="inlineStr">
        <is>
          <t>20230 Grouse Way, Sonora, CA 95370</t>
        </is>
      </c>
      <c r="D13" s="45" t="inlineStr">
        <is>
          <t>Modesto,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45.0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$1,096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$1,500</t>
        </is>
      </c>
      <c r="P13" s="34" t="inlineStr">
        <is>
          <t>$1,595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$1,970</t>
        </is>
      </c>
      <c r="T13" s="34" t="inlineStr">
        <is>
          <t>$1,975</t>
        </is>
      </c>
      <c r="U13" s="45" t="inlineStr">
        <is>
          <t>120</t>
        </is>
      </c>
      <c r="V13" s="45" t="inlineStr">
        <is>
          <t>2001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92" t="inlineStr">
        <is>
          <t>MODERATE</t>
        </is>
      </c>
      <c r="AD13" s="46" t="inlineStr">
        <is>
          <t>Market Rate Comp #2: No income restrictions, 2001 vintage (1 yr diff), 120 units, 45.0 mi from subject. Shows market-rate rents vs. affordable housing discount.</t>
        </is>
      </c>
      <c r="AE13" s="45" t="inlineStr">
        <is>
          <t>https://www.rentcafe.com/apartments-for-rent/us/ca/modesto/</t>
        </is>
      </c>
    </row>
    <row r="14" ht="54.75" customFormat="1" customHeight="1" s="6">
      <c r="A14" s="48" t="inlineStr">
        <is>
          <t>3</t>
        </is>
      </c>
      <c r="B14" s="48" t="inlineStr">
        <is>
          <t>Shepherd Street Apartments</t>
        </is>
      </c>
      <c r="C14" s="49" t="inlineStr">
        <is>
          <t>165 S Shepherd St, Sonora, CA 95370</t>
        </is>
      </c>
      <c r="D14" s="48" t="inlineStr">
        <is>
          <t>Modesto, CA area</t>
        </is>
      </c>
      <c r="E14" s="48" t="inlineStr">
        <is>
          <t>CA area</t>
        </is>
      </c>
      <c r="F14" s="48" t="inlineStr">
        <is>
          <t>CA</t>
        </is>
      </c>
      <c r="G14" s="48" t="n"/>
      <c r="H14" s="48" t="inlineStr">
        <is>
          <t>47.0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$1,096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$1,500</t>
        </is>
      </c>
      <c r="P14" s="34" t="inlineStr">
        <is>
          <t>$1,550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$1,970</t>
        </is>
      </c>
      <c r="T14" s="34" t="inlineStr">
        <is>
          <t>$1,925</t>
        </is>
      </c>
      <c r="U14" s="48" t="inlineStr">
        <is>
          <t>96</t>
        </is>
      </c>
      <c r="V14" s="48" t="inlineStr">
        <is>
          <t>1998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93" t="inlineStr">
        <is>
          <t>MODERATE</t>
        </is>
      </c>
      <c r="AD14" s="49" t="inlineStr">
        <is>
          <t>Market Rate Comp #3: No income restrictions, 1998 vintage (2 yr diff), 96 units, 47.0 mi from subject. Shows market-rate rents vs. affordable housing discount.</t>
        </is>
      </c>
      <c r="AE14" s="48" t="inlineStr">
        <is>
          <t>https://www.rentcafe.com/apartments-for-rent/us/ca/modesto/</t>
        </is>
      </c>
    </row>
    <row r="15" ht="54.75" customFormat="1" customHeight="1" s="6">
      <c r="A15" s="42" t="inlineStr">
        <is>
          <t>4</t>
        </is>
      </c>
      <c r="B15" s="42" t="inlineStr">
        <is>
          <t>Blackberry Oaks</t>
        </is>
      </c>
      <c r="C15" s="43" t="inlineStr">
        <is>
          <t>100 Greenley Rd, Sonora, CA 95370</t>
        </is>
      </c>
      <c r="D15" s="42" t="inlineStr">
        <is>
          <t>Sonora, CA area</t>
        </is>
      </c>
      <c r="E15" s="42" t="inlineStr">
        <is>
          <t>CA area</t>
        </is>
      </c>
      <c r="F15" s="42" t="inlineStr">
        <is>
          <t>CA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$1,096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$1,500</t>
        </is>
      </c>
      <c r="P15" s="34" t="inlineStr">
        <is>
          <t>$1,650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$1,970</t>
        </is>
      </c>
      <c r="T15" s="34" t="inlineStr">
        <is>
          <t>$2,050</t>
        </is>
      </c>
      <c r="U15" s="42" t="inlineStr">
        <is>
          <t>N/A</t>
        </is>
      </c>
      <c r="V15" s="42" t="inlineStr">
        <is>
          <t>1997</t>
        </is>
      </c>
      <c r="W15" s="42" t="inlineStr">
        <is>
          <t>3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1997 vintage (3 yr diff), N/A units, N/A from subject. Shows market-rate rents vs. affordable housing discount.</t>
        </is>
      </c>
      <c r="AE15" s="42" t="inlineStr">
        <is>
          <t>HUD FY2026 FMR - Tuolumne County, CA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Tuolumne County, CA</t>
        </is>
      </c>
      <c r="D16" s="51" t="inlineStr">
        <is>
          <t>N/A</t>
        </is>
      </c>
      <c r="E16" s="51" t="inlineStr">
        <is>
          <t>Sonora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$1,096</t>
        </is>
      </c>
      <c r="J16" s="51" t="inlineStr">
        <is>
          <t>$1,096</t>
        </is>
      </c>
      <c r="K16" s="33" t="inlineStr">
        <is>
          <t>$1,096</t>
        </is>
      </c>
      <c r="L16" s="34" t="inlineStr">
        <is>
          <t>N/A</t>
        </is>
      </c>
      <c r="M16" s="51" t="inlineStr">
        <is>
          <t>$1,500</t>
        </is>
      </c>
      <c r="N16" s="51" t="inlineStr">
        <is>
          <t>$1,500</t>
        </is>
      </c>
      <c r="O16" s="33" t="inlineStr">
        <is>
          <t>$1,500</t>
        </is>
      </c>
      <c r="P16" s="34" t="inlineStr">
        <is>
          <t>N/A</t>
        </is>
      </c>
      <c r="Q16" s="51" t="inlineStr">
        <is>
          <t>$1,970</t>
        </is>
      </c>
      <c r="R16" s="51" t="inlineStr">
        <is>
          <t>$1,970</t>
        </is>
      </c>
      <c r="S16" s="33" t="inlineStr">
        <is>
          <t>$1,970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Sonora</t>
        </is>
      </c>
      <c r="D17" s="51" t="inlineStr">
        <is>
          <t>N/A</t>
        </is>
      </c>
      <c r="E17" s="51" t="inlineStr">
        <is>
          <t>Sonora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$1,205</t>
        </is>
      </c>
      <c r="J17" s="51" t="inlineStr">
        <is>
          <t>$1,205</t>
        </is>
      </c>
      <c r="K17" s="33" t="inlineStr">
        <is>
          <t>$1,205</t>
        </is>
      </c>
      <c r="L17" s="34" t="inlineStr">
        <is>
          <t>N/A</t>
        </is>
      </c>
      <c r="M17" s="51" t="inlineStr">
        <is>
          <t>$1,650</t>
        </is>
      </c>
      <c r="N17" s="51" t="inlineStr">
        <is>
          <t>$1,650</t>
        </is>
      </c>
      <c r="O17" s="33" t="inlineStr">
        <is>
          <t>$1,650</t>
        </is>
      </c>
      <c r="P17" s="34" t="inlineStr">
        <is>
          <t>N/A</t>
        </is>
      </c>
      <c r="Q17" s="51" t="inlineStr">
        <is>
          <t>$2,167</t>
        </is>
      </c>
      <c r="R17" s="51" t="inlineStr">
        <is>
          <t>$2,167</t>
        </is>
      </c>
      <c r="S17" s="33" t="inlineStr">
        <is>
          <t>$2,167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1000</v>
      </c>
      <c r="D24" s="74" t="n">
        <v>1190</v>
      </c>
      <c r="E24" s="75" t="n">
        <v>73</v>
      </c>
      <c r="F24" s="76" t="n">
        <v>1117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1150</v>
      </c>
      <c r="D25" s="78" t="n">
        <v>1520</v>
      </c>
      <c r="E25" s="75" t="n">
        <v>105</v>
      </c>
      <c r="F25" s="76" t="n">
        <v>1415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40%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1BD</t>
        </is>
      </c>
      <c r="B30" s="74" t="n">
        <v>762</v>
      </c>
      <c r="C30" s="74" t="n">
        <v>663</v>
      </c>
      <c r="D30" s="75" t="n">
        <v>73</v>
      </c>
      <c r="E30" s="76" t="n">
        <v>590</v>
      </c>
    </row>
    <row r="31" ht="15" customFormat="1" customHeight="1" s="3">
      <c r="A31" s="77" t="inlineStr">
        <is>
          <t>2BD</t>
        </is>
      </c>
      <c r="B31" s="78" t="n">
        <v>915</v>
      </c>
      <c r="C31" s="78" t="n">
        <v>782</v>
      </c>
      <c r="D31" s="75" t="n">
        <v>105</v>
      </c>
      <c r="E31" s="76" t="n">
        <v>677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1BD</t>
        </is>
      </c>
      <c r="B36" s="106" t="n">
        <v>0</v>
      </c>
      <c r="C36" s="107" t="n">
        <v>1203</v>
      </c>
    </row>
    <row r="37" ht="15" customFormat="1" customHeight="1" s="3">
      <c r="A37" s="77" t="inlineStr">
        <is>
          <t>2BD</t>
        </is>
      </c>
      <c r="B37" s="106" t="n">
        <v>0</v>
      </c>
      <c r="C37" s="107" t="n">
        <v>1335</v>
      </c>
    </row>
  </sheetData>
  <mergeCells count="7">
    <mergeCell ref="A4:AE4"/>
    <mergeCell ref="A28:E28"/>
    <mergeCell ref="A19:AE19"/>
    <mergeCell ref="A5:AE5"/>
    <mergeCell ref="A22:F22"/>
    <mergeCell ref="A34:C34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40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OAK HILLS | GREEN = Affordable Comps | BLUE = Market Rate Comps</t>
        </is>
      </c>
    </row>
    <row r="4" ht="20.25" customFormat="1" customHeight="1" s="6">
      <c r="A4" s="21" t="inlineStr">
        <is>
          <t>SUBJECT: Oak Hills | 10260 Preston Lane, Jamestown, CA 95327 | 80 units | Program: LIHTC | Bedroom Mix: 2BR / 3BR | County AMI: $101,600 | FMR Area: Tuolumne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Oak Hills (SUBJECT)</t>
        </is>
      </c>
      <c r="D7" s="26" t="inlineStr">
        <is>
          <t>10260 Preston Lane</t>
        </is>
      </c>
      <c r="E7" s="26" t="inlineStr">
        <is>
          <t>Jamestown</t>
        </is>
      </c>
      <c r="F7" s="26" t="inlineStr">
        <is>
          <t>CA</t>
        </is>
      </c>
      <c r="G7" s="26" t="inlineStr">
        <is>
          <t>95327</t>
        </is>
      </c>
      <c r="H7" s="26" t="inlineStr">
        <is>
          <t>0.0 mi</t>
        </is>
      </c>
      <c r="I7" s="26" t="inlineStr">
        <is>
          <t>$3,812</t>
        </is>
      </c>
      <c r="J7" s="26" t="inlineStr">
        <is>
          <t>$4,575</t>
        </is>
      </c>
      <c r="K7" s="28" t="inlineStr">
        <is>
          <t>$1,500</t>
        </is>
      </c>
      <c r="L7" s="29" t="inlineStr">
        <is>
          <t>N/A</t>
        </is>
      </c>
      <c r="M7" s="26" t="inlineStr">
        <is>
          <t>$4,233</t>
        </is>
      </c>
      <c r="N7" s="26" t="inlineStr">
        <is>
          <t>$5,080</t>
        </is>
      </c>
      <c r="O7" s="28" t="inlineStr">
        <is>
          <t>$1,970</t>
        </is>
      </c>
      <c r="P7" s="29" t="inlineStr">
        <is>
          <t>N/A</t>
        </is>
      </c>
      <c r="Q7" s="26" t="inlineStr">
        <is>
          <t>80</t>
        </is>
      </c>
      <c r="R7" s="26" t="inlineStr">
        <is>
          <t>2000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80 units | LIHTC property. Year built: 2000.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Columbia Village Townhomes</t>
        </is>
      </c>
      <c r="D8" s="31" t="inlineStr">
        <is>
          <t>11439 Columbia Village Dr</t>
        </is>
      </c>
      <c r="E8" s="31" t="inlineStr">
        <is>
          <t>Sonora</t>
        </is>
      </c>
      <c r="F8" s="31" t="inlineStr">
        <is>
          <t>CA</t>
        </is>
      </c>
      <c r="G8" s="31" t="inlineStr">
        <is>
          <t>95370</t>
        </is>
      </c>
      <c r="H8" s="31" t="inlineStr">
        <is>
          <t>4.7 mi</t>
        </is>
      </c>
      <c r="I8" s="31" t="inlineStr">
        <is>
          <t>$3,812</t>
        </is>
      </c>
      <c r="J8" s="31" t="inlineStr">
        <is>
          <t>$4,575</t>
        </is>
      </c>
      <c r="K8" s="33" t="inlineStr">
        <is>
          <t>$1,500</t>
        </is>
      </c>
      <c r="L8" s="34" t="inlineStr">
        <is>
          <t>Not Listed</t>
        </is>
      </c>
      <c r="M8" s="31" t="inlineStr">
        <is>
          <t>$4,233</t>
        </is>
      </c>
      <c r="N8" s="31" t="inlineStr">
        <is>
          <t>$5,080</t>
        </is>
      </c>
      <c r="O8" s="33" t="inlineStr">
        <is>
          <t>$1,970</t>
        </is>
      </c>
      <c r="P8" s="34" t="inlineStr">
        <is>
          <t>Not Listed</t>
        </is>
      </c>
      <c r="Q8" s="31" t="inlineStr">
        <is>
          <t>80</t>
        </is>
      </c>
      <c r="R8" s="31" t="inlineStr">
        <is>
          <t>1998</t>
        </is>
      </c>
      <c r="S8" s="31" t="inlineStr">
        <is>
          <t>2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1998 vintage (2 yr diff), 80 units, 4.7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Forest View Senior Apts</t>
        </is>
      </c>
      <c r="D9" s="36" t="inlineStr">
        <is>
          <t>19499 Hess Ave</t>
        </is>
      </c>
      <c r="E9" s="36" t="inlineStr">
        <is>
          <t>Sonora</t>
        </is>
      </c>
      <c r="F9" s="36" t="inlineStr">
        <is>
          <t>CA</t>
        </is>
      </c>
      <c r="G9" s="36" t="inlineStr">
        <is>
          <t>95370</t>
        </is>
      </c>
      <c r="H9" s="36" t="inlineStr">
        <is>
          <t>5.2 mi</t>
        </is>
      </c>
      <c r="I9" s="36" t="inlineStr">
        <is>
          <t>$3,812</t>
        </is>
      </c>
      <c r="J9" s="36" t="inlineStr">
        <is>
          <t>$4,575</t>
        </is>
      </c>
      <c r="K9" s="33" t="inlineStr">
        <is>
          <t>$1,500</t>
        </is>
      </c>
      <c r="L9" s="34" t="inlineStr">
        <is>
          <t>Not Listed</t>
        </is>
      </c>
      <c r="M9" s="36" t="inlineStr">
        <is>
          <t>$4,233</t>
        </is>
      </c>
      <c r="N9" s="36" t="inlineStr">
        <is>
          <t>$5,080</t>
        </is>
      </c>
      <c r="O9" s="33" t="inlineStr">
        <is>
          <t>$1,970</t>
        </is>
      </c>
      <c r="P9" s="34" t="inlineStr">
        <is>
          <t>Not Listed</t>
        </is>
      </c>
      <c r="Q9" s="36" t="inlineStr">
        <is>
          <t>60</t>
        </is>
      </c>
      <c r="R9" s="36" t="inlineStr">
        <is>
          <t>1999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1999 vintage (1 yr diff), 60 units, 5.2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Stockton Gardens Apts</t>
        </is>
      </c>
      <c r="D10" s="39" t="inlineStr">
        <is>
          <t>1025 Rosemarie Ln</t>
        </is>
      </c>
      <c r="E10" s="39" t="inlineStr">
        <is>
          <t>Stockton</t>
        </is>
      </c>
      <c r="F10" s="39" t="inlineStr">
        <is>
          <t>CA</t>
        </is>
      </c>
      <c r="G10" s="39" t="inlineStr">
        <is>
          <t>95207</t>
        </is>
      </c>
      <c r="H10" s="39" t="inlineStr">
        <is>
          <t>48.8 mi</t>
        </is>
      </c>
      <c r="I10" s="39" t="inlineStr">
        <is>
          <t>$3,812</t>
        </is>
      </c>
      <c r="J10" s="39" t="inlineStr">
        <is>
          <t>$4,575</t>
        </is>
      </c>
      <c r="K10" s="33" t="inlineStr">
        <is>
          <t>$1,500</t>
        </is>
      </c>
      <c r="L10" s="34" t="inlineStr">
        <is>
          <t>$1,537</t>
        </is>
      </c>
      <c r="M10" s="39" t="inlineStr">
        <is>
          <t>$4,233</t>
        </is>
      </c>
      <c r="N10" s="39" t="inlineStr">
        <is>
          <t>$5,080</t>
        </is>
      </c>
      <c r="O10" s="33" t="inlineStr">
        <is>
          <t>$1,970</t>
        </is>
      </c>
      <c r="P10" s="34" t="inlineStr">
        <is>
          <t>Not Listed</t>
        </is>
      </c>
      <c r="Q10" s="39" t="inlineStr">
        <is>
          <t>80</t>
        </is>
      </c>
      <c r="R10" s="39" t="inlineStr">
        <is>
          <t>2000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LIHTC property, 2000 vintage (0 yr diff), 80 units, 48.8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Stockton Terrace Apts</t>
        </is>
      </c>
      <c r="D11" s="31" t="inlineStr">
        <is>
          <t>246 E Iris Ave</t>
        </is>
      </c>
      <c r="E11" s="31" t="inlineStr">
        <is>
          <t>Stockton</t>
        </is>
      </c>
      <c r="F11" s="31" t="inlineStr">
        <is>
          <t>CA</t>
        </is>
      </c>
      <c r="G11" s="31" t="inlineStr">
        <is>
          <t>95210</t>
        </is>
      </c>
      <c r="H11" s="31" t="inlineStr">
        <is>
          <t>48.5 mi</t>
        </is>
      </c>
      <c r="I11" s="31" t="inlineStr">
        <is>
          <t>$3,812</t>
        </is>
      </c>
      <c r="J11" s="31" t="inlineStr">
        <is>
          <t>$4,575</t>
        </is>
      </c>
      <c r="K11" s="33" t="inlineStr">
        <is>
          <t>$1,500</t>
        </is>
      </c>
      <c r="L11" s="34" t="inlineStr">
        <is>
          <t>Not Listed</t>
        </is>
      </c>
      <c r="M11" s="31" t="inlineStr">
        <is>
          <t>$4,233</t>
        </is>
      </c>
      <c r="N11" s="31" t="inlineStr">
        <is>
          <t>$5,080</t>
        </is>
      </c>
      <c r="O11" s="33" t="inlineStr">
        <is>
          <t>$1,970</t>
        </is>
      </c>
      <c r="P11" s="34" t="inlineStr">
        <is>
          <t>Not Listed</t>
        </is>
      </c>
      <c r="Q11" s="31" t="inlineStr">
        <is>
          <t>80</t>
        </is>
      </c>
      <c r="R11" s="31" t="inlineStr">
        <is>
          <t>2000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94" t="inlineStr">
        <is>
          <t>MODERATE</t>
        </is>
      </c>
      <c r="Z11" s="32" t="inlineStr">
        <is>
          <t>Affordable Comp #4: LIHTC property, 2000 vintage (0 yr diff), 80 units, 48.5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Jamestown Market Rate (FMR Benchmark)</t>
        </is>
      </c>
      <c r="D12" s="42" t="inlineStr">
        <is>
          <t>Jamestown,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$1,500</t>
        </is>
      </c>
      <c r="L12" s="34" t="inlineStr">
        <is>
          <t>$1,650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$1,970</t>
        </is>
      </c>
      <c r="P12" s="34" t="inlineStr">
        <is>
          <t>$2,050</t>
        </is>
      </c>
      <c r="Q12" s="42" t="inlineStr">
        <is>
          <t>N/A</t>
        </is>
      </c>
      <c r="R12" s="42" t="inlineStr">
        <is>
          <t>2000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2000 vintage (0 yr diff), N/A units, N/A from subject. Shows market-rate rents vs. affordable housing discount.</t>
        </is>
      </c>
      <c r="AA12" s="42" t="inlineStr">
        <is>
          <t>HUD FY2026 FMR - Tuolumne County, CA (limited market rate listings in Jamestown)</t>
        </is>
      </c>
    </row>
    <row r="13" ht="54.75" customFormat="1" customHeight="1" s="6">
      <c r="A13" s="45" t="inlineStr">
        <is>
          <t>2</t>
        </is>
      </c>
      <c r="B13" s="45" t="inlineStr">
        <is>
          <t>Quail Hollow Apartments</t>
        </is>
      </c>
      <c r="C13" s="46" t="inlineStr">
        <is>
          <t>20230 Grouse Way, Sonora, CA 95370</t>
        </is>
      </c>
      <c r="D13" s="45" t="inlineStr">
        <is>
          <t>Sonora,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3.5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$1,500</t>
        </is>
      </c>
      <c r="L13" s="34" t="inlineStr">
        <is>
          <t>$1,650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$1,970</t>
        </is>
      </c>
      <c r="P13" s="34" t="inlineStr">
        <is>
          <t>$2,050</t>
        </is>
      </c>
      <c r="Q13" s="45" t="inlineStr">
        <is>
          <t>80</t>
        </is>
      </c>
      <c r="R13" s="45" t="inlineStr">
        <is>
          <t>2001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2001 vintage (1 yr diff), 80 units, 3.5 mi from subject. Shows market-rate rents vs. affordable housing discount.</t>
        </is>
      </c>
      <c r="AA13" s="45" t="inlineStr">
        <is>
          <t>https://www.rentcafe.com/apartments-for-rent/us/ca/sonora/</t>
        </is>
      </c>
    </row>
    <row r="14" ht="54.75" customFormat="1" customHeight="1" s="6">
      <c r="A14" s="48" t="inlineStr">
        <is>
          <t>3</t>
        </is>
      </c>
      <c r="B14" s="48" t="inlineStr">
        <is>
          <t>Shepherd Street Apartments</t>
        </is>
      </c>
      <c r="C14" s="49" t="inlineStr">
        <is>
          <t>165 S Shepherd St, Sonora, CA 95370</t>
        </is>
      </c>
      <c r="D14" s="48" t="inlineStr">
        <is>
          <t>Modesto, CA area</t>
        </is>
      </c>
      <c r="E14" s="48" t="inlineStr">
        <is>
          <t>CA area</t>
        </is>
      </c>
      <c r="F14" s="48" t="inlineStr">
        <is>
          <t>CA</t>
        </is>
      </c>
      <c r="G14" s="48" t="n"/>
      <c r="H14" s="48" t="inlineStr">
        <is>
          <t>48.0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$1,500</t>
        </is>
      </c>
      <c r="L14" s="34" t="inlineStr">
        <is>
          <t>$1,550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$1,970</t>
        </is>
      </c>
      <c r="P14" s="34" t="inlineStr">
        <is>
          <t>$1,925</t>
        </is>
      </c>
      <c r="Q14" s="48" t="inlineStr">
        <is>
          <t>96</t>
        </is>
      </c>
      <c r="R14" s="48" t="inlineStr">
        <is>
          <t>1998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93" t="inlineStr">
        <is>
          <t>MODERATE</t>
        </is>
      </c>
      <c r="Z14" s="49" t="inlineStr">
        <is>
          <t>Market Rate Comp #3: No income restrictions, 1998 vintage (2 yr diff), 96 units, 48.0 mi from subject. Shows market-rate rents vs. affordable housing discount.</t>
        </is>
      </c>
      <c r="AA14" s="48" t="inlineStr">
        <is>
          <t>https://www.rentcafe.com/apartments-for-rent/us/ca/modesto/</t>
        </is>
      </c>
    </row>
    <row r="15" ht="54.75" customFormat="1" customHeight="1" s="6">
      <c r="A15" s="42" t="inlineStr">
        <is>
          <t>4</t>
        </is>
      </c>
      <c r="B15" s="42" t="inlineStr">
        <is>
          <t>Blackberry Oaks</t>
        </is>
      </c>
      <c r="C15" s="43" t="inlineStr">
        <is>
          <t>100 Greenley Rd, Sonora, CA 95370</t>
        </is>
      </c>
      <c r="D15" s="42" t="inlineStr">
        <is>
          <t>Modesto, CA area</t>
        </is>
      </c>
      <c r="E15" s="42" t="inlineStr">
        <is>
          <t>CA area</t>
        </is>
      </c>
      <c r="F15" s="42" t="inlineStr">
        <is>
          <t>CA</t>
        </is>
      </c>
      <c r="G15" s="42" t="n"/>
      <c r="H15" s="42" t="inlineStr">
        <is>
          <t>50.0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$1,500</t>
        </is>
      </c>
      <c r="L15" s="34" t="inlineStr">
        <is>
          <t>$1,575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$1,970</t>
        </is>
      </c>
      <c r="P15" s="34" t="inlineStr">
        <is>
          <t>$1,950</t>
        </is>
      </c>
      <c r="Q15" s="42" t="inlineStr">
        <is>
          <t>80</t>
        </is>
      </c>
      <c r="R15" s="42" t="inlineStr">
        <is>
          <t>2001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87" t="inlineStr">
        <is>
          <t>MODERATE</t>
        </is>
      </c>
      <c r="Z15" s="43" t="inlineStr">
        <is>
          <t>Market Rate Comp #4: No income restrictions, 2001 vintage (1 yr diff), 80 units, 50.0 mi from subject. Shows market-rate rents vs. affordable housing discount.</t>
        </is>
      </c>
      <c r="AA15" s="42" t="inlineStr">
        <is>
          <t>https://www.rentcafe.com/apartments-for-rent/us/ca/modesto/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Tuolumne County, CA</t>
        </is>
      </c>
      <c r="D16" s="51" t="inlineStr">
        <is>
          <t>N/A</t>
        </is>
      </c>
      <c r="E16" s="51" t="inlineStr">
        <is>
          <t>Jamestown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$1,500</t>
        </is>
      </c>
      <c r="J16" s="51" t="inlineStr">
        <is>
          <t>$1,500</t>
        </is>
      </c>
      <c r="K16" s="33" t="inlineStr">
        <is>
          <t>$1,500</t>
        </is>
      </c>
      <c r="L16" s="34" t="inlineStr">
        <is>
          <t>N/A</t>
        </is>
      </c>
      <c r="M16" s="51" t="inlineStr">
        <is>
          <t>$1,970</t>
        </is>
      </c>
      <c r="N16" s="51" t="inlineStr">
        <is>
          <t>$1,970</t>
        </is>
      </c>
      <c r="O16" s="33" t="inlineStr">
        <is>
          <t>$1,970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Jamestown</t>
        </is>
      </c>
      <c r="D17" s="51" t="inlineStr">
        <is>
          <t>N/A</t>
        </is>
      </c>
      <c r="E17" s="51" t="inlineStr">
        <is>
          <t>Jamestown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$1,650</t>
        </is>
      </c>
      <c r="J17" s="51" t="inlineStr">
        <is>
          <t>$1,650</t>
        </is>
      </c>
      <c r="K17" s="33" t="inlineStr">
        <is>
          <t>$1,650</t>
        </is>
      </c>
      <c r="L17" s="34" t="inlineStr">
        <is>
          <t>N/A</t>
        </is>
      </c>
      <c r="M17" s="51" t="inlineStr">
        <is>
          <t>$2,167</t>
        </is>
      </c>
      <c r="N17" s="51" t="inlineStr">
        <is>
          <t>$2,167</t>
        </is>
      </c>
      <c r="O17" s="33" t="inlineStr">
        <is>
          <t>$2,167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1150</v>
      </c>
      <c r="D24" s="74" t="n">
        <v>1270</v>
      </c>
      <c r="E24" s="75" t="n">
        <v>138</v>
      </c>
      <c r="F24" s="76" t="n">
        <v>1132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1300</v>
      </c>
      <c r="D25" s="78" t="n">
        <v>1670</v>
      </c>
      <c r="E25" s="75" t="n">
        <v>177</v>
      </c>
      <c r="F25" s="76" t="n">
        <v>1493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40%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2BD</t>
        </is>
      </c>
      <c r="B30" s="74" t="n">
        <v>915</v>
      </c>
      <c r="C30" s="74" t="n">
        <v>749</v>
      </c>
      <c r="D30" s="75" t="n">
        <v>138</v>
      </c>
      <c r="E30" s="76" t="n">
        <v>611</v>
      </c>
    </row>
    <row r="31" ht="15" customFormat="1" customHeight="1" s="3">
      <c r="A31" s="77" t="inlineStr">
        <is>
          <t>3BD</t>
        </is>
      </c>
      <c r="B31" s="78" t="n">
        <v>1057</v>
      </c>
      <c r="C31" s="78" t="n">
        <v>849</v>
      </c>
      <c r="D31" s="75" t="n">
        <v>177</v>
      </c>
      <c r="E31" s="76" t="n">
        <v>672</v>
      </c>
    </row>
    <row r="32" ht="15" customFormat="1" customHeight="1" s="3">
      <c r="A32" s="67" t="n"/>
      <c r="B32" s="68" t="inlineStr">
        <is>
          <t>LIHTC/MKT</t>
        </is>
      </c>
      <c r="C32" s="70" t="inlineStr">
        <is>
          <t>60%</t>
        </is>
      </c>
      <c r="D32" s="71" t="inlineStr">
        <is>
          <t>UAP</t>
        </is>
      </c>
      <c r="E32" s="72" t="inlineStr">
        <is>
          <t>NET</t>
        </is>
      </c>
    </row>
    <row r="33" ht="15" customFormat="1" customHeight="1" s="3">
      <c r="A33" s="73" t="inlineStr">
        <is>
          <t>2BD</t>
        </is>
      </c>
      <c r="B33" s="74" t="n">
        <v>1372</v>
      </c>
      <c r="C33" s="74" t="n">
        <v>1185</v>
      </c>
      <c r="D33" s="75" t="n">
        <v>138</v>
      </c>
      <c r="E33" s="76" t="n">
        <v>1047</v>
      </c>
    </row>
    <row r="34" ht="15" customFormat="1" customHeight="1" s="3">
      <c r="A34" s="77" t="inlineStr">
        <is>
          <t>3BD</t>
        </is>
      </c>
      <c r="B34" s="78" t="n">
        <v>1585</v>
      </c>
      <c r="C34" s="78" t="n">
        <v>1353</v>
      </c>
      <c r="D34" s="75" t="n">
        <v>177</v>
      </c>
      <c r="E34" s="76" t="n">
        <v>1176</v>
      </c>
    </row>
    <row r="37" ht="15" customFormat="1" customHeight="1" s="3">
      <c r="A37" s="64" t="inlineStr">
        <is>
          <t>HAP, CoStar, NET</t>
        </is>
      </c>
      <c r="B37" s="104" t="n"/>
      <c r="C37" s="105" t="n"/>
    </row>
    <row r="38" ht="15" customFormat="1" customHeight="1" s="3">
      <c r="A38" s="67" t="n"/>
      <c r="B38" s="71" t="inlineStr">
        <is>
          <t>HAP</t>
        </is>
      </c>
      <c r="C38" s="68" t="inlineStr">
        <is>
          <t>CoStar</t>
        </is>
      </c>
    </row>
    <row r="39" ht="15" customFormat="1" customHeight="1" s="3">
      <c r="A39" s="73" t="inlineStr">
        <is>
          <t>2BD</t>
        </is>
      </c>
      <c r="B39" s="106" t="n">
        <v>0</v>
      </c>
      <c r="C39" s="107" t="n">
        <v>1855</v>
      </c>
    </row>
    <row r="40" ht="15" customFormat="1" customHeight="1" s="3">
      <c r="A40" s="77" t="inlineStr">
        <is>
          <t>3BD</t>
        </is>
      </c>
      <c r="B40" s="106" t="n">
        <v>0</v>
      </c>
      <c r="C40" s="107" t="n">
        <v>2363</v>
      </c>
    </row>
  </sheetData>
  <mergeCells count="7">
    <mergeCell ref="A4:AA4"/>
    <mergeCell ref="A3:AA3"/>
    <mergeCell ref="A37:C37"/>
    <mergeCell ref="A28:E28"/>
    <mergeCell ref="A22:F22"/>
    <mergeCell ref="A19:AA19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52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RIVER GARDEN | GREEN = Affordable Comps | BLUE = Market Rate Comps</t>
        </is>
      </c>
    </row>
    <row r="4" ht="20.25" customFormat="1" customHeight="1" s="6">
      <c r="A4" s="21" t="inlineStr">
        <is>
          <t>SUBJECT: River Garden | Sonora, Sonora, CA 95370 | 123 units | Program: Section 8/HUD | Bedroom Mix: 2BR / 3BR / 4BR / 5BR | County AMI: $101,600 | FMR Area: Tuolumne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5BR Low ($)</t>
        </is>
      </c>
      <c r="V6" s="23" t="inlineStr">
        <is>
          <t>5BR Mid ($)</t>
        </is>
      </c>
      <c r="W6" s="24" t="inlineStr">
        <is>
          <t>5BR FMR ($)</t>
        </is>
      </c>
      <c r="X6" s="25" t="inlineStr">
        <is>
          <t>5BR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River Garden (SUBJECT)</t>
        </is>
      </c>
      <c r="D7" s="26" t="inlineStr">
        <is>
          <t>Sonora</t>
        </is>
      </c>
      <c r="E7" s="26" t="inlineStr">
        <is>
          <t>Sonora</t>
        </is>
      </c>
      <c r="F7" s="26" t="inlineStr">
        <is>
          <t>CA</t>
        </is>
      </c>
      <c r="G7" s="26" t="inlineStr">
        <is>
          <t>95370</t>
        </is>
      </c>
      <c r="H7" s="26" t="inlineStr">
        <is>
          <t>0.0 mi</t>
        </is>
      </c>
      <c r="I7" s="26" t="inlineStr">
        <is>
          <t>$3,812</t>
        </is>
      </c>
      <c r="J7" s="26" t="inlineStr">
        <is>
          <t>$4,575</t>
        </is>
      </c>
      <c r="K7" s="28" t="inlineStr">
        <is>
          <t>$1,500</t>
        </is>
      </c>
      <c r="L7" s="29" t="inlineStr">
        <is>
          <t>N/A</t>
        </is>
      </c>
      <c r="M7" s="26" t="inlineStr">
        <is>
          <t>$4,233</t>
        </is>
      </c>
      <c r="N7" s="26" t="inlineStr">
        <is>
          <t>$5,080</t>
        </is>
      </c>
      <c r="O7" s="28" t="inlineStr">
        <is>
          <t>$1,970</t>
        </is>
      </c>
      <c r="P7" s="29" t="inlineStr">
        <is>
          <t>N/A</t>
        </is>
      </c>
      <c r="Q7" s="26" t="inlineStr">
        <is>
          <t>$4,575</t>
        </is>
      </c>
      <c r="R7" s="26" t="inlineStr">
        <is>
          <t>$5,490</t>
        </is>
      </c>
      <c r="S7" s="28" t="inlineStr">
        <is>
          <t>$2,277</t>
        </is>
      </c>
      <c r="T7" s="29" t="inlineStr">
        <is>
          <t>N/A</t>
        </is>
      </c>
      <c r="U7" s="26" t="inlineStr">
        <is>
          <t>$4,912</t>
        </is>
      </c>
      <c r="V7" s="26" t="inlineStr">
        <is>
          <t>$5,895</t>
        </is>
      </c>
      <c r="W7" s="28" t="inlineStr">
        <is>
          <t>$2,619</t>
        </is>
      </c>
      <c r="X7" s="29" t="inlineStr">
        <is>
          <t>N/A</t>
        </is>
      </c>
      <c r="Y7" s="26" t="inlineStr">
        <is>
          <t>123</t>
        </is>
      </c>
      <c r="Z7" s="26" t="inlineStr">
        <is>
          <t>1995</t>
        </is>
      </c>
      <c r="AA7" s="26" t="inlineStr">
        <is>
          <t>0</t>
        </is>
      </c>
      <c r="AB7" s="26" t="inlineStr">
        <is>
          <t>Partial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123 units | Section 8/HUD property. Year built: 1995.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Fame Gardens</t>
        </is>
      </c>
      <c r="D8" s="31" t="n"/>
      <c r="E8" s="31" t="inlineStr">
        <is>
          <t>Los Angeles</t>
        </is>
      </c>
      <c r="F8" s="31" t="inlineStr">
        <is>
          <t>CA</t>
        </is>
      </c>
      <c r="G8" s="31" t="n"/>
      <c r="H8" s="31" t="inlineStr">
        <is>
          <t>N/A</t>
        </is>
      </c>
      <c r="I8" s="31" t="inlineStr">
        <is>
          <t>$3,812</t>
        </is>
      </c>
      <c r="J8" s="31" t="inlineStr">
        <is>
          <t>$4,575</t>
        </is>
      </c>
      <c r="K8" s="33" t="inlineStr">
        <is>
          <t>$1,500</t>
        </is>
      </c>
      <c r="L8" s="34" t="inlineStr">
        <is>
          <t>Not Listed</t>
        </is>
      </c>
      <c r="M8" s="31" t="inlineStr">
        <is>
          <t>$4,233</t>
        </is>
      </c>
      <c r="N8" s="31" t="inlineStr">
        <is>
          <t>$5,080</t>
        </is>
      </c>
      <c r="O8" s="33" t="inlineStr">
        <is>
          <t>$1,970</t>
        </is>
      </c>
      <c r="P8" s="34" t="inlineStr">
        <is>
          <t>Not Listed</t>
        </is>
      </c>
      <c r="Q8" s="31" t="inlineStr">
        <is>
          <t>$4,575</t>
        </is>
      </c>
      <c r="R8" s="31" t="inlineStr">
        <is>
          <t>$5,490</t>
        </is>
      </c>
      <c r="S8" s="33" t="inlineStr">
        <is>
          <t>$2,277</t>
        </is>
      </c>
      <c r="T8" s="34" t="inlineStr">
        <is>
          <t>Not Listed</t>
        </is>
      </c>
      <c r="U8" s="31" t="inlineStr">
        <is>
          <t>$4,912</t>
        </is>
      </c>
      <c r="V8" s="31" t="inlineStr">
        <is>
          <t>$5,895</t>
        </is>
      </c>
      <c r="W8" s="33" t="inlineStr">
        <is>
          <t>$2,619</t>
        </is>
      </c>
      <c r="X8" s="34" t="inlineStr">
        <is>
          <t>Not Listed</t>
        </is>
      </c>
      <c r="Y8" s="31" t="inlineStr">
        <is>
          <t>81</t>
        </is>
      </c>
      <c r="Z8" s="31" t="inlineStr">
        <is>
          <t>1995</t>
        </is>
      </c>
      <c r="AA8" s="31" t="inlineStr">
        <is>
          <t>0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94" t="inlineStr">
        <is>
          <t>MODERATE</t>
        </is>
      </c>
      <c r="AH8" s="32" t="inlineStr">
        <is>
          <t>Affordable Comp #1: LIHTC property, 1995 vintage (0 yr diff), 81 units, N/A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Columbia Village Townhomes</t>
        </is>
      </c>
      <c r="D9" s="36" t="inlineStr">
        <is>
          <t>11439 Columbia Village Dr</t>
        </is>
      </c>
      <c r="E9" s="36" t="inlineStr">
        <is>
          <t>Sonora</t>
        </is>
      </c>
      <c r="F9" s="36" t="inlineStr">
        <is>
          <t>CA</t>
        </is>
      </c>
      <c r="G9" s="36" t="inlineStr">
        <is>
          <t>95370</t>
        </is>
      </c>
      <c r="H9" s="36" t="inlineStr">
        <is>
          <t>2.7 mi</t>
        </is>
      </c>
      <c r="I9" s="36" t="inlineStr">
        <is>
          <t>$3,812</t>
        </is>
      </c>
      <c r="J9" s="36" t="inlineStr">
        <is>
          <t>$4,575</t>
        </is>
      </c>
      <c r="K9" s="33" t="inlineStr">
        <is>
          <t>$1,500</t>
        </is>
      </c>
      <c r="L9" s="34" t="inlineStr">
        <is>
          <t>Not Listed</t>
        </is>
      </c>
      <c r="M9" s="36" t="inlineStr">
        <is>
          <t>$4,233</t>
        </is>
      </c>
      <c r="N9" s="36" t="inlineStr">
        <is>
          <t>$5,080</t>
        </is>
      </c>
      <c r="O9" s="33" t="inlineStr">
        <is>
          <t>$1,970</t>
        </is>
      </c>
      <c r="P9" s="34" t="inlineStr">
        <is>
          <t>Not Listed</t>
        </is>
      </c>
      <c r="Q9" s="36" t="inlineStr">
        <is>
          <t>$4,575</t>
        </is>
      </c>
      <c r="R9" s="36" t="inlineStr">
        <is>
          <t>$5,490</t>
        </is>
      </c>
      <c r="S9" s="33" t="inlineStr">
        <is>
          <t>$2,277</t>
        </is>
      </c>
      <c r="T9" s="34" t="inlineStr">
        <is>
          <t>Not Listed</t>
        </is>
      </c>
      <c r="U9" s="36" t="inlineStr">
        <is>
          <t>$4,912</t>
        </is>
      </c>
      <c r="V9" s="36" t="inlineStr">
        <is>
          <t>$5,895</t>
        </is>
      </c>
      <c r="W9" s="33" t="inlineStr">
        <is>
          <t>$2,619</t>
        </is>
      </c>
      <c r="X9" s="34" t="inlineStr">
        <is>
          <t>Not Listed</t>
        </is>
      </c>
      <c r="Y9" s="36" t="inlineStr">
        <is>
          <t>80</t>
        </is>
      </c>
      <c r="Z9" s="36" t="inlineStr">
        <is>
          <t>1998</t>
        </is>
      </c>
      <c r="AA9" s="36" t="inlineStr">
        <is>
          <t>3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LIHTC property, 1998 vintage (3 yr diff), 80 units, 2.7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Oak Hills Apts</t>
        </is>
      </c>
      <c r="D10" s="39" t="inlineStr">
        <is>
          <t>10260 Preston Ln</t>
        </is>
      </c>
      <c r="E10" s="39" t="inlineStr">
        <is>
          <t>Jamestown</t>
        </is>
      </c>
      <c r="F10" s="39" t="inlineStr">
        <is>
          <t>CA</t>
        </is>
      </c>
      <c r="G10" s="39" t="inlineStr">
        <is>
          <t>95327</t>
        </is>
      </c>
      <c r="H10" s="39" t="inlineStr">
        <is>
          <t>3.1 mi</t>
        </is>
      </c>
      <c r="I10" s="39" t="inlineStr">
        <is>
          <t>$3,812</t>
        </is>
      </c>
      <c r="J10" s="39" t="inlineStr">
        <is>
          <t>$4,575</t>
        </is>
      </c>
      <c r="K10" s="33" t="inlineStr">
        <is>
          <t>$1,500</t>
        </is>
      </c>
      <c r="L10" s="34" t="inlineStr">
        <is>
          <t>Not Listed</t>
        </is>
      </c>
      <c r="M10" s="39" t="inlineStr">
        <is>
          <t>$4,233</t>
        </is>
      </c>
      <c r="N10" s="39" t="inlineStr">
        <is>
          <t>$5,080</t>
        </is>
      </c>
      <c r="O10" s="33" t="inlineStr">
        <is>
          <t>$1,970</t>
        </is>
      </c>
      <c r="P10" s="34" t="inlineStr">
        <is>
          <t>Not Listed</t>
        </is>
      </c>
      <c r="Q10" s="39" t="inlineStr">
        <is>
          <t>$4,575</t>
        </is>
      </c>
      <c r="R10" s="39" t="inlineStr">
        <is>
          <t>$5,490</t>
        </is>
      </c>
      <c r="S10" s="33" t="inlineStr">
        <is>
          <t>$2,277</t>
        </is>
      </c>
      <c r="T10" s="34" t="inlineStr">
        <is>
          <t>Not Listed</t>
        </is>
      </c>
      <c r="U10" s="39" t="inlineStr">
        <is>
          <t>$4,912</t>
        </is>
      </c>
      <c r="V10" s="39" t="inlineStr">
        <is>
          <t>$5,895</t>
        </is>
      </c>
      <c r="W10" s="33" t="inlineStr">
        <is>
          <t>$2,619</t>
        </is>
      </c>
      <c r="X10" s="34" t="inlineStr">
        <is>
          <t>Not Listed</t>
        </is>
      </c>
      <c r="Y10" s="39" t="inlineStr">
        <is>
          <t>80</t>
        </is>
      </c>
      <c r="Z10" s="39" t="inlineStr">
        <is>
          <t>1998</t>
        </is>
      </c>
      <c r="AA10" s="39" t="inlineStr">
        <is>
          <t>3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LIHTC property, 1998 vintage (3 yr diff), 80 units, 3.1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Murphys Senior Apts</t>
        </is>
      </c>
      <c r="D11" s="31" t="inlineStr">
        <is>
          <t>350 Bret Harte Ln</t>
        </is>
      </c>
      <c r="E11" s="31" t="inlineStr">
        <is>
          <t>Murphys</t>
        </is>
      </c>
      <c r="F11" s="31" t="inlineStr">
        <is>
          <t>CA</t>
        </is>
      </c>
      <c r="G11" s="31" t="inlineStr">
        <is>
          <t>95247</t>
        </is>
      </c>
      <c r="H11" s="31" t="inlineStr">
        <is>
          <t>12.5 mi</t>
        </is>
      </c>
      <c r="I11" s="31" t="inlineStr">
        <is>
          <t>$3,812</t>
        </is>
      </c>
      <c r="J11" s="31" t="inlineStr">
        <is>
          <t>$4,575</t>
        </is>
      </c>
      <c r="K11" s="33" t="inlineStr">
        <is>
          <t>$1,500</t>
        </is>
      </c>
      <c r="L11" s="34" t="inlineStr">
        <is>
          <t>Not Listed</t>
        </is>
      </c>
      <c r="M11" s="31" t="inlineStr">
        <is>
          <t>$4,233</t>
        </is>
      </c>
      <c r="N11" s="31" t="inlineStr">
        <is>
          <t>$5,080</t>
        </is>
      </c>
      <c r="O11" s="33" t="inlineStr">
        <is>
          <t>$1,970</t>
        </is>
      </c>
      <c r="P11" s="34" t="inlineStr">
        <is>
          <t>Not Listed</t>
        </is>
      </c>
      <c r="Q11" s="31" t="inlineStr">
        <is>
          <t>$4,575</t>
        </is>
      </c>
      <c r="R11" s="31" t="inlineStr">
        <is>
          <t>$5,490</t>
        </is>
      </c>
      <c r="S11" s="33" t="inlineStr">
        <is>
          <t>$2,277</t>
        </is>
      </c>
      <c r="T11" s="34" t="inlineStr">
        <is>
          <t>Not Listed</t>
        </is>
      </c>
      <c r="U11" s="31" t="inlineStr">
        <is>
          <t>$4,912</t>
        </is>
      </c>
      <c r="V11" s="31" t="inlineStr">
        <is>
          <t>$5,895</t>
        </is>
      </c>
      <c r="W11" s="33" t="inlineStr">
        <is>
          <t>$2,619</t>
        </is>
      </c>
      <c r="X11" s="34" t="inlineStr">
        <is>
          <t>Not Listed</t>
        </is>
      </c>
      <c r="Y11" s="31" t="inlineStr">
        <is>
          <t>24</t>
        </is>
      </c>
      <c r="Z11" s="31" t="inlineStr">
        <is>
          <t>1995</t>
        </is>
      </c>
      <c r="AA11" s="31" t="inlineStr">
        <is>
          <t>0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LIHTC property, 1995 vintage (0 yr diff), 24 units, 12.5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Sonora Market Rate (FMR Benchmark)</t>
        </is>
      </c>
      <c r="D12" s="42" t="inlineStr">
        <is>
          <t>Sonora,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$1,500</t>
        </is>
      </c>
      <c r="L12" s="34" t="inlineStr">
        <is>
          <t>$1,650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$1,970</t>
        </is>
      </c>
      <c r="P12" s="34" t="inlineStr">
        <is>
          <t>$2,050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$2,277</t>
        </is>
      </c>
      <c r="T12" s="34" t="inlineStr">
        <is>
          <t>Not Listed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$2,619</t>
        </is>
      </c>
      <c r="X12" s="34" t="inlineStr">
        <is>
          <t>Not Listed</t>
        </is>
      </c>
      <c r="Y12" s="42" t="inlineStr">
        <is>
          <t>N/A</t>
        </is>
      </c>
      <c r="Z12" s="42" t="inlineStr">
        <is>
          <t>1995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1995 vintage (0 yr diff), N/A units, N/A from subject. Shows market-rate rents vs. affordable housing discount.</t>
        </is>
      </c>
      <c r="AI12" s="42" t="inlineStr">
        <is>
          <t>HUD FY2026 FMR - Tuolumne County, CA (limited market rate listings in Sonora)</t>
        </is>
      </c>
    </row>
    <row r="13" ht="54.75" customFormat="1" customHeight="1" s="6">
      <c r="A13" s="45" t="inlineStr">
        <is>
          <t>2</t>
        </is>
      </c>
      <c r="B13" s="45" t="inlineStr">
        <is>
          <t>Quail Hollow Apartments</t>
        </is>
      </c>
      <c r="C13" s="46" t="inlineStr">
        <is>
          <t>20230 Grouse Way, Sonora, CA 95370</t>
        </is>
      </c>
      <c r="D13" s="45" t="inlineStr">
        <is>
          <t>Modesto,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45.0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$1,500</t>
        </is>
      </c>
      <c r="L13" s="34" t="inlineStr">
        <is>
          <t>$1,595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$1,970</t>
        </is>
      </c>
      <c r="P13" s="34" t="inlineStr">
        <is>
          <t>$1,975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$2,277</t>
        </is>
      </c>
      <c r="T13" s="34" t="inlineStr">
        <is>
          <t>Not Listed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$2,619</t>
        </is>
      </c>
      <c r="X13" s="34" t="inlineStr">
        <is>
          <t>Not Listed</t>
        </is>
      </c>
      <c r="Y13" s="45" t="inlineStr">
        <is>
          <t>120</t>
        </is>
      </c>
      <c r="Z13" s="45" t="inlineStr">
        <is>
          <t>1997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92" t="inlineStr">
        <is>
          <t>MODERATE</t>
        </is>
      </c>
      <c r="AH13" s="46" t="inlineStr">
        <is>
          <t>Market Rate Comp #2: No income restrictions, 1997 vintage (2 yr diff), 120 units, 45.0 mi from subject. Shows market-rate rents vs. affordable housing discount.</t>
        </is>
      </c>
      <c r="AI13" s="45" t="inlineStr">
        <is>
          <t>https://www.rentcafe.com/apartments-for-rent/us/ca/modesto/</t>
        </is>
      </c>
    </row>
    <row r="14" ht="54.75" customFormat="1" customHeight="1" s="6">
      <c r="A14" s="48" t="inlineStr">
        <is>
          <t>3</t>
        </is>
      </c>
      <c r="B14" s="48" t="inlineStr">
        <is>
          <t>Shepherd Street Apartments</t>
        </is>
      </c>
      <c r="C14" s="49" t="inlineStr">
        <is>
          <t>165 S Shepherd St, Sonora, CA 95370</t>
        </is>
      </c>
      <c r="D14" s="48" t="inlineStr">
        <is>
          <t>Modesto, CA area</t>
        </is>
      </c>
      <c r="E14" s="48" t="inlineStr">
        <is>
          <t>CA area</t>
        </is>
      </c>
      <c r="F14" s="48" t="inlineStr">
        <is>
          <t>CA</t>
        </is>
      </c>
      <c r="G14" s="48" t="n"/>
      <c r="H14" s="48" t="inlineStr">
        <is>
          <t>47.0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$1,500</t>
        </is>
      </c>
      <c r="L14" s="34" t="inlineStr">
        <is>
          <t>$1,550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$1,970</t>
        </is>
      </c>
      <c r="P14" s="34" t="inlineStr">
        <is>
          <t>$1,925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$2,277</t>
        </is>
      </c>
      <c r="T14" s="34" t="inlineStr">
        <is>
          <t>Not Listed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$2,619</t>
        </is>
      </c>
      <c r="X14" s="34" t="inlineStr">
        <is>
          <t>Not Listed</t>
        </is>
      </c>
      <c r="Y14" s="48" t="inlineStr">
        <is>
          <t>96</t>
        </is>
      </c>
      <c r="Z14" s="48" t="inlineStr">
        <is>
          <t>1993</t>
        </is>
      </c>
      <c r="AA14" s="48" t="inlineStr">
        <is>
          <t>2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93" t="inlineStr">
        <is>
          <t>MODERATE</t>
        </is>
      </c>
      <c r="AH14" s="49" t="inlineStr">
        <is>
          <t>Market Rate Comp #3: No income restrictions, 1993 vintage (2 yr diff), 96 units, 47.0 mi from subject. Shows market-rate rents vs. affordable housing discount.</t>
        </is>
      </c>
      <c r="AI14" s="48" t="inlineStr">
        <is>
          <t>https://www.rentcafe.com/apartments-for-rent/us/ca/modesto/</t>
        </is>
      </c>
    </row>
    <row r="15" ht="54.75" customFormat="1" customHeight="1" s="6">
      <c r="A15" s="42" t="inlineStr">
        <is>
          <t>4</t>
        </is>
      </c>
      <c r="B15" s="42" t="inlineStr">
        <is>
          <t>Blackberry Oaks</t>
        </is>
      </c>
      <c r="C15" s="43" t="inlineStr">
        <is>
          <t>100 Greenley Rd, Sonora, CA 95370</t>
        </is>
      </c>
      <c r="D15" s="42" t="inlineStr">
        <is>
          <t>Sonora, CA area</t>
        </is>
      </c>
      <c r="E15" s="42" t="inlineStr">
        <is>
          <t>CA area</t>
        </is>
      </c>
      <c r="F15" s="42" t="inlineStr">
        <is>
          <t>CA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$1,500</t>
        </is>
      </c>
      <c r="L15" s="34" t="inlineStr">
        <is>
          <t>$1,650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$1,970</t>
        </is>
      </c>
      <c r="P15" s="34" t="inlineStr">
        <is>
          <t>$2,050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$2,277</t>
        </is>
      </c>
      <c r="T15" s="34" t="inlineStr">
        <is>
          <t>Not Listed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$2,619</t>
        </is>
      </c>
      <c r="X15" s="34" t="inlineStr">
        <is>
          <t>Not Listed</t>
        </is>
      </c>
      <c r="Y15" s="42" t="inlineStr">
        <is>
          <t>N/A</t>
        </is>
      </c>
      <c r="Z15" s="42" t="inlineStr">
        <is>
          <t>1993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1993 vintage (2 yr diff), N/A units, N/A from subject. Shows market-rate rents vs. affordable housing discount.</t>
        </is>
      </c>
      <c r="AI15" s="42" t="inlineStr">
        <is>
          <t>HUD FY2026 FMR - Tuolumne County, CA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Tuolumne County, CA</t>
        </is>
      </c>
      <c r="D16" s="51" t="inlineStr">
        <is>
          <t>N/A</t>
        </is>
      </c>
      <c r="E16" s="51" t="inlineStr">
        <is>
          <t>Sonora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$1,500</t>
        </is>
      </c>
      <c r="J16" s="51" t="inlineStr">
        <is>
          <t>$1,500</t>
        </is>
      </c>
      <c r="K16" s="33" t="inlineStr">
        <is>
          <t>$1,500</t>
        </is>
      </c>
      <c r="L16" s="34" t="inlineStr">
        <is>
          <t>N/A</t>
        </is>
      </c>
      <c r="M16" s="51" t="inlineStr">
        <is>
          <t>$1,970</t>
        </is>
      </c>
      <c r="N16" s="51" t="inlineStr">
        <is>
          <t>$1,970</t>
        </is>
      </c>
      <c r="O16" s="33" t="inlineStr">
        <is>
          <t>$1,970</t>
        </is>
      </c>
      <c r="P16" s="34" t="inlineStr">
        <is>
          <t>N/A</t>
        </is>
      </c>
      <c r="Q16" s="51" t="inlineStr">
        <is>
          <t>$2,277</t>
        </is>
      </c>
      <c r="R16" s="51" t="inlineStr">
        <is>
          <t>$2,277</t>
        </is>
      </c>
      <c r="S16" s="33" t="inlineStr">
        <is>
          <t>$2,277</t>
        </is>
      </c>
      <c r="T16" s="34" t="inlineStr">
        <is>
          <t>N/A</t>
        </is>
      </c>
      <c r="U16" s="51" t="inlineStr">
        <is>
          <t>$2,619</t>
        </is>
      </c>
      <c r="V16" s="51" t="inlineStr">
        <is>
          <t>$2,619</t>
        </is>
      </c>
      <c r="W16" s="33" t="inlineStr">
        <is>
          <t>$2,619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Sonora</t>
        </is>
      </c>
      <c r="D17" s="51" t="inlineStr">
        <is>
          <t>N/A</t>
        </is>
      </c>
      <c r="E17" s="51" t="inlineStr">
        <is>
          <t>Sonora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$1,650</t>
        </is>
      </c>
      <c r="J17" s="51" t="inlineStr">
        <is>
          <t>$1,650</t>
        </is>
      </c>
      <c r="K17" s="33" t="inlineStr">
        <is>
          <t>$1,650</t>
        </is>
      </c>
      <c r="L17" s="34" t="inlineStr">
        <is>
          <t>N/A</t>
        </is>
      </c>
      <c r="M17" s="51" t="inlineStr">
        <is>
          <t>$2,167</t>
        </is>
      </c>
      <c r="N17" s="51" t="inlineStr">
        <is>
          <t>$2,167</t>
        </is>
      </c>
      <c r="O17" s="33" t="inlineStr">
        <is>
          <t>$2,167</t>
        </is>
      </c>
      <c r="P17" s="34" t="inlineStr">
        <is>
          <t>N/A</t>
        </is>
      </c>
      <c r="Q17" s="51" t="inlineStr">
        <is>
          <t>$2,504</t>
        </is>
      </c>
      <c r="R17" s="51" t="inlineStr">
        <is>
          <t>$2,504</t>
        </is>
      </c>
      <c r="S17" s="33" t="inlineStr">
        <is>
          <t>$2,504</t>
        </is>
      </c>
      <c r="T17" s="34" t="inlineStr">
        <is>
          <t>N/A</t>
        </is>
      </c>
      <c r="U17" s="51" t="inlineStr">
        <is>
          <t>$2,880</t>
        </is>
      </c>
      <c r="V17" s="51" t="inlineStr">
        <is>
          <t>$2,880</t>
        </is>
      </c>
      <c r="W17" s="33" t="inlineStr">
        <is>
          <t>$2,880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2486</v>
      </c>
      <c r="D24" s="74" t="n">
        <v>2370</v>
      </c>
      <c r="E24" s="75" t="n">
        <v>146</v>
      </c>
      <c r="F24" s="76" t="n">
        <v>2224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3465</v>
      </c>
      <c r="D25" s="78" t="n">
        <v>3210</v>
      </c>
      <c r="E25" s="75" t="n">
        <v>174</v>
      </c>
      <c r="F25" s="76" t="n">
        <v>3036</v>
      </c>
    </row>
    <row r="26" ht="15" customFormat="1" customHeight="1" s="3">
      <c r="A26" s="73" t="inlineStr">
        <is>
          <t>4BD</t>
        </is>
      </c>
      <c r="B26" s="74" t="n">
        <v>0</v>
      </c>
      <c r="C26" s="74" t="n">
        <v>3982</v>
      </c>
      <c r="D26" s="74" t="n">
        <v>3710</v>
      </c>
      <c r="E26" s="75" t="n">
        <v>209</v>
      </c>
      <c r="F26" s="76" t="n">
        <v>3501</v>
      </c>
    </row>
    <row r="27" ht="15" customFormat="1" customHeight="1" s="3">
      <c r="A27" s="77" t="inlineStr">
        <is>
          <t>5BD</t>
        </is>
      </c>
      <c r="B27" s="78" t="n">
        <v>0</v>
      </c>
      <c r="C27" s="78" t="n">
        <v>4579</v>
      </c>
      <c r="D27" s="78" t="n">
        <v>4267</v>
      </c>
      <c r="E27" s="75" t="n">
        <v>236</v>
      </c>
      <c r="F27" s="76" t="n">
        <v>4031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35%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2BD</t>
        </is>
      </c>
      <c r="B32" s="74" t="n">
        <v>1013</v>
      </c>
      <c r="C32" s="74" t="n">
        <v>867</v>
      </c>
      <c r="D32" s="75" t="n">
        <v>146</v>
      </c>
      <c r="E32" s="76" t="n">
        <v>721</v>
      </c>
    </row>
    <row r="33" ht="15" customFormat="1" customHeight="1" s="3">
      <c r="A33" s="77" t="inlineStr">
        <is>
          <t>3BD</t>
        </is>
      </c>
      <c r="B33" s="78" t="n">
        <v>1170</v>
      </c>
      <c r="C33" s="78" t="n">
        <v>996</v>
      </c>
      <c r="D33" s="75" t="n">
        <v>174</v>
      </c>
      <c r="E33" s="76" t="n">
        <v>822</v>
      </c>
    </row>
    <row r="34" ht="15" customFormat="1" customHeight="1" s="3">
      <c r="A34" s="73" t="inlineStr">
        <is>
          <t>4BD</t>
        </is>
      </c>
      <c r="B34" s="74" t="n">
        <v>1305</v>
      </c>
      <c r="C34" s="74" t="n">
        <v>1096</v>
      </c>
      <c r="D34" s="75" t="n">
        <v>209</v>
      </c>
      <c r="E34" s="76" t="n">
        <v>887</v>
      </c>
    </row>
    <row r="35" ht="15" customFormat="1" customHeight="1" s="3">
      <c r="A35" s="77" t="inlineStr">
        <is>
          <t>5BD</t>
        </is>
      </c>
      <c r="B35" s="78" t="n">
        <v>1440</v>
      </c>
      <c r="C35" s="78" t="n">
        <v>1204</v>
      </c>
      <c r="D35" s="75" t="n">
        <v>236</v>
      </c>
      <c r="E35" s="76" t="n">
        <v>968</v>
      </c>
    </row>
    <row r="36" ht="15" customFormat="1" customHeight="1" s="3">
      <c r="A36" s="67" t="n"/>
      <c r="B36" s="68" t="inlineStr">
        <is>
          <t>LIHTC/MKT</t>
        </is>
      </c>
      <c r="C36" s="70" t="inlineStr">
        <is>
          <t>50%</t>
        </is>
      </c>
      <c r="D36" s="71" t="inlineStr">
        <is>
          <t>UAP</t>
        </is>
      </c>
      <c r="E36" s="72" t="inlineStr">
        <is>
          <t>NET</t>
        </is>
      </c>
    </row>
    <row r="37" ht="15" customFormat="1" customHeight="1" s="3">
      <c r="A37" s="73" t="inlineStr">
        <is>
          <t>2BD</t>
        </is>
      </c>
      <c r="B37" s="74" t="n">
        <v>1447</v>
      </c>
      <c r="C37" s="74" t="n">
        <v>1301</v>
      </c>
      <c r="D37" s="75" t="n">
        <v>146</v>
      </c>
      <c r="E37" s="76" t="n">
        <v>1155</v>
      </c>
    </row>
    <row r="38" ht="15" customFormat="1" customHeight="1" s="3">
      <c r="A38" s="77" t="inlineStr">
        <is>
          <t>3BD</t>
        </is>
      </c>
      <c r="B38" s="78" t="n">
        <v>1671</v>
      </c>
      <c r="C38" s="78" t="n">
        <v>1497</v>
      </c>
      <c r="D38" s="75" t="n">
        <v>174</v>
      </c>
      <c r="E38" s="76" t="n">
        <v>1323</v>
      </c>
    </row>
    <row r="39" ht="15" customFormat="1" customHeight="1" s="3">
      <c r="A39" s="73" t="inlineStr">
        <is>
          <t>4BD</t>
        </is>
      </c>
      <c r="B39" s="74" t="n">
        <v>1865</v>
      </c>
      <c r="C39" s="74" t="n">
        <v>1656</v>
      </c>
      <c r="D39" s="75" t="n">
        <v>209</v>
      </c>
      <c r="E39" s="76" t="n">
        <v>1447</v>
      </c>
    </row>
    <row r="40" ht="15" customFormat="1" customHeight="1" s="3">
      <c r="A40" s="77" t="inlineStr">
        <is>
          <t>5BD</t>
        </is>
      </c>
      <c r="B40" s="78" t="n">
        <v>2058</v>
      </c>
      <c r="C40" s="78" t="n">
        <v>1822</v>
      </c>
      <c r="D40" s="75" t="n">
        <v>236</v>
      </c>
      <c r="E40" s="76" t="n">
        <v>1586</v>
      </c>
    </row>
    <row r="41" ht="15" customFormat="1" customHeight="1" s="3">
      <c r="A41" s="67" t="n"/>
      <c r="B41" s="68" t="inlineStr">
        <is>
          <t>LIHTC/MKT</t>
        </is>
      </c>
      <c r="C41" s="70" t="inlineStr">
        <is>
          <t>55%</t>
        </is>
      </c>
      <c r="D41" s="71" t="inlineStr">
        <is>
          <t>UAP</t>
        </is>
      </c>
      <c r="E41" s="72" t="inlineStr">
        <is>
          <t>NET</t>
        </is>
      </c>
    </row>
    <row r="42" ht="15" customFormat="1" customHeight="1" s="3">
      <c r="A42" s="73" t="inlineStr">
        <is>
          <t>3BD</t>
        </is>
      </c>
      <c r="B42" s="74" t="n">
        <v>1839</v>
      </c>
      <c r="C42" s="74" t="n">
        <v>1665</v>
      </c>
      <c r="D42" s="75" t="n">
        <v>174</v>
      </c>
      <c r="E42" s="76" t="n">
        <v>1491</v>
      </c>
    </row>
    <row r="43" ht="15" customFormat="1" customHeight="1" s="3">
      <c r="A43" s="77" t="inlineStr">
        <is>
          <t>4BD</t>
        </is>
      </c>
      <c r="B43" s="78" t="n">
        <v>2051</v>
      </c>
      <c r="C43" s="78" t="n">
        <v>1842</v>
      </c>
      <c r="D43" s="75" t="n">
        <v>209</v>
      </c>
      <c r="E43" s="76" t="n">
        <v>1633</v>
      </c>
    </row>
    <row r="44" ht="15" customFormat="1" customHeight="1" s="3">
      <c r="A44" s="73" t="inlineStr">
        <is>
          <t>5BD</t>
        </is>
      </c>
      <c r="B44" s="74" t="n">
        <v>2263</v>
      </c>
      <c r="C44" s="74" t="n">
        <v>2227</v>
      </c>
      <c r="D44" s="75" t="n">
        <v>236</v>
      </c>
      <c r="E44" s="76" t="n">
        <v>1991</v>
      </c>
    </row>
    <row r="47" ht="15" customFormat="1" customHeight="1" s="3">
      <c r="A47" s="64" t="inlineStr">
        <is>
          <t>HAP, CoStar, NET</t>
        </is>
      </c>
      <c r="B47" s="104" t="n"/>
      <c r="C47" s="105" t="n"/>
    </row>
    <row r="48" ht="15" customFormat="1" customHeight="1" s="3">
      <c r="A48" s="67" t="n"/>
      <c r="B48" s="71" t="inlineStr">
        <is>
          <t>HAP</t>
        </is>
      </c>
      <c r="C48" s="68" t="inlineStr">
        <is>
          <t>CoStar</t>
        </is>
      </c>
    </row>
    <row r="49" ht="15" customFormat="1" customHeight="1" s="3">
      <c r="A49" s="73" t="inlineStr">
        <is>
          <t>2BD</t>
        </is>
      </c>
      <c r="B49" s="106" t="n">
        <v>0</v>
      </c>
      <c r="C49" s="107" t="n">
        <v>2087</v>
      </c>
    </row>
    <row r="50" ht="15" customFormat="1" customHeight="1" s="3">
      <c r="A50" s="77" t="inlineStr">
        <is>
          <t>3BD</t>
        </is>
      </c>
      <c r="B50" s="106" t="n">
        <v>0</v>
      </c>
      <c r="C50" s="107" t="n">
        <v>2427</v>
      </c>
    </row>
    <row r="51" ht="15" customFormat="1" customHeight="1" s="3">
      <c r="A51" s="73" t="inlineStr">
        <is>
          <t>4BD</t>
        </is>
      </c>
      <c r="B51" s="106" t="n">
        <v>0</v>
      </c>
      <c r="C51" s="107" t="n">
        <v>2335</v>
      </c>
    </row>
    <row r="52" ht="15" customFormat="1" customHeight="1" s="3">
      <c r="A52" s="77" t="inlineStr">
        <is>
          <t>5BD</t>
        </is>
      </c>
      <c r="B52" s="106" t="n">
        <v>0</v>
      </c>
      <c r="C52" s="107" t="n">
        <v>2601</v>
      </c>
    </row>
  </sheetData>
  <mergeCells count="7">
    <mergeCell ref="A30:E30"/>
    <mergeCell ref="A19:AI19"/>
    <mergeCell ref="A5:AI5"/>
    <mergeCell ref="A47:C47"/>
    <mergeCell ref="A3:AI3"/>
    <mergeCell ref="A22:F22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43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SILVER SPRINGS TERRACE | GREEN = Affordable Comps | BLUE = Market Rate Comps</t>
        </is>
      </c>
    </row>
    <row r="4" ht="20.25" customFormat="1" customHeight="1" s="6">
      <c r="A4" s="2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Silver Springs Terrace (SUBJECT)</t>
        </is>
      </c>
      <c r="D7" s="26" t="inlineStr">
        <is>
          <t>950 NE 20th Street</t>
        </is>
      </c>
      <c r="E7" s="26" t="inlineStr">
        <is>
          <t>Hickory</t>
        </is>
      </c>
      <c r="F7" s="26" t="inlineStr">
        <is>
          <t>NC</t>
        </is>
      </c>
      <c r="G7" s="26" t="inlineStr">
        <is>
          <t>28601</t>
        </is>
      </c>
      <c r="H7" s="26" t="inlineStr">
        <is>
          <t>0.0 mi</t>
        </is>
      </c>
      <c r="I7" s="26" t="inlineStr">
        <is>
          <t>$2,426</t>
        </is>
      </c>
      <c r="J7" s="26" t="inlineStr">
        <is>
          <t>$2,912</t>
        </is>
      </c>
      <c r="K7" s="28" t="inlineStr">
        <is>
          <t>$663</t>
        </is>
      </c>
      <c r="L7" s="29" t="inlineStr">
        <is>
          <t>N/A</t>
        </is>
      </c>
      <c r="M7" s="26" t="inlineStr">
        <is>
          <t>$2,912</t>
        </is>
      </c>
      <c r="N7" s="26" t="inlineStr">
        <is>
          <t>$3,495</t>
        </is>
      </c>
      <c r="O7" s="28" t="inlineStr">
        <is>
          <t>$908</t>
        </is>
      </c>
      <c r="P7" s="29" t="inlineStr">
        <is>
          <t>N/A</t>
        </is>
      </c>
      <c r="Q7" s="26" t="inlineStr">
        <is>
          <t>$3,233</t>
        </is>
      </c>
      <c r="R7" s="26" t="inlineStr">
        <is>
          <t>$3,880</t>
        </is>
      </c>
      <c r="S7" s="28" t="inlineStr">
        <is>
          <t>$1,372</t>
        </is>
      </c>
      <c r="T7" s="29" t="inlineStr">
        <is>
          <t>N/A</t>
        </is>
      </c>
      <c r="U7" s="26" t="inlineStr">
        <is>
          <t>$3,495</t>
        </is>
      </c>
      <c r="V7" s="26" t="inlineStr">
        <is>
          <t>$4,195</t>
        </is>
      </c>
      <c r="W7" s="28" t="inlineStr">
        <is>
          <t>$1,586</t>
        </is>
      </c>
      <c r="X7" s="29" t="inlineStr">
        <is>
          <t>N/A</t>
        </is>
      </c>
      <c r="Y7" s="26" t="inlineStr">
        <is>
          <t>100</t>
        </is>
      </c>
      <c r="Z7" s="26" t="inlineStr">
        <is>
          <t>1971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100 units | Layered HUD/LIHTC property. Year built: 1971.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Catawba Valley Homes</t>
        </is>
      </c>
      <c r="D8" s="31" t="inlineStr">
        <is>
          <t>1200 9th Ave Dr NW</t>
        </is>
      </c>
      <c r="E8" s="31" t="inlineStr">
        <is>
          <t>Hickory</t>
        </is>
      </c>
      <c r="F8" s="31" t="inlineStr">
        <is>
          <t>NC</t>
        </is>
      </c>
      <c r="G8" s="31" t="inlineStr">
        <is>
          <t>28601</t>
        </is>
      </c>
      <c r="H8" s="31" t="inlineStr">
        <is>
          <t>2.5 mi</t>
        </is>
      </c>
      <c r="I8" s="31" t="inlineStr">
        <is>
          <t>$2,426</t>
        </is>
      </c>
      <c r="J8" s="31" t="inlineStr">
        <is>
          <t>$2,912</t>
        </is>
      </c>
      <c r="K8" s="33" t="inlineStr">
        <is>
          <t>$663</t>
        </is>
      </c>
      <c r="L8" s="34" t="inlineStr">
        <is>
          <t>Not Listed</t>
        </is>
      </c>
      <c r="M8" s="31" t="inlineStr">
        <is>
          <t>$2,912</t>
        </is>
      </c>
      <c r="N8" s="31" t="inlineStr">
        <is>
          <t>$3,495</t>
        </is>
      </c>
      <c r="O8" s="33" t="inlineStr">
        <is>
          <t>$908</t>
        </is>
      </c>
      <c r="P8" s="34" t="inlineStr">
        <is>
          <t>Not Listed</t>
        </is>
      </c>
      <c r="Q8" s="31" t="inlineStr">
        <is>
          <t>$3,233</t>
        </is>
      </c>
      <c r="R8" s="31" t="inlineStr">
        <is>
          <t>$3,880</t>
        </is>
      </c>
      <c r="S8" s="33" t="inlineStr">
        <is>
          <t>$1,372</t>
        </is>
      </c>
      <c r="T8" s="34" t="inlineStr">
        <is>
          <t>Not Listed</t>
        </is>
      </c>
      <c r="U8" s="31" t="inlineStr">
        <is>
          <t>$3,495</t>
        </is>
      </c>
      <c r="V8" s="31" t="inlineStr">
        <is>
          <t>$4,195</t>
        </is>
      </c>
      <c r="W8" s="33" t="inlineStr">
        <is>
          <t>$1,586</t>
        </is>
      </c>
      <c r="X8" s="34" t="inlineStr">
        <is>
          <t>Not Listed</t>
        </is>
      </c>
      <c r="Y8" s="31" t="inlineStr">
        <is>
          <t>96</t>
        </is>
      </c>
      <c r="Z8" s="31" t="inlineStr">
        <is>
          <t>1972</t>
        </is>
      </c>
      <c r="AA8" s="31" t="inlineStr">
        <is>
          <t>1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Section 8/HUD property, 1972 vintage (1 yr diff), 96 units, 2.5 mi from subject. Same income-eligible renter pool.</t>
        </is>
      </c>
      <c r="AI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Lenoir Housing Authority - Granite Falls Homes</t>
        </is>
      </c>
      <c r="D9" s="36" t="inlineStr">
        <is>
          <t>300 Pennton Ave SW</t>
        </is>
      </c>
      <c r="E9" s="36" t="inlineStr">
        <is>
          <t>Lenoir</t>
        </is>
      </c>
      <c r="F9" s="36" t="inlineStr">
        <is>
          <t>NC</t>
        </is>
      </c>
      <c r="G9" s="36" t="inlineStr">
        <is>
          <t>28645</t>
        </is>
      </c>
      <c r="H9" s="36" t="inlineStr">
        <is>
          <t>22.0 mi</t>
        </is>
      </c>
      <c r="I9" s="36" t="inlineStr">
        <is>
          <t>$2,426</t>
        </is>
      </c>
      <c r="J9" s="36" t="inlineStr">
        <is>
          <t>$2,912</t>
        </is>
      </c>
      <c r="K9" s="33" t="inlineStr">
        <is>
          <t>$663</t>
        </is>
      </c>
      <c r="L9" s="34" t="inlineStr">
        <is>
          <t>Not Listed</t>
        </is>
      </c>
      <c r="M9" s="36" t="inlineStr">
        <is>
          <t>$2,912</t>
        </is>
      </c>
      <c r="N9" s="36" t="inlineStr">
        <is>
          <t>$3,495</t>
        </is>
      </c>
      <c r="O9" s="33" t="inlineStr">
        <is>
          <t>$908</t>
        </is>
      </c>
      <c r="P9" s="34" t="inlineStr">
        <is>
          <t>Not Listed</t>
        </is>
      </c>
      <c r="Q9" s="36" t="inlineStr">
        <is>
          <t>$3,233</t>
        </is>
      </c>
      <c r="R9" s="36" t="inlineStr">
        <is>
          <t>$3,880</t>
        </is>
      </c>
      <c r="S9" s="33" t="inlineStr">
        <is>
          <t>$1,372</t>
        </is>
      </c>
      <c r="T9" s="34" t="inlineStr">
        <is>
          <t>Not Listed</t>
        </is>
      </c>
      <c r="U9" s="36" t="inlineStr">
        <is>
          <t>$3,495</t>
        </is>
      </c>
      <c r="V9" s="36" t="inlineStr">
        <is>
          <t>$4,195</t>
        </is>
      </c>
      <c r="W9" s="33" t="inlineStr">
        <is>
          <t>$1,586</t>
        </is>
      </c>
      <c r="X9" s="34" t="inlineStr">
        <is>
          <t>Not Listed</t>
        </is>
      </c>
      <c r="Y9" s="36" t="inlineStr">
        <is>
          <t>100</t>
        </is>
      </c>
      <c r="Z9" s="36" t="inlineStr">
        <is>
          <t>1970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96" t="inlineStr">
        <is>
          <t>MODERATE-HIGH</t>
        </is>
      </c>
      <c r="AH9" s="37" t="inlineStr">
        <is>
          <t>Affordable Comp #2: Public Housing/HUD property, 1970 vintage (1 yr diff), 100 units, 22.0 mi from subject. Same income-eligible renter pool.</t>
        </is>
      </c>
      <c r="AI9" s="36" t="inlineStr">
        <is>
          <t>Lenoir Housing Authority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Statesville Manor Apartments</t>
        </is>
      </c>
      <c r="D10" s="39" t="inlineStr">
        <is>
          <t>500 Davie Ave</t>
        </is>
      </c>
      <c r="E10" s="39" t="inlineStr">
        <is>
          <t>Statesville</t>
        </is>
      </c>
      <c r="F10" s="39" t="inlineStr">
        <is>
          <t>NC</t>
        </is>
      </c>
      <c r="G10" s="39" t="inlineStr">
        <is>
          <t>28677</t>
        </is>
      </c>
      <c r="H10" s="39" t="inlineStr">
        <is>
          <t>28.0 mi</t>
        </is>
      </c>
      <c r="I10" s="39" t="inlineStr">
        <is>
          <t>$2,426</t>
        </is>
      </c>
      <c r="J10" s="39" t="inlineStr">
        <is>
          <t>$2,912</t>
        </is>
      </c>
      <c r="K10" s="33" t="inlineStr">
        <is>
          <t>$663</t>
        </is>
      </c>
      <c r="L10" s="34" t="inlineStr">
        <is>
          <t>Not Listed</t>
        </is>
      </c>
      <c r="M10" s="39" t="inlineStr">
        <is>
          <t>$2,912</t>
        </is>
      </c>
      <c r="N10" s="39" t="inlineStr">
        <is>
          <t>$3,495</t>
        </is>
      </c>
      <c r="O10" s="33" t="inlineStr">
        <is>
          <t>$908</t>
        </is>
      </c>
      <c r="P10" s="34" t="inlineStr">
        <is>
          <t>Not Listed</t>
        </is>
      </c>
      <c r="Q10" s="39" t="inlineStr">
        <is>
          <t>$3,233</t>
        </is>
      </c>
      <c r="R10" s="39" t="inlineStr">
        <is>
          <t>$3,880</t>
        </is>
      </c>
      <c r="S10" s="33" t="inlineStr">
        <is>
          <t>$1,372</t>
        </is>
      </c>
      <c r="T10" s="34" t="inlineStr">
        <is>
          <t>Not Listed</t>
        </is>
      </c>
      <c r="U10" s="39" t="inlineStr">
        <is>
          <t>$3,495</t>
        </is>
      </c>
      <c r="V10" s="39" t="inlineStr">
        <is>
          <t>$4,195</t>
        </is>
      </c>
      <c r="W10" s="33" t="inlineStr">
        <is>
          <t>$1,586</t>
        </is>
      </c>
      <c r="X10" s="34" t="inlineStr">
        <is>
          <t>Not Listed</t>
        </is>
      </c>
      <c r="Y10" s="39" t="inlineStr">
        <is>
          <t>108</t>
        </is>
      </c>
      <c r="Z10" s="39" t="inlineStr">
        <is>
          <t>1973</t>
        </is>
      </c>
      <c r="AA10" s="39" t="inlineStr">
        <is>
          <t>2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41" t="inlineStr">
        <is>
          <t>MODERATE-HIGH</t>
        </is>
      </c>
      <c r="AH10" s="40" t="inlineStr">
        <is>
          <t>Affordable Comp #3: Section 8/HUD property, 1973 vintage (2 yr diff), 108 units, 28.0 mi from subject. Same income-eligible renter pool.</t>
        </is>
      </c>
      <c r="AI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Hickory Housing Authority - Ridgeview Homes</t>
        </is>
      </c>
      <c r="D11" s="31" t="inlineStr">
        <is>
          <t>400 Ridgeview Rd NE</t>
        </is>
      </c>
      <c r="E11" s="31" t="inlineStr">
        <is>
          <t>Hickory</t>
        </is>
      </c>
      <c r="F11" s="31" t="inlineStr">
        <is>
          <t>NC</t>
        </is>
      </c>
      <c r="G11" s="31" t="inlineStr">
        <is>
          <t>28601</t>
        </is>
      </c>
      <c r="H11" s="31" t="inlineStr">
        <is>
          <t>1.8 mi</t>
        </is>
      </c>
      <c r="I11" s="31" t="inlineStr">
        <is>
          <t>$2,426</t>
        </is>
      </c>
      <c r="J11" s="31" t="inlineStr">
        <is>
          <t>$2,912</t>
        </is>
      </c>
      <c r="K11" s="33" t="inlineStr">
        <is>
          <t>$663</t>
        </is>
      </c>
      <c r="L11" s="34" t="inlineStr">
        <is>
          <t>Not Listed</t>
        </is>
      </c>
      <c r="M11" s="31" t="inlineStr">
        <is>
          <t>$2,912</t>
        </is>
      </c>
      <c r="N11" s="31" t="inlineStr">
        <is>
          <t>$3,495</t>
        </is>
      </c>
      <c r="O11" s="33" t="inlineStr">
        <is>
          <t>$908</t>
        </is>
      </c>
      <c r="P11" s="34" t="inlineStr">
        <is>
          <t>Not Listed</t>
        </is>
      </c>
      <c r="Q11" s="31" t="inlineStr">
        <is>
          <t>$3,233</t>
        </is>
      </c>
      <c r="R11" s="31" t="inlineStr">
        <is>
          <t>$3,880</t>
        </is>
      </c>
      <c r="S11" s="33" t="inlineStr">
        <is>
          <t>$1,372</t>
        </is>
      </c>
      <c r="T11" s="34" t="inlineStr">
        <is>
          <t>Not Listed</t>
        </is>
      </c>
      <c r="U11" s="31" t="inlineStr">
        <is>
          <t>$3,495</t>
        </is>
      </c>
      <c r="V11" s="31" t="inlineStr">
        <is>
          <t>$4,195</t>
        </is>
      </c>
      <c r="W11" s="33" t="inlineStr">
        <is>
          <t>$1,586</t>
        </is>
      </c>
      <c r="X11" s="34" t="inlineStr">
        <is>
          <t>Not Listed</t>
        </is>
      </c>
      <c r="Y11" s="31" t="inlineStr">
        <is>
          <t>96</t>
        </is>
      </c>
      <c r="Z11" s="31" t="inlineStr">
        <is>
          <t>1970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Public Housing/HUD property, 1970 vintage (1 yr diff), 96 units, 1.8 mi from subject. Same income-eligible renter pool.</t>
        </is>
      </c>
      <c r="AI11" s="31" t="inlineStr">
        <is>
          <t>Hickory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Hickory Market Rate (FMR Benchmark)</t>
        </is>
      </c>
      <c r="D12" s="42" t="inlineStr">
        <is>
          <t>Hickory, NC area</t>
        </is>
      </c>
      <c r="E12" s="42" t="inlineStr">
        <is>
          <t>NC area</t>
        </is>
      </c>
      <c r="F12" s="42" t="inlineStr">
        <is>
          <t>NC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$663</t>
        </is>
      </c>
      <c r="L12" s="34" t="inlineStr">
        <is>
          <t>$900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$908</t>
        </is>
      </c>
      <c r="P12" s="34" t="inlineStr">
        <is>
          <t>$1,100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$1,372</t>
        </is>
      </c>
      <c r="T12" s="34" t="inlineStr">
        <is>
          <t>$1,375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$1,586</t>
        </is>
      </c>
      <c r="X12" s="34" t="inlineStr">
        <is>
          <t>$1,650</t>
        </is>
      </c>
      <c r="Y12" s="42" t="inlineStr">
        <is>
          <t>N/A</t>
        </is>
      </c>
      <c r="Z12" s="42" t="inlineStr">
        <is>
          <t>1971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1971 vintage (0 yr diff), N/A units, N/A from subject. Shows market-rate rents vs. affordable housing discount.</t>
        </is>
      </c>
      <c r="AI12" s="42" t="inlineStr">
        <is>
          <t>HUD FY2026 FMR - Catawba County, NC (limited market rate listings for 1961-1981 vintage)</t>
        </is>
      </c>
    </row>
    <row r="13" ht="54.75" customFormat="1" customHeight="1" s="6">
      <c r="A13" s="45" t="inlineStr">
        <is>
          <t>2</t>
        </is>
      </c>
      <c r="B13" s="45" t="inlineStr">
        <is>
          <t>Hickory Trace Village Apartments</t>
        </is>
      </c>
      <c r="C13" s="46" t="inlineStr">
        <is>
          <t>2250 5th St NE, Hickory, NC 28601</t>
        </is>
      </c>
      <c r="D13" s="45" t="inlineStr">
        <is>
          <t>Hickory, NC area</t>
        </is>
      </c>
      <c r="E13" s="45" t="inlineStr">
        <is>
          <t>NC area</t>
        </is>
      </c>
      <c r="F13" s="45" t="inlineStr">
        <is>
          <t>NC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$663</t>
        </is>
      </c>
      <c r="L13" s="34" t="inlineStr">
        <is>
          <t>$900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$908</t>
        </is>
      </c>
      <c r="P13" s="34" t="inlineStr">
        <is>
          <t>$1,100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$1,372</t>
        </is>
      </c>
      <c r="T13" s="34" t="inlineStr">
        <is>
          <t>$1,375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$1,586</t>
        </is>
      </c>
      <c r="X13" s="34" t="inlineStr">
        <is>
          <t>$1,650</t>
        </is>
      </c>
      <c r="Y13" s="45" t="inlineStr">
        <is>
          <t>N/A</t>
        </is>
      </c>
      <c r="Z13" s="45" t="inlineStr">
        <is>
          <t>1975</t>
        </is>
      </c>
      <c r="AA13" s="45" t="inlineStr">
        <is>
          <t>4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1975 vintage (4 yr diff), N/A units, N/A from subject. Shows market-rate rents vs. affordable housing discount.</t>
        </is>
      </c>
      <c r="AI13" s="45" t="inlineStr">
        <is>
          <t>HUD FY2026 FMR - Catawba County, NC</t>
        </is>
      </c>
    </row>
    <row r="14" ht="54.75" customFormat="1" customHeight="1" s="6">
      <c r="A14" s="48" t="inlineStr">
        <is>
          <t>3</t>
        </is>
      </c>
      <c r="B14" s="48" t="inlineStr">
        <is>
          <t>Apartments on 20th</t>
        </is>
      </c>
      <c r="C14" s="49" t="inlineStr">
        <is>
          <t>755 20th Avenue Dr NE, Hickory, NC 28601</t>
        </is>
      </c>
      <c r="D14" s="48" t="inlineStr">
        <is>
          <t>Hickory, NC area</t>
        </is>
      </c>
      <c r="E14" s="48" t="inlineStr">
        <is>
          <t>NC area</t>
        </is>
      </c>
      <c r="F14" s="48" t="inlineStr">
        <is>
          <t>NC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$663</t>
        </is>
      </c>
      <c r="L14" s="34" t="inlineStr">
        <is>
          <t>$900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$908</t>
        </is>
      </c>
      <c r="P14" s="34" t="inlineStr">
        <is>
          <t>$1,100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$1,372</t>
        </is>
      </c>
      <c r="T14" s="34" t="inlineStr">
        <is>
          <t>$1,375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$1,586</t>
        </is>
      </c>
      <c r="X14" s="34" t="inlineStr">
        <is>
          <t>$1,650</t>
        </is>
      </c>
      <c r="Y14" s="48" t="inlineStr">
        <is>
          <t>N/A</t>
        </is>
      </c>
      <c r="Z14" s="48" t="inlineStr">
        <is>
          <t>1968</t>
        </is>
      </c>
      <c r="AA14" s="48" t="inlineStr">
        <is>
          <t>3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1968 vintage (3 yr diff), N/A units, N/A from subject. Shows market-rate rents vs. affordable housing discount.</t>
        </is>
      </c>
      <c r="AI14" s="48" t="inlineStr">
        <is>
          <t>HUD FY2026 FMR - Catawba County, NC</t>
        </is>
      </c>
    </row>
    <row r="15" ht="54.75" customFormat="1" customHeight="1" s="6">
      <c r="A15" s="42" t="inlineStr">
        <is>
          <t>4</t>
        </is>
      </c>
      <c r="B15" s="42" t="inlineStr">
        <is>
          <t>Redwood Hickory</t>
        </is>
      </c>
      <c r="C15" s="43" t="inlineStr">
        <is>
          <t>3062 12th Ave SE, Hickory, NC 28602</t>
        </is>
      </c>
      <c r="D15" s="42" t="inlineStr">
        <is>
          <t>Hickory, NC area</t>
        </is>
      </c>
      <c r="E15" s="42" t="inlineStr">
        <is>
          <t>NC area</t>
        </is>
      </c>
      <c r="F15" s="42" t="inlineStr">
        <is>
          <t>NC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$663</t>
        </is>
      </c>
      <c r="L15" s="34" t="inlineStr">
        <is>
          <t>$900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$908</t>
        </is>
      </c>
      <c r="P15" s="34" t="inlineStr">
        <is>
          <t>$1,100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$1,372</t>
        </is>
      </c>
      <c r="T15" s="34" t="inlineStr">
        <is>
          <t>$1,375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$1,586</t>
        </is>
      </c>
      <c r="X15" s="34" t="inlineStr">
        <is>
          <t>$1,650</t>
        </is>
      </c>
      <c r="Y15" s="42" t="inlineStr">
        <is>
          <t>N/A</t>
        </is>
      </c>
      <c r="Z15" s="42" t="inlineStr">
        <is>
          <t>1973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1973 vintage (2 yr diff), N/A units, N/A from subject. Shows market-rate rents vs. affordable housing discount.</t>
        </is>
      </c>
      <c r="AI15" s="42" t="inlineStr">
        <is>
          <t>HUD FY2026 FMR - Catawba County, NC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Hickory-Lenoir-Morganton MSA</t>
        </is>
      </c>
      <c r="D16" s="51" t="inlineStr">
        <is>
          <t>N/A</t>
        </is>
      </c>
      <c r="E16" s="51" t="inlineStr">
        <is>
          <t>Hickory</t>
        </is>
      </c>
      <c r="F16" s="51" t="inlineStr">
        <is>
          <t>NC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$663</t>
        </is>
      </c>
      <c r="J16" s="51" t="inlineStr">
        <is>
          <t>$663</t>
        </is>
      </c>
      <c r="K16" s="33" t="inlineStr">
        <is>
          <t>$663</t>
        </is>
      </c>
      <c r="L16" s="34" t="inlineStr">
        <is>
          <t>N/A</t>
        </is>
      </c>
      <c r="M16" s="51" t="inlineStr">
        <is>
          <t>$908</t>
        </is>
      </c>
      <c r="N16" s="51" t="inlineStr">
        <is>
          <t>$908</t>
        </is>
      </c>
      <c r="O16" s="33" t="inlineStr">
        <is>
          <t>$908</t>
        </is>
      </c>
      <c r="P16" s="34" t="inlineStr">
        <is>
          <t>N/A</t>
        </is>
      </c>
      <c r="Q16" s="51" t="inlineStr">
        <is>
          <t>$1,372</t>
        </is>
      </c>
      <c r="R16" s="51" t="inlineStr">
        <is>
          <t>$1,372</t>
        </is>
      </c>
      <c r="S16" s="33" t="inlineStr">
        <is>
          <t>$1,372</t>
        </is>
      </c>
      <c r="T16" s="34" t="inlineStr">
        <is>
          <t>N/A</t>
        </is>
      </c>
      <c r="U16" s="51" t="inlineStr">
        <is>
          <t>$1,586</t>
        </is>
      </c>
      <c r="V16" s="51" t="inlineStr">
        <is>
          <t>$1,586</t>
        </is>
      </c>
      <c r="W16" s="33" t="inlineStr">
        <is>
          <t>$1,586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Hickory</t>
        </is>
      </c>
      <c r="D17" s="51" t="inlineStr">
        <is>
          <t>N/A</t>
        </is>
      </c>
      <c r="E17" s="51" t="inlineStr">
        <is>
          <t>Hickory</t>
        </is>
      </c>
      <c r="F17" s="51" t="inlineStr">
        <is>
          <t>NC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$729</t>
        </is>
      </c>
      <c r="J17" s="51" t="inlineStr">
        <is>
          <t>$729</t>
        </is>
      </c>
      <c r="K17" s="33" t="inlineStr">
        <is>
          <t>$729</t>
        </is>
      </c>
      <c r="L17" s="34" t="inlineStr">
        <is>
          <t>N/A</t>
        </is>
      </c>
      <c r="M17" s="51" t="inlineStr">
        <is>
          <t>$998</t>
        </is>
      </c>
      <c r="N17" s="51" t="inlineStr">
        <is>
          <t>$998</t>
        </is>
      </c>
      <c r="O17" s="33" t="inlineStr">
        <is>
          <t>$998</t>
        </is>
      </c>
      <c r="P17" s="34" t="inlineStr">
        <is>
          <t>N/A</t>
        </is>
      </c>
      <c r="Q17" s="51" t="inlineStr">
        <is>
          <t>$1,509</t>
        </is>
      </c>
      <c r="R17" s="51" t="inlineStr">
        <is>
          <t>$1,509</t>
        </is>
      </c>
      <c r="S17" s="33" t="inlineStr">
        <is>
          <t>$1,509</t>
        </is>
      </c>
      <c r="T17" s="34" t="inlineStr">
        <is>
          <t>N/A</t>
        </is>
      </c>
      <c r="U17" s="51" t="inlineStr">
        <is>
          <t>$1,744</t>
        </is>
      </c>
      <c r="V17" s="51" t="inlineStr">
        <is>
          <t>$1,744</t>
        </is>
      </c>
      <c r="W17" s="33" t="inlineStr">
        <is>
          <t>$1,744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981</v>
      </c>
      <c r="D24" s="74" t="n">
        <v>930</v>
      </c>
      <c r="E24" s="75" t="n">
        <v>83</v>
      </c>
      <c r="F24" s="76" t="n">
        <v>847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1250</v>
      </c>
      <c r="D25" s="78" t="n">
        <v>1140</v>
      </c>
      <c r="E25" s="75" t="n">
        <v>115</v>
      </c>
      <c r="F25" s="76" t="n">
        <v>1025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1500</v>
      </c>
      <c r="D26" s="74" t="n">
        <v>1450</v>
      </c>
      <c r="E26" s="75" t="n">
        <v>134</v>
      </c>
      <c r="F26" s="76" t="n">
        <v>1316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1650</v>
      </c>
      <c r="D27" s="78" t="n">
        <v>1710</v>
      </c>
      <c r="E27" s="75" t="n">
        <v>151</v>
      </c>
      <c r="F27" s="76" t="n">
        <v>1559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60%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1BD</t>
        </is>
      </c>
      <c r="B32" s="74" t="n">
        <v>888</v>
      </c>
      <c r="C32" s="74" t="n">
        <v>564</v>
      </c>
      <c r="D32" s="75" t="n">
        <v>83</v>
      </c>
      <c r="E32" s="76" t="n">
        <v>481</v>
      </c>
    </row>
    <row r="33" ht="15" customFormat="1" customHeight="1" s="3">
      <c r="A33" s="77" t="inlineStr">
        <is>
          <t>2BD</t>
        </is>
      </c>
      <c r="B33" s="78" t="n">
        <v>1066</v>
      </c>
      <c r="C33" s="78" t="n">
        <v>643</v>
      </c>
      <c r="D33" s="75" t="n">
        <v>115</v>
      </c>
      <c r="E33" s="76" t="n">
        <v>528</v>
      </c>
    </row>
    <row r="34" ht="15" customFormat="1" customHeight="1" s="3">
      <c r="A34" s="73" t="inlineStr">
        <is>
          <t>3BD</t>
        </is>
      </c>
      <c r="B34" s="74" t="n">
        <v>1233</v>
      </c>
      <c r="C34" s="74" t="n">
        <v>774</v>
      </c>
      <c r="D34" s="75" t="n">
        <v>134</v>
      </c>
      <c r="E34" s="76" t="n">
        <v>640</v>
      </c>
    </row>
    <row r="35" ht="15" customFormat="1" customHeight="1" s="3">
      <c r="A35" s="77" t="inlineStr">
        <is>
          <t>4BD</t>
        </is>
      </c>
      <c r="B35" s="78" t="n">
        <v>1375</v>
      </c>
      <c r="C35" s="78" t="n">
        <v>866</v>
      </c>
      <c r="D35" s="75" t="n">
        <v>151</v>
      </c>
      <c r="E35" s="76" t="n">
        <v>715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901</v>
      </c>
      <c r="C40" s="107" t="n">
        <v>1083</v>
      </c>
    </row>
    <row r="41" ht="15" customFormat="1" customHeight="1" s="3">
      <c r="A41" s="77" t="inlineStr">
        <is>
          <t>2BD</t>
        </is>
      </c>
      <c r="B41" s="106" t="n">
        <v>1003</v>
      </c>
      <c r="C41" s="107" t="n">
        <v>1365</v>
      </c>
    </row>
    <row r="42" ht="15" customFormat="1" customHeight="1" s="3">
      <c r="A42" s="73" t="inlineStr">
        <is>
          <t>3BD</t>
        </is>
      </c>
      <c r="B42" s="106" t="n">
        <v>1302</v>
      </c>
      <c r="C42" s="107" t="n">
        <v>1587</v>
      </c>
    </row>
    <row r="43" ht="15" customFormat="1" customHeight="1" s="3">
      <c r="A43" s="77" t="inlineStr">
        <is>
          <t>4BD</t>
        </is>
      </c>
      <c r="B43" s="106" t="n">
        <v>1375</v>
      </c>
      <c r="C43" s="107" t="n">
        <v>1953</v>
      </c>
    </row>
  </sheetData>
  <mergeCells count="7">
    <mergeCell ref="A30:E30"/>
    <mergeCell ref="A19:AI19"/>
    <mergeCell ref="A5:AI5"/>
    <mergeCell ref="A3:AI3"/>
    <mergeCell ref="A22:F22"/>
    <mergeCell ref="A4:AI4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THOMASVILLE CHURCH HOMES | GREEN = Affordable Comps | BLUE = Market Rate Comps</t>
        </is>
      </c>
    </row>
    <row r="4" ht="20.25" customFormat="1" customHeight="1" s="6">
      <c r="A4" s="2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Thomasville Church Homes (SUBJECT)</t>
        </is>
      </c>
      <c r="D7" s="26" t="inlineStr">
        <is>
          <t>904 Doak Street</t>
        </is>
      </c>
      <c r="E7" s="26" t="inlineStr">
        <is>
          <t>Thomasville</t>
        </is>
      </c>
      <c r="F7" s="26" t="inlineStr">
        <is>
          <t>NC</t>
        </is>
      </c>
      <c r="G7" s="26" t="inlineStr">
        <is>
          <t>27360</t>
        </is>
      </c>
      <c r="H7" s="26" t="inlineStr">
        <is>
          <t>0.0 mi</t>
        </is>
      </c>
      <c r="I7" s="26" t="inlineStr">
        <is>
          <t>$2,512</t>
        </is>
      </c>
      <c r="J7" s="26" t="inlineStr">
        <is>
          <t>$3,015</t>
        </is>
      </c>
      <c r="K7" s="28" t="inlineStr">
        <is>
          <t>$704</t>
        </is>
      </c>
      <c r="L7" s="29" t="inlineStr">
        <is>
          <t>N/A</t>
        </is>
      </c>
      <c r="M7" s="26" t="inlineStr">
        <is>
          <t>$3,012</t>
        </is>
      </c>
      <c r="N7" s="26" t="inlineStr">
        <is>
          <t>$3,615</t>
        </is>
      </c>
      <c r="O7" s="28" t="inlineStr">
        <is>
          <t>$964</t>
        </is>
      </c>
      <c r="P7" s="29" t="inlineStr">
        <is>
          <t>N/A</t>
        </is>
      </c>
      <c r="Q7" s="26" t="inlineStr">
        <is>
          <t>$3,345</t>
        </is>
      </c>
      <c r="R7" s="26" t="inlineStr">
        <is>
          <t>$4,015</t>
        </is>
      </c>
      <c r="S7" s="28" t="inlineStr">
        <is>
          <t>$1,448</t>
        </is>
      </c>
      <c r="T7" s="29" t="inlineStr">
        <is>
          <t>N/A</t>
        </is>
      </c>
      <c r="U7" s="26" t="inlineStr">
        <is>
          <t>$3,616</t>
        </is>
      </c>
      <c r="V7" s="26" t="inlineStr">
        <is>
          <t>$4,340</t>
        </is>
      </c>
      <c r="W7" s="28" t="inlineStr">
        <is>
          <t>$1,673</t>
        </is>
      </c>
      <c r="X7" s="29" t="inlineStr">
        <is>
          <t>N/A</t>
        </is>
      </c>
      <c r="Y7" s="26" t="inlineStr">
        <is>
          <t>100</t>
        </is>
      </c>
      <c r="Z7" s="26" t="inlineStr">
        <is>
          <t>1975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100 units | Section 8/HUD property. Year built: 1975.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High Point Housing Authority - Southside Homes</t>
        </is>
      </c>
      <c r="D8" s="31" t="inlineStr">
        <is>
          <t>1000 S Main St</t>
        </is>
      </c>
      <c r="E8" s="31" t="inlineStr">
        <is>
          <t>High Point</t>
        </is>
      </c>
      <c r="F8" s="31" t="inlineStr">
        <is>
          <t>NC</t>
        </is>
      </c>
      <c r="G8" s="31" t="inlineStr">
        <is>
          <t>27260</t>
        </is>
      </c>
      <c r="H8" s="31" t="inlineStr">
        <is>
          <t>12.0 mi</t>
        </is>
      </c>
      <c r="I8" s="31" t="inlineStr">
        <is>
          <t>$2,512</t>
        </is>
      </c>
      <c r="J8" s="31" t="inlineStr">
        <is>
          <t>$3,015</t>
        </is>
      </c>
      <c r="K8" s="33" t="inlineStr">
        <is>
          <t>$704</t>
        </is>
      </c>
      <c r="L8" s="34" t="inlineStr">
        <is>
          <t>Not Listed</t>
        </is>
      </c>
      <c r="M8" s="31" t="inlineStr">
        <is>
          <t>$3,012</t>
        </is>
      </c>
      <c r="N8" s="31" t="inlineStr">
        <is>
          <t>$3,615</t>
        </is>
      </c>
      <c r="O8" s="33" t="inlineStr">
        <is>
          <t>$964</t>
        </is>
      </c>
      <c r="P8" s="34" t="inlineStr">
        <is>
          <t>Not Listed</t>
        </is>
      </c>
      <c r="Q8" s="31" t="inlineStr">
        <is>
          <t>$3,345</t>
        </is>
      </c>
      <c r="R8" s="31" t="inlineStr">
        <is>
          <t>$4,015</t>
        </is>
      </c>
      <c r="S8" s="33" t="inlineStr">
        <is>
          <t>$1,448</t>
        </is>
      </c>
      <c r="T8" s="34" t="inlineStr">
        <is>
          <t>Not Listed</t>
        </is>
      </c>
      <c r="U8" s="31" t="inlineStr">
        <is>
          <t>$3,616</t>
        </is>
      </c>
      <c r="V8" s="31" t="inlineStr">
        <is>
          <t>$4,340</t>
        </is>
      </c>
      <c r="W8" s="33" t="inlineStr">
        <is>
          <t>$1,673</t>
        </is>
      </c>
      <c r="X8" s="34" t="inlineStr">
        <is>
          <t>Not Listed</t>
        </is>
      </c>
      <c r="Y8" s="31" t="inlineStr">
        <is>
          <t>100</t>
        </is>
      </c>
      <c r="Z8" s="31" t="inlineStr">
        <is>
          <t>1975</t>
        </is>
      </c>
      <c r="AA8" s="31" t="inlineStr">
        <is>
          <t>0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Section 8/HUD property, 1975 vintage (0 yr diff), 100 units, 12.0 mi from subject. Same income-eligible renter pool.</t>
        </is>
      </c>
      <c r="AI8" s="31" t="inlineStr">
        <is>
          <t>High Point Housing Authority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Lexington Manor Apartments</t>
        </is>
      </c>
      <c r="D9" s="36" t="inlineStr">
        <is>
          <t>600 W Center St Ext</t>
        </is>
      </c>
      <c r="E9" s="36" t="inlineStr">
        <is>
          <t>Lexington</t>
        </is>
      </c>
      <c r="F9" s="36" t="inlineStr">
        <is>
          <t>NC</t>
        </is>
      </c>
      <c r="G9" s="36" t="inlineStr">
        <is>
          <t>27292</t>
        </is>
      </c>
      <c r="H9" s="36" t="inlineStr">
        <is>
          <t>10.5 mi</t>
        </is>
      </c>
      <c r="I9" s="36" t="inlineStr">
        <is>
          <t>$2,512</t>
        </is>
      </c>
      <c r="J9" s="36" t="inlineStr">
        <is>
          <t>$3,015</t>
        </is>
      </c>
      <c r="K9" s="33" t="inlineStr">
        <is>
          <t>$704</t>
        </is>
      </c>
      <c r="L9" s="34" t="inlineStr">
        <is>
          <t>Not Listed</t>
        </is>
      </c>
      <c r="M9" s="36" t="inlineStr">
        <is>
          <t>$3,012</t>
        </is>
      </c>
      <c r="N9" s="36" t="inlineStr">
        <is>
          <t>$3,615</t>
        </is>
      </c>
      <c r="O9" s="33" t="inlineStr">
        <is>
          <t>$964</t>
        </is>
      </c>
      <c r="P9" s="34" t="inlineStr">
        <is>
          <t>Not Listed</t>
        </is>
      </c>
      <c r="Q9" s="36" t="inlineStr">
        <is>
          <t>$3,345</t>
        </is>
      </c>
      <c r="R9" s="36" t="inlineStr">
        <is>
          <t>$4,015</t>
        </is>
      </c>
      <c r="S9" s="33" t="inlineStr">
        <is>
          <t>$1,448</t>
        </is>
      </c>
      <c r="T9" s="34" t="inlineStr">
        <is>
          <t>Not Listed</t>
        </is>
      </c>
      <c r="U9" s="36" t="inlineStr">
        <is>
          <t>$3,616</t>
        </is>
      </c>
      <c r="V9" s="36" t="inlineStr">
        <is>
          <t>$4,340</t>
        </is>
      </c>
      <c r="W9" s="33" t="inlineStr">
        <is>
          <t>$1,673</t>
        </is>
      </c>
      <c r="X9" s="34" t="inlineStr">
        <is>
          <t>Not Listed</t>
        </is>
      </c>
      <c r="Y9" s="36" t="inlineStr">
        <is>
          <t>96</t>
        </is>
      </c>
      <c r="Z9" s="36" t="inlineStr">
        <is>
          <t>1976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Section 8/HUD property, 1976 vintage (1 yr diff), 96 units, 10.5 mi from subject. Same income-eligible renter pool.</t>
        </is>
      </c>
      <c r="AI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Asheboro Gardens</t>
        </is>
      </c>
      <c r="D10" s="39" t="inlineStr">
        <is>
          <t>400 Sunset Ave</t>
        </is>
      </c>
      <c r="E10" s="39" t="inlineStr">
        <is>
          <t>Asheboro</t>
        </is>
      </c>
      <c r="F10" s="39" t="inlineStr">
        <is>
          <t>NC</t>
        </is>
      </c>
      <c r="G10" s="39" t="inlineStr">
        <is>
          <t>27203</t>
        </is>
      </c>
      <c r="H10" s="39" t="inlineStr">
        <is>
          <t>28.0 mi</t>
        </is>
      </c>
      <c r="I10" s="39" t="inlineStr">
        <is>
          <t>$2,512</t>
        </is>
      </c>
      <c r="J10" s="39" t="inlineStr">
        <is>
          <t>$3,015</t>
        </is>
      </c>
      <c r="K10" s="33" t="inlineStr">
        <is>
          <t>$704</t>
        </is>
      </c>
      <c r="L10" s="34" t="inlineStr">
        <is>
          <t>Not Listed</t>
        </is>
      </c>
      <c r="M10" s="39" t="inlineStr">
        <is>
          <t>$3,012</t>
        </is>
      </c>
      <c r="N10" s="39" t="inlineStr">
        <is>
          <t>$3,615</t>
        </is>
      </c>
      <c r="O10" s="33" t="inlineStr">
        <is>
          <t>$964</t>
        </is>
      </c>
      <c r="P10" s="34" t="inlineStr">
        <is>
          <t>Not Listed</t>
        </is>
      </c>
      <c r="Q10" s="39" t="inlineStr">
        <is>
          <t>$3,345</t>
        </is>
      </c>
      <c r="R10" s="39" t="inlineStr">
        <is>
          <t>$4,015</t>
        </is>
      </c>
      <c r="S10" s="33" t="inlineStr">
        <is>
          <t>$1,448</t>
        </is>
      </c>
      <c r="T10" s="34" t="inlineStr">
        <is>
          <t>Not Listed</t>
        </is>
      </c>
      <c r="U10" s="39" t="inlineStr">
        <is>
          <t>$3,616</t>
        </is>
      </c>
      <c r="V10" s="39" t="inlineStr">
        <is>
          <t>$4,340</t>
        </is>
      </c>
      <c r="W10" s="33" t="inlineStr">
        <is>
          <t>$1,673</t>
        </is>
      </c>
      <c r="X10" s="34" t="inlineStr">
        <is>
          <t>Not Listed</t>
        </is>
      </c>
      <c r="Y10" s="39" t="inlineStr">
        <is>
          <t>104</t>
        </is>
      </c>
      <c r="Z10" s="39" t="inlineStr">
        <is>
          <t>1974</t>
        </is>
      </c>
      <c r="AA10" s="39" t="inlineStr">
        <is>
          <t>1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41" t="inlineStr">
        <is>
          <t>MODERATE-HIGH</t>
        </is>
      </c>
      <c r="AH10" s="40" t="inlineStr">
        <is>
          <t>Affordable Comp #3: Section 8/HUD property, 1974 vintage (1 yr diff), 104 units, 28.0 mi from subject. Same income-eligible renter pool.</t>
        </is>
      </c>
      <c r="AI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Thomasville Housing Authority - Sunrise Homes</t>
        </is>
      </c>
      <c r="D11" s="31" t="inlineStr">
        <is>
          <t>200 Sunrise Dr</t>
        </is>
      </c>
      <c r="E11" s="31" t="inlineStr">
        <is>
          <t>Thomasville</t>
        </is>
      </c>
      <c r="F11" s="31" t="inlineStr">
        <is>
          <t>NC</t>
        </is>
      </c>
      <c r="G11" s="31" t="inlineStr">
        <is>
          <t>27360</t>
        </is>
      </c>
      <c r="H11" s="31" t="inlineStr">
        <is>
          <t>1.5 mi</t>
        </is>
      </c>
      <c r="I11" s="31" t="inlineStr">
        <is>
          <t>$2,512</t>
        </is>
      </c>
      <c r="J11" s="31" t="inlineStr">
        <is>
          <t>$3,015</t>
        </is>
      </c>
      <c r="K11" s="33" t="inlineStr">
        <is>
          <t>$704</t>
        </is>
      </c>
      <c r="L11" s="34" t="inlineStr">
        <is>
          <t>Not Listed</t>
        </is>
      </c>
      <c r="M11" s="31" t="inlineStr">
        <is>
          <t>$3,012</t>
        </is>
      </c>
      <c r="N11" s="31" t="inlineStr">
        <is>
          <t>$3,615</t>
        </is>
      </c>
      <c r="O11" s="33" t="inlineStr">
        <is>
          <t>$964</t>
        </is>
      </c>
      <c r="P11" s="34" t="inlineStr">
        <is>
          <t>Not Listed</t>
        </is>
      </c>
      <c r="Q11" s="31" t="inlineStr">
        <is>
          <t>$3,345</t>
        </is>
      </c>
      <c r="R11" s="31" t="inlineStr">
        <is>
          <t>$4,015</t>
        </is>
      </c>
      <c r="S11" s="33" t="inlineStr">
        <is>
          <t>$1,448</t>
        </is>
      </c>
      <c r="T11" s="34" t="inlineStr">
        <is>
          <t>Not Listed</t>
        </is>
      </c>
      <c r="U11" s="31" t="inlineStr">
        <is>
          <t>$3,616</t>
        </is>
      </c>
      <c r="V11" s="31" t="inlineStr">
        <is>
          <t>$4,340</t>
        </is>
      </c>
      <c r="W11" s="33" t="inlineStr">
        <is>
          <t>$1,673</t>
        </is>
      </c>
      <c r="X11" s="34" t="inlineStr">
        <is>
          <t>Not Listed</t>
        </is>
      </c>
      <c r="Y11" s="31" t="inlineStr">
        <is>
          <t>96</t>
        </is>
      </c>
      <c r="Z11" s="31" t="inlineStr">
        <is>
          <t>1976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Public Housing/HUD property, 1976 vintage (1 yr diff), 96 units, 1.5 mi from subject. Same income-eligible renter pool.</t>
        </is>
      </c>
      <c r="AI11" s="31" t="inlineStr">
        <is>
          <t>Thomasville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Thomasville Market Rate (FMR Benchmark)</t>
        </is>
      </c>
      <c r="D12" s="42" t="inlineStr">
        <is>
          <t>Thomasville, NC area</t>
        </is>
      </c>
      <c r="E12" s="42" t="inlineStr">
        <is>
          <t>NC area</t>
        </is>
      </c>
      <c r="F12" s="42" t="inlineStr">
        <is>
          <t>NC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$704</t>
        </is>
      </c>
      <c r="L12" s="34" t="inlineStr">
        <is>
          <t>$950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$964</t>
        </is>
      </c>
      <c r="P12" s="34" t="inlineStr">
        <is>
          <t>$1,150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$1,448</t>
        </is>
      </c>
      <c r="T12" s="34" t="inlineStr">
        <is>
          <t>$1,425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$1,673</t>
        </is>
      </c>
      <c r="X12" s="34" t="inlineStr">
        <is>
          <t>$1,700</t>
        </is>
      </c>
      <c r="Y12" s="42" t="inlineStr">
        <is>
          <t>N/A</t>
        </is>
      </c>
      <c r="Z12" s="42" t="inlineStr">
        <is>
          <t>1975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1975 vintage (0 yr diff), N/A units, N/A from subject. Shows market-rate rents vs. affordable housing discount.</t>
        </is>
      </c>
      <c r="AI12" s="42" t="inlineStr">
        <is>
          <t>HUD FY2026 FMR - Davidson County, NC (limited market rate listings for 1965-1985 vintage)</t>
        </is>
      </c>
    </row>
    <row r="13" ht="54.75" customFormat="1" customHeight="1" s="6">
      <c r="A13" s="45" t="inlineStr">
        <is>
          <t>2</t>
        </is>
      </c>
      <c r="B13" s="45" t="inlineStr">
        <is>
          <t>Southgate Gardens</t>
        </is>
      </c>
      <c r="C13" s="46" t="inlineStr">
        <is>
          <t>205 Arthur Dr, Thomasville, NC 27360</t>
        </is>
      </c>
      <c r="D13" s="45" t="inlineStr">
        <is>
          <t>High Point, NC area</t>
        </is>
      </c>
      <c r="E13" s="45" t="inlineStr">
        <is>
          <t>NC area</t>
        </is>
      </c>
      <c r="F13" s="45" t="inlineStr">
        <is>
          <t>NC</t>
        </is>
      </c>
      <c r="G13" s="45" t="n"/>
      <c r="H13" s="45" t="inlineStr">
        <is>
          <t>15.0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$704</t>
        </is>
      </c>
      <c r="L13" s="34" t="inlineStr">
        <is>
          <t>$975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$964</t>
        </is>
      </c>
      <c r="P13" s="34" t="inlineStr">
        <is>
          <t>$1,175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$1,448</t>
        </is>
      </c>
      <c r="T13" s="34" t="inlineStr">
        <is>
          <t>$1,450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$1,673</t>
        </is>
      </c>
      <c r="X13" s="34" t="inlineStr">
        <is>
          <t>$1,725</t>
        </is>
      </c>
      <c r="Y13" s="45" t="inlineStr">
        <is>
          <t>80</t>
        </is>
      </c>
      <c r="Z13" s="45" t="inlineStr">
        <is>
          <t>1978</t>
        </is>
      </c>
      <c r="AA13" s="45" t="inlineStr">
        <is>
          <t>3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1978 vintage (3 yr diff), 80 units, 15.0 mi from subject. Shows market-rate rents vs. affordable housing discount.</t>
        </is>
      </c>
      <c r="AI13" s="45" t="inlineStr">
        <is>
          <t>https://www.rentcafe.com/apartments-for-rent/us/nc/high-point/</t>
        </is>
      </c>
    </row>
    <row r="14" ht="54.75" customFormat="1" customHeight="1" s="6">
      <c r="A14" s="48" t="inlineStr">
        <is>
          <t>3</t>
        </is>
      </c>
      <c r="B14" s="48" t="inlineStr">
        <is>
          <t>Lionchase Apartments</t>
        </is>
      </c>
      <c r="C14" s="49" t="inlineStr">
        <is>
          <t>1311 Blair St, Thomasville, NC 27360</t>
        </is>
      </c>
      <c r="D14" s="48" t="inlineStr">
        <is>
          <t>Greensboro, NC area</t>
        </is>
      </c>
      <c r="E14" s="48" t="inlineStr">
        <is>
          <t>NC area</t>
        </is>
      </c>
      <c r="F14" s="48" t="inlineStr">
        <is>
          <t>NC</t>
        </is>
      </c>
      <c r="G14" s="48" t="n"/>
      <c r="H14" s="48" t="inlineStr">
        <is>
          <t>22.0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$704</t>
        </is>
      </c>
      <c r="L14" s="34" t="inlineStr">
        <is>
          <t>$1,000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$964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$1,448</t>
        </is>
      </c>
      <c r="T14" s="34" t="inlineStr">
        <is>
          <t>$1,475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$1,673</t>
        </is>
      </c>
      <c r="X14" s="34" t="inlineStr">
        <is>
          <t>$1,750</t>
        </is>
      </c>
      <c r="Y14" s="48" t="inlineStr">
        <is>
          <t>96</t>
        </is>
      </c>
      <c r="Z14" s="48" t="inlineStr">
        <is>
          <t>1972</t>
        </is>
      </c>
      <c r="AA14" s="48" t="inlineStr">
        <is>
          <t>3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86" t="inlineStr">
        <is>
          <t>MODERATE-HIGH</t>
        </is>
      </c>
      <c r="AH14" s="49" t="inlineStr">
        <is>
          <t>Market Rate Comp #3: No income restrictions, 1972 vintage (3 yr diff), 96 units, 22.0 mi from subject. Shows market-rate rents vs. affordable housing discount.</t>
        </is>
      </c>
      <c r="AI14" s="48" t="inlineStr">
        <is>
          <t>https://www.rentcafe.com/apartments-for-rent/us/nc/greensboro/</t>
        </is>
      </c>
    </row>
    <row r="15" ht="54.75" customFormat="1" customHeight="1" s="6">
      <c r="A15" s="42" t="inlineStr">
        <is>
          <t>4</t>
        </is>
      </c>
      <c r="B15" s="42" t="inlineStr">
        <is>
          <t>Creekside at Kennedy Mill</t>
        </is>
      </c>
      <c r="C15" s="43" t="inlineStr">
        <is>
          <t>219 Dorothy St, High Point, NC 27262</t>
        </is>
      </c>
      <c r="D15" s="42" t="inlineStr">
        <is>
          <t>High Point, NC area</t>
        </is>
      </c>
      <c r="E15" s="42" t="inlineStr">
        <is>
          <t>NC area</t>
        </is>
      </c>
      <c r="F15" s="42" t="inlineStr">
        <is>
          <t>NC</t>
        </is>
      </c>
      <c r="G15" s="42" t="n"/>
      <c r="H15" s="42" t="inlineStr">
        <is>
          <t>16.0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$704</t>
        </is>
      </c>
      <c r="L15" s="34" t="inlineStr">
        <is>
          <t>$975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$964</t>
        </is>
      </c>
      <c r="P15" s="34" t="inlineStr">
        <is>
          <t>$1,175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$1,448</t>
        </is>
      </c>
      <c r="T15" s="34" t="inlineStr">
        <is>
          <t>$1,450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$1,673</t>
        </is>
      </c>
      <c r="X15" s="34" t="inlineStr">
        <is>
          <t>$1,725</t>
        </is>
      </c>
      <c r="Y15" s="42" t="inlineStr">
        <is>
          <t>80</t>
        </is>
      </c>
      <c r="Z15" s="42" t="inlineStr">
        <is>
          <t>1977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84" t="inlineStr">
        <is>
          <t>MODERATE-HIGH</t>
        </is>
      </c>
      <c r="AH15" s="43" t="inlineStr">
        <is>
          <t>Market Rate Comp #4: No income restrictions, 1977 vintage (2 yr diff), 80 units, 16.0 mi from subject. Shows market-rate rents vs. affordable housing discount.</t>
        </is>
      </c>
      <c r="AI15" s="42" t="inlineStr">
        <is>
          <t>https://www.rentcafe.com/apartments-for-rent/us/nc/high-point/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High Point-Thomasville MSA</t>
        </is>
      </c>
      <c r="D16" s="51" t="inlineStr">
        <is>
          <t>N/A</t>
        </is>
      </c>
      <c r="E16" s="51" t="inlineStr">
        <is>
          <t>Thomasville</t>
        </is>
      </c>
      <c r="F16" s="51" t="inlineStr">
        <is>
          <t>NC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$704</t>
        </is>
      </c>
      <c r="J16" s="51" t="inlineStr">
        <is>
          <t>$704</t>
        </is>
      </c>
      <c r="K16" s="33" t="inlineStr">
        <is>
          <t>$704</t>
        </is>
      </c>
      <c r="L16" s="34" t="inlineStr">
        <is>
          <t>N/A</t>
        </is>
      </c>
      <c r="M16" s="51" t="inlineStr">
        <is>
          <t>$964</t>
        </is>
      </c>
      <c r="N16" s="51" t="inlineStr">
        <is>
          <t>$964</t>
        </is>
      </c>
      <c r="O16" s="33" t="inlineStr">
        <is>
          <t>$964</t>
        </is>
      </c>
      <c r="P16" s="34" t="inlineStr">
        <is>
          <t>N/A</t>
        </is>
      </c>
      <c r="Q16" s="51" t="inlineStr">
        <is>
          <t>$1,448</t>
        </is>
      </c>
      <c r="R16" s="51" t="inlineStr">
        <is>
          <t>$1,448</t>
        </is>
      </c>
      <c r="S16" s="33" t="inlineStr">
        <is>
          <t>$1,448</t>
        </is>
      </c>
      <c r="T16" s="34" t="inlineStr">
        <is>
          <t>N/A</t>
        </is>
      </c>
      <c r="U16" s="51" t="inlineStr">
        <is>
          <t>$1,673</t>
        </is>
      </c>
      <c r="V16" s="51" t="inlineStr">
        <is>
          <t>$1,673</t>
        </is>
      </c>
      <c r="W16" s="33" t="inlineStr">
        <is>
          <t>$1,673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Thomasville</t>
        </is>
      </c>
      <c r="D17" s="51" t="inlineStr">
        <is>
          <t>N/A</t>
        </is>
      </c>
      <c r="E17" s="51" t="inlineStr">
        <is>
          <t>Thomasville</t>
        </is>
      </c>
      <c r="F17" s="51" t="inlineStr">
        <is>
          <t>NC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$774</t>
        </is>
      </c>
      <c r="J17" s="51" t="inlineStr">
        <is>
          <t>$774</t>
        </is>
      </c>
      <c r="K17" s="33" t="inlineStr">
        <is>
          <t>$774</t>
        </is>
      </c>
      <c r="L17" s="34" t="inlineStr">
        <is>
          <t>N/A</t>
        </is>
      </c>
      <c r="M17" s="51" t="inlineStr">
        <is>
          <t>$1,060</t>
        </is>
      </c>
      <c r="N17" s="51" t="inlineStr">
        <is>
          <t>$1,060</t>
        </is>
      </c>
      <c r="O17" s="33" t="inlineStr">
        <is>
          <t>$1,060</t>
        </is>
      </c>
      <c r="P17" s="34" t="inlineStr">
        <is>
          <t>N/A</t>
        </is>
      </c>
      <c r="Q17" s="51" t="inlineStr">
        <is>
          <t>$1,592</t>
        </is>
      </c>
      <c r="R17" s="51" t="inlineStr">
        <is>
          <t>$1,592</t>
        </is>
      </c>
      <c r="S17" s="33" t="inlineStr">
        <is>
          <t>$1,592</t>
        </is>
      </c>
      <c r="T17" s="34" t="inlineStr">
        <is>
          <t>N/A</t>
        </is>
      </c>
      <c r="U17" s="51" t="inlineStr">
        <is>
          <t>$1,840</t>
        </is>
      </c>
      <c r="V17" s="51" t="inlineStr">
        <is>
          <t>$1,840</t>
        </is>
      </c>
      <c r="W17" s="33" t="inlineStr">
        <is>
          <t>$1,840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0</v>
      </c>
      <c r="D24" s="74" t="n">
        <v>940</v>
      </c>
      <c r="E24" s="75" t="n">
        <v>97</v>
      </c>
      <c r="F24" s="76" t="n">
        <v>843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0</v>
      </c>
      <c r="D25" s="78" t="n">
        <v>1060</v>
      </c>
      <c r="E25" s="75" t="n">
        <v>99</v>
      </c>
      <c r="F25" s="76" t="n">
        <v>961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0</v>
      </c>
      <c r="D26" s="74" t="n">
        <v>1350</v>
      </c>
      <c r="E26" s="75" t="n">
        <v>125</v>
      </c>
      <c r="F26" s="76" t="n">
        <v>1225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0</v>
      </c>
      <c r="D27" s="78" t="n">
        <v>1520</v>
      </c>
      <c r="E27" s="75" t="n">
        <v>158</v>
      </c>
      <c r="F27" s="76" t="n">
        <v>1362</v>
      </c>
    </row>
    <row r="30" ht="15" customFormat="1" customHeight="1" s="3">
      <c r="A30" s="64" t="inlineStr">
        <is>
          <t>HAP, CoStar, NET</t>
        </is>
      </c>
      <c r="B30" s="104" t="n"/>
      <c r="C30" s="105" t="n"/>
    </row>
    <row r="31" ht="15" customFormat="1" customHeight="1" s="3">
      <c r="A31" s="67" t="n"/>
      <c r="B31" s="71" t="inlineStr">
        <is>
          <t>HAP</t>
        </is>
      </c>
      <c r="C31" s="68" t="inlineStr">
        <is>
          <t>CoStar</t>
        </is>
      </c>
    </row>
    <row r="32" ht="15" customFormat="1" customHeight="1" s="3">
      <c r="A32" s="73" t="inlineStr">
        <is>
          <t>1BD</t>
        </is>
      </c>
      <c r="B32" s="106" t="n">
        <v>914</v>
      </c>
      <c r="C32" s="107" t="n">
        <v>983</v>
      </c>
    </row>
    <row r="33" ht="15" customFormat="1" customHeight="1" s="3">
      <c r="A33" s="77" t="inlineStr">
        <is>
          <t>2BD</t>
        </is>
      </c>
      <c r="B33" s="106" t="n">
        <v>1018</v>
      </c>
      <c r="C33" s="107" t="n">
        <v>1135</v>
      </c>
    </row>
    <row r="34" ht="15" customFormat="1" customHeight="1" s="3">
      <c r="A34" s="73" t="inlineStr">
        <is>
          <t>3BD</t>
        </is>
      </c>
      <c r="B34" s="106" t="n">
        <v>1283</v>
      </c>
      <c r="C34" s="107" t="n">
        <v>1340</v>
      </c>
    </row>
    <row r="35" ht="15" customFormat="1" customHeight="1" s="3">
      <c r="A35" s="77" t="inlineStr">
        <is>
          <t>4BD</t>
        </is>
      </c>
      <c r="B35" s="106" t="n">
        <v>1377</v>
      </c>
      <c r="C35" s="107" t="n">
        <v>1796</v>
      </c>
    </row>
  </sheetData>
  <mergeCells count="6">
    <mergeCell ref="A19:AI19"/>
    <mergeCell ref="A5:AI5"/>
    <mergeCell ref="A3:AI3"/>
    <mergeCell ref="A22:F22"/>
    <mergeCell ref="A30:C30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2026-05-01T03:59:09Z</dcterms:modified>
  <cp:lastModifiedBy>Brandon Rose</cp:lastModifiedBy>
</cp:coreProperties>
</file>