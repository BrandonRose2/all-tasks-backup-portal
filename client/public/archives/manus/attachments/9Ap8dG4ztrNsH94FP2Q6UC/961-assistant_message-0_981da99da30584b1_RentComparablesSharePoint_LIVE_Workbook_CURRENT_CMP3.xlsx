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3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  <xf numFmtId="0" fontId="22" fillId="20" borderId="9" applyAlignment="1" pivotButton="0" quotePrefix="0" xfId="0">
      <alignment horizontal="center" vertical="center"/>
    </xf>
    <xf numFmtId="0" fontId="22" fillId="28" borderId="9" applyAlignment="1" pivotButton="0" quotePrefix="0" xfId="0">
      <alignment horizontal="center" vertical="center"/>
    </xf>
    <xf numFmtId="0" fontId="23" fillId="29" borderId="9" applyAlignment="1" pivotButton="0" quotePrefix="0" xfId="0">
      <alignment horizontal="center" vertical="center"/>
    </xf>
    <xf numFmtId="164" fontId="24" fillId="30" borderId="9" applyAlignment="1" pivotButton="0" quotePrefix="0" xfId="0">
      <alignment horizontal="center" vertical="center"/>
    </xf>
    <xf numFmtId="164" fontId="23" fillId="31" borderId="9" applyAlignment="1" pivotButton="0" quotePrefix="0" xfId="0">
      <alignment horizontal="center" vertical="center"/>
    </xf>
    <xf numFmtId="164" fontId="23" fillId="3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  <c r="L35" s="83" t="inlineStr">
        <is>
          <t>Current vs. Market Rent Comparison</t>
        </is>
      </c>
    </row>
    <row r="36">
      <c r="A36" s="69" t="inlineStr"/>
      <c r="B36" s="73" t="inlineStr">
        <is>
          <t>HAP</t>
        </is>
      </c>
      <c r="C36" s="70" t="inlineStr">
        <is>
          <t>CoStar</t>
        </is>
      </c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  <c r="L37" s="85" t="inlineStr">
        <is>
          <t>2BD</t>
        </is>
      </c>
      <c r="M37" s="86" t="n"/>
      <c r="N37" s="87" t="n">
        <v>2170</v>
      </c>
      <c r="O37" s="88">
        <f>IF(M37="","",N37-M37)</f>
        <v/>
      </c>
    </row>
    <row r="38">
      <c r="A38" s="79" t="inlineStr">
        <is>
          <t>3BD</t>
        </is>
      </c>
      <c r="B38" s="81" t="n">
        <v>1918</v>
      </c>
      <c r="C38" s="82" t="n">
        <v>1944</v>
      </c>
      <c r="L38" s="85" t="inlineStr">
        <is>
          <t>3BD</t>
        </is>
      </c>
      <c r="M38" s="86" t="n"/>
      <c r="N38" s="87" t="n">
        <v>2780</v>
      </c>
      <c r="O38" s="88">
        <f>IF(M38="","",N38-M38)</f>
        <v/>
      </c>
    </row>
  </sheetData>
  <mergeCells count="8">
    <mergeCell ref="A24:F24"/>
    <mergeCell ref="A30:E30"/>
    <mergeCell ref="A17:AA17"/>
    <mergeCell ref="A3:AA3"/>
    <mergeCell ref="A2:AA2"/>
    <mergeCell ref="L35:O35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</row>
    <row r="37">
      <c r="L37" s="85" t="inlineStr">
        <is>
          <t>2BD</t>
        </is>
      </c>
      <c r="M37" s="86" t="n"/>
      <c r="N37" s="87" t="n">
        <v>1210</v>
      </c>
      <c r="O37" s="88">
        <f>IF(M37="","",N37-M37)</f>
        <v/>
      </c>
    </row>
    <row r="38">
      <c r="L38" s="85" t="inlineStr">
        <is>
          <t>3BD</t>
        </is>
      </c>
      <c r="M38" s="86" t="n"/>
      <c r="N38" s="87" t="n">
        <v>1540</v>
      </c>
      <c r="O38" s="88">
        <f>IF(M38="","",N38-M38)</f>
        <v/>
      </c>
    </row>
  </sheetData>
  <mergeCells count="7">
    <mergeCell ref="A24:F24"/>
    <mergeCell ref="A17:AA17"/>
    <mergeCell ref="A3:AA3"/>
    <mergeCell ref="A2:AA2"/>
    <mergeCell ref="L35:O35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9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</row>
    <row r="37">
      <c r="L37" s="85" t="inlineStr">
        <is>
          <t>1BD</t>
        </is>
      </c>
      <c r="M37" s="86" t="n"/>
      <c r="N37" s="87" t="n">
        <v>1736</v>
      </c>
      <c r="O37" s="88">
        <f>IF(M37="","",N37-M37)</f>
        <v/>
      </c>
    </row>
    <row r="38">
      <c r="L38" s="85" t="inlineStr">
        <is>
          <t>2BD</t>
        </is>
      </c>
      <c r="M38" s="86" t="n"/>
      <c r="N38" s="87" t="n">
        <v>2376</v>
      </c>
      <c r="O38" s="88">
        <f>IF(M38="","",N38-M38)</f>
        <v/>
      </c>
    </row>
    <row r="39">
      <c r="L39" s="85" t="inlineStr">
        <is>
          <t>3BD</t>
        </is>
      </c>
      <c r="M39" s="86" t="n"/>
      <c r="N39" s="87" t="n">
        <v>3044</v>
      </c>
      <c r="O39" s="88">
        <f>IF(M39="","",N39-M39)</f>
        <v/>
      </c>
    </row>
  </sheetData>
  <mergeCells count="7">
    <mergeCell ref="A24:F24"/>
    <mergeCell ref="A2:AE2"/>
    <mergeCell ref="A31:C31"/>
    <mergeCell ref="A1:AE1"/>
    <mergeCell ref="L35:O35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</row>
    <row r="37">
      <c r="L37" s="85" t="inlineStr">
        <is>
          <t>2BD</t>
        </is>
      </c>
      <c r="M37" s="86" t="n"/>
      <c r="N37" s="87" t="n">
        <v>1426</v>
      </c>
      <c r="O37" s="88">
        <f>IF(M37="","",N37-M37)</f>
        <v/>
      </c>
    </row>
    <row r="38">
      <c r="L38" s="85" t="inlineStr">
        <is>
          <t>3BD</t>
        </is>
      </c>
      <c r="M38" s="86" t="n"/>
      <c r="N38" s="87" t="n">
        <v>1818</v>
      </c>
      <c r="O38" s="88">
        <f>IF(M38="","",N38-M38)</f>
        <v/>
      </c>
    </row>
  </sheetData>
  <mergeCells count="7">
    <mergeCell ref="A24:F24"/>
    <mergeCell ref="A17:AA17"/>
    <mergeCell ref="A3:AA3"/>
    <mergeCell ref="A2:AA2"/>
    <mergeCell ref="L35:O35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20:F20"/>
    <mergeCell ref="A2:AA2"/>
    <mergeCell ref="A35:C35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2026-04-30T00:58:08Z</dcterms:modified>
  <cp:lastModifiedBy>Brandon Rose</cp:lastModifiedBy>
</cp:coreProperties>
</file>